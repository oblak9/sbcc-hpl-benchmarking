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https://etfoshr-my.sharepoint.com/personal/krpic_etfos_hr/Documents/Istraživanje/1. SBCC/Results/OdroidMC1/"/>
    </mc:Choice>
  </mc:AlternateContent>
  <xr:revisionPtr revIDLastSave="2328" documentId="8_{B758C92D-C437-46FD-81FF-E7D72E0DF4EA}" xr6:coauthVersionLast="47" xr6:coauthVersionMax="47" xr10:uidLastSave="{84E7DC57-E9EF-40B9-A513-457D13A00653}"/>
  <bookViews>
    <workbookView xWindow="-120" yWindow="-120" windowWidth="38640" windowHeight="21390" tabRatio="896" firstSheet="4" activeTab="7" xr2:uid="{A2AD9453-B2DD-442A-8FF6-DE56922957DD}"/>
  </bookViews>
  <sheets>
    <sheet name="HPL 4 nodes, builds, old" sheetId="12" r:id="rId1"/>
    <sheet name="Arch details" sheetId="6" r:id="rId2"/>
    <sheet name="HPL_Builds" sheetId="8" r:id="rId3"/>
    <sheet name="ATLAS builds" sheetId="9" r:id="rId4"/>
    <sheet name="ATLAS make time results" sheetId="10" r:id="rId5"/>
    <sheet name="4 node, builds" sheetId="17" r:id="rId6"/>
    <sheet name="4 node, 933, scaling, RAW" sheetId="23" r:id="rId7"/>
    <sheet name="1 node, 825, params, RAW" sheetId="22" r:id="rId8"/>
    <sheet name="1 node, 825, params" sheetId="27" r:id="rId9"/>
    <sheet name="1 node, 933, params, RAW" sheetId="19" r:id="rId10"/>
    <sheet name="1 node, 933, params" sheetId="26" r:id="rId11"/>
    <sheet name="4 node, 825, params, RAW" sheetId="20" r:id="rId12"/>
    <sheet name="4 node, 825, params" sheetId="25" r:id="rId13"/>
    <sheet name="4 node, 933, params, RAW" sheetId="18" r:id="rId14"/>
    <sheet name="4 node, 933, params" sheetId="24" r:id="rId15"/>
    <sheet name="Scalability Analysis, 933" sheetId="28" r:id="rId16"/>
  </sheets>
  <externalReferences>
    <externalReference r:id="rId17"/>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C3" i="28" l="1"/>
  <c r="BE26" i="28"/>
  <c r="BC26" i="28"/>
  <c r="BE25" i="28"/>
  <c r="BC25" i="28"/>
  <c r="BE24" i="28"/>
  <c r="BC24" i="28"/>
  <c r="BE23" i="28"/>
  <c r="BC23" i="28"/>
  <c r="BE22" i="28"/>
  <c r="BC22" i="28"/>
  <c r="BE21" i="28"/>
  <c r="BC21" i="28"/>
  <c r="BE20" i="28"/>
  <c r="BC20" i="28"/>
  <c r="BE19" i="28"/>
  <c r="BC19" i="28"/>
  <c r="BE18" i="28"/>
  <c r="BC18" i="28"/>
  <c r="BE17" i="28"/>
  <c r="BC17" i="28"/>
  <c r="BE16" i="28"/>
  <c r="BC16" i="28"/>
  <c r="BE15" i="28"/>
  <c r="BC15" i="28"/>
  <c r="BE14" i="28"/>
  <c r="BC14" i="28"/>
  <c r="BE13" i="28"/>
  <c r="BC13" i="28"/>
  <c r="BE12" i="28"/>
  <c r="BC12" i="28"/>
  <c r="BE11" i="28"/>
  <c r="BC11" i="28"/>
  <c r="BE10" i="28"/>
  <c r="BC10" i="28"/>
  <c r="BE9" i="28"/>
  <c r="BC9" i="28"/>
  <c r="BE8" i="28"/>
  <c r="BC8" i="28"/>
  <c r="BE7" i="28"/>
  <c r="BC7" i="28"/>
  <c r="BE6" i="28"/>
  <c r="BC6" i="28"/>
  <c r="BE5" i="28"/>
  <c r="BC5" i="28"/>
  <c r="BE4" i="28"/>
  <c r="BC4" i="28"/>
  <c r="BE3" i="28"/>
  <c r="B4" i="26" a="1"/>
  <c r="B4" i="26" s="1"/>
  <c r="I4" i="26" a="1"/>
  <c r="I4" i="26" s="1"/>
  <c r="H5" i="27"/>
  <c r="H6" i="27"/>
  <c r="H7" i="27"/>
  <c r="H8" i="27"/>
  <c r="H9" i="27"/>
  <c r="H10" i="27"/>
  <c r="H11" i="27"/>
  <c r="H12" i="27"/>
  <c r="H13" i="27"/>
  <c r="H14" i="27"/>
  <c r="H15" i="27"/>
  <c r="H16" i="27"/>
  <c r="H17" i="27"/>
  <c r="H18" i="27"/>
  <c r="H19" i="27"/>
  <c r="H20" i="27"/>
  <c r="H21" i="27"/>
  <c r="H22" i="27"/>
  <c r="H23" i="27"/>
  <c r="H24" i="27"/>
  <c r="H25" i="27"/>
  <c r="H26" i="27"/>
  <c r="H27" i="27"/>
  <c r="H28" i="27"/>
  <c r="H29" i="27"/>
  <c r="H30" i="27"/>
  <c r="H31" i="27"/>
  <c r="H32" i="27"/>
  <c r="H33" i="27"/>
  <c r="H34" i="27"/>
  <c r="H35" i="27"/>
  <c r="H36" i="27"/>
  <c r="H37" i="27"/>
  <c r="H38" i="27"/>
  <c r="H39" i="27"/>
  <c r="H40" i="27"/>
  <c r="H41" i="27"/>
  <c r="H42" i="27"/>
  <c r="H43" i="27"/>
  <c r="H44" i="27"/>
  <c r="H45" i="27"/>
  <c r="H46" i="27"/>
  <c r="H47" i="27"/>
  <c r="H48" i="27"/>
  <c r="H49" i="27"/>
  <c r="H50" i="27"/>
  <c r="H51" i="27"/>
  <c r="H52" i="27"/>
  <c r="H53" i="27"/>
  <c r="H54" i="27"/>
  <c r="H55" i="27"/>
  <c r="H56" i="27"/>
  <c r="H57" i="27"/>
  <c r="H58" i="27"/>
  <c r="H59" i="27"/>
  <c r="H60" i="27"/>
  <c r="H61" i="27"/>
  <c r="H62" i="27"/>
  <c r="H63" i="27"/>
  <c r="H64" i="27"/>
  <c r="H65" i="27"/>
  <c r="H66" i="27"/>
  <c r="H67" i="27"/>
  <c r="H68" i="27"/>
  <c r="H69" i="27"/>
  <c r="H70" i="27"/>
  <c r="H71" i="27"/>
  <c r="H72" i="27"/>
  <c r="H73" i="27"/>
  <c r="H74" i="27"/>
  <c r="H75" i="27"/>
  <c r="H76" i="27"/>
  <c r="H77" i="27"/>
  <c r="H78" i="27"/>
  <c r="H79" i="27"/>
  <c r="H80" i="27"/>
  <c r="H81" i="27"/>
  <c r="H82" i="27"/>
  <c r="H83" i="27"/>
  <c r="H84" i="27"/>
  <c r="H85" i="27"/>
  <c r="H86" i="27"/>
  <c r="H87" i="27"/>
  <c r="H88" i="27"/>
  <c r="H89" i="27"/>
  <c r="H90" i="27"/>
  <c r="H91" i="27"/>
  <c r="H92" i="27"/>
  <c r="H93" i="27"/>
  <c r="H94" i="27"/>
  <c r="H95" i="27"/>
  <c r="H96" i="27"/>
  <c r="H97" i="27"/>
  <c r="H98" i="27"/>
  <c r="H99" i="27"/>
  <c r="H100" i="27"/>
  <c r="H101" i="27"/>
  <c r="H102" i="27"/>
  <c r="H103" i="27"/>
  <c r="H104" i="27"/>
  <c r="H105" i="27"/>
  <c r="H106" i="27"/>
  <c r="H107" i="27"/>
  <c r="H108" i="27"/>
  <c r="H109" i="27"/>
  <c r="H110" i="27"/>
  <c r="H111" i="27"/>
  <c r="H112" i="27"/>
  <c r="H113" i="27"/>
  <c r="H114" i="27"/>
  <c r="H115" i="27"/>
  <c r="H116" i="27"/>
  <c r="H117" i="27"/>
  <c r="H118" i="27"/>
  <c r="H119" i="27"/>
  <c r="H120" i="27"/>
  <c r="H121" i="27"/>
  <c r="H122" i="27"/>
  <c r="H123" i="27"/>
  <c r="H124" i="27"/>
  <c r="H125" i="27"/>
  <c r="H126" i="27"/>
  <c r="H127" i="27"/>
  <c r="H128" i="27"/>
  <c r="H129" i="27"/>
  <c r="H130" i="27"/>
  <c r="H131" i="27"/>
  <c r="H132" i="27"/>
  <c r="H133" i="27"/>
  <c r="H134" i="27"/>
  <c r="H135" i="27"/>
  <c r="H136" i="27"/>
  <c r="H137" i="27"/>
  <c r="H138" i="27"/>
  <c r="H139" i="27"/>
  <c r="H140" i="27"/>
  <c r="H141" i="27"/>
  <c r="H142" i="27"/>
  <c r="H143" i="27"/>
  <c r="H144" i="27"/>
  <c r="H145" i="27"/>
  <c r="H146" i="27"/>
  <c r="H147" i="27"/>
  <c r="H148" i="27"/>
  <c r="H149" i="27"/>
  <c r="H150" i="27"/>
  <c r="H151" i="27"/>
  <c r="H152" i="27"/>
  <c r="H153" i="27"/>
  <c r="H154" i="27"/>
  <c r="H155" i="27"/>
  <c r="H156" i="27"/>
  <c r="H157" i="27"/>
  <c r="H158" i="27"/>
  <c r="H159" i="27"/>
  <c r="H160" i="27"/>
  <c r="H161" i="27"/>
  <c r="H162" i="27"/>
  <c r="H163" i="27"/>
  <c r="H164" i="27"/>
  <c r="H165" i="27"/>
  <c r="H166" i="27"/>
  <c r="H167" i="27"/>
  <c r="H168" i="27"/>
  <c r="H169" i="27"/>
  <c r="H170" i="27"/>
  <c r="H171" i="27"/>
  <c r="H172" i="27"/>
  <c r="H173" i="27"/>
  <c r="H174" i="27"/>
  <c r="H175" i="27"/>
  <c r="H176" i="27"/>
  <c r="H177" i="27"/>
  <c r="H178" i="27"/>
  <c r="H179" i="27"/>
  <c r="H180" i="27"/>
  <c r="H181" i="27"/>
  <c r="H182" i="27"/>
  <c r="H183" i="27"/>
  <c r="H184" i="27"/>
  <c r="H185" i="27"/>
  <c r="H186" i="27"/>
  <c r="H187" i="27"/>
  <c r="H188" i="27"/>
  <c r="H189" i="27"/>
  <c r="H190" i="27"/>
  <c r="H191" i="27"/>
  <c r="H192" i="27"/>
  <c r="H193" i="27"/>
  <c r="H194" i="27"/>
  <c r="H195" i="27"/>
  <c r="H196" i="27"/>
  <c r="H197" i="27"/>
  <c r="H198" i="27"/>
  <c r="H199" i="27"/>
  <c r="H200" i="27"/>
  <c r="H201" i="27"/>
  <c r="H202" i="27"/>
  <c r="H203" i="27"/>
  <c r="H204" i="27"/>
  <c r="H205" i="27"/>
  <c r="H206" i="27"/>
  <c r="H207" i="27"/>
  <c r="H208" i="27"/>
  <c r="H209" i="27"/>
  <c r="H210" i="27"/>
  <c r="H211" i="27"/>
  <c r="H212" i="27"/>
  <c r="H213" i="27"/>
  <c r="H214" i="27"/>
  <c r="H215" i="27"/>
  <c r="H216" i="27"/>
  <c r="H217" i="27"/>
  <c r="H218" i="27"/>
  <c r="H219" i="27"/>
  <c r="H220" i="27"/>
  <c r="H221" i="27"/>
  <c r="H222" i="27"/>
  <c r="H223" i="27"/>
  <c r="H224" i="27"/>
  <c r="H225" i="27"/>
  <c r="H226" i="27"/>
  <c r="H227" i="27"/>
  <c r="H228" i="27"/>
  <c r="H229" i="27"/>
  <c r="H230" i="27"/>
  <c r="H231" i="27"/>
  <c r="H232" i="27"/>
  <c r="H233" i="27"/>
  <c r="H234" i="27"/>
  <c r="H235" i="27"/>
  <c r="H236" i="27"/>
  <c r="H237" i="27"/>
  <c r="H238" i="27"/>
  <c r="H239" i="27"/>
  <c r="H240" i="27"/>
  <c r="H241" i="27"/>
  <c r="H242" i="27"/>
  <c r="H243" i="27"/>
  <c r="H244" i="27"/>
  <c r="H245" i="27"/>
  <c r="H246" i="27"/>
  <c r="H247" i="27"/>
  <c r="H248" i="27"/>
  <c r="H249" i="27"/>
  <c r="H250" i="27"/>
  <c r="H251" i="27"/>
  <c r="H252" i="27"/>
  <c r="H253" i="27"/>
  <c r="H254" i="27"/>
  <c r="H255" i="27"/>
  <c r="H256" i="27"/>
  <c r="H257" i="27"/>
  <c r="H258" i="27"/>
  <c r="H259" i="27"/>
  <c r="H260" i="27"/>
  <c r="H261" i="27"/>
  <c r="H262" i="27"/>
  <c r="H263" i="27"/>
  <c r="H264" i="27"/>
  <c r="H265" i="27"/>
  <c r="H266" i="27"/>
  <c r="H267" i="27"/>
  <c r="H268" i="27"/>
  <c r="H269" i="27"/>
  <c r="H270" i="27"/>
  <c r="H271" i="27"/>
  <c r="H272" i="27"/>
  <c r="H273" i="27"/>
  <c r="H274" i="27"/>
  <c r="H275" i="27"/>
  <c r="H276" i="27"/>
  <c r="H4" i="27"/>
  <c r="A5" i="27"/>
  <c r="A6" i="27"/>
  <c r="A7" i="27"/>
  <c r="A8" i="27"/>
  <c r="A9" i="27"/>
  <c r="A10" i="27"/>
  <c r="A11" i="27"/>
  <c r="A12" i="27"/>
  <c r="A13" i="27"/>
  <c r="A14" i="27"/>
  <c r="A15" i="27"/>
  <c r="A16" i="27"/>
  <c r="A17" i="27"/>
  <c r="A18" i="27"/>
  <c r="A19" i="27"/>
  <c r="A20" i="27"/>
  <c r="A21" i="27"/>
  <c r="A22" i="27"/>
  <c r="A23" i="27"/>
  <c r="A24" i="27"/>
  <c r="A25" i="27"/>
  <c r="A26" i="27"/>
  <c r="A27" i="27"/>
  <c r="A28" i="27"/>
  <c r="A29" i="27"/>
  <c r="A30" i="27"/>
  <c r="A31" i="27"/>
  <c r="A32" i="27"/>
  <c r="A33" i="27"/>
  <c r="A34"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A65" i="27"/>
  <c r="A66" i="27"/>
  <c r="A67" i="27"/>
  <c r="A68" i="27"/>
  <c r="A69" i="27"/>
  <c r="A70" i="27"/>
  <c r="A71" i="27"/>
  <c r="A72" i="27"/>
  <c r="A73" i="27"/>
  <c r="A74" i="27"/>
  <c r="A75" i="27"/>
  <c r="A76" i="27"/>
  <c r="A77" i="27"/>
  <c r="A78" i="27"/>
  <c r="A79" i="27"/>
  <c r="A80" i="27"/>
  <c r="A81" i="27"/>
  <c r="A82" i="27"/>
  <c r="A83" i="27"/>
  <c r="A84" i="27"/>
  <c r="A85" i="27"/>
  <c r="A86" i="27"/>
  <c r="A87" i="27"/>
  <c r="A88" i="27"/>
  <c r="A89" i="27"/>
  <c r="A90" i="27"/>
  <c r="A91" i="27"/>
  <c r="A92" i="27"/>
  <c r="A93" i="27"/>
  <c r="A94" i="27"/>
  <c r="A95" i="27"/>
  <c r="A96" i="27"/>
  <c r="A97" i="27"/>
  <c r="A98" i="27"/>
  <c r="A99" i="27"/>
  <c r="A100" i="27"/>
  <c r="A101" i="27"/>
  <c r="A102" i="27"/>
  <c r="A103" i="27"/>
  <c r="A104" i="27"/>
  <c r="A105" i="27"/>
  <c r="A106" i="27"/>
  <c r="A107" i="27"/>
  <c r="A108" i="27"/>
  <c r="A109" i="27"/>
  <c r="A110" i="27"/>
  <c r="A111" i="27"/>
  <c r="A112" i="27"/>
  <c r="A113" i="27"/>
  <c r="A114" i="27"/>
  <c r="A115" i="27"/>
  <c r="A116" i="27"/>
  <c r="A117" i="27"/>
  <c r="A118" i="27"/>
  <c r="A119" i="27"/>
  <c r="A120" i="27"/>
  <c r="A121" i="27"/>
  <c r="A122" i="27"/>
  <c r="A123" i="27"/>
  <c r="A124" i="27"/>
  <c r="A125" i="27"/>
  <c r="A126" i="27"/>
  <c r="A127" i="27"/>
  <c r="A128" i="27"/>
  <c r="A129" i="27"/>
  <c r="A130" i="27"/>
  <c r="A131" i="27"/>
  <c r="A132" i="27"/>
  <c r="A133" i="27"/>
  <c r="A134" i="27"/>
  <c r="A135" i="27"/>
  <c r="A136" i="27"/>
  <c r="A137" i="27"/>
  <c r="A138" i="27"/>
  <c r="A139" i="27"/>
  <c r="A140" i="27"/>
  <c r="A141" i="27"/>
  <c r="A142" i="27"/>
  <c r="A143" i="27"/>
  <c r="A144" i="27"/>
  <c r="A145" i="27"/>
  <c r="A146" i="27"/>
  <c r="A147" i="27"/>
  <c r="A148" i="27"/>
  <c r="A149" i="27"/>
  <c r="A150" i="27"/>
  <c r="A151" i="27"/>
  <c r="A152" i="27"/>
  <c r="A153" i="27"/>
  <c r="A154" i="27"/>
  <c r="A155" i="27"/>
  <c r="A156" i="27"/>
  <c r="A157" i="27"/>
  <c r="A158" i="27"/>
  <c r="A159" i="27"/>
  <c r="A160" i="27"/>
  <c r="A161" i="27"/>
  <c r="A162" i="27"/>
  <c r="A163" i="27"/>
  <c r="A164" i="27"/>
  <c r="A165" i="27"/>
  <c r="A166" i="27"/>
  <c r="A167" i="27"/>
  <c r="A168" i="27"/>
  <c r="A169" i="27"/>
  <c r="A170" i="27"/>
  <c r="A171" i="27"/>
  <c r="A172" i="27"/>
  <c r="A173" i="27"/>
  <c r="A174" i="27"/>
  <c r="A175" i="27"/>
  <c r="A176" i="27"/>
  <c r="A177" i="27"/>
  <c r="A178" i="27"/>
  <c r="A179" i="27"/>
  <c r="A180" i="27"/>
  <c r="A181" i="27"/>
  <c r="A182" i="27"/>
  <c r="A183" i="27"/>
  <c r="A184" i="27"/>
  <c r="A185" i="27"/>
  <c r="A186" i="27"/>
  <c r="A187" i="27"/>
  <c r="A188" i="27"/>
  <c r="A189" i="27"/>
  <c r="A190" i="27"/>
  <c r="A191" i="27"/>
  <c r="A192" i="27"/>
  <c r="A193" i="27"/>
  <c r="A194" i="27"/>
  <c r="A195" i="27"/>
  <c r="A196" i="27"/>
  <c r="A197" i="27"/>
  <c r="A198" i="27"/>
  <c r="A199" i="27"/>
  <c r="A200" i="27"/>
  <c r="A201" i="27"/>
  <c r="A202" i="27"/>
  <c r="A203" i="27"/>
  <c r="A204" i="27"/>
  <c r="A205" i="27"/>
  <c r="A206" i="27"/>
  <c r="A207" i="27"/>
  <c r="A208" i="27"/>
  <c r="A209" i="27"/>
  <c r="A210" i="27"/>
  <c r="A211" i="27"/>
  <c r="A212" i="27"/>
  <c r="A213" i="27"/>
  <c r="A214" i="27"/>
  <c r="A215" i="27"/>
  <c r="A216" i="27"/>
  <c r="A217" i="27"/>
  <c r="A218" i="27"/>
  <c r="A219" i="27"/>
  <c r="A220" i="27"/>
  <c r="A221" i="27"/>
  <c r="A222" i="27"/>
  <c r="A223" i="27"/>
  <c r="A224" i="27"/>
  <c r="A225" i="27"/>
  <c r="A226" i="27"/>
  <c r="A227" i="27"/>
  <c r="A228" i="27"/>
  <c r="A229" i="27"/>
  <c r="A230" i="27"/>
  <c r="A231" i="27"/>
  <c r="A232" i="27"/>
  <c r="A233" i="27"/>
  <c r="A234" i="27"/>
  <c r="A235" i="27"/>
  <c r="A236" i="27"/>
  <c r="A237" i="27"/>
  <c r="A238" i="27"/>
  <c r="A239" i="27"/>
  <c r="A240" i="27"/>
  <c r="A241" i="27"/>
  <c r="A242" i="27"/>
  <c r="A243" i="27"/>
  <c r="A244" i="27"/>
  <c r="A245" i="27"/>
  <c r="A246" i="27"/>
  <c r="A247" i="27"/>
  <c r="A248" i="27"/>
  <c r="A249" i="27"/>
  <c r="A250" i="27"/>
  <c r="A251" i="27"/>
  <c r="A252" i="27"/>
  <c r="A253" i="27"/>
  <c r="A254" i="27"/>
  <c r="A255" i="27"/>
  <c r="A256" i="27"/>
  <c r="A257" i="27"/>
  <c r="A258" i="27"/>
  <c r="A259" i="27"/>
  <c r="A260" i="27"/>
  <c r="A261" i="27"/>
  <c r="A262" i="27"/>
  <c r="A263" i="27"/>
  <c r="A264" i="27"/>
  <c r="A265" i="27"/>
  <c r="A266" i="27"/>
  <c r="A267" i="27"/>
  <c r="A268" i="27"/>
  <c r="A269" i="27"/>
  <c r="A270" i="27"/>
  <c r="A271" i="27"/>
  <c r="A272" i="27"/>
  <c r="A273" i="27"/>
  <c r="A274" i="27"/>
  <c r="A275" i="27"/>
  <c r="A276" i="27"/>
  <c r="A277" i="27"/>
  <c r="A278" i="27"/>
  <c r="A279" i="27"/>
  <c r="A280" i="27"/>
  <c r="A281" i="27"/>
  <c r="A282" i="27"/>
  <c r="A283" i="27"/>
  <c r="A284" i="27"/>
  <c r="A285" i="27"/>
  <c r="A286" i="27"/>
  <c r="A287" i="27"/>
  <c r="A288" i="27"/>
  <c r="A289" i="27"/>
  <c r="A290" i="27"/>
  <c r="A291" i="27"/>
  <c r="A292" i="27"/>
  <c r="A293" i="27"/>
  <c r="A294" i="27"/>
  <c r="A295" i="27"/>
  <c r="A296" i="27"/>
  <c r="A297" i="27"/>
  <c r="A298" i="27"/>
  <c r="A299" i="27"/>
  <c r="A300" i="27"/>
  <c r="A301" i="27"/>
  <c r="A302" i="27"/>
  <c r="A303" i="27"/>
  <c r="A304" i="27"/>
  <c r="A305" i="27"/>
  <c r="A306" i="27"/>
  <c r="A307" i="27"/>
  <c r="A308" i="27"/>
  <c r="A4" i="27"/>
  <c r="H5" i="25" l="1"/>
  <c r="H6" i="25"/>
  <c r="H7" i="25"/>
  <c r="H8" i="25"/>
  <c r="H9" i="25"/>
  <c r="H10" i="25"/>
  <c r="H11" i="25"/>
  <c r="H12" i="25"/>
  <c r="H13" i="25"/>
  <c r="H14" i="25"/>
  <c r="H15" i="25"/>
  <c r="H16" i="25"/>
  <c r="H17" i="25"/>
  <c r="H18" i="25"/>
  <c r="H19" i="25"/>
  <c r="H20" i="25"/>
  <c r="H21" i="25"/>
  <c r="H22" i="25"/>
  <c r="H23" i="25"/>
  <c r="H24" i="25"/>
  <c r="H25" i="25"/>
  <c r="H26" i="25"/>
  <c r="H27" i="25"/>
  <c r="H28" i="25"/>
  <c r="H29" i="25"/>
  <c r="H30" i="25"/>
  <c r="H31" i="25"/>
  <c r="H32" i="25"/>
  <c r="H33" i="25"/>
  <c r="H34" i="25"/>
  <c r="H35" i="25"/>
  <c r="H36" i="25"/>
  <c r="H37" i="25"/>
  <c r="H38" i="25"/>
  <c r="H39" i="25"/>
  <c r="H40" i="25"/>
  <c r="H41" i="25"/>
  <c r="H42" i="25"/>
  <c r="H43" i="25"/>
  <c r="H44" i="25"/>
  <c r="H45" i="25"/>
  <c r="H46" i="25"/>
  <c r="H47" i="25"/>
  <c r="H48" i="25"/>
  <c r="H49" i="25"/>
  <c r="H50" i="25"/>
  <c r="H51" i="25"/>
  <c r="H52" i="25"/>
  <c r="H53" i="25"/>
  <c r="H54" i="25"/>
  <c r="H55" i="25"/>
  <c r="H56" i="25"/>
  <c r="H57" i="25"/>
  <c r="H58" i="25"/>
  <c r="H59" i="25"/>
  <c r="H60" i="25"/>
  <c r="H61" i="25"/>
  <c r="H62" i="25"/>
  <c r="H63" i="25"/>
  <c r="H64" i="25"/>
  <c r="H65" i="25"/>
  <c r="H66" i="25"/>
  <c r="H67" i="25"/>
  <c r="H68" i="25"/>
  <c r="H69" i="25"/>
  <c r="H70" i="25"/>
  <c r="H71" i="25"/>
  <c r="H72" i="25"/>
  <c r="H73" i="25"/>
  <c r="H74" i="25"/>
  <c r="H75" i="25"/>
  <c r="H76" i="25"/>
  <c r="H77" i="25"/>
  <c r="H78" i="25"/>
  <c r="H79" i="25"/>
  <c r="H80" i="25"/>
  <c r="H81" i="25"/>
  <c r="H82" i="25"/>
  <c r="H83" i="25"/>
  <c r="H84" i="25"/>
  <c r="H85" i="25"/>
  <c r="H86" i="25"/>
  <c r="H87" i="25"/>
  <c r="H88" i="25"/>
  <c r="H89" i="25"/>
  <c r="H90" i="25"/>
  <c r="H91" i="25"/>
  <c r="H92" i="25"/>
  <c r="H93" i="25"/>
  <c r="H94" i="25"/>
  <c r="H95" i="25"/>
  <c r="H96" i="25"/>
  <c r="H97" i="25"/>
  <c r="H98" i="25"/>
  <c r="H99" i="25"/>
  <c r="H100" i="25"/>
  <c r="H101" i="25"/>
  <c r="H102" i="25"/>
  <c r="H103" i="25"/>
  <c r="H104" i="25"/>
  <c r="H105" i="25"/>
  <c r="H106" i="25"/>
  <c r="H107" i="25"/>
  <c r="H108" i="25"/>
  <c r="H109" i="25"/>
  <c r="H110" i="25"/>
  <c r="H111" i="25"/>
  <c r="H112" i="25"/>
  <c r="H113" i="25"/>
  <c r="H114" i="25"/>
  <c r="H115" i="25"/>
  <c r="H116" i="25"/>
  <c r="H117" i="25"/>
  <c r="H118" i="25"/>
  <c r="H119" i="25"/>
  <c r="H120" i="25"/>
  <c r="H121" i="25"/>
  <c r="H122" i="25"/>
  <c r="H123" i="25"/>
  <c r="H124" i="25"/>
  <c r="H125" i="25"/>
  <c r="H126" i="25"/>
  <c r="H127" i="25"/>
  <c r="H128" i="25"/>
  <c r="H129" i="25"/>
  <c r="H130" i="25"/>
  <c r="H131" i="25"/>
  <c r="H132" i="25"/>
  <c r="H133" i="25"/>
  <c r="H134" i="25"/>
  <c r="H135" i="25"/>
  <c r="H136" i="25"/>
  <c r="H137" i="25"/>
  <c r="H138" i="25"/>
  <c r="H139" i="25"/>
  <c r="H140" i="25"/>
  <c r="H141" i="25"/>
  <c r="H142" i="25"/>
  <c r="H143" i="25"/>
  <c r="H144" i="25"/>
  <c r="H145" i="25"/>
  <c r="H146" i="25"/>
  <c r="H147" i="25"/>
  <c r="H148" i="25"/>
  <c r="H149" i="25"/>
  <c r="H150" i="25"/>
  <c r="H151" i="25"/>
  <c r="H152" i="25"/>
  <c r="H153" i="25"/>
  <c r="H154" i="25"/>
  <c r="H155" i="25"/>
  <c r="H156" i="25"/>
  <c r="H157" i="25"/>
  <c r="H158" i="25"/>
  <c r="H159" i="25"/>
  <c r="H160" i="25"/>
  <c r="H161" i="25"/>
  <c r="H162" i="25"/>
  <c r="H163" i="25"/>
  <c r="H164" i="25"/>
  <c r="H165" i="25"/>
  <c r="H166" i="25"/>
  <c r="H167" i="25"/>
  <c r="H168" i="25"/>
  <c r="H169" i="25"/>
  <c r="H170" i="25"/>
  <c r="H171" i="25"/>
  <c r="H172" i="25"/>
  <c r="H173" i="25"/>
  <c r="H174" i="25"/>
  <c r="H175" i="25"/>
  <c r="H176" i="25"/>
  <c r="H177" i="25"/>
  <c r="H178" i="25"/>
  <c r="H179" i="25"/>
  <c r="H180" i="25"/>
  <c r="H181" i="25"/>
  <c r="H182" i="25"/>
  <c r="H4" i="25"/>
  <c r="A5" i="25"/>
  <c r="A6" i="25"/>
  <c r="A7" i="25"/>
  <c r="A8" i="25"/>
  <c r="A9" i="25"/>
  <c r="A10" i="25"/>
  <c r="A11" i="25"/>
  <c r="A12" i="25"/>
  <c r="A13" i="25"/>
  <c r="A14" i="25"/>
  <c r="A15" i="25"/>
  <c r="A16" i="25"/>
  <c r="A17" i="25"/>
  <c r="A18" i="25"/>
  <c r="A19" i="25"/>
  <c r="A20" i="25"/>
  <c r="A21" i="25"/>
  <c r="A22" i="25"/>
  <c r="A23" i="25"/>
  <c r="A24" i="25"/>
  <c r="A25" i="25"/>
  <c r="A26" i="25"/>
  <c r="A27" i="25"/>
  <c r="A28" i="25"/>
  <c r="A29" i="25"/>
  <c r="A30" i="25"/>
  <c r="A31" i="25"/>
  <c r="A32" i="25"/>
  <c r="A33" i="25"/>
  <c r="A34" i="25"/>
  <c r="A35" i="25"/>
  <c r="A36" i="25"/>
  <c r="A37" i="25"/>
  <c r="A38" i="25"/>
  <c r="A39" i="25"/>
  <c r="A40" i="25"/>
  <c r="A41" i="25"/>
  <c r="A42" i="25"/>
  <c r="A43" i="25"/>
  <c r="A44" i="25"/>
  <c r="A45" i="25"/>
  <c r="A46" i="25"/>
  <c r="A47" i="25"/>
  <c r="A48" i="25"/>
  <c r="A49" i="25"/>
  <c r="A50" i="25"/>
  <c r="A51" i="25"/>
  <c r="A52" i="25"/>
  <c r="A53" i="25"/>
  <c r="A54" i="25"/>
  <c r="A55" i="25"/>
  <c r="A56" i="25"/>
  <c r="A57" i="25"/>
  <c r="A58" i="25"/>
  <c r="A59" i="25"/>
  <c r="A60" i="25"/>
  <c r="A61" i="25"/>
  <c r="A62" i="25"/>
  <c r="A63" i="25"/>
  <c r="A64" i="25"/>
  <c r="A65" i="25"/>
  <c r="A66" i="25"/>
  <c r="A67" i="25"/>
  <c r="A68" i="25"/>
  <c r="A69" i="25"/>
  <c r="A70" i="25"/>
  <c r="A71" i="25"/>
  <c r="A72" i="25"/>
  <c r="A73" i="25"/>
  <c r="A74" i="25"/>
  <c r="A75" i="25"/>
  <c r="A76" i="25"/>
  <c r="A77" i="25"/>
  <c r="A78" i="25"/>
  <c r="A79" i="25"/>
  <c r="A80" i="25"/>
  <c r="A81" i="25"/>
  <c r="A82" i="25"/>
  <c r="A83" i="25"/>
  <c r="A84" i="25"/>
  <c r="A85" i="25"/>
  <c r="A86" i="25"/>
  <c r="A87" i="25"/>
  <c r="A88" i="25"/>
  <c r="A89" i="25"/>
  <c r="A90" i="25"/>
  <c r="A91" i="25"/>
  <c r="A92" i="25"/>
  <c r="A93" i="25"/>
  <c r="A94" i="25"/>
  <c r="A95" i="25"/>
  <c r="A96" i="25"/>
  <c r="A97" i="25"/>
  <c r="A98" i="25"/>
  <c r="A99" i="25"/>
  <c r="A100" i="25"/>
  <c r="A101" i="25"/>
  <c r="A102" i="25"/>
  <c r="A103" i="25"/>
  <c r="A104" i="25"/>
  <c r="A105" i="25"/>
  <c r="A106" i="25"/>
  <c r="A107" i="25"/>
  <c r="A108" i="25"/>
  <c r="A109" i="25"/>
  <c r="A110" i="25"/>
  <c r="A111" i="25"/>
  <c r="A112" i="25"/>
  <c r="A113" i="25"/>
  <c r="A114" i="25"/>
  <c r="A115" i="25"/>
  <c r="A116" i="25"/>
  <c r="A117" i="25"/>
  <c r="A118" i="25"/>
  <c r="A119" i="25"/>
  <c r="A120" i="25"/>
  <c r="A121" i="25"/>
  <c r="A122" i="25"/>
  <c r="A123" i="25"/>
  <c r="A124" i="25"/>
  <c r="A125" i="25"/>
  <c r="A126" i="25"/>
  <c r="A127" i="25"/>
  <c r="A128" i="25"/>
  <c r="A129" i="25"/>
  <c r="A130" i="25"/>
  <c r="A131" i="25"/>
  <c r="A132" i="25"/>
  <c r="A133" i="25"/>
  <c r="A134" i="25"/>
  <c r="A135" i="25"/>
  <c r="A136" i="25"/>
  <c r="A137" i="25"/>
  <c r="A138" i="25"/>
  <c r="A139" i="25"/>
  <c r="A140" i="25"/>
  <c r="A141" i="25"/>
  <c r="A142" i="25"/>
  <c r="A143" i="25"/>
  <c r="A144" i="25"/>
  <c r="A145" i="25"/>
  <c r="A146" i="25"/>
  <c r="A147" i="25"/>
  <c r="A148" i="25"/>
  <c r="A149" i="25"/>
  <c r="A150" i="25"/>
  <c r="A151" i="25"/>
  <c r="A152" i="25"/>
  <c r="A153" i="25"/>
  <c r="A154" i="25"/>
  <c r="A155" i="25"/>
  <c r="A156" i="25"/>
  <c r="A157" i="25"/>
  <c r="A158" i="25"/>
  <c r="A159" i="25"/>
  <c r="A160" i="25"/>
  <c r="A161" i="25"/>
  <c r="A162" i="25"/>
  <c r="A163" i="25"/>
  <c r="A164" i="25"/>
  <c r="A165" i="25"/>
  <c r="A166" i="25"/>
  <c r="A167" i="25"/>
  <c r="A168" i="25"/>
  <c r="A169" i="25"/>
  <c r="A170" i="25"/>
  <c r="A171" i="25"/>
  <c r="A172" i="25"/>
  <c r="A173" i="25"/>
  <c r="A174" i="25"/>
  <c r="A175" i="25"/>
  <c r="A176" i="25"/>
  <c r="A177" i="25"/>
  <c r="A178" i="25"/>
  <c r="A179" i="25"/>
  <c r="A180" i="25"/>
  <c r="A181" i="25"/>
  <c r="A182" i="25"/>
  <c r="A4" i="25"/>
  <c r="H5" i="24"/>
  <c r="H6" i="24"/>
  <c r="H7" i="24"/>
  <c r="H8" i="24"/>
  <c r="H9" i="24"/>
  <c r="H10" i="24"/>
  <c r="H11" i="24"/>
  <c r="H12" i="24"/>
  <c r="H13" i="24"/>
  <c r="H14" i="24"/>
  <c r="H15" i="24"/>
  <c r="H16" i="24"/>
  <c r="H17" i="24"/>
  <c r="H18" i="24"/>
  <c r="H19" i="24"/>
  <c r="H20" i="24"/>
  <c r="H21" i="24"/>
  <c r="H22" i="24"/>
  <c r="H23" i="24"/>
  <c r="H24" i="24"/>
  <c r="H25" i="24"/>
  <c r="H26" i="24"/>
  <c r="H27" i="24"/>
  <c r="H28" i="24"/>
  <c r="H29" i="24"/>
  <c r="H30" i="24"/>
  <c r="H31" i="24"/>
  <c r="H32" i="24"/>
  <c r="H33" i="24"/>
  <c r="H34" i="24"/>
  <c r="H35" i="24"/>
  <c r="H36" i="24"/>
  <c r="H37" i="24"/>
  <c r="H38" i="24"/>
  <c r="H39" i="24"/>
  <c r="H40" i="24"/>
  <c r="H41" i="24"/>
  <c r="H42" i="24"/>
  <c r="H43" i="24"/>
  <c r="H44" i="24"/>
  <c r="H45" i="24"/>
  <c r="H46" i="24"/>
  <c r="H47" i="24"/>
  <c r="H48" i="24"/>
  <c r="H49" i="24"/>
  <c r="H50" i="24"/>
  <c r="H51" i="24"/>
  <c r="H52" i="24"/>
  <c r="H53" i="24"/>
  <c r="H54" i="24"/>
  <c r="H55" i="24"/>
  <c r="H56" i="24"/>
  <c r="H57" i="24"/>
  <c r="H58" i="24"/>
  <c r="H59" i="24"/>
  <c r="H60" i="24"/>
  <c r="H61" i="24"/>
  <c r="H62" i="24"/>
  <c r="H63" i="24"/>
  <c r="H64" i="24"/>
  <c r="H65" i="24"/>
  <c r="H66" i="24"/>
  <c r="H67" i="24"/>
  <c r="H68" i="24"/>
  <c r="H69" i="24"/>
  <c r="H70" i="24"/>
  <c r="H71" i="24"/>
  <c r="H72" i="24"/>
  <c r="H73" i="24"/>
  <c r="H74" i="24"/>
  <c r="H75" i="24"/>
  <c r="H76" i="24"/>
  <c r="H77" i="24"/>
  <c r="H78" i="24"/>
  <c r="H79" i="24"/>
  <c r="H80" i="24"/>
  <c r="H81" i="24"/>
  <c r="H82" i="24"/>
  <c r="H83" i="24"/>
  <c r="H84" i="24"/>
  <c r="H85" i="24"/>
  <c r="H86" i="24"/>
  <c r="H87" i="24"/>
  <c r="H88" i="24"/>
  <c r="H89" i="24"/>
  <c r="H90" i="24"/>
  <c r="H91" i="24"/>
  <c r="H92" i="24"/>
  <c r="H93" i="24"/>
  <c r="H94" i="24"/>
  <c r="H95" i="24"/>
  <c r="H96" i="24"/>
  <c r="H97" i="24"/>
  <c r="H98" i="24"/>
  <c r="H99" i="24"/>
  <c r="H100" i="24"/>
  <c r="H101" i="24"/>
  <c r="H102" i="24"/>
  <c r="H103" i="24"/>
  <c r="H104" i="24"/>
  <c r="H105" i="24"/>
  <c r="H106" i="24"/>
  <c r="H107" i="24"/>
  <c r="H108" i="24"/>
  <c r="H109" i="24"/>
  <c r="H110" i="24"/>
  <c r="H111" i="24"/>
  <c r="H112" i="24"/>
  <c r="H113" i="24"/>
  <c r="H114" i="24"/>
  <c r="H115" i="24"/>
  <c r="H116" i="24"/>
  <c r="H117" i="24"/>
  <c r="H118" i="24"/>
  <c r="H119" i="24"/>
  <c r="H120" i="24"/>
  <c r="H121" i="24"/>
  <c r="H122" i="24"/>
  <c r="H123" i="24"/>
  <c r="H124" i="24"/>
  <c r="H125" i="24"/>
  <c r="H126" i="24"/>
  <c r="H127" i="24"/>
  <c r="H128" i="24"/>
  <c r="H129" i="24"/>
  <c r="H130" i="24"/>
  <c r="H131" i="24"/>
  <c r="H132" i="24"/>
  <c r="H133" i="24"/>
  <c r="H134" i="24"/>
  <c r="H135" i="24"/>
  <c r="H136" i="24"/>
  <c r="H137" i="24"/>
  <c r="H138" i="24"/>
  <c r="H139" i="24"/>
  <c r="H140" i="24"/>
  <c r="H141" i="24"/>
  <c r="H142" i="24"/>
  <c r="H143" i="24"/>
  <c r="H144" i="24"/>
  <c r="H145" i="24"/>
  <c r="H146" i="24"/>
  <c r="H147" i="24"/>
  <c r="H148" i="24"/>
  <c r="H149" i="24"/>
  <c r="H150" i="24"/>
  <c r="H151" i="24"/>
  <c r="H4" i="24"/>
  <c r="A5" i="24"/>
  <c r="A6" i="24"/>
  <c r="A7" i="24"/>
  <c r="A8" i="24"/>
  <c r="A9" i="24"/>
  <c r="A10" i="24"/>
  <c r="A11" i="24"/>
  <c r="A12" i="24"/>
  <c r="A13" i="24"/>
  <c r="A14" i="24"/>
  <c r="A15" i="24"/>
  <c r="A16" i="24"/>
  <c r="A17" i="24"/>
  <c r="A18" i="24"/>
  <c r="A19" i="24"/>
  <c r="A20" i="24"/>
  <c r="A21" i="24"/>
  <c r="A22" i="24"/>
  <c r="A23" i="24"/>
  <c r="A24" i="24"/>
  <c r="A25" i="24"/>
  <c r="A26" i="24"/>
  <c r="A27" i="24"/>
  <c r="A28" i="24"/>
  <c r="A29" i="24"/>
  <c r="A30" i="24"/>
  <c r="A31" i="24"/>
  <c r="A32" i="24"/>
  <c r="A33" i="24"/>
  <c r="A34" i="24"/>
  <c r="A35" i="24"/>
  <c r="A36" i="24"/>
  <c r="A37" i="24"/>
  <c r="A38" i="24"/>
  <c r="A39" i="24"/>
  <c r="A40" i="24"/>
  <c r="A41" i="24"/>
  <c r="A42" i="24"/>
  <c r="A43" i="24"/>
  <c r="A44" i="24"/>
  <c r="A45" i="24"/>
  <c r="A46" i="24"/>
  <c r="A47" i="24"/>
  <c r="A48" i="24"/>
  <c r="A49" i="24"/>
  <c r="A50" i="24"/>
  <c r="A51" i="24"/>
  <c r="A52" i="24"/>
  <c r="A53" i="24"/>
  <c r="A54" i="24"/>
  <c r="A55" i="24"/>
  <c r="A56" i="24"/>
  <c r="A57" i="24"/>
  <c r="A58" i="24"/>
  <c r="A59" i="24"/>
  <c r="A60" i="24"/>
  <c r="A61" i="24"/>
  <c r="A62" i="24"/>
  <c r="A63" i="24"/>
  <c r="A64" i="24"/>
  <c r="A65" i="24"/>
  <c r="A66" i="24"/>
  <c r="A67" i="24"/>
  <c r="A68" i="24"/>
  <c r="A69" i="24"/>
  <c r="A70" i="24"/>
  <c r="A71" i="24"/>
  <c r="A72" i="24"/>
  <c r="A73" i="24"/>
  <c r="A74" i="24"/>
  <c r="A75" i="24"/>
  <c r="A76" i="24"/>
  <c r="A77" i="24"/>
  <c r="A78" i="24"/>
  <c r="A79" i="24"/>
  <c r="A80" i="24"/>
  <c r="A81" i="24"/>
  <c r="A82" i="24"/>
  <c r="A83" i="24"/>
  <c r="A84" i="24"/>
  <c r="A85" i="24"/>
  <c r="A86" i="24"/>
  <c r="A87" i="24"/>
  <c r="A88" i="24"/>
  <c r="A89" i="24"/>
  <c r="A90" i="24"/>
  <c r="A91" i="24"/>
  <c r="A92" i="24"/>
  <c r="A93" i="24"/>
  <c r="A94" i="24"/>
  <c r="A95" i="24"/>
  <c r="A96" i="24"/>
  <c r="A97" i="24"/>
  <c r="A98" i="24"/>
  <c r="A99" i="24"/>
  <c r="A100" i="24"/>
  <c r="A101" i="24"/>
  <c r="A102" i="24"/>
  <c r="A103" i="24"/>
  <c r="A104" i="24"/>
  <c r="A105" i="24"/>
  <c r="A106" i="24"/>
  <c r="A107" i="24"/>
  <c r="A108" i="24"/>
  <c r="A109" i="24"/>
  <c r="A110" i="24"/>
  <c r="A111" i="24"/>
  <c r="A112" i="24"/>
  <c r="A113" i="24"/>
  <c r="A114" i="24"/>
  <c r="A115" i="24"/>
  <c r="A116" i="24"/>
  <c r="A117" i="24"/>
  <c r="A118" i="24"/>
  <c r="A119" i="24"/>
  <c r="A120" i="24"/>
  <c r="A121" i="24"/>
  <c r="A122" i="24"/>
  <c r="A123" i="24"/>
  <c r="A124" i="24"/>
  <c r="A125" i="24"/>
  <c r="A126" i="24"/>
  <c r="A127" i="24"/>
  <c r="A128" i="24"/>
  <c r="A129" i="24"/>
  <c r="A130" i="24"/>
  <c r="A131" i="24"/>
  <c r="A132" i="24"/>
  <c r="A133" i="24"/>
  <c r="A134" i="24"/>
  <c r="A135" i="24"/>
  <c r="A136" i="24"/>
  <c r="A137" i="24"/>
  <c r="A138" i="24"/>
  <c r="A139" i="24"/>
  <c r="A140" i="24"/>
  <c r="A141" i="24"/>
  <c r="A142" i="24"/>
  <c r="A143" i="24"/>
  <c r="A144" i="24"/>
  <c r="A145" i="24"/>
  <c r="A146" i="24"/>
  <c r="A147" i="24"/>
  <c r="A148" i="24"/>
  <c r="A149" i="24"/>
  <c r="A150" i="24"/>
  <c r="A151" i="24"/>
  <c r="A152" i="24"/>
  <c r="A153" i="24"/>
  <c r="A154" i="24"/>
  <c r="A155" i="24"/>
  <c r="A156" i="24"/>
  <c r="A157" i="24"/>
  <c r="A158" i="24"/>
  <c r="A159" i="24"/>
  <c r="A160" i="24"/>
  <c r="A161" i="24"/>
  <c r="A162" i="24"/>
  <c r="A163" i="24"/>
  <c r="A164" i="24"/>
  <c r="A165" i="24"/>
  <c r="A166" i="24"/>
  <c r="A167" i="24"/>
  <c r="A168" i="24"/>
  <c r="A169" i="24"/>
  <c r="A170" i="24"/>
  <c r="A171" i="24"/>
  <c r="A172" i="24"/>
  <c r="A173" i="24"/>
  <c r="A174" i="24"/>
  <c r="A175" i="24"/>
  <c r="A176" i="24"/>
  <c r="A177" i="24"/>
  <c r="A178" i="24"/>
  <c r="A179" i="24"/>
  <c r="A180" i="24"/>
  <c r="A181" i="24"/>
  <c r="A182" i="24"/>
  <c r="A183" i="24"/>
  <c r="A184" i="24"/>
  <c r="A185" i="24"/>
  <c r="A186" i="24"/>
  <c r="A187" i="24"/>
  <c r="A4" i="24"/>
  <c r="AU275" i="20"/>
  <c r="AU276" i="20" s="1"/>
  <c r="AU277" i="20" s="1"/>
  <c r="AU278" i="20" s="1"/>
  <c r="AU279" i="20" s="1"/>
  <c r="AU280" i="20"/>
  <c r="AU281" i="20" s="1"/>
  <c r="AU282" i="20" s="1"/>
  <c r="AU283" i="20" s="1"/>
  <c r="AU284" i="20" s="1"/>
  <c r="AU285" i="20"/>
  <c r="AU286" i="20"/>
  <c r="AU287" i="20"/>
  <c r="AU288" i="20" s="1"/>
  <c r="AU289" i="20" s="1"/>
  <c r="AU290" i="20"/>
  <c r="AU291" i="20" s="1"/>
  <c r="AU292" i="20" s="1"/>
  <c r="AU293" i="20" s="1"/>
  <c r="AU294" i="20" s="1"/>
  <c r="AU295" i="20"/>
  <c r="AU296" i="20"/>
  <c r="AU297" i="20" s="1"/>
  <c r="AU298" i="20" s="1"/>
  <c r="AU299" i="20" s="1"/>
  <c r="AU300" i="20"/>
  <c r="AU301" i="20"/>
  <c r="AU302" i="20" s="1"/>
  <c r="AU303" i="20" s="1"/>
  <c r="AU304" i="20" s="1"/>
  <c r="AU305" i="20"/>
  <c r="AU306" i="20"/>
  <c r="AU307" i="20"/>
  <c r="AU308" i="20"/>
  <c r="AU309" i="20" s="1"/>
  <c r="AU310" i="20"/>
  <c r="AU311" i="20"/>
  <c r="AU312" i="20" s="1"/>
  <c r="AU313" i="20" s="1"/>
  <c r="AU314" i="20" s="1"/>
  <c r="AU315" i="20"/>
  <c r="AU316" i="20"/>
  <c r="AU317" i="20" s="1"/>
  <c r="AU318" i="20" s="1"/>
  <c r="AU319" i="20" s="1"/>
  <c r="AU320" i="20"/>
  <c r="AU321" i="20" s="1"/>
  <c r="AU322" i="20" s="1"/>
  <c r="AU323" i="20" s="1"/>
  <c r="AU324" i="20" s="1"/>
  <c r="AU325" i="20"/>
  <c r="AU326" i="20" s="1"/>
  <c r="AU327" i="20" s="1"/>
  <c r="AU328" i="20" s="1"/>
  <c r="AU329" i="20" s="1"/>
  <c r="AU330" i="20"/>
  <c r="AU331" i="20"/>
  <c r="AU332" i="20"/>
  <c r="AU333" i="20" s="1"/>
  <c r="AU334" i="20" s="1"/>
  <c r="AU335" i="20"/>
  <c r="AU336" i="20" s="1"/>
  <c r="AU337" i="20" s="1"/>
  <c r="AU338" i="20" s="1"/>
  <c r="AU339" i="20" s="1"/>
  <c r="AU340" i="20"/>
  <c r="AU341" i="20" s="1"/>
  <c r="AU342" i="20" s="1"/>
  <c r="AU343" i="20" s="1"/>
  <c r="AU344" i="20" s="1"/>
  <c r="AU345" i="20"/>
  <c r="AU346" i="20"/>
  <c r="AU347" i="20"/>
  <c r="AU348" i="20" s="1"/>
  <c r="AU349" i="20" s="1"/>
  <c r="AU350" i="20"/>
  <c r="AU351" i="20" s="1"/>
  <c r="AU352" i="20" s="1"/>
  <c r="AU353" i="20" s="1"/>
  <c r="AU354" i="20" s="1"/>
  <c r="AU355" i="20"/>
  <c r="AU356" i="20"/>
  <c r="AU357" i="20" s="1"/>
  <c r="AU358" i="20" s="1"/>
  <c r="AU359" i="20" s="1"/>
  <c r="AU360" i="20"/>
  <c r="AU361" i="20"/>
  <c r="AU362" i="20" s="1"/>
  <c r="AU363" i="20" s="1"/>
  <c r="AU364" i="20" s="1"/>
  <c r="W275" i="20"/>
  <c r="W276" i="20"/>
  <c r="W277" i="20" s="1"/>
  <c r="W278" i="20" s="1"/>
  <c r="W279" i="20" s="1"/>
  <c r="W280" i="20"/>
  <c r="W281" i="20" s="1"/>
  <c r="W282" i="20" s="1"/>
  <c r="W283" i="20" s="1"/>
  <c r="W284" i="20" s="1"/>
  <c r="W285" i="20"/>
  <c r="W286" i="20"/>
  <c r="W287" i="20" s="1"/>
  <c r="W288" i="20" s="1"/>
  <c r="W289" i="20" s="1"/>
  <c r="W290" i="20"/>
  <c r="W291" i="20"/>
  <c r="W292" i="20"/>
  <c r="W293" i="20" s="1"/>
  <c r="W294" i="20" s="1"/>
  <c r="W295" i="20"/>
  <c r="W296" i="20"/>
  <c r="W297" i="20" s="1"/>
  <c r="W298" i="20" s="1"/>
  <c r="W299" i="20" s="1"/>
  <c r="W300" i="20"/>
  <c r="W301" i="20" s="1"/>
  <c r="W302" i="20" s="1"/>
  <c r="W303" i="20" s="1"/>
  <c r="W304" i="20" s="1"/>
  <c r="W305" i="20"/>
  <c r="W306" i="20"/>
  <c r="W307" i="20" s="1"/>
  <c r="W308" i="20" s="1"/>
  <c r="W309" i="20" s="1"/>
  <c r="W310" i="20"/>
  <c r="W311" i="20" s="1"/>
  <c r="W312" i="20" s="1"/>
  <c r="W313" i="20" s="1"/>
  <c r="W314" i="20" s="1"/>
  <c r="W315" i="20"/>
  <c r="W316" i="20" s="1"/>
  <c r="W317" i="20" s="1"/>
  <c r="W318" i="20" s="1"/>
  <c r="W319" i="20" s="1"/>
  <c r="W320" i="20"/>
  <c r="W321" i="20" s="1"/>
  <c r="W322" i="20" s="1"/>
  <c r="W323" i="20" s="1"/>
  <c r="W324" i="20" s="1"/>
  <c r="W325" i="20"/>
  <c r="W326" i="20"/>
  <c r="W327" i="20"/>
  <c r="W328" i="20" s="1"/>
  <c r="W329" i="20" s="1"/>
  <c r="W330" i="20"/>
  <c r="W331" i="20" s="1"/>
  <c r="W332" i="20" s="1"/>
  <c r="W333" i="20" s="1"/>
  <c r="W334" i="20" s="1"/>
  <c r="W335" i="20"/>
  <c r="W336" i="20"/>
  <c r="W337" i="20" s="1"/>
  <c r="W338" i="20" s="1"/>
  <c r="W339" i="20" s="1"/>
  <c r="W340" i="20"/>
  <c r="W341" i="20" s="1"/>
  <c r="W342" i="20" s="1"/>
  <c r="W343" i="20" s="1"/>
  <c r="W344" i="20" s="1"/>
  <c r="W345" i="20"/>
  <c r="W346" i="20"/>
  <c r="W347" i="20" s="1"/>
  <c r="W348" i="20" s="1"/>
  <c r="W349" i="20" s="1"/>
  <c r="W350" i="20"/>
  <c r="W351" i="20"/>
  <c r="W352" i="20" s="1"/>
  <c r="W353" i="20" s="1"/>
  <c r="W354" i="20" s="1"/>
  <c r="W355" i="20"/>
  <c r="W356" i="20"/>
  <c r="W357" i="20" s="1"/>
  <c r="W358" i="20" s="1"/>
  <c r="W359" i="20" s="1"/>
  <c r="W360" i="20"/>
  <c r="W361" i="20" s="1"/>
  <c r="W362" i="20" s="1"/>
  <c r="W363" i="20" s="1"/>
  <c r="W364" i="20" s="1"/>
  <c r="AU275" i="18"/>
  <c r="AU276" i="18" s="1"/>
  <c r="AU277" i="18" s="1"/>
  <c r="AU278" i="18" s="1"/>
  <c r="AU279" i="18" s="1"/>
  <c r="AU280" i="18"/>
  <c r="AU281" i="18"/>
  <c r="AU282" i="18" s="1"/>
  <c r="AU283" i="18" s="1"/>
  <c r="AU284" i="18" s="1"/>
  <c r="AU285" i="18"/>
  <c r="AU286" i="18"/>
  <c r="AU287" i="18" s="1"/>
  <c r="AU288" i="18" s="1"/>
  <c r="AU289" i="18" s="1"/>
  <c r="AU290" i="18"/>
  <c r="AU291" i="18" s="1"/>
  <c r="AU292" i="18" s="1"/>
  <c r="AU293" i="18" s="1"/>
  <c r="AU294" i="18" s="1"/>
  <c r="AU295" i="18"/>
  <c r="AU296" i="18"/>
  <c r="AU297" i="18"/>
  <c r="AU298" i="18"/>
  <c r="AU299" i="18" s="1"/>
  <c r="AU300" i="18"/>
  <c r="AU301" i="18" s="1"/>
  <c r="AU302" i="18" s="1"/>
  <c r="AU303" i="18" s="1"/>
  <c r="AU304" i="18" s="1"/>
  <c r="AU305" i="18"/>
  <c r="AU306" i="18" s="1"/>
  <c r="AU307" i="18" s="1"/>
  <c r="AU308" i="18" s="1"/>
  <c r="AU309" i="18" s="1"/>
  <c r="AU310" i="18"/>
  <c r="AU311" i="18" s="1"/>
  <c r="AU312" i="18" s="1"/>
  <c r="AU313" i="18" s="1"/>
  <c r="AU314" i="18" s="1"/>
  <c r="AU315" i="18"/>
  <c r="AU316" i="18"/>
  <c r="AU317" i="18"/>
  <c r="AU318" i="18" s="1"/>
  <c r="AU319" i="18" s="1"/>
  <c r="AU320" i="18"/>
  <c r="AU321" i="18"/>
  <c r="AU322" i="18"/>
  <c r="AU323" i="18" s="1"/>
  <c r="AU324" i="18" s="1"/>
  <c r="AU325" i="18"/>
  <c r="AU326" i="18"/>
  <c r="AU327" i="18" s="1"/>
  <c r="AU328" i="18" s="1"/>
  <c r="AU329" i="18" s="1"/>
  <c r="AU330" i="18"/>
  <c r="AU331" i="18" s="1"/>
  <c r="AU332" i="18" s="1"/>
  <c r="AU333" i="18" s="1"/>
  <c r="AU334" i="18" s="1"/>
  <c r="AU335" i="18"/>
  <c r="AU336" i="18" s="1"/>
  <c r="AU337" i="18" s="1"/>
  <c r="AU338" i="18" s="1"/>
  <c r="AU339" i="18" s="1"/>
  <c r="AU340" i="18"/>
  <c r="AU341" i="18"/>
  <c r="AU342" i="18" s="1"/>
  <c r="AU343" i="18" s="1"/>
  <c r="AU344" i="18" s="1"/>
  <c r="AU345" i="18"/>
  <c r="AU346" i="18"/>
  <c r="AU347" i="18" s="1"/>
  <c r="AU348" i="18" s="1"/>
  <c r="AU349" i="18" s="1"/>
  <c r="AU350" i="18"/>
  <c r="AU351" i="18" s="1"/>
  <c r="AU352" i="18" s="1"/>
  <c r="AU353" i="18" s="1"/>
  <c r="AU354" i="18" s="1"/>
  <c r="AU355" i="18"/>
  <c r="AU356" i="18"/>
  <c r="AU357" i="18"/>
  <c r="AU358" i="18"/>
  <c r="AU359" i="18" s="1"/>
  <c r="AU360" i="18"/>
  <c r="AU361" i="18" s="1"/>
  <c r="AU362" i="18" s="1"/>
  <c r="AU363" i="18" s="1"/>
  <c r="AU364" i="18" s="1"/>
  <c r="W275" i="18"/>
  <c r="W276" i="18"/>
  <c r="W277" i="18"/>
  <c r="W278" i="18" s="1"/>
  <c r="W279" i="18" s="1"/>
  <c r="W280" i="18"/>
  <c r="W281" i="18" s="1"/>
  <c r="W282" i="18" s="1"/>
  <c r="W283" i="18" s="1"/>
  <c r="W284" i="18" s="1"/>
  <c r="W285" i="18"/>
  <c r="W286" i="18"/>
  <c r="W287" i="18" s="1"/>
  <c r="W288" i="18" s="1"/>
  <c r="W289" i="18" s="1"/>
  <c r="W290" i="18"/>
  <c r="W291" i="18"/>
  <c r="W292" i="18"/>
  <c r="W293" i="18" s="1"/>
  <c r="W294" i="18" s="1"/>
  <c r="W295" i="18"/>
  <c r="W296" i="18" s="1"/>
  <c r="W297" i="18" s="1"/>
  <c r="W298" i="18" s="1"/>
  <c r="W299" i="18" s="1"/>
  <c r="W300" i="18"/>
  <c r="W301" i="18"/>
  <c r="W302" i="18" s="1"/>
  <c r="W303" i="18" s="1"/>
  <c r="W304" i="18" s="1"/>
  <c r="W305" i="18"/>
  <c r="W306" i="18"/>
  <c r="W307" i="18"/>
  <c r="W308" i="18" s="1"/>
  <c r="W309" i="18" s="1"/>
  <c r="W310" i="18"/>
  <c r="W311" i="18" s="1"/>
  <c r="W312" i="18" s="1"/>
  <c r="W313" i="18" s="1"/>
  <c r="W314" i="18" s="1"/>
  <c r="W315" i="18"/>
  <c r="W316" i="18"/>
  <c r="W317" i="18" s="1"/>
  <c r="W318" i="18" s="1"/>
  <c r="W319" i="18" s="1"/>
  <c r="W320" i="18"/>
  <c r="W321" i="18"/>
  <c r="W322" i="18"/>
  <c r="W323" i="18" s="1"/>
  <c r="W324" i="18" s="1"/>
  <c r="W325" i="18"/>
  <c r="W326" i="18" s="1"/>
  <c r="W327" i="18" s="1"/>
  <c r="W328" i="18" s="1"/>
  <c r="W329" i="18" s="1"/>
  <c r="W330" i="18"/>
  <c r="W331" i="18"/>
  <c r="W332" i="18" s="1"/>
  <c r="W333" i="18" s="1"/>
  <c r="W334" i="18" s="1"/>
  <c r="W335" i="18"/>
  <c r="W336" i="18"/>
  <c r="W337" i="18"/>
  <c r="W338" i="18" s="1"/>
  <c r="W339" i="18" s="1"/>
  <c r="W340" i="18"/>
  <c r="W341" i="18" s="1"/>
  <c r="W342" i="18" s="1"/>
  <c r="W343" i="18" s="1"/>
  <c r="W344" i="18" s="1"/>
  <c r="W345" i="18"/>
  <c r="W346" i="18"/>
  <c r="W347" i="18" s="1"/>
  <c r="W348" i="18" s="1"/>
  <c r="W349" i="18" s="1"/>
  <c r="W350" i="18"/>
  <c r="W351" i="18"/>
  <c r="W352" i="18"/>
  <c r="W353" i="18" s="1"/>
  <c r="W354" i="18" s="1"/>
  <c r="W355" i="18"/>
  <c r="W356" i="18" s="1"/>
  <c r="W357" i="18" s="1"/>
  <c r="W358" i="18" s="1"/>
  <c r="W359" i="18" s="1"/>
  <c r="W360" i="18"/>
  <c r="W361" i="18"/>
  <c r="W362" i="18" s="1"/>
  <c r="W363" i="18" s="1"/>
  <c r="W364" i="18" s="1"/>
  <c r="N124" i="22"/>
  <c r="N125" i="22"/>
  <c r="N126" i="22"/>
  <c r="N127" i="22"/>
  <c r="N128" i="22" s="1"/>
  <c r="N129" i="22"/>
  <c r="N130" i="22" s="1"/>
  <c r="N131" i="22" s="1"/>
  <c r="N132" i="22" s="1"/>
  <c r="N133" i="22" s="1"/>
  <c r="N134" i="22"/>
  <c r="N135" i="22"/>
  <c r="N136" i="22" s="1"/>
  <c r="N137" i="22" s="1"/>
  <c r="N138" i="22" s="1"/>
  <c r="N139" i="22"/>
  <c r="N140" i="22" s="1"/>
  <c r="N141" i="22" s="1"/>
  <c r="N142" i="22" s="1"/>
  <c r="N143" i="22" s="1"/>
  <c r="N144" i="22"/>
  <c r="N145" i="22"/>
  <c r="N146" i="22" s="1"/>
  <c r="N147" i="22" s="1"/>
  <c r="N148" i="22" s="1"/>
  <c r="N149" i="22"/>
  <c r="N150" i="22"/>
  <c r="N151" i="22"/>
  <c r="N152" i="22" s="1"/>
  <c r="N153" i="22" s="1"/>
  <c r="N154" i="22"/>
  <c r="N155" i="22"/>
  <c r="N156" i="22"/>
  <c r="N157" i="22"/>
  <c r="N158" i="22" s="1"/>
  <c r="N159" i="22"/>
  <c r="N160" i="22" s="1"/>
  <c r="N161" i="22" s="1"/>
  <c r="N162" i="22" s="1"/>
  <c r="N163" i="22" s="1"/>
  <c r="N164" i="22"/>
  <c r="N165" i="22" s="1"/>
  <c r="N166" i="22" s="1"/>
  <c r="N167" i="22" s="1"/>
  <c r="N168" i="22" s="1"/>
  <c r="N169" i="22"/>
  <c r="N170" i="22" s="1"/>
  <c r="N171" i="22" s="1"/>
  <c r="N172" i="22" s="1"/>
  <c r="N173" i="22" s="1"/>
  <c r="N174" i="22"/>
  <c r="N175" i="22"/>
  <c r="N176" i="22" s="1"/>
  <c r="N177" i="22" s="1"/>
  <c r="N178" i="22" s="1"/>
  <c r="N179" i="22"/>
  <c r="N180" i="22"/>
  <c r="N181" i="22"/>
  <c r="N182" i="22" s="1"/>
  <c r="N183" i="22" s="1"/>
  <c r="N184" i="22"/>
  <c r="N185" i="22"/>
  <c r="N186" i="22"/>
  <c r="N187" i="22"/>
  <c r="N188" i="22" s="1"/>
  <c r="N189" i="22"/>
  <c r="N190" i="22" s="1"/>
  <c r="N191" i="22" s="1"/>
  <c r="N192" i="22" s="1"/>
  <c r="N193" i="22" s="1"/>
  <c r="N194" i="22"/>
  <c r="N195" i="22"/>
  <c r="N196" i="22" s="1"/>
  <c r="N197" i="22" s="1"/>
  <c r="N198" i="22" s="1"/>
  <c r="N199" i="22"/>
  <c r="N200" i="22" s="1"/>
  <c r="N201" i="22" s="1"/>
  <c r="N202" i="22" s="1"/>
  <c r="N203" i="22" s="1"/>
  <c r="N204" i="22"/>
  <c r="N205" i="22"/>
  <c r="N206" i="22" s="1"/>
  <c r="N207" i="22" s="1"/>
  <c r="N208" i="22" s="1"/>
  <c r="N209" i="22"/>
  <c r="N210" i="22"/>
  <c r="N211" i="22"/>
  <c r="N212" i="22" s="1"/>
  <c r="N213" i="22" s="1"/>
  <c r="N214" i="22"/>
  <c r="N215" i="22"/>
  <c r="N216" i="22"/>
  <c r="N217" i="22"/>
  <c r="N218" i="22" s="1"/>
  <c r="N219" i="22"/>
  <c r="N220" i="22" s="1"/>
  <c r="N221" i="22" s="1"/>
  <c r="N222" i="22" s="1"/>
  <c r="N223" i="22" s="1"/>
  <c r="N224" i="22"/>
  <c r="N225" i="22" s="1"/>
  <c r="N226" i="22" s="1"/>
  <c r="N227" i="22" s="1"/>
  <c r="N228" i="22" s="1"/>
  <c r="N229" i="22"/>
  <c r="N230" i="22" s="1"/>
  <c r="N231" i="22" s="1"/>
  <c r="N232" i="22" s="1"/>
  <c r="N233" i="22" s="1"/>
  <c r="N234" i="22"/>
  <c r="N235" i="22"/>
  <c r="N236" i="22" s="1"/>
  <c r="N237" i="22" s="1"/>
  <c r="N238" i="22" s="1"/>
  <c r="N239" i="22"/>
  <c r="N240" i="22"/>
  <c r="N241" i="22"/>
  <c r="N242" i="22" s="1"/>
  <c r="N243" i="22" s="1"/>
  <c r="AC124" i="22"/>
  <c r="AC125" i="22"/>
  <c r="AC126" i="22"/>
  <c r="AC127" i="22" s="1"/>
  <c r="AC128" i="22" s="1"/>
  <c r="AC129" i="22"/>
  <c r="AC130" i="22" s="1"/>
  <c r="AC131" i="22" s="1"/>
  <c r="AC132" i="22" s="1"/>
  <c r="AC133" i="22" s="1"/>
  <c r="AC134" i="22"/>
  <c r="AC135" i="22"/>
  <c r="AC136" i="22" s="1"/>
  <c r="AC137" i="22" s="1"/>
  <c r="AC138" i="22" s="1"/>
  <c r="AC139" i="22"/>
  <c r="AC140" i="22"/>
  <c r="AC141" i="22"/>
  <c r="AC142" i="22" s="1"/>
  <c r="AC143" i="22" s="1"/>
  <c r="AC144" i="22"/>
  <c r="AC145" i="22" s="1"/>
  <c r="AC146" i="22" s="1"/>
  <c r="AC147" i="22" s="1"/>
  <c r="AC148" i="22" s="1"/>
  <c r="AC149" i="22"/>
  <c r="AC150" i="22"/>
  <c r="AC151" i="22" s="1"/>
  <c r="AC152" i="22" s="1"/>
  <c r="AC153" i="22" s="1"/>
  <c r="AC154" i="22"/>
  <c r="AC155" i="22"/>
  <c r="AC156" i="22" s="1"/>
  <c r="AC157" i="22" s="1"/>
  <c r="AC158" i="22" s="1"/>
  <c r="AC159" i="22"/>
  <c r="AC160" i="22" s="1"/>
  <c r="AC161" i="22" s="1"/>
  <c r="AC162" i="22" s="1"/>
  <c r="AC163" i="22" s="1"/>
  <c r="AC164" i="22"/>
  <c r="AC165" i="22" s="1"/>
  <c r="AC166" i="22" s="1"/>
  <c r="AC167" i="22" s="1"/>
  <c r="AC168" i="22" s="1"/>
  <c r="AC169" i="22"/>
  <c r="AC170" i="22"/>
  <c r="AC171" i="22"/>
  <c r="AC172" i="22" s="1"/>
  <c r="AC173" i="22" s="1"/>
  <c r="AC174" i="22"/>
  <c r="AC175" i="22" s="1"/>
  <c r="AC176" i="22" s="1"/>
  <c r="AC177" i="22" s="1"/>
  <c r="AC178" i="22" s="1"/>
  <c r="AC179" i="22"/>
  <c r="AC180" i="22" s="1"/>
  <c r="AC181" i="22" s="1"/>
  <c r="AC182" i="22" s="1"/>
  <c r="AC183" i="22" s="1"/>
  <c r="AC184" i="22"/>
  <c r="AC185" i="22"/>
  <c r="AC186" i="22"/>
  <c r="AC187" i="22" s="1"/>
  <c r="AC188" i="22" s="1"/>
  <c r="AC189" i="22"/>
  <c r="AC190" i="22" s="1"/>
  <c r="AC191" i="22" s="1"/>
  <c r="AC192" i="22" s="1"/>
  <c r="AC193" i="22" s="1"/>
  <c r="AC194" i="22"/>
  <c r="AC195" i="22"/>
  <c r="AC196" i="22" s="1"/>
  <c r="AC197" i="22" s="1"/>
  <c r="AC198" i="22" s="1"/>
  <c r="AC199" i="22"/>
  <c r="AC200" i="22"/>
  <c r="AC201" i="22"/>
  <c r="AC202" i="22" s="1"/>
  <c r="AC203" i="22" s="1"/>
  <c r="AC204" i="22"/>
  <c r="AC205" i="22"/>
  <c r="AC206" i="22"/>
  <c r="AC207" i="22"/>
  <c r="AC208" i="22" s="1"/>
  <c r="AC209" i="22"/>
  <c r="AC210" i="22"/>
  <c r="AC211" i="22" s="1"/>
  <c r="AC212" i="22" s="1"/>
  <c r="AC213" i="22" s="1"/>
  <c r="AC214" i="22"/>
  <c r="AC215" i="22"/>
  <c r="AC216" i="22" s="1"/>
  <c r="AC217" i="22" s="1"/>
  <c r="AC218" i="22" s="1"/>
  <c r="AC219" i="22"/>
  <c r="AC220" i="22" s="1"/>
  <c r="AC221" i="22" s="1"/>
  <c r="AC222" i="22" s="1"/>
  <c r="AC223" i="22" s="1"/>
  <c r="AC224" i="22"/>
  <c r="AC225" i="22"/>
  <c r="AC226" i="22" s="1"/>
  <c r="AC227" i="22" s="1"/>
  <c r="AC228" i="22" s="1"/>
  <c r="AC229" i="22"/>
  <c r="AC230" i="22"/>
  <c r="AC231" i="22"/>
  <c r="AC232" i="22" s="1"/>
  <c r="AC233" i="22" s="1"/>
  <c r="AC234" i="22"/>
  <c r="AC235" i="22" s="1"/>
  <c r="AC236" i="22" s="1"/>
  <c r="AC237" i="22" s="1"/>
  <c r="AC238" i="22" s="1"/>
  <c r="AC239" i="22"/>
  <c r="AC240" i="22" s="1"/>
  <c r="AC241" i="22" s="1"/>
  <c r="AC242" i="22" s="1"/>
  <c r="AC243" i="22" s="1"/>
  <c r="N124" i="19"/>
  <c r="N125" i="19"/>
  <c r="N126" i="19"/>
  <c r="N127" i="19" s="1"/>
  <c r="N128" i="19" s="1"/>
  <c r="N129" i="19"/>
  <c r="N130" i="19"/>
  <c r="N131" i="19" s="1"/>
  <c r="N132" i="19" s="1"/>
  <c r="N133" i="19" s="1"/>
  <c r="N134" i="19"/>
  <c r="N135" i="19"/>
  <c r="N136" i="19" s="1"/>
  <c r="N137" i="19" s="1"/>
  <c r="N138" i="19" s="1"/>
  <c r="N139" i="19"/>
  <c r="N140" i="19"/>
  <c r="N141" i="19" s="1"/>
  <c r="N142" i="19" s="1"/>
  <c r="N143" i="19" s="1"/>
  <c r="N144" i="19"/>
  <c r="N145" i="19" s="1"/>
  <c r="N146" i="19" s="1"/>
  <c r="N147" i="19" s="1"/>
  <c r="N148" i="19" s="1"/>
  <c r="N149" i="19"/>
  <c r="N150" i="19"/>
  <c r="N151" i="19" s="1"/>
  <c r="N152" i="19" s="1"/>
  <c r="N153" i="19" s="1"/>
  <c r="N154" i="19"/>
  <c r="N155" i="19" s="1"/>
  <c r="N156" i="19" s="1"/>
  <c r="N157" i="19" s="1"/>
  <c r="N158" i="19" s="1"/>
  <c r="N159" i="19"/>
  <c r="N160" i="19" s="1"/>
  <c r="N161" i="19" s="1"/>
  <c r="N162" i="19" s="1"/>
  <c r="N163" i="19" s="1"/>
  <c r="N164" i="19"/>
  <c r="N165" i="19" s="1"/>
  <c r="N166" i="19" s="1"/>
  <c r="N167" i="19" s="1"/>
  <c r="N168" i="19" s="1"/>
  <c r="N169" i="19"/>
  <c r="N170" i="19"/>
  <c r="N171" i="19"/>
  <c r="N172" i="19" s="1"/>
  <c r="N173" i="19" s="1"/>
  <c r="N174" i="19"/>
  <c r="N175" i="19" s="1"/>
  <c r="N176" i="19" s="1"/>
  <c r="N177" i="19" s="1"/>
  <c r="N178" i="19" s="1"/>
  <c r="N179" i="19"/>
  <c r="N180" i="19"/>
  <c r="N181" i="19" s="1"/>
  <c r="N182" i="19" s="1"/>
  <c r="N183" i="19" s="1"/>
  <c r="N184" i="19"/>
  <c r="N185" i="19"/>
  <c r="N186" i="19"/>
  <c r="N187" i="19" s="1"/>
  <c r="N188" i="19" s="1"/>
  <c r="N189" i="19"/>
  <c r="N190" i="19"/>
  <c r="N191" i="19"/>
  <c r="N192" i="19"/>
  <c r="N193" i="19" s="1"/>
  <c r="N194" i="19"/>
  <c r="N195" i="19"/>
  <c r="N196" i="19" s="1"/>
  <c r="N197" i="19" s="1"/>
  <c r="N198" i="19" s="1"/>
  <c r="N199" i="19"/>
  <c r="N200" i="19"/>
  <c r="N201" i="19" s="1"/>
  <c r="N202" i="19" s="1"/>
  <c r="N203" i="19" s="1"/>
  <c r="N204" i="19"/>
  <c r="N205" i="19" s="1"/>
  <c r="N206" i="19" s="1"/>
  <c r="N207" i="19" s="1"/>
  <c r="N208" i="19" s="1"/>
  <c r="N209" i="19"/>
  <c r="N210" i="19"/>
  <c r="N211" i="19" s="1"/>
  <c r="N212" i="19" s="1"/>
  <c r="N213" i="19" s="1"/>
  <c r="N214" i="19"/>
  <c r="N215" i="19"/>
  <c r="N216" i="19"/>
  <c r="N217" i="19" s="1"/>
  <c r="N218" i="19" s="1"/>
  <c r="N219" i="19"/>
  <c r="N220" i="19" s="1"/>
  <c r="N221" i="19" s="1"/>
  <c r="N222" i="19" s="1"/>
  <c r="N223" i="19" s="1"/>
  <c r="N224" i="19"/>
  <c r="N225" i="19" s="1"/>
  <c r="N226" i="19" s="1"/>
  <c r="N227" i="19" s="1"/>
  <c r="N228" i="19" s="1"/>
  <c r="N229" i="19"/>
  <c r="N230" i="19"/>
  <c r="N231" i="19"/>
  <c r="N232" i="19" s="1"/>
  <c r="N233" i="19" s="1"/>
  <c r="N234" i="19"/>
  <c r="N235" i="19" s="1"/>
  <c r="N236" i="19" s="1"/>
  <c r="N237" i="19" s="1"/>
  <c r="N238" i="19" s="1"/>
  <c r="N239" i="19"/>
  <c r="N240" i="19"/>
  <c r="N241" i="19" s="1"/>
  <c r="N242" i="19" s="1"/>
  <c r="N243" i="19" s="1"/>
  <c r="AC129" i="19"/>
  <c r="AC130" i="19"/>
  <c r="AC131" i="19"/>
  <c r="AC132" i="19"/>
  <c r="AC133" i="19" s="1"/>
  <c r="AC134" i="19"/>
  <c r="AC135" i="19" s="1"/>
  <c r="AC136" i="19" s="1"/>
  <c r="AC137" i="19" s="1"/>
  <c r="AC138" i="19" s="1"/>
  <c r="AC139" i="19"/>
  <c r="AC140" i="19"/>
  <c r="AC141" i="19" s="1"/>
  <c r="AC142" i="19" s="1"/>
  <c r="AC143" i="19" s="1"/>
  <c r="AC144" i="19"/>
  <c r="AC145" i="19" s="1"/>
  <c r="AC146" i="19" s="1"/>
  <c r="AC147" i="19" s="1"/>
  <c r="AC148" i="19" s="1"/>
  <c r="AC149" i="19"/>
  <c r="AC150" i="19"/>
  <c r="AC151" i="19" s="1"/>
  <c r="AC152" i="19" s="1"/>
  <c r="AC153" i="19" s="1"/>
  <c r="AC154" i="19"/>
  <c r="AC155" i="19"/>
  <c r="AC156" i="19"/>
  <c r="AC157" i="19" s="1"/>
  <c r="AC158" i="19" s="1"/>
  <c r="AC159" i="19"/>
  <c r="AC160" i="19"/>
  <c r="AC161" i="19"/>
  <c r="AC162" i="19"/>
  <c r="AC163" i="19" s="1"/>
  <c r="AC164" i="19"/>
  <c r="AC165" i="19" s="1"/>
  <c r="AC166" i="19" s="1"/>
  <c r="AC167" i="19" s="1"/>
  <c r="AC168" i="19" s="1"/>
  <c r="AC169" i="19"/>
  <c r="AC170" i="19" s="1"/>
  <c r="AC171" i="19" s="1"/>
  <c r="AC172" i="19" s="1"/>
  <c r="AC173" i="19" s="1"/>
  <c r="AC174" i="19"/>
  <c r="AC175" i="19" s="1"/>
  <c r="AC176" i="19" s="1"/>
  <c r="AC177" i="19" s="1"/>
  <c r="AC178" i="19" s="1"/>
  <c r="AC179" i="19"/>
  <c r="AC180" i="19"/>
  <c r="AC181" i="19" s="1"/>
  <c r="AC182" i="19" s="1"/>
  <c r="AC183" i="19" s="1"/>
  <c r="AC184" i="19"/>
  <c r="AC185" i="19"/>
  <c r="AC186" i="19"/>
  <c r="AC187" i="19"/>
  <c r="AC188" i="19"/>
  <c r="AC189" i="19"/>
  <c r="AC190" i="19"/>
  <c r="AC191" i="19"/>
  <c r="AC192" i="19"/>
  <c r="AC193" i="19" s="1"/>
  <c r="AC194" i="19"/>
  <c r="AC195" i="19" s="1"/>
  <c r="AC196" i="19" s="1"/>
  <c r="AC197" i="19" s="1"/>
  <c r="AC198" i="19" s="1"/>
  <c r="AC199" i="19"/>
  <c r="AC200" i="19"/>
  <c r="AC201" i="19" s="1"/>
  <c r="AC202" i="19" s="1"/>
  <c r="AC203" i="19" s="1"/>
  <c r="AC204" i="19"/>
  <c r="AC205" i="19" s="1"/>
  <c r="AC206" i="19" s="1"/>
  <c r="AC207" i="19" s="1"/>
  <c r="AC208" i="19" s="1"/>
  <c r="AC209" i="19"/>
  <c r="AC210" i="19"/>
  <c r="AC211" i="19"/>
  <c r="AC212" i="19"/>
  <c r="AC213" i="19" s="1"/>
  <c r="AC214" i="19"/>
  <c r="AC215" i="19"/>
  <c r="AC216" i="19"/>
  <c r="AC217" i="19" s="1"/>
  <c r="AC218" i="19" s="1"/>
  <c r="AC219" i="19"/>
  <c r="AC220" i="19"/>
  <c r="AC221" i="19"/>
  <c r="AC222" i="19"/>
  <c r="AC223" i="19"/>
  <c r="AC224" i="19"/>
  <c r="AC225" i="19" s="1"/>
  <c r="AC226" i="19" s="1"/>
  <c r="AC227" i="19" s="1"/>
  <c r="AC228" i="19" s="1"/>
  <c r="AC229" i="19"/>
  <c r="AC230" i="19"/>
  <c r="AC231" i="19" s="1"/>
  <c r="AC232" i="19" s="1"/>
  <c r="AC233" i="19" s="1"/>
  <c r="AC234" i="19"/>
  <c r="AC235" i="19" s="1"/>
  <c r="AC236" i="19" s="1"/>
  <c r="AC237" i="19" s="1"/>
  <c r="AC238" i="19" s="1"/>
  <c r="AC239" i="19"/>
  <c r="AC240" i="19"/>
  <c r="AC241" i="19" s="1"/>
  <c r="AC242" i="19" s="1"/>
  <c r="AC243" i="19" s="1"/>
  <c r="AC124" i="19"/>
  <c r="AC125" i="19" s="1"/>
  <c r="AC126" i="19" s="1"/>
  <c r="AC127" i="19" s="1"/>
  <c r="AC128" i="19" s="1"/>
  <c r="L60" i="17" l="1"/>
  <c r="L61" i="17" s="1"/>
  <c r="L62" i="17" s="1"/>
  <c r="L63" i="17" s="1"/>
  <c r="L64" i="17" s="1"/>
  <c r="L35" i="17"/>
  <c r="L36" i="17" s="1"/>
  <c r="L37" i="17" s="1"/>
  <c r="L38" i="17" s="1"/>
  <c r="L39" i="17" s="1"/>
  <c r="L55" i="17"/>
  <c r="L56" i="17" s="1"/>
  <c r="L57" i="17" s="1"/>
  <c r="L58" i="17" s="1"/>
  <c r="L59" i="17" s="1"/>
  <c r="L15" i="17"/>
  <c r="L16" i="17"/>
  <c r="L17" i="17" s="1"/>
  <c r="L18" i="17" s="1"/>
  <c r="L19" i="17" s="1"/>
  <c r="L20" i="17"/>
  <c r="L21" i="17"/>
  <c r="L22" i="17"/>
  <c r="L23" i="17"/>
  <c r="L24" i="17" s="1"/>
  <c r="L40" i="17"/>
  <c r="L41" i="17" s="1"/>
  <c r="L42" i="17" s="1"/>
  <c r="L43" i="17" s="1"/>
  <c r="L44" i="17" s="1"/>
  <c r="L25" i="17"/>
  <c r="L26" i="17" s="1"/>
  <c r="L27" i="17" s="1"/>
  <c r="L28" i="17" s="1"/>
  <c r="L29" i="17" s="1"/>
  <c r="L50" i="17"/>
  <c r="L51" i="17" s="1"/>
  <c r="L52" i="17" s="1"/>
  <c r="L53" i="17" s="1"/>
  <c r="L54" i="17" s="1"/>
  <c r="L10" i="17"/>
  <c r="L11" i="17" s="1"/>
  <c r="L12" i="17" s="1"/>
  <c r="L13" i="17" s="1"/>
  <c r="L14" i="17" s="1"/>
  <c r="L45" i="17"/>
  <c r="L46" i="17" s="1"/>
  <c r="L47" i="17" s="1"/>
  <c r="L48" i="17" s="1"/>
  <c r="L49" i="17" s="1"/>
  <c r="L30" i="17"/>
  <c r="L31" i="17" s="1"/>
  <c r="L32" i="17" s="1"/>
  <c r="L33" i="17" s="1"/>
  <c r="L34" i="17" s="1"/>
  <c r="AU15" i="18"/>
  <c r="AU16" i="18" s="1"/>
  <c r="AU17" i="18" s="1"/>
  <c r="AU18" i="18" s="1"/>
  <c r="AU19" i="18" s="1"/>
  <c r="AU20" i="18"/>
  <c r="AU21" i="18" s="1"/>
  <c r="AU22" i="18" s="1"/>
  <c r="AU23" i="18" s="1"/>
  <c r="AU24" i="18" s="1"/>
  <c r="AU25" i="18"/>
  <c r="AU26" i="18" s="1"/>
  <c r="AU27" i="18" s="1"/>
  <c r="AU28" i="18" s="1"/>
  <c r="AU29" i="18" s="1"/>
  <c r="AU30" i="18"/>
  <c r="AU31" i="18" s="1"/>
  <c r="AU32" i="18" s="1"/>
  <c r="AU33" i="18" s="1"/>
  <c r="AU34" i="18" s="1"/>
  <c r="AU35" i="18"/>
  <c r="AU36" i="18" s="1"/>
  <c r="AU37" i="18" s="1"/>
  <c r="AU38" i="18" s="1"/>
  <c r="AU39" i="18" s="1"/>
  <c r="AU40" i="18"/>
  <c r="AU41" i="18" s="1"/>
  <c r="AU42" i="18" s="1"/>
  <c r="AU43" i="18" s="1"/>
  <c r="AU44" i="18" s="1"/>
  <c r="AU45" i="18"/>
  <c r="AU46" i="18" s="1"/>
  <c r="AU47" i="18" s="1"/>
  <c r="AU48" i="18" s="1"/>
  <c r="AU49" i="18" s="1"/>
  <c r="AU50" i="18"/>
  <c r="AU51" i="18" s="1"/>
  <c r="AU52" i="18" s="1"/>
  <c r="AU53" i="18" s="1"/>
  <c r="AU54" i="18" s="1"/>
  <c r="AU55" i="18"/>
  <c r="AU56" i="18" s="1"/>
  <c r="AU57" i="18" s="1"/>
  <c r="AU58" i="18" s="1"/>
  <c r="AU59" i="18" s="1"/>
  <c r="AU60" i="18"/>
  <c r="AU61" i="18" s="1"/>
  <c r="AU62" i="18" s="1"/>
  <c r="AU63" i="18" s="1"/>
  <c r="AU64" i="18" s="1"/>
  <c r="AU65" i="18"/>
  <c r="AU66" i="18" s="1"/>
  <c r="AU67" i="18" s="1"/>
  <c r="AU68" i="18" s="1"/>
  <c r="AU69" i="18" s="1"/>
  <c r="AU70" i="18"/>
  <c r="AU71" i="18" s="1"/>
  <c r="AU72" i="18" s="1"/>
  <c r="AU73" i="18" s="1"/>
  <c r="AU74" i="18" s="1"/>
  <c r="AU75" i="18"/>
  <c r="AU76" i="18" s="1"/>
  <c r="AU77" i="18" s="1"/>
  <c r="AU78" i="18" s="1"/>
  <c r="AU79" i="18" s="1"/>
  <c r="AU80" i="18"/>
  <c r="AU81" i="18" s="1"/>
  <c r="AU82" i="18" s="1"/>
  <c r="AU83" i="18" s="1"/>
  <c r="AU84" i="18" s="1"/>
  <c r="AU85" i="18"/>
  <c r="AU86" i="18" s="1"/>
  <c r="AU87" i="18" s="1"/>
  <c r="AU88" i="18" s="1"/>
  <c r="AU89" i="18" s="1"/>
  <c r="AU90" i="18"/>
  <c r="AU91" i="18" s="1"/>
  <c r="AU92" i="18" s="1"/>
  <c r="AU93" i="18" s="1"/>
  <c r="AU94" i="18" s="1"/>
  <c r="AU95" i="18"/>
  <c r="AU96" i="18" s="1"/>
  <c r="AU97" i="18" s="1"/>
  <c r="AU98" i="18" s="1"/>
  <c r="AU99" i="18" s="1"/>
  <c r="AU100" i="18"/>
  <c r="AU101" i="18" s="1"/>
  <c r="AU102" i="18" s="1"/>
  <c r="AU103" i="18" s="1"/>
  <c r="AU104" i="18" s="1"/>
  <c r="AU105" i="18"/>
  <c r="AU106" i="18" s="1"/>
  <c r="AU107" i="18" s="1"/>
  <c r="AU108" i="18" s="1"/>
  <c r="AU109" i="18" s="1"/>
  <c r="AU110" i="18"/>
  <c r="AU111" i="18" s="1"/>
  <c r="AU112" i="18" s="1"/>
  <c r="AU113" i="18" s="1"/>
  <c r="AU114" i="18" s="1"/>
  <c r="AU115" i="18"/>
  <c r="AU116" i="18" s="1"/>
  <c r="AU117" i="18" s="1"/>
  <c r="AU118" i="18" s="1"/>
  <c r="AU119" i="18" s="1"/>
  <c r="AU120" i="18"/>
  <c r="AU121" i="18" s="1"/>
  <c r="AU122" i="18" s="1"/>
  <c r="AU123" i="18" s="1"/>
  <c r="AU124" i="18" s="1"/>
  <c r="AU125" i="18"/>
  <c r="AU126" i="18" s="1"/>
  <c r="AU127" i="18" s="1"/>
  <c r="AU128" i="18" s="1"/>
  <c r="AU129" i="18" s="1"/>
  <c r="AU130" i="18"/>
  <c r="AU131" i="18" s="1"/>
  <c r="AU132" i="18" s="1"/>
  <c r="AU133" i="18" s="1"/>
  <c r="AU134" i="18" s="1"/>
  <c r="AU135" i="18"/>
  <c r="AU136" i="18" s="1"/>
  <c r="AU137" i="18" s="1"/>
  <c r="AU138" i="18" s="1"/>
  <c r="AU139" i="18" s="1"/>
  <c r="AU140" i="18"/>
  <c r="AU141" i="18" s="1"/>
  <c r="AU142" i="18" s="1"/>
  <c r="AU143" i="18" s="1"/>
  <c r="AU144" i="18" s="1"/>
  <c r="AU145" i="18"/>
  <c r="AU146" i="18" s="1"/>
  <c r="AU147" i="18" s="1"/>
  <c r="AU148" i="18" s="1"/>
  <c r="AU149" i="18" s="1"/>
  <c r="AU150" i="18"/>
  <c r="AU151" i="18" s="1"/>
  <c r="AU152" i="18" s="1"/>
  <c r="AU153" i="18" s="1"/>
  <c r="AU154" i="18" s="1"/>
  <c r="AU155" i="18"/>
  <c r="AU156" i="18" s="1"/>
  <c r="AU157" i="18" s="1"/>
  <c r="AU158" i="18" s="1"/>
  <c r="AU159" i="18" s="1"/>
  <c r="AU160" i="18"/>
  <c r="AU161" i="18" s="1"/>
  <c r="AU162" i="18" s="1"/>
  <c r="AU163" i="18" s="1"/>
  <c r="AU164" i="18" s="1"/>
  <c r="AU165" i="18"/>
  <c r="AU166" i="18" s="1"/>
  <c r="AU167" i="18" s="1"/>
  <c r="AU168" i="18" s="1"/>
  <c r="AU169" i="18" s="1"/>
  <c r="AU170" i="18"/>
  <c r="AU171" i="18" s="1"/>
  <c r="AU172" i="18" s="1"/>
  <c r="AU173" i="18" s="1"/>
  <c r="AU174" i="18" s="1"/>
  <c r="AU175" i="18"/>
  <c r="AU176" i="18" s="1"/>
  <c r="AU177" i="18" s="1"/>
  <c r="AU178" i="18" s="1"/>
  <c r="AU179" i="18" s="1"/>
  <c r="AU180" i="18"/>
  <c r="AU181" i="18" s="1"/>
  <c r="AU182" i="18" s="1"/>
  <c r="AU183" i="18" s="1"/>
  <c r="AU184" i="18" s="1"/>
  <c r="AU185" i="18"/>
  <c r="AU186" i="18" s="1"/>
  <c r="AU187" i="18" s="1"/>
  <c r="AU188" i="18" s="1"/>
  <c r="AU189" i="18" s="1"/>
  <c r="AU190" i="18"/>
  <c r="AU191" i="18" s="1"/>
  <c r="AU192" i="18" s="1"/>
  <c r="AU193" i="18" s="1"/>
  <c r="AU194" i="18" s="1"/>
  <c r="AU195" i="18"/>
  <c r="AU196" i="18" s="1"/>
  <c r="AU197" i="18" s="1"/>
  <c r="AU198" i="18" s="1"/>
  <c r="AU199" i="18" s="1"/>
  <c r="AU200" i="18"/>
  <c r="AU201" i="18" s="1"/>
  <c r="AU202" i="18" s="1"/>
  <c r="AU203" i="18" s="1"/>
  <c r="AU204" i="18" s="1"/>
  <c r="AU205" i="18"/>
  <c r="AU206" i="18" s="1"/>
  <c r="AU207" i="18" s="1"/>
  <c r="AU208" i="18" s="1"/>
  <c r="AU209" i="18" s="1"/>
  <c r="AU210" i="18"/>
  <c r="AU211" i="18" s="1"/>
  <c r="AU212" i="18" s="1"/>
  <c r="AU213" i="18" s="1"/>
  <c r="AU214" i="18" s="1"/>
  <c r="AU215" i="18"/>
  <c r="AU216" i="18" s="1"/>
  <c r="AU217" i="18" s="1"/>
  <c r="AU218" i="18" s="1"/>
  <c r="AU219" i="18" s="1"/>
  <c r="AU220" i="18"/>
  <c r="AU221" i="18" s="1"/>
  <c r="AU222" i="18" s="1"/>
  <c r="AU223" i="18" s="1"/>
  <c r="AU224" i="18" s="1"/>
  <c r="AU225" i="18"/>
  <c r="AU226" i="18" s="1"/>
  <c r="AU227" i="18" s="1"/>
  <c r="AU228" i="18" s="1"/>
  <c r="AU229" i="18" s="1"/>
  <c r="AU230" i="18"/>
  <c r="AU231" i="18" s="1"/>
  <c r="AU232" i="18" s="1"/>
  <c r="AU233" i="18" s="1"/>
  <c r="AU234" i="18" s="1"/>
  <c r="AU235" i="18"/>
  <c r="AU236" i="18" s="1"/>
  <c r="AU237" i="18" s="1"/>
  <c r="AU238" i="18" s="1"/>
  <c r="AU239" i="18" s="1"/>
  <c r="AU240" i="18"/>
  <c r="AU241" i="18" s="1"/>
  <c r="AU242" i="18" s="1"/>
  <c r="AU243" i="18" s="1"/>
  <c r="AU244" i="18" s="1"/>
  <c r="AU245" i="18"/>
  <c r="AU246" i="18" s="1"/>
  <c r="AU247" i="18" s="1"/>
  <c r="AU248" i="18" s="1"/>
  <c r="AU249" i="18" s="1"/>
  <c r="AU250" i="18"/>
  <c r="AU251" i="18" s="1"/>
  <c r="AU252" i="18" s="1"/>
  <c r="AU253" i="18" s="1"/>
  <c r="AU254" i="18" s="1"/>
  <c r="AU255" i="18"/>
  <c r="AU256" i="18" s="1"/>
  <c r="AU257" i="18" s="1"/>
  <c r="AU258" i="18" s="1"/>
  <c r="AU259" i="18" s="1"/>
  <c r="AU260" i="18"/>
  <c r="AU261" i="18" s="1"/>
  <c r="AU262" i="18" s="1"/>
  <c r="AU263" i="18" s="1"/>
  <c r="AU264" i="18" s="1"/>
  <c r="AU265" i="18"/>
  <c r="AU266" i="18" s="1"/>
  <c r="AU267" i="18" s="1"/>
  <c r="AU268" i="18" s="1"/>
  <c r="AU269" i="18" s="1"/>
  <c r="AU270" i="18"/>
  <c r="AU271" i="18" s="1"/>
  <c r="AU272" i="18" s="1"/>
  <c r="AU273" i="18" s="1"/>
  <c r="AU274" i="18" s="1"/>
  <c r="AU365" i="18"/>
  <c r="AU366" i="18" s="1"/>
  <c r="AU367" i="18" s="1"/>
  <c r="AU368" i="18" s="1"/>
  <c r="AU369" i="18" s="1"/>
  <c r="AU370" i="18"/>
  <c r="AU371" i="18" s="1"/>
  <c r="AU372" i="18" s="1"/>
  <c r="AU373" i="18" s="1"/>
  <c r="AU374" i="18" s="1"/>
  <c r="AU375" i="18"/>
  <c r="AU376" i="18" s="1"/>
  <c r="AU377" i="18" s="1"/>
  <c r="AU378" i="18" s="1"/>
  <c r="AU379" i="18" s="1"/>
  <c r="AU380" i="18"/>
  <c r="AU381" i="18" s="1"/>
  <c r="AU382" i="18" s="1"/>
  <c r="AU383" i="18" s="1"/>
  <c r="AU384" i="18" s="1"/>
  <c r="AU385" i="18"/>
  <c r="AU386" i="18" s="1"/>
  <c r="AU387" i="18" s="1"/>
  <c r="AU388" i="18" s="1"/>
  <c r="AU389" i="18" s="1"/>
  <c r="AU390" i="18"/>
  <c r="AU391" i="18" s="1"/>
  <c r="AU392" i="18" s="1"/>
  <c r="AU393" i="18" s="1"/>
  <c r="AU394" i="18" s="1"/>
  <c r="AU395" i="18"/>
  <c r="AU396" i="18" s="1"/>
  <c r="AU397" i="18" s="1"/>
  <c r="AU398" i="18" s="1"/>
  <c r="AU399" i="18" s="1"/>
  <c r="AU400" i="18"/>
  <c r="AU401" i="18" s="1"/>
  <c r="AU402" i="18" s="1"/>
  <c r="AU403" i="18" s="1"/>
  <c r="AU404" i="18" s="1"/>
  <c r="AU405" i="18"/>
  <c r="AU406" i="18" s="1"/>
  <c r="AU407" i="18" s="1"/>
  <c r="AU408" i="18" s="1"/>
  <c r="AU409" i="18" s="1"/>
  <c r="AU410" i="18"/>
  <c r="AU411" i="18" s="1"/>
  <c r="AU412" i="18" s="1"/>
  <c r="AU413" i="18" s="1"/>
  <c r="AU414" i="18" s="1"/>
  <c r="AU415" i="18"/>
  <c r="AU416" i="18" s="1"/>
  <c r="AU417" i="18" s="1"/>
  <c r="AU418" i="18" s="1"/>
  <c r="AU419" i="18" s="1"/>
  <c r="AU420" i="18"/>
  <c r="AU421" i="18" s="1"/>
  <c r="AU422" i="18" s="1"/>
  <c r="AU423" i="18" s="1"/>
  <c r="AU424" i="18" s="1"/>
  <c r="AU425" i="18"/>
  <c r="AU426" i="18" s="1"/>
  <c r="AU427" i="18" s="1"/>
  <c r="AU428" i="18" s="1"/>
  <c r="AU429" i="18" s="1"/>
  <c r="AU430" i="18"/>
  <c r="AU431" i="18" s="1"/>
  <c r="AU432" i="18" s="1"/>
  <c r="AU433" i="18" s="1"/>
  <c r="AU434" i="18" s="1"/>
  <c r="AU435" i="18"/>
  <c r="AU436" i="18" s="1"/>
  <c r="AU437" i="18" s="1"/>
  <c r="AU438" i="18" s="1"/>
  <c r="AU439" i="18" s="1"/>
  <c r="AU10" i="18"/>
  <c r="AU11" i="18" s="1"/>
  <c r="AU12" i="18" s="1"/>
  <c r="AU13" i="18" s="1"/>
  <c r="AU14" i="18" s="1"/>
  <c r="W95" i="18"/>
  <c r="W96" i="18" s="1"/>
  <c r="W97" i="18" s="1"/>
  <c r="W98" i="18" s="1"/>
  <c r="W99" i="18" s="1"/>
  <c r="W140" i="18"/>
  <c r="W141" i="18" s="1"/>
  <c r="W142" i="18" s="1"/>
  <c r="W143" i="18" s="1"/>
  <c r="W144" i="18" s="1"/>
  <c r="W50" i="18"/>
  <c r="W51" i="18" s="1"/>
  <c r="W52" i="18" s="1"/>
  <c r="W53" i="18" s="1"/>
  <c r="W54" i="18" s="1"/>
  <c r="W185" i="18"/>
  <c r="W186" i="18" s="1"/>
  <c r="W187" i="18" s="1"/>
  <c r="W188" i="18" s="1"/>
  <c r="W189" i="18" s="1"/>
  <c r="W190" i="18"/>
  <c r="W191" i="18" s="1"/>
  <c r="W192" i="18" s="1"/>
  <c r="W193" i="18" s="1"/>
  <c r="W194" i="18" s="1"/>
  <c r="W235" i="18"/>
  <c r="W236" i="18" s="1"/>
  <c r="W237" i="18" s="1"/>
  <c r="W238" i="18" s="1"/>
  <c r="W239" i="18" s="1"/>
  <c r="W10" i="18"/>
  <c r="W11" i="18" s="1"/>
  <c r="W12" i="18" s="1"/>
  <c r="W13" i="18" s="1"/>
  <c r="W14" i="18" s="1"/>
  <c r="W145" i="18"/>
  <c r="W146" i="18" s="1"/>
  <c r="W147" i="18" s="1"/>
  <c r="W148" i="18" s="1"/>
  <c r="W149" i="18" s="1"/>
  <c r="W55" i="18"/>
  <c r="W56" i="18" s="1"/>
  <c r="W57" i="18" s="1"/>
  <c r="W58" i="18" s="1"/>
  <c r="W59" i="18" s="1"/>
  <c r="W100" i="18"/>
  <c r="W101" i="18" s="1"/>
  <c r="W102" i="18" s="1"/>
  <c r="W103" i="18" s="1"/>
  <c r="W104" i="18" s="1"/>
  <c r="W195" i="18"/>
  <c r="W196" i="18" s="1"/>
  <c r="W197" i="18" s="1"/>
  <c r="W198" i="18" s="1"/>
  <c r="W199" i="18" s="1"/>
  <c r="W240" i="18"/>
  <c r="W241" i="18" s="1"/>
  <c r="W242" i="18" s="1"/>
  <c r="W243" i="18" s="1"/>
  <c r="W244" i="18" s="1"/>
  <c r="W105" i="18"/>
  <c r="W106" i="18" s="1"/>
  <c r="W107" i="18" s="1"/>
  <c r="W108" i="18" s="1"/>
  <c r="W109" i="18" s="1"/>
  <c r="W15" i="18"/>
  <c r="W16" i="18" s="1"/>
  <c r="W17" i="18" s="1"/>
  <c r="W18" i="18" s="1"/>
  <c r="W19" i="18" s="1"/>
  <c r="W150" i="18"/>
  <c r="W151" i="18" s="1"/>
  <c r="W152" i="18" s="1"/>
  <c r="W153" i="18" s="1"/>
  <c r="W154" i="18" s="1"/>
  <c r="W60" i="18"/>
  <c r="W61" i="18" s="1"/>
  <c r="W62" i="18" s="1"/>
  <c r="W63" i="18" s="1"/>
  <c r="W64" i="18" s="1"/>
  <c r="W245" i="18"/>
  <c r="W246" i="18" s="1"/>
  <c r="W247" i="18" s="1"/>
  <c r="W248" i="18" s="1"/>
  <c r="W249" i="18" s="1"/>
  <c r="W20" i="18"/>
  <c r="W21" i="18" s="1"/>
  <c r="W22" i="18" s="1"/>
  <c r="W23" i="18" s="1"/>
  <c r="W24" i="18" s="1"/>
  <c r="W110" i="18"/>
  <c r="W111" i="18" s="1"/>
  <c r="W112" i="18" s="1"/>
  <c r="W113" i="18" s="1"/>
  <c r="W114" i="18" s="1"/>
  <c r="W155" i="18"/>
  <c r="W156" i="18" s="1"/>
  <c r="W157" i="18" s="1"/>
  <c r="W158" i="18" s="1"/>
  <c r="W159" i="18" s="1"/>
  <c r="W65" i="18"/>
  <c r="W66" i="18" s="1"/>
  <c r="W67" i="18" s="1"/>
  <c r="W68" i="18" s="1"/>
  <c r="W69" i="18" s="1"/>
  <c r="W200" i="18"/>
  <c r="W201" i="18" s="1"/>
  <c r="W202" i="18" s="1"/>
  <c r="W203" i="18" s="1"/>
  <c r="W204" i="18" s="1"/>
  <c r="W205" i="18"/>
  <c r="W206" i="18" s="1"/>
  <c r="W207" i="18" s="1"/>
  <c r="W208" i="18" s="1"/>
  <c r="W209" i="18" s="1"/>
  <c r="W250" i="18"/>
  <c r="W251" i="18" s="1"/>
  <c r="W252" i="18" s="1"/>
  <c r="W253" i="18" s="1"/>
  <c r="W254" i="18" s="1"/>
  <c r="W25" i="18"/>
  <c r="W26" i="18" s="1"/>
  <c r="W27" i="18" s="1"/>
  <c r="W28" i="18" s="1"/>
  <c r="W29" i="18" s="1"/>
  <c r="W160" i="18"/>
  <c r="W161" i="18" s="1"/>
  <c r="W162" i="18" s="1"/>
  <c r="W163" i="18" s="1"/>
  <c r="W164" i="18" s="1"/>
  <c r="W70" i="18"/>
  <c r="W71" i="18" s="1"/>
  <c r="W72" i="18" s="1"/>
  <c r="W73" i="18" s="1"/>
  <c r="W74" i="18" s="1"/>
  <c r="W115" i="18"/>
  <c r="W116" i="18" s="1"/>
  <c r="W117" i="18" s="1"/>
  <c r="W118" i="18" s="1"/>
  <c r="W119" i="18" s="1"/>
  <c r="W365" i="18"/>
  <c r="W370" i="18"/>
  <c r="W371" i="18" s="1"/>
  <c r="W372" i="18" s="1"/>
  <c r="W373" i="18" s="1"/>
  <c r="W374" i="18" s="1"/>
  <c r="W210" i="18"/>
  <c r="W211" i="18" s="1"/>
  <c r="W212" i="18" s="1"/>
  <c r="W213" i="18" s="1"/>
  <c r="W214" i="18" s="1"/>
  <c r="W255" i="18"/>
  <c r="W256" i="18" s="1"/>
  <c r="W257" i="18" s="1"/>
  <c r="W258" i="18" s="1"/>
  <c r="W259" i="18" s="1"/>
  <c r="W120" i="18"/>
  <c r="W121" i="18" s="1"/>
  <c r="W122" i="18" s="1"/>
  <c r="W123" i="18" s="1"/>
  <c r="W124" i="18" s="1"/>
  <c r="W375" i="18"/>
  <c r="W376" i="18" s="1"/>
  <c r="W377" i="18" s="1"/>
  <c r="W378" i="18" s="1"/>
  <c r="W379" i="18" s="1"/>
  <c r="W30" i="18"/>
  <c r="W31" i="18" s="1"/>
  <c r="W32" i="18" s="1"/>
  <c r="W33" i="18" s="1"/>
  <c r="W34" i="18" s="1"/>
  <c r="W165" i="18"/>
  <c r="W166" i="18" s="1"/>
  <c r="W167" i="18" s="1"/>
  <c r="W168" i="18" s="1"/>
  <c r="W169" i="18" s="1"/>
  <c r="W380" i="18"/>
  <c r="W381" i="18" s="1"/>
  <c r="W382" i="18" s="1"/>
  <c r="W383" i="18" s="1"/>
  <c r="W384" i="18" s="1"/>
  <c r="W385" i="18"/>
  <c r="W386" i="18" s="1"/>
  <c r="W387" i="18" s="1"/>
  <c r="W388" i="18" s="1"/>
  <c r="W389" i="18" s="1"/>
  <c r="W390" i="18"/>
  <c r="W391" i="18" s="1"/>
  <c r="W392" i="18" s="1"/>
  <c r="W393" i="18" s="1"/>
  <c r="W394" i="18" s="1"/>
  <c r="W75" i="18"/>
  <c r="W76" i="18" s="1"/>
  <c r="W77" i="18" s="1"/>
  <c r="W78" i="18" s="1"/>
  <c r="W79" i="18" s="1"/>
  <c r="W260" i="18"/>
  <c r="W261" i="18" s="1"/>
  <c r="W262" i="18" s="1"/>
  <c r="W263" i="18" s="1"/>
  <c r="W264" i="18" s="1"/>
  <c r="W35" i="18"/>
  <c r="W36" i="18" s="1"/>
  <c r="W37" i="18" s="1"/>
  <c r="W38" i="18" s="1"/>
  <c r="W39" i="18" s="1"/>
  <c r="W125" i="18"/>
  <c r="W126" i="18" s="1"/>
  <c r="W127" i="18" s="1"/>
  <c r="W128" i="18" s="1"/>
  <c r="W129" i="18" s="1"/>
  <c r="W170" i="18"/>
  <c r="W171" i="18" s="1"/>
  <c r="W172" i="18" s="1"/>
  <c r="W173" i="18" s="1"/>
  <c r="W174" i="18" s="1"/>
  <c r="W80" i="18"/>
  <c r="W81" i="18" s="1"/>
  <c r="W82" i="18" s="1"/>
  <c r="W83" i="18" s="1"/>
  <c r="W84" i="18" s="1"/>
  <c r="W215" i="18"/>
  <c r="W216" i="18" s="1"/>
  <c r="W217" i="18" s="1"/>
  <c r="W218" i="18" s="1"/>
  <c r="W219" i="18" s="1"/>
  <c r="W220" i="18"/>
  <c r="W221" i="18" s="1"/>
  <c r="W222" i="18" s="1"/>
  <c r="W223" i="18" s="1"/>
  <c r="W224" i="18" s="1"/>
  <c r="W265" i="18"/>
  <c r="W266" i="18" s="1"/>
  <c r="W267" i="18" s="1"/>
  <c r="W268" i="18" s="1"/>
  <c r="W269" i="18" s="1"/>
  <c r="W40" i="18"/>
  <c r="W41" i="18" s="1"/>
  <c r="W42" i="18" s="1"/>
  <c r="W43" i="18" s="1"/>
  <c r="W44" i="18" s="1"/>
  <c r="W175" i="18"/>
  <c r="W176" i="18" s="1"/>
  <c r="W177" i="18" s="1"/>
  <c r="W178" i="18" s="1"/>
  <c r="W179" i="18" s="1"/>
  <c r="W85" i="18"/>
  <c r="W86" i="18" s="1"/>
  <c r="W87" i="18" s="1"/>
  <c r="W88" i="18" s="1"/>
  <c r="W89" i="18" s="1"/>
  <c r="W130" i="18"/>
  <c r="W131" i="18" s="1"/>
  <c r="W132" i="18" s="1"/>
  <c r="W133" i="18" s="1"/>
  <c r="W134" i="18" s="1"/>
  <c r="W225" i="18"/>
  <c r="W226" i="18" s="1"/>
  <c r="W227" i="18" s="1"/>
  <c r="W228" i="18" s="1"/>
  <c r="W229" i="18" s="1"/>
  <c r="W270" i="18"/>
  <c r="W271" i="18" s="1"/>
  <c r="W272" i="18" s="1"/>
  <c r="W273" i="18" s="1"/>
  <c r="W274" i="18" s="1"/>
  <c r="W135" i="18"/>
  <c r="W136" i="18" s="1"/>
  <c r="W137" i="18" s="1"/>
  <c r="W138" i="18" s="1"/>
  <c r="W139" i="18" s="1"/>
  <c r="W45" i="18"/>
  <c r="W46" i="18" s="1"/>
  <c r="W47" i="18" s="1"/>
  <c r="W48" i="18" s="1"/>
  <c r="W49" i="18" s="1"/>
  <c r="W180" i="18"/>
  <c r="W181" i="18" s="1"/>
  <c r="W182" i="18" s="1"/>
  <c r="W183" i="18" s="1"/>
  <c r="W184" i="18" s="1"/>
  <c r="W90" i="18"/>
  <c r="W91" i="18" s="1"/>
  <c r="W92" i="18" s="1"/>
  <c r="W93" i="18" s="1"/>
  <c r="W94" i="18" s="1"/>
  <c r="W5" i="18"/>
  <c r="W6" i="18" s="1"/>
  <c r="W7" i="18" s="1"/>
  <c r="W8" i="18" s="1"/>
  <c r="W9" i="18" s="1"/>
  <c r="W15" i="20"/>
  <c r="W16" i="20" s="1"/>
  <c r="W17" i="20" s="1"/>
  <c r="W18" i="20" s="1"/>
  <c r="W19" i="20" s="1"/>
  <c r="W20" i="20"/>
  <c r="W21" i="20" s="1"/>
  <c r="W22" i="20" s="1"/>
  <c r="W23" i="20" s="1"/>
  <c r="W24" i="20" s="1"/>
  <c r="W25" i="20"/>
  <c r="W26" i="20" s="1"/>
  <c r="W27" i="20" s="1"/>
  <c r="W28" i="20" s="1"/>
  <c r="W29" i="20" s="1"/>
  <c r="W30" i="20"/>
  <c r="W31" i="20" s="1"/>
  <c r="W32" i="20" s="1"/>
  <c r="W33" i="20" s="1"/>
  <c r="W34" i="20" s="1"/>
  <c r="W35" i="20"/>
  <c r="W36" i="20" s="1"/>
  <c r="W37" i="20" s="1"/>
  <c r="W38" i="20" s="1"/>
  <c r="W39" i="20" s="1"/>
  <c r="W40" i="20"/>
  <c r="W41" i="20" s="1"/>
  <c r="W42" i="20" s="1"/>
  <c r="W43" i="20" s="1"/>
  <c r="W44" i="20" s="1"/>
  <c r="W45" i="20"/>
  <c r="W46" i="20" s="1"/>
  <c r="W47" i="20" s="1"/>
  <c r="W48" i="20" s="1"/>
  <c r="W49" i="20" s="1"/>
  <c r="W50" i="20"/>
  <c r="W51" i="20" s="1"/>
  <c r="W52" i="20" s="1"/>
  <c r="W53" i="20" s="1"/>
  <c r="W54" i="20" s="1"/>
  <c r="W55" i="20"/>
  <c r="W56" i="20" s="1"/>
  <c r="W57" i="20" s="1"/>
  <c r="W58" i="20" s="1"/>
  <c r="W59" i="20" s="1"/>
  <c r="W60" i="20"/>
  <c r="W61" i="20" s="1"/>
  <c r="W62" i="20" s="1"/>
  <c r="W63" i="20" s="1"/>
  <c r="W64" i="20" s="1"/>
  <c r="W65" i="20"/>
  <c r="W66" i="20" s="1"/>
  <c r="W67" i="20" s="1"/>
  <c r="W68" i="20" s="1"/>
  <c r="W69" i="20" s="1"/>
  <c r="W70" i="20"/>
  <c r="W71" i="20" s="1"/>
  <c r="W72" i="20" s="1"/>
  <c r="W73" i="20" s="1"/>
  <c r="W74" i="20" s="1"/>
  <c r="W75" i="20"/>
  <c r="W76" i="20" s="1"/>
  <c r="W77" i="20" s="1"/>
  <c r="W78" i="20" s="1"/>
  <c r="W79" i="20" s="1"/>
  <c r="W80" i="20"/>
  <c r="W81" i="20" s="1"/>
  <c r="W82" i="20" s="1"/>
  <c r="W83" i="20" s="1"/>
  <c r="W84" i="20" s="1"/>
  <c r="W85" i="20"/>
  <c r="W86" i="20" s="1"/>
  <c r="W87" i="20" s="1"/>
  <c r="W88" i="20" s="1"/>
  <c r="W89" i="20" s="1"/>
  <c r="W90" i="20"/>
  <c r="W91" i="20" s="1"/>
  <c r="W92" i="20" s="1"/>
  <c r="W93" i="20" s="1"/>
  <c r="W94" i="20" s="1"/>
  <c r="W95" i="20"/>
  <c r="W96" i="20" s="1"/>
  <c r="W97" i="20" s="1"/>
  <c r="W98" i="20" s="1"/>
  <c r="W99" i="20" s="1"/>
  <c r="W100" i="20"/>
  <c r="W101" i="20" s="1"/>
  <c r="W102" i="20" s="1"/>
  <c r="W103" i="20" s="1"/>
  <c r="W104" i="20" s="1"/>
  <c r="W105" i="20"/>
  <c r="W106" i="20" s="1"/>
  <c r="W107" i="20" s="1"/>
  <c r="W108" i="20" s="1"/>
  <c r="W109" i="20" s="1"/>
  <c r="W110" i="20"/>
  <c r="W111" i="20" s="1"/>
  <c r="W112" i="20" s="1"/>
  <c r="W113" i="20" s="1"/>
  <c r="W114" i="20" s="1"/>
  <c r="W115" i="20"/>
  <c r="W116" i="20" s="1"/>
  <c r="W117" i="20" s="1"/>
  <c r="W118" i="20" s="1"/>
  <c r="W119" i="20" s="1"/>
  <c r="W120" i="20"/>
  <c r="W121" i="20" s="1"/>
  <c r="W122" i="20" s="1"/>
  <c r="W123" i="20" s="1"/>
  <c r="W124" i="20" s="1"/>
  <c r="W125" i="20"/>
  <c r="W126" i="20" s="1"/>
  <c r="W127" i="20" s="1"/>
  <c r="W128" i="20" s="1"/>
  <c r="W129" i="20" s="1"/>
  <c r="W130" i="20"/>
  <c r="W131" i="20"/>
  <c r="W132" i="20" s="1"/>
  <c r="W133" i="20" s="1"/>
  <c r="W134" i="20" s="1"/>
  <c r="W135" i="20"/>
  <c r="W136" i="20" s="1"/>
  <c r="W137" i="20" s="1"/>
  <c r="W138" i="20" s="1"/>
  <c r="W139" i="20" s="1"/>
  <c r="W140" i="20"/>
  <c r="W141" i="20" s="1"/>
  <c r="W142" i="20" s="1"/>
  <c r="W143" i="20" s="1"/>
  <c r="W144" i="20" s="1"/>
  <c r="W145" i="20"/>
  <c r="W146" i="20" s="1"/>
  <c r="W147" i="20" s="1"/>
  <c r="W148" i="20" s="1"/>
  <c r="W149" i="20" s="1"/>
  <c r="W150" i="20"/>
  <c r="W151" i="20" s="1"/>
  <c r="W152" i="20" s="1"/>
  <c r="W153" i="20" s="1"/>
  <c r="W154" i="20" s="1"/>
  <c r="W155" i="20"/>
  <c r="W156" i="20" s="1"/>
  <c r="W157" i="20" s="1"/>
  <c r="W158" i="20" s="1"/>
  <c r="W159" i="20" s="1"/>
  <c r="W160" i="20"/>
  <c r="W161" i="20" s="1"/>
  <c r="W162" i="20" s="1"/>
  <c r="W163" i="20" s="1"/>
  <c r="W164" i="20" s="1"/>
  <c r="W165" i="20"/>
  <c r="W166" i="20" s="1"/>
  <c r="W167" i="20" s="1"/>
  <c r="W168" i="20" s="1"/>
  <c r="W169" i="20" s="1"/>
  <c r="W170" i="20"/>
  <c r="W171" i="20" s="1"/>
  <c r="W172" i="20" s="1"/>
  <c r="W173" i="20" s="1"/>
  <c r="W174" i="20" s="1"/>
  <c r="W175" i="20"/>
  <c r="W176" i="20" s="1"/>
  <c r="W177" i="20" s="1"/>
  <c r="W178" i="20" s="1"/>
  <c r="W179" i="20" s="1"/>
  <c r="W180" i="20"/>
  <c r="W181" i="20" s="1"/>
  <c r="W182" i="20" s="1"/>
  <c r="W183" i="20" s="1"/>
  <c r="W184" i="20" s="1"/>
  <c r="W185" i="20"/>
  <c r="W186" i="20" s="1"/>
  <c r="W187" i="20" s="1"/>
  <c r="W188" i="20" s="1"/>
  <c r="W189" i="20" s="1"/>
  <c r="W190" i="20"/>
  <c r="W191" i="20" s="1"/>
  <c r="W192" i="20" s="1"/>
  <c r="W193" i="20" s="1"/>
  <c r="W194" i="20" s="1"/>
  <c r="W195" i="20"/>
  <c r="W196" i="20"/>
  <c r="W197" i="20" s="1"/>
  <c r="W198" i="20" s="1"/>
  <c r="W199" i="20" s="1"/>
  <c r="W200" i="20"/>
  <c r="W201" i="20" s="1"/>
  <c r="W202" i="20" s="1"/>
  <c r="W203" i="20" s="1"/>
  <c r="W204" i="20" s="1"/>
  <c r="W205" i="20"/>
  <c r="W206" i="20" s="1"/>
  <c r="W207" i="20" s="1"/>
  <c r="W208" i="20" s="1"/>
  <c r="W209" i="20" s="1"/>
  <c r="W210" i="20"/>
  <c r="W211" i="20" s="1"/>
  <c r="W212" i="20" s="1"/>
  <c r="W213" i="20" s="1"/>
  <c r="W214" i="20" s="1"/>
  <c r="W215" i="20"/>
  <c r="W216" i="20" s="1"/>
  <c r="W217" i="20" s="1"/>
  <c r="W218" i="20" s="1"/>
  <c r="W219" i="20" s="1"/>
  <c r="W220" i="20"/>
  <c r="W221" i="20" s="1"/>
  <c r="W222" i="20" s="1"/>
  <c r="W223" i="20" s="1"/>
  <c r="W224" i="20" s="1"/>
  <c r="W225" i="20"/>
  <c r="W226" i="20" s="1"/>
  <c r="W227" i="20" s="1"/>
  <c r="W228" i="20" s="1"/>
  <c r="W229" i="20" s="1"/>
  <c r="W230" i="20"/>
  <c r="W231" i="20" s="1"/>
  <c r="W232" i="20" s="1"/>
  <c r="W233" i="20" s="1"/>
  <c r="W234" i="20" s="1"/>
  <c r="W235" i="20"/>
  <c r="W236" i="20" s="1"/>
  <c r="W237" i="20" s="1"/>
  <c r="W238" i="20" s="1"/>
  <c r="W239" i="20" s="1"/>
  <c r="W240" i="20"/>
  <c r="W241" i="20" s="1"/>
  <c r="W242" i="20" s="1"/>
  <c r="W243" i="20" s="1"/>
  <c r="W244" i="20" s="1"/>
  <c r="W245" i="20"/>
  <c r="W246" i="20" s="1"/>
  <c r="W247" i="20" s="1"/>
  <c r="W248" i="20" s="1"/>
  <c r="W249" i="20" s="1"/>
  <c r="W250" i="20"/>
  <c r="W251" i="20" s="1"/>
  <c r="W252" i="20" s="1"/>
  <c r="W253" i="20" s="1"/>
  <c r="W254" i="20" s="1"/>
  <c r="W255" i="20"/>
  <c r="W256" i="20" s="1"/>
  <c r="W257" i="20" s="1"/>
  <c r="W258" i="20" s="1"/>
  <c r="W259" i="20" s="1"/>
  <c r="W260" i="20"/>
  <c r="W261" i="20" s="1"/>
  <c r="W262" i="20" s="1"/>
  <c r="W263" i="20" s="1"/>
  <c r="W264" i="20" s="1"/>
  <c r="W265" i="20"/>
  <c r="W266" i="20" s="1"/>
  <c r="W267" i="20" s="1"/>
  <c r="W268" i="20" s="1"/>
  <c r="W269" i="20" s="1"/>
  <c r="W270" i="20"/>
  <c r="W271" i="20" s="1"/>
  <c r="W272" i="20" s="1"/>
  <c r="W273" i="20" s="1"/>
  <c r="W274" i="20" s="1"/>
  <c r="W472" i="20"/>
  <c r="W473" i="20" s="1"/>
  <c r="W474" i="20" s="1"/>
  <c r="W475" i="20" s="1"/>
  <c r="W476" i="20" s="1"/>
  <c r="W477" i="20"/>
  <c r="W478" i="20" s="1"/>
  <c r="W479" i="20" s="1"/>
  <c r="W480" i="20" s="1"/>
  <c r="W481" i="20" s="1"/>
  <c r="W482" i="20"/>
  <c r="W483" i="20" s="1"/>
  <c r="W484" i="20" s="1"/>
  <c r="W485" i="20" s="1"/>
  <c r="W486" i="20" s="1"/>
  <c r="W487" i="20"/>
  <c r="W488" i="20" s="1"/>
  <c r="W489" i="20" s="1"/>
  <c r="W490" i="20" s="1"/>
  <c r="W491" i="20" s="1"/>
  <c r="W492" i="20"/>
  <c r="W493" i="20" s="1"/>
  <c r="W494" i="20" s="1"/>
  <c r="W495" i="20" s="1"/>
  <c r="W496" i="20" s="1"/>
  <c r="W497" i="20"/>
  <c r="W498" i="20" s="1"/>
  <c r="W499" i="20" s="1"/>
  <c r="W500" i="20" s="1"/>
  <c r="W501" i="20" s="1"/>
  <c r="W502" i="20"/>
  <c r="W503" i="20" s="1"/>
  <c r="W504" i="20" s="1"/>
  <c r="W505" i="20" s="1"/>
  <c r="W506" i="20" s="1"/>
  <c r="W507" i="20"/>
  <c r="W508" i="20" s="1"/>
  <c r="W509" i="20" s="1"/>
  <c r="W510" i="20" s="1"/>
  <c r="W511" i="20" s="1"/>
  <c r="W512" i="20"/>
  <c r="W513" i="20" s="1"/>
  <c r="W514" i="20" s="1"/>
  <c r="W515" i="20" s="1"/>
  <c r="W516" i="20" s="1"/>
  <c r="W517" i="20"/>
  <c r="W518" i="20" s="1"/>
  <c r="W519" i="20" s="1"/>
  <c r="W520" i="20" s="1"/>
  <c r="W521" i="20" s="1"/>
  <c r="W522" i="20"/>
  <c r="W523" i="20" s="1"/>
  <c r="W524" i="20" s="1"/>
  <c r="W525" i="20" s="1"/>
  <c r="W526" i="20" s="1"/>
  <c r="W527" i="20"/>
  <c r="W528" i="20" s="1"/>
  <c r="W529" i="20" s="1"/>
  <c r="W530" i="20" s="1"/>
  <c r="W531" i="20" s="1"/>
  <c r="W532" i="20"/>
  <c r="W533" i="20" s="1"/>
  <c r="W534" i="20" s="1"/>
  <c r="W535" i="20" s="1"/>
  <c r="W536" i="20" s="1"/>
  <c r="W537" i="20"/>
  <c r="W538" i="20" s="1"/>
  <c r="W539" i="20" s="1"/>
  <c r="W540" i="20" s="1"/>
  <c r="W541" i="20" s="1"/>
  <c r="W542" i="20"/>
  <c r="W543" i="20" s="1"/>
  <c r="W544" i="20" s="1"/>
  <c r="W545" i="20" s="1"/>
  <c r="W546" i="20" s="1"/>
  <c r="W547" i="20"/>
  <c r="W548" i="20" s="1"/>
  <c r="W549" i="20" s="1"/>
  <c r="W550" i="20" s="1"/>
  <c r="W551" i="20" s="1"/>
  <c r="W552" i="20"/>
  <c r="W553" i="20" s="1"/>
  <c r="W554" i="20" s="1"/>
  <c r="W555" i="20" s="1"/>
  <c r="W556" i="20" s="1"/>
  <c r="W557" i="20"/>
  <c r="W558" i="20"/>
  <c r="W559" i="20" s="1"/>
  <c r="W560" i="20" s="1"/>
  <c r="W561" i="20" s="1"/>
  <c r="W10" i="20"/>
  <c r="W11" i="20" s="1"/>
  <c r="W12" i="20" s="1"/>
  <c r="W13" i="20" s="1"/>
  <c r="W14" i="20" s="1"/>
  <c r="AU35" i="20"/>
  <c r="AU36" i="20" s="1"/>
  <c r="AU37" i="20" s="1"/>
  <c r="AU38" i="20" s="1"/>
  <c r="AU39" i="20" s="1"/>
  <c r="AU40" i="20"/>
  <c r="AU41" i="20" s="1"/>
  <c r="AU42" i="20" s="1"/>
  <c r="AU43" i="20" s="1"/>
  <c r="AU44" i="20" s="1"/>
  <c r="AU45" i="20"/>
  <c r="AU46" i="20" s="1"/>
  <c r="AU47" i="20" s="1"/>
  <c r="AU48" i="20" s="1"/>
  <c r="AU49" i="20" s="1"/>
  <c r="AU50" i="20"/>
  <c r="AU51" i="20" s="1"/>
  <c r="AU52" i="20" s="1"/>
  <c r="AU53" i="20" s="1"/>
  <c r="AU54" i="20" s="1"/>
  <c r="AU55" i="20"/>
  <c r="AU56" i="20" s="1"/>
  <c r="AU57" i="20" s="1"/>
  <c r="AU58" i="20" s="1"/>
  <c r="AU59" i="20" s="1"/>
  <c r="AU60" i="20"/>
  <c r="AU61" i="20" s="1"/>
  <c r="AU62" i="20" s="1"/>
  <c r="AU63" i="20" s="1"/>
  <c r="AU64" i="20" s="1"/>
  <c r="AU65" i="20"/>
  <c r="AU66" i="20" s="1"/>
  <c r="AU67" i="20" s="1"/>
  <c r="AU68" i="20" s="1"/>
  <c r="AU69" i="20" s="1"/>
  <c r="AU70" i="20"/>
  <c r="AU71" i="20" s="1"/>
  <c r="AU72" i="20" s="1"/>
  <c r="AU73" i="20" s="1"/>
  <c r="AU74" i="20" s="1"/>
  <c r="AU75" i="20"/>
  <c r="AU76" i="20" s="1"/>
  <c r="AU77" i="20" s="1"/>
  <c r="AU78" i="20" s="1"/>
  <c r="AU79" i="20" s="1"/>
  <c r="AU80" i="20"/>
  <c r="AU81" i="20" s="1"/>
  <c r="AU82" i="20" s="1"/>
  <c r="AU83" i="20" s="1"/>
  <c r="AU84" i="20" s="1"/>
  <c r="AU85" i="20"/>
  <c r="AU86" i="20" s="1"/>
  <c r="AU87" i="20" s="1"/>
  <c r="AU88" i="20" s="1"/>
  <c r="AU89" i="20" s="1"/>
  <c r="AU90" i="20"/>
  <c r="AU91" i="20" s="1"/>
  <c r="AU92" i="20" s="1"/>
  <c r="AU93" i="20" s="1"/>
  <c r="AU94" i="20" s="1"/>
  <c r="AU95" i="20"/>
  <c r="AU96" i="20" s="1"/>
  <c r="AU97" i="20" s="1"/>
  <c r="AU98" i="20" s="1"/>
  <c r="AU99" i="20" s="1"/>
  <c r="AU100" i="20"/>
  <c r="AU101" i="20" s="1"/>
  <c r="AU102" i="20" s="1"/>
  <c r="AU103" i="20" s="1"/>
  <c r="AU104" i="20" s="1"/>
  <c r="AU105" i="20"/>
  <c r="AU106" i="20" s="1"/>
  <c r="AU107" i="20" s="1"/>
  <c r="AU108" i="20" s="1"/>
  <c r="AU109" i="20" s="1"/>
  <c r="AU110" i="20"/>
  <c r="AU111" i="20" s="1"/>
  <c r="AU112" i="20" s="1"/>
  <c r="AU113" i="20" s="1"/>
  <c r="AU114" i="20" s="1"/>
  <c r="AU115" i="20"/>
  <c r="AU116" i="20" s="1"/>
  <c r="AU117" i="20" s="1"/>
  <c r="AU118" i="20" s="1"/>
  <c r="AU119" i="20" s="1"/>
  <c r="AU120" i="20"/>
  <c r="AU121" i="20" s="1"/>
  <c r="AU122" i="20" s="1"/>
  <c r="AU123" i="20" s="1"/>
  <c r="AU124" i="20" s="1"/>
  <c r="AU125" i="20"/>
  <c r="AU126" i="20" s="1"/>
  <c r="AU127" i="20" s="1"/>
  <c r="AU128" i="20" s="1"/>
  <c r="AU129" i="20" s="1"/>
  <c r="AU130" i="20"/>
  <c r="AU131" i="20" s="1"/>
  <c r="AU132" i="20" s="1"/>
  <c r="AU133" i="20" s="1"/>
  <c r="AU134" i="20" s="1"/>
  <c r="AU135" i="20"/>
  <c r="AU136" i="20" s="1"/>
  <c r="AU137" i="20" s="1"/>
  <c r="AU138" i="20" s="1"/>
  <c r="AU139" i="20" s="1"/>
  <c r="AU140" i="20"/>
  <c r="AU141" i="20" s="1"/>
  <c r="AU142" i="20" s="1"/>
  <c r="AU143" i="20" s="1"/>
  <c r="AU144" i="20" s="1"/>
  <c r="AU145" i="20"/>
  <c r="AU146" i="20" s="1"/>
  <c r="AU147" i="20" s="1"/>
  <c r="AU148" i="20" s="1"/>
  <c r="AU149" i="20" s="1"/>
  <c r="AU150" i="20"/>
  <c r="AU151" i="20"/>
  <c r="AU152" i="20" s="1"/>
  <c r="AU153" i="20" s="1"/>
  <c r="AU154" i="20" s="1"/>
  <c r="AU155" i="20"/>
  <c r="AU156" i="20" s="1"/>
  <c r="AU157" i="20" s="1"/>
  <c r="AU158" i="20" s="1"/>
  <c r="AU159" i="20" s="1"/>
  <c r="AU160" i="20"/>
  <c r="AU161" i="20" s="1"/>
  <c r="AU162" i="20" s="1"/>
  <c r="AU163" i="20" s="1"/>
  <c r="AU164" i="20" s="1"/>
  <c r="AU165" i="20"/>
  <c r="AU166" i="20" s="1"/>
  <c r="AU167" i="20" s="1"/>
  <c r="AU168" i="20" s="1"/>
  <c r="AU169" i="20" s="1"/>
  <c r="AU170" i="20"/>
  <c r="AU171" i="20" s="1"/>
  <c r="AU172" i="20" s="1"/>
  <c r="AU173" i="20" s="1"/>
  <c r="AU174" i="20" s="1"/>
  <c r="AU175" i="20"/>
  <c r="AU176" i="20" s="1"/>
  <c r="AU177" i="20" s="1"/>
  <c r="AU178" i="20" s="1"/>
  <c r="AU179" i="20" s="1"/>
  <c r="AU180" i="20"/>
  <c r="AU181" i="20" s="1"/>
  <c r="AU182" i="20" s="1"/>
  <c r="AU183" i="20" s="1"/>
  <c r="AU184" i="20" s="1"/>
  <c r="AU185" i="20"/>
  <c r="AU186" i="20" s="1"/>
  <c r="AU187" i="20" s="1"/>
  <c r="AU188" i="20" s="1"/>
  <c r="AU189" i="20" s="1"/>
  <c r="AU190" i="20"/>
  <c r="AU191" i="20" s="1"/>
  <c r="AU192" i="20" s="1"/>
  <c r="AU193" i="20" s="1"/>
  <c r="AU194" i="20" s="1"/>
  <c r="AU195" i="20"/>
  <c r="AU196" i="20" s="1"/>
  <c r="AU197" i="20" s="1"/>
  <c r="AU198" i="20" s="1"/>
  <c r="AU199" i="20" s="1"/>
  <c r="AU200" i="20"/>
  <c r="AU201" i="20"/>
  <c r="AU202" i="20" s="1"/>
  <c r="AU203" i="20" s="1"/>
  <c r="AU204" i="20" s="1"/>
  <c r="AU205" i="20"/>
  <c r="AU206" i="20" s="1"/>
  <c r="AU207" i="20" s="1"/>
  <c r="AU208" i="20" s="1"/>
  <c r="AU209" i="20" s="1"/>
  <c r="AU210" i="20"/>
  <c r="AU211" i="20" s="1"/>
  <c r="AU212" i="20" s="1"/>
  <c r="AU213" i="20" s="1"/>
  <c r="AU214" i="20" s="1"/>
  <c r="AU215" i="20"/>
  <c r="AU216" i="20" s="1"/>
  <c r="AU217" i="20" s="1"/>
  <c r="AU218" i="20" s="1"/>
  <c r="AU219" i="20" s="1"/>
  <c r="AU220" i="20"/>
  <c r="AU221" i="20" s="1"/>
  <c r="AU222" i="20" s="1"/>
  <c r="AU223" i="20" s="1"/>
  <c r="AU224" i="20" s="1"/>
  <c r="AU225" i="20"/>
  <c r="AU226" i="20" s="1"/>
  <c r="AU227" i="20" s="1"/>
  <c r="AU228" i="20" s="1"/>
  <c r="AU229" i="20" s="1"/>
  <c r="AU230" i="20"/>
  <c r="AU231" i="20" s="1"/>
  <c r="AU232" i="20" s="1"/>
  <c r="AU233" i="20" s="1"/>
  <c r="AU234" i="20" s="1"/>
  <c r="AU235" i="20"/>
  <c r="AU236" i="20" s="1"/>
  <c r="AU237" i="20" s="1"/>
  <c r="AU238" i="20" s="1"/>
  <c r="AU239" i="20" s="1"/>
  <c r="AU240" i="20"/>
  <c r="AU241" i="20" s="1"/>
  <c r="AU242" i="20" s="1"/>
  <c r="AU243" i="20" s="1"/>
  <c r="AU244" i="20" s="1"/>
  <c r="AU245" i="20"/>
  <c r="AU246" i="20" s="1"/>
  <c r="AU247" i="20" s="1"/>
  <c r="AU248" i="20" s="1"/>
  <c r="AU249" i="20" s="1"/>
  <c r="AU250" i="20"/>
  <c r="AU251" i="20" s="1"/>
  <c r="AU252" i="20" s="1"/>
  <c r="AU253" i="20" s="1"/>
  <c r="AU254" i="20" s="1"/>
  <c r="AU255" i="20"/>
  <c r="AU256" i="20" s="1"/>
  <c r="AU257" i="20" s="1"/>
  <c r="AU258" i="20" s="1"/>
  <c r="AU259" i="20" s="1"/>
  <c r="AU260" i="20"/>
  <c r="AU261" i="20" s="1"/>
  <c r="AU262" i="20" s="1"/>
  <c r="AU263" i="20" s="1"/>
  <c r="AU264" i="20" s="1"/>
  <c r="AU265" i="20"/>
  <c r="AU266" i="20" s="1"/>
  <c r="AU267" i="20" s="1"/>
  <c r="AU268" i="20" s="1"/>
  <c r="AU269" i="20" s="1"/>
  <c r="AU270" i="20"/>
  <c r="AU271" i="20" s="1"/>
  <c r="AU272" i="20" s="1"/>
  <c r="AU273" i="20" s="1"/>
  <c r="AU274" i="20" s="1"/>
  <c r="AU472" i="20"/>
  <c r="AU473" i="20" s="1"/>
  <c r="AU474" i="20" s="1"/>
  <c r="AU475" i="20" s="1"/>
  <c r="AU476" i="20" s="1"/>
  <c r="AU477" i="20"/>
  <c r="AU478" i="20" s="1"/>
  <c r="AU479" i="20" s="1"/>
  <c r="AU480" i="20" s="1"/>
  <c r="AU481" i="20" s="1"/>
  <c r="AU482" i="20"/>
  <c r="AU483" i="20" s="1"/>
  <c r="AU484" i="20" s="1"/>
  <c r="AU485" i="20" s="1"/>
  <c r="AU486" i="20" s="1"/>
  <c r="AU487" i="20"/>
  <c r="AU488" i="20" s="1"/>
  <c r="AU489" i="20" s="1"/>
  <c r="AU490" i="20" s="1"/>
  <c r="AU491" i="20" s="1"/>
  <c r="AU492" i="20"/>
  <c r="AU493" i="20" s="1"/>
  <c r="AU494" i="20" s="1"/>
  <c r="AU495" i="20" s="1"/>
  <c r="AU496" i="20" s="1"/>
  <c r="AU497" i="20"/>
  <c r="AU498" i="20" s="1"/>
  <c r="AU499" i="20" s="1"/>
  <c r="AU500" i="20" s="1"/>
  <c r="AU501" i="20" s="1"/>
  <c r="AU502" i="20"/>
  <c r="AU503" i="20" s="1"/>
  <c r="AU504" i="20" s="1"/>
  <c r="AU505" i="20" s="1"/>
  <c r="AU506" i="20" s="1"/>
  <c r="AU507" i="20"/>
  <c r="AU508" i="20" s="1"/>
  <c r="AU509" i="20" s="1"/>
  <c r="AU510" i="20" s="1"/>
  <c r="AU511" i="20" s="1"/>
  <c r="AU512" i="20"/>
  <c r="AU513" i="20" s="1"/>
  <c r="AU514" i="20" s="1"/>
  <c r="AU515" i="20" s="1"/>
  <c r="AU516" i="20" s="1"/>
  <c r="AU517" i="20"/>
  <c r="AU518" i="20" s="1"/>
  <c r="AU519" i="20" s="1"/>
  <c r="AU520" i="20" s="1"/>
  <c r="AU521" i="20" s="1"/>
  <c r="AU522" i="20"/>
  <c r="AU523" i="20" s="1"/>
  <c r="AU524" i="20" s="1"/>
  <c r="AU525" i="20" s="1"/>
  <c r="AU526" i="20" s="1"/>
  <c r="AU527" i="20"/>
  <c r="AU528" i="20" s="1"/>
  <c r="AU529" i="20" s="1"/>
  <c r="AU530" i="20" s="1"/>
  <c r="AU531" i="20" s="1"/>
  <c r="AU532" i="20"/>
  <c r="AU533" i="20" s="1"/>
  <c r="AU534" i="20" s="1"/>
  <c r="AU535" i="20" s="1"/>
  <c r="AU536" i="20" s="1"/>
  <c r="AU537" i="20"/>
  <c r="AU538" i="20" s="1"/>
  <c r="AU539" i="20" s="1"/>
  <c r="AU540" i="20" s="1"/>
  <c r="AU541" i="20" s="1"/>
  <c r="AU542" i="20"/>
  <c r="AU543" i="20" s="1"/>
  <c r="AU544" i="20" s="1"/>
  <c r="AU545" i="20" s="1"/>
  <c r="AU546" i="20" s="1"/>
  <c r="AU547" i="20"/>
  <c r="AU548" i="20" s="1"/>
  <c r="AU549" i="20" s="1"/>
  <c r="AU550" i="20" s="1"/>
  <c r="AU551" i="20" s="1"/>
  <c r="AU552" i="20"/>
  <c r="AU553" i="20" s="1"/>
  <c r="AU554" i="20" s="1"/>
  <c r="AU555" i="20" s="1"/>
  <c r="AU556" i="20" s="1"/>
  <c r="AU557" i="20"/>
  <c r="AU558" i="20" s="1"/>
  <c r="AU559" i="20" s="1"/>
  <c r="AU560" i="20" s="1"/>
  <c r="AU561" i="20" s="1"/>
  <c r="AU10" i="20"/>
  <c r="AU11" i="20" s="1"/>
  <c r="AU12" i="20" s="1"/>
  <c r="AU13" i="20" s="1"/>
  <c r="AU14" i="20" s="1"/>
  <c r="AU15" i="20"/>
  <c r="AU16" i="20" s="1"/>
  <c r="AU17" i="20" s="1"/>
  <c r="AU18" i="20" s="1"/>
  <c r="AU19" i="20" s="1"/>
  <c r="AU20" i="20"/>
  <c r="AU21" i="20" s="1"/>
  <c r="AU22" i="20" s="1"/>
  <c r="AU23" i="20" s="1"/>
  <c r="AU24" i="20" s="1"/>
  <c r="AU25" i="20"/>
  <c r="AU26" i="20" s="1"/>
  <c r="AU27" i="20" s="1"/>
  <c r="AU28" i="20" s="1"/>
  <c r="AU29" i="20" s="1"/>
  <c r="AU30" i="20"/>
  <c r="AU31" i="20" s="1"/>
  <c r="AU32" i="20" s="1"/>
  <c r="AU33" i="20" s="1"/>
  <c r="AU34" i="20" s="1"/>
  <c r="AC14" i="22"/>
  <c r="AC15" i="22" s="1"/>
  <c r="AC16" i="22" s="1"/>
  <c r="AC17" i="22" s="1"/>
  <c r="AC18" i="22" s="1"/>
  <c r="AC19" i="22"/>
  <c r="AC20" i="22" s="1"/>
  <c r="AC21" i="22" s="1"/>
  <c r="AC22" i="22" s="1"/>
  <c r="AC23" i="22" s="1"/>
  <c r="AC24" i="22"/>
  <c r="AC25" i="22" s="1"/>
  <c r="AC26" i="22" s="1"/>
  <c r="AC27" i="22" s="1"/>
  <c r="AC28" i="22" s="1"/>
  <c r="AC29" i="22"/>
  <c r="AC30" i="22" s="1"/>
  <c r="AC31" i="22" s="1"/>
  <c r="AC32" i="22" s="1"/>
  <c r="AC33" i="22" s="1"/>
  <c r="AC34" i="22"/>
  <c r="AC35" i="22" s="1"/>
  <c r="AC36" i="22" s="1"/>
  <c r="AC37" i="22" s="1"/>
  <c r="AC38" i="22" s="1"/>
  <c r="AC39" i="22"/>
  <c r="AC40" i="22" s="1"/>
  <c r="AC41" i="22" s="1"/>
  <c r="AC42" i="22" s="1"/>
  <c r="AC43" i="22" s="1"/>
  <c r="AC44" i="22"/>
  <c r="AC45" i="22" s="1"/>
  <c r="AC46" i="22" s="1"/>
  <c r="AC47" i="22" s="1"/>
  <c r="AC48" i="22" s="1"/>
  <c r="AC49" i="22"/>
  <c r="AC50" i="22" s="1"/>
  <c r="AC51" i="22" s="1"/>
  <c r="AC52" i="22" s="1"/>
  <c r="AC53" i="22" s="1"/>
  <c r="AC54" i="22"/>
  <c r="AC55" i="22"/>
  <c r="AC56" i="22" s="1"/>
  <c r="AC57" i="22" s="1"/>
  <c r="AC58" i="22" s="1"/>
  <c r="AC59" i="22"/>
  <c r="AC60" i="22" s="1"/>
  <c r="AC61" i="22" s="1"/>
  <c r="AC62" i="22" s="1"/>
  <c r="AC63" i="22" s="1"/>
  <c r="AC64" i="22"/>
  <c r="AC65" i="22" s="1"/>
  <c r="AC66" i="22" s="1"/>
  <c r="AC67" i="22" s="1"/>
  <c r="AC68" i="22" s="1"/>
  <c r="AC69" i="22"/>
  <c r="AC70" i="22" s="1"/>
  <c r="AC71" i="22" s="1"/>
  <c r="AC72" i="22" s="1"/>
  <c r="AC73" i="22" s="1"/>
  <c r="AC74" i="22"/>
  <c r="AC75" i="22" s="1"/>
  <c r="AC76" i="22" s="1"/>
  <c r="AC77" i="22" s="1"/>
  <c r="AC78" i="22" s="1"/>
  <c r="AC79" i="22"/>
  <c r="AC80" i="22" s="1"/>
  <c r="AC81" i="22" s="1"/>
  <c r="AC82" i="22" s="1"/>
  <c r="AC83" i="22" s="1"/>
  <c r="AC84" i="22"/>
  <c r="AC85" i="22" s="1"/>
  <c r="AC86" i="22" s="1"/>
  <c r="AC87" i="22" s="1"/>
  <c r="AC88" i="22" s="1"/>
  <c r="AC89" i="22"/>
  <c r="AC90" i="22" s="1"/>
  <c r="AC91" i="22" s="1"/>
  <c r="AC92" i="22" s="1"/>
  <c r="AC93" i="22" s="1"/>
  <c r="AC94" i="22"/>
  <c r="AC95" i="22" s="1"/>
  <c r="AC96" i="22" s="1"/>
  <c r="AC97" i="22" s="1"/>
  <c r="AC98" i="22" s="1"/>
  <c r="AC99" i="22"/>
  <c r="AC100" i="22" s="1"/>
  <c r="AC101" i="22" s="1"/>
  <c r="AC102" i="22" s="1"/>
  <c r="AC103" i="22" s="1"/>
  <c r="AC104" i="22"/>
  <c r="AC105" i="22" s="1"/>
  <c r="AC106" i="22" s="1"/>
  <c r="AC107" i="22" s="1"/>
  <c r="AC108" i="22" s="1"/>
  <c r="AC109" i="22"/>
  <c r="AC110" i="22" s="1"/>
  <c r="AC111" i="22" s="1"/>
  <c r="AC112" i="22" s="1"/>
  <c r="AC113" i="22" s="1"/>
  <c r="AC114" i="22"/>
  <c r="AC115" i="22" s="1"/>
  <c r="AC116" i="22" s="1"/>
  <c r="AC117" i="22" s="1"/>
  <c r="AC118" i="22" s="1"/>
  <c r="AC119" i="22"/>
  <c r="AC120" i="22" s="1"/>
  <c r="AC121" i="22" s="1"/>
  <c r="AC122" i="22" s="1"/>
  <c r="AC123" i="22" s="1"/>
  <c r="AC244" i="22"/>
  <c r="AC245" i="22" s="1"/>
  <c r="AC246" i="22" s="1"/>
  <c r="AC247" i="22" s="1"/>
  <c r="AC248" i="22" s="1"/>
  <c r="AC249" i="22"/>
  <c r="AC250" i="22" s="1"/>
  <c r="AC251" i="22" s="1"/>
  <c r="AC252" i="22" s="1"/>
  <c r="AC253" i="22" s="1"/>
  <c r="AC254" i="22"/>
  <c r="AC255" i="22" s="1"/>
  <c r="AC256" i="22" s="1"/>
  <c r="AC257" i="22" s="1"/>
  <c r="AC258" i="22" s="1"/>
  <c r="AC259" i="22"/>
  <c r="AC260" i="22" s="1"/>
  <c r="AC261" i="22" s="1"/>
  <c r="AC262" i="22" s="1"/>
  <c r="AC263" i="22" s="1"/>
  <c r="AC264" i="22"/>
  <c r="AC265" i="22" s="1"/>
  <c r="AC266" i="22" s="1"/>
  <c r="AC267" i="22" s="1"/>
  <c r="AC268" i="22" s="1"/>
  <c r="AC269" i="22"/>
  <c r="AC270" i="22" s="1"/>
  <c r="AC271" i="22" s="1"/>
  <c r="AC272" i="22" s="1"/>
  <c r="AC273" i="22" s="1"/>
  <c r="AC274" i="22"/>
  <c r="AC275" i="22" s="1"/>
  <c r="AC276" i="22" s="1"/>
  <c r="AC277" i="22" s="1"/>
  <c r="AC278" i="22" s="1"/>
  <c r="AC279" i="22"/>
  <c r="AC280" i="22" s="1"/>
  <c r="AC281" i="22" s="1"/>
  <c r="AC282" i="22" s="1"/>
  <c r="AC283" i="22" s="1"/>
  <c r="AC9" i="22"/>
  <c r="AC10" i="22" s="1"/>
  <c r="AC11" i="22" s="1"/>
  <c r="AC12" i="22" s="1"/>
  <c r="AC13" i="22" s="1"/>
  <c r="N9" i="22"/>
  <c r="N10" i="22" s="1"/>
  <c r="N11" i="22" s="1"/>
  <c r="N12" i="22" s="1"/>
  <c r="N13" i="22" s="1"/>
  <c r="N14" i="22"/>
  <c r="N15" i="22" s="1"/>
  <c r="N16" i="22" s="1"/>
  <c r="N17" i="22" s="1"/>
  <c r="N18" i="22" s="1"/>
  <c r="N19" i="22"/>
  <c r="N20" i="22" s="1"/>
  <c r="N21" i="22" s="1"/>
  <c r="N22" i="22" s="1"/>
  <c r="N23" i="22" s="1"/>
  <c r="N24" i="22"/>
  <c r="N25" i="22" s="1"/>
  <c r="N26" i="22" s="1"/>
  <c r="N27" i="22" s="1"/>
  <c r="N28" i="22" s="1"/>
  <c r="N29" i="22"/>
  <c r="N30" i="22" s="1"/>
  <c r="N31" i="22" s="1"/>
  <c r="N32" i="22" s="1"/>
  <c r="N33" i="22" s="1"/>
  <c r="N34" i="22"/>
  <c r="N35" i="22" s="1"/>
  <c r="N36" i="22" s="1"/>
  <c r="N37" i="22" s="1"/>
  <c r="N38" i="22" s="1"/>
  <c r="N39" i="22"/>
  <c r="N40" i="22" s="1"/>
  <c r="N41" i="22" s="1"/>
  <c r="N42" i="22" s="1"/>
  <c r="N43" i="22" s="1"/>
  <c r="N44" i="22"/>
  <c r="N45" i="22" s="1"/>
  <c r="N46" i="22" s="1"/>
  <c r="N47" i="22" s="1"/>
  <c r="N48" i="22" s="1"/>
  <c r="N49" i="22"/>
  <c r="N50" i="22" s="1"/>
  <c r="N51" i="22" s="1"/>
  <c r="N52" i="22" s="1"/>
  <c r="N53" i="22" s="1"/>
  <c r="N54" i="22"/>
  <c r="N55" i="22" s="1"/>
  <c r="N56" i="22" s="1"/>
  <c r="N57" i="22" s="1"/>
  <c r="N58" i="22" s="1"/>
  <c r="N59" i="22"/>
  <c r="N60" i="22" s="1"/>
  <c r="N61" i="22" s="1"/>
  <c r="N62" i="22" s="1"/>
  <c r="N63" i="22" s="1"/>
  <c r="N64" i="22"/>
  <c r="N65" i="22" s="1"/>
  <c r="N66" i="22" s="1"/>
  <c r="N67" i="22" s="1"/>
  <c r="N68" i="22" s="1"/>
  <c r="N69" i="22"/>
  <c r="N70" i="22" s="1"/>
  <c r="N71" i="22" s="1"/>
  <c r="N72" i="22" s="1"/>
  <c r="N73" i="22" s="1"/>
  <c r="N74" i="22"/>
  <c r="N75" i="22" s="1"/>
  <c r="N76" i="22" s="1"/>
  <c r="N77" i="22" s="1"/>
  <c r="N78" i="22" s="1"/>
  <c r="N79" i="22"/>
  <c r="N80" i="22" s="1"/>
  <c r="N81" i="22" s="1"/>
  <c r="N82" i="22" s="1"/>
  <c r="N83" i="22" s="1"/>
  <c r="N84" i="22"/>
  <c r="N85" i="22" s="1"/>
  <c r="N86" i="22" s="1"/>
  <c r="N87" i="22" s="1"/>
  <c r="N88" i="22" s="1"/>
  <c r="N89" i="22"/>
  <c r="N90" i="22" s="1"/>
  <c r="N91" i="22" s="1"/>
  <c r="N92" i="22" s="1"/>
  <c r="N93" i="22" s="1"/>
  <c r="N94" i="22"/>
  <c r="N95" i="22" s="1"/>
  <c r="N96" i="22" s="1"/>
  <c r="N97" i="22" s="1"/>
  <c r="N98" i="22" s="1"/>
  <c r="N99" i="22"/>
  <c r="N100" i="22" s="1"/>
  <c r="N101" i="22" s="1"/>
  <c r="N102" i="22" s="1"/>
  <c r="N103" i="22" s="1"/>
  <c r="N104" i="22"/>
  <c r="N105" i="22" s="1"/>
  <c r="N106" i="22" s="1"/>
  <c r="N107" i="22" s="1"/>
  <c r="N108" i="22" s="1"/>
  <c r="N109" i="22"/>
  <c r="N110" i="22" s="1"/>
  <c r="N111" i="22" s="1"/>
  <c r="N112" i="22" s="1"/>
  <c r="N113" i="22" s="1"/>
  <c r="N114" i="22"/>
  <c r="N115" i="22" s="1"/>
  <c r="N116" i="22" s="1"/>
  <c r="N117" i="22" s="1"/>
  <c r="N118" i="22" s="1"/>
  <c r="N119" i="22"/>
  <c r="N120" i="22" s="1"/>
  <c r="N121" i="22" s="1"/>
  <c r="N122" i="22" s="1"/>
  <c r="N123" i="22" s="1"/>
  <c r="N244" i="22"/>
  <c r="N245" i="22" s="1"/>
  <c r="N246" i="22" s="1"/>
  <c r="N247" i="22" s="1"/>
  <c r="N248" i="22" s="1"/>
  <c r="N249" i="22"/>
  <c r="N250" i="22" s="1"/>
  <c r="N251" i="22" s="1"/>
  <c r="N252" i="22" s="1"/>
  <c r="N253" i="22" s="1"/>
  <c r="N254" i="22"/>
  <c r="N255" i="22" s="1"/>
  <c r="N256" i="22" s="1"/>
  <c r="N257" i="22" s="1"/>
  <c r="N258" i="22" s="1"/>
  <c r="N259" i="22"/>
  <c r="N260" i="22" s="1"/>
  <c r="N261" i="22" s="1"/>
  <c r="N262" i="22" s="1"/>
  <c r="N263" i="22" s="1"/>
  <c r="N264" i="22"/>
  <c r="N265" i="22" s="1"/>
  <c r="N266" i="22" s="1"/>
  <c r="N267" i="22" s="1"/>
  <c r="N268" i="22" s="1"/>
  <c r="BI9" i="19"/>
  <c r="BI10" i="19" s="1"/>
  <c r="BI11" i="19" s="1"/>
  <c r="BI12" i="19" s="1"/>
  <c r="BI13" i="19" s="1"/>
  <c r="BI14" i="19"/>
  <c r="BI15" i="19" s="1"/>
  <c r="BI16" i="19" s="1"/>
  <c r="BI17" i="19" s="1"/>
  <c r="BI18" i="19" s="1"/>
  <c r="BI19" i="19"/>
  <c r="BI20" i="19" s="1"/>
  <c r="BI21" i="19" s="1"/>
  <c r="BI22" i="19" s="1"/>
  <c r="BI23" i="19" s="1"/>
  <c r="BI24" i="19"/>
  <c r="BI25" i="19" s="1"/>
  <c r="BI26" i="19" s="1"/>
  <c r="BI27" i="19" s="1"/>
  <c r="BI28" i="19" s="1"/>
  <c r="BI29" i="19"/>
  <c r="BI30" i="19" s="1"/>
  <c r="BI31" i="19" s="1"/>
  <c r="BI32" i="19" s="1"/>
  <c r="BI33" i="19" s="1"/>
  <c r="BI34" i="19"/>
  <c r="BI35" i="19" s="1"/>
  <c r="BI36" i="19" s="1"/>
  <c r="BI37" i="19" s="1"/>
  <c r="BI38" i="19" s="1"/>
  <c r="BI39" i="19"/>
  <c r="BI40" i="19" s="1"/>
  <c r="BI41" i="19" s="1"/>
  <c r="BI42" i="19" s="1"/>
  <c r="BI43" i="19" s="1"/>
  <c r="BI44" i="19"/>
  <c r="BI45" i="19" s="1"/>
  <c r="BI46" i="19" s="1"/>
  <c r="BI47" i="19" s="1"/>
  <c r="BI48" i="19" s="1"/>
  <c r="BI49" i="19"/>
  <c r="BI50" i="19" s="1"/>
  <c r="BI51" i="19" s="1"/>
  <c r="BI52" i="19" s="1"/>
  <c r="BI53" i="19" s="1"/>
  <c r="BI54" i="19"/>
  <c r="BI55" i="19" s="1"/>
  <c r="BI56" i="19" s="1"/>
  <c r="BI57" i="19" s="1"/>
  <c r="BI58" i="19" s="1"/>
  <c r="BI59" i="19"/>
  <c r="BI60" i="19" s="1"/>
  <c r="BI61" i="19" s="1"/>
  <c r="BI62" i="19" s="1"/>
  <c r="BI63" i="19" s="1"/>
  <c r="BI64" i="19"/>
  <c r="BI65" i="19" s="1"/>
  <c r="BI66" i="19" s="1"/>
  <c r="BI67" i="19" s="1"/>
  <c r="BI68" i="19" s="1"/>
  <c r="BI69" i="19"/>
  <c r="BI70" i="19" s="1"/>
  <c r="BI71" i="19" s="1"/>
  <c r="BI72" i="19" s="1"/>
  <c r="BI73" i="19" s="1"/>
  <c r="BI74" i="19"/>
  <c r="BI75" i="19" s="1"/>
  <c r="BI76" i="19" s="1"/>
  <c r="BI77" i="19" s="1"/>
  <c r="BI78" i="19" s="1"/>
  <c r="BI79" i="19"/>
  <c r="BI80" i="19" s="1"/>
  <c r="BI81" i="19" s="1"/>
  <c r="BI82" i="19" s="1"/>
  <c r="BI83" i="19" s="1"/>
  <c r="BI84" i="19"/>
  <c r="BI85" i="19" s="1"/>
  <c r="BI86" i="19" s="1"/>
  <c r="BI87" i="19" s="1"/>
  <c r="BI88" i="19" s="1"/>
  <c r="BI89" i="19"/>
  <c r="BI90" i="19" s="1"/>
  <c r="BI91" i="19" s="1"/>
  <c r="BI92" i="19" s="1"/>
  <c r="BI93" i="19" s="1"/>
  <c r="BI94" i="19"/>
  <c r="BI95" i="19" s="1"/>
  <c r="BI96" i="19" s="1"/>
  <c r="BI97" i="19" s="1"/>
  <c r="BI98" i="19" s="1"/>
  <c r="BI99" i="19"/>
  <c r="BI100" i="19" s="1"/>
  <c r="BI101" i="19" s="1"/>
  <c r="BI102" i="19" s="1"/>
  <c r="BI103" i="19" s="1"/>
  <c r="BI104" i="19"/>
  <c r="BI105" i="19" s="1"/>
  <c r="BI106" i="19" s="1"/>
  <c r="BI107" i="19" s="1"/>
  <c r="BI108" i="19" s="1"/>
  <c r="BI109" i="19"/>
  <c r="BI110" i="19" s="1"/>
  <c r="BI111" i="19" s="1"/>
  <c r="BI112" i="19" s="1"/>
  <c r="BI113" i="19" s="1"/>
  <c r="BI114" i="19"/>
  <c r="BI115" i="19" s="1"/>
  <c r="BI116" i="19" s="1"/>
  <c r="BI117" i="19" s="1"/>
  <c r="BI118" i="19" s="1"/>
  <c r="BI119" i="19"/>
  <c r="BI120" i="19" s="1"/>
  <c r="BI121" i="19" s="1"/>
  <c r="BI122" i="19" s="1"/>
  <c r="BI123" i="19" s="1"/>
  <c r="AS14" i="19"/>
  <c r="AS15" i="19" s="1"/>
  <c r="AS16" i="19" s="1"/>
  <c r="AS17" i="19" s="1"/>
  <c r="AS18" i="19" s="1"/>
  <c r="AS19" i="19"/>
  <c r="AS20" i="19" s="1"/>
  <c r="AS21" i="19" s="1"/>
  <c r="AS22" i="19" s="1"/>
  <c r="AS23" i="19" s="1"/>
  <c r="AS24" i="19"/>
  <c r="AS25" i="19" s="1"/>
  <c r="AS26" i="19" s="1"/>
  <c r="AS27" i="19" s="1"/>
  <c r="AS28" i="19" s="1"/>
  <c r="AS29" i="19"/>
  <c r="AS30" i="19" s="1"/>
  <c r="AS31" i="19" s="1"/>
  <c r="AS32" i="19" s="1"/>
  <c r="AS33" i="19" s="1"/>
  <c r="AS34" i="19"/>
  <c r="AS35" i="19" s="1"/>
  <c r="AS36" i="19" s="1"/>
  <c r="AS37" i="19" s="1"/>
  <c r="AS38" i="19" s="1"/>
  <c r="AS39" i="19"/>
  <c r="AS40" i="19" s="1"/>
  <c r="AS41" i="19" s="1"/>
  <c r="AS42" i="19" s="1"/>
  <c r="AS43" i="19" s="1"/>
  <c r="AS44" i="19"/>
  <c r="AS45" i="19" s="1"/>
  <c r="AS46" i="19" s="1"/>
  <c r="AS47" i="19" s="1"/>
  <c r="AS48" i="19" s="1"/>
  <c r="AS49" i="19"/>
  <c r="AS50" i="19" s="1"/>
  <c r="AS51" i="19" s="1"/>
  <c r="AS52" i="19" s="1"/>
  <c r="AS53" i="19" s="1"/>
  <c r="AS54" i="19"/>
  <c r="AS55" i="19" s="1"/>
  <c r="AS56" i="19" s="1"/>
  <c r="AS57" i="19" s="1"/>
  <c r="AS58" i="19" s="1"/>
  <c r="AS59" i="19"/>
  <c r="AS60" i="19"/>
  <c r="AS61" i="19" s="1"/>
  <c r="AS62" i="19" s="1"/>
  <c r="AS63" i="19" s="1"/>
  <c r="AS64" i="19"/>
  <c r="AS65" i="19" s="1"/>
  <c r="AS66" i="19" s="1"/>
  <c r="AS67" i="19" s="1"/>
  <c r="AS68" i="19" s="1"/>
  <c r="AS69" i="19"/>
  <c r="AS70" i="19" s="1"/>
  <c r="AS71" i="19" s="1"/>
  <c r="AS72" i="19" s="1"/>
  <c r="AS73" i="19" s="1"/>
  <c r="AS74" i="19"/>
  <c r="AS75" i="19" s="1"/>
  <c r="AS76" i="19" s="1"/>
  <c r="AS77" i="19" s="1"/>
  <c r="AS78" i="19" s="1"/>
  <c r="AS79" i="19"/>
  <c r="AS80" i="19" s="1"/>
  <c r="AS81" i="19" s="1"/>
  <c r="AS82" i="19" s="1"/>
  <c r="AS83" i="19" s="1"/>
  <c r="AS84" i="19"/>
  <c r="AS85" i="19" s="1"/>
  <c r="AS86" i="19" s="1"/>
  <c r="AS87" i="19" s="1"/>
  <c r="AS88" i="19" s="1"/>
  <c r="AS89" i="19"/>
  <c r="AS90" i="19" s="1"/>
  <c r="AS91" i="19" s="1"/>
  <c r="AS92" i="19" s="1"/>
  <c r="AS93" i="19" s="1"/>
  <c r="AS94" i="19"/>
  <c r="AS95" i="19" s="1"/>
  <c r="AS96" i="19" s="1"/>
  <c r="AS97" i="19" s="1"/>
  <c r="AS98" i="19" s="1"/>
  <c r="AS99" i="19"/>
  <c r="AS100" i="19" s="1"/>
  <c r="AS101" i="19" s="1"/>
  <c r="AS102" i="19" s="1"/>
  <c r="AS103" i="19" s="1"/>
  <c r="AS104" i="19"/>
  <c r="AS105" i="19" s="1"/>
  <c r="AS106" i="19" s="1"/>
  <c r="AS107" i="19" s="1"/>
  <c r="AS108" i="19" s="1"/>
  <c r="AS109" i="19"/>
  <c r="AS110" i="19" s="1"/>
  <c r="AS111" i="19" s="1"/>
  <c r="AS112" i="19" s="1"/>
  <c r="AS113" i="19" s="1"/>
  <c r="AS114" i="19"/>
  <c r="AS115" i="19" s="1"/>
  <c r="AS116" i="19" s="1"/>
  <c r="AS117" i="19" s="1"/>
  <c r="AS118" i="19" s="1"/>
  <c r="AS119" i="19"/>
  <c r="AS120" i="19" s="1"/>
  <c r="AS121" i="19" s="1"/>
  <c r="AS122" i="19" s="1"/>
  <c r="AS123" i="19" s="1"/>
  <c r="AS9" i="19"/>
  <c r="AS10" i="19" s="1"/>
  <c r="AS11" i="19" s="1"/>
  <c r="AS12" i="19" s="1"/>
  <c r="AS13" i="19" s="1"/>
  <c r="AS4" i="19"/>
  <c r="AS5" i="19" s="1"/>
  <c r="AS6" i="19" s="1"/>
  <c r="AS7" i="19" s="1"/>
  <c r="AS8" i="19" s="1"/>
  <c r="AC254" i="19"/>
  <c r="AC255" i="19" s="1"/>
  <c r="AC256" i="19" s="1"/>
  <c r="AC257" i="19" s="1"/>
  <c r="AC258" i="19" s="1"/>
  <c r="AC259" i="19"/>
  <c r="AC260" i="19" s="1"/>
  <c r="AC261" i="19" s="1"/>
  <c r="AC262" i="19" s="1"/>
  <c r="AC263" i="19" s="1"/>
  <c r="AC264" i="19"/>
  <c r="AC265" i="19" s="1"/>
  <c r="AC266" i="19" s="1"/>
  <c r="AC267" i="19" s="1"/>
  <c r="AC268" i="19" s="1"/>
  <c r="AC269" i="19"/>
  <c r="AC270" i="19" s="1"/>
  <c r="AC271" i="19" s="1"/>
  <c r="AC272" i="19" s="1"/>
  <c r="AC273" i="19" s="1"/>
  <c r="AC274" i="19"/>
  <c r="AC275" i="19" s="1"/>
  <c r="AC276" i="19" s="1"/>
  <c r="AC277" i="19" s="1"/>
  <c r="AC278" i="19" s="1"/>
  <c r="AC279" i="19"/>
  <c r="AC280" i="19" s="1"/>
  <c r="AC281" i="19" s="1"/>
  <c r="AC282" i="19" s="1"/>
  <c r="AC283" i="19" s="1"/>
  <c r="AC284" i="19"/>
  <c r="AC285" i="19" s="1"/>
  <c r="AC286" i="19" s="1"/>
  <c r="AC287" i="19" s="1"/>
  <c r="AC288" i="19" s="1"/>
  <c r="AC289" i="19"/>
  <c r="AC290" i="19" s="1"/>
  <c r="AC291" i="19" s="1"/>
  <c r="AC292" i="19" s="1"/>
  <c r="AC293" i="19" s="1"/>
  <c r="AC294" i="19"/>
  <c r="AC295" i="19" s="1"/>
  <c r="AC296" i="19" s="1"/>
  <c r="AC297" i="19" s="1"/>
  <c r="AC298" i="19" s="1"/>
  <c r="AC299" i="19"/>
  <c r="AC300" i="19" s="1"/>
  <c r="AC301" i="19" s="1"/>
  <c r="AC302" i="19" s="1"/>
  <c r="AC303" i="19" s="1"/>
  <c r="AC249" i="19"/>
  <c r="AC250" i="19" s="1"/>
  <c r="AC251" i="19" s="1"/>
  <c r="AC252" i="19" s="1"/>
  <c r="AC253" i="19" s="1"/>
  <c r="AC244" i="19"/>
  <c r="AC245" i="19" s="1"/>
  <c r="AC246" i="19" s="1"/>
  <c r="AC247" i="19" s="1"/>
  <c r="AC248" i="19" s="1"/>
  <c r="AC14" i="19"/>
  <c r="AC15" i="19" s="1"/>
  <c r="AC16" i="19" s="1"/>
  <c r="AC17" i="19" s="1"/>
  <c r="AC18" i="19" s="1"/>
  <c r="AC19" i="19"/>
  <c r="AC20" i="19" s="1"/>
  <c r="AC21" i="19" s="1"/>
  <c r="AC22" i="19" s="1"/>
  <c r="AC23" i="19" s="1"/>
  <c r="AC24" i="19"/>
  <c r="AC25" i="19" s="1"/>
  <c r="AC26" i="19" s="1"/>
  <c r="AC27" i="19" s="1"/>
  <c r="AC28" i="19" s="1"/>
  <c r="AC29" i="19"/>
  <c r="AC30" i="19" s="1"/>
  <c r="AC31" i="19" s="1"/>
  <c r="AC32" i="19" s="1"/>
  <c r="AC33" i="19" s="1"/>
  <c r="AC34" i="19"/>
  <c r="AC35" i="19" s="1"/>
  <c r="AC36" i="19" s="1"/>
  <c r="AC37" i="19" s="1"/>
  <c r="AC38" i="19" s="1"/>
  <c r="AC39" i="19"/>
  <c r="AC40" i="19" s="1"/>
  <c r="AC41" i="19" s="1"/>
  <c r="AC42" i="19" s="1"/>
  <c r="AC43" i="19" s="1"/>
  <c r="AC44" i="19"/>
  <c r="AC45" i="19" s="1"/>
  <c r="AC46" i="19" s="1"/>
  <c r="AC47" i="19" s="1"/>
  <c r="AC48" i="19" s="1"/>
  <c r="AC49" i="19"/>
  <c r="AC50" i="19" s="1"/>
  <c r="AC51" i="19" s="1"/>
  <c r="AC52" i="19" s="1"/>
  <c r="AC53" i="19" s="1"/>
  <c r="AC54" i="19"/>
  <c r="AC55" i="19" s="1"/>
  <c r="AC56" i="19" s="1"/>
  <c r="AC57" i="19" s="1"/>
  <c r="AC58" i="19" s="1"/>
  <c r="AC59" i="19"/>
  <c r="AC60" i="19" s="1"/>
  <c r="AC61" i="19" s="1"/>
  <c r="AC62" i="19" s="1"/>
  <c r="AC63" i="19" s="1"/>
  <c r="AC64" i="19"/>
  <c r="AC65" i="19" s="1"/>
  <c r="AC66" i="19" s="1"/>
  <c r="AC67" i="19" s="1"/>
  <c r="AC68" i="19" s="1"/>
  <c r="AC69" i="19"/>
  <c r="AC70" i="19" s="1"/>
  <c r="AC71" i="19" s="1"/>
  <c r="AC72" i="19" s="1"/>
  <c r="AC73" i="19" s="1"/>
  <c r="AC74" i="19"/>
  <c r="AC75" i="19" s="1"/>
  <c r="AC76" i="19" s="1"/>
  <c r="AC77" i="19" s="1"/>
  <c r="AC78" i="19" s="1"/>
  <c r="AC79" i="19"/>
  <c r="AC80" i="19" s="1"/>
  <c r="AC81" i="19" s="1"/>
  <c r="AC82" i="19" s="1"/>
  <c r="AC83" i="19" s="1"/>
  <c r="AC84" i="19"/>
  <c r="AC85" i="19" s="1"/>
  <c r="AC86" i="19" s="1"/>
  <c r="AC87" i="19" s="1"/>
  <c r="AC88" i="19" s="1"/>
  <c r="AC89" i="19"/>
  <c r="AC90" i="19" s="1"/>
  <c r="AC91" i="19" s="1"/>
  <c r="AC92" i="19" s="1"/>
  <c r="AC93" i="19" s="1"/>
  <c r="AC94" i="19"/>
  <c r="AC95" i="19" s="1"/>
  <c r="AC96" i="19" s="1"/>
  <c r="AC97" i="19" s="1"/>
  <c r="AC98" i="19" s="1"/>
  <c r="AC99" i="19"/>
  <c r="AC100" i="19" s="1"/>
  <c r="AC101" i="19" s="1"/>
  <c r="AC102" i="19" s="1"/>
  <c r="AC103" i="19" s="1"/>
  <c r="AC104" i="19"/>
  <c r="AC105" i="19" s="1"/>
  <c r="AC106" i="19" s="1"/>
  <c r="AC107" i="19" s="1"/>
  <c r="AC108" i="19" s="1"/>
  <c r="AC109" i="19"/>
  <c r="AC110" i="19" s="1"/>
  <c r="AC111" i="19" s="1"/>
  <c r="AC112" i="19" s="1"/>
  <c r="AC113" i="19" s="1"/>
  <c r="AC114" i="19"/>
  <c r="AC115" i="19" s="1"/>
  <c r="AC116" i="19" s="1"/>
  <c r="AC117" i="19" s="1"/>
  <c r="AC118" i="19" s="1"/>
  <c r="AC119" i="19"/>
  <c r="AC120" i="19" s="1"/>
  <c r="AC121" i="19" s="1"/>
  <c r="AC122" i="19" s="1"/>
  <c r="AC123" i="19" s="1"/>
  <c r="AC9" i="19"/>
  <c r="AC10" i="19" s="1"/>
  <c r="AC11" i="19" s="1"/>
  <c r="AC12" i="19" s="1"/>
  <c r="AC13" i="19" s="1"/>
  <c r="AC4" i="19"/>
  <c r="AC5" i="19" s="1"/>
  <c r="AC6" i="19" s="1"/>
  <c r="AC7" i="19" s="1"/>
  <c r="AC8" i="19" s="1"/>
  <c r="N14" i="19"/>
  <c r="N15" i="19" s="1"/>
  <c r="N16" i="19" s="1"/>
  <c r="N17" i="19" s="1"/>
  <c r="N18" i="19" s="1"/>
  <c r="N19" i="19"/>
  <c r="N20" i="19" s="1"/>
  <c r="N21" i="19" s="1"/>
  <c r="N22" i="19" s="1"/>
  <c r="N23" i="19" s="1"/>
  <c r="N24" i="19"/>
  <c r="N25" i="19" s="1"/>
  <c r="N26" i="19" s="1"/>
  <c r="N27" i="19" s="1"/>
  <c r="N28" i="19" s="1"/>
  <c r="N29" i="19"/>
  <c r="N30" i="19" s="1"/>
  <c r="N31" i="19" s="1"/>
  <c r="N32" i="19" s="1"/>
  <c r="N33" i="19" s="1"/>
  <c r="N34" i="19"/>
  <c r="N35" i="19" s="1"/>
  <c r="N36" i="19" s="1"/>
  <c r="N37" i="19" s="1"/>
  <c r="N38" i="19" s="1"/>
  <c r="N39" i="19"/>
  <c r="N40" i="19" s="1"/>
  <c r="N41" i="19" s="1"/>
  <c r="N42" i="19" s="1"/>
  <c r="N43" i="19" s="1"/>
  <c r="N44" i="19"/>
  <c r="N45" i="19" s="1"/>
  <c r="N46" i="19" s="1"/>
  <c r="N47" i="19" s="1"/>
  <c r="N48" i="19" s="1"/>
  <c r="N49" i="19"/>
  <c r="N50" i="19" s="1"/>
  <c r="N51" i="19" s="1"/>
  <c r="N52" i="19" s="1"/>
  <c r="N53" i="19" s="1"/>
  <c r="N54" i="19"/>
  <c r="N55" i="19" s="1"/>
  <c r="N56" i="19" s="1"/>
  <c r="N57" i="19" s="1"/>
  <c r="N58" i="19" s="1"/>
  <c r="N59" i="19"/>
  <c r="N60" i="19" s="1"/>
  <c r="N61" i="19" s="1"/>
  <c r="N62" i="19" s="1"/>
  <c r="N63" i="19" s="1"/>
  <c r="N64" i="19"/>
  <c r="N65" i="19" s="1"/>
  <c r="N66" i="19" s="1"/>
  <c r="N67" i="19" s="1"/>
  <c r="N68" i="19" s="1"/>
  <c r="N69" i="19"/>
  <c r="N70" i="19" s="1"/>
  <c r="N71" i="19" s="1"/>
  <c r="N72" i="19" s="1"/>
  <c r="N73" i="19" s="1"/>
  <c r="N74" i="19"/>
  <c r="N75" i="19" s="1"/>
  <c r="N76" i="19" s="1"/>
  <c r="N77" i="19" s="1"/>
  <c r="N78" i="19" s="1"/>
  <c r="N79" i="19"/>
  <c r="N80" i="19" s="1"/>
  <c r="N81" i="19" s="1"/>
  <c r="N82" i="19" s="1"/>
  <c r="N83" i="19" s="1"/>
  <c r="N84" i="19"/>
  <c r="N85" i="19" s="1"/>
  <c r="N86" i="19" s="1"/>
  <c r="N87" i="19" s="1"/>
  <c r="N88" i="19" s="1"/>
  <c r="N89" i="19"/>
  <c r="N90" i="19" s="1"/>
  <c r="N91" i="19" s="1"/>
  <c r="N92" i="19" s="1"/>
  <c r="N93" i="19" s="1"/>
  <c r="N94" i="19"/>
  <c r="N95" i="19" s="1"/>
  <c r="N96" i="19" s="1"/>
  <c r="N97" i="19" s="1"/>
  <c r="N98" i="19" s="1"/>
  <c r="N99" i="19"/>
  <c r="N100" i="19" s="1"/>
  <c r="N101" i="19" s="1"/>
  <c r="N102" i="19" s="1"/>
  <c r="N103" i="19" s="1"/>
  <c r="N104" i="19"/>
  <c r="N105" i="19" s="1"/>
  <c r="N106" i="19" s="1"/>
  <c r="N107" i="19" s="1"/>
  <c r="N108" i="19" s="1"/>
  <c r="N109" i="19"/>
  <c r="N110" i="19" s="1"/>
  <c r="N111" i="19" s="1"/>
  <c r="N112" i="19" s="1"/>
  <c r="N113" i="19" s="1"/>
  <c r="N114" i="19"/>
  <c r="N115" i="19" s="1"/>
  <c r="N116" i="19" s="1"/>
  <c r="N117" i="19" s="1"/>
  <c r="N118" i="19" s="1"/>
  <c r="N119" i="19"/>
  <c r="N120" i="19" s="1"/>
  <c r="N121" i="19" s="1"/>
  <c r="N122" i="19" s="1"/>
  <c r="N123" i="19" s="1"/>
  <c r="N9" i="19"/>
  <c r="N10" i="19" s="1"/>
  <c r="N11" i="19" s="1"/>
  <c r="N12" i="19" s="1"/>
  <c r="N13" i="19" s="1"/>
  <c r="A13" i="26" l="1"/>
  <c r="A25" i="26"/>
  <c r="A37" i="26"/>
  <c r="A49" i="26"/>
  <c r="A61" i="26"/>
  <c r="A73" i="26"/>
  <c r="A85" i="26"/>
  <c r="A97" i="26"/>
  <c r="A109" i="26"/>
  <c r="A121" i="26"/>
  <c r="A133" i="26"/>
  <c r="A145" i="26"/>
  <c r="A157" i="26"/>
  <c r="A169" i="26"/>
  <c r="A181" i="26"/>
  <c r="A193" i="26"/>
  <c r="A205" i="26"/>
  <c r="A217" i="26"/>
  <c r="A229" i="26"/>
  <c r="A241" i="26"/>
  <c r="A253" i="26"/>
  <c r="A265" i="26"/>
  <c r="A277" i="26"/>
  <c r="A289" i="26"/>
  <c r="A301" i="26"/>
  <c r="A5" i="26"/>
  <c r="A17" i="26"/>
  <c r="A29" i="26"/>
  <c r="A41" i="26"/>
  <c r="A53" i="26"/>
  <c r="A65" i="26"/>
  <c r="A77" i="26"/>
  <c r="A89" i="26"/>
  <c r="A101" i="26"/>
  <c r="A113" i="26"/>
  <c r="A125" i="26"/>
  <c r="A137" i="26"/>
  <c r="A149" i="26"/>
  <c r="A161" i="26"/>
  <c r="A173" i="26"/>
  <c r="A185" i="26"/>
  <c r="A197" i="26"/>
  <c r="A209" i="26"/>
  <c r="A221" i="26"/>
  <c r="A233" i="26"/>
  <c r="A245" i="26"/>
  <c r="A257" i="26"/>
  <c r="A269" i="26"/>
  <c r="A281" i="26"/>
  <c r="A293" i="26"/>
  <c r="A305" i="26"/>
  <c r="A294" i="26"/>
  <c r="A67" i="26"/>
  <c r="A115" i="26"/>
  <c r="A139" i="26"/>
  <c r="A175" i="26"/>
  <c r="A199" i="26"/>
  <c r="A235" i="26"/>
  <c r="A247" i="26"/>
  <c r="A283" i="26"/>
  <c r="A307" i="26"/>
  <c r="A8" i="26"/>
  <c r="A44" i="26"/>
  <c r="A56" i="26"/>
  <c r="A92" i="26"/>
  <c r="A140" i="26"/>
  <c r="A188" i="26"/>
  <c r="A224" i="26"/>
  <c r="A248" i="26"/>
  <c r="A272" i="26"/>
  <c r="A6" i="26"/>
  <c r="A18" i="26"/>
  <c r="A30" i="26"/>
  <c r="A42" i="26"/>
  <c r="A54" i="26"/>
  <c r="A66" i="26"/>
  <c r="A78" i="26"/>
  <c r="A90" i="26"/>
  <c r="A102" i="26"/>
  <c r="A114" i="26"/>
  <c r="A126" i="26"/>
  <c r="A138" i="26"/>
  <c r="A150" i="26"/>
  <c r="A162" i="26"/>
  <c r="A174" i="26"/>
  <c r="A186" i="26"/>
  <c r="A198" i="26"/>
  <c r="A210" i="26"/>
  <c r="A222" i="26"/>
  <c r="A234" i="26"/>
  <c r="A246" i="26"/>
  <c r="A258" i="26"/>
  <c r="A270" i="26"/>
  <c r="A282" i="26"/>
  <c r="A306" i="26"/>
  <c r="A91" i="26"/>
  <c r="A163" i="26"/>
  <c r="A211" i="26"/>
  <c r="A259" i="26"/>
  <c r="A295" i="26"/>
  <c r="A20" i="26"/>
  <c r="A68" i="26"/>
  <c r="A128" i="26"/>
  <c r="A164" i="26"/>
  <c r="A200" i="26"/>
  <c r="A236" i="26"/>
  <c r="A284" i="26"/>
  <c r="A7" i="26"/>
  <c r="A19" i="26"/>
  <c r="A31" i="26"/>
  <c r="A43" i="26"/>
  <c r="A55" i="26"/>
  <c r="A79" i="26"/>
  <c r="A103" i="26"/>
  <c r="A127" i="26"/>
  <c r="A151" i="26"/>
  <c r="A187" i="26"/>
  <c r="A223" i="26"/>
  <c r="A271" i="26"/>
  <c r="A32" i="26"/>
  <c r="A80" i="26"/>
  <c r="A116" i="26"/>
  <c r="A152" i="26"/>
  <c r="A176" i="26"/>
  <c r="A212" i="26"/>
  <c r="A260" i="26"/>
  <c r="A296" i="26"/>
  <c r="A104" i="26"/>
  <c r="A11" i="26"/>
  <c r="A23" i="26"/>
  <c r="A35" i="26"/>
  <c r="A47" i="26"/>
  <c r="A59" i="26"/>
  <c r="A71" i="26"/>
  <c r="A83" i="26"/>
  <c r="A95" i="26"/>
  <c r="A107" i="26"/>
  <c r="A119" i="26"/>
  <c r="A131" i="26"/>
  <c r="A143" i="26"/>
  <c r="A155" i="26"/>
  <c r="A167" i="26"/>
  <c r="A179" i="26"/>
  <c r="A191" i="26"/>
  <c r="A203" i="26"/>
  <c r="A215" i="26"/>
  <c r="A227" i="26"/>
  <c r="A239" i="26"/>
  <c r="A251" i="26"/>
  <c r="A263" i="26"/>
  <c r="A275" i="26"/>
  <c r="A287" i="26"/>
  <c r="A299" i="26"/>
  <c r="A12" i="26"/>
  <c r="A24" i="26"/>
  <c r="A36" i="26"/>
  <c r="A48" i="26"/>
  <c r="A60" i="26"/>
  <c r="A72" i="26"/>
  <c r="A84" i="26"/>
  <c r="A96" i="26"/>
  <c r="A108" i="26"/>
  <c r="A120" i="26"/>
  <c r="A132" i="26"/>
  <c r="A144" i="26"/>
  <c r="A156" i="26"/>
  <c r="A168" i="26"/>
  <c r="A180" i="26"/>
  <c r="A192" i="26"/>
  <c r="A204" i="26"/>
  <c r="A216" i="26"/>
  <c r="A34" i="26"/>
  <c r="A63" i="26"/>
  <c r="A93" i="26"/>
  <c r="A122" i="26"/>
  <c r="A148" i="26"/>
  <c r="A178" i="26"/>
  <c r="A304" i="26"/>
  <c r="A9" i="26"/>
  <c r="A38" i="26"/>
  <c r="A64" i="26"/>
  <c r="A94" i="26"/>
  <c r="A123" i="26"/>
  <c r="A153" i="26"/>
  <c r="A182" i="26"/>
  <c r="A208" i="26"/>
  <c r="A237" i="26"/>
  <c r="A261" i="26"/>
  <c r="A285" i="26"/>
  <c r="A10" i="26"/>
  <c r="A39" i="26"/>
  <c r="A69" i="26"/>
  <c r="A98" i="26"/>
  <c r="A124" i="26"/>
  <c r="A154" i="26"/>
  <c r="A183" i="26"/>
  <c r="A213" i="26"/>
  <c r="A238" i="26"/>
  <c r="A262" i="26"/>
  <c r="A286" i="26"/>
  <c r="A15" i="26"/>
  <c r="A45" i="26"/>
  <c r="A74" i="26"/>
  <c r="A100" i="26"/>
  <c r="A130" i="26"/>
  <c r="A159" i="26"/>
  <c r="A189" i="26"/>
  <c r="A218" i="26"/>
  <c r="A242" i="26"/>
  <c r="A266" i="26"/>
  <c r="A290" i="26"/>
  <c r="A194" i="26"/>
  <c r="A244" i="26"/>
  <c r="A268" i="26"/>
  <c r="A280" i="26"/>
  <c r="A14" i="26"/>
  <c r="A40" i="26"/>
  <c r="A70" i="26"/>
  <c r="A99" i="26"/>
  <c r="A129" i="26"/>
  <c r="A158" i="26"/>
  <c r="A184" i="26"/>
  <c r="A214" i="26"/>
  <c r="A240" i="26"/>
  <c r="A264" i="26"/>
  <c r="A288" i="26"/>
  <c r="A16" i="26"/>
  <c r="A46" i="26"/>
  <c r="A75" i="26"/>
  <c r="A105" i="26"/>
  <c r="A134" i="26"/>
  <c r="A160" i="26"/>
  <c r="A190" i="26"/>
  <c r="A219" i="26"/>
  <c r="A243" i="26"/>
  <c r="A267" i="26"/>
  <c r="A291" i="26"/>
  <c r="A21" i="26"/>
  <c r="A50" i="26"/>
  <c r="A76" i="26"/>
  <c r="A106" i="26"/>
  <c r="A135" i="26"/>
  <c r="A165" i="26"/>
  <c r="A220" i="26"/>
  <c r="A292" i="26"/>
  <c r="A22" i="26"/>
  <c r="A51" i="26"/>
  <c r="A81" i="26"/>
  <c r="A110" i="26"/>
  <c r="A136" i="26"/>
  <c r="A166" i="26"/>
  <c r="A195" i="26"/>
  <c r="A225" i="26"/>
  <c r="A249" i="26"/>
  <c r="A273" i="26"/>
  <c r="A297" i="26"/>
  <c r="A26" i="26"/>
  <c r="A82" i="26"/>
  <c r="A111" i="26"/>
  <c r="A170" i="26"/>
  <c r="A226" i="26"/>
  <c r="A250" i="26"/>
  <c r="A298" i="26"/>
  <c r="A201" i="26"/>
  <c r="A252" i="26"/>
  <c r="A300" i="26"/>
  <c r="A88" i="26"/>
  <c r="A206" i="26"/>
  <c r="A303" i="26"/>
  <c r="A256" i="26"/>
  <c r="A52" i="26"/>
  <c r="A141" i="26"/>
  <c r="A196" i="26"/>
  <c r="A274" i="26"/>
  <c r="A276" i="26"/>
  <c r="A147" i="26"/>
  <c r="A255" i="26"/>
  <c r="A207" i="26"/>
  <c r="A27" i="26"/>
  <c r="A57" i="26"/>
  <c r="A86" i="26"/>
  <c r="A112" i="26"/>
  <c r="A142" i="26"/>
  <c r="A171" i="26"/>
  <c r="A228" i="26"/>
  <c r="A118" i="26"/>
  <c r="A231" i="26"/>
  <c r="A232" i="26"/>
  <c r="A28" i="26"/>
  <c r="A58" i="26"/>
  <c r="A87" i="26"/>
  <c r="A117" i="26"/>
  <c r="A146" i="26"/>
  <c r="A172" i="26"/>
  <c r="A202" i="26"/>
  <c r="A230" i="26"/>
  <c r="A254" i="26"/>
  <c r="A278" i="26"/>
  <c r="A302" i="26"/>
  <c r="A33" i="26"/>
  <c r="A62" i="26"/>
  <c r="A177" i="26"/>
  <c r="A279" i="26"/>
  <c r="H5" i="26"/>
  <c r="H17" i="26"/>
  <c r="H29" i="26"/>
  <c r="H41" i="26"/>
  <c r="H53" i="26"/>
  <c r="H65" i="26"/>
  <c r="H77" i="26"/>
  <c r="H89" i="26"/>
  <c r="H101" i="26"/>
  <c r="H113" i="26"/>
  <c r="H125" i="26"/>
  <c r="H137" i="26"/>
  <c r="H149" i="26"/>
  <c r="H161" i="26"/>
  <c r="H173" i="26"/>
  <c r="H185" i="26"/>
  <c r="H197" i="26"/>
  <c r="H209" i="26"/>
  <c r="H221" i="26"/>
  <c r="H233" i="26"/>
  <c r="H245" i="26"/>
  <c r="H257" i="26"/>
  <c r="H6" i="26"/>
  <c r="H18" i="26"/>
  <c r="H30" i="26"/>
  <c r="H42" i="26"/>
  <c r="H66" i="26"/>
  <c r="H78" i="26"/>
  <c r="H90" i="26"/>
  <c r="H102" i="26"/>
  <c r="H114" i="26"/>
  <c r="H126" i="26"/>
  <c r="H138" i="26"/>
  <c r="H150" i="26"/>
  <c r="H162" i="26"/>
  <c r="H174" i="26"/>
  <c r="H186" i="26"/>
  <c r="H198" i="26"/>
  <c r="H210" i="26"/>
  <c r="H54" i="26"/>
  <c r="H7" i="26"/>
  <c r="H19" i="26"/>
  <c r="H8" i="26"/>
  <c r="H9" i="26"/>
  <c r="H21" i="26"/>
  <c r="H33" i="26"/>
  <c r="H45" i="26"/>
  <c r="H57" i="26"/>
  <c r="H69" i="26"/>
  <c r="H81" i="26"/>
  <c r="H93" i="26"/>
  <c r="H105" i="26"/>
  <c r="H117" i="26"/>
  <c r="H129" i="26"/>
  <c r="H141" i="26"/>
  <c r="H153" i="26"/>
  <c r="H165" i="26"/>
  <c r="H177" i="26"/>
  <c r="H189" i="26"/>
  <c r="H201" i="26"/>
  <c r="H213" i="26"/>
  <c r="H225" i="26"/>
  <c r="H237" i="26"/>
  <c r="H249" i="26"/>
  <c r="H12" i="26"/>
  <c r="H48" i="26"/>
  <c r="H72" i="26"/>
  <c r="H96" i="26"/>
  <c r="H120" i="26"/>
  <c r="H156" i="26"/>
  <c r="H168" i="26"/>
  <c r="H204" i="26"/>
  <c r="H240" i="26"/>
  <c r="H10" i="26"/>
  <c r="H22" i="26"/>
  <c r="H34" i="26"/>
  <c r="H46" i="26"/>
  <c r="H58" i="26"/>
  <c r="H70" i="26"/>
  <c r="H82" i="26"/>
  <c r="H94" i="26"/>
  <c r="H106" i="26"/>
  <c r="H118" i="26"/>
  <c r="H130" i="26"/>
  <c r="H142" i="26"/>
  <c r="H154" i="26"/>
  <c r="H166" i="26"/>
  <c r="H178" i="26"/>
  <c r="H190" i="26"/>
  <c r="H202" i="26"/>
  <c r="H214" i="26"/>
  <c r="H226" i="26"/>
  <c r="H238" i="26"/>
  <c r="H250" i="26"/>
  <c r="H24" i="26"/>
  <c r="H132" i="26"/>
  <c r="H192" i="26"/>
  <c r="H228" i="26"/>
  <c r="H11" i="26"/>
  <c r="H23" i="26"/>
  <c r="H35" i="26"/>
  <c r="H47" i="26"/>
  <c r="H59" i="26"/>
  <c r="H71" i="26"/>
  <c r="H83" i="26"/>
  <c r="H95" i="26"/>
  <c r="H107" i="26"/>
  <c r="H119" i="26"/>
  <c r="H131" i="26"/>
  <c r="H143" i="26"/>
  <c r="H155" i="26"/>
  <c r="H167" i="26"/>
  <c r="H179" i="26"/>
  <c r="H191" i="26"/>
  <c r="H203" i="26"/>
  <c r="H215" i="26"/>
  <c r="H227" i="26"/>
  <c r="H239" i="26"/>
  <c r="H251" i="26"/>
  <c r="H36" i="26"/>
  <c r="H60" i="26"/>
  <c r="H84" i="26"/>
  <c r="H108" i="26"/>
  <c r="H144" i="26"/>
  <c r="H180" i="26"/>
  <c r="H216" i="26"/>
  <c r="H252" i="26"/>
  <c r="H13" i="26"/>
  <c r="H14" i="26"/>
  <c r="H15" i="26"/>
  <c r="H27" i="26"/>
  <c r="H39" i="26"/>
  <c r="H51" i="26"/>
  <c r="H63" i="26"/>
  <c r="H75" i="26"/>
  <c r="H87" i="26"/>
  <c r="H99" i="26"/>
  <c r="H111" i="26"/>
  <c r="H123" i="26"/>
  <c r="H135" i="26"/>
  <c r="H147" i="26"/>
  <c r="H159" i="26"/>
  <c r="H171" i="26"/>
  <c r="H183" i="26"/>
  <c r="H195" i="26"/>
  <c r="H207" i="26"/>
  <c r="H219" i="26"/>
  <c r="H231" i="26"/>
  <c r="H243" i="26"/>
  <c r="H255" i="26"/>
  <c r="H16" i="26"/>
  <c r="H28" i="26"/>
  <c r="H40" i="26"/>
  <c r="H52" i="26"/>
  <c r="H64" i="26"/>
  <c r="H76" i="26"/>
  <c r="H88" i="26"/>
  <c r="H100" i="26"/>
  <c r="H112" i="26"/>
  <c r="H124" i="26"/>
  <c r="H136" i="26"/>
  <c r="H148" i="26"/>
  <c r="H160" i="26"/>
  <c r="H172" i="26"/>
  <c r="H184" i="26"/>
  <c r="H196" i="26"/>
  <c r="H208" i="26"/>
  <c r="H220" i="26"/>
  <c r="H232" i="26"/>
  <c r="H244" i="26"/>
  <c r="H256" i="26"/>
  <c r="H20" i="26"/>
  <c r="H56" i="26"/>
  <c r="H92" i="26"/>
  <c r="H128" i="26"/>
  <c r="H164" i="26"/>
  <c r="H200" i="26"/>
  <c r="H234" i="26"/>
  <c r="H25" i="26"/>
  <c r="H61" i="26"/>
  <c r="H97" i="26"/>
  <c r="H133" i="26"/>
  <c r="H169" i="26"/>
  <c r="H205" i="26"/>
  <c r="H235" i="26"/>
  <c r="H26" i="26"/>
  <c r="H62" i="26"/>
  <c r="H98" i="26"/>
  <c r="H134" i="26"/>
  <c r="H170" i="26"/>
  <c r="H206" i="26"/>
  <c r="H236" i="26"/>
  <c r="H68" i="26"/>
  <c r="H140" i="26"/>
  <c r="H176" i="26"/>
  <c r="H212" i="26"/>
  <c r="H242" i="26"/>
  <c r="H31" i="26"/>
  <c r="H67" i="26"/>
  <c r="H103" i="26"/>
  <c r="H139" i="26"/>
  <c r="H175" i="26"/>
  <c r="H211" i="26"/>
  <c r="H241" i="26"/>
  <c r="H32" i="26"/>
  <c r="H104" i="26"/>
  <c r="H37" i="26"/>
  <c r="H73" i="26"/>
  <c r="H109" i="26"/>
  <c r="H145" i="26"/>
  <c r="H181" i="26"/>
  <c r="H217" i="26"/>
  <c r="H246" i="26"/>
  <c r="H38" i="26"/>
  <c r="H74" i="26"/>
  <c r="H110" i="26"/>
  <c r="H146" i="26"/>
  <c r="H182" i="26"/>
  <c r="H218" i="26"/>
  <c r="H247" i="26"/>
  <c r="H43" i="26"/>
  <c r="H79" i="26"/>
  <c r="H115" i="26"/>
  <c r="H151" i="26"/>
  <c r="H187" i="26"/>
  <c r="H222" i="26"/>
  <c r="H248" i="26"/>
  <c r="H152" i="26"/>
  <c r="H223" i="26"/>
  <c r="H230" i="26"/>
  <c r="H44" i="26"/>
  <c r="H80" i="26"/>
  <c r="H116" i="26"/>
  <c r="H188" i="26"/>
  <c r="H253" i="26"/>
  <c r="H163" i="26"/>
  <c r="H49" i="26"/>
  <c r="H85" i="26"/>
  <c r="H121" i="26"/>
  <c r="H157" i="26"/>
  <c r="H193" i="26"/>
  <c r="H224" i="26"/>
  <c r="H254" i="26"/>
  <c r="H259" i="26"/>
  <c r="H50" i="26"/>
  <c r="H86" i="26"/>
  <c r="H122" i="26"/>
  <c r="H158" i="26"/>
  <c r="H194" i="26"/>
  <c r="H229" i="26"/>
  <c r="H258" i="26"/>
  <c r="H55" i="26"/>
  <c r="H91" i="26"/>
  <c r="H127" i="26"/>
  <c r="H199" i="26"/>
  <c r="W366" i="18"/>
  <c r="W367" i="18" s="1"/>
  <c r="W368" i="18" s="1"/>
  <c r="W369" i="18" s="1"/>
  <c r="A4" i="26"/>
  <c r="H4" i="26"/>
  <c r="C2" i="26"/>
  <c r="E2" i="26"/>
  <c r="D2" i="26"/>
  <c r="F2" i="26"/>
  <c r="I2" i="26"/>
  <c r="J2" i="26"/>
  <c r="K2" i="26"/>
  <c r="L2" i="26"/>
  <c r="M2" i="26"/>
  <c r="B2" i="26"/>
  <c r="D71" i="9" l="1"/>
  <c r="D72" i="9"/>
  <c r="D73" i="9"/>
  <c r="D74" i="9"/>
  <c r="D75" i="9"/>
  <c r="D76" i="9"/>
  <c r="D77" i="9"/>
  <c r="D78" i="9"/>
  <c r="D79" i="9"/>
  <c r="D70" i="9"/>
  <c r="D39" i="9" l="1"/>
  <c r="D40" i="9"/>
  <c r="D41" i="9"/>
  <c r="D42" i="9"/>
  <c r="D43" i="9"/>
  <c r="D44" i="9"/>
  <c r="D45" i="9"/>
  <c r="D46" i="9"/>
  <c r="D47" i="9"/>
  <c r="D48" i="9"/>
  <c r="D49" i="9"/>
  <c r="D38" i="9"/>
  <c r="X10" i="23"/>
  <c r="X15" i="23"/>
  <c r="X20" i="23"/>
  <c r="X25" i="23"/>
  <c r="X30" i="23"/>
  <c r="X35" i="23"/>
  <c r="X40" i="23"/>
  <c r="X45" i="23"/>
  <c r="X5" i="23"/>
  <c r="N4" i="22" l="1"/>
  <c r="N5" i="22" s="1"/>
  <c r="N6" i="22" s="1"/>
  <c r="N7" i="22" s="1"/>
  <c r="N8" i="22" s="1"/>
  <c r="AC4" i="22"/>
  <c r="AU5" i="20"/>
  <c r="I4" i="25" s="1" a="1"/>
  <c r="I4" i="25" s="1"/>
  <c r="W5" i="20"/>
  <c r="L5" i="17"/>
  <c r="L6" i="17" s="1"/>
  <c r="L7" i="17" s="1"/>
  <c r="L8" i="17" s="1"/>
  <c r="L9" i="17" s="1"/>
  <c r="BI4" i="19"/>
  <c r="BI5" i="19" s="1"/>
  <c r="BI6" i="19" s="1"/>
  <c r="BI7" i="19" s="1"/>
  <c r="BI8" i="19" s="1"/>
  <c r="N4" i="19"/>
  <c r="AU5" i="18"/>
  <c r="W230" i="18"/>
  <c r="B4" i="24" s="1" a="1"/>
  <c r="B4" i="24" s="1"/>
  <c r="W6" i="20" l="1"/>
  <c r="W7" i="20" s="1"/>
  <c r="W8" i="20" s="1"/>
  <c r="W9" i="20" s="1"/>
  <c r="B4" i="25" a="1"/>
  <c r="I2" i="25"/>
  <c r="K2" i="25"/>
  <c r="M2" i="25"/>
  <c r="L2" i="25"/>
  <c r="J2" i="25"/>
  <c r="N5" i="19"/>
  <c r="N6" i="19" s="1"/>
  <c r="N7" i="19" s="1"/>
  <c r="N8" i="19" s="1"/>
  <c r="B4" i="27" a="1"/>
  <c r="W231" i="18"/>
  <c r="W232" i="18" s="1"/>
  <c r="W233" i="18" s="1"/>
  <c r="W234" i="18" s="1"/>
  <c r="AU6" i="18"/>
  <c r="AU7" i="18" s="1"/>
  <c r="AU8" i="18" s="1"/>
  <c r="AU9" i="18" s="1"/>
  <c r="I4" i="24" a="1"/>
  <c r="AC5" i="22"/>
  <c r="AC6" i="22" s="1"/>
  <c r="AC7" i="22" s="1"/>
  <c r="AC8" i="22" s="1"/>
  <c r="I4" i="27" a="1"/>
  <c r="AU6" i="20"/>
  <c r="AU7" i="20" s="1"/>
  <c r="AU8" i="20" s="1"/>
  <c r="AU9" i="20" s="1"/>
  <c r="AC3" i="20"/>
  <c r="B2" i="22"/>
  <c r="Q2" i="19"/>
  <c r="U2" i="19"/>
  <c r="S2" i="19"/>
  <c r="T2" i="19"/>
  <c r="AI2" i="19"/>
  <c r="AJ2" i="19"/>
  <c r="AK2" i="19"/>
  <c r="AH2" i="19"/>
  <c r="AG2" i="19"/>
  <c r="AY2" i="19"/>
  <c r="AZ2" i="19"/>
  <c r="BA2" i="19"/>
  <c r="AW2" i="19"/>
  <c r="D2" i="19"/>
  <c r="B3" i="18"/>
  <c r="D3" i="18"/>
  <c r="E3" i="18"/>
  <c r="F3" i="18"/>
  <c r="Z3" i="18"/>
  <c r="AA3" i="18"/>
  <c r="AB3" i="18"/>
  <c r="V9" i="12"/>
  <c r="V13" i="12"/>
  <c r="V17" i="12"/>
  <c r="V21" i="12"/>
  <c r="V25" i="12"/>
  <c r="V29" i="12"/>
  <c r="V33" i="12"/>
  <c r="V37" i="12"/>
  <c r="V41" i="12"/>
  <c r="V45" i="12"/>
  <c r="V49" i="12"/>
  <c r="V53" i="12"/>
  <c r="V57" i="12"/>
  <c r="V61" i="12"/>
  <c r="V5" i="12"/>
  <c r="H13" i="6"/>
  <c r="I13" i="6" s="1"/>
  <c r="F13" i="6"/>
  <c r="G13" i="6" s="1"/>
  <c r="O13" i="6" s="1"/>
  <c r="H12" i="6"/>
  <c r="I12" i="6" s="1"/>
  <c r="F12" i="6"/>
  <c r="G12" i="6" s="1"/>
  <c r="O12" i="6" s="1"/>
  <c r="B3" i="20" l="1"/>
  <c r="Z3" i="20"/>
  <c r="AA3" i="20"/>
  <c r="AB3" i="20"/>
  <c r="AD3" i="20"/>
  <c r="B4" i="25"/>
  <c r="C2" i="25"/>
  <c r="B2" i="25"/>
  <c r="D2" i="25"/>
  <c r="E2" i="25"/>
  <c r="F2" i="25"/>
  <c r="B2" i="19"/>
  <c r="C2" i="19"/>
  <c r="F2" i="19"/>
  <c r="E2" i="19"/>
  <c r="Q2" i="22"/>
  <c r="B4" i="27"/>
  <c r="F2" i="27"/>
  <c r="E2" i="27"/>
  <c r="B2" i="27"/>
  <c r="C2" i="27"/>
  <c r="D2" i="27"/>
  <c r="AD3" i="18"/>
  <c r="AC3" i="18"/>
  <c r="I4" i="24"/>
  <c r="K2" i="24"/>
  <c r="I2" i="24"/>
  <c r="J2" i="24"/>
  <c r="M2" i="24"/>
  <c r="L2" i="24"/>
  <c r="E2" i="24"/>
  <c r="C2" i="24"/>
  <c r="D2" i="24"/>
  <c r="B2" i="24"/>
  <c r="F2" i="24"/>
  <c r="I4" i="27"/>
  <c r="K2" i="27"/>
  <c r="I2" i="27"/>
  <c r="L2" i="27"/>
  <c r="J2" i="27"/>
  <c r="M2" i="27"/>
  <c r="M12" i="6"/>
  <c r="N12" i="6" s="1"/>
  <c r="P12" i="6" s="1"/>
  <c r="Q12" i="6" s="1"/>
  <c r="M13" i="6"/>
  <c r="N13" i="6" s="1"/>
  <c r="P13" i="6" s="1"/>
  <c r="Q13" i="6" s="1"/>
  <c r="J5" i="12" l="1"/>
  <c r="J73" i="12" l="1"/>
  <c r="K73" i="12"/>
  <c r="J77" i="12"/>
  <c r="K77" i="12"/>
  <c r="K69" i="12"/>
  <c r="J69" i="12"/>
  <c r="K65" i="12"/>
  <c r="J65" i="12"/>
  <c r="K61" i="12"/>
  <c r="J61" i="12"/>
  <c r="K57" i="12"/>
  <c r="J57" i="12"/>
  <c r="K53" i="12"/>
  <c r="J53" i="12"/>
  <c r="K49" i="12"/>
  <c r="J49" i="12"/>
  <c r="K45" i="12"/>
  <c r="J45" i="12"/>
  <c r="K41" i="12"/>
  <c r="J41" i="12"/>
  <c r="K37" i="12"/>
  <c r="J37" i="12"/>
  <c r="K33" i="12"/>
  <c r="J33" i="12"/>
  <c r="K29" i="12"/>
  <c r="J29" i="12"/>
  <c r="K25" i="12"/>
  <c r="J25" i="12"/>
  <c r="K21" i="12"/>
  <c r="J21" i="12"/>
  <c r="K17" i="12"/>
  <c r="J17" i="12"/>
  <c r="K13" i="12"/>
  <c r="J13" i="12"/>
  <c r="K9" i="12"/>
  <c r="J9" i="12"/>
  <c r="K5" i="12"/>
  <c r="BG16" i="10" l="1" a="1"/>
  <c r="BG16" i="10" s="1"/>
  <c r="BG17" i="10" a="1"/>
  <c r="BG17" i="10" s="1"/>
  <c r="BG18" i="10" a="1"/>
  <c r="BG18" i="10" s="1"/>
  <c r="BG19" i="10" a="1"/>
  <c r="BG19" i="10" s="1"/>
  <c r="BG20" i="10" a="1"/>
  <c r="BG20" i="10" s="1"/>
  <c r="BG21" i="10" a="1"/>
  <c r="BG21" i="10" s="1"/>
  <c r="BG22" i="10" a="1"/>
  <c r="BG22" i="10" s="1"/>
  <c r="BG15" i="10" a="1"/>
  <c r="BG15" i="10" s="1"/>
  <c r="AY16" i="10" a="1"/>
  <c r="AY16" i="10" s="1"/>
  <c r="AY17" i="10" a="1"/>
  <c r="AY17" i="10" s="1"/>
  <c r="AY18" i="10" a="1"/>
  <c r="AY18" i="10" s="1"/>
  <c r="AY19" i="10" a="1"/>
  <c r="AY19" i="10" s="1"/>
  <c r="AY20" i="10" a="1"/>
  <c r="AY20" i="10" s="1"/>
  <c r="AY21" i="10" a="1"/>
  <c r="AY21" i="10" s="1"/>
  <c r="AY22" i="10" a="1"/>
  <c r="AY22" i="10" s="1"/>
  <c r="AY15" i="10" a="1"/>
  <c r="AY15" i="10" s="1"/>
  <c r="AQ16" i="10" a="1"/>
  <c r="AQ16" i="10" s="1"/>
  <c r="AQ17" i="10" a="1"/>
  <c r="AQ17" i="10" s="1"/>
  <c r="AQ18" i="10" a="1"/>
  <c r="AQ18" i="10" s="1"/>
  <c r="AQ19" i="10" a="1"/>
  <c r="AQ19" i="10" s="1"/>
  <c r="AQ20" i="10" a="1"/>
  <c r="AQ20" i="10" s="1"/>
  <c r="AQ21" i="10" a="1"/>
  <c r="AQ21" i="10" s="1"/>
  <c r="AQ22" i="10" a="1"/>
  <c r="AQ22" i="10" s="1"/>
  <c r="AQ15" i="10" a="1"/>
  <c r="AQ15" i="10" s="1"/>
  <c r="AI16" i="10" a="1"/>
  <c r="AI16" i="10" s="1"/>
  <c r="AI17" i="10" a="1"/>
  <c r="AI17" i="10" s="1"/>
  <c r="AI18" i="10" a="1"/>
  <c r="AI18" i="10" s="1"/>
  <c r="AI19" i="10" a="1"/>
  <c r="AI19" i="10" s="1"/>
  <c r="AI20" i="10" a="1"/>
  <c r="AI20" i="10" s="1"/>
  <c r="AI21" i="10" a="1"/>
  <c r="AI21" i="10" s="1"/>
  <c r="AI22" i="10" a="1"/>
  <c r="AI22" i="10" s="1"/>
  <c r="AI15" i="10" a="1"/>
  <c r="AI15" i="10" s="1"/>
  <c r="AA16" i="10" a="1"/>
  <c r="AA16" i="10" s="1"/>
  <c r="AA17" i="10" a="1"/>
  <c r="AA17" i="10" s="1"/>
  <c r="AA18" i="10" a="1"/>
  <c r="AA18" i="10" s="1"/>
  <c r="AA19" i="10" a="1"/>
  <c r="AA19" i="10" s="1"/>
  <c r="AA20" i="10" a="1"/>
  <c r="AA20" i="10" s="1"/>
  <c r="AA21" i="10" a="1"/>
  <c r="AA21" i="10" s="1"/>
  <c r="AA22" i="10" a="1"/>
  <c r="AA22" i="10" s="1"/>
  <c r="AA15" i="10" a="1"/>
  <c r="AA15" i="10" s="1"/>
  <c r="S16" i="10" l="1" a="1"/>
  <c r="S16" i="10" s="1"/>
  <c r="S17" i="10" a="1"/>
  <c r="S17" i="10" s="1"/>
  <c r="S18" i="10" a="1"/>
  <c r="S18" i="10" s="1"/>
  <c r="S19" i="10" a="1"/>
  <c r="S19" i="10" s="1"/>
  <c r="S20" i="10" a="1"/>
  <c r="S20" i="10" s="1"/>
  <c r="S21" i="10" a="1"/>
  <c r="S21" i="10" s="1"/>
  <c r="S22" i="10" a="1"/>
  <c r="S22" i="10" s="1"/>
  <c r="S15" i="10" a="1"/>
  <c r="S15" i="10" s="1"/>
  <c r="K16" i="10" a="1"/>
  <c r="K16" i="10" s="1"/>
  <c r="K17" i="10" a="1"/>
  <c r="K17" i="10" s="1"/>
  <c r="K18" i="10" a="1"/>
  <c r="K18" i="10" s="1"/>
  <c r="K19" i="10" a="1"/>
  <c r="K19" i="10" s="1"/>
  <c r="K20" i="10" a="1"/>
  <c r="K20" i="10" s="1"/>
  <c r="K21" i="10" a="1"/>
  <c r="K21" i="10" s="1"/>
  <c r="K22" i="10" a="1"/>
  <c r="K22" i="10" s="1"/>
  <c r="K15" i="10" a="1"/>
  <c r="K15" i="10" s="1"/>
  <c r="C16" i="10" a="1"/>
  <c r="C16" i="10" s="1"/>
  <c r="C17" i="10" a="1"/>
  <c r="C17" i="10" s="1"/>
  <c r="C18" i="10" a="1"/>
  <c r="C18" i="10" s="1"/>
  <c r="C19" i="10" a="1"/>
  <c r="C19" i="10" s="1"/>
  <c r="C20" i="10" a="1"/>
  <c r="C20" i="10" s="1"/>
  <c r="C21" i="10" a="1"/>
  <c r="C21" i="10" s="1"/>
  <c r="C22" i="10" a="1"/>
  <c r="C22" i="10" s="1"/>
  <c r="C15" i="10" a="1"/>
  <c r="C15" i="10" s="1"/>
  <c r="Q36" i="10"/>
  <c r="Q37" i="10"/>
  <c r="Q38" i="10"/>
  <c r="Q39" i="10"/>
  <c r="Q40" i="10"/>
  <c r="Q41" i="10"/>
  <c r="Q42" i="10"/>
  <c r="Q43" i="10"/>
  <c r="Q44" i="10"/>
  <c r="Q45" i="10"/>
  <c r="Q46" i="10"/>
  <c r="Q47" i="10"/>
  <c r="Q48" i="10"/>
  <c r="Q49" i="10"/>
  <c r="Q50" i="10"/>
  <c r="Q51" i="10"/>
  <c r="Q52" i="10"/>
  <c r="Q53" i="10"/>
  <c r="Q54" i="10"/>
  <c r="Q55" i="10"/>
  <c r="Q56" i="10"/>
  <c r="Q57" i="10"/>
  <c r="Q58" i="10"/>
  <c r="Q59" i="10"/>
  <c r="Q60" i="10"/>
  <c r="Q61" i="10"/>
  <c r="Q62" i="10"/>
  <c r="Q63" i="10"/>
  <c r="Q64" i="10"/>
  <c r="Q65" i="10"/>
  <c r="Q66" i="10"/>
  <c r="Q67" i="10"/>
  <c r="Q68" i="10"/>
  <c r="Q69" i="10"/>
  <c r="Q70" i="10"/>
  <c r="Q71" i="10"/>
  <c r="Q72" i="10"/>
  <c r="Q73" i="10"/>
  <c r="Q74" i="10"/>
  <c r="Q75" i="10"/>
  <c r="Q76" i="10"/>
  <c r="Q77" i="10"/>
  <c r="Q78" i="10"/>
  <c r="Q79" i="10"/>
  <c r="Q80" i="10"/>
  <c r="Q81" i="10"/>
  <c r="Q82" i="10"/>
  <c r="Q83" i="10"/>
  <c r="Q84" i="10"/>
  <c r="Q85" i="10"/>
  <c r="Q86" i="10"/>
  <c r="Q87" i="10"/>
  <c r="Q88" i="10"/>
  <c r="Q89" i="10"/>
  <c r="Q90" i="10"/>
  <c r="Q35" i="10"/>
  <c r="C3" i="18" l="1"/>
  <c r="C3" i="20"/>
  <c r="F3" i="20"/>
  <c r="E3" i="20"/>
  <c r="D3" i="20"/>
  <c r="R2" i="19"/>
  <c r="AX2" i="19"/>
  <c r="R2" i="22"/>
  <c r="S2" i="22"/>
  <c r="T2" i="22"/>
  <c r="U2" i="22"/>
  <c r="C2" i="22"/>
  <c r="F2" i="22"/>
  <c r="E2" i="22"/>
  <c r="D2"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tc={31C1F917-D29E-40EE-AD72-E889904B3FDA}</author>
  </authors>
  <commentList>
    <comment ref="Y169" authorId="0" shapeId="0" xr:uid="{31C1F917-D29E-40EE-AD72-E889904B3FDA}">
      <text>
        <t>[Threaded comment]
Your version of Excel allows you to read this threaded comment; however, any edits to it will get removed if the file is opened in a newer version of Excel. Learn more: https://go.microsoft.com/fwlink/?linkid=870924
Comment:
    Additional measurements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tc={98DA97FE-7F77-4EE1-A110-5E79C75ACC06}</author>
  </authors>
  <commentList>
    <comment ref="Y365" authorId="0" shapeId="0" xr:uid="{98DA97FE-7F77-4EE1-A110-5E79C75ACC06}">
      <text>
        <t>[Threaded comment]
Your version of Excel allows you to read this threaded comment; however, any edits to it will get removed if the file is opened in a newer version of Excel. Learn more: https://go.microsoft.com/fwlink/?linkid=870924
Comment:
    Additional measurements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<sst xmlns="http://schemas.openxmlformats.org/spreadsheetml/2006/main" count="5008" uniqueCount="357">
  <si>
    <t>Build</t>
  </si>
  <si>
    <t>Time at a frequency [1/100s]</t>
  </si>
  <si>
    <t>Odroid10 throttling time [1/100s]</t>
  </si>
  <si>
    <t>#run</t>
  </si>
  <si>
    <t>Flags</t>
  </si>
  <si>
    <t>N</t>
  </si>
  <si>
    <t>NB</t>
  </si>
  <si>
    <t>P</t>
  </si>
  <si>
    <t>Q</t>
  </si>
  <si>
    <t>Time</t>
  </si>
  <si>
    <t>GFLOPS</t>
  </si>
  <si>
    <t>Date</t>
  </si>
  <si>
    <t>1700MHz</t>
  </si>
  <si>
    <t>1800MHz</t>
  </si>
  <si>
    <t>1900MHz</t>
  </si>
  <si>
    <t>Average GFLOPS</t>
  </si>
  <si>
    <t>WR00L2L2</t>
  </si>
  <si>
    <t>Odroid11 throttling time [1/100s]</t>
  </si>
  <si>
    <t>Odroid12 throttling time [1/100s]</t>
  </si>
  <si>
    <t>Odroid13 throttling time [1/100s]</t>
  </si>
  <si>
    <t>RUN</t>
  </si>
  <si>
    <t>? MHz</t>
  </si>
  <si>
    <t>Old builds, no throttling information</t>
  </si>
  <si>
    <t>NEW builds, no throttling information</t>
  </si>
  <si>
    <t>OdroidMC1, big runs on small cores and vice-versa</t>
  </si>
  <si>
    <t>optimized-big-atlasarch-tune,</t>
  </si>
  <si>
    <t>big</t>
  </si>
  <si>
    <t>optimized-big-atlasarch-tune</t>
  </si>
  <si>
    <t>atlarch</t>
  </si>
  <si>
    <t>optimized-big-arch-tune,</t>
  </si>
  <si>
    <t>optimized-big-arch-tune</t>
  </si>
  <si>
    <t>cpu-tune</t>
  </si>
  <si>
    <t>big-arch-tune</t>
  </si>
  <si>
    <t>optimized-big-atlasarch-tune2,</t>
  </si>
  <si>
    <t>optimized-big-atlasarch-tune2</t>
  </si>
  <si>
    <t>arch-native-tune</t>
  </si>
  <si>
    <t>big-atlasarch-tune2</t>
  </si>
  <si>
    <t>optimized-big</t>
  </si>
  <si>
    <t>optimized-small</t>
  </si>
  <si>
    <t>cpu-tune-overr</t>
  </si>
  <si>
    <t>big-arch7a-tune</t>
  </si>
  <si>
    <t>optimized-big-flags</t>
  </si>
  <si>
    <t>optimized-small-atlasarch-tune</t>
  </si>
  <si>
    <t>atlarch-flags</t>
  </si>
  <si>
    <t>optimized-big-arch-tune-flags</t>
  </si>
  <si>
    <t>big-cpu</t>
  </si>
  <si>
    <t>optimized-small-arch-tune</t>
  </si>
  <si>
    <t>cpu-tune-flags</t>
  </si>
  <si>
    <t>optimized-big-arch7a-tune</t>
  </si>
  <si>
    <t>optimized-small-atlasarch-tune2</t>
  </si>
  <si>
    <t>arch-native-tune-flags</t>
  </si>
  <si>
    <t>big-noMHz</t>
  </si>
  <si>
    <t>optimized-big-arch7a-tune-flags</t>
  </si>
  <si>
    <t>cpu-tune-overr-flags</t>
  </si>
  <si>
    <t>big-flags</t>
  </si>
  <si>
    <t>big-arch-tune-flags</t>
  </si>
  <si>
    <t>big-atlasarch-tune2-flags</t>
  </si>
  <si>
    <t>big-arch7a-tune-flags</t>
  </si>
  <si>
    <t>optimized-small-arch-tune-flags</t>
  </si>
  <si>
    <t>big-cpu-flags</t>
  </si>
  <si>
    <t>optimized-small-arch-tune-flags-taskset</t>
  </si>
  <si>
    <t>big-noMHz-flags</t>
  </si>
  <si>
    <t>optimized-big-noMHZ</t>
  </si>
  <si>
    <t>optimized-small-flags</t>
  </si>
  <si>
    <t>small-cpu</t>
  </si>
  <si>
    <t>SBC</t>
  </si>
  <si>
    <t>Cores</t>
  </si>
  <si>
    <t>march</t>
  </si>
  <si>
    <t>mcpu</t>
  </si>
  <si>
    <t>mtune</t>
  </si>
  <si>
    <t>fpu</t>
  </si>
  <si>
    <t>mfloat-abi</t>
  </si>
  <si>
    <t>ostalo</t>
  </si>
  <si>
    <t>ostalo (Thumb)</t>
  </si>
  <si>
    <t>Rpi 1B</t>
  </si>
  <si>
    <t>armv6</t>
  </si>
  <si>
    <t>arm1176jzf-s</t>
  </si>
  <si>
    <t>vfpv2 (alias is vfp)</t>
  </si>
  <si>
    <t>hard</t>
  </si>
  <si>
    <t>Thumb</t>
  </si>
  <si>
    <t>16KB L1 and no L2</t>
  </si>
  <si>
    <t>Cubieboard2</t>
  </si>
  <si>
    <t>armv7-a</t>
  </si>
  <si>
    <t>cortex-a7</t>
  </si>
  <si>
    <t>neon-vfpv4</t>
  </si>
  <si>
    <t>-funsafe-math-optimizations</t>
  </si>
  <si>
    <t>Thumb-2</t>
  </si>
  <si>
    <t>OdroidU3</t>
  </si>
  <si>
    <t>cortex-a9</t>
  </si>
  <si>
    <t>neon-vfpv3 (alias is neon)</t>
  </si>
  <si>
    <t>Thumb or Thumb-2</t>
  </si>
  <si>
    <t>1MB L2 cache total? From paper…</t>
  </si>
  <si>
    <t>OdroidMC1</t>
  </si>
  <si>
    <t>LITTLE</t>
  </si>
  <si>
    <t>2 sockets, 2,5MB L2 cache per socket</t>
  </si>
  <si>
    <t>Big</t>
  </si>
  <si>
    <t>cortex-a15</t>
  </si>
  <si>
    <t>HPL Runs (fixed parameters)</t>
  </si>
  <si>
    <t>Number of nodes</t>
  </si>
  <si>
    <t>Node</t>
  </si>
  <si>
    <t>Total memory of a node (kB)</t>
  </si>
  <si>
    <t>N, alpha</t>
  </si>
  <si>
    <t>N, alpha (NB round)</t>
  </si>
  <si>
    <t>N, beta</t>
  </si>
  <si>
    <t>N, beta (NB round)</t>
  </si>
  <si>
    <t>Ns difference</t>
  </si>
  <si>
    <t>Half of the Ns difference</t>
  </si>
  <si>
    <t>N1</t>
  </si>
  <si>
    <t>N2</t>
  </si>
  <si>
    <t>N3</t>
  </si>
  <si>
    <t>Percentage of mem</t>
  </si>
  <si>
    <t>Board</t>
  </si>
  <si>
    <t>Odroid MC1 Solo (Revised Odroid-XU4)</t>
  </si>
  <si>
    <t>Odroid MC1 (Odroid XU4)</t>
  </si>
  <si>
    <t>SoC</t>
  </si>
  <si>
    <t>Exynos5422</t>
  </si>
  <si>
    <t>OS</t>
  </si>
  <si>
    <t>Ubuntu 18.04.6 LTS</t>
  </si>
  <si>
    <t>CPU</t>
  </si>
  <si>
    <t>ARM Cortex-A7</t>
  </si>
  <si>
    <t>ARM Cortex-A15</t>
  </si>
  <si>
    <t>Kernel</t>
  </si>
  <si>
    <t>4.14.180-178 armv7l</t>
  </si>
  <si>
    <t>ARM ISA</t>
  </si>
  <si>
    <t>ARMv7-A</t>
  </si>
  <si>
    <t>MPI implementation</t>
  </si>
  <si>
    <t>MPICH 3.4.3</t>
  </si>
  <si>
    <t>Cores/Clock</t>
  </si>
  <si>
    <t>4 × 1.4GHz</t>
  </si>
  <si>
    <t>4 × 2.0GHz</t>
  </si>
  <si>
    <t>BLAS 1</t>
  </si>
  <si>
    <t>ATLAS 3.10.3</t>
  </si>
  <si>
    <t>Cache</t>
  </si>
  <si>
    <t>512 KB of L2 cache</t>
  </si>
  <si>
    <t>2 MB of L2 cache</t>
  </si>
  <si>
    <t>BLAS 2</t>
  </si>
  <si>
    <t>OpenBLAS 0.3.23</t>
  </si>
  <si>
    <t>DP FLOPs/cycle</t>
  </si>
  <si>
    <t>0.5</t>
  </si>
  <si>
    <t>HPL</t>
  </si>
  <si>
    <t>Netlib, 2.3</t>
  </si>
  <si>
    <t>Rpeak</t>
  </si>
  <si>
    <t>0.75 GFLOPs</t>
  </si>
  <si>
    <t>4 GFLOPs</t>
  </si>
  <si>
    <t>Memory</t>
  </si>
  <si>
    <t>2 GB LP-DDR3, 750 MHz</t>
  </si>
  <si>
    <t>Ethernet [Mbps]</t>
  </si>
  <si>
    <t>10/100/1000</t>
  </si>
  <si>
    <t>Storage employed</t>
  </si>
  <si>
    <t>MicroSD: Kingston Canvas Select Plus, 16GB, U1, V10, A1 (initially)
Kingston EP MicroSDXC, EP Series 64GB MICRO SDXC V30 A1 (later measurements)</t>
  </si>
  <si>
    <t>Release year**</t>
  </si>
  <si>
    <t>Odroid MC1</t>
  </si>
  <si>
    <t>Flags used for building ATLAS</t>
  </si>
  <si>
    <t>Flags used for flagsearching - mandatory</t>
  </si>
  <si>
    <t>Flags used for building HPL</t>
  </si>
  <si>
    <t>Machine setup for building HPL</t>
  </si>
  <si>
    <t>NOTE</t>
  </si>
  <si>
    <t>-D c -DWALL -b 32 -A ARMa7 --force-tids="4 0 1 2 3"</t>
  </si>
  <si>
    <t>-O2 -mcpu=cortex-a7 -fno-schedule-insns -fselective-scheduling2</t>
  </si>
  <si>
    <t>odroid12</t>
  </si>
  <si>
    <t>-D c -DWALL -b 32 -A ARMa7 --force-tids="4 0 1 2 3" -Fa al "-mcpu=cortex-a7 -mfloat-abi=hard -mfpu=neon-vfpv4"</t>
  </si>
  <si>
    <t>-O2 -mcpu=cortex-a7 -fno-schedule-insns -fselective-scheduling2 -mfloat-abi=hard -mfpu=neon-vfpv4</t>
  </si>
  <si>
    <t>-O2 -fselective-scheduling2 -mcpu=cortex-a7 -mfloat-abi=hard -mfpu=neon-vfpv4 (implied by -A ARMa15 and custom ones)</t>
  </si>
  <si>
    <t>odroid10</t>
  </si>
  <si>
    <t>-D c -DWALL -b 32 --force-tids="4 0 1 2 3" -F al "-march=armv7 -mtune=cortex-a7 -mfloat-abi=hard -mfpu=neon-vfpv4"</t>
  </si>
  <si>
    <t>-march=armv7 -mtune=cortex-a7 -mfloat-abi=hard -mfpu=neon-vfpv4</t>
  </si>
  <si>
    <t>Odroid13</t>
  </si>
  <si>
    <t>overridea li -F i task-set?</t>
  </si>
  <si>
    <t>-D c -DWALL -b 32 -A ARMa15 --force-tids="4 4 5 6 7"</t>
  </si>
  <si>
    <t>-O2 -fno-schedule-insns -fno-schedule-insns2 -fprefetch-loop-arrays</t>
  </si>
  <si>
    <t>-O2 -fselective-scheduling2 (implied by -A ARMa15)</t>
  </si>
  <si>
    <t>Odroid10</t>
  </si>
  <si>
    <t>made without taskset</t>
  </si>
  <si>
    <t>-D c -DWALL -b 32 -A ARMa15 --force-tids="4 4 5 6 7" -Fa al "-mcpu=cortex-a15 -mfloat-abi=hard -mfpu=neon-vfpv4"</t>
  </si>
  <si>
    <t>-O2 -fno-schedule-insns -fno-schedule-insns2 -fprefetch-loop-arrays -mcpu=cortex-a15 -mfloat-abi=hard -mfpu=neon-vfpv4</t>
  </si>
  <si>
    <t>-O2 -fselective-scheduling2 -mcpu=cortex-a15 -mfloat-abi=hard -mfpu=neon-vfpv4 (implied by -A ARMa15 and the custom ones)</t>
  </si>
  <si>
    <t>-D c -DWALL -b 32 --force-tids="4 4 5 6 7" -F al "-march=armv7 -mtune=cortex-a15 -mfloat-abi=hard -mfpu=neon-vfpv4"</t>
  </si>
  <si>
    <t>-march=armv7 -mtune=cortex-a15 -mfloat-abi=hard -mfpu=neon-vfpv4</t>
  </si>
  <si>
    <t>Odroid12</t>
  </si>
  <si>
    <t>-D c -DWALL -b 32 -A ARMa7 --force-tids="4 0 1 2 3" -Fa al "-mtune=cortex-a7 -mfloat-abi=hard -mfpu=neon-vfpv4"</t>
  </si>
  <si>
    <t>-O2 -fselective-scheduling2 -mtune=cortex-a7 -mfloat-abi=hard -mfpu=neon-vfpv4</t>
  </si>
  <si>
    <t>Odroid11</t>
  </si>
  <si>
    <t>-D c -DWALL -b 32 -A ARMa15 --force-tids="4 4 5 6 7" -Fa al "-mtune=cortex-a15 -mfloat-abi=hard -mfpu=neon-vfpv4"</t>
  </si>
  <si>
    <t>-O2 -fno-schedule-insns -fno-schedule-insns2 -fprefetch-loop-arrays -mtune=cortex-a15 -mfloat-abi=hard -mfpu=neon-vfpv4</t>
  </si>
  <si>
    <t>-O2 -fselective-scheduling2 -mtune=cortex-a15 -mfloat-abi=hard -mfpu=neon-vfpv4 (implied by -A ARMa15 and the custom ones)</t>
  </si>
  <si>
    <t xml:space="preserve"> -D c -DWALL -b 32 --force-tids="4 0 1 2 3" -F al "-O1 -march=armv7 -mtune=cortex-a7 -mfloat-abi=hard -mfpu=neon-vfpv4 -fno-expensive-optimizations -fschedule-insns2 -frename-registers"</t>
  </si>
  <si>
    <t>-O1 -march=armv7 -mtune=cortex-a7 -mfloat-abi=hard -mfpu=neon-vfpv4 -fno-expensive-optimizations -fschedule-insns2 -frename-registers</t>
  </si>
  <si>
    <t>-D c -DWALL -b 32 --force-tids="4 4 5 6 7" -m 2000 -F al "-march=armv7-a -mtune=cortex-a15 -mfloat-abi=hard -mfpu=neon-vfpv4"</t>
  </si>
  <si>
    <t>-march=armv7-a -mtune=cortex-a15 -mfloat-abi=hard -mfpu=neon-vfpv4</t>
  </si>
  <si>
    <t>-D c -DWALL -b 32 --force-tids="4 4 5 6 7" -m 2000 -Fa al "-O2 -fno-schedule-insns -fno-schedule-insns2 -fprefetch-loop-arrays -mfpu=neon-vfpv4 -fno-peephole2"</t>
  </si>
  <si>
    <t>-O2 -fno-schedule-insns -fno-schedule-insns2 -fprefetch-loop-arrays -mfpu=neon-vfpv4 -fno-peephole2</t>
  </si>
  <si>
    <t>-D c -DWALL -b 32 --force-tids="4 4 5 6 7" -m 2000 -F al "-O1 -march=armv7 -mtune=cortex-a15 -mfloat-abi=hard -mfpu=neon-vfpv4 -fschedule-insns2 -fselective-scheduling2 -fno-move-loop-invariants"</t>
  </si>
  <si>
    <t>-O1 -march=armv7 -mtune=cortex-a15 -mfloat-abi=hard -mfpu=neon-vfpv4 -fschedule-insns2 -fselective-scheduling2 -fno-move-loop-invariants</t>
  </si>
  <si>
    <t>-D c -DWALL -b 32 --force-tids="4 4 5 6 7" -m 2000 -F al "-O1 -march=armv7-a -mtune=cortex-a15 -mfloat-abi=hard -mfpu=neon-vfpv4 -fschedule-insns2 -fselective-scheduling2 -fivopts"</t>
  </si>
  <si>
    <t>-O1 -march=armv7-a -mtune=cortex-a15 -mfloat-abi=hard -mfpu=neon-vfpv4 -fschedule-insns2 -fselective-scheduling2 -fivopts</t>
  </si>
  <si>
    <t>-D c -DWALL -b 32 -A ARMa7 --force-tids="4 0 1 2 3" -Fa al "-O2 -mcpu=cortex-a7 -fno-schedule-insns -fselective-scheduling2 -frename-registers -fno-tree-pre"</t>
  </si>
  <si>
    <t>-O2 -mcpu=cortex-a7 -fno-schedule-insns -fselective-scheduling2 -frename-registers -fno-tree-pre</t>
  </si>
  <si>
    <t>-D c -DWALL -b 32 -m 2000 --force-tids="4 4 5 6 7" -Fa al "-mcpu=cortex-a15 -mfloat-abi=hard -mfpu=neon-vfpv4"</t>
  </si>
  <si>
    <t>-mcpu=cortex-a15 -mfloat-abi=hard -mfpu=neon-vfpv4</t>
  </si>
  <si>
    <t>Odorid12</t>
  </si>
  <si>
    <t>-D c -DWALL -b 32 --force-tids="4 0 1 2 3" -Fa al "-mcpu=cortex-a7 -mfloat-abi=hard -mfpu=neon-vfpv4"</t>
  </si>
  <si>
    <t>-mcpu=cortex-a7 -mfloat-abi=hard -mfpu=neon-vfpv4</t>
  </si>
  <si>
    <t>Flags used for building</t>
  </si>
  <si>
    <t>Flags used for flagsearching - optional</t>
  </si>
  <si>
    <t>Machine originally
built on</t>
  </si>
  <si>
    <t>Needs
flagsearching</t>
  </si>
  <si>
    <t>Flagsearched (d)</t>
  </si>
  <si>
    <t>Flagsearched (s)
No need! HPL uses only double precision! See ATLAS install manual</t>
  </si>
  <si>
    <t>Flagsearched (Td)</t>
  </si>
  <si>
    <t>TODO</t>
  </si>
  <si>
    <t>-mfloat-abi=hard
-mfpu=neon-vfpv4</t>
  </si>
  <si>
    <t>X</t>
  </si>
  <si>
    <t>OK build prema najnoviji saznanjima.</t>
  </si>
  <si>
    <t>In progress</t>
  </si>
  <si>
    <t>-march=armv7-a
-march=armv7</t>
  </si>
  <si>
    <t>NIJE POTREBAN BUILD, isto možemo postići s buildom 1 uz dodatak u flagsearchu mfloat mfpu.</t>
  </si>
  <si>
    <t>Freshly finished</t>
  </si>
  <si>
    <t>-march=armv7-a</t>
  </si>
  <si>
    <t>Done</t>
  </si>
  <si>
    <t>-D c -DWALL -b 32 -A ARMa15 -m 2000 --force-tids="4 4 5 6 7"</t>
  </si>
  <si>
    <t>-march=armv7
-march=armv7-a
-mcpu=cortex-a15
-mtune=cortex-a15
-mfloat-abi=hard
-mfpu=neon-vfpv4</t>
  </si>
  <si>
    <t>OK build prema najnoviji saznanjima.
ARMa15 implicira "-O2 -fno-schedule-insns -fno-schedule-insns2 -fprefetch-loop-arrays" za dmc kompajler (koji je gcc kompajler za MM kernel u duploj precinosti)</t>
  </si>
  <si>
    <t>TODO with the same settings!</t>
  </si>
  <si>
    <t>Nije ok build jer kombinira optimizacijske flagove (u ARMa15). DO THE FLAGSEARCH</t>
  </si>
  <si>
    <t>-D c -DWALL -b 32 --force-tids="4 4 5 6 7" -m 2000 -F al "-march=armv7 -mtune=cortex-a15 -mfloat-abi=hard -mfpu=neon-vfpv4"</t>
  </si>
  <si>
    <t>NIJE POTREBAN BUILD, predefinirani flag -mcpu ne ide u kombinaciji s mtune koji smo dodali. Ostalo rješava build 3</t>
  </si>
  <si>
    <t>Nije ok build jer kombinira optimizacijske flagove (u ARMa15).</t>
  </si>
  <si>
    <t>-march=armv7</t>
  </si>
  <si>
    <t>Nema ga ni na jednom stroju osim na odroid13, no ipak je HPL radio. Znači li to da build ne moram kopirati na strojeve već samo HPL koji je buildan povrh tog builda ATLAS-a? Provjeriti tako da se ovaj build kopira na sve strojeve i pokrene HPL opet. Ako su rez jako slični onda vrijedi to.</t>
  </si>
  <si>
    <t>Poslati ga na odroid10 još!</t>
  </si>
  <si>
    <t>-march=armv7-a
-march=armv7
-mcpu=cortex-a15
-mtune=cortex-a15
-mfloat-abi=hard
-mfpu=neon-vfpv4</t>
  </si>
  <si>
    <t>VARIANTS FOR THE PAPER</t>
  </si>
  <si>
    <t>ATLAS flags</t>
  </si>
  <si>
    <t xml:space="preserve">-A ARMa15 -m 2000 </t>
  </si>
  <si>
    <t>-D c -DWALL -b 32 --force-tids="4 4 5 6 7" -m 2000 -Fa alg "-march=armv7 -mtune=cortex-a15 -mfloat-abi=hard -mfpu=neon-vfpv4"</t>
  </si>
  <si>
    <t>-m 2000 -Fa alg "-march=armv7 -mtune=cortex-a15 -mfloat-abi=hard -mfpu=neon-vfpv4"</t>
  </si>
  <si>
    <t>-D c -DWALL -b 32 -A ARMa15 --force-tids="4 4 5 6 7" -Fa alg "-mtune=cortex-a15 -mfloat-abi=hard -mfpu=neon-vfpv4"</t>
  </si>
  <si>
    <t>-A ARMa15  -Fa alg "-mtune=cortex-a15 -mfloat-abi=hard -mfpu=neon-vfpv4"</t>
  </si>
  <si>
    <t>-D c -DWALL -b 32 --force-tids="4 4 5 6 7" -m 2000 -Fa alg "-march=armv7-a -mtune=cortex-a15 -mfloat-abi=hard -mfpu=neon-vfpv4"</t>
  </si>
  <si>
    <t>-m 2000 -Fa alg "-march=armv7-a -mtune=cortex-a15 -mfloat-abi=hard -mfpu=neon-vfpv4"</t>
  </si>
  <si>
    <t>-D c -DWALL -b 32 -m 2000 --force-tids="4 4 5 6 7" -Fa alg "-mcpu=cortex-a15 -mfloat-abi=hard -mfpu=neon-vfpv4"</t>
  </si>
  <si>
    <t>-m 2000  -Fa alg "-mcpu=cortex-a15 -mfloat-abi=hard -mfpu=neon-vfpv4"</t>
  </si>
  <si>
    <t xml:space="preserve">-A ARMa15 </t>
  </si>
  <si>
    <t>-D c -DWALL -b 32 --force-tids="4 4 5 6 7" -m 2000 -Fa alg "-O3 -fno-schedule-insns -fno-schedule-insns2 -fprefetch-loop-arrays -mfpu=neon-vfpv4 -mfloat-abi=hard"</t>
  </si>
  <si>
    <t>-m 2000 -Fa alg "-O3 -fno-schedule-insns -fno-schedule-insns2 -fprefetch-loop-arrays -mfpu=neon-vfpv4 -mfloat-abi=hard"</t>
  </si>
  <si>
    <t>-D c -DWALL -b 32 --force-tids="4 4 5 6 7" -m 2000 -Fa alg "-Os -march=armv7 -mtune=cortex-a15 -mfloat-abi=hard -mfpu=neon-vfpv4 -fschedule-insns2 -mfloat-abi=hard -fselective-scheduling2 -fno-tree-ter"</t>
  </si>
  <si>
    <t>-m 2000 -Fa alg "-Os -march=armv7 -mtune=cortex-a15 -mfloat-abi=hard -mfpu=neon-vfpv4 -fschedule-insns2 -mfloat-abi=hard -fselective-scheduling2 -fno-tree-ter"</t>
  </si>
  <si>
    <t>-D c -DWALL -b 32 --force-tids="4 4 5 6 7" -m 2000 -Fa alg "-O1 -fno-schedule-insns -fno-schedule-insns2 -fprefetch-loop-arrays -mtune=cortex-a7 -mfloat-abi=hard -mfpu=neon-vfpv4 -fschedule-insns2 -fsched2-use-superblocks"</t>
  </si>
  <si>
    <t>-m 2000 -Fa alg "-O1 -fno-schedule-insns -fno-schedule-insns2 -fprefetch-loop-arrays -mtune=cortex-a7 -mfloat-abi=hard -mfpu=neon-vfpv4 -fschedule-insns2 -fsched2-use-superblocks"</t>
  </si>
  <si>
    <t>-D c -DWALL -b 32 --force-tids="4 4 5 6 7" -m 2000 -Fa alg "-Os -march=armv7-a -mtune=cortex-a15 -mfloat-abi=hard -mfpu=neon-vfpv4 -fselective-scheduling2 -fmodulo-sched -fno-tree-ter"</t>
  </si>
  <si>
    <t>-m 2000 -Fa alg "-Os -march=armv7-a -mtune=cortex-a15 -mfloat-abi=hard -mfpu=neon-vfpv4 -fselective-scheduling2 -fmodulo-sched -fno-tree-ter"</t>
  </si>
  <si>
    <t>-D c -DWALL -b 32 --force-tids="4 4 5 6 7" -m 2000 -Fa alg "-O1 -mcpu=cortex-a15 -mfloat-abi=hard -mfpu=neon-vfpv4 -fno-schedule-insns -fschedule-insns2 -fselective-scheduling2 -fno-move-loop-invariants"</t>
  </si>
  <si>
    <t>-m 2000 -Fa alg "-O1 -mcpu=cortex-a15 -mfloat-abi=hard -mfpu=neon-vfpv4 -fno-schedule-insns -fschedule-insns2 -fselective-scheduling2 -fno-move-loop-invariants"</t>
  </si>
  <si>
    <t>-D c -DWALL -b 32 --force-tids="4 4 5 6 7" -m 2000 -Fa alg "-O2 -fno-schedule-insns -fno-schedule-insns2 -fprefetch-loop-arrays -mfpu=neon-vfpv4"</t>
  </si>
  <si>
    <t>-m 2000 -Fa alg "-O2 -fno-schedule-insns -fno-schedule-insns2 -fprefetch-loop-arrays -mfpu=neon-vfpv4"</t>
  </si>
  <si>
    <t>Single precision</t>
  </si>
  <si>
    <t>Double precision</t>
  </si>
  <si>
    <t>Real</t>
  </si>
  <si>
    <t>Complex</t>
  </si>
  <si>
    <t>kSelMM</t>
  </si>
  <si>
    <t>kGenMM</t>
  </si>
  <si>
    <t>kMM_NT</t>
  </si>
  <si>
    <t>kMM_TN</t>
  </si>
  <si>
    <t>BIG_MM</t>
  </si>
  <si>
    <t>kMV_N</t>
  </si>
  <si>
    <t>kMV_T</t>
  </si>
  <si>
    <t>kGER</t>
  </si>
  <si>
    <t>OdroidMC1: atlas-optimized-small (and big) vs the rest (build 2 etc)</t>
  </si>
  <si>
    <t>933 MHz</t>
  </si>
  <si>
    <t>TODO: Each column one arch optimization</t>
  </si>
  <si>
    <t>Old runs, no throttling info, nor memory freq info</t>
  </si>
  <si>
    <t>NEW builds, throttling was zero - freezing run</t>
  </si>
  <si>
    <t>big-flagsbig-flags</t>
  </si>
  <si>
    <t>Odroid MC1 - Big cores @ 933MHz (small cores at 1,3GHz for stability) Swap ON, "big" build, ATLAS</t>
  </si>
  <si>
    <t>Odroid MC1 - Big cores @ 933MHz (small cores at 1,3GHz for stability) Swap ON, OpenBLAS</t>
  </si>
  <si>
    <t>odroid10, "big" build, 933MHz, (small cores at 1,3GHz for stability), Swap ON, ATLAS, Jan 2024</t>
  </si>
  <si>
    <t>odroid13, 933MHz, (small cores at 1,3GHz for stability), Swap ON, OpenBLAS, Jan 2024</t>
  </si>
  <si>
    <t>Odroid MC1 - Big cores @ 933MHz (small cores at varying frequencies) Swap ON, OpenBLAS</t>
  </si>
  <si>
    <t>Freq (little cores, Hz)</t>
  </si>
  <si>
    <t>--force-tids="4 4 5 6 7"</t>
  </si>
  <si>
    <t>-m 2000</t>
  </si>
  <si>
    <t>-mfloat-abi=hard</t>
  </si>
  <si>
    <t>-A ARMa15</t>
  </si>
  <si>
    <t>-mfpu=neon-vfpv4</t>
  </si>
  <si>
    <t>-mtune=cortex-a15</t>
  </si>
  <si>
    <t>Y</t>
  </si>
  <si>
    <t>GCC Flags</t>
  </si>
  <si>
    <t>-mcpu=cortex-a15</t>
  </si>
  <si>
    <t>ALL measurements</t>
  </si>
  <si>
    <t>Removed unnecessary</t>
  </si>
  <si>
    <t>Optimization level</t>
  </si>
  <si>
    <t>-O3</t>
  </si>
  <si>
    <t>-O2</t>
  </si>
  <si>
    <t>-Os</t>
  </si>
  <si>
    <t>-O1</t>
  </si>
  <si>
    <t>small</t>
  </si>
  <si>
    <t>small-atlasarch-tune</t>
  </si>
  <si>
    <t>small-arch-tune</t>
  </si>
  <si>
    <t>small-atlasarch-tune2</t>
  </si>
  <si>
    <t>small-flags</t>
  </si>
  <si>
    <t>small-atlasarch-tune-flags</t>
  </si>
  <si>
    <t>small-arch-tune-flags</t>
  </si>
  <si>
    <t>small-atlasarch-tune2-flags</t>
  </si>
  <si>
    <t>small-cpu-flags</t>
  </si>
  <si>
    <t>-A ARMa7</t>
  </si>
  <si>
    <t>-D c -DWALL -b 32 -A ARMa7-Fa alg "-mtune=cortex-a7 -mfloat-abi=hard -mfpu=neon-vfpv4"</t>
  </si>
  <si>
    <t>-D c -DWALL -b 32 -A ARMa7</t>
  </si>
  <si>
    <t>--force-tids="4 0 1 2 3"</t>
  </si>
  <si>
    <t>-mtune=cortex-a7</t>
  </si>
  <si>
    <t>-mcpu=cortex-a7</t>
  </si>
  <si>
    <t>-D c -DWALL -b 32 -Fa alg "-mcpu=cortex-a7 -mfloat-abi=hard -mfpu=neon-vfpv4"</t>
  </si>
  <si>
    <t>-D c -DWALL -b 32 -F alg "-march=armv7 -mtune=cortex-a7 -mfloat-abi=hard -mfpu=neon-vfpv4"</t>
  </si>
  <si>
    <t>-D c -DWALL -b 32 -Fa alg "-O1 -mcpu=cortex-a7 -fno-schedule-insns -fselective-scheduling2 -fschedule-insns -fschedule-insns2 -mfpu=neon-vfpv4 -fselective-scheduling"</t>
  </si>
  <si>
    <t>-D c -DWALL -b 32 -Fa alg "-O1 -fselective-scheduling2 -mcpu=cortex-a7 -mfloat-abi=hard -mfpu=neon-vfpv4 -fno-expensive-optimizations -fschedule-insns2"</t>
  </si>
  <si>
    <t>-D c -DWALL -b 32 -Fa alg "-O1 -march=armv7 -mtune=cortex-a7 -mfloat-abi=hard -mfpu=neon-vfpv4 -fno-expensive-optimizations -fschedule-insns -fschedule-insns2 -funroll-all-loops"</t>
  </si>
  <si>
    <t>-D c -DWALL -b 32 -Fa alg "-O1 -fselective-scheduling2 -mtune=cortex-a7 -mfloat-abi=hard -mfpu=neon-vfpv4 -fno-expensive-optimizations -fschedule-insns -fschedule-insns2 -fselective-scheduling"</t>
  </si>
  <si>
    <t>-D c -DWALL -b 32 -Fa alg "-O1 -mcpu=cortex-a7 -mfloat-abi=hard -mfpu=neon-vfpv4 -fno-expensive-optimizations -fschedule-insns -fschedule-insns2 -funroll-all-loops"</t>
  </si>
  <si>
    <t>-A ARMa7-Fa alg "-mtune=cortex-a7 -mfloat-abi=hard -mfpu=neon-vfpv4"</t>
  </si>
  <si>
    <t>-Fa alg "-mcpu=cortex-a7 -mfloat-abi=hard -mfpu=neon-vfpv4"</t>
  </si>
  <si>
    <t>-F alg "-march=armv7 -mtune=cortex-a7 -mfloat-abi=hard -mfpu=neon-vfpv4"</t>
  </si>
  <si>
    <t>-Fa alg "-O1 -mcpu=cortex-a7 -fno-schedule-insns -fselective-scheduling2 -fschedule-insns -fschedule-insns2 -mfpu=neon-vfpv4 -fselective-scheduling"</t>
  </si>
  <si>
    <t>-Fa alg "-O1 -fselective-scheduling2 -mcpu=cortex-a7 -mfloat-abi=hard -mfpu=neon-vfpv4 -fno-expensive-optimizations -fschedule-insns2"</t>
  </si>
  <si>
    <t>-Fa alg "-O1 -march=armv7 -mtune=cortex-a7 -mfloat-abi=hard -mfpu=neon-vfpv4 -fno-expensive-optimizations -fschedule-insns -fschedule-insns2 -funroll-all-loops"</t>
  </si>
  <si>
    <t>-Fa alg "-O1 -fselective-scheduling2 -mtune=cortex-a7 -mfloat-abi=hard -mfpu=neon-vfpv4 -fno-expensive-optimizations -fschedule-insns -fschedule-insns2 -fselective-scheduling"</t>
  </si>
  <si>
    <t>-Fa alg "-O1 -mcpu=cortex-a7 -mfloat-abi=hard -mfpu=neon-vfpv4 -fno-expensive-optimizations -fschedule-insns -fschedule-insns2 -funroll-all-loops"</t>
  </si>
  <si>
    <t>Name of the build</t>
  </si>
  <si>
    <t>All flags used</t>
  </si>
  <si>
    <t>BEST average:</t>
  </si>
  <si>
    <t xml:space="preserve"> </t>
  </si>
  <si>
    <t>Average GFLOPs</t>
  </si>
  <si>
    <t>HPL Flags</t>
  </si>
  <si>
    <t>Odroid MC1 - Big cores @ 825MHz (small cores at 1,3GHz for stability, except for additional measurements) Swap ON, "big" build, ATLAS</t>
  </si>
  <si>
    <t>Odroid MC1 - Big cores @ 825MHz (small cores at 1,3GHz for stability, except for additional measurements) Swap ON, OpenBLAS</t>
  </si>
  <si>
    <t>Average GFLOP/s</t>
  </si>
  <si>
    <t>933MHz (small cores at 1,3GHz for stability) Swap ON, "big" build, ATLAS</t>
  </si>
  <si>
    <t>933MHz (small cores at 1,3GHz for stability) Swap ON, OpenBLAS</t>
  </si>
  <si>
    <t xml:space="preserve"> 825MHz (small cores at 1,3GHz for stability, except for additional measurements) Swap ON, OpenBLAS</t>
  </si>
  <si>
    <t>825MHz (small cores at 1,3GHz for stability, except for additional measurements) Swap ON, "big" build, ATLAS</t>
  </si>
  <si>
    <t>933MHz, (small cores at 1,3GHz for stability), Swap ON, OpenBLAS</t>
  </si>
  <si>
    <t>"big" build, 933MHz, (small cores at 1,3GHz for stability), Swap ON, ATLAS</t>
  </si>
  <si>
    <t>Gflops</t>
  </si>
  <si>
    <t>New (from the actual config files)</t>
  </si>
  <si>
    <t>-D c -DWALL -b 32 --force-tids="4 0 1 2 3" -Fa alg "-mcpu=cortex-a7 -mfloat-abi=hard -mfpu=neon-vfpv4"</t>
  </si>
  <si>
    <t>-D c -DWALL -b 32 --force-tids="4 0 1 2 3" -F alg "-march=armv7 -mtune=cortex-a7 -mfloat-abi=hard -mfpu=neon-vfpv4"</t>
  </si>
  <si>
    <t>-D c -DWALL -b 32 -A ARMa7 --force-tids="4 0 1 2 3" -Fa alg "-mtune=cortex-a7 -mfloat-abi=hard -mfpu=neon-vfpv4"</t>
  </si>
  <si>
    <t>-D c -DWALL -b 32 --force-tids="4 0 1 2 3" -Fa alg "-O1 -mcpu=cortex-a7 -fno-schedule-insns -fselective-scheduling2 -fschedule-insns -fschedule-insns2 -mfpu=neon-vfpv4 -fselective-scheduling"</t>
  </si>
  <si>
    <t>-D c -DWALL -b 32 --force-tids="4 0 1 2 3" -Fa alg "-O1 -fselective-scheduling2 -mcpu=cortex-a7 -mfloat-abi=hard -mfpu=neon-vfpv4 -fno-expensive-optimizations -fschedule-insns2"</t>
  </si>
  <si>
    <t>-D c -DWALL -b 32 --force-tids="4 0 1 2 3" -Fa alg "-O1 -march=armv7 -mtune=cortex-a7 -mfloat-abi=hard -mfpu=neon-vfpv4 -fno-expensive-optimizations -fschedule-insns -fschedule-insns2 -funroll-all-loops"</t>
  </si>
  <si>
    <t>-D c -DWALL -b 32 --force-tids="4 0 1 2 3" -Fa alg "-O1 -fselective-scheduling2 -mtune=cortex-a7 -mfloat-abi=hard -mfpu=neon-vfpv4 -fno-expensive-optimizations -fschedule-insns -fschedule-insns2 -fselective-scheduling"</t>
  </si>
  <si>
    <t>-D c -DWALL -b 32 --force-tids="4 0 1 2 3" -Fa alg "-O1 -mcpu=cortex-a7 -mfloat-abi=hard -mfpu=neon-vfpv4 -fno-expensive-optimizations -fschedule-insns -fschedule-insns2 -funroll-all-loops"</t>
  </si>
  <si>
    <t>BIG:</t>
  </si>
  <si>
    <t>N (round)</t>
  </si>
  <si>
    <t>ATLAS speedup</t>
  </si>
  <si>
    <t>OpenBLAS speedup</t>
  </si>
  <si>
    <t>N(beta)</t>
  </si>
  <si>
    <t>N(mid)</t>
  </si>
  <si>
    <t>N(alpha)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</si>
</sst>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00"/>
    <numFmt numFmtId="166" formatCode="h:mm:ss;@"/>
    <numFmt numFmtId="167" formatCode="0.000E+00"/>
    <numFmt numFmtId="168" formatCode="[$-F400]h:mm:ss\ AM/PM"/>
  </numFmts>
  <fonts count="22" x14ac:knownFonts="1">
    <font>
      <sz val="11"/>
      <color theme="1"/>
      <name val="Calibri"/>
      <family val="2"/>
      <charset val="238"/>
      <scheme val="minor"/>
    </font>
    <font>
      <b/>
      <sz val="11"/>
      <color theme="1"/>
      <name val="Calibri"/>
      <family val="2"/>
      <scheme val="minor"/>
    </font>
    <font>
      <sz val="11"/>
      <color theme="0"/>
      <name val="Calibri"/>
      <family val="2"/>
      <charset val="238"/>
      <scheme val="minor"/>
    </font>
    <font>
      <sz val="11"/>
      <name val="Calibri"/>
      <family val="2"/>
      <charset val="238"/>
      <scheme val="minor"/>
    </font>
    <font>
      <sz val="24"/>
      <color theme="1"/>
      <name val="Calibri"/>
      <family val="2"/>
      <scheme val="minor"/>
    </font>
    <font>
      <sz val="11"/>
      <color rgb="FF006100"/>
      <name val="Calibri"/>
      <family val="2"/>
      <charset val="238"/>
      <scheme val="minor"/>
    </font>
    <font>
      <b/>
      <sz val="12"/>
      <color theme="1"/>
      <name val="Calibri"/>
      <family val="2"/>
      <scheme val="minor"/>
    </font>
    <font>
      <b/>
      <sz val="12"/>
      <color rgb="FF006100"/>
      <name val="Calibri"/>
      <family val="2"/>
      <scheme val="minor"/>
    </font>
    <font>
      <b/>
      <sz val="10"/>
      <color theme="1"/>
      <name val="Calibri"/>
      <family val="2"/>
      <scheme val="minor"/>
    </font>
    <font>
      <sz val="11"/>
      <color rgb="FF9C5700"/>
      <name val="Calibri"/>
      <family val="2"/>
      <charset val="238"/>
      <scheme val="minor"/>
    </font>
    <font>
      <b/>
      <sz val="8"/>
      <color theme="1"/>
      <name val="Times New Roman"/>
      <family val="1"/>
    </font>
    <font>
      <sz val="8"/>
      <color theme="1"/>
      <name val="Times New Roman"/>
      <family val="1"/>
    </font>
    <font>
      <b/>
      <sz val="8"/>
      <color rgb="FFC00000"/>
      <name val="Times New Roman"/>
      <family val="1"/>
    </font>
    <font>
      <b/>
      <sz val="8"/>
      <name val="Times New Roman"/>
      <family val="1"/>
    </font>
    <font>
      <sz val="8"/>
      <color theme="0" tint="-0.34998626667073579"/>
      <name val="Times New Roman"/>
      <family val="1"/>
    </font>
    <font>
      <sz val="8"/>
      <name val="Times New Roman"/>
      <family val="1"/>
    </font>
    <font>
      <sz val="8"/>
      <color theme="2"/>
      <name val="Times New Roman"/>
      <family val="1"/>
    </font>
    <font>
      <sz val="8"/>
      <color theme="0"/>
      <name val="Times New Roman"/>
      <family val="1"/>
    </font>
    <font>
      <sz val="8"/>
      <name val="Calibri"/>
      <family val="2"/>
      <charset val="238"/>
      <scheme val="minor"/>
    </font>
    <font>
      <i/>
      <sz val="11"/>
      <color rgb="FF7F7F7F"/>
      <name val="Calibri"/>
      <family val="2"/>
      <charset val="238"/>
      <scheme val="minor"/>
    </font>
    <font>
      <i/>
      <sz val="11"/>
      <color theme="0" tint="-0.499984740745262"/>
      <name val="Calibri"/>
      <family val="2"/>
      <scheme val="minor"/>
    </font>
    <font>
      <b/>
      <sz val="11"/>
      <color rgb="FFFF0000"/>
      <name val="Calibri"/>
      <family val="2"/>
      <scheme val="minor"/>
    </font>
  </fonts>
  <fills count="13">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8"/>
      </patternFill>
    </fill>
    <fill>
      <patternFill patternType="solid">
        <fgColor theme="5" tint="0.39997558519241921"/>
        <bgColor indexed="64"/>
      </patternFill>
    </fill>
    <fill>
      <patternFill patternType="solid">
        <fgColor rgb="FFFFC000"/>
        <bgColor indexed="64"/>
      </patternFill>
    </fill>
    <fill>
      <patternFill patternType="solid">
        <fgColor theme="5" tint="-0.249977111117893"/>
        <bgColor indexed="64"/>
      </patternFill>
    </fill>
    <fill>
      <patternFill patternType="solid">
        <fgColor theme="2"/>
        <bgColor indexed="64"/>
      </patternFill>
    </fill>
    <fill>
      <patternFill patternType="solid">
        <fgColor rgb="FFC00000"/>
        <bgColor indexed="64"/>
      </patternFill>
    </fill>
    <fill>
      <patternFill patternType="solid">
        <fgColor rgb="FFC6EFCE"/>
      </patternFill>
    </fill>
    <fill>
      <patternFill patternType="solid">
        <fgColor rgb="FFFFEB9C"/>
      </patternFill>
    </fill>
    <fill>
      <patternFill patternType="solid">
        <fgColor theme="4"/>
      </patternFill>
    </fill>
  </fills>
  <borders count="4">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6">
    <xf numFmtId="0" fontId="0" fillId="0" borderId="0"/>
    <xf numFmtId="0" fontId="2" fillId="4" borderId="0" applyNumberFormat="0" applyBorder="0" applyAlignment="0" applyProtection="0"/>
    <xf numFmtId="0" fontId="5" fillId="10" borderId="0" applyNumberFormat="0" applyBorder="0" applyAlignment="0" applyProtection="0"/>
    <xf numFmtId="0" fontId="9" fillId="11" borderId="0" applyNumberFormat="0" applyBorder="0" applyAlignment="0" applyProtection="0"/>
    <xf numFmtId="0" fontId="2" fillId="12" borderId="0" applyNumberFormat="0" applyBorder="0" applyAlignment="0" applyProtection="0"/>
    <xf numFmtId="0" fontId="19" fillId="0" borderId="0" applyNumberFormat="0" applyFill="0" applyBorder="0" applyAlignment="0" applyProtection="0"/>
  </cellStyleXfs>
  <cellXfs count="162">
    <xf numFmtId="0" fontId="0" fillId="0" borderId="0" xfId="0"/>
    <xf numFmtId="11" fontId="0" fillId="0" borderId="0" xfId="0" applyNumberFormat="1"/>
    <xf numFmtId="2" fontId="0" fillId="0" borderId="0" xfId="0" applyNumberFormat="1"/>
    <xf numFmtId="0" fontId="0" fillId="0" borderId="0" xfId="0" applyAlignment="1">
      <alignment horizontal="center"/>
    </xf>
    <xf numFmtId="0" fontId="0" fillId="0" borderId="0" xfId="0" applyAlignment="1">
      <alignment wrapText="1"/>
    </xf>
    <xf numFmtId="49" fontId="0" fillId="0" borderId="0" xfId="0" applyNumberFormat="1"/>
    <xf numFmtId="0" fontId="1" fillId="0" borderId="0" xfId="0" applyFont="1"/>
    <xf numFmtId="0" fontId="1" fillId="0" borderId="0" xfId="0" applyFont="1" applyAlignment="1">
      <alignment horizontal="left" vertical="center"/>
    </xf>
    <xf numFmtId="49" fontId="0" fillId="0" borderId="0" xfId="0" applyNumberFormat="1" applyAlignment="1">
      <alignment wrapText="1"/>
    </xf>
    <xf numFmtId="0" fontId="0" fillId="0" borderId="0" xfId="0" applyAlignment="1">
      <alignment vertical="center"/>
    </xf>
    <xf numFmtId="0" fontId="0" fillId="0" borderId="0" xfId="0" applyAlignment="1">
      <alignment vertical="center" wrapText="1"/>
    </xf>
    <xf numFmtId="49" fontId="1" fillId="0" borderId="0" xfId="0" applyNumberFormat="1" applyFont="1" applyAlignment="1">
      <alignment horizontal="center" vertical="center" wrapText="1"/>
    </xf>
    <xf numFmtId="0" fontId="1" fillId="0" borderId="0" xfId="0" applyFont="1" applyAlignment="1">
      <alignment horizontal="center" vertical="center" wrapText="1"/>
    </xf>
    <xf numFmtId="49" fontId="0" fillId="0" borderId="0" xfId="0" applyNumberFormat="1" applyAlignment="1">
      <alignment vertical="center" wrapText="1"/>
    </xf>
    <xf numFmtId="0" fontId="1" fillId="0" borderId="0" xfId="0" applyFont="1" applyAlignment="1">
      <alignment horizontal="center"/>
    </xf>
    <xf numFmtId="49" fontId="0" fillId="3" borderId="0" xfId="0" applyNumberFormat="1" applyFill="1" applyAlignment="1">
      <alignment vertical="center" wrapText="1"/>
    </xf>
    <xf numFmtId="1" fontId="0" fillId="0" borderId="0" xfId="0" applyNumberFormat="1"/>
    <xf numFmtId="164" fontId="0" fillId="0" borderId="0" xfId="0" applyNumberFormat="1"/>
    <xf numFmtId="164" fontId="1" fillId="0" borderId="0" xfId="0" applyNumberFormat="1" applyFont="1"/>
    <xf numFmtId="2" fontId="1" fillId="0" borderId="0" xfId="0" applyNumberFormat="1" applyFont="1" applyAlignment="1">
      <alignment horizontal="center"/>
    </xf>
    <xf numFmtId="1" fontId="1" fillId="0" borderId="0" xfId="0" applyNumberFormat="1" applyFont="1" applyAlignment="1">
      <alignment horizontal="center"/>
    </xf>
    <xf numFmtId="0" fontId="0" fillId="0" borderId="1" xfId="0" applyBorder="1"/>
    <xf numFmtId="1" fontId="0" fillId="0" borderId="1" xfId="0" applyNumberFormat="1" applyBorder="1"/>
    <xf numFmtId="2" fontId="0" fillId="0" borderId="1" xfId="0" applyNumberFormat="1" applyBorder="1"/>
    <xf numFmtId="0" fontId="0" fillId="6" borderId="0" xfId="0" applyFill="1" applyAlignment="1">
      <alignment vertical="center"/>
    </xf>
    <xf numFmtId="0" fontId="3" fillId="0" borderId="0" xfId="0" applyFont="1" applyAlignment="1">
      <alignment vertical="center"/>
    </xf>
    <xf numFmtId="49" fontId="3" fillId="0" borderId="0" xfId="0" applyNumberFormat="1" applyFont="1" applyAlignment="1">
      <alignment vertical="center" wrapText="1"/>
    </xf>
    <xf numFmtId="49" fontId="3" fillId="3" borderId="0" xfId="0" applyNumberFormat="1" applyFont="1" applyFill="1" applyAlignment="1">
      <alignment vertical="center" wrapText="1"/>
    </xf>
    <xf numFmtId="0" fontId="2" fillId="9" borderId="0" xfId="0" applyFont="1" applyFill="1"/>
    <xf numFmtId="0" fontId="3" fillId="0" borderId="0" xfId="0" applyFont="1"/>
    <xf numFmtId="165" fontId="0" fillId="0" borderId="0" xfId="0" applyNumberFormat="1"/>
    <xf numFmtId="165" fontId="1" fillId="0" borderId="0" xfId="0" applyNumberFormat="1" applyFont="1"/>
    <xf numFmtId="0" fontId="2" fillId="0" borderId="0" xfId="1" applyFill="1" applyAlignment="1"/>
    <xf numFmtId="14" fontId="0" fillId="0" borderId="0" xfId="0" applyNumberFormat="1"/>
    <xf numFmtId="21" fontId="0" fillId="0" borderId="0" xfId="0" applyNumberFormat="1"/>
    <xf numFmtId="164" fontId="1" fillId="0" borderId="0" xfId="0" applyNumberFormat="1" applyFont="1" applyAlignment="1">
      <alignment horizontal="center"/>
    </xf>
    <xf numFmtId="164" fontId="0" fillId="0" borderId="0" xfId="0" applyNumberFormat="1" applyAlignment="1">
      <alignment horizontal="center"/>
    </xf>
    <xf numFmtId="166" fontId="0" fillId="0" borderId="0" xfId="0" applyNumberFormat="1"/>
    <xf numFmtId="166" fontId="1" fillId="0" borderId="0" xfId="0" applyNumberFormat="1" applyFont="1" applyAlignment="1">
      <alignment horizontal="center"/>
    </xf>
    <xf numFmtId="166" fontId="1" fillId="0" borderId="0" xfId="0" applyNumberFormat="1" applyFont="1"/>
    <xf numFmtId="0" fontId="6" fillId="0" borderId="0" xfId="0" applyFont="1" applyAlignment="1">
      <alignment horizontal="center"/>
    </xf>
    <xf numFmtId="164" fontId="6" fillId="0" borderId="0" xfId="0" applyNumberFormat="1" applyFont="1"/>
    <xf numFmtId="0" fontId="6" fillId="0" borderId="0" xfId="0" applyFont="1"/>
    <xf numFmtId="166" fontId="6" fillId="0" borderId="0" xfId="0" applyNumberFormat="1" applyFont="1"/>
    <xf numFmtId="164" fontId="6" fillId="0" borderId="0" xfId="0" applyNumberFormat="1" applyFont="1" applyAlignment="1">
      <alignment horizontal="center"/>
    </xf>
    <xf numFmtId="166" fontId="6" fillId="0" borderId="0" xfId="0" applyNumberFormat="1" applyFont="1" applyAlignment="1">
      <alignment horizontal="center"/>
    </xf>
    <xf numFmtId="165" fontId="1" fillId="0" borderId="0" xfId="0" applyNumberFormat="1" applyFont="1" applyAlignment="1">
      <alignment horizontal="center"/>
    </xf>
    <xf numFmtId="164" fontId="0" fillId="0" borderId="1" xfId="0" applyNumberFormat="1" applyBorder="1"/>
    <xf numFmtId="0" fontId="4" fillId="0" borderId="0" xfId="0" applyFont="1" applyAlignment="1">
      <alignment horizontal="center" vertical="center"/>
    </xf>
    <xf numFmtId="14" fontId="1" fillId="0" borderId="0" xfId="0" applyNumberFormat="1" applyFont="1" applyAlignment="1">
      <alignment horizontal="center"/>
    </xf>
    <xf numFmtId="0" fontId="8" fillId="0" borderId="0" xfId="0" applyFont="1" applyAlignment="1">
      <alignment horizontal="center"/>
    </xf>
    <xf numFmtId="14" fontId="1" fillId="0" borderId="0" xfId="0" applyNumberFormat="1" applyFont="1"/>
    <xf numFmtId="0" fontId="5" fillId="10" borderId="0" xfId="2"/>
    <xf numFmtId="0" fontId="9" fillId="11" borderId="0" xfId="3"/>
    <xf numFmtId="14" fontId="9" fillId="11" borderId="0" xfId="3" applyNumberFormat="1"/>
    <xf numFmtId="21" fontId="9" fillId="11" borderId="0" xfId="3" applyNumberFormat="1"/>
    <xf numFmtId="167" fontId="1" fillId="0" borderId="0" xfId="0" applyNumberFormat="1" applyFont="1" applyAlignment="1">
      <alignment horizontal="center"/>
    </xf>
    <xf numFmtId="167" fontId="1" fillId="0" borderId="0" xfId="0" applyNumberFormat="1" applyFont="1"/>
    <xf numFmtId="167" fontId="0" fillId="0" borderId="0" xfId="0" applyNumberFormat="1"/>
    <xf numFmtId="167" fontId="9" fillId="11" borderId="0" xfId="3" applyNumberFormat="1"/>
    <xf numFmtId="168" fontId="8" fillId="0" borderId="0" xfId="0" applyNumberFormat="1" applyFont="1" applyAlignment="1">
      <alignment horizontal="center"/>
    </xf>
    <xf numFmtId="168" fontId="0" fillId="0" borderId="0" xfId="0" applyNumberFormat="1"/>
    <xf numFmtId="2" fontId="1" fillId="0" borderId="0" xfId="0" applyNumberFormat="1" applyFont="1"/>
    <xf numFmtId="1" fontId="1" fillId="0" borderId="0" xfId="0" applyNumberFormat="1" applyFont="1"/>
    <xf numFmtId="1" fontId="8" fillId="0" borderId="0" xfId="0" applyNumberFormat="1" applyFont="1" applyAlignment="1">
      <alignment horizontal="center"/>
    </xf>
    <xf numFmtId="49" fontId="5" fillId="10" borderId="0" xfId="2" applyNumberFormat="1" applyAlignment="1">
      <alignment vertical="center" wrapText="1"/>
    </xf>
    <xf numFmtId="0" fontId="10" fillId="0" borderId="2" xfId="0" applyFont="1" applyBorder="1" applyAlignment="1">
      <alignment vertical="center"/>
    </xf>
    <xf numFmtId="0" fontId="11" fillId="0" borderId="2" xfId="0" applyFont="1" applyBorder="1" applyAlignment="1">
      <alignment vertical="center"/>
    </xf>
    <xf numFmtId="0" fontId="10" fillId="0" borderId="2" xfId="0" applyFont="1" applyBorder="1" applyAlignment="1">
      <alignment vertical="center" wrapText="1"/>
    </xf>
    <xf numFmtId="0" fontId="11" fillId="0" borderId="2" xfId="0" applyFont="1" applyBorder="1" applyAlignment="1">
      <alignment horizontal="center" vertical="center" wrapText="1"/>
    </xf>
    <xf numFmtId="49" fontId="10" fillId="0" borderId="0" xfId="0" applyNumberFormat="1" applyFont="1" applyAlignment="1">
      <alignment horizontal="center" vertical="center" wrapText="1"/>
    </xf>
    <xf numFmtId="0" fontId="10" fillId="0" borderId="0" xfId="0" applyFont="1" applyAlignment="1">
      <alignment horizontal="center" vertical="center" wrapText="1"/>
    </xf>
    <xf numFmtId="0" fontId="10" fillId="0" borderId="0" xfId="0" applyFont="1" applyAlignment="1">
      <alignment horizontal="center" vertical="center"/>
    </xf>
    <xf numFmtId="0" fontId="12" fillId="0" borderId="0" xfId="0" applyFont="1" applyAlignment="1">
      <alignment horizontal="center" vertical="center" wrapText="1"/>
    </xf>
    <xf numFmtId="0" fontId="10" fillId="0" borderId="0" xfId="0" applyFont="1" applyAlignment="1">
      <alignment vertical="center" wrapText="1"/>
    </xf>
    <xf numFmtId="0" fontId="13" fillId="5" borderId="2" xfId="0" applyFont="1" applyFill="1" applyBorder="1" applyAlignment="1">
      <alignment vertical="center"/>
    </xf>
    <xf numFmtId="0" fontId="10" fillId="0" borderId="0" xfId="0" applyFont="1" applyAlignment="1">
      <alignment vertical="center"/>
    </xf>
    <xf numFmtId="0" fontId="11" fillId="3" borderId="0" xfId="0" applyFont="1" applyFill="1" applyAlignment="1">
      <alignment vertical="center"/>
    </xf>
    <xf numFmtId="0" fontId="11" fillId="0" borderId="0" xfId="0" applyFont="1" applyAlignment="1">
      <alignment vertical="center"/>
    </xf>
    <xf numFmtId="49" fontId="11" fillId="0" borderId="0" xfId="0" applyNumberFormat="1" applyFont="1" applyAlignment="1">
      <alignment vertical="center" wrapText="1"/>
    </xf>
    <xf numFmtId="0" fontId="11" fillId="0" borderId="0" xfId="0" applyFont="1" applyAlignment="1">
      <alignment vertical="center" wrapText="1"/>
    </xf>
    <xf numFmtId="0" fontId="11" fillId="2" borderId="2" xfId="0" applyFont="1" applyFill="1" applyBorder="1" applyAlignment="1">
      <alignment vertical="center"/>
    </xf>
    <xf numFmtId="0" fontId="14" fillId="0" borderId="0" xfId="0" applyFont="1" applyAlignment="1">
      <alignment vertical="center"/>
    </xf>
    <xf numFmtId="49" fontId="14" fillId="0" borderId="0" xfId="0" applyNumberFormat="1" applyFont="1" applyAlignment="1">
      <alignment vertical="center" wrapText="1"/>
    </xf>
    <xf numFmtId="49" fontId="11" fillId="8" borderId="0" xfId="0" applyNumberFormat="1" applyFont="1" applyFill="1" applyAlignment="1">
      <alignment vertical="center" wrapText="1"/>
    </xf>
    <xf numFmtId="0" fontId="14" fillId="0" borderId="0" xfId="0" applyFont="1" applyAlignment="1">
      <alignment vertical="center" wrapText="1"/>
    </xf>
    <xf numFmtId="0" fontId="11" fillId="3" borderId="2" xfId="0" applyFont="1" applyFill="1" applyBorder="1" applyAlignment="1">
      <alignment vertical="center"/>
    </xf>
    <xf numFmtId="49" fontId="11" fillId="0" borderId="0" xfId="0" applyNumberFormat="1" applyFont="1" applyAlignment="1">
      <alignment vertical="center"/>
    </xf>
    <xf numFmtId="0" fontId="11" fillId="7" borderId="2" xfId="0" applyFont="1" applyFill="1" applyBorder="1" applyAlignment="1">
      <alignment vertical="center"/>
    </xf>
    <xf numFmtId="49" fontId="15" fillId="5" borderId="0" xfId="0" applyNumberFormat="1" applyFont="1" applyFill="1" applyAlignment="1">
      <alignment vertical="center" wrapText="1"/>
    </xf>
    <xf numFmtId="0" fontId="16" fillId="0" borderId="0" xfId="0" applyFont="1" applyAlignment="1">
      <alignment vertical="center"/>
    </xf>
    <xf numFmtId="0" fontId="16" fillId="0" borderId="0" xfId="0" applyFont="1" applyAlignment="1">
      <alignment vertical="center" wrapText="1"/>
    </xf>
    <xf numFmtId="0" fontId="15" fillId="0" borderId="0" xfId="0" applyFont="1" applyAlignment="1">
      <alignment vertical="center"/>
    </xf>
    <xf numFmtId="49" fontId="15" fillId="0" borderId="0" xfId="0" applyNumberFormat="1" applyFont="1" applyAlignment="1">
      <alignment vertical="center" wrapText="1"/>
    </xf>
    <xf numFmtId="0" fontId="14" fillId="5" borderId="0" xfId="0" applyFont="1" applyFill="1" applyAlignment="1">
      <alignment wrapText="1"/>
    </xf>
    <xf numFmtId="49" fontId="14" fillId="5" borderId="0" xfId="0" applyNumberFormat="1" applyFont="1" applyFill="1" applyAlignment="1">
      <alignment vertical="center" wrapText="1"/>
    </xf>
    <xf numFmtId="0" fontId="14" fillId="0" borderId="0" xfId="0" applyFont="1"/>
    <xf numFmtId="0" fontId="11" fillId="0" borderId="0" xfId="0" applyFont="1"/>
    <xf numFmtId="0" fontId="15" fillId="0" borderId="0" xfId="0" applyFont="1"/>
    <xf numFmtId="49" fontId="11" fillId="0" borderId="0" xfId="0" applyNumberFormat="1" applyFont="1" applyAlignment="1">
      <alignment wrapText="1"/>
    </xf>
    <xf numFmtId="49" fontId="11" fillId="0" borderId="0" xfId="0" applyNumberFormat="1" applyFont="1"/>
    <xf numFmtId="0" fontId="11" fillId="0" borderId="0" xfId="0" applyFont="1" applyAlignment="1">
      <alignment wrapText="1"/>
    </xf>
    <xf numFmtId="0" fontId="11" fillId="5" borderId="0" xfId="0" applyFont="1" applyFill="1" applyAlignment="1">
      <alignment vertical="center"/>
    </xf>
    <xf numFmtId="0" fontId="17" fillId="9" borderId="0" xfId="0" applyFont="1" applyFill="1" applyAlignment="1">
      <alignment vertical="center"/>
    </xf>
    <xf numFmtId="0" fontId="13" fillId="0" borderId="0" xfId="0" applyFont="1" applyAlignment="1">
      <alignment horizontal="center" vertical="center"/>
    </xf>
    <xf numFmtId="49" fontId="11" fillId="0" borderId="2" xfId="0" quotePrefix="1" applyNumberFormat="1" applyFont="1" applyBorder="1" applyAlignment="1">
      <alignment wrapText="1"/>
    </xf>
    <xf numFmtId="0" fontId="11" fillId="0" borderId="2" xfId="0" quotePrefix="1" applyFont="1" applyBorder="1" applyAlignment="1">
      <alignment wrapText="1"/>
    </xf>
    <xf numFmtId="49" fontId="10" fillId="0" borderId="0" xfId="0" applyNumberFormat="1" applyFont="1" applyAlignment="1">
      <alignment wrapText="1"/>
    </xf>
    <xf numFmtId="0" fontId="10" fillId="0" borderId="0" xfId="0" applyFont="1"/>
    <xf numFmtId="49" fontId="10" fillId="0" borderId="0" xfId="0" applyNumberFormat="1" applyFont="1"/>
    <xf numFmtId="0" fontId="10" fillId="0" borderId="0" xfId="0" quotePrefix="1" applyFont="1"/>
    <xf numFmtId="0" fontId="15" fillId="0" borderId="0" xfId="0" applyFont="1" applyAlignment="1">
      <alignment horizontal="center" vertical="center"/>
    </xf>
    <xf numFmtId="49" fontId="15" fillId="0" borderId="0" xfId="0" applyNumberFormat="1" applyFont="1" applyAlignment="1">
      <alignment horizontal="center" vertical="center" wrapText="1"/>
    </xf>
    <xf numFmtId="49" fontId="11" fillId="0" borderId="2" xfId="0" applyNumberFormat="1" applyFont="1" applyBorder="1"/>
    <xf numFmtId="49" fontId="11" fillId="0" borderId="2" xfId="0" applyNumberFormat="1" applyFont="1" applyBorder="1" applyAlignment="1">
      <alignment wrapText="1"/>
    </xf>
    <xf numFmtId="0" fontId="15" fillId="0" borderId="0" xfId="0" quotePrefix="1" applyFont="1" applyAlignment="1">
      <alignment horizontal="center" vertical="center"/>
    </xf>
    <xf numFmtId="0" fontId="2" fillId="12" borderId="0" xfId="4" applyAlignment="1">
      <alignment horizontal="left"/>
    </xf>
    <xf numFmtId="165" fontId="2" fillId="12" borderId="0" xfId="4" applyNumberFormat="1" applyAlignment="1">
      <alignment horizontal="center"/>
    </xf>
    <xf numFmtId="0" fontId="2" fillId="12" borderId="0" xfId="4" applyAlignment="1">
      <alignment horizontal="center"/>
    </xf>
    <xf numFmtId="164" fontId="9" fillId="11" borderId="0" xfId="3" applyNumberFormat="1"/>
    <xf numFmtId="166" fontId="9" fillId="11" borderId="0" xfId="3" applyNumberFormat="1"/>
    <xf numFmtId="165" fontId="6" fillId="0" borderId="0" xfId="0" applyNumberFormat="1" applyFont="1"/>
    <xf numFmtId="165" fontId="6" fillId="0" borderId="0" xfId="0" applyNumberFormat="1" applyFont="1" applyAlignment="1">
      <alignment horizontal="center"/>
    </xf>
    <xf numFmtId="0" fontId="19" fillId="0" borderId="0" xfId="5" applyAlignment="1">
      <alignment horizontal="center"/>
    </xf>
    <xf numFmtId="164" fontId="19" fillId="0" borderId="0" xfId="5" applyNumberFormat="1"/>
    <xf numFmtId="0" fontId="19" fillId="0" borderId="0" xfId="5"/>
    <xf numFmtId="0" fontId="19" fillId="12" borderId="0" xfId="5" applyFill="1" applyAlignment="1">
      <alignment horizontal="left"/>
    </xf>
    <xf numFmtId="165" fontId="19" fillId="12" borderId="0" xfId="5" applyNumberFormat="1" applyFill="1" applyAlignment="1">
      <alignment horizontal="center"/>
    </xf>
    <xf numFmtId="0" fontId="19" fillId="12" borderId="0" xfId="5" applyFill="1" applyAlignment="1">
      <alignment horizontal="center"/>
    </xf>
    <xf numFmtId="166" fontId="19" fillId="0" borderId="0" xfId="5" applyNumberFormat="1"/>
    <xf numFmtId="164" fontId="19" fillId="0" borderId="0" xfId="5" applyNumberFormat="1" applyAlignment="1">
      <alignment horizontal="center"/>
    </xf>
    <xf numFmtId="166" fontId="19" fillId="0" borderId="0" xfId="5" applyNumberFormat="1" applyAlignment="1">
      <alignment horizontal="center"/>
    </xf>
    <xf numFmtId="14" fontId="19" fillId="0" borderId="0" xfId="5" applyNumberFormat="1"/>
    <xf numFmtId="164" fontId="19" fillId="0" borderId="0" xfId="5" applyNumberFormat="1" applyAlignment="1"/>
    <xf numFmtId="165" fontId="20" fillId="0" borderId="0" xfId="0" applyNumberFormat="1" applyFont="1"/>
    <xf numFmtId="1" fontId="1" fillId="0" borderId="2" xfId="0" applyNumberFormat="1" applyFont="1" applyBorder="1"/>
    <xf numFmtId="165" fontId="21" fillId="0" borderId="2" xfId="0" applyNumberFormat="1" applyFont="1" applyBorder="1"/>
    <xf numFmtId="165" fontId="1" fillId="0" borderId="2" xfId="0" applyNumberFormat="1" applyFont="1" applyBorder="1"/>
    <xf numFmtId="1" fontId="1" fillId="0" borderId="3" xfId="0" applyNumberFormat="1" applyFont="1" applyBorder="1"/>
    <xf numFmtId="164" fontId="0" fillId="0" borderId="0" xfId="0" quotePrefix="1" applyNumberFormat="1"/>
    <xf numFmtId="0" fontId="6" fillId="0" borderId="0" xfId="0" applyFont="1" applyAlignment="1">
      <alignment horizontal="center"/>
    </xf>
    <xf numFmtId="0" fontId="7" fillId="10" borderId="0" xfId="2" applyFont="1" applyAlignment="1">
      <alignment horizontal="center"/>
    </xf>
    <xf numFmtId="164" fontId="0" fillId="0" borderId="0" xfId="0" applyNumberFormat="1" applyAlignment="1">
      <alignment horizontal="center"/>
    </xf>
    <xf numFmtId="0" fontId="0" fillId="0" borderId="0" xfId="0"/>
    <xf numFmtId="0" fontId="0" fillId="0" borderId="0" xfId="0" applyAlignment="1">
      <alignment horizontal="center"/>
    </xf>
    <xf numFmtId="0" fontId="2" fillId="4" borderId="0" xfId="1" applyAlignment="1">
      <alignment horizontal="center"/>
    </xf>
    <xf numFmtId="0" fontId="11" fillId="0" borderId="2" xfId="0" applyFont="1" applyBorder="1" applyAlignment="1">
      <alignment horizontal="center" vertical="center" wrapText="1"/>
    </xf>
    <xf numFmtId="0" fontId="1" fillId="0" borderId="0" xfId="0" applyFont="1" applyAlignment="1">
      <alignment horizontal="left" vertical="center"/>
    </xf>
    <xf numFmtId="0" fontId="0" fillId="0" borderId="0" xfId="0" applyAlignment="1">
      <alignment horizontal="center" vertical="center" wrapText="1"/>
    </xf>
    <xf numFmtId="0" fontId="1" fillId="0" borderId="0" xfId="0" applyFont="1" applyAlignment="1">
      <alignment horizontal="center" vertical="center" wrapText="1"/>
    </xf>
    <xf numFmtId="0" fontId="10" fillId="0" borderId="0" xfId="0" applyFont="1" applyAlignment="1">
      <alignment horizontal="left" vertical="center"/>
    </xf>
    <xf numFmtId="0" fontId="13" fillId="0" borderId="0" xfId="0" applyFont="1" applyAlignment="1">
      <alignment horizontal="center" vertical="center"/>
    </xf>
    <xf numFmtId="49" fontId="10" fillId="0" borderId="0" xfId="0" applyNumberFormat="1" applyFont="1" applyAlignment="1">
      <alignment horizontal="center" wrapText="1"/>
    </xf>
    <xf numFmtId="0" fontId="10" fillId="0" borderId="0" xfId="0" applyFont="1" applyAlignment="1">
      <alignment horizontal="center"/>
    </xf>
    <xf numFmtId="0" fontId="1" fillId="0" borderId="0" xfId="0" applyFont="1" applyAlignment="1">
      <alignment horizontal="center" vertical="center"/>
    </xf>
    <xf numFmtId="0" fontId="1" fillId="0" borderId="0" xfId="0" applyFont="1" applyAlignment="1">
      <alignment horizontal="center"/>
    </xf>
    <xf numFmtId="0" fontId="8" fillId="0" borderId="0" xfId="0" applyFont="1" applyAlignment="1">
      <alignment horizontal="center"/>
    </xf>
    <xf numFmtId="1" fontId="8" fillId="0" borderId="0" xfId="0" applyNumberFormat="1" applyFont="1" applyAlignment="1">
      <alignment horizontal="center"/>
    </xf>
    <xf numFmtId="165" fontId="0" fillId="0" borderId="0" xfId="0" applyNumberFormat="1" applyAlignment="1">
      <alignment horizontal="center"/>
    </xf>
    <xf numFmtId="165" fontId="6" fillId="0" borderId="0" xfId="0" applyNumberFormat="1" applyFont="1" applyAlignment="1">
      <alignment horizontal="center"/>
    </xf>
    <xf numFmtId="0" fontId="0" fillId="0" borderId="2" xfId="0" applyBorder="1" applyAlignment="1">
      <alignment horizontal="center"/>
    </xf>
    <xf numFmtId="0" fontId="19" fillId="0" borderId="0" xfId="5" applyAlignment="1">
      <alignment horizontal="center"/>
    </xf>
  </cellXfs>
  <cellStyles count="6">
    <cellStyle name="Accent1" xfId="4" builtinId="29"/>
    <cellStyle name="Accent5" xfId="1" builtinId="45"/>
    <cellStyle name="Explanatory Text" xfId="5" builtinId="53"/>
    <cellStyle name="Good" xfId="2" builtinId="26"/>
    <cellStyle name="Neutral" xfId="3" builtinId="28"/>
    <cellStyle name="Normal" xfId="0" builtinId="0"/>
  </cellStyles>
  <dxfs count="4">
    <dxf>
      <font>
        <color theme="9" tint="-0.499984740745262"/>
      </font>
      <fill>
        <patternFill>
          <bgColor rgb="FFFFFF00"/>
        </patternFill>
      </fill>
    </dxf>
    <dxf>
      <font>
        <color rgb="FF006100"/>
      </font>
      <fill>
        <patternFill>
          <bgColor rgb="FFFFFF00"/>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'4 node, builds'!$D$67:$D$78</c:f>
              <c:strCache>
                <c:ptCount val="12"/>
                <c:pt idx="0">
                  <c:v>big-arch7a-tune-flags</c:v>
                </c:pt>
                <c:pt idx="1">
                  <c:v>big-arch-tune-flags</c:v>
                </c:pt>
                <c:pt idx="2">
                  <c:v>big-flags</c:v>
                </c:pt>
                <c:pt idx="3">
                  <c:v>big-cpu</c:v>
                </c:pt>
                <c:pt idx="4">
                  <c:v>big-arch-tune</c:v>
                </c:pt>
                <c:pt idx="5">
                  <c:v>big-arch7a-tune</c:v>
                </c:pt>
                <c:pt idx="6">
                  <c:v>big-cpu-flags</c:v>
                </c:pt>
                <c:pt idx="7">
                  <c:v>big-atlasarch-tune2-flags</c:v>
                </c:pt>
                <c:pt idx="8">
                  <c:v>big-atlasarch-tune2</c:v>
                </c:pt>
                <c:pt idx="9">
                  <c:v>big-noMHz</c:v>
                </c:pt>
                <c:pt idx="10">
                  <c:v>big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 node, builds'!$A$67:$A$76</c:f>
              <c:strCache>
                <c:ptCount val="10"/>
                <c:pt idx="0">
                  <c:v>big</c:v>
                </c:pt>
                <c:pt idx="1">
                  <c:v>big-arch7a-tune</c:v>
                </c:pt>
                <c:pt idx="2">
                  <c:v>big-arch7a-tune-flags</c:v>
                </c:pt>
                <c:pt idx="3">
                  <c:v>big-arch-tune</c:v>
                </c:pt>
                <c:pt idx="4">
                  <c:v>big-arch-tune-flags</c:v>
                </c:pt>
                <c:pt idx="5">
                  <c:v>big-atlasarch-tune2</c:v>
                </c:pt>
                <c:pt idx="6">
                  <c:v>big-atlasarch-tune2-flags</c:v>
                </c:pt>
                <c:pt idx="7">
                  <c:v>big-cpu</c:v>
                </c:pt>
                <c:pt idx="8">
                  <c:v>big-cpu-flags</c:v>
                </c:pt>
                <c:pt idx="9">
                  <c:v>big-flags</c:v>
                </c:pt>
              </c:strCache>
            </c:strRef>
          </c:cat>
          <c:val>
            <c:numRef>
              <c:f>'4 node, builds'!$E$67:$E$78</c:f>
              <c:numCache>
                <c:formatCode>0.0000</c:formatCode>
                <c:ptCount val="12"/>
                <c:pt idx="0">
                  <c:v>29.200400000000002</c:v>
                </c:pt>
                <c:pt idx="1">
                  <c:v>29.315999999999995</c:v>
                </c:pt>
                <c:pt idx="2">
                  <c:v>31.211199999999998</c:v>
                </c:pt>
                <c:pt idx="3">
                  <c:v>31.931400000000004</c:v>
                </c:pt>
                <c:pt idx="4">
                  <c:v>32.002200000000002</c:v>
                </c:pt>
                <c:pt idx="5">
                  <c:v>32.008200000000002</c:v>
                </c:pt>
                <c:pt idx="6">
                  <c:v>32.0792</c:v>
                </c:pt>
                <c:pt idx="7">
                  <c:v>32.705999999999996</c:v>
                </c:pt>
                <c:pt idx="8">
                  <c:v>33.348799999999997</c:v>
                </c:pt>
                <c:pt idx="9">
                  <c:v>36.295000000000002</c:v>
                </c:pt>
                <c:pt idx="10">
                  <c:v>36.308</c:v>
                </c:pt>
              </c:numCache>
            </c:numRef>
          </c:val>
          <c:extLst>
            <c:ext xmlns:c16="http://schemas.microsoft.com/office/drawing/2014/chart" uri="{C3380CC4-5D6E-409C-BE32-E72D297353CC}">
              <c16:uniqueId val="{00000000-5203-404C-81B4-3A6CB943F94A}"/>
            </c:ext>
          </c:extLst>
        </c:ser>
        <c:dLbls>
          <c:showLegendKey val="0"/>
          <c:showVal val="0"/>
          <c:showCatName val="0"/>
          <c:showSerName val="0"/>
          <c:showPercent val="0"/>
          <c:showBubbleSize val="0"/>
        </c:dLbls>
        <c:gapWidth val="100"/>
        <c:overlap val="-24"/>
        <c:axId val="540087279"/>
        <c:axId val="535438751"/>
      </c:barChart>
      <c:catAx>
        <c:axId val="540087279"/>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hr-HR"/>
                  <a:t>ATLAS Build</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crossAx val="535438751"/>
        <c:crosses val="autoZero"/>
        <c:auto val="1"/>
        <c:lblAlgn val="ctr"/>
        <c:lblOffset val="100"/>
        <c:noMultiLvlLbl val="0"/>
      </c:catAx>
      <c:valAx>
        <c:axId val="5354387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hr-HR"/>
                  <a:t>Performance [Gflop/s]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title>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crossAx val="540087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sr-Latn-R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16</xdr:col>
      <xdr:colOff>263337</xdr:colOff>
      <xdr:row>45</xdr:row>
      <xdr:rowOff>146796</xdr:rowOff>
    </xdr:from>
    <xdr:to>
      <xdr:col>22</xdr:col>
      <xdr:colOff>50425</xdr:colOff>
      <xdr:row>60</xdr:row>
      <xdr:rowOff>32496</xdr:rowOff>
    </xdr:to>
    <xdr:graphicFrame macro="">
      <xdr:nvGraphicFramePr>
        <xdr:cNvPr id="3" name="Chart 2">
          <a:extLst>
            <a:ext uri="{FF2B5EF4-FFF2-40B4-BE49-F238E27FC236}">
              <a16:creationId xmlns:a16="http://schemas.microsoft.com/office/drawing/2014/main" id="{E0D38E4D-6759-F6A9-DCF4-786DDA8AE0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etfoshr-my.sharepoint.com/personal/krpic_etfos_hr/Documents/Istra&#382;ivanje/1.%20SBCC/Results/OdroidMC1/HPL%20results%202023%20-%20OdroidMC1%20-%20small.xlsx" TargetMode="External"/><Relationship Id="rId1" Type="http://schemas.openxmlformats.org/officeDocument/2006/relationships/externalLinkPath" Target="HPL%20results%202023%20-%20OdroidMC1%20-%20smal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933 builds"/>
      <sheetName val="933 params, RAW"/>
      <sheetName val="933 params"/>
      <sheetName val="825 params, RAW"/>
      <sheetName val="825 params"/>
      <sheetName val="Top values"/>
      <sheetName val="933 params 1 node, RAW"/>
      <sheetName val="933 params 1 node"/>
      <sheetName val="825 params 1 node, RAW"/>
      <sheetName val="825 params 1 node"/>
      <sheetName val="Scalability analysis"/>
    </sheetNames>
    <sheetDataSet>
      <sheetData sheetId="0">
        <row r="56">
          <cell r="A56" t="str">
            <v>small</v>
          </cell>
          <cell r="B56">
            <v>8.5284800000000001</v>
          </cell>
        </row>
        <row r="57">
          <cell r="A57" t="str">
            <v>small-arch-tune</v>
          </cell>
          <cell r="B57">
            <v>5.7035200000000001</v>
          </cell>
        </row>
        <row r="58">
          <cell r="A58" t="str">
            <v>small-arch-tune-flags</v>
          </cell>
          <cell r="B58">
            <v>8.3876799999999996</v>
          </cell>
        </row>
        <row r="59">
          <cell r="A59" t="str">
            <v>small-atlasarch-tune</v>
          </cell>
          <cell r="B59">
            <v>7.2748000000000008</v>
          </cell>
        </row>
        <row r="60">
          <cell r="A60" t="str">
            <v>small-atlasarch-tune2</v>
          </cell>
          <cell r="B60">
            <v>7.2752999999999997</v>
          </cell>
        </row>
        <row r="61">
          <cell r="A61" t="str">
            <v>small-atlasarch-tune2-flags</v>
          </cell>
          <cell r="B61">
            <v>8.0888400000000011</v>
          </cell>
        </row>
        <row r="62">
          <cell r="A62" t="str">
            <v>small-atlasarch-tune-flags</v>
          </cell>
          <cell r="B62">
            <v>8.5175599999999996</v>
          </cell>
        </row>
        <row r="63">
          <cell r="A63" t="str">
            <v>small-cpu</v>
          </cell>
          <cell r="B63">
            <v>7.2655199999999995</v>
          </cell>
        </row>
        <row r="64">
          <cell r="A64" t="str">
            <v>small-cpu-flags</v>
          </cell>
          <cell r="B64">
            <v>8.3857400000000002</v>
          </cell>
        </row>
        <row r="65">
          <cell r="A65" t="str">
            <v>small-flags</v>
          </cell>
          <cell r="B65">
            <v>8.0902599999999989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persons/person.xml><?xml version="1.0" encoding="utf-8"?>
<personList xmlns="http://schemas.microsoft.com/office/spreadsheetml/2018/threadedcomments" xmlns:x="http://schemas.openxmlformats.org/spreadsheetml/2006/main">
  <person displayName="Zdravko Krpić" id="{656524D6-2AE7-46AD-8A57-306AECF19037}" userId="S::krpic@etfos.hr::6f7c9807-f6cd-4dcc-b5ec-bd0ee0cec0a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AE1A9FF-24BE-42AF-9CF4-6FD20A070974}" name="Table5" displayName="Table5" ref="E2:I74" totalsRowShown="0">
  <autoFilter ref="E2:I74" xr:uid="{6AE1A9FF-24BE-42AF-9CF4-6FD20A070974}"/>
  <sortState xmlns:xlrd2="http://schemas.microsoft.com/office/spreadsheetml/2017/richdata2" ref="E3:I74">
    <sortCondition ref="G3:G74"/>
    <sortCondition descending="1" ref="E3:E74"/>
    <sortCondition ref="F3:F74"/>
  </sortState>
  <tableColumns count="5">
    <tableColumn id="1" xr3:uid="{410A2CD7-7BF5-4D6F-B7D8-355BE7D3A71D}" name="N (round)"/>
    <tableColumn id="2" xr3:uid="{043716FD-0744-44D8-A3AE-FB24F175F94E}" name="NB"/>
    <tableColumn id="3" xr3:uid="{C8CE8D3F-954F-43DC-8DEF-7E0DE04D27F8}" name="P"/>
    <tableColumn id="4" xr3:uid="{B6FDA3CA-1C3E-4D78-AF27-664609AF2B4D}" name="Q"/>
    <tableColumn id="5" xr3:uid="{5C7D5793-8659-48C9-AB59-10D0535A83CB}" name="Average GFLOP/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906D177-83B2-402E-AF57-22513D5C22EF}" name="Table6" displayName="Table6" ref="K2:O74" totalsRowShown="0">
  <autoFilter ref="K2:O74" xr:uid="{2906D177-83B2-402E-AF57-22513D5C22EF}"/>
  <sortState xmlns:xlrd2="http://schemas.microsoft.com/office/spreadsheetml/2017/richdata2" ref="K3:O74">
    <sortCondition ref="M3:M74"/>
    <sortCondition descending="1" ref="K3:K74"/>
    <sortCondition ref="L3:L74"/>
  </sortState>
  <tableColumns count="5">
    <tableColumn id="1" xr3:uid="{9C78B7B1-BABF-4D5E-9379-4EB05DB6CC8E}" name="N (round)"/>
    <tableColumn id="2" xr3:uid="{F8693D87-FF32-4C1D-9CAA-77070BEEC29D}" name="NB"/>
    <tableColumn id="3" xr3:uid="{E5A3A8BA-28F6-4467-B2B6-26EEECB4A6C9}" name="P"/>
    <tableColumn id="4" xr3:uid="{2FA187AF-4330-4EAD-BA96-4434402737E2}" name="Q"/>
    <tableColumn id="5" xr3:uid="{9BF18B64-E21A-4E1A-8A9A-68371E42C48C}" name="Average GFLOP/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9BC63F4-4E68-47AA-AEB0-6038987DF941}" name="Table7" displayName="Table7" ref="Q2:U50" totalsRowShown="0">
  <autoFilter ref="Q2:U50" xr:uid="{59BC63F4-4E68-47AA-AEB0-6038987DF941}"/>
  <sortState xmlns:xlrd2="http://schemas.microsoft.com/office/spreadsheetml/2017/richdata2" ref="Q3:U50">
    <sortCondition ref="S3:S50"/>
    <sortCondition descending="1" ref="Q3:Q50"/>
    <sortCondition ref="R3:R50"/>
  </sortState>
  <tableColumns count="5">
    <tableColumn id="1" xr3:uid="{C752C060-6D37-4FCD-A5E0-558E26B1E8DD}" name="N (round)"/>
    <tableColumn id="2" xr3:uid="{B890350E-A7E5-49BE-A885-179F7BB4F7AC}" name="NB"/>
    <tableColumn id="3" xr3:uid="{3F743071-0447-40B9-800E-2BD35115F8E3}" name="P"/>
    <tableColumn id="4" xr3:uid="{59BA0C00-C6C5-491C-BB9E-18AD200DB46D}" name="Q"/>
    <tableColumn id="5" xr3:uid="{E187E4CD-D57A-4F93-87D4-04E618709F82}" name="Average GFLOP/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E13DBA1-E6F4-4232-8864-841E8ED94697}" name="Table8" displayName="Table8" ref="W2:AA50" totalsRowShown="0">
  <autoFilter ref="W2:AA50" xr:uid="{EE13DBA1-E6F4-4232-8864-841E8ED94697}"/>
  <sortState xmlns:xlrd2="http://schemas.microsoft.com/office/spreadsheetml/2017/richdata2" ref="W3:AA50">
    <sortCondition ref="Y3:Y50"/>
    <sortCondition descending="1" ref="W3:W50"/>
    <sortCondition ref="X3:X50"/>
  </sortState>
  <tableColumns count="5">
    <tableColumn id="1" xr3:uid="{DB299FA6-0DED-4C20-BF47-B033DA749D28}" name="N (round)"/>
    <tableColumn id="2" xr3:uid="{91960157-BDC8-4F87-A260-792ED46F14AB}" name="NB"/>
    <tableColumn id="3" xr3:uid="{A32CDBD5-5272-472E-8050-A72577D61F90}" name="P"/>
    <tableColumn id="4" xr3:uid="{9C30EA37-7818-48B7-A74B-9A7D99EE752B}" name="Q"/>
    <tableColumn id="5" xr3:uid="{6A03F294-A9E3-4525-9B33-AA60B0B74EC6}" name="Average GFLOP/s"/>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Y169" dT="2024-01-22T16:48:11.07" personId="{656524D6-2AE7-46AD-8A57-306AECF19037}" id="{31C1F917-D29E-40EE-AD72-E889904B3FDA}">
    <text>Additional measurements</text>
  </threadedComment>
</ThreadedComments>
</file>

<file path=xl/threadedComments/threadedComment2.xml><?xml version="1.0" encoding="utf-8"?>
<ThreadedComments xmlns="http://schemas.microsoft.com/office/spreadsheetml/2018/threadedcomments" xmlns:x="http://schemas.openxmlformats.org/spreadsheetml/2006/main">
  <threadedComment ref="Y365" dT="2024-01-22T16:48:11.07" personId="{656524D6-2AE7-46AD-8A57-306AECF19037}" id="{98DA97FE-7F77-4EE1-A110-5E79C75ACC06}">
    <text>Additional measurements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 Id="rId4" Type="http://schemas.microsoft.com/office/2017/10/relationships/threadedComment" Target="../threadedComments/threadedComment1.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2.bin"/><Relationship Id="rId4" Type="http://schemas.microsoft.com/office/2017/10/relationships/threadedComment" Target="../threadedComments/threadedComment2.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1260-EAAF-4A97-9410-92857D597ED2}">
  <dimension ref="A1:AV89"/>
  <sheetViews>
    <sheetView zoomScale="85" zoomScaleNormal="85" workbookViewId="0">
      <selection activeCell="J81" sqref="J81"/>
    </sheetView>
  </sheetViews>
  <sheetFormatPr defaultRowHeight="15" x14ac:dyDescent="0.25"/>
  <cols>
    <col min="1" max="1" width="30.85546875" customWidth="1"/>
    <col min="2" max="2" width="5" bestFit="1" customWidth="1"/>
    <col min="3" max="3" width="9.7109375" bestFit="1" customWidth="1"/>
    <col min="4" max="4" width="6.42578125" bestFit="1" customWidth="1"/>
    <col min="5" max="5" width="4" bestFit="1" customWidth="1"/>
    <col min="6" max="6" width="2.140625" bestFit="1" customWidth="1"/>
    <col min="7" max="7" width="2.42578125" bestFit="1" customWidth="1"/>
    <col min="8" max="8" width="7" bestFit="1" customWidth="1"/>
    <col min="9" max="9" width="9.42578125" style="17" bestFit="1" customWidth="1"/>
    <col min="10" max="10" width="10.7109375" style="17" bestFit="1" customWidth="1"/>
    <col min="11" max="11" width="39.42578125" bestFit="1" customWidth="1"/>
    <col min="12" max="12" width="8.28515625" customWidth="1"/>
    <col min="13" max="13" width="24.85546875" bestFit="1" customWidth="1"/>
    <col min="14" max="20" width="8.28515625" customWidth="1"/>
    <col min="21" max="21" width="8.7109375" style="17" bestFit="1" customWidth="1"/>
    <col min="22" max="22" width="15.7109375" style="17" bestFit="1" customWidth="1"/>
    <col min="23" max="23" width="9.7109375" style="33" bestFit="1" customWidth="1"/>
    <col min="24" max="24" width="8.28515625" style="37" customWidth="1"/>
    <col min="25" max="26" width="8.28515625" customWidth="1"/>
    <col min="27" max="27" width="30.5703125" bestFit="1" customWidth="1"/>
    <col min="28" max="28" width="8.28515625" style="16" customWidth="1"/>
    <col min="29" max="29" width="8.28515625" customWidth="1"/>
    <col min="30" max="33" width="8.28515625" style="16" customWidth="1"/>
    <col min="34" max="34" width="8.28515625" style="2" customWidth="1"/>
    <col min="35" max="35" width="8.7109375" style="17" bestFit="1" customWidth="1"/>
    <col min="36" max="36" width="8.28515625" style="17" customWidth="1"/>
    <col min="37" max="37" width="8.28515625" customWidth="1"/>
    <col min="38" max="38" width="21" style="5" bestFit="1" customWidth="1"/>
    <col min="39" max="39" width="8.28515625" style="16" customWidth="1"/>
    <col min="40" max="40" width="8.28515625" customWidth="1"/>
    <col min="41" max="44" width="8.28515625" style="16" customWidth="1"/>
    <col min="45" max="45" width="8.28515625" style="2" customWidth="1"/>
    <col min="46" max="47" width="8.28515625" style="17" customWidth="1"/>
    <col min="48" max="48" width="8.28515625" customWidth="1"/>
  </cols>
  <sheetData>
    <row r="1" spans="1:48" ht="15.75" x14ac:dyDescent="0.25">
      <c r="A1" s="140" t="s">
        <v>21</v>
      </c>
      <c r="B1" s="140"/>
      <c r="C1" s="140"/>
      <c r="D1" s="140"/>
      <c r="E1" s="140"/>
      <c r="F1" s="140"/>
      <c r="G1" s="140"/>
      <c r="H1" s="140"/>
      <c r="I1" s="140"/>
      <c r="J1" s="140"/>
      <c r="K1" s="140"/>
      <c r="M1" s="140" t="s">
        <v>21</v>
      </c>
      <c r="N1" s="140"/>
      <c r="O1" s="140"/>
      <c r="P1" s="140"/>
      <c r="Q1" s="140"/>
      <c r="R1" s="140"/>
      <c r="S1" s="140"/>
      <c r="T1" s="140"/>
      <c r="U1" s="140"/>
      <c r="V1" s="140"/>
      <c r="W1" s="140"/>
    </row>
    <row r="2" spans="1:48" ht="15.75" x14ac:dyDescent="0.25">
      <c r="A2" s="141" t="s">
        <v>22</v>
      </c>
      <c r="B2" s="141"/>
      <c r="C2" s="141"/>
      <c r="D2" s="141"/>
      <c r="E2" s="141"/>
      <c r="F2" s="141"/>
      <c r="G2" s="141"/>
      <c r="H2" s="141"/>
      <c r="I2" s="141"/>
      <c r="J2" s="141"/>
      <c r="K2" s="141"/>
      <c r="M2" s="141" t="s">
        <v>23</v>
      </c>
      <c r="N2" s="141"/>
      <c r="O2" s="141"/>
      <c r="P2" s="141"/>
      <c r="Q2" s="141"/>
      <c r="R2" s="141"/>
      <c r="S2" s="141"/>
      <c r="T2" s="141"/>
      <c r="U2" s="141"/>
      <c r="V2" s="141"/>
      <c r="W2" s="141"/>
    </row>
    <row r="3" spans="1:48" x14ac:dyDescent="0.25">
      <c r="A3" s="143"/>
      <c r="B3" s="143"/>
      <c r="C3" s="143"/>
      <c r="D3" s="143"/>
      <c r="E3" s="143"/>
      <c r="F3" s="143"/>
      <c r="G3" s="143"/>
      <c r="H3" s="143"/>
      <c r="I3" s="143"/>
      <c r="J3" s="143"/>
      <c r="K3" s="143"/>
      <c r="AA3" s="145" t="s">
        <v>24</v>
      </c>
      <c r="AB3" s="145"/>
      <c r="AC3" s="145"/>
      <c r="AD3" s="145"/>
      <c r="AE3" s="145"/>
      <c r="AF3" s="145"/>
      <c r="AG3" s="145"/>
      <c r="AH3" s="145"/>
      <c r="AI3" s="145"/>
      <c r="AJ3" s="145"/>
      <c r="AK3" s="32"/>
      <c r="AL3" s="145" t="s">
        <v>24</v>
      </c>
      <c r="AM3" s="145"/>
      <c r="AN3" s="145"/>
      <c r="AO3" s="145"/>
      <c r="AP3" s="145"/>
      <c r="AQ3" s="145"/>
      <c r="AR3" s="145"/>
      <c r="AS3" s="145"/>
      <c r="AT3" s="145"/>
      <c r="AU3" s="145"/>
    </row>
    <row r="4" spans="1:48" x14ac:dyDescent="0.25">
      <c r="A4" s="14" t="s">
        <v>0</v>
      </c>
      <c r="B4" s="14" t="s">
        <v>3</v>
      </c>
      <c r="C4" s="14" t="s">
        <v>4</v>
      </c>
      <c r="D4" s="14" t="s">
        <v>5</v>
      </c>
      <c r="E4" s="14" t="s">
        <v>6</v>
      </c>
      <c r="F4" s="14" t="s">
        <v>7</v>
      </c>
      <c r="G4" s="14" t="s">
        <v>8</v>
      </c>
      <c r="H4" s="14" t="s">
        <v>9</v>
      </c>
      <c r="I4" s="35" t="s">
        <v>10</v>
      </c>
      <c r="J4" s="35"/>
      <c r="K4" s="14"/>
      <c r="L4" s="14"/>
      <c r="M4" s="14" t="s">
        <v>0</v>
      </c>
      <c r="N4" s="14" t="s">
        <v>3</v>
      </c>
      <c r="O4" s="14" t="s">
        <v>4</v>
      </c>
      <c r="P4" s="14" t="s">
        <v>5</v>
      </c>
      <c r="Q4" s="14" t="s">
        <v>6</v>
      </c>
      <c r="R4" s="14" t="s">
        <v>7</v>
      </c>
      <c r="S4" s="14" t="s">
        <v>8</v>
      </c>
      <c r="T4" s="14" t="s">
        <v>9</v>
      </c>
      <c r="U4" s="35" t="s">
        <v>10</v>
      </c>
      <c r="V4" s="35" t="s">
        <v>15</v>
      </c>
      <c r="W4" s="49" t="s">
        <v>11</v>
      </c>
      <c r="X4" s="38" t="s">
        <v>9</v>
      </c>
      <c r="Y4" s="14"/>
      <c r="Z4" s="14"/>
      <c r="AA4" s="14" t="s">
        <v>0</v>
      </c>
      <c r="AB4" s="20" t="s">
        <v>3</v>
      </c>
      <c r="AC4" s="14" t="s">
        <v>4</v>
      </c>
      <c r="AD4" s="20" t="s">
        <v>5</v>
      </c>
      <c r="AE4" s="20" t="s">
        <v>6</v>
      </c>
      <c r="AF4" s="20" t="s">
        <v>7</v>
      </c>
      <c r="AG4" s="20" t="s">
        <v>8</v>
      </c>
      <c r="AH4" s="19" t="s">
        <v>9</v>
      </c>
      <c r="AI4" s="35" t="s">
        <v>10</v>
      </c>
      <c r="AJ4" s="35"/>
      <c r="AK4" s="14"/>
      <c r="AL4" s="14" t="s">
        <v>0</v>
      </c>
      <c r="AM4" s="20" t="s">
        <v>3</v>
      </c>
      <c r="AN4" s="14" t="s">
        <v>4</v>
      </c>
      <c r="AO4" s="20" t="s">
        <v>5</v>
      </c>
      <c r="AP4" s="20" t="s">
        <v>6</v>
      </c>
      <c r="AQ4" s="20" t="s">
        <v>7</v>
      </c>
      <c r="AR4" s="20" t="s">
        <v>8</v>
      </c>
      <c r="AS4" s="19" t="s">
        <v>9</v>
      </c>
      <c r="AT4" s="35" t="s">
        <v>10</v>
      </c>
      <c r="AU4" s="35"/>
      <c r="AV4" s="14"/>
    </row>
    <row r="5" spans="1:48" x14ac:dyDescent="0.25">
      <c r="A5" t="s">
        <v>25</v>
      </c>
      <c r="B5">
        <v>1</v>
      </c>
      <c r="C5" t="s">
        <v>16</v>
      </c>
      <c r="D5">
        <v>25984</v>
      </c>
      <c r="E5">
        <v>128</v>
      </c>
      <c r="F5">
        <v>2</v>
      </c>
      <c r="G5">
        <v>8</v>
      </c>
      <c r="H5">
        <v>386.27</v>
      </c>
      <c r="I5" s="17">
        <v>30.280999999999999</v>
      </c>
      <c r="J5" s="142">
        <f>AVERAGE(I5:I8)</f>
        <v>30.029249999999998</v>
      </c>
      <c r="K5" s="144" t="str">
        <f t="shared" ref="K5" si="0">A5</f>
        <v>optimized-big-atlasarch-tune,</v>
      </c>
      <c r="M5" t="s">
        <v>26</v>
      </c>
      <c r="N5">
        <v>0</v>
      </c>
      <c r="O5" t="s">
        <v>16</v>
      </c>
      <c r="P5">
        <v>25984</v>
      </c>
      <c r="Q5">
        <v>128</v>
      </c>
      <c r="R5">
        <v>2</v>
      </c>
      <c r="S5">
        <v>8</v>
      </c>
      <c r="T5">
        <v>324.54000000000002</v>
      </c>
      <c r="U5" s="17">
        <v>36.040999999999997</v>
      </c>
      <c r="V5" s="142">
        <f>AVERAGE(U5:U8)</f>
        <v>36.019750000000002</v>
      </c>
      <c r="W5" s="33">
        <v>45090</v>
      </c>
      <c r="X5" s="37">
        <v>0.6629976851851852</v>
      </c>
      <c r="AA5" s="1" t="s">
        <v>27</v>
      </c>
      <c r="AB5" s="16">
        <v>1</v>
      </c>
      <c r="AC5" s="1" t="s">
        <v>16</v>
      </c>
      <c r="AD5" s="16">
        <v>25984</v>
      </c>
      <c r="AE5" s="16">
        <v>128</v>
      </c>
      <c r="AF5" s="16">
        <v>2</v>
      </c>
      <c r="AG5" s="16">
        <v>8</v>
      </c>
      <c r="AH5" s="2">
        <v>1768.96</v>
      </c>
      <c r="AI5" s="17">
        <v>6.6121999999999996</v>
      </c>
      <c r="AL5" s="5" t="s">
        <v>28</v>
      </c>
      <c r="AM5" s="16">
        <v>1</v>
      </c>
      <c r="AN5" t="s">
        <v>16</v>
      </c>
      <c r="AO5" s="16">
        <v>18368</v>
      </c>
      <c r="AP5" s="16">
        <v>64</v>
      </c>
      <c r="AQ5" s="16">
        <v>2</v>
      </c>
      <c r="AR5" s="16">
        <v>4</v>
      </c>
      <c r="AS5" s="2">
        <v>2171.0300000000002</v>
      </c>
      <c r="AT5" s="17">
        <v>1.9032</v>
      </c>
    </row>
    <row r="6" spans="1:48" x14ac:dyDescent="0.25">
      <c r="A6" t="s">
        <v>25</v>
      </c>
      <c r="B6">
        <v>2</v>
      </c>
      <c r="C6" t="s">
        <v>16</v>
      </c>
      <c r="D6">
        <v>25984</v>
      </c>
      <c r="E6">
        <v>128</v>
      </c>
      <c r="F6">
        <v>2</v>
      </c>
      <c r="G6">
        <v>8</v>
      </c>
      <c r="H6">
        <v>390.42</v>
      </c>
      <c r="I6" s="17">
        <v>29.959</v>
      </c>
      <c r="J6" s="142"/>
      <c r="K6" s="144"/>
      <c r="M6" t="s">
        <v>26</v>
      </c>
      <c r="N6">
        <v>1</v>
      </c>
      <c r="O6" t="s">
        <v>16</v>
      </c>
      <c r="P6">
        <v>25984</v>
      </c>
      <c r="Q6">
        <v>128</v>
      </c>
      <c r="R6">
        <v>2</v>
      </c>
      <c r="S6">
        <v>8</v>
      </c>
      <c r="T6">
        <v>324.95</v>
      </c>
      <c r="U6" s="17">
        <v>35.996000000000002</v>
      </c>
      <c r="V6" s="142"/>
      <c r="W6" s="33">
        <v>45090</v>
      </c>
      <c r="X6" s="37">
        <v>0.66690972222222211</v>
      </c>
      <c r="AA6" s="1" t="s">
        <v>27</v>
      </c>
      <c r="AB6" s="16">
        <v>2</v>
      </c>
      <c r="AC6" s="1" t="s">
        <v>16</v>
      </c>
      <c r="AD6" s="16">
        <v>25984</v>
      </c>
      <c r="AE6" s="16">
        <v>128</v>
      </c>
      <c r="AF6" s="16">
        <v>2</v>
      </c>
      <c r="AG6" s="16">
        <v>8</v>
      </c>
      <c r="AH6" s="2">
        <v>1768.31</v>
      </c>
      <c r="AI6" s="17">
        <v>6.6146000000000003</v>
      </c>
      <c r="AL6" s="5" t="s">
        <v>28</v>
      </c>
      <c r="AM6" s="16">
        <v>2</v>
      </c>
      <c r="AN6" t="s">
        <v>16</v>
      </c>
      <c r="AO6" s="16">
        <v>18368</v>
      </c>
      <c r="AP6" s="16">
        <v>64</v>
      </c>
      <c r="AQ6" s="16">
        <v>2</v>
      </c>
      <c r="AR6" s="16">
        <v>4</v>
      </c>
      <c r="AS6" s="2">
        <v>2099.9299999999998</v>
      </c>
      <c r="AT6" s="17">
        <v>1.9676</v>
      </c>
    </row>
    <row r="7" spans="1:48" x14ac:dyDescent="0.25">
      <c r="A7" t="s">
        <v>25</v>
      </c>
      <c r="B7">
        <v>3</v>
      </c>
      <c r="C7" t="s">
        <v>16</v>
      </c>
      <c r="D7">
        <v>25984</v>
      </c>
      <c r="E7">
        <v>128</v>
      </c>
      <c r="F7">
        <v>2</v>
      </c>
      <c r="G7">
        <v>8</v>
      </c>
      <c r="H7">
        <v>390.94</v>
      </c>
      <c r="I7" s="17">
        <v>29.92</v>
      </c>
      <c r="J7" s="142"/>
      <c r="K7" s="144"/>
      <c r="M7" t="s">
        <v>26</v>
      </c>
      <c r="N7">
        <v>2</v>
      </c>
      <c r="O7" t="s">
        <v>16</v>
      </c>
      <c r="P7">
        <v>25984</v>
      </c>
      <c r="Q7">
        <v>128</v>
      </c>
      <c r="R7">
        <v>2</v>
      </c>
      <c r="S7">
        <v>8</v>
      </c>
      <c r="T7">
        <v>324.74</v>
      </c>
      <c r="U7" s="17">
        <v>36.018000000000001</v>
      </c>
      <c r="V7" s="142"/>
      <c r="W7" s="33">
        <v>45090</v>
      </c>
      <c r="X7" s="37">
        <v>0.6708101851851852</v>
      </c>
      <c r="AA7" s="1" t="s">
        <v>27</v>
      </c>
      <c r="AB7" s="16">
        <v>3</v>
      </c>
      <c r="AC7" s="1" t="s">
        <v>16</v>
      </c>
      <c r="AD7" s="16">
        <v>25984</v>
      </c>
      <c r="AE7" s="16">
        <v>128</v>
      </c>
      <c r="AF7" s="16">
        <v>2</v>
      </c>
      <c r="AG7" s="16">
        <v>8</v>
      </c>
      <c r="AH7" s="2">
        <v>1767.88</v>
      </c>
      <c r="AI7" s="17">
        <v>6.6162000000000001</v>
      </c>
      <c r="AL7" s="5" t="s">
        <v>28</v>
      </c>
      <c r="AM7" s="16">
        <v>3</v>
      </c>
      <c r="AN7" t="s">
        <v>16</v>
      </c>
      <c r="AO7" s="16">
        <v>18368</v>
      </c>
      <c r="AP7" s="16">
        <v>64</v>
      </c>
      <c r="AQ7" s="16">
        <v>2</v>
      </c>
      <c r="AR7" s="16">
        <v>4</v>
      </c>
      <c r="AS7" s="2">
        <v>2161.9</v>
      </c>
      <c r="AT7" s="17">
        <v>1.9112</v>
      </c>
    </row>
    <row r="8" spans="1:48" x14ac:dyDescent="0.25">
      <c r="A8" t="s">
        <v>25</v>
      </c>
      <c r="B8">
        <v>4</v>
      </c>
      <c r="C8" t="s">
        <v>16</v>
      </c>
      <c r="D8">
        <v>25984</v>
      </c>
      <c r="E8">
        <v>128</v>
      </c>
      <c r="F8">
        <v>2</v>
      </c>
      <c r="G8">
        <v>8</v>
      </c>
      <c r="H8">
        <v>390.45</v>
      </c>
      <c r="I8" s="17">
        <v>29.957000000000001</v>
      </c>
      <c r="J8" s="142"/>
      <c r="K8" s="144"/>
      <c r="M8" t="s">
        <v>26</v>
      </c>
      <c r="N8">
        <v>3</v>
      </c>
      <c r="O8" t="s">
        <v>16</v>
      </c>
      <c r="P8">
        <v>25984</v>
      </c>
      <c r="Q8">
        <v>128</v>
      </c>
      <c r="R8">
        <v>2</v>
      </c>
      <c r="S8">
        <v>8</v>
      </c>
      <c r="T8">
        <v>324.69</v>
      </c>
      <c r="U8" s="17">
        <v>36.024000000000001</v>
      </c>
      <c r="V8" s="142"/>
      <c r="W8" s="33">
        <v>45090</v>
      </c>
      <c r="X8" s="37">
        <v>0.67471064814814818</v>
      </c>
      <c r="AA8" t="s">
        <v>27</v>
      </c>
      <c r="AB8" s="16">
        <v>4</v>
      </c>
      <c r="AC8" t="s">
        <v>16</v>
      </c>
      <c r="AD8" s="16">
        <v>25984</v>
      </c>
      <c r="AE8" s="16">
        <v>128</v>
      </c>
      <c r="AF8" s="16">
        <v>2</v>
      </c>
      <c r="AG8" s="16">
        <v>8</v>
      </c>
      <c r="AH8" s="2">
        <v>1768.8</v>
      </c>
      <c r="AI8" s="17">
        <v>6.6128</v>
      </c>
      <c r="AL8" s="5" t="s">
        <v>28</v>
      </c>
      <c r="AM8" s="16">
        <v>4</v>
      </c>
      <c r="AN8" t="s">
        <v>16</v>
      </c>
      <c r="AO8" s="16">
        <v>18368</v>
      </c>
      <c r="AP8" s="16">
        <v>64</v>
      </c>
      <c r="AQ8" s="16">
        <v>2</v>
      </c>
      <c r="AR8" s="16">
        <v>4</v>
      </c>
      <c r="AS8" s="2">
        <v>2169.2199999999998</v>
      </c>
      <c r="AT8" s="17">
        <v>1.9048</v>
      </c>
    </row>
    <row r="9" spans="1:48" x14ac:dyDescent="0.25">
      <c r="A9" t="s">
        <v>29</v>
      </c>
      <c r="B9">
        <v>1</v>
      </c>
      <c r="C9" t="s">
        <v>16</v>
      </c>
      <c r="D9">
        <v>25984</v>
      </c>
      <c r="E9">
        <v>128</v>
      </c>
      <c r="F9">
        <v>2</v>
      </c>
      <c r="G9">
        <v>8</v>
      </c>
      <c r="H9">
        <v>721.89</v>
      </c>
      <c r="I9" s="17">
        <v>16.202999999999999</v>
      </c>
      <c r="J9" s="142">
        <f>AVERAGE(I9:I12)</f>
        <v>16.198499999999999</v>
      </c>
      <c r="K9" s="144" t="str">
        <f t="shared" ref="K9" si="1">A9</f>
        <v>optimized-big-arch-tune,</v>
      </c>
      <c r="M9" t="s">
        <v>26</v>
      </c>
      <c r="N9">
        <v>4</v>
      </c>
      <c r="O9" t="s">
        <v>16</v>
      </c>
      <c r="P9">
        <v>25984</v>
      </c>
      <c r="Q9">
        <v>128</v>
      </c>
      <c r="R9">
        <v>2</v>
      </c>
      <c r="S9">
        <v>8</v>
      </c>
      <c r="T9">
        <v>324.93</v>
      </c>
      <c r="U9" s="17">
        <v>35.997999999999998</v>
      </c>
      <c r="V9" s="142">
        <f t="shared" ref="V9" si="2">AVERAGE(U9:U12)</f>
        <v>32.717500000000001</v>
      </c>
      <c r="W9" s="33">
        <v>45090</v>
      </c>
      <c r="X9" s="37">
        <v>0.6786226851851852</v>
      </c>
      <c r="AA9" t="s">
        <v>30</v>
      </c>
      <c r="AB9" s="16">
        <v>1</v>
      </c>
      <c r="AC9" t="s">
        <v>16</v>
      </c>
      <c r="AD9" s="16">
        <v>25984</v>
      </c>
      <c r="AE9" s="16">
        <v>128</v>
      </c>
      <c r="AF9" s="16">
        <v>2</v>
      </c>
      <c r="AG9" s="16">
        <v>8</v>
      </c>
      <c r="AH9" s="2">
        <v>2074.65</v>
      </c>
      <c r="AI9" s="17">
        <v>5.6379000000000001</v>
      </c>
      <c r="AL9" s="5" t="s">
        <v>31</v>
      </c>
      <c r="AM9" s="16">
        <v>1</v>
      </c>
      <c r="AN9" t="s">
        <v>16</v>
      </c>
      <c r="AO9" s="16">
        <v>18368</v>
      </c>
      <c r="AP9" s="16">
        <v>64</v>
      </c>
      <c r="AQ9" s="16">
        <v>2</v>
      </c>
      <c r="AR9" s="16">
        <v>4</v>
      </c>
      <c r="AS9" s="2">
        <v>2404.98</v>
      </c>
      <c r="AT9" s="17">
        <v>1.7181</v>
      </c>
    </row>
    <row r="10" spans="1:48" x14ac:dyDescent="0.25">
      <c r="A10" t="s">
        <v>29</v>
      </c>
      <c r="B10">
        <v>2</v>
      </c>
      <c r="C10" t="s">
        <v>16</v>
      </c>
      <c r="D10">
        <v>25984</v>
      </c>
      <c r="E10">
        <v>128</v>
      </c>
      <c r="F10">
        <v>2</v>
      </c>
      <c r="G10">
        <v>8</v>
      </c>
      <c r="H10">
        <v>721.8</v>
      </c>
      <c r="I10" s="17">
        <v>16.204999999999998</v>
      </c>
      <c r="J10" s="142"/>
      <c r="K10" s="144"/>
      <c r="M10" t="s">
        <v>32</v>
      </c>
      <c r="N10">
        <v>0</v>
      </c>
      <c r="O10" t="s">
        <v>16</v>
      </c>
      <c r="P10">
        <v>25984</v>
      </c>
      <c r="Q10">
        <v>128</v>
      </c>
      <c r="R10">
        <v>2</v>
      </c>
      <c r="S10">
        <v>8</v>
      </c>
      <c r="T10">
        <v>369.34</v>
      </c>
      <c r="U10" s="17">
        <v>31.669</v>
      </c>
      <c r="V10" s="142"/>
      <c r="W10" s="33">
        <v>45090</v>
      </c>
      <c r="X10" s="37">
        <v>0.68334490740740739</v>
      </c>
      <c r="AA10" t="s">
        <v>30</v>
      </c>
      <c r="AB10" s="16">
        <v>2</v>
      </c>
      <c r="AC10" t="s">
        <v>16</v>
      </c>
      <c r="AD10" s="16">
        <v>25984</v>
      </c>
      <c r="AE10" s="16">
        <v>128</v>
      </c>
      <c r="AF10" s="16">
        <v>2</v>
      </c>
      <c r="AG10" s="16">
        <v>8</v>
      </c>
      <c r="AH10" s="2">
        <v>2074.75</v>
      </c>
      <c r="AI10" s="17">
        <v>5.6375999999999999</v>
      </c>
      <c r="AL10" s="5" t="s">
        <v>31</v>
      </c>
      <c r="AM10" s="16">
        <v>2</v>
      </c>
      <c r="AN10" t="s">
        <v>16</v>
      </c>
      <c r="AO10" s="16">
        <v>18368</v>
      </c>
      <c r="AP10" s="16">
        <v>64</v>
      </c>
      <c r="AQ10" s="16">
        <v>2</v>
      </c>
      <c r="AR10" s="16">
        <v>4</v>
      </c>
      <c r="AS10" s="2">
        <v>2420.85</v>
      </c>
      <c r="AT10" s="17">
        <v>1.7068000000000001</v>
      </c>
    </row>
    <row r="11" spans="1:48" x14ac:dyDescent="0.25">
      <c r="A11" t="s">
        <v>29</v>
      </c>
      <c r="B11">
        <v>3</v>
      </c>
      <c r="C11" t="s">
        <v>16</v>
      </c>
      <c r="D11">
        <v>25984</v>
      </c>
      <c r="E11">
        <v>128</v>
      </c>
      <c r="F11">
        <v>2</v>
      </c>
      <c r="G11">
        <v>8</v>
      </c>
      <c r="H11">
        <v>721.96</v>
      </c>
      <c r="I11" s="17">
        <v>16.201000000000001</v>
      </c>
      <c r="J11" s="142"/>
      <c r="K11" s="144"/>
      <c r="M11" t="s">
        <v>32</v>
      </c>
      <c r="N11">
        <v>1</v>
      </c>
      <c r="O11" t="s">
        <v>16</v>
      </c>
      <c r="P11">
        <v>25984</v>
      </c>
      <c r="Q11">
        <v>128</v>
      </c>
      <c r="R11">
        <v>2</v>
      </c>
      <c r="S11">
        <v>8</v>
      </c>
      <c r="T11">
        <v>370.63</v>
      </c>
      <c r="U11" s="17">
        <v>31.559000000000001</v>
      </c>
      <c r="V11" s="142"/>
      <c r="W11" s="33">
        <v>45090</v>
      </c>
      <c r="X11" s="37">
        <v>0.68807870370370372</v>
      </c>
      <c r="AA11" t="s">
        <v>30</v>
      </c>
      <c r="AB11" s="16">
        <v>3</v>
      </c>
      <c r="AC11" t="s">
        <v>16</v>
      </c>
      <c r="AD11" s="16">
        <v>25984</v>
      </c>
      <c r="AE11" s="16">
        <v>128</v>
      </c>
      <c r="AF11" s="16">
        <v>2</v>
      </c>
      <c r="AG11" s="16">
        <v>8</v>
      </c>
      <c r="AH11" s="2">
        <v>2074.34</v>
      </c>
      <c r="AI11" s="17">
        <v>5.6387999999999998</v>
      </c>
      <c r="AL11" s="5" t="s">
        <v>31</v>
      </c>
      <c r="AM11" s="16">
        <v>3</v>
      </c>
      <c r="AN11" t="s">
        <v>16</v>
      </c>
      <c r="AO11" s="16">
        <v>18368</v>
      </c>
      <c r="AP11" s="16">
        <v>64</v>
      </c>
      <c r="AQ11" s="16">
        <v>2</v>
      </c>
      <c r="AR11" s="16">
        <v>4</v>
      </c>
      <c r="AS11" s="2">
        <v>2466</v>
      </c>
      <c r="AT11" s="17">
        <v>1.6755</v>
      </c>
    </row>
    <row r="12" spans="1:48" x14ac:dyDescent="0.25">
      <c r="A12" t="s">
        <v>29</v>
      </c>
      <c r="B12">
        <v>4</v>
      </c>
      <c r="C12" t="s">
        <v>16</v>
      </c>
      <c r="D12">
        <v>25984</v>
      </c>
      <c r="E12">
        <v>128</v>
      </c>
      <c r="F12">
        <v>2</v>
      </c>
      <c r="G12">
        <v>8</v>
      </c>
      <c r="H12">
        <v>722.7</v>
      </c>
      <c r="I12" s="17">
        <v>16.184999999999999</v>
      </c>
      <c r="J12" s="142"/>
      <c r="K12" s="144"/>
      <c r="M12" t="s">
        <v>32</v>
      </c>
      <c r="N12">
        <v>2</v>
      </c>
      <c r="O12" t="s">
        <v>16</v>
      </c>
      <c r="P12">
        <v>25984</v>
      </c>
      <c r="Q12">
        <v>128</v>
      </c>
      <c r="R12">
        <v>2</v>
      </c>
      <c r="S12">
        <v>8</v>
      </c>
      <c r="T12">
        <v>369.63</v>
      </c>
      <c r="U12" s="17">
        <v>31.643999999999998</v>
      </c>
      <c r="V12" s="142"/>
      <c r="W12" s="33">
        <v>45090</v>
      </c>
      <c r="X12" s="37">
        <v>0.6928009259259259</v>
      </c>
      <c r="AA12" t="s">
        <v>30</v>
      </c>
      <c r="AB12" s="16">
        <v>4</v>
      </c>
      <c r="AC12" t="s">
        <v>16</v>
      </c>
      <c r="AD12" s="16">
        <v>25984</v>
      </c>
      <c r="AE12" s="16">
        <v>128</v>
      </c>
      <c r="AF12" s="16">
        <v>2</v>
      </c>
      <c r="AG12" s="16">
        <v>8</v>
      </c>
      <c r="AH12" s="2">
        <v>2074.6999999999998</v>
      </c>
      <c r="AI12" s="17">
        <v>5.6378000000000004</v>
      </c>
      <c r="AL12" s="5" t="s">
        <v>31</v>
      </c>
      <c r="AM12" s="16">
        <v>4</v>
      </c>
      <c r="AN12" t="s">
        <v>16</v>
      </c>
      <c r="AO12" s="16">
        <v>18368</v>
      </c>
      <c r="AP12" s="16">
        <v>64</v>
      </c>
      <c r="AQ12" s="16">
        <v>2</v>
      </c>
      <c r="AR12" s="16">
        <v>4</v>
      </c>
      <c r="AS12" s="2">
        <v>2448.9699999999998</v>
      </c>
      <c r="AT12" s="17">
        <v>1.6872</v>
      </c>
    </row>
    <row r="13" spans="1:48" x14ac:dyDescent="0.25">
      <c r="A13" t="s">
        <v>33</v>
      </c>
      <c r="B13">
        <v>1</v>
      </c>
      <c r="C13" t="s">
        <v>16</v>
      </c>
      <c r="D13">
        <v>25984</v>
      </c>
      <c r="E13">
        <v>128</v>
      </c>
      <c r="F13">
        <v>2</v>
      </c>
      <c r="G13">
        <v>8</v>
      </c>
      <c r="H13">
        <v>391.07</v>
      </c>
      <c r="I13" s="17">
        <v>29.91</v>
      </c>
      <c r="J13" s="142">
        <f>AVERAGE(I13:I16)</f>
        <v>29.887</v>
      </c>
      <c r="K13" s="144" t="str">
        <f t="shared" ref="K13" si="3">A13</f>
        <v>optimized-big-atlasarch-tune2,</v>
      </c>
      <c r="M13" t="s">
        <v>32</v>
      </c>
      <c r="N13">
        <v>3</v>
      </c>
      <c r="O13" t="s">
        <v>16</v>
      </c>
      <c r="P13">
        <v>25984</v>
      </c>
      <c r="Q13">
        <v>128</v>
      </c>
      <c r="R13">
        <v>2</v>
      </c>
      <c r="S13">
        <v>8</v>
      </c>
      <c r="T13">
        <v>369.59</v>
      </c>
      <c r="U13" s="17">
        <v>31.648</v>
      </c>
      <c r="V13" s="142">
        <f t="shared" ref="V13" si="4">AVERAGE(U13:U16)</f>
        <v>32.371499999999997</v>
      </c>
      <c r="W13" s="33">
        <v>45090</v>
      </c>
      <c r="X13" s="37">
        <v>0.6975231481481482</v>
      </c>
      <c r="AA13" t="s">
        <v>34</v>
      </c>
      <c r="AB13" s="16">
        <v>1</v>
      </c>
      <c r="AC13" t="s">
        <v>16</v>
      </c>
      <c r="AD13" s="16">
        <v>25984</v>
      </c>
      <c r="AE13" s="16">
        <v>128</v>
      </c>
      <c r="AF13" s="16">
        <v>2</v>
      </c>
      <c r="AG13" s="16">
        <v>8</v>
      </c>
      <c r="AH13" s="2">
        <v>1768.33</v>
      </c>
      <c r="AI13" s="17">
        <v>6.6146000000000003</v>
      </c>
      <c r="AL13" s="5" t="s">
        <v>35</v>
      </c>
      <c r="AM13" s="16">
        <v>1</v>
      </c>
      <c r="AN13" t="s">
        <v>16</v>
      </c>
      <c r="AO13" s="16">
        <v>18368</v>
      </c>
      <c r="AP13" s="16">
        <v>64</v>
      </c>
      <c r="AQ13" s="16">
        <v>2</v>
      </c>
      <c r="AR13" s="16">
        <v>4</v>
      </c>
      <c r="AS13" s="2">
        <v>2543.42</v>
      </c>
      <c r="AT13" s="17">
        <v>1.6245000000000001</v>
      </c>
    </row>
    <row r="14" spans="1:48" x14ac:dyDescent="0.25">
      <c r="A14" t="s">
        <v>33</v>
      </c>
      <c r="B14">
        <v>2</v>
      </c>
      <c r="C14" t="s">
        <v>16</v>
      </c>
      <c r="D14">
        <v>25984</v>
      </c>
      <c r="E14">
        <v>128</v>
      </c>
      <c r="F14">
        <v>2</v>
      </c>
      <c r="G14">
        <v>8</v>
      </c>
      <c r="H14">
        <v>391.61</v>
      </c>
      <c r="I14" s="17">
        <v>29.867999999999999</v>
      </c>
      <c r="J14" s="142"/>
      <c r="K14" s="144"/>
      <c r="M14" t="s">
        <v>32</v>
      </c>
      <c r="N14">
        <v>4</v>
      </c>
      <c r="O14" t="s">
        <v>16</v>
      </c>
      <c r="P14">
        <v>25984</v>
      </c>
      <c r="Q14">
        <v>128</v>
      </c>
      <c r="R14">
        <v>2</v>
      </c>
      <c r="S14">
        <v>8</v>
      </c>
      <c r="T14">
        <v>370.19</v>
      </c>
      <c r="U14" s="17">
        <v>31.597000000000001</v>
      </c>
      <c r="V14" s="142"/>
      <c r="W14" s="33">
        <v>45090</v>
      </c>
      <c r="X14" s="37">
        <v>0.70224537037037038</v>
      </c>
      <c r="AA14" t="s">
        <v>34</v>
      </c>
      <c r="AB14" s="16">
        <v>2</v>
      </c>
      <c r="AC14" t="s">
        <v>16</v>
      </c>
      <c r="AD14" s="16">
        <v>25984</v>
      </c>
      <c r="AE14" s="16">
        <v>128</v>
      </c>
      <c r="AF14" s="16">
        <v>2</v>
      </c>
      <c r="AG14" s="16">
        <v>8</v>
      </c>
      <c r="AH14" s="2">
        <v>1767.99</v>
      </c>
      <c r="AI14" s="17">
        <v>6.6158000000000001</v>
      </c>
      <c r="AL14" s="5" t="s">
        <v>35</v>
      </c>
      <c r="AM14" s="16">
        <v>2</v>
      </c>
      <c r="AN14" t="s">
        <v>16</v>
      </c>
      <c r="AO14" s="16">
        <v>18368</v>
      </c>
      <c r="AP14" s="16">
        <v>64</v>
      </c>
      <c r="AQ14" s="16">
        <v>2</v>
      </c>
      <c r="AR14" s="16">
        <v>4</v>
      </c>
      <c r="AS14" s="2">
        <v>2477.1999999999998</v>
      </c>
      <c r="AT14" s="17">
        <v>1.6679999999999999</v>
      </c>
    </row>
    <row r="15" spans="1:48" x14ac:dyDescent="0.25">
      <c r="A15" t="s">
        <v>33</v>
      </c>
      <c r="B15">
        <v>3</v>
      </c>
      <c r="C15" t="s">
        <v>16</v>
      </c>
      <c r="D15">
        <v>25984</v>
      </c>
      <c r="E15">
        <v>128</v>
      </c>
      <c r="F15">
        <v>2</v>
      </c>
      <c r="G15">
        <v>8</v>
      </c>
      <c r="H15">
        <v>391.19</v>
      </c>
      <c r="I15" s="17">
        <v>29.9</v>
      </c>
      <c r="J15" s="142"/>
      <c r="K15" s="144"/>
      <c r="M15" t="s">
        <v>36</v>
      </c>
      <c r="N15">
        <v>0</v>
      </c>
      <c r="O15" t="s">
        <v>16</v>
      </c>
      <c r="P15">
        <v>25984</v>
      </c>
      <c r="Q15">
        <v>128</v>
      </c>
      <c r="R15">
        <v>2</v>
      </c>
      <c r="S15">
        <v>8</v>
      </c>
      <c r="T15">
        <v>353.24</v>
      </c>
      <c r="U15" s="17">
        <v>33.113</v>
      </c>
      <c r="V15" s="142"/>
      <c r="W15" s="33">
        <v>45090</v>
      </c>
      <c r="X15" s="37">
        <v>0.70648148148148149</v>
      </c>
      <c r="AA15" t="s">
        <v>34</v>
      </c>
      <c r="AB15" s="16">
        <v>3</v>
      </c>
      <c r="AC15" t="s">
        <v>16</v>
      </c>
      <c r="AD15" s="16">
        <v>25984</v>
      </c>
      <c r="AE15" s="16">
        <v>128</v>
      </c>
      <c r="AF15" s="16">
        <v>2</v>
      </c>
      <c r="AG15" s="16">
        <v>8</v>
      </c>
      <c r="AH15" s="2">
        <v>1768.41</v>
      </c>
      <c r="AI15" s="17">
        <v>6.6143000000000001</v>
      </c>
      <c r="AL15" s="5" t="s">
        <v>35</v>
      </c>
      <c r="AM15" s="16">
        <v>3</v>
      </c>
      <c r="AN15" t="s">
        <v>16</v>
      </c>
      <c r="AO15" s="16">
        <v>18368</v>
      </c>
      <c r="AP15" s="16">
        <v>64</v>
      </c>
      <c r="AQ15" s="16">
        <v>2</v>
      </c>
      <c r="AR15" s="16">
        <v>4</v>
      </c>
      <c r="AS15" s="2">
        <v>2511.35</v>
      </c>
      <c r="AT15" s="17">
        <v>1.6453</v>
      </c>
    </row>
    <row r="16" spans="1:48" x14ac:dyDescent="0.25">
      <c r="A16" t="s">
        <v>33</v>
      </c>
      <c r="B16">
        <v>4</v>
      </c>
      <c r="C16" t="s">
        <v>16</v>
      </c>
      <c r="D16">
        <v>25984</v>
      </c>
      <c r="E16">
        <v>128</v>
      </c>
      <c r="F16">
        <v>2</v>
      </c>
      <c r="G16">
        <v>8</v>
      </c>
      <c r="H16">
        <v>391.59</v>
      </c>
      <c r="I16" s="17">
        <v>29.87</v>
      </c>
      <c r="J16" s="142"/>
      <c r="K16" s="144"/>
      <c r="M16" t="s">
        <v>36</v>
      </c>
      <c r="N16">
        <v>1</v>
      </c>
      <c r="O16" t="s">
        <v>16</v>
      </c>
      <c r="P16">
        <v>25984</v>
      </c>
      <c r="Q16">
        <v>128</v>
      </c>
      <c r="R16">
        <v>2</v>
      </c>
      <c r="S16">
        <v>8</v>
      </c>
      <c r="T16">
        <v>353.08</v>
      </c>
      <c r="U16" s="17">
        <v>33.128</v>
      </c>
      <c r="V16" s="142"/>
      <c r="W16" s="33">
        <v>45090</v>
      </c>
      <c r="X16" s="37">
        <v>0.7107175925925926</v>
      </c>
      <c r="AA16" t="s">
        <v>34</v>
      </c>
      <c r="AB16" s="16">
        <v>4</v>
      </c>
      <c r="AC16" t="s">
        <v>16</v>
      </c>
      <c r="AD16" s="16">
        <v>25984</v>
      </c>
      <c r="AE16" s="16">
        <v>128</v>
      </c>
      <c r="AF16" s="16">
        <v>2</v>
      </c>
      <c r="AG16" s="16">
        <v>8</v>
      </c>
      <c r="AH16" s="2">
        <v>1768.55</v>
      </c>
      <c r="AI16" s="17">
        <v>6.6138000000000003</v>
      </c>
      <c r="AL16" s="5" t="s">
        <v>35</v>
      </c>
      <c r="AM16" s="16">
        <v>4</v>
      </c>
      <c r="AN16" t="s">
        <v>16</v>
      </c>
      <c r="AO16" s="16">
        <v>18368</v>
      </c>
      <c r="AP16" s="16">
        <v>64</v>
      </c>
      <c r="AQ16" s="16">
        <v>2</v>
      </c>
      <c r="AR16" s="16">
        <v>4</v>
      </c>
      <c r="AS16" s="2">
        <v>2537.2399999999998</v>
      </c>
      <c r="AT16" s="17">
        <v>1.6285000000000001</v>
      </c>
    </row>
    <row r="17" spans="1:48" x14ac:dyDescent="0.25">
      <c r="A17" t="s">
        <v>37</v>
      </c>
      <c r="B17">
        <v>1</v>
      </c>
      <c r="C17" t="s">
        <v>16</v>
      </c>
      <c r="D17">
        <v>25984</v>
      </c>
      <c r="E17">
        <v>128</v>
      </c>
      <c r="F17">
        <v>2</v>
      </c>
      <c r="G17">
        <v>8</v>
      </c>
      <c r="H17">
        <v>354.71</v>
      </c>
      <c r="I17" s="17">
        <v>32.975000000000001</v>
      </c>
      <c r="J17" s="142">
        <f t="shared" ref="J17" si="5">AVERAGE(I17:I20)</f>
        <v>32.676749999999998</v>
      </c>
      <c r="K17" s="144" t="str">
        <f t="shared" ref="K17" si="6">A17</f>
        <v>optimized-big</v>
      </c>
      <c r="M17" t="s">
        <v>36</v>
      </c>
      <c r="N17">
        <v>2</v>
      </c>
      <c r="O17" t="s">
        <v>16</v>
      </c>
      <c r="P17">
        <v>25984</v>
      </c>
      <c r="Q17">
        <v>128</v>
      </c>
      <c r="R17">
        <v>2</v>
      </c>
      <c r="S17">
        <v>8</v>
      </c>
      <c r="T17">
        <v>353.71</v>
      </c>
      <c r="U17" s="17">
        <v>33.069000000000003</v>
      </c>
      <c r="V17" s="142">
        <f t="shared" ref="V17" si="7">AVERAGE(U17:U20)</f>
        <v>32.716500000000003</v>
      </c>
      <c r="W17" s="33">
        <v>45090</v>
      </c>
      <c r="X17" s="37">
        <v>0.7149537037037037</v>
      </c>
      <c r="AA17" s="21" t="s">
        <v>38</v>
      </c>
      <c r="AB17" s="22">
        <v>1</v>
      </c>
      <c r="AC17" s="21" t="s">
        <v>16</v>
      </c>
      <c r="AD17" s="22">
        <v>25984</v>
      </c>
      <c r="AE17" s="22">
        <v>128</v>
      </c>
      <c r="AF17" s="22">
        <v>2</v>
      </c>
      <c r="AG17" s="22">
        <v>8</v>
      </c>
      <c r="AH17" s="23">
        <v>404.36</v>
      </c>
      <c r="AI17" s="47">
        <v>28.927</v>
      </c>
      <c r="AL17" s="5" t="s">
        <v>39</v>
      </c>
      <c r="AM17" s="16">
        <v>1</v>
      </c>
      <c r="AN17" t="s">
        <v>16</v>
      </c>
      <c r="AO17" s="16">
        <v>18368</v>
      </c>
      <c r="AP17" s="16">
        <v>64</v>
      </c>
      <c r="AQ17" s="16">
        <v>2</v>
      </c>
      <c r="AR17" s="16">
        <v>4</v>
      </c>
      <c r="AS17" s="2">
        <v>3283.31</v>
      </c>
      <c r="AT17" s="17">
        <v>1.2584</v>
      </c>
    </row>
    <row r="18" spans="1:48" x14ac:dyDescent="0.25">
      <c r="A18" t="s">
        <v>37</v>
      </c>
      <c r="B18">
        <v>2</v>
      </c>
      <c r="C18" t="s">
        <v>16</v>
      </c>
      <c r="D18">
        <v>25984</v>
      </c>
      <c r="E18">
        <v>128</v>
      </c>
      <c r="F18">
        <v>2</v>
      </c>
      <c r="G18">
        <v>8</v>
      </c>
      <c r="H18">
        <v>358.74</v>
      </c>
      <c r="I18" s="17">
        <v>32.604999999999997</v>
      </c>
      <c r="J18" s="142"/>
      <c r="K18" s="144"/>
      <c r="M18" t="s">
        <v>36</v>
      </c>
      <c r="N18">
        <v>3</v>
      </c>
      <c r="O18" t="s">
        <v>16</v>
      </c>
      <c r="P18">
        <v>25984</v>
      </c>
      <c r="Q18">
        <v>128</v>
      </c>
      <c r="R18">
        <v>2</v>
      </c>
      <c r="S18">
        <v>8</v>
      </c>
      <c r="T18">
        <v>353.13</v>
      </c>
      <c r="U18" s="17">
        <v>33.122999999999998</v>
      </c>
      <c r="V18" s="142"/>
      <c r="W18" s="33">
        <v>45090</v>
      </c>
      <c r="X18" s="37">
        <v>0.71918981481481481</v>
      </c>
      <c r="AA18" t="s">
        <v>38</v>
      </c>
      <c r="AB18" s="16">
        <v>2</v>
      </c>
      <c r="AC18" t="s">
        <v>16</v>
      </c>
      <c r="AD18" s="16">
        <v>25984</v>
      </c>
      <c r="AE18" s="16">
        <v>128</v>
      </c>
      <c r="AF18" s="16">
        <v>2</v>
      </c>
      <c r="AG18" s="16">
        <v>8</v>
      </c>
      <c r="AH18" s="2">
        <v>407.5</v>
      </c>
      <c r="AI18" s="17">
        <v>28.702999999999999</v>
      </c>
      <c r="AL18" s="5" t="s">
        <v>39</v>
      </c>
      <c r="AM18" s="16">
        <v>2</v>
      </c>
      <c r="AN18" t="s">
        <v>16</v>
      </c>
      <c r="AO18" s="16">
        <v>18368</v>
      </c>
      <c r="AP18" s="16">
        <v>64</v>
      </c>
      <c r="AQ18" s="16">
        <v>2</v>
      </c>
      <c r="AR18" s="16">
        <v>4</v>
      </c>
      <c r="AS18" s="2">
        <v>3225.76</v>
      </c>
      <c r="AT18" s="17">
        <v>1.2808999999999999</v>
      </c>
    </row>
    <row r="19" spans="1:48" x14ac:dyDescent="0.25">
      <c r="A19" t="s">
        <v>37</v>
      </c>
      <c r="B19">
        <v>3</v>
      </c>
      <c r="C19" t="s">
        <v>16</v>
      </c>
      <c r="D19">
        <v>25984</v>
      </c>
      <c r="E19">
        <v>128</v>
      </c>
      <c r="F19">
        <v>2</v>
      </c>
      <c r="G19">
        <v>8</v>
      </c>
      <c r="H19">
        <v>359.21</v>
      </c>
      <c r="I19" s="17">
        <v>32.561999999999998</v>
      </c>
      <c r="J19" s="142"/>
      <c r="K19" s="144"/>
      <c r="M19" t="s">
        <v>36</v>
      </c>
      <c r="N19">
        <v>4</v>
      </c>
      <c r="O19" t="s">
        <v>16</v>
      </c>
      <c r="P19">
        <v>25984</v>
      </c>
      <c r="Q19">
        <v>128</v>
      </c>
      <c r="R19">
        <v>2</v>
      </c>
      <c r="S19">
        <v>8</v>
      </c>
      <c r="T19">
        <v>353.42</v>
      </c>
      <c r="U19" s="17">
        <v>33.095999999999997</v>
      </c>
      <c r="V19" s="142"/>
      <c r="W19" s="33">
        <v>45090</v>
      </c>
      <c r="X19" s="37">
        <v>0.72342592592592592</v>
      </c>
      <c r="AA19" t="s">
        <v>38</v>
      </c>
      <c r="AB19" s="16">
        <v>3</v>
      </c>
      <c r="AC19" t="s">
        <v>16</v>
      </c>
      <c r="AD19" s="16">
        <v>25984</v>
      </c>
      <c r="AE19" s="16">
        <v>128</v>
      </c>
      <c r="AF19" s="16">
        <v>2</v>
      </c>
      <c r="AG19" s="16">
        <v>8</v>
      </c>
      <c r="AH19" s="2">
        <v>407.68</v>
      </c>
      <c r="AI19" s="17">
        <v>28.690999999999999</v>
      </c>
      <c r="AL19" s="5" t="s">
        <v>39</v>
      </c>
      <c r="AM19" s="16">
        <v>3</v>
      </c>
      <c r="AN19" t="s">
        <v>16</v>
      </c>
      <c r="AO19" s="16">
        <v>18368</v>
      </c>
      <c r="AP19" s="16">
        <v>64</v>
      </c>
      <c r="AQ19" s="16">
        <v>2</v>
      </c>
      <c r="AR19" s="16">
        <v>4</v>
      </c>
      <c r="AS19" s="2">
        <v>3186.46</v>
      </c>
      <c r="AT19" s="17">
        <v>1.2967</v>
      </c>
    </row>
    <row r="20" spans="1:48" x14ac:dyDescent="0.25">
      <c r="A20" t="s">
        <v>37</v>
      </c>
      <c r="B20">
        <v>4</v>
      </c>
      <c r="C20" t="s">
        <v>16</v>
      </c>
      <c r="D20">
        <v>25984</v>
      </c>
      <c r="E20">
        <v>128</v>
      </c>
      <c r="F20">
        <v>2</v>
      </c>
      <c r="G20">
        <v>8</v>
      </c>
      <c r="H20">
        <v>359.19</v>
      </c>
      <c r="I20" s="17">
        <v>32.564999999999998</v>
      </c>
      <c r="J20" s="142"/>
      <c r="K20" s="144"/>
      <c r="M20" t="s">
        <v>40</v>
      </c>
      <c r="N20">
        <v>0</v>
      </c>
      <c r="O20" t="s">
        <v>16</v>
      </c>
      <c r="P20">
        <v>25984</v>
      </c>
      <c r="Q20">
        <v>128</v>
      </c>
      <c r="R20">
        <v>2</v>
      </c>
      <c r="S20">
        <v>8</v>
      </c>
      <c r="T20">
        <v>370.41</v>
      </c>
      <c r="U20" s="17">
        <v>31.577999999999999</v>
      </c>
      <c r="V20" s="142"/>
      <c r="W20" s="33">
        <v>45090</v>
      </c>
      <c r="X20" s="37">
        <v>0.72815972222222225</v>
      </c>
      <c r="AA20" t="s">
        <v>38</v>
      </c>
      <c r="AB20" s="16">
        <v>4</v>
      </c>
      <c r="AC20" t="s">
        <v>16</v>
      </c>
      <c r="AD20" s="16">
        <v>25984</v>
      </c>
      <c r="AE20" s="16">
        <v>128</v>
      </c>
      <c r="AF20" s="16">
        <v>2</v>
      </c>
      <c r="AG20" s="16">
        <v>8</v>
      </c>
      <c r="AH20" s="2">
        <v>407.44</v>
      </c>
      <c r="AI20" s="17">
        <v>28.707999999999998</v>
      </c>
      <c r="AL20" s="5" t="s">
        <v>39</v>
      </c>
      <c r="AM20" s="16">
        <v>4</v>
      </c>
      <c r="AN20" t="s">
        <v>16</v>
      </c>
      <c r="AO20" s="16">
        <v>18368</v>
      </c>
      <c r="AP20" s="16">
        <v>64</v>
      </c>
      <c r="AQ20" s="16">
        <v>2</v>
      </c>
      <c r="AR20" s="16">
        <v>4</v>
      </c>
      <c r="AS20" s="2">
        <v>3179.9</v>
      </c>
      <c r="AT20" s="17">
        <v>1.2994000000000001</v>
      </c>
    </row>
    <row r="21" spans="1:48" x14ac:dyDescent="0.25">
      <c r="A21" t="s">
        <v>41</v>
      </c>
      <c r="B21">
        <v>1</v>
      </c>
      <c r="C21" t="s">
        <v>16</v>
      </c>
      <c r="D21">
        <v>25984</v>
      </c>
      <c r="E21">
        <v>128</v>
      </c>
      <c r="F21">
        <v>2</v>
      </c>
      <c r="G21">
        <v>8</v>
      </c>
      <c r="H21">
        <v>396.32</v>
      </c>
      <c r="I21" s="17">
        <v>29.513000000000002</v>
      </c>
      <c r="J21" s="142">
        <f t="shared" ref="J21" si="8">AVERAGE(I21:I24)</f>
        <v>29.278750000000002</v>
      </c>
      <c r="K21" s="144" t="str">
        <f t="shared" ref="K21" si="9">A21</f>
        <v>optimized-big-flags</v>
      </c>
      <c r="M21" t="s">
        <v>40</v>
      </c>
      <c r="N21">
        <v>1</v>
      </c>
      <c r="O21" t="s">
        <v>16</v>
      </c>
      <c r="P21">
        <v>25984</v>
      </c>
      <c r="Q21">
        <v>128</v>
      </c>
      <c r="R21">
        <v>2</v>
      </c>
      <c r="S21">
        <v>8</v>
      </c>
      <c r="T21">
        <v>369.65</v>
      </c>
      <c r="U21" s="17">
        <v>31.643000000000001</v>
      </c>
      <c r="V21" s="142">
        <f t="shared" ref="V21" si="10">AVERAGE(U21:U24)</f>
        <v>31.619999999999997</v>
      </c>
      <c r="W21" s="33">
        <v>45090</v>
      </c>
      <c r="X21" s="37">
        <v>0.73288194444444443</v>
      </c>
      <c r="AA21" t="s">
        <v>42</v>
      </c>
      <c r="AB21" s="16">
        <v>1</v>
      </c>
      <c r="AC21" t="s">
        <v>16</v>
      </c>
      <c r="AD21" s="16">
        <v>25984</v>
      </c>
      <c r="AE21" s="16">
        <v>128</v>
      </c>
      <c r="AF21" s="16">
        <v>2</v>
      </c>
      <c r="AG21" s="16">
        <v>8</v>
      </c>
      <c r="AH21" s="2">
        <v>405.29</v>
      </c>
      <c r="AI21" s="17">
        <v>28.86</v>
      </c>
      <c r="AL21" s="5" t="s">
        <v>43</v>
      </c>
      <c r="AM21" s="16">
        <v>1</v>
      </c>
      <c r="AN21" t="s">
        <v>16</v>
      </c>
      <c r="AO21" s="16">
        <v>18368</v>
      </c>
      <c r="AP21" s="16">
        <v>64</v>
      </c>
      <c r="AQ21" s="16">
        <v>2</v>
      </c>
      <c r="AR21" s="16">
        <v>4</v>
      </c>
      <c r="AS21" s="2">
        <v>2154.4899999999998</v>
      </c>
      <c r="AT21" s="17">
        <v>1.9177999999999999</v>
      </c>
    </row>
    <row r="22" spans="1:48" x14ac:dyDescent="0.25">
      <c r="A22" t="s">
        <v>41</v>
      </c>
      <c r="B22">
        <v>2</v>
      </c>
      <c r="C22" t="s">
        <v>16</v>
      </c>
      <c r="D22">
        <v>25984</v>
      </c>
      <c r="E22">
        <v>128</v>
      </c>
      <c r="F22">
        <v>2</v>
      </c>
      <c r="G22">
        <v>8</v>
      </c>
      <c r="H22">
        <v>400.54</v>
      </c>
      <c r="I22" s="17">
        <v>29.202000000000002</v>
      </c>
      <c r="J22" s="142"/>
      <c r="K22" s="144"/>
      <c r="M22" t="s">
        <v>40</v>
      </c>
      <c r="N22">
        <v>2</v>
      </c>
      <c r="O22" t="s">
        <v>16</v>
      </c>
      <c r="P22">
        <v>25984</v>
      </c>
      <c r="Q22">
        <v>128</v>
      </c>
      <c r="R22">
        <v>2</v>
      </c>
      <c r="S22">
        <v>8</v>
      </c>
      <c r="T22">
        <v>369.91</v>
      </c>
      <c r="U22" s="17">
        <v>31.620999999999999</v>
      </c>
      <c r="V22" s="142"/>
      <c r="W22" s="33">
        <v>45090</v>
      </c>
      <c r="X22" s="37">
        <v>0.73760416666666673</v>
      </c>
      <c r="AA22" t="s">
        <v>42</v>
      </c>
      <c r="AB22" s="16">
        <v>2</v>
      </c>
      <c r="AC22" t="s">
        <v>16</v>
      </c>
      <c r="AD22" s="16">
        <v>25984</v>
      </c>
      <c r="AE22" s="16">
        <v>128</v>
      </c>
      <c r="AF22" s="16">
        <v>2</v>
      </c>
      <c r="AG22" s="16">
        <v>8</v>
      </c>
      <c r="AH22" s="2">
        <v>405.44</v>
      </c>
      <c r="AI22" s="17">
        <v>28.849</v>
      </c>
      <c r="AL22" s="5" t="s">
        <v>43</v>
      </c>
      <c r="AM22" s="16">
        <v>2</v>
      </c>
      <c r="AN22" t="s">
        <v>16</v>
      </c>
      <c r="AO22" s="16">
        <v>18368</v>
      </c>
      <c r="AP22" s="16">
        <v>64</v>
      </c>
      <c r="AQ22" s="16">
        <v>2</v>
      </c>
      <c r="AR22" s="16">
        <v>4</v>
      </c>
      <c r="AS22" s="2">
        <v>2052.6999999999998</v>
      </c>
      <c r="AT22" s="17">
        <v>2.0129000000000001</v>
      </c>
    </row>
    <row r="23" spans="1:48" x14ac:dyDescent="0.25">
      <c r="A23" t="s">
        <v>41</v>
      </c>
      <c r="B23">
        <v>3</v>
      </c>
      <c r="C23" t="s">
        <v>16</v>
      </c>
      <c r="D23">
        <v>25984</v>
      </c>
      <c r="E23">
        <v>128</v>
      </c>
      <c r="F23">
        <v>2</v>
      </c>
      <c r="G23">
        <v>8</v>
      </c>
      <c r="H23">
        <v>400.37</v>
      </c>
      <c r="I23" s="17">
        <v>29.215</v>
      </c>
      <c r="J23" s="142"/>
      <c r="K23" s="144"/>
      <c r="M23" t="s">
        <v>40</v>
      </c>
      <c r="N23">
        <v>3</v>
      </c>
      <c r="O23" t="s">
        <v>16</v>
      </c>
      <c r="P23">
        <v>25984</v>
      </c>
      <c r="Q23">
        <v>128</v>
      </c>
      <c r="R23">
        <v>2</v>
      </c>
      <c r="S23">
        <v>8</v>
      </c>
      <c r="T23">
        <v>370.59</v>
      </c>
      <c r="U23" s="17">
        <v>31.562000000000001</v>
      </c>
      <c r="V23" s="142"/>
      <c r="W23" s="33">
        <v>45090</v>
      </c>
      <c r="X23" s="37">
        <v>0.74233796296296306</v>
      </c>
      <c r="AA23" t="s">
        <v>42</v>
      </c>
      <c r="AB23" s="16">
        <v>3</v>
      </c>
      <c r="AC23" t="s">
        <v>16</v>
      </c>
      <c r="AD23" s="16">
        <v>25984</v>
      </c>
      <c r="AE23" s="16">
        <v>128</v>
      </c>
      <c r="AF23" s="16">
        <v>2</v>
      </c>
      <c r="AG23" s="16">
        <v>8</v>
      </c>
      <c r="AH23" s="2">
        <v>406.14</v>
      </c>
      <c r="AI23" s="17">
        <v>28.8</v>
      </c>
      <c r="AL23" s="5" t="s">
        <v>43</v>
      </c>
      <c r="AM23" s="16">
        <v>3</v>
      </c>
      <c r="AN23" t="s">
        <v>16</v>
      </c>
      <c r="AO23" s="16">
        <v>18368</v>
      </c>
      <c r="AP23" s="16">
        <v>64</v>
      </c>
      <c r="AQ23" s="16">
        <v>2</v>
      </c>
      <c r="AR23" s="16">
        <v>4</v>
      </c>
      <c r="AS23" s="2">
        <v>2146.85</v>
      </c>
      <c r="AT23" s="17">
        <v>1.9246000000000001</v>
      </c>
    </row>
    <row r="24" spans="1:48" x14ac:dyDescent="0.25">
      <c r="A24" t="s">
        <v>41</v>
      </c>
      <c r="B24">
        <v>4</v>
      </c>
      <c r="C24" t="s">
        <v>16</v>
      </c>
      <c r="D24">
        <v>25984</v>
      </c>
      <c r="E24">
        <v>128</v>
      </c>
      <c r="F24">
        <v>2</v>
      </c>
      <c r="G24">
        <v>8</v>
      </c>
      <c r="H24">
        <v>400.78</v>
      </c>
      <c r="I24" s="17">
        <v>29.184999999999999</v>
      </c>
      <c r="J24" s="142"/>
      <c r="K24" s="144"/>
      <c r="M24" t="s">
        <v>40</v>
      </c>
      <c r="N24">
        <v>4</v>
      </c>
      <c r="O24" t="s">
        <v>16</v>
      </c>
      <c r="P24">
        <v>25984</v>
      </c>
      <c r="Q24">
        <v>128</v>
      </c>
      <c r="R24">
        <v>2</v>
      </c>
      <c r="S24">
        <v>8</v>
      </c>
      <c r="T24">
        <v>369.52</v>
      </c>
      <c r="U24" s="17">
        <v>31.654</v>
      </c>
      <c r="V24" s="142"/>
      <c r="W24" s="33">
        <v>45090</v>
      </c>
      <c r="X24" s="37">
        <v>0.74706018518518524</v>
      </c>
      <c r="AA24" t="s">
        <v>42</v>
      </c>
      <c r="AB24" s="16">
        <v>4</v>
      </c>
      <c r="AC24" t="s">
        <v>16</v>
      </c>
      <c r="AD24" s="16">
        <v>25984</v>
      </c>
      <c r="AE24" s="16">
        <v>128</v>
      </c>
      <c r="AF24" s="16">
        <v>2</v>
      </c>
      <c r="AG24" s="16">
        <v>8</v>
      </c>
      <c r="AH24" s="2">
        <v>405.84</v>
      </c>
      <c r="AI24" s="17">
        <v>28.821000000000002</v>
      </c>
      <c r="AL24" s="5" t="s">
        <v>43</v>
      </c>
      <c r="AM24" s="16">
        <v>4</v>
      </c>
      <c r="AN24" t="s">
        <v>16</v>
      </c>
      <c r="AO24" s="16">
        <v>18368</v>
      </c>
      <c r="AP24" s="16">
        <v>64</v>
      </c>
      <c r="AQ24" s="16">
        <v>2</v>
      </c>
      <c r="AR24" s="16">
        <v>4</v>
      </c>
      <c r="AS24" s="2">
        <v>2132.6999999999998</v>
      </c>
      <c r="AT24" s="17">
        <v>1.9374</v>
      </c>
    </row>
    <row r="25" spans="1:48" x14ac:dyDescent="0.25">
      <c r="A25" t="s">
        <v>44</v>
      </c>
      <c r="B25">
        <v>1</v>
      </c>
      <c r="C25" t="s">
        <v>16</v>
      </c>
      <c r="D25">
        <v>25984</v>
      </c>
      <c r="E25">
        <v>128</v>
      </c>
      <c r="F25">
        <v>2</v>
      </c>
      <c r="G25">
        <v>8</v>
      </c>
      <c r="H25">
        <v>404.58</v>
      </c>
      <c r="I25" s="17">
        <v>28.911000000000001</v>
      </c>
      <c r="J25" s="142">
        <f t="shared" ref="J25" si="11">AVERAGE(I25:I28)</f>
        <v>28.914999999999999</v>
      </c>
      <c r="K25" s="144" t="str">
        <f t="shared" ref="K25" si="12">A25</f>
        <v>optimized-big-arch-tune-flags</v>
      </c>
      <c r="L25" s="1"/>
      <c r="M25" t="s">
        <v>45</v>
      </c>
      <c r="N25">
        <v>0</v>
      </c>
      <c r="O25" t="s">
        <v>16</v>
      </c>
      <c r="P25">
        <v>25984</v>
      </c>
      <c r="Q25">
        <v>128</v>
      </c>
      <c r="R25">
        <v>2</v>
      </c>
      <c r="S25">
        <v>8</v>
      </c>
      <c r="T25">
        <v>370.83</v>
      </c>
      <c r="U25" s="17">
        <v>31.542000000000002</v>
      </c>
      <c r="V25" s="142">
        <f t="shared" ref="V25" si="13">AVERAGE(U25:U28)</f>
        <v>31.542249999999996</v>
      </c>
      <c r="W25" s="33">
        <v>45090</v>
      </c>
      <c r="X25" s="37">
        <v>0.7518055555555555</v>
      </c>
      <c r="Y25" s="1"/>
      <c r="Z25" s="1"/>
      <c r="AA25" t="s">
        <v>46</v>
      </c>
      <c r="AB25" s="16">
        <v>1</v>
      </c>
      <c r="AC25" t="s">
        <v>16</v>
      </c>
      <c r="AD25" s="16">
        <v>25984</v>
      </c>
      <c r="AE25" s="16">
        <v>128</v>
      </c>
      <c r="AF25" s="16">
        <v>2</v>
      </c>
      <c r="AG25" s="16">
        <v>8</v>
      </c>
      <c r="AH25" s="2">
        <v>723.48</v>
      </c>
      <c r="AI25" s="17">
        <v>16.167000000000002</v>
      </c>
      <c r="AL25" s="5" t="s">
        <v>47</v>
      </c>
      <c r="AM25" s="16">
        <v>1</v>
      </c>
      <c r="AN25" t="s">
        <v>16</v>
      </c>
      <c r="AO25" s="16">
        <v>18368</v>
      </c>
      <c r="AP25" s="16">
        <v>64</v>
      </c>
      <c r="AQ25" s="16">
        <v>2</v>
      </c>
      <c r="AR25" s="16">
        <v>4</v>
      </c>
      <c r="AS25" s="2">
        <v>2273.58</v>
      </c>
      <c r="AT25" s="17">
        <v>1.8172999999999999</v>
      </c>
      <c r="AV25" s="1"/>
    </row>
    <row r="26" spans="1:48" x14ac:dyDescent="0.25">
      <c r="A26" t="s">
        <v>44</v>
      </c>
      <c r="B26">
        <v>2</v>
      </c>
      <c r="C26" t="s">
        <v>16</v>
      </c>
      <c r="D26">
        <v>25984</v>
      </c>
      <c r="E26">
        <v>128</v>
      </c>
      <c r="F26">
        <v>2</v>
      </c>
      <c r="G26">
        <v>8</v>
      </c>
      <c r="H26">
        <v>404.38</v>
      </c>
      <c r="I26" s="17">
        <v>28.925000000000001</v>
      </c>
      <c r="J26" s="142"/>
      <c r="K26" s="144"/>
      <c r="L26" s="1"/>
      <c r="M26" t="s">
        <v>45</v>
      </c>
      <c r="N26">
        <v>1</v>
      </c>
      <c r="O26" t="s">
        <v>16</v>
      </c>
      <c r="P26">
        <v>25984</v>
      </c>
      <c r="Q26">
        <v>128</v>
      </c>
      <c r="R26">
        <v>2</v>
      </c>
      <c r="S26">
        <v>8</v>
      </c>
      <c r="T26">
        <v>371.23</v>
      </c>
      <c r="U26" s="17">
        <v>31.507999999999999</v>
      </c>
      <c r="V26" s="142"/>
      <c r="W26" s="33">
        <v>45090</v>
      </c>
      <c r="X26" s="37">
        <v>0.75653935185185184</v>
      </c>
      <c r="Y26" s="1"/>
      <c r="Z26" s="1"/>
      <c r="AA26" t="s">
        <v>46</v>
      </c>
      <c r="AB26" s="16">
        <v>2</v>
      </c>
      <c r="AC26" t="s">
        <v>16</v>
      </c>
      <c r="AD26" s="16">
        <v>25984</v>
      </c>
      <c r="AE26" s="16">
        <v>128</v>
      </c>
      <c r="AF26" s="16">
        <v>2</v>
      </c>
      <c r="AG26" s="16">
        <v>8</v>
      </c>
      <c r="AH26" s="2">
        <v>722.22</v>
      </c>
      <c r="AI26" s="17">
        <v>16.196000000000002</v>
      </c>
      <c r="AL26" s="5" t="s">
        <v>47</v>
      </c>
      <c r="AM26" s="16">
        <v>2</v>
      </c>
      <c r="AN26" t="s">
        <v>16</v>
      </c>
      <c r="AO26" s="16">
        <v>18368</v>
      </c>
      <c r="AP26" s="16">
        <v>64</v>
      </c>
      <c r="AQ26" s="16">
        <v>2</v>
      </c>
      <c r="AR26" s="16">
        <v>4</v>
      </c>
      <c r="AS26" s="2">
        <v>2239.7399999999998</v>
      </c>
      <c r="AT26" s="17">
        <v>1.8448</v>
      </c>
      <c r="AV26" s="1"/>
    </row>
    <row r="27" spans="1:48" x14ac:dyDescent="0.25">
      <c r="A27" t="s">
        <v>44</v>
      </c>
      <c r="B27">
        <v>3</v>
      </c>
      <c r="C27" t="s">
        <v>16</v>
      </c>
      <c r="D27">
        <v>25984</v>
      </c>
      <c r="E27">
        <v>128</v>
      </c>
      <c r="F27">
        <v>2</v>
      </c>
      <c r="G27">
        <v>8</v>
      </c>
      <c r="H27">
        <v>404.62</v>
      </c>
      <c r="I27" s="17">
        <v>28.908000000000001</v>
      </c>
      <c r="J27" s="142"/>
      <c r="K27" s="144"/>
      <c r="L27" s="1"/>
      <c r="M27" t="s">
        <v>45</v>
      </c>
      <c r="N27">
        <v>2</v>
      </c>
      <c r="O27" t="s">
        <v>16</v>
      </c>
      <c r="P27">
        <v>25984</v>
      </c>
      <c r="Q27">
        <v>128</v>
      </c>
      <c r="R27">
        <v>2</v>
      </c>
      <c r="S27">
        <v>8</v>
      </c>
      <c r="T27">
        <v>370.4</v>
      </c>
      <c r="U27" s="17">
        <v>31.579000000000001</v>
      </c>
      <c r="V27" s="142"/>
      <c r="W27" s="33">
        <v>45090</v>
      </c>
      <c r="X27" s="37">
        <v>0.76127314814814817</v>
      </c>
      <c r="Y27" s="1"/>
      <c r="Z27" s="1"/>
      <c r="AA27" t="s">
        <v>46</v>
      </c>
      <c r="AB27" s="16">
        <v>3</v>
      </c>
      <c r="AC27" t="s">
        <v>16</v>
      </c>
      <c r="AD27" s="16">
        <v>25984</v>
      </c>
      <c r="AE27" s="16">
        <v>128</v>
      </c>
      <c r="AF27" s="16">
        <v>2</v>
      </c>
      <c r="AG27" s="16">
        <v>8</v>
      </c>
      <c r="AH27" s="2">
        <v>721.86</v>
      </c>
      <c r="AI27" s="17">
        <v>16.204000000000001</v>
      </c>
      <c r="AL27" s="5" t="s">
        <v>47</v>
      </c>
      <c r="AM27" s="16">
        <v>3</v>
      </c>
      <c r="AN27" t="s">
        <v>16</v>
      </c>
      <c r="AO27" s="16">
        <v>18368</v>
      </c>
      <c r="AP27" s="16">
        <v>64</v>
      </c>
      <c r="AQ27" s="16">
        <v>2</v>
      </c>
      <c r="AR27" s="16">
        <v>4</v>
      </c>
      <c r="AS27" s="2">
        <v>2271.34</v>
      </c>
      <c r="AT27" s="17">
        <v>1.8190999999999999</v>
      </c>
      <c r="AV27" s="1"/>
    </row>
    <row r="28" spans="1:48" x14ac:dyDescent="0.25">
      <c r="A28" t="s">
        <v>44</v>
      </c>
      <c r="B28">
        <v>4</v>
      </c>
      <c r="C28" t="s">
        <v>16</v>
      </c>
      <c r="D28">
        <v>25984</v>
      </c>
      <c r="E28">
        <v>128</v>
      </c>
      <c r="F28">
        <v>2</v>
      </c>
      <c r="G28">
        <v>8</v>
      </c>
      <c r="H28">
        <v>404.51</v>
      </c>
      <c r="I28" s="17">
        <v>28.916</v>
      </c>
      <c r="J28" s="142"/>
      <c r="K28" s="144"/>
      <c r="L28" s="1"/>
      <c r="M28" t="s">
        <v>45</v>
      </c>
      <c r="N28">
        <v>3</v>
      </c>
      <c r="O28" t="s">
        <v>16</v>
      </c>
      <c r="P28">
        <v>25984</v>
      </c>
      <c r="Q28">
        <v>128</v>
      </c>
      <c r="R28">
        <v>2</v>
      </c>
      <c r="S28">
        <v>8</v>
      </c>
      <c r="T28">
        <v>370.85</v>
      </c>
      <c r="U28" s="17">
        <v>31.54</v>
      </c>
      <c r="V28" s="142"/>
      <c r="W28" s="33">
        <v>45090</v>
      </c>
      <c r="X28" s="37">
        <v>0.76600694444444439</v>
      </c>
      <c r="Y28" s="1"/>
      <c r="Z28" s="1"/>
      <c r="AA28" t="s">
        <v>46</v>
      </c>
      <c r="AB28" s="16">
        <v>4</v>
      </c>
      <c r="AC28" t="s">
        <v>16</v>
      </c>
      <c r="AD28" s="16">
        <v>25984</v>
      </c>
      <c r="AE28" s="16">
        <v>128</v>
      </c>
      <c r="AF28" s="16">
        <v>2</v>
      </c>
      <c r="AG28" s="16">
        <v>8</v>
      </c>
      <c r="AH28" s="2">
        <v>720.97</v>
      </c>
      <c r="AI28" s="17">
        <v>16.224</v>
      </c>
      <c r="AL28" s="5" t="s">
        <v>47</v>
      </c>
      <c r="AM28" s="16">
        <v>4</v>
      </c>
      <c r="AN28" t="s">
        <v>16</v>
      </c>
      <c r="AO28" s="16">
        <v>18368</v>
      </c>
      <c r="AP28" s="16">
        <v>64</v>
      </c>
      <c r="AQ28" s="16">
        <v>2</v>
      </c>
      <c r="AR28" s="16">
        <v>4</v>
      </c>
      <c r="AS28" s="2">
        <v>2342.5</v>
      </c>
      <c r="AT28" s="17">
        <v>1.7639</v>
      </c>
      <c r="AV28" s="1"/>
    </row>
    <row r="29" spans="1:48" x14ac:dyDescent="0.25">
      <c r="A29" t="s">
        <v>48</v>
      </c>
      <c r="B29">
        <v>1</v>
      </c>
      <c r="C29" t="s">
        <v>16</v>
      </c>
      <c r="D29">
        <v>25984</v>
      </c>
      <c r="E29">
        <v>128</v>
      </c>
      <c r="F29">
        <v>2</v>
      </c>
      <c r="G29">
        <v>8</v>
      </c>
      <c r="H29">
        <v>714.65</v>
      </c>
      <c r="I29" s="17">
        <v>16.367000000000001</v>
      </c>
      <c r="J29" s="142">
        <f t="shared" ref="J29" si="14">AVERAGE(I29:I32)</f>
        <v>16.384750000000004</v>
      </c>
      <c r="K29" s="144" t="str">
        <f t="shared" ref="K29" si="15">A29</f>
        <v>optimized-big-arch7a-tune</v>
      </c>
      <c r="L29" s="1"/>
      <c r="M29" t="s">
        <v>45</v>
      </c>
      <c r="N29">
        <v>4</v>
      </c>
      <c r="O29" t="s">
        <v>16</v>
      </c>
      <c r="P29">
        <v>25984</v>
      </c>
      <c r="Q29">
        <v>128</v>
      </c>
      <c r="R29">
        <v>2</v>
      </c>
      <c r="S29">
        <v>8</v>
      </c>
      <c r="T29">
        <v>371.38</v>
      </c>
      <c r="U29" s="17">
        <v>31.495000000000001</v>
      </c>
      <c r="V29" s="142">
        <f t="shared" ref="V29" si="16">AVERAGE(U29:U32)</f>
        <v>34.755000000000003</v>
      </c>
      <c r="W29" s="33">
        <v>45090</v>
      </c>
      <c r="X29" s="37">
        <v>0.77075231481481488</v>
      </c>
      <c r="Y29" s="1"/>
      <c r="Z29" s="1"/>
      <c r="AA29" t="s">
        <v>49</v>
      </c>
      <c r="AB29" s="16">
        <v>1</v>
      </c>
      <c r="AC29" t="s">
        <v>16</v>
      </c>
      <c r="AD29" s="16">
        <v>25984</v>
      </c>
      <c r="AE29" s="16">
        <v>128</v>
      </c>
      <c r="AF29" s="16">
        <v>2</v>
      </c>
      <c r="AG29" s="16">
        <v>8</v>
      </c>
      <c r="AH29" s="2">
        <v>405.36</v>
      </c>
      <c r="AI29" s="17">
        <v>28.855</v>
      </c>
      <c r="AL29" s="5" t="s">
        <v>50</v>
      </c>
      <c r="AM29" s="16">
        <v>1</v>
      </c>
      <c r="AN29" t="s">
        <v>16</v>
      </c>
      <c r="AO29" s="16">
        <v>18368</v>
      </c>
      <c r="AP29" s="16">
        <v>64</v>
      </c>
      <c r="AQ29" s="16">
        <v>2</v>
      </c>
      <c r="AR29" s="16">
        <v>4</v>
      </c>
      <c r="AS29" s="2">
        <v>2237.62</v>
      </c>
      <c r="AT29" s="17">
        <v>1.8466</v>
      </c>
      <c r="AV29" s="1"/>
    </row>
    <row r="30" spans="1:48" x14ac:dyDescent="0.25">
      <c r="A30" t="s">
        <v>48</v>
      </c>
      <c r="B30">
        <v>2</v>
      </c>
      <c r="C30" t="s">
        <v>16</v>
      </c>
      <c r="D30">
        <v>25984</v>
      </c>
      <c r="E30">
        <v>128</v>
      </c>
      <c r="F30">
        <v>2</v>
      </c>
      <c r="G30">
        <v>8</v>
      </c>
      <c r="H30">
        <v>712.5</v>
      </c>
      <c r="I30" s="17">
        <v>16.417000000000002</v>
      </c>
      <c r="J30" s="142"/>
      <c r="K30" s="144"/>
      <c r="L30" s="1"/>
      <c r="M30" t="s">
        <v>51</v>
      </c>
      <c r="N30">
        <v>0</v>
      </c>
      <c r="O30" t="s">
        <v>16</v>
      </c>
      <c r="P30">
        <v>25984</v>
      </c>
      <c r="Q30">
        <v>128</v>
      </c>
      <c r="R30">
        <v>2</v>
      </c>
      <c r="S30">
        <v>8</v>
      </c>
      <c r="T30">
        <v>325.42</v>
      </c>
      <c r="U30" s="17">
        <v>35.944000000000003</v>
      </c>
      <c r="V30" s="142"/>
      <c r="W30" s="33">
        <v>45090</v>
      </c>
      <c r="X30" s="37">
        <v>0.77466435185185178</v>
      </c>
      <c r="Y30" s="1"/>
      <c r="Z30" s="1"/>
      <c r="AA30" t="s">
        <v>49</v>
      </c>
      <c r="AB30" s="16">
        <v>2</v>
      </c>
      <c r="AC30" t="s">
        <v>16</v>
      </c>
      <c r="AD30" s="16">
        <v>25984</v>
      </c>
      <c r="AE30" s="16">
        <v>128</v>
      </c>
      <c r="AF30" s="16">
        <v>2</v>
      </c>
      <c r="AG30" s="16">
        <v>8</v>
      </c>
      <c r="AH30" s="2">
        <v>405.77</v>
      </c>
      <c r="AI30" s="17">
        <v>28.826000000000001</v>
      </c>
      <c r="AL30" s="5" t="s">
        <v>50</v>
      </c>
      <c r="AM30" s="16">
        <v>2</v>
      </c>
      <c r="AN30" t="s">
        <v>16</v>
      </c>
      <c r="AO30" s="16">
        <v>18368</v>
      </c>
      <c r="AP30" s="16">
        <v>64</v>
      </c>
      <c r="AQ30" s="16">
        <v>2</v>
      </c>
      <c r="AR30" s="16">
        <v>4</v>
      </c>
      <c r="AS30" s="2">
        <v>2233.42</v>
      </c>
      <c r="AT30" s="17">
        <v>1.85</v>
      </c>
      <c r="AV30" s="1"/>
    </row>
    <row r="31" spans="1:48" x14ac:dyDescent="0.25">
      <c r="A31" t="s">
        <v>48</v>
      </c>
      <c r="B31">
        <v>3</v>
      </c>
      <c r="C31" t="s">
        <v>16</v>
      </c>
      <c r="D31">
        <v>25984</v>
      </c>
      <c r="E31">
        <v>128</v>
      </c>
      <c r="F31">
        <v>2</v>
      </c>
      <c r="G31">
        <v>8</v>
      </c>
      <c r="H31">
        <v>712.99</v>
      </c>
      <c r="I31" s="17">
        <v>16.405000000000001</v>
      </c>
      <c r="J31" s="142"/>
      <c r="K31" s="144"/>
      <c r="L31" s="1"/>
      <c r="M31" t="s">
        <v>51</v>
      </c>
      <c r="N31">
        <v>1</v>
      </c>
      <c r="O31" t="s">
        <v>16</v>
      </c>
      <c r="P31">
        <v>25984</v>
      </c>
      <c r="Q31">
        <v>128</v>
      </c>
      <c r="R31">
        <v>2</v>
      </c>
      <c r="S31">
        <v>8</v>
      </c>
      <c r="T31">
        <v>326.02</v>
      </c>
      <c r="U31" s="17">
        <v>35.877000000000002</v>
      </c>
      <c r="V31" s="142"/>
      <c r="W31" s="33">
        <v>45090</v>
      </c>
      <c r="X31" s="37">
        <v>0.77857638888888892</v>
      </c>
      <c r="Y31" s="1"/>
      <c r="Z31" s="1"/>
      <c r="AA31" t="s">
        <v>49</v>
      </c>
      <c r="AB31" s="16">
        <v>3</v>
      </c>
      <c r="AC31" t="s">
        <v>16</v>
      </c>
      <c r="AD31" s="16">
        <v>25984</v>
      </c>
      <c r="AE31" s="16">
        <v>128</v>
      </c>
      <c r="AF31" s="16">
        <v>2</v>
      </c>
      <c r="AG31" s="16">
        <v>8</v>
      </c>
      <c r="AH31" s="2">
        <v>406.6</v>
      </c>
      <c r="AI31" s="17">
        <v>28.766999999999999</v>
      </c>
      <c r="AL31" s="5" t="s">
        <v>50</v>
      </c>
      <c r="AM31" s="16">
        <v>3</v>
      </c>
      <c r="AN31" t="s">
        <v>16</v>
      </c>
      <c r="AO31" s="16">
        <v>18368</v>
      </c>
      <c r="AP31" s="16">
        <v>64</v>
      </c>
      <c r="AQ31" s="16">
        <v>2</v>
      </c>
      <c r="AR31" s="16">
        <v>4</v>
      </c>
      <c r="AS31" s="2">
        <v>2162.59</v>
      </c>
      <c r="AT31" s="17">
        <v>1.9106000000000001</v>
      </c>
      <c r="AV31" s="1"/>
    </row>
    <row r="32" spans="1:48" x14ac:dyDescent="0.25">
      <c r="A32" t="s">
        <v>48</v>
      </c>
      <c r="B32">
        <v>4</v>
      </c>
      <c r="C32" t="s">
        <v>16</v>
      </c>
      <c r="D32">
        <v>25984</v>
      </c>
      <c r="E32">
        <v>128</v>
      </c>
      <c r="F32">
        <v>2</v>
      </c>
      <c r="G32">
        <v>8</v>
      </c>
      <c r="H32">
        <v>715.38</v>
      </c>
      <c r="I32" s="17">
        <v>16.350000000000001</v>
      </c>
      <c r="J32" s="142"/>
      <c r="K32" s="144"/>
      <c r="L32" s="1"/>
      <c r="M32" t="s">
        <v>51</v>
      </c>
      <c r="N32">
        <v>2</v>
      </c>
      <c r="O32" t="s">
        <v>16</v>
      </c>
      <c r="P32">
        <v>25984</v>
      </c>
      <c r="Q32">
        <v>128</v>
      </c>
      <c r="R32">
        <v>2</v>
      </c>
      <c r="S32">
        <v>8</v>
      </c>
      <c r="T32">
        <v>327.61</v>
      </c>
      <c r="U32" s="17">
        <v>35.704000000000001</v>
      </c>
      <c r="V32" s="142"/>
      <c r="W32" s="33">
        <v>45090</v>
      </c>
      <c r="X32" s="37">
        <v>0.78251157407407401</v>
      </c>
      <c r="Y32" s="1"/>
      <c r="Z32" s="1"/>
      <c r="AA32" t="s">
        <v>49</v>
      </c>
      <c r="AB32" s="16">
        <v>4</v>
      </c>
      <c r="AC32" t="s">
        <v>16</v>
      </c>
      <c r="AD32" s="16">
        <v>25984</v>
      </c>
      <c r="AE32" s="16">
        <v>128</v>
      </c>
      <c r="AF32" s="16">
        <v>2</v>
      </c>
      <c r="AG32" s="16">
        <v>8</v>
      </c>
      <c r="AH32" s="2">
        <v>405.95</v>
      </c>
      <c r="AI32" s="17">
        <v>28.812999999999999</v>
      </c>
      <c r="AL32" s="5" t="s">
        <v>50</v>
      </c>
      <c r="AM32" s="16">
        <v>4</v>
      </c>
      <c r="AN32" t="s">
        <v>16</v>
      </c>
      <c r="AO32" s="16">
        <v>18368</v>
      </c>
      <c r="AP32" s="16">
        <v>64</v>
      </c>
      <c r="AQ32" s="16">
        <v>2</v>
      </c>
      <c r="AR32" s="16">
        <v>4</v>
      </c>
      <c r="AS32" s="2">
        <v>2239.5</v>
      </c>
      <c r="AT32" s="17">
        <v>1.845</v>
      </c>
      <c r="AV32" s="1"/>
    </row>
    <row r="33" spans="1:48" x14ac:dyDescent="0.25">
      <c r="A33" t="s">
        <v>52</v>
      </c>
      <c r="B33">
        <v>1</v>
      </c>
      <c r="C33" t="s">
        <v>16</v>
      </c>
      <c r="D33">
        <v>25984</v>
      </c>
      <c r="E33">
        <v>128</v>
      </c>
      <c r="F33">
        <v>2</v>
      </c>
      <c r="G33">
        <v>8</v>
      </c>
      <c r="H33">
        <v>401.1</v>
      </c>
      <c r="I33" s="17">
        <v>29.161000000000001</v>
      </c>
      <c r="J33" s="142">
        <f t="shared" ref="J33" si="17">AVERAGE(I33:I36)</f>
        <v>28.957999999999998</v>
      </c>
      <c r="K33" s="144" t="str">
        <f>A33</f>
        <v>optimized-big-arch7a-tune-flags</v>
      </c>
      <c r="L33" s="1"/>
      <c r="M33" t="s">
        <v>51</v>
      </c>
      <c r="N33">
        <v>3</v>
      </c>
      <c r="O33" t="s">
        <v>16</v>
      </c>
      <c r="P33">
        <v>25984</v>
      </c>
      <c r="Q33">
        <v>128</v>
      </c>
      <c r="R33">
        <v>2</v>
      </c>
      <c r="S33">
        <v>8</v>
      </c>
      <c r="T33">
        <v>324.89</v>
      </c>
      <c r="U33" s="17">
        <v>36.002000000000002</v>
      </c>
      <c r="V33" s="142">
        <f t="shared" ref="V33" si="18">AVERAGE(U33:U36)</f>
        <v>33.270499999999998</v>
      </c>
      <c r="W33" s="33">
        <v>45090</v>
      </c>
      <c r="X33" s="37">
        <v>0.78641203703703699</v>
      </c>
      <c r="Y33" s="1"/>
      <c r="Z33" s="1"/>
      <c r="AA33" s="1"/>
      <c r="AC33" s="1"/>
      <c r="AK33" s="1"/>
      <c r="AL33" s="5" t="s">
        <v>53</v>
      </c>
      <c r="AM33" s="16">
        <v>1</v>
      </c>
      <c r="AN33" s="1" t="s">
        <v>16</v>
      </c>
      <c r="AO33" s="16">
        <v>18368</v>
      </c>
      <c r="AP33" s="16">
        <v>64</v>
      </c>
      <c r="AQ33" s="16">
        <v>2</v>
      </c>
      <c r="AR33" s="16">
        <v>4</v>
      </c>
      <c r="AS33" s="2">
        <v>2273.1</v>
      </c>
      <c r="AT33" s="17">
        <v>1.8177000000000001</v>
      </c>
      <c r="AV33" s="1"/>
    </row>
    <row r="34" spans="1:48" x14ac:dyDescent="0.25">
      <c r="A34" t="s">
        <v>52</v>
      </c>
      <c r="B34">
        <v>2</v>
      </c>
      <c r="C34" t="s">
        <v>16</v>
      </c>
      <c r="D34">
        <v>25984</v>
      </c>
      <c r="E34">
        <v>128</v>
      </c>
      <c r="F34">
        <v>2</v>
      </c>
      <c r="G34">
        <v>8</v>
      </c>
      <c r="H34">
        <v>404.88</v>
      </c>
      <c r="I34" s="17">
        <v>28.89</v>
      </c>
      <c r="J34" s="142"/>
      <c r="K34" s="144"/>
      <c r="L34" s="1"/>
      <c r="M34" t="s">
        <v>51</v>
      </c>
      <c r="N34">
        <v>4</v>
      </c>
      <c r="O34" t="s">
        <v>16</v>
      </c>
      <c r="P34">
        <v>25984</v>
      </c>
      <c r="Q34">
        <v>128</v>
      </c>
      <c r="R34">
        <v>2</v>
      </c>
      <c r="S34">
        <v>8</v>
      </c>
      <c r="T34">
        <v>326.54000000000002</v>
      </c>
      <c r="U34" s="17">
        <v>35.820999999999998</v>
      </c>
      <c r="V34" s="142"/>
      <c r="W34" s="33">
        <v>45090</v>
      </c>
      <c r="X34" s="37">
        <v>0.79033564814814816</v>
      </c>
      <c r="Y34" s="1"/>
      <c r="Z34" s="1"/>
      <c r="AK34" s="1"/>
      <c r="AL34" s="5" t="s">
        <v>53</v>
      </c>
      <c r="AM34" s="16">
        <v>2</v>
      </c>
      <c r="AN34" s="1" t="s">
        <v>16</v>
      </c>
      <c r="AO34" s="16">
        <v>18368</v>
      </c>
      <c r="AP34" s="16">
        <v>64</v>
      </c>
      <c r="AQ34" s="16">
        <v>2</v>
      </c>
      <c r="AR34" s="16">
        <v>4</v>
      </c>
      <c r="AS34" s="2">
        <v>2107.9299999999998</v>
      </c>
      <c r="AT34" s="17">
        <v>1.9601999999999999</v>
      </c>
      <c r="AV34" s="1"/>
    </row>
    <row r="35" spans="1:48" x14ac:dyDescent="0.25">
      <c r="A35" t="s">
        <v>52</v>
      </c>
      <c r="B35">
        <v>3</v>
      </c>
      <c r="C35" t="s">
        <v>16</v>
      </c>
      <c r="D35">
        <v>25984</v>
      </c>
      <c r="E35">
        <v>128</v>
      </c>
      <c r="F35">
        <v>2</v>
      </c>
      <c r="G35">
        <v>8</v>
      </c>
      <c r="H35">
        <v>405.22</v>
      </c>
      <c r="I35" s="17">
        <v>28.864999999999998</v>
      </c>
      <c r="J35" s="142"/>
      <c r="K35" s="144"/>
      <c r="L35" s="1"/>
      <c r="M35" t="s">
        <v>54</v>
      </c>
      <c r="N35">
        <v>0</v>
      </c>
      <c r="O35" t="s">
        <v>16</v>
      </c>
      <c r="P35">
        <v>25984</v>
      </c>
      <c r="Q35">
        <v>128</v>
      </c>
      <c r="R35">
        <v>2</v>
      </c>
      <c r="S35">
        <v>8</v>
      </c>
      <c r="T35">
        <v>383.49</v>
      </c>
      <c r="U35" s="17">
        <v>30.5</v>
      </c>
      <c r="V35" s="142"/>
      <c r="W35" s="33">
        <v>45093</v>
      </c>
      <c r="X35" s="37">
        <v>0.9474189814814814</v>
      </c>
      <c r="Y35" s="1"/>
      <c r="Z35" s="1"/>
      <c r="AK35" s="1"/>
      <c r="AL35" s="5" t="s">
        <v>53</v>
      </c>
      <c r="AM35" s="16">
        <v>3</v>
      </c>
      <c r="AN35" s="1" t="s">
        <v>16</v>
      </c>
      <c r="AO35" s="16">
        <v>18368</v>
      </c>
      <c r="AP35" s="16">
        <v>64</v>
      </c>
      <c r="AQ35" s="16">
        <v>2</v>
      </c>
      <c r="AR35" s="16">
        <v>4</v>
      </c>
      <c r="AS35" s="2">
        <v>2215</v>
      </c>
      <c r="AT35" s="17">
        <v>1.8653999999999999</v>
      </c>
      <c r="AV35" s="1"/>
    </row>
    <row r="36" spans="1:48" x14ac:dyDescent="0.25">
      <c r="A36" t="s">
        <v>52</v>
      </c>
      <c r="B36">
        <v>4</v>
      </c>
      <c r="C36" t="s">
        <v>16</v>
      </c>
      <c r="D36">
        <v>25984</v>
      </c>
      <c r="E36">
        <v>128</v>
      </c>
      <c r="F36">
        <v>2</v>
      </c>
      <c r="G36">
        <v>8</v>
      </c>
      <c r="H36">
        <v>404.5</v>
      </c>
      <c r="I36" s="17">
        <v>28.916</v>
      </c>
      <c r="J36" s="142"/>
      <c r="K36" s="144"/>
      <c r="L36" s="1"/>
      <c r="M36" t="s">
        <v>54</v>
      </c>
      <c r="N36">
        <v>1</v>
      </c>
      <c r="O36" t="s">
        <v>16</v>
      </c>
      <c r="P36">
        <v>25984</v>
      </c>
      <c r="Q36">
        <v>128</v>
      </c>
      <c r="R36">
        <v>2</v>
      </c>
      <c r="S36">
        <v>8</v>
      </c>
      <c r="T36">
        <v>380.27</v>
      </c>
      <c r="U36" s="17">
        <v>30.759</v>
      </c>
      <c r="V36" s="142"/>
      <c r="W36" s="33">
        <v>45093</v>
      </c>
      <c r="X36" s="37">
        <v>0.95194444444444448</v>
      </c>
      <c r="Y36" s="1"/>
      <c r="Z36" s="1"/>
      <c r="AK36" s="1"/>
      <c r="AL36" s="5" t="s">
        <v>53</v>
      </c>
      <c r="AM36" s="16">
        <v>4</v>
      </c>
      <c r="AN36" s="1" t="s">
        <v>16</v>
      </c>
      <c r="AO36" s="16">
        <v>18368</v>
      </c>
      <c r="AP36" s="16">
        <v>64</v>
      </c>
      <c r="AQ36" s="16">
        <v>2</v>
      </c>
      <c r="AR36" s="16">
        <v>4</v>
      </c>
      <c r="AS36" s="2">
        <v>2250.13</v>
      </c>
      <c r="AT36" s="17">
        <v>1.8363</v>
      </c>
      <c r="AV36" s="1"/>
    </row>
    <row r="37" spans="1:48" x14ac:dyDescent="0.25">
      <c r="A37" t="s">
        <v>38</v>
      </c>
      <c r="B37">
        <v>1</v>
      </c>
      <c r="C37" t="s">
        <v>16</v>
      </c>
      <c r="D37">
        <v>25984</v>
      </c>
      <c r="E37">
        <v>128</v>
      </c>
      <c r="F37">
        <v>2</v>
      </c>
      <c r="G37">
        <v>8</v>
      </c>
      <c r="H37">
        <v>1390.29</v>
      </c>
      <c r="I37" s="17">
        <v>8.4131999999999998</v>
      </c>
      <c r="J37" s="142">
        <f t="shared" ref="J37" si="19">AVERAGE(I37:I40)</f>
        <v>8.4103250000000003</v>
      </c>
      <c r="K37" s="144" t="str">
        <f>A37</f>
        <v>optimized-small</v>
      </c>
      <c r="M37" t="s">
        <v>54</v>
      </c>
      <c r="N37">
        <v>2</v>
      </c>
      <c r="O37" t="s">
        <v>16</v>
      </c>
      <c r="P37">
        <v>25984</v>
      </c>
      <c r="Q37">
        <v>128</v>
      </c>
      <c r="R37">
        <v>2</v>
      </c>
      <c r="S37">
        <v>8</v>
      </c>
      <c r="T37">
        <v>380.43</v>
      </c>
      <c r="U37" s="17">
        <v>30.745999999999999</v>
      </c>
      <c r="V37" s="142">
        <f t="shared" ref="V37" si="20">AVERAGE(U37:U40)</f>
        <v>30.30725</v>
      </c>
      <c r="W37" s="33">
        <v>45093</v>
      </c>
      <c r="X37" s="37">
        <v>0.9564583333333333</v>
      </c>
    </row>
    <row r="38" spans="1:48" x14ac:dyDescent="0.25">
      <c r="A38" t="s">
        <v>38</v>
      </c>
      <c r="B38">
        <v>2</v>
      </c>
      <c r="C38" t="s">
        <v>16</v>
      </c>
      <c r="D38">
        <v>25984</v>
      </c>
      <c r="E38">
        <v>128</v>
      </c>
      <c r="F38">
        <v>2</v>
      </c>
      <c r="G38">
        <v>8</v>
      </c>
      <c r="H38">
        <v>1391.29</v>
      </c>
      <c r="I38" s="17">
        <v>8.4070999999999998</v>
      </c>
      <c r="J38" s="142"/>
      <c r="K38" s="144"/>
      <c r="M38" t="s">
        <v>54</v>
      </c>
      <c r="N38">
        <v>3</v>
      </c>
      <c r="O38" t="s">
        <v>16</v>
      </c>
      <c r="P38">
        <v>25984</v>
      </c>
      <c r="Q38">
        <v>128</v>
      </c>
      <c r="R38">
        <v>2</v>
      </c>
      <c r="S38">
        <v>8</v>
      </c>
      <c r="T38">
        <v>380.19</v>
      </c>
      <c r="U38" s="17">
        <v>30.765000000000001</v>
      </c>
      <c r="V38" s="142"/>
      <c r="W38" s="33">
        <v>45093</v>
      </c>
      <c r="X38" s="37">
        <v>0.96097222222222223</v>
      </c>
    </row>
    <row r="39" spans="1:48" x14ac:dyDescent="0.25">
      <c r="A39" t="s">
        <v>38</v>
      </c>
      <c r="B39">
        <v>3</v>
      </c>
      <c r="C39" t="s">
        <v>16</v>
      </c>
      <c r="D39">
        <v>25984</v>
      </c>
      <c r="E39">
        <v>128</v>
      </c>
      <c r="F39">
        <v>2</v>
      </c>
      <c r="G39">
        <v>8</v>
      </c>
      <c r="H39">
        <v>1390.25</v>
      </c>
      <c r="I39" s="17">
        <v>8.4133999999999993</v>
      </c>
      <c r="J39" s="142"/>
      <c r="K39" s="144"/>
      <c r="M39" t="s">
        <v>54</v>
      </c>
      <c r="N39">
        <v>4</v>
      </c>
      <c r="O39" t="s">
        <v>16</v>
      </c>
      <c r="P39">
        <v>25984</v>
      </c>
      <c r="Q39">
        <v>128</v>
      </c>
      <c r="R39">
        <v>2</v>
      </c>
      <c r="S39">
        <v>8</v>
      </c>
      <c r="T39">
        <v>379.9</v>
      </c>
      <c r="U39" s="17">
        <v>30.789000000000001</v>
      </c>
      <c r="V39" s="142"/>
      <c r="W39" s="33">
        <v>45093</v>
      </c>
      <c r="X39" s="37">
        <v>0.96548611111111116</v>
      </c>
    </row>
    <row r="40" spans="1:48" x14ac:dyDescent="0.25">
      <c r="A40" t="s">
        <v>38</v>
      </c>
      <c r="B40">
        <v>4</v>
      </c>
      <c r="C40" t="s">
        <v>16</v>
      </c>
      <c r="D40">
        <v>25984</v>
      </c>
      <c r="E40">
        <v>128</v>
      </c>
      <c r="F40">
        <v>2</v>
      </c>
      <c r="G40">
        <v>8</v>
      </c>
      <c r="H40">
        <v>1391.22</v>
      </c>
      <c r="I40" s="17">
        <v>8.4076000000000004</v>
      </c>
      <c r="J40" s="142"/>
      <c r="K40" s="144"/>
      <c r="M40" t="s">
        <v>55</v>
      </c>
      <c r="N40">
        <v>0</v>
      </c>
      <c r="O40" t="s">
        <v>16</v>
      </c>
      <c r="P40">
        <v>25984</v>
      </c>
      <c r="Q40">
        <v>128</v>
      </c>
      <c r="R40">
        <v>2</v>
      </c>
      <c r="S40">
        <v>8</v>
      </c>
      <c r="T40">
        <v>404.33</v>
      </c>
      <c r="U40" s="17">
        <v>28.928999999999998</v>
      </c>
      <c r="V40" s="142"/>
      <c r="W40" s="33">
        <v>45093</v>
      </c>
      <c r="X40" s="37">
        <v>0.97031250000000002</v>
      </c>
    </row>
    <row r="41" spans="1:48" x14ac:dyDescent="0.25">
      <c r="A41" t="s">
        <v>42</v>
      </c>
      <c r="B41">
        <v>1</v>
      </c>
      <c r="C41" t="s">
        <v>16</v>
      </c>
      <c r="D41">
        <v>25984</v>
      </c>
      <c r="E41">
        <v>128</v>
      </c>
      <c r="F41">
        <v>2</v>
      </c>
      <c r="G41">
        <v>8</v>
      </c>
      <c r="H41">
        <v>1627.36</v>
      </c>
      <c r="I41" s="17">
        <v>7.1875</v>
      </c>
      <c r="J41" s="142">
        <f t="shared" ref="J41" si="21">AVERAGE(I41:I44)</f>
        <v>7.1863999999999999</v>
      </c>
      <c r="K41" s="144" t="str">
        <f t="shared" ref="K41" si="22">A41</f>
        <v>optimized-small-atlasarch-tune</v>
      </c>
      <c r="M41" t="s">
        <v>55</v>
      </c>
      <c r="N41">
        <v>1</v>
      </c>
      <c r="O41" t="s">
        <v>16</v>
      </c>
      <c r="P41">
        <v>25984</v>
      </c>
      <c r="Q41">
        <v>128</v>
      </c>
      <c r="R41">
        <v>2</v>
      </c>
      <c r="S41">
        <v>8</v>
      </c>
      <c r="T41">
        <v>403.52</v>
      </c>
      <c r="U41" s="17">
        <v>28.986999999999998</v>
      </c>
      <c r="V41" s="142">
        <f t="shared" ref="V41" si="23">AVERAGE(U41:U44)</f>
        <v>28.972750000000001</v>
      </c>
      <c r="W41" s="33">
        <v>45093</v>
      </c>
      <c r="X41" s="37">
        <v>0.97512731481481485</v>
      </c>
    </row>
    <row r="42" spans="1:48" x14ac:dyDescent="0.25">
      <c r="A42" t="s">
        <v>42</v>
      </c>
      <c r="B42">
        <v>2</v>
      </c>
      <c r="C42" t="s">
        <v>16</v>
      </c>
      <c r="D42">
        <v>25984</v>
      </c>
      <c r="E42">
        <v>128</v>
      </c>
      <c r="F42">
        <v>2</v>
      </c>
      <c r="G42">
        <v>8</v>
      </c>
      <c r="H42">
        <v>1627.33</v>
      </c>
      <c r="I42" s="17">
        <v>7.1877000000000004</v>
      </c>
      <c r="J42" s="142"/>
      <c r="K42" s="144"/>
      <c r="M42" t="s">
        <v>55</v>
      </c>
      <c r="N42">
        <v>2</v>
      </c>
      <c r="O42" t="s">
        <v>16</v>
      </c>
      <c r="P42">
        <v>25984</v>
      </c>
      <c r="Q42">
        <v>128</v>
      </c>
      <c r="R42">
        <v>2</v>
      </c>
      <c r="S42">
        <v>8</v>
      </c>
      <c r="T42">
        <v>404.11</v>
      </c>
      <c r="U42" s="17">
        <v>28.945</v>
      </c>
      <c r="V42" s="142"/>
      <c r="W42" s="33">
        <v>45093</v>
      </c>
      <c r="X42" s="37">
        <v>0.97995370370370372</v>
      </c>
    </row>
    <row r="43" spans="1:48" x14ac:dyDescent="0.25">
      <c r="A43" t="s">
        <v>42</v>
      </c>
      <c r="B43">
        <v>3</v>
      </c>
      <c r="C43" t="s">
        <v>16</v>
      </c>
      <c r="D43">
        <v>25984</v>
      </c>
      <c r="E43">
        <v>128</v>
      </c>
      <c r="F43">
        <v>2</v>
      </c>
      <c r="G43">
        <v>8</v>
      </c>
      <c r="H43">
        <v>1627.99</v>
      </c>
      <c r="I43" s="17">
        <v>7.1848000000000001</v>
      </c>
      <c r="J43" s="142"/>
      <c r="K43" s="144"/>
      <c r="M43" t="s">
        <v>55</v>
      </c>
      <c r="N43">
        <v>3</v>
      </c>
      <c r="O43" t="s">
        <v>16</v>
      </c>
      <c r="P43">
        <v>25984</v>
      </c>
      <c r="Q43">
        <v>128</v>
      </c>
      <c r="R43">
        <v>2</v>
      </c>
      <c r="S43">
        <v>8</v>
      </c>
      <c r="T43">
        <v>403.41</v>
      </c>
      <c r="U43" s="17">
        <v>28.995000000000001</v>
      </c>
      <c r="V43" s="142"/>
      <c r="W43" s="33">
        <v>45093</v>
      </c>
      <c r="X43" s="37">
        <v>0.98478009259259258</v>
      </c>
    </row>
    <row r="44" spans="1:48" x14ac:dyDescent="0.25">
      <c r="A44" t="s">
        <v>42</v>
      </c>
      <c r="B44">
        <v>4</v>
      </c>
      <c r="C44" t="s">
        <v>16</v>
      </c>
      <c r="D44">
        <v>25984</v>
      </c>
      <c r="E44">
        <v>128</v>
      </c>
      <c r="F44">
        <v>2</v>
      </c>
      <c r="G44">
        <v>8</v>
      </c>
      <c r="H44">
        <v>1627.8</v>
      </c>
      <c r="I44" s="17">
        <v>7.1856</v>
      </c>
      <c r="J44" s="142"/>
      <c r="K44" s="144"/>
      <c r="M44" t="s">
        <v>55</v>
      </c>
      <c r="N44">
        <v>4</v>
      </c>
      <c r="O44" t="s">
        <v>16</v>
      </c>
      <c r="P44">
        <v>25984</v>
      </c>
      <c r="Q44">
        <v>128</v>
      </c>
      <c r="R44">
        <v>2</v>
      </c>
      <c r="S44">
        <v>8</v>
      </c>
      <c r="T44">
        <v>403.83</v>
      </c>
      <c r="U44" s="17">
        <v>28.963999999999999</v>
      </c>
      <c r="V44" s="142"/>
      <c r="W44" s="33">
        <v>45093</v>
      </c>
      <c r="X44" s="37">
        <v>0.98959490740740741</v>
      </c>
    </row>
    <row r="45" spans="1:48" x14ac:dyDescent="0.25">
      <c r="A45" t="s">
        <v>46</v>
      </c>
      <c r="B45">
        <v>1</v>
      </c>
      <c r="C45" t="s">
        <v>16</v>
      </c>
      <c r="D45">
        <v>25984</v>
      </c>
      <c r="E45">
        <v>128</v>
      </c>
      <c r="F45">
        <v>2</v>
      </c>
      <c r="G45">
        <v>8</v>
      </c>
      <c r="H45">
        <v>2073.34</v>
      </c>
      <c r="I45" s="17">
        <v>5.6414999999999997</v>
      </c>
      <c r="J45" s="142">
        <f t="shared" ref="J45" si="24">AVERAGE(I45:I48)</f>
        <v>5.6411249999999997</v>
      </c>
      <c r="K45" s="144" t="str">
        <f t="shared" ref="K45" si="25">A45</f>
        <v>optimized-small-arch-tune</v>
      </c>
      <c r="M45" t="s">
        <v>56</v>
      </c>
      <c r="N45">
        <v>0</v>
      </c>
      <c r="O45" t="s">
        <v>16</v>
      </c>
      <c r="P45">
        <v>25984</v>
      </c>
      <c r="Q45">
        <v>128</v>
      </c>
      <c r="R45">
        <v>2</v>
      </c>
      <c r="S45">
        <v>8</v>
      </c>
      <c r="T45">
        <v>362.28</v>
      </c>
      <c r="U45" s="17">
        <v>32.286000000000001</v>
      </c>
      <c r="V45" s="142">
        <f t="shared" ref="V45" si="26">AVERAGE(U45:U48)</f>
        <v>32.223750000000003</v>
      </c>
      <c r="W45" s="33">
        <v>45093</v>
      </c>
      <c r="X45" s="37">
        <v>0.99395833333333339</v>
      </c>
    </row>
    <row r="46" spans="1:48" x14ac:dyDescent="0.25">
      <c r="A46" t="s">
        <v>46</v>
      </c>
      <c r="B46">
        <v>2</v>
      </c>
      <c r="C46" t="s">
        <v>16</v>
      </c>
      <c r="D46">
        <v>25984</v>
      </c>
      <c r="E46">
        <v>128</v>
      </c>
      <c r="F46">
        <v>2</v>
      </c>
      <c r="G46">
        <v>8</v>
      </c>
      <c r="H46">
        <v>2073.36</v>
      </c>
      <c r="I46" s="17">
        <v>5.6414</v>
      </c>
      <c r="J46" s="142"/>
      <c r="K46" s="144"/>
      <c r="M46" t="s">
        <v>56</v>
      </c>
      <c r="N46">
        <v>1</v>
      </c>
      <c r="O46" t="s">
        <v>16</v>
      </c>
      <c r="P46">
        <v>25984</v>
      </c>
      <c r="Q46">
        <v>128</v>
      </c>
      <c r="R46">
        <v>2</v>
      </c>
      <c r="S46">
        <v>8</v>
      </c>
      <c r="T46">
        <v>363.56</v>
      </c>
      <c r="U46" s="17">
        <v>32.173000000000002</v>
      </c>
      <c r="V46" s="142"/>
      <c r="W46" s="33">
        <v>45093</v>
      </c>
      <c r="X46" s="37">
        <v>0.99832175925925926</v>
      </c>
    </row>
    <row r="47" spans="1:48" x14ac:dyDescent="0.25">
      <c r="A47" t="s">
        <v>46</v>
      </c>
      <c r="B47">
        <v>3</v>
      </c>
      <c r="C47" t="s">
        <v>16</v>
      </c>
      <c r="D47">
        <v>25984</v>
      </c>
      <c r="E47">
        <v>128</v>
      </c>
      <c r="F47">
        <v>2</v>
      </c>
      <c r="G47">
        <v>8</v>
      </c>
      <c r="H47">
        <v>2073.41</v>
      </c>
      <c r="I47" s="17">
        <v>5.6413000000000002</v>
      </c>
      <c r="J47" s="142"/>
      <c r="K47" s="144"/>
      <c r="M47" t="s">
        <v>56</v>
      </c>
      <c r="N47">
        <v>2</v>
      </c>
      <c r="O47" t="s">
        <v>16</v>
      </c>
      <c r="P47">
        <v>25984</v>
      </c>
      <c r="Q47">
        <v>128</v>
      </c>
      <c r="R47">
        <v>2</v>
      </c>
      <c r="S47">
        <v>8</v>
      </c>
      <c r="T47">
        <v>363.09</v>
      </c>
      <c r="U47" s="17">
        <v>32.215000000000003</v>
      </c>
      <c r="V47" s="142"/>
      <c r="W47" s="33">
        <v>45094</v>
      </c>
      <c r="X47" s="37">
        <v>2.685185185185185E-3</v>
      </c>
    </row>
    <row r="48" spans="1:48" x14ac:dyDescent="0.25">
      <c r="A48" t="s">
        <v>46</v>
      </c>
      <c r="B48">
        <v>4</v>
      </c>
      <c r="C48" t="s">
        <v>16</v>
      </c>
      <c r="D48">
        <v>25984</v>
      </c>
      <c r="E48">
        <v>128</v>
      </c>
      <c r="F48">
        <v>2</v>
      </c>
      <c r="G48">
        <v>8</v>
      </c>
      <c r="H48">
        <v>2073.77</v>
      </c>
      <c r="I48" s="17">
        <v>5.6402999999999999</v>
      </c>
      <c r="J48" s="142"/>
      <c r="K48" s="144"/>
      <c r="M48" t="s">
        <v>56</v>
      </c>
      <c r="N48">
        <v>3</v>
      </c>
      <c r="O48" t="s">
        <v>16</v>
      </c>
      <c r="P48">
        <v>25984</v>
      </c>
      <c r="Q48">
        <v>128</v>
      </c>
      <c r="R48">
        <v>2</v>
      </c>
      <c r="S48">
        <v>8</v>
      </c>
      <c r="T48">
        <v>363.01</v>
      </c>
      <c r="U48" s="17">
        <v>32.220999999999997</v>
      </c>
      <c r="V48" s="142"/>
      <c r="W48" s="33">
        <v>45094</v>
      </c>
      <c r="X48" s="37">
        <v>7.0486111111111105E-3</v>
      </c>
    </row>
    <row r="49" spans="1:24" x14ac:dyDescent="0.25">
      <c r="A49" t="s">
        <v>49</v>
      </c>
      <c r="B49">
        <v>1</v>
      </c>
      <c r="C49" t="s">
        <v>16</v>
      </c>
      <c r="D49">
        <v>25984</v>
      </c>
      <c r="E49">
        <v>128</v>
      </c>
      <c r="F49">
        <v>2</v>
      </c>
      <c r="G49">
        <v>8</v>
      </c>
      <c r="H49">
        <v>1628.5</v>
      </c>
      <c r="I49" s="17">
        <v>7.1825000000000001</v>
      </c>
      <c r="J49" s="142">
        <f t="shared" ref="J49" si="27">AVERAGE(I49:I52)</f>
        <v>7.1825749999999999</v>
      </c>
      <c r="K49" s="144" t="str">
        <f t="shared" ref="K49" si="28">A49</f>
        <v>optimized-small-atlasarch-tune2</v>
      </c>
      <c r="M49" t="s">
        <v>56</v>
      </c>
      <c r="N49">
        <v>4</v>
      </c>
      <c r="O49" t="s">
        <v>16</v>
      </c>
      <c r="P49">
        <v>25984</v>
      </c>
      <c r="Q49">
        <v>128</v>
      </c>
      <c r="R49">
        <v>2</v>
      </c>
      <c r="S49">
        <v>8</v>
      </c>
      <c r="T49">
        <v>363.2</v>
      </c>
      <c r="U49" s="17">
        <v>32.204999999999998</v>
      </c>
      <c r="V49" s="142">
        <f t="shared" ref="V49" si="29">AVERAGE(U49:U52)</f>
        <v>29.667000000000002</v>
      </c>
      <c r="W49" s="33">
        <v>45094</v>
      </c>
      <c r="X49" s="37">
        <v>1.1423611111111112E-2</v>
      </c>
    </row>
    <row r="50" spans="1:24" x14ac:dyDescent="0.25">
      <c r="A50" t="s">
        <v>49</v>
      </c>
      <c r="B50">
        <v>2</v>
      </c>
      <c r="C50" t="s">
        <v>16</v>
      </c>
      <c r="D50">
        <v>25984</v>
      </c>
      <c r="E50">
        <v>128</v>
      </c>
      <c r="F50">
        <v>2</v>
      </c>
      <c r="G50">
        <v>8</v>
      </c>
      <c r="H50">
        <v>1629.01</v>
      </c>
      <c r="I50" s="17">
        <v>7.1802999999999999</v>
      </c>
      <c r="J50" s="142"/>
      <c r="K50" s="144"/>
      <c r="M50" t="s">
        <v>57</v>
      </c>
      <c r="N50">
        <v>0</v>
      </c>
      <c r="O50" t="s">
        <v>16</v>
      </c>
      <c r="P50">
        <v>25984</v>
      </c>
      <c r="Q50">
        <v>128</v>
      </c>
      <c r="R50">
        <v>2</v>
      </c>
      <c r="S50">
        <v>8</v>
      </c>
      <c r="T50">
        <v>404.89</v>
      </c>
      <c r="U50" s="17">
        <v>28.888999999999999</v>
      </c>
      <c r="V50" s="142"/>
      <c r="W50" s="33">
        <v>45094</v>
      </c>
      <c r="X50" s="37">
        <v>1.6261574074074074E-2</v>
      </c>
    </row>
    <row r="51" spans="1:24" x14ac:dyDescent="0.25">
      <c r="A51" t="s">
        <v>49</v>
      </c>
      <c r="B51">
        <v>3</v>
      </c>
      <c r="C51" t="s">
        <v>16</v>
      </c>
      <c r="D51">
        <v>25984</v>
      </c>
      <c r="E51">
        <v>128</v>
      </c>
      <c r="F51">
        <v>2</v>
      </c>
      <c r="G51">
        <v>8</v>
      </c>
      <c r="H51">
        <v>1628.6</v>
      </c>
      <c r="I51" s="17">
        <v>7.1821000000000002</v>
      </c>
      <c r="J51" s="142"/>
      <c r="K51" s="144"/>
      <c r="M51" t="s">
        <v>57</v>
      </c>
      <c r="N51">
        <v>1</v>
      </c>
      <c r="O51" t="s">
        <v>16</v>
      </c>
      <c r="P51">
        <v>25984</v>
      </c>
      <c r="Q51">
        <v>128</v>
      </c>
      <c r="R51">
        <v>2</v>
      </c>
      <c r="S51">
        <v>8</v>
      </c>
      <c r="T51">
        <v>407.49</v>
      </c>
      <c r="U51" s="17">
        <v>28.704000000000001</v>
      </c>
      <c r="V51" s="142"/>
      <c r="W51" s="33">
        <v>45094</v>
      </c>
      <c r="X51" s="37">
        <v>2.1122685185185185E-2</v>
      </c>
    </row>
    <row r="52" spans="1:24" x14ac:dyDescent="0.25">
      <c r="A52" t="s">
        <v>49</v>
      </c>
      <c r="B52">
        <v>4</v>
      </c>
      <c r="C52" t="s">
        <v>16</v>
      </c>
      <c r="D52">
        <v>25984</v>
      </c>
      <c r="E52">
        <v>128</v>
      </c>
      <c r="F52">
        <v>2</v>
      </c>
      <c r="G52">
        <v>8</v>
      </c>
      <c r="H52">
        <v>1627.85</v>
      </c>
      <c r="I52" s="17">
        <v>7.1853999999999996</v>
      </c>
      <c r="J52" s="142"/>
      <c r="K52" s="144"/>
      <c r="M52" t="s">
        <v>57</v>
      </c>
      <c r="N52">
        <v>2</v>
      </c>
      <c r="O52" t="s">
        <v>16</v>
      </c>
      <c r="P52">
        <v>25984</v>
      </c>
      <c r="Q52">
        <v>128</v>
      </c>
      <c r="R52">
        <v>2</v>
      </c>
      <c r="S52">
        <v>8</v>
      </c>
      <c r="T52">
        <v>405.15</v>
      </c>
      <c r="U52" s="17">
        <v>28.87</v>
      </c>
      <c r="V52" s="142"/>
      <c r="W52" s="33">
        <v>45094</v>
      </c>
      <c r="X52" s="37">
        <v>2.5972222222222219E-2</v>
      </c>
    </row>
    <row r="53" spans="1:24" x14ac:dyDescent="0.25">
      <c r="A53" t="s">
        <v>58</v>
      </c>
      <c r="B53">
        <v>1</v>
      </c>
      <c r="C53" t="s">
        <v>16</v>
      </c>
      <c r="D53">
        <v>25984</v>
      </c>
      <c r="E53">
        <v>128</v>
      </c>
      <c r="F53">
        <v>2</v>
      </c>
      <c r="G53">
        <v>8</v>
      </c>
      <c r="H53">
        <v>1424.43</v>
      </c>
      <c r="I53" s="17">
        <v>8.2114999999999991</v>
      </c>
      <c r="J53" s="142">
        <f t="shared" ref="J53" si="30">AVERAGE(I53:I56)</f>
        <v>8.2106999999999992</v>
      </c>
      <c r="K53" s="144" t="str">
        <f>A53</f>
        <v>optimized-small-arch-tune-flags</v>
      </c>
      <c r="M53" t="s">
        <v>57</v>
      </c>
      <c r="N53">
        <v>3</v>
      </c>
      <c r="O53" t="s">
        <v>16</v>
      </c>
      <c r="P53">
        <v>25984</v>
      </c>
      <c r="Q53">
        <v>128</v>
      </c>
      <c r="R53">
        <v>2</v>
      </c>
      <c r="S53">
        <v>8</v>
      </c>
      <c r="T53">
        <v>405.15</v>
      </c>
      <c r="U53" s="17">
        <v>28.87</v>
      </c>
      <c r="V53" s="142">
        <f t="shared" ref="V53" si="31">AVERAGE(U53:U56)</f>
        <v>30.256250000000001</v>
      </c>
      <c r="W53" s="33">
        <v>45094</v>
      </c>
      <c r="X53" s="37">
        <v>3.0810185185185187E-2</v>
      </c>
    </row>
    <row r="54" spans="1:24" x14ac:dyDescent="0.25">
      <c r="A54" t="s">
        <v>58</v>
      </c>
      <c r="B54">
        <v>2</v>
      </c>
      <c r="C54" t="s">
        <v>16</v>
      </c>
      <c r="D54">
        <v>25984</v>
      </c>
      <c r="E54">
        <v>128</v>
      </c>
      <c r="F54">
        <v>2</v>
      </c>
      <c r="G54">
        <v>8</v>
      </c>
      <c r="H54">
        <v>1424.67</v>
      </c>
      <c r="I54" s="17">
        <v>8.2101000000000006</v>
      </c>
      <c r="J54" s="142"/>
      <c r="K54" s="144"/>
      <c r="M54" t="s">
        <v>57</v>
      </c>
      <c r="N54">
        <v>4</v>
      </c>
      <c r="O54" t="s">
        <v>16</v>
      </c>
      <c r="P54">
        <v>25984</v>
      </c>
      <c r="Q54">
        <v>128</v>
      </c>
      <c r="R54">
        <v>2</v>
      </c>
      <c r="S54">
        <v>8</v>
      </c>
      <c r="T54">
        <v>405.07</v>
      </c>
      <c r="U54" s="17">
        <v>28.876000000000001</v>
      </c>
      <c r="V54" s="142"/>
      <c r="W54" s="33">
        <v>45094</v>
      </c>
      <c r="X54" s="37">
        <v>3.5648148148148151E-2</v>
      </c>
    </row>
    <row r="55" spans="1:24" x14ac:dyDescent="0.25">
      <c r="A55" t="s">
        <v>58</v>
      </c>
      <c r="B55">
        <v>3</v>
      </c>
      <c r="C55" t="s">
        <v>16</v>
      </c>
      <c r="D55">
        <v>25984</v>
      </c>
      <c r="E55">
        <v>128</v>
      </c>
      <c r="F55">
        <v>2</v>
      </c>
      <c r="G55">
        <v>8</v>
      </c>
      <c r="H55">
        <v>1424.97</v>
      </c>
      <c r="I55" s="17">
        <v>8.2083999999999993</v>
      </c>
      <c r="J55" s="142"/>
      <c r="K55" s="144"/>
      <c r="M55" t="s">
        <v>59</v>
      </c>
      <c r="N55">
        <v>0</v>
      </c>
      <c r="O55" t="s">
        <v>16</v>
      </c>
      <c r="P55">
        <v>25984</v>
      </c>
      <c r="Q55">
        <v>128</v>
      </c>
      <c r="R55">
        <v>2</v>
      </c>
      <c r="S55">
        <v>8</v>
      </c>
      <c r="T55">
        <v>369.34</v>
      </c>
      <c r="U55" s="17">
        <v>31.669</v>
      </c>
      <c r="V55" s="142"/>
      <c r="W55" s="33">
        <v>45094</v>
      </c>
      <c r="X55" s="37">
        <v>4.0092592592592589E-2</v>
      </c>
    </row>
    <row r="56" spans="1:24" x14ac:dyDescent="0.25">
      <c r="A56" t="s">
        <v>58</v>
      </c>
      <c r="B56">
        <v>4</v>
      </c>
      <c r="C56" t="s">
        <v>16</v>
      </c>
      <c r="D56">
        <v>25984</v>
      </c>
      <c r="E56">
        <v>128</v>
      </c>
      <c r="F56">
        <v>2</v>
      </c>
      <c r="G56">
        <v>8</v>
      </c>
      <c r="H56">
        <v>1424.2</v>
      </c>
      <c r="I56" s="17">
        <v>8.2127999999999997</v>
      </c>
      <c r="J56" s="142"/>
      <c r="K56" s="144"/>
      <c r="M56" t="s">
        <v>59</v>
      </c>
      <c r="N56">
        <v>1</v>
      </c>
      <c r="O56" t="s">
        <v>16</v>
      </c>
      <c r="P56">
        <v>25984</v>
      </c>
      <c r="Q56">
        <v>128</v>
      </c>
      <c r="R56">
        <v>2</v>
      </c>
      <c r="S56">
        <v>8</v>
      </c>
      <c r="T56">
        <v>370.04</v>
      </c>
      <c r="U56" s="17">
        <v>31.61</v>
      </c>
      <c r="V56" s="142"/>
      <c r="W56" s="33">
        <v>45094</v>
      </c>
      <c r="X56" s="37">
        <v>4.4537037037037042E-2</v>
      </c>
    </row>
    <row r="57" spans="1:24" x14ac:dyDescent="0.25">
      <c r="A57" t="s">
        <v>60</v>
      </c>
      <c r="B57">
        <v>1</v>
      </c>
      <c r="C57" t="s">
        <v>16</v>
      </c>
      <c r="D57">
        <v>25984</v>
      </c>
      <c r="E57">
        <v>128</v>
      </c>
      <c r="F57">
        <v>2</v>
      </c>
      <c r="G57">
        <v>8</v>
      </c>
      <c r="H57">
        <v>1425.14</v>
      </c>
      <c r="I57" s="17">
        <v>8.2073999999999998</v>
      </c>
      <c r="J57" s="142">
        <f t="shared" ref="J57" si="32">AVERAGE(I57:I60)</f>
        <v>8.2075500000000012</v>
      </c>
      <c r="K57" s="144" t="str">
        <f>A57</f>
        <v>optimized-small-arch-tune-flags-taskset</v>
      </c>
      <c r="M57" t="s">
        <v>59</v>
      </c>
      <c r="N57">
        <v>2</v>
      </c>
      <c r="O57" t="s">
        <v>16</v>
      </c>
      <c r="P57">
        <v>25984</v>
      </c>
      <c r="Q57">
        <v>128</v>
      </c>
      <c r="R57">
        <v>2</v>
      </c>
      <c r="S57">
        <v>8</v>
      </c>
      <c r="T57">
        <v>369.8</v>
      </c>
      <c r="U57" s="17">
        <v>31.629000000000001</v>
      </c>
      <c r="V57" s="142">
        <f t="shared" ref="V57" si="33">AVERAGE(U57:U60)</f>
        <v>31.432000000000002</v>
      </c>
      <c r="W57" s="33">
        <v>45094</v>
      </c>
      <c r="X57" s="37">
        <v>4.898148148148148E-2</v>
      </c>
    </row>
    <row r="58" spans="1:24" x14ac:dyDescent="0.25">
      <c r="A58" t="s">
        <v>60</v>
      </c>
      <c r="B58">
        <v>2</v>
      </c>
      <c r="C58" t="s">
        <v>16</v>
      </c>
      <c r="D58">
        <v>25984</v>
      </c>
      <c r="E58">
        <v>128</v>
      </c>
      <c r="F58">
        <v>2</v>
      </c>
      <c r="G58">
        <v>8</v>
      </c>
      <c r="H58">
        <v>1424.35</v>
      </c>
      <c r="I58" s="17">
        <v>8.2119999999999997</v>
      </c>
      <c r="J58" s="142"/>
      <c r="K58" s="144"/>
      <c r="M58" t="s">
        <v>59</v>
      </c>
      <c r="N58">
        <v>3</v>
      </c>
      <c r="O58" t="s">
        <v>16</v>
      </c>
      <c r="P58">
        <v>25984</v>
      </c>
      <c r="Q58">
        <v>128</v>
      </c>
      <c r="R58">
        <v>2</v>
      </c>
      <c r="S58">
        <v>8</v>
      </c>
      <c r="T58">
        <v>370.01</v>
      </c>
      <c r="U58" s="17">
        <v>31.611999999999998</v>
      </c>
      <c r="V58" s="142"/>
      <c r="W58" s="33">
        <v>45094</v>
      </c>
      <c r="X58" s="37">
        <v>5.3437499999999999E-2</v>
      </c>
    </row>
    <row r="59" spans="1:24" x14ac:dyDescent="0.25">
      <c r="A59" t="s">
        <v>60</v>
      </c>
      <c r="B59">
        <v>3</v>
      </c>
      <c r="C59" t="s">
        <v>16</v>
      </c>
      <c r="D59">
        <v>25984</v>
      </c>
      <c r="E59">
        <v>128</v>
      </c>
      <c r="F59">
        <v>2</v>
      </c>
      <c r="G59">
        <v>8</v>
      </c>
      <c r="H59">
        <v>1425.07</v>
      </c>
      <c r="I59" s="17">
        <v>8.2078000000000007</v>
      </c>
      <c r="J59" s="142"/>
      <c r="K59" s="144"/>
      <c r="M59" t="s">
        <v>59</v>
      </c>
      <c r="N59">
        <v>4</v>
      </c>
      <c r="O59" t="s">
        <v>16</v>
      </c>
      <c r="P59">
        <v>25984</v>
      </c>
      <c r="Q59">
        <v>128</v>
      </c>
      <c r="R59">
        <v>2</v>
      </c>
      <c r="S59">
        <v>8</v>
      </c>
      <c r="T59">
        <v>369.74</v>
      </c>
      <c r="U59" s="17">
        <v>31.635000000000002</v>
      </c>
      <c r="V59" s="142"/>
      <c r="W59" s="33">
        <v>45094</v>
      </c>
      <c r="X59" s="37">
        <v>5.7881944444444444E-2</v>
      </c>
    </row>
    <row r="60" spans="1:24" x14ac:dyDescent="0.25">
      <c r="A60" t="s">
        <v>60</v>
      </c>
      <c r="B60">
        <v>4</v>
      </c>
      <c r="C60" t="s">
        <v>16</v>
      </c>
      <c r="D60">
        <v>25984</v>
      </c>
      <c r="E60">
        <v>128</v>
      </c>
      <c r="F60">
        <v>2</v>
      </c>
      <c r="G60">
        <v>8</v>
      </c>
      <c r="H60">
        <v>1425.91</v>
      </c>
      <c r="I60" s="17">
        <v>8.2029999999999994</v>
      </c>
      <c r="J60" s="142"/>
      <c r="K60" s="144"/>
      <c r="M60" t="s">
        <v>61</v>
      </c>
      <c r="N60">
        <v>0</v>
      </c>
      <c r="O60" t="s">
        <v>16</v>
      </c>
      <c r="P60">
        <v>25984</v>
      </c>
      <c r="Q60">
        <v>128</v>
      </c>
      <c r="R60">
        <v>2</v>
      </c>
      <c r="S60">
        <v>8</v>
      </c>
      <c r="T60">
        <v>379.13</v>
      </c>
      <c r="U60" s="17">
        <v>30.852</v>
      </c>
      <c r="V60" s="142"/>
      <c r="W60" s="33">
        <v>45094</v>
      </c>
      <c r="X60" s="37">
        <v>6.2407407407407411E-2</v>
      </c>
    </row>
    <row r="61" spans="1:24" x14ac:dyDescent="0.25">
      <c r="A61" t="s">
        <v>38</v>
      </c>
      <c r="B61">
        <v>1</v>
      </c>
      <c r="C61" t="s">
        <v>16</v>
      </c>
      <c r="D61">
        <v>25984</v>
      </c>
      <c r="E61">
        <v>128</v>
      </c>
      <c r="F61">
        <v>2</v>
      </c>
      <c r="G61">
        <v>8</v>
      </c>
      <c r="H61">
        <v>1390.17</v>
      </c>
      <c r="I61" s="17">
        <v>8.4138999999999999</v>
      </c>
      <c r="J61" s="142">
        <f t="shared" ref="J61" si="34">AVERAGE(I61:I64)</f>
        <v>8.4160500000000003</v>
      </c>
      <c r="K61" s="144" t="str">
        <f t="shared" ref="K61" si="35">A61</f>
        <v>optimized-small</v>
      </c>
      <c r="M61" t="s">
        <v>61</v>
      </c>
      <c r="N61">
        <v>1</v>
      </c>
      <c r="O61" t="s">
        <v>16</v>
      </c>
      <c r="P61">
        <v>25984</v>
      </c>
      <c r="Q61">
        <v>128</v>
      </c>
      <c r="R61">
        <v>2</v>
      </c>
      <c r="S61">
        <v>8</v>
      </c>
      <c r="T61">
        <v>379.13</v>
      </c>
      <c r="U61" s="17">
        <v>30.852</v>
      </c>
      <c r="V61" s="142">
        <f t="shared" ref="V61" si="36">AVERAGE(U61:U64)</f>
        <v>30.869250000000001</v>
      </c>
      <c r="W61" s="33">
        <v>45094</v>
      </c>
      <c r="X61" s="37">
        <v>6.6932870370370365E-2</v>
      </c>
    </row>
    <row r="62" spans="1:24" x14ac:dyDescent="0.25">
      <c r="A62" t="s">
        <v>38</v>
      </c>
      <c r="B62">
        <v>2</v>
      </c>
      <c r="C62" t="s">
        <v>16</v>
      </c>
      <c r="D62">
        <v>25984</v>
      </c>
      <c r="E62">
        <v>128</v>
      </c>
      <c r="F62">
        <v>2</v>
      </c>
      <c r="G62">
        <v>8</v>
      </c>
      <c r="H62">
        <v>1389.88</v>
      </c>
      <c r="I62" s="17">
        <v>8.4156999999999993</v>
      </c>
      <c r="J62" s="142"/>
      <c r="K62" s="144"/>
      <c r="M62" t="s">
        <v>61</v>
      </c>
      <c r="N62">
        <v>2</v>
      </c>
      <c r="O62" t="s">
        <v>16</v>
      </c>
      <c r="P62">
        <v>25984</v>
      </c>
      <c r="Q62">
        <v>128</v>
      </c>
      <c r="R62">
        <v>2</v>
      </c>
      <c r="S62">
        <v>8</v>
      </c>
      <c r="T62">
        <v>379.07</v>
      </c>
      <c r="U62" s="17">
        <v>30.856000000000002</v>
      </c>
      <c r="V62" s="142"/>
      <c r="W62" s="33">
        <v>45094</v>
      </c>
      <c r="X62" s="37">
        <v>7.1469907407407399E-2</v>
      </c>
    </row>
    <row r="63" spans="1:24" x14ac:dyDescent="0.25">
      <c r="A63" t="s">
        <v>38</v>
      </c>
      <c r="B63">
        <v>3</v>
      </c>
      <c r="C63" t="s">
        <v>16</v>
      </c>
      <c r="D63">
        <v>25984</v>
      </c>
      <c r="E63">
        <v>128</v>
      </c>
      <c r="F63">
        <v>2</v>
      </c>
      <c r="G63">
        <v>8</v>
      </c>
      <c r="H63">
        <v>1389.5</v>
      </c>
      <c r="I63" s="17">
        <v>8.4178999999999995</v>
      </c>
      <c r="J63" s="142"/>
      <c r="K63" s="144"/>
      <c r="M63" t="s">
        <v>61</v>
      </c>
      <c r="N63">
        <v>3</v>
      </c>
      <c r="O63" t="s">
        <v>16</v>
      </c>
      <c r="P63">
        <v>25984</v>
      </c>
      <c r="Q63">
        <v>128</v>
      </c>
      <c r="R63">
        <v>2</v>
      </c>
      <c r="S63">
        <v>8</v>
      </c>
      <c r="T63">
        <v>378.41</v>
      </c>
      <c r="U63" s="17">
        <v>30.91</v>
      </c>
      <c r="V63" s="142"/>
      <c r="W63" s="33">
        <v>45094</v>
      </c>
      <c r="X63" s="37">
        <v>7.5983796296296299E-2</v>
      </c>
    </row>
    <row r="64" spans="1:24" x14ac:dyDescent="0.25">
      <c r="A64" t="s">
        <v>38</v>
      </c>
      <c r="B64">
        <v>4</v>
      </c>
      <c r="C64" t="s">
        <v>16</v>
      </c>
      <c r="D64">
        <v>25984</v>
      </c>
      <c r="E64">
        <v>128</v>
      </c>
      <c r="F64">
        <v>2</v>
      </c>
      <c r="G64">
        <v>8</v>
      </c>
      <c r="H64">
        <v>1389.7</v>
      </c>
      <c r="I64" s="17">
        <v>8.4167000000000005</v>
      </c>
      <c r="J64" s="142"/>
      <c r="K64" s="144"/>
      <c r="M64" t="s">
        <v>61</v>
      </c>
      <c r="N64">
        <v>4</v>
      </c>
      <c r="O64" t="s">
        <v>16</v>
      </c>
      <c r="P64">
        <v>25984</v>
      </c>
      <c r="Q64">
        <v>128</v>
      </c>
      <c r="R64">
        <v>2</v>
      </c>
      <c r="S64">
        <v>8</v>
      </c>
      <c r="T64">
        <v>379.04</v>
      </c>
      <c r="U64" s="17">
        <v>30.859000000000002</v>
      </c>
      <c r="V64" s="142"/>
      <c r="W64" s="33">
        <v>45094</v>
      </c>
      <c r="X64" s="37">
        <v>8.0509259259259267E-2</v>
      </c>
    </row>
    <row r="65" spans="1:11" x14ac:dyDescent="0.25">
      <c r="A65" t="s">
        <v>62</v>
      </c>
      <c r="B65">
        <v>1</v>
      </c>
      <c r="C65" t="s">
        <v>16</v>
      </c>
      <c r="D65">
        <v>25984</v>
      </c>
      <c r="E65">
        <v>128</v>
      </c>
      <c r="F65">
        <v>2</v>
      </c>
      <c r="G65">
        <v>8</v>
      </c>
      <c r="H65">
        <v>358.33</v>
      </c>
      <c r="I65" s="17">
        <v>32.642000000000003</v>
      </c>
      <c r="J65" s="142">
        <f t="shared" ref="J65" si="37">AVERAGE(I65:I68)</f>
        <v>32.230500000000006</v>
      </c>
      <c r="K65" s="144" t="str">
        <f t="shared" ref="K65" si="38">A65</f>
        <v>optimized-big-noMHZ</v>
      </c>
    </row>
    <row r="66" spans="1:11" x14ac:dyDescent="0.25">
      <c r="A66" t="s">
        <v>62</v>
      </c>
      <c r="B66">
        <v>2</v>
      </c>
      <c r="C66" t="s">
        <v>16</v>
      </c>
      <c r="D66">
        <v>25984</v>
      </c>
      <c r="E66">
        <v>128</v>
      </c>
      <c r="F66">
        <v>2</v>
      </c>
      <c r="G66">
        <v>8</v>
      </c>
      <c r="H66">
        <v>364.53</v>
      </c>
      <c r="I66" s="17">
        <v>32.087000000000003</v>
      </c>
      <c r="J66" s="142"/>
      <c r="K66" s="144"/>
    </row>
    <row r="67" spans="1:11" x14ac:dyDescent="0.25">
      <c r="A67" t="s">
        <v>62</v>
      </c>
      <c r="B67">
        <v>3</v>
      </c>
      <c r="C67" t="s">
        <v>16</v>
      </c>
      <c r="D67">
        <v>25984</v>
      </c>
      <c r="E67">
        <v>128</v>
      </c>
      <c r="F67">
        <v>2</v>
      </c>
      <c r="G67">
        <v>8</v>
      </c>
      <c r="H67">
        <v>364.18</v>
      </c>
      <c r="I67" s="17">
        <v>32.118000000000002</v>
      </c>
      <c r="J67" s="142"/>
      <c r="K67" s="144"/>
    </row>
    <row r="68" spans="1:11" x14ac:dyDescent="0.25">
      <c r="A68" t="s">
        <v>62</v>
      </c>
      <c r="B68">
        <v>4</v>
      </c>
      <c r="C68" t="s">
        <v>16</v>
      </c>
      <c r="D68">
        <v>25984</v>
      </c>
      <c r="E68">
        <v>128</v>
      </c>
      <c r="F68">
        <v>2</v>
      </c>
      <c r="G68">
        <v>8</v>
      </c>
      <c r="H68">
        <v>364.67</v>
      </c>
      <c r="I68" s="17">
        <v>32.075000000000003</v>
      </c>
      <c r="J68" s="142"/>
      <c r="K68" s="144"/>
    </row>
    <row r="69" spans="1:11" x14ac:dyDescent="0.25">
      <c r="A69" t="s">
        <v>45</v>
      </c>
      <c r="B69">
        <v>1</v>
      </c>
      <c r="C69" t="s">
        <v>16</v>
      </c>
      <c r="D69">
        <v>25984</v>
      </c>
      <c r="E69">
        <v>128</v>
      </c>
      <c r="F69">
        <v>2</v>
      </c>
      <c r="G69">
        <v>8</v>
      </c>
      <c r="H69">
        <v>407.39</v>
      </c>
      <c r="I69" s="17">
        <v>28.710999999999999</v>
      </c>
      <c r="J69" s="142">
        <f t="shared" ref="J69" si="39">AVERAGE(I69:I72)</f>
        <v>28.686</v>
      </c>
      <c r="K69" s="144" t="str">
        <f t="shared" ref="K69" si="40">A69</f>
        <v>big-cpu</v>
      </c>
    </row>
    <row r="70" spans="1:11" x14ac:dyDescent="0.25">
      <c r="A70" t="s">
        <v>45</v>
      </c>
      <c r="B70">
        <v>2</v>
      </c>
      <c r="C70" t="s">
        <v>16</v>
      </c>
      <c r="D70">
        <v>25984</v>
      </c>
      <c r="E70">
        <v>128</v>
      </c>
      <c r="F70">
        <v>2</v>
      </c>
      <c r="G70">
        <v>8</v>
      </c>
      <c r="H70">
        <v>407.87</v>
      </c>
      <c r="I70" s="17">
        <v>28.678000000000001</v>
      </c>
      <c r="J70" s="142"/>
      <c r="K70" s="144"/>
    </row>
    <row r="71" spans="1:11" x14ac:dyDescent="0.25">
      <c r="A71" t="s">
        <v>45</v>
      </c>
      <c r="B71">
        <v>3</v>
      </c>
      <c r="C71" t="s">
        <v>16</v>
      </c>
      <c r="D71">
        <v>25984</v>
      </c>
      <c r="E71">
        <v>128</v>
      </c>
      <c r="F71">
        <v>2</v>
      </c>
      <c r="G71">
        <v>8</v>
      </c>
      <c r="H71">
        <v>407.82</v>
      </c>
      <c r="I71" s="17">
        <v>28.681000000000001</v>
      </c>
      <c r="J71" s="142"/>
      <c r="K71" s="144"/>
    </row>
    <row r="72" spans="1:11" x14ac:dyDescent="0.25">
      <c r="A72" t="s">
        <v>45</v>
      </c>
      <c r="B72">
        <v>4</v>
      </c>
      <c r="C72" t="s">
        <v>16</v>
      </c>
      <c r="D72">
        <v>25984</v>
      </c>
      <c r="E72">
        <v>128</v>
      </c>
      <c r="F72">
        <v>2</v>
      </c>
      <c r="G72">
        <v>8</v>
      </c>
      <c r="H72">
        <v>407.93</v>
      </c>
      <c r="I72" s="17">
        <v>28.673999999999999</v>
      </c>
      <c r="J72" s="142"/>
      <c r="K72" s="144"/>
    </row>
    <row r="73" spans="1:11" x14ac:dyDescent="0.25">
      <c r="A73" t="s">
        <v>63</v>
      </c>
      <c r="B73">
        <v>1</v>
      </c>
      <c r="C73" t="s">
        <v>16</v>
      </c>
      <c r="D73">
        <v>25984</v>
      </c>
      <c r="E73">
        <v>128</v>
      </c>
      <c r="F73">
        <v>2</v>
      </c>
      <c r="G73">
        <v>8</v>
      </c>
      <c r="H73">
        <v>1387.6</v>
      </c>
      <c r="I73" s="17">
        <v>8.4295000000000009</v>
      </c>
      <c r="J73" s="142">
        <f t="shared" ref="J73" si="41">AVERAGE(I73:I76)</f>
        <v>8.4279666666666664</v>
      </c>
      <c r="K73" s="144" t="str">
        <f t="shared" ref="K73" si="42">A73</f>
        <v>optimized-small-flags</v>
      </c>
    </row>
    <row r="74" spans="1:11" x14ac:dyDescent="0.25">
      <c r="A74" t="s">
        <v>63</v>
      </c>
      <c r="B74">
        <v>2</v>
      </c>
      <c r="C74" t="s">
        <v>16</v>
      </c>
      <c r="D74">
        <v>25984</v>
      </c>
      <c r="E74">
        <v>128</v>
      </c>
      <c r="F74">
        <v>2</v>
      </c>
      <c r="G74">
        <v>8</v>
      </c>
      <c r="H74">
        <v>1388.18</v>
      </c>
      <c r="I74" s="17">
        <v>8.4260000000000002</v>
      </c>
      <c r="J74" s="142"/>
      <c r="K74" s="144"/>
    </row>
    <row r="75" spans="1:11" x14ac:dyDescent="0.25">
      <c r="A75" t="s">
        <v>63</v>
      </c>
      <c r="B75">
        <v>3</v>
      </c>
      <c r="J75" s="142"/>
      <c r="K75" s="144"/>
    </row>
    <row r="76" spans="1:11" x14ac:dyDescent="0.25">
      <c r="A76" t="s">
        <v>63</v>
      </c>
      <c r="B76">
        <v>4</v>
      </c>
      <c r="C76" t="s">
        <v>16</v>
      </c>
      <c r="D76">
        <v>25984</v>
      </c>
      <c r="E76">
        <v>128</v>
      </c>
      <c r="F76">
        <v>2</v>
      </c>
      <c r="G76">
        <v>8</v>
      </c>
      <c r="H76">
        <v>1387.77</v>
      </c>
      <c r="I76" s="17">
        <v>8.4283999999999999</v>
      </c>
      <c r="J76" s="142"/>
      <c r="K76" s="144"/>
    </row>
    <row r="77" spans="1:11" x14ac:dyDescent="0.25">
      <c r="A77" t="s">
        <v>64</v>
      </c>
      <c r="B77">
        <v>1</v>
      </c>
      <c r="C77" t="s">
        <v>16</v>
      </c>
      <c r="D77">
        <v>25984</v>
      </c>
      <c r="E77">
        <v>128</v>
      </c>
      <c r="F77">
        <v>2</v>
      </c>
      <c r="G77">
        <v>8</v>
      </c>
      <c r="H77">
        <v>1629.81</v>
      </c>
      <c r="I77" s="17">
        <v>7.1767000000000003</v>
      </c>
      <c r="J77" s="142">
        <f t="shared" ref="J77" si="43">AVERAGE(I77:I80)</f>
        <v>7.1762749999999995</v>
      </c>
      <c r="K77" s="144" t="str">
        <f t="shared" ref="K77" si="44">A77</f>
        <v>small-cpu</v>
      </c>
    </row>
    <row r="78" spans="1:11" x14ac:dyDescent="0.25">
      <c r="A78" t="s">
        <v>64</v>
      </c>
      <c r="B78">
        <v>2</v>
      </c>
      <c r="C78" t="s">
        <v>16</v>
      </c>
      <c r="D78">
        <v>25984</v>
      </c>
      <c r="E78">
        <v>128</v>
      </c>
      <c r="F78">
        <v>2</v>
      </c>
      <c r="G78">
        <v>8</v>
      </c>
      <c r="H78">
        <v>1630.07</v>
      </c>
      <c r="I78" s="17">
        <v>7.1756000000000002</v>
      </c>
      <c r="J78" s="142"/>
      <c r="K78" s="144"/>
    </row>
    <row r="79" spans="1:11" x14ac:dyDescent="0.25">
      <c r="A79" t="s">
        <v>64</v>
      </c>
      <c r="B79">
        <v>3</v>
      </c>
      <c r="C79" t="s">
        <v>16</v>
      </c>
      <c r="D79">
        <v>25984</v>
      </c>
      <c r="E79">
        <v>128</v>
      </c>
      <c r="F79">
        <v>2</v>
      </c>
      <c r="G79">
        <v>8</v>
      </c>
      <c r="H79">
        <v>1629.42</v>
      </c>
      <c r="I79" s="17">
        <v>7.1784999999999997</v>
      </c>
      <c r="J79" s="142"/>
      <c r="K79" s="144"/>
    </row>
    <row r="80" spans="1:11" x14ac:dyDescent="0.25">
      <c r="A80" t="s">
        <v>64</v>
      </c>
      <c r="B80">
        <v>4</v>
      </c>
      <c r="C80" t="s">
        <v>16</v>
      </c>
      <c r="D80">
        <v>25984</v>
      </c>
      <c r="E80">
        <v>128</v>
      </c>
      <c r="F80">
        <v>2</v>
      </c>
      <c r="G80">
        <v>8</v>
      </c>
      <c r="H80">
        <v>1630.36</v>
      </c>
      <c r="I80" s="17">
        <v>7.1742999999999997</v>
      </c>
      <c r="J80" s="142"/>
      <c r="K80" s="144"/>
    </row>
    <row r="81" spans="25:26" ht="16.5" customHeight="1" x14ac:dyDescent="0.25">
      <c r="Y81" s="48"/>
      <c r="Z81" s="48"/>
    </row>
    <row r="82" spans="25:26" ht="16.5" customHeight="1" x14ac:dyDescent="0.25">
      <c r="Y82" s="48"/>
      <c r="Z82" s="48"/>
    </row>
    <row r="83" spans="25:26" ht="16.5" customHeight="1" x14ac:dyDescent="0.25">
      <c r="Y83" s="48"/>
      <c r="Z83" s="48"/>
    </row>
    <row r="84" spans="25:26" ht="16.5" customHeight="1" x14ac:dyDescent="0.25">
      <c r="Y84" s="48"/>
      <c r="Z84" s="48"/>
    </row>
    <row r="85" spans="25:26" ht="16.5" customHeight="1" x14ac:dyDescent="0.25">
      <c r="Y85" s="48"/>
      <c r="Z85" s="48"/>
    </row>
    <row r="86" spans="25:26" ht="16.5" customHeight="1" x14ac:dyDescent="0.25">
      <c r="Y86" s="48"/>
      <c r="Z86" s="48"/>
    </row>
    <row r="87" spans="25:26" ht="16.5" customHeight="1" x14ac:dyDescent="0.25">
      <c r="Y87" s="48"/>
      <c r="Z87" s="48"/>
    </row>
    <row r="88" spans="25:26" ht="16.5" customHeight="1" x14ac:dyDescent="0.25">
      <c r="Y88" s="48"/>
      <c r="Z88" s="48"/>
    </row>
    <row r="89" spans="25:26" ht="16.5" customHeight="1" x14ac:dyDescent="0.25">
      <c r="Y89" s="48"/>
      <c r="Z89" s="48"/>
    </row>
  </sheetData>
  <mergeCells count="60">
    <mergeCell ref="J29:J32"/>
    <mergeCell ref="J33:J36"/>
    <mergeCell ref="J37:J40"/>
    <mergeCell ref="J77:J80"/>
    <mergeCell ref="K77:K80"/>
    <mergeCell ref="J69:J72"/>
    <mergeCell ref="J41:J44"/>
    <mergeCell ref="J45:J48"/>
    <mergeCell ref="J49:J52"/>
    <mergeCell ref="J53:J56"/>
    <mergeCell ref="J57:J60"/>
    <mergeCell ref="J61:J64"/>
    <mergeCell ref="J65:J68"/>
    <mergeCell ref="K69:K72"/>
    <mergeCell ref="J73:J76"/>
    <mergeCell ref="K73:K76"/>
    <mergeCell ref="K21:K24"/>
    <mergeCell ref="K65:K68"/>
    <mergeCell ref="K25:K28"/>
    <mergeCell ref="K29:K32"/>
    <mergeCell ref="K33:K36"/>
    <mergeCell ref="K37:K40"/>
    <mergeCell ref="K41:K44"/>
    <mergeCell ref="K49:K52"/>
    <mergeCell ref="K53:K56"/>
    <mergeCell ref="K57:K60"/>
    <mergeCell ref="K61:K64"/>
    <mergeCell ref="K45:K48"/>
    <mergeCell ref="AL3:AU3"/>
    <mergeCell ref="AA3:AJ3"/>
    <mergeCell ref="K5:K8"/>
    <mergeCell ref="J9:J12"/>
    <mergeCell ref="J13:J16"/>
    <mergeCell ref="K9:K12"/>
    <mergeCell ref="K13:K16"/>
    <mergeCell ref="V49:V52"/>
    <mergeCell ref="V53:V56"/>
    <mergeCell ref="V57:V60"/>
    <mergeCell ref="V61:V64"/>
    <mergeCell ref="V25:V28"/>
    <mergeCell ref="V29:V32"/>
    <mergeCell ref="V33:V36"/>
    <mergeCell ref="V37:V40"/>
    <mergeCell ref="V41:V44"/>
    <mergeCell ref="A1:K1"/>
    <mergeCell ref="A2:K2"/>
    <mergeCell ref="M1:W1"/>
    <mergeCell ref="M2:W2"/>
    <mergeCell ref="V45:V48"/>
    <mergeCell ref="V5:V8"/>
    <mergeCell ref="V9:V12"/>
    <mergeCell ref="V13:V16"/>
    <mergeCell ref="V17:V20"/>
    <mergeCell ref="V21:V24"/>
    <mergeCell ref="J5:J8"/>
    <mergeCell ref="A3:K3"/>
    <mergeCell ref="J17:J20"/>
    <mergeCell ref="J21:J24"/>
    <mergeCell ref="J25:J28"/>
    <mergeCell ref="K17:K20"/>
  </mergeCells>
  <conditionalFormatting sqref="I5:I36">
    <cfRule type="colorScale" priority="13">
      <colorScale>
        <cfvo type="min"/>
        <cfvo type="percentile" val="50"/>
        <cfvo type="max"/>
        <color rgb="FFF8696B"/>
        <color rgb="FFFFEB84"/>
        <color rgb="FF63BE7B"/>
      </colorScale>
    </cfRule>
  </conditionalFormatting>
  <conditionalFormatting sqref="I37:I64">
    <cfRule type="colorScale" priority="12">
      <colorScale>
        <cfvo type="min"/>
        <cfvo type="percentile" val="50"/>
        <cfvo type="max"/>
        <color rgb="FFF8696B"/>
        <color rgb="FFFFEB84"/>
        <color rgb="FF63BE7B"/>
      </colorScale>
    </cfRule>
  </conditionalFormatting>
  <conditionalFormatting sqref="I65:I80">
    <cfRule type="colorScale" priority="16">
      <colorScale>
        <cfvo type="min"/>
        <cfvo type="percentile" val="50"/>
        <cfvo type="max"/>
        <color rgb="FFF8696B"/>
        <color rgb="FFFFEB84"/>
        <color rgb="FF63BE7B"/>
      </colorScale>
    </cfRule>
  </conditionalFormatting>
  <conditionalFormatting sqref="J5:J44">
    <cfRule type="colorScale" priority="6">
      <colorScale>
        <cfvo type="min"/>
        <cfvo type="percentile" val="50"/>
        <cfvo type="max"/>
        <color rgb="FFF8696B"/>
        <color rgb="FFFFEB84"/>
        <color rgb="FF63BE7B"/>
      </colorScale>
    </cfRule>
  </conditionalFormatting>
  <conditionalFormatting sqref="J45:J80">
    <cfRule type="colorScale" priority="5">
      <colorScale>
        <cfvo type="min"/>
        <cfvo type="percentile" val="50"/>
        <cfvo type="max"/>
        <color rgb="FFF8696B"/>
        <color rgb="FFFFEB84"/>
        <color rgb="FF63BE7B"/>
      </colorScale>
    </cfRule>
  </conditionalFormatting>
  <conditionalFormatting sqref="V5:V64">
    <cfRule type="colorScale" priority="1">
      <colorScale>
        <cfvo type="min"/>
        <cfvo type="percentile" val="50"/>
        <cfvo type="max"/>
        <color rgb="FFF8696B"/>
        <color rgb="FFFFEB84"/>
        <color rgb="FF63BE7B"/>
      </colorScale>
    </cfRule>
  </conditionalFormatting>
  <conditionalFormatting sqref="Y33:AK33 Y34:Z36 AJ34:AK36 AA5:AA7 L25:L36 Y25:Z32 AU25:AV36">
    <cfRule type="colorScale" priority="40">
      <colorScale>
        <cfvo type="min"/>
        <cfvo type="percentile" val="50"/>
        <cfvo type="max"/>
        <color rgb="FFF8696B"/>
        <color rgb="FFFFEB84"/>
        <color rgb="FF63BE7B"/>
      </colorScale>
    </cfRule>
  </conditionalFormatting>
  <conditionalFormatting sqref="AI5:AI16">
    <cfRule type="colorScale" priority="24">
      <colorScale>
        <cfvo type="min"/>
        <cfvo type="percentile" val="50"/>
        <cfvo type="max"/>
        <color rgb="FFF8696B"/>
        <color rgb="FFFFEB84"/>
        <color rgb="FF63BE7B"/>
      </colorScale>
    </cfRule>
  </conditionalFormatting>
  <conditionalFormatting sqref="AI17:AI32">
    <cfRule type="colorScale" priority="23">
      <colorScale>
        <cfvo type="min"/>
        <cfvo type="percentile" val="50"/>
        <cfvo type="max"/>
        <color rgb="FFF8696B"/>
        <color rgb="FFFFEB84"/>
        <color rgb="FF63BE7B"/>
      </colorScale>
    </cfRule>
  </conditionalFormatting>
  <conditionalFormatting sqref="AT5:AT36">
    <cfRule type="colorScale" priority="4">
      <colorScale>
        <cfvo type="min"/>
        <cfvo type="percentile" val="50"/>
        <cfvo type="max"/>
        <color rgb="FFF8696B"/>
        <color rgb="FFFFEB84"/>
        <color rgb="FF63BE7B"/>
      </colorScale>
    </cfRule>
  </conditionalFormatting>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5A4B5-93CF-4B8A-8DFF-B002923152E4}">
  <dimension ref="A1:Q32"/>
  <sheetViews>
    <sheetView workbookViewId="0">
      <selection activeCell="O12" sqref="O12:Q12"/>
    </sheetView>
  </sheetViews>
  <sheetFormatPr defaultRowHeight="15" x14ac:dyDescent="0.25"/>
  <cols>
    <col min="1" max="1" width="12.28515625" bestFit="1" customWidth="1"/>
    <col min="2" max="2" width="19" customWidth="1"/>
    <col min="3" max="3" width="19.28515625" customWidth="1"/>
    <col min="4" max="4" width="23.7109375" customWidth="1"/>
    <col min="5" max="5" width="12.140625" bestFit="1" customWidth="1"/>
    <col min="6" max="6" width="26.28515625" customWidth="1"/>
    <col min="7" max="7" width="10.5703125" customWidth="1"/>
    <col min="10" max="10" width="27.140625" bestFit="1" customWidth="1"/>
    <col min="11" max="11" width="18" bestFit="1" customWidth="1"/>
    <col min="12" max="12" width="31.140625" bestFit="1" customWidth="1"/>
  </cols>
  <sheetData>
    <row r="1" spans="1:17" x14ac:dyDescent="0.25">
      <c r="A1" s="7" t="s">
        <v>65</v>
      </c>
      <c r="B1" s="6" t="s">
        <v>66</v>
      </c>
      <c r="C1" s="6" t="s">
        <v>67</v>
      </c>
      <c r="D1" s="6" t="s">
        <v>68</v>
      </c>
      <c r="E1" s="6" t="s">
        <v>69</v>
      </c>
      <c r="F1" s="6" t="s">
        <v>70</v>
      </c>
      <c r="G1" s="6" t="s">
        <v>71</v>
      </c>
      <c r="H1" s="6"/>
      <c r="I1" s="6"/>
      <c r="J1" s="6" t="s">
        <v>72</v>
      </c>
      <c r="K1" t="s">
        <v>73</v>
      </c>
    </row>
    <row r="2" spans="1:17" x14ac:dyDescent="0.25">
      <c r="A2" s="7" t="s">
        <v>74</v>
      </c>
      <c r="C2" t="s">
        <v>75</v>
      </c>
      <c r="D2" t="s">
        <v>76</v>
      </c>
      <c r="E2" t="s">
        <v>76</v>
      </c>
      <c r="F2" t="s">
        <v>77</v>
      </c>
      <c r="G2" t="s">
        <v>78</v>
      </c>
      <c r="K2" t="s">
        <v>79</v>
      </c>
      <c r="L2" t="s">
        <v>80</v>
      </c>
    </row>
    <row r="3" spans="1:17" x14ac:dyDescent="0.25">
      <c r="A3" s="7" t="s">
        <v>81</v>
      </c>
      <c r="C3" t="s">
        <v>82</v>
      </c>
      <c r="D3" t="s">
        <v>83</v>
      </c>
      <c r="E3" t="s">
        <v>83</v>
      </c>
      <c r="F3" t="s">
        <v>84</v>
      </c>
      <c r="G3" t="s">
        <v>78</v>
      </c>
      <c r="J3" t="s">
        <v>85</v>
      </c>
      <c r="K3" t="s">
        <v>86</v>
      </c>
    </row>
    <row r="4" spans="1:17" x14ac:dyDescent="0.25">
      <c r="A4" s="7" t="s">
        <v>87</v>
      </c>
      <c r="C4" t="s">
        <v>82</v>
      </c>
      <c r="D4" t="s">
        <v>88</v>
      </c>
      <c r="E4" t="s">
        <v>88</v>
      </c>
      <c r="F4" t="s">
        <v>89</v>
      </c>
      <c r="G4" t="s">
        <v>78</v>
      </c>
      <c r="J4" t="s">
        <v>85</v>
      </c>
      <c r="K4" t="s">
        <v>90</v>
      </c>
      <c r="L4" t="s">
        <v>91</v>
      </c>
    </row>
    <row r="5" spans="1:17" x14ac:dyDescent="0.25">
      <c r="A5" s="147" t="s">
        <v>92</v>
      </c>
      <c r="B5" s="3" t="s">
        <v>93</v>
      </c>
      <c r="C5" t="s">
        <v>82</v>
      </c>
      <c r="D5" t="s">
        <v>83</v>
      </c>
      <c r="E5" t="s">
        <v>83</v>
      </c>
      <c r="F5" t="s">
        <v>84</v>
      </c>
      <c r="G5" t="s">
        <v>78</v>
      </c>
      <c r="J5" t="s">
        <v>85</v>
      </c>
      <c r="K5" t="s">
        <v>86</v>
      </c>
      <c r="L5" s="148" t="s">
        <v>94</v>
      </c>
    </row>
    <row r="6" spans="1:17" x14ac:dyDescent="0.25">
      <c r="A6" s="147"/>
      <c r="B6" s="3" t="s">
        <v>95</v>
      </c>
      <c r="C6" t="s">
        <v>82</v>
      </c>
      <c r="D6" t="s">
        <v>96</v>
      </c>
      <c r="E6" t="s">
        <v>96</v>
      </c>
      <c r="F6" t="s">
        <v>84</v>
      </c>
      <c r="G6" t="s">
        <v>78</v>
      </c>
      <c r="J6" t="s">
        <v>85</v>
      </c>
      <c r="K6" t="s">
        <v>86</v>
      </c>
      <c r="L6" s="148"/>
    </row>
    <row r="11" spans="1:17" ht="60" x14ac:dyDescent="0.25">
      <c r="A11" s="149" t="s">
        <v>97</v>
      </c>
      <c r="B11" s="149"/>
      <c r="C11" s="12" t="s">
        <v>98</v>
      </c>
      <c r="D11" s="12" t="s">
        <v>99</v>
      </c>
      <c r="E11" s="12" t="s">
        <v>100</v>
      </c>
      <c r="F11" s="12" t="s">
        <v>101</v>
      </c>
      <c r="G11" s="12" t="s">
        <v>102</v>
      </c>
      <c r="H11" s="12" t="s">
        <v>103</v>
      </c>
      <c r="I11" s="12" t="s">
        <v>104</v>
      </c>
      <c r="J11" s="12" t="s">
        <v>6</v>
      </c>
      <c r="K11" s="12" t="s">
        <v>7</v>
      </c>
      <c r="L11" s="12" t="s">
        <v>8</v>
      </c>
      <c r="M11" s="12" t="s">
        <v>105</v>
      </c>
      <c r="N11" s="12" t="s">
        <v>106</v>
      </c>
      <c r="O11" s="12" t="s">
        <v>107</v>
      </c>
      <c r="P11" s="12" t="s">
        <v>108</v>
      </c>
      <c r="Q11" s="12" t="s">
        <v>109</v>
      </c>
    </row>
    <row r="12" spans="1:17" x14ac:dyDescent="0.25">
      <c r="C12">
        <v>1</v>
      </c>
      <c r="D12" t="s">
        <v>92</v>
      </c>
      <c r="E12">
        <v>2042436</v>
      </c>
      <c r="F12">
        <f>$B$13*SQRT(($C12*$E12*1024)/8)</f>
        <v>12935.082416436318</v>
      </c>
      <c r="G12">
        <f>_xlfn.CEILING.MATH(F12/J12)*J12</f>
        <v>13056</v>
      </c>
      <c r="H12">
        <f>SQRT($B$13*($C12*$E12*1024)/8)</f>
        <v>14461.861788856924</v>
      </c>
      <c r="I12">
        <f>_xlfn.CEILING.MATH(H12/J12)*J12</f>
        <v>14464</v>
      </c>
      <c r="J12">
        <v>128</v>
      </c>
      <c r="K12">
        <v>2</v>
      </c>
      <c r="L12">
        <v>8</v>
      </c>
      <c r="M12">
        <f>I12-G12</f>
        <v>1408</v>
      </c>
      <c r="N12">
        <f>M12/2</f>
        <v>704</v>
      </c>
      <c r="O12">
        <f>G12</f>
        <v>13056</v>
      </c>
      <c r="P12">
        <f>_xlfn.CEILING.MATH((O12+N12)/J12)*J12</f>
        <v>13824</v>
      </c>
      <c r="Q12">
        <f>_xlfn.CEILING.MATH((P12+N12)/J12)*J12</f>
        <v>14592</v>
      </c>
    </row>
    <row r="13" spans="1:17" x14ac:dyDescent="0.25">
      <c r="A13" t="s">
        <v>110</v>
      </c>
      <c r="B13">
        <v>0.8</v>
      </c>
      <c r="C13">
        <v>4</v>
      </c>
      <c r="D13" t="s">
        <v>92</v>
      </c>
      <c r="E13">
        <v>2042436</v>
      </c>
      <c r="F13">
        <f>$B$13*SQRT(($C13*$E13*1024)/8)</f>
        <v>25870.164832872637</v>
      </c>
      <c r="G13">
        <f>_xlfn.CEILING.MATH(F13/J13)*J13</f>
        <v>25984</v>
      </c>
      <c r="H13">
        <f>SQRT($B$13*($C13*$E13*1024)/8)</f>
        <v>28923.723577713848</v>
      </c>
      <c r="I13">
        <f>_xlfn.CEILING.MATH(H13/J13)*J13</f>
        <v>28928</v>
      </c>
      <c r="J13">
        <v>128</v>
      </c>
      <c r="K13">
        <v>2</v>
      </c>
      <c r="L13">
        <v>2</v>
      </c>
      <c r="M13">
        <f>I13-G13</f>
        <v>2944</v>
      </c>
      <c r="N13">
        <f>M13/2</f>
        <v>1472</v>
      </c>
      <c r="O13">
        <f>G13</f>
        <v>25984</v>
      </c>
      <c r="P13">
        <f>_xlfn.CEILING.MATH((O13+N13)/J13)*J13</f>
        <v>27520</v>
      </c>
      <c r="Q13">
        <f>_xlfn.CEILING.MATH((P13+N13)/J13)*J13</f>
        <v>29056</v>
      </c>
    </row>
    <row r="20" spans="1:6" x14ac:dyDescent="0.25">
      <c r="A20" s="143"/>
      <c r="B20" s="143"/>
    </row>
    <row r="21" spans="1:6" ht="15" customHeight="1" x14ac:dyDescent="0.25">
      <c r="A21" s="68" t="s">
        <v>111</v>
      </c>
      <c r="B21" s="146" t="s">
        <v>112</v>
      </c>
      <c r="C21" s="146"/>
      <c r="E21" s="66" t="s">
        <v>111</v>
      </c>
      <c r="F21" s="67" t="s">
        <v>113</v>
      </c>
    </row>
    <row r="22" spans="1:6" x14ac:dyDescent="0.25">
      <c r="A22" s="68" t="s">
        <v>114</v>
      </c>
      <c r="B22" s="146" t="s">
        <v>115</v>
      </c>
      <c r="C22" s="146"/>
      <c r="E22" s="66" t="s">
        <v>116</v>
      </c>
      <c r="F22" s="67" t="s">
        <v>117</v>
      </c>
    </row>
    <row r="23" spans="1:6" x14ac:dyDescent="0.25">
      <c r="A23" s="68" t="s">
        <v>118</v>
      </c>
      <c r="B23" s="69" t="s">
        <v>119</v>
      </c>
      <c r="C23" s="69" t="s">
        <v>120</v>
      </c>
      <c r="E23" s="66" t="s">
        <v>121</v>
      </c>
      <c r="F23" s="67" t="s">
        <v>122</v>
      </c>
    </row>
    <row r="24" spans="1:6" x14ac:dyDescent="0.25">
      <c r="A24" s="68" t="s">
        <v>123</v>
      </c>
      <c r="B24" s="146" t="s">
        <v>124</v>
      </c>
      <c r="C24" s="146"/>
      <c r="E24" s="66" t="s">
        <v>125</v>
      </c>
      <c r="F24" s="67" t="s">
        <v>126</v>
      </c>
    </row>
    <row r="25" spans="1:6" x14ac:dyDescent="0.25">
      <c r="A25" s="68" t="s">
        <v>127</v>
      </c>
      <c r="B25" s="69" t="s">
        <v>128</v>
      </c>
      <c r="C25" s="69" t="s">
        <v>129</v>
      </c>
      <c r="E25" s="66" t="s">
        <v>130</v>
      </c>
      <c r="F25" s="67" t="s">
        <v>131</v>
      </c>
    </row>
    <row r="26" spans="1:6" x14ac:dyDescent="0.25">
      <c r="A26" s="68" t="s">
        <v>132</v>
      </c>
      <c r="B26" s="69" t="s">
        <v>133</v>
      </c>
      <c r="C26" s="69" t="s">
        <v>134</v>
      </c>
      <c r="E26" s="66" t="s">
        <v>135</v>
      </c>
      <c r="F26" s="67" t="s">
        <v>136</v>
      </c>
    </row>
    <row r="27" spans="1:6" ht="21" x14ac:dyDescent="0.25">
      <c r="A27" s="68" t="s">
        <v>137</v>
      </c>
      <c r="B27" s="69" t="s">
        <v>138</v>
      </c>
      <c r="C27" s="69">
        <v>2</v>
      </c>
      <c r="E27" s="66" t="s">
        <v>139</v>
      </c>
      <c r="F27" s="67" t="s">
        <v>140</v>
      </c>
    </row>
    <row r="28" spans="1:6" x14ac:dyDescent="0.25">
      <c r="A28" s="68" t="s">
        <v>141</v>
      </c>
      <c r="B28" s="69" t="s">
        <v>142</v>
      </c>
      <c r="C28" s="69" t="s">
        <v>143</v>
      </c>
    </row>
    <row r="29" spans="1:6" x14ac:dyDescent="0.25">
      <c r="A29" s="68" t="s">
        <v>144</v>
      </c>
      <c r="B29" s="146" t="s">
        <v>145</v>
      </c>
      <c r="C29" s="146"/>
    </row>
    <row r="30" spans="1:6" ht="21" x14ac:dyDescent="0.25">
      <c r="A30" s="68" t="s">
        <v>146</v>
      </c>
      <c r="B30" s="146" t="s">
        <v>147</v>
      </c>
      <c r="C30" s="146"/>
    </row>
    <row r="31" spans="1:6" ht="61.5" customHeight="1" x14ac:dyDescent="0.25">
      <c r="A31" s="68" t="s">
        <v>148</v>
      </c>
      <c r="B31" s="146" t="s">
        <v>149</v>
      </c>
      <c r="C31" s="146"/>
    </row>
    <row r="32" spans="1:6" x14ac:dyDescent="0.25">
      <c r="A32" s="68" t="s">
        <v>150</v>
      </c>
      <c r="B32" s="146">
        <v>2015</v>
      </c>
      <c r="C32" s="146"/>
    </row>
  </sheetData>
  <mergeCells count="11">
    <mergeCell ref="A5:A6"/>
    <mergeCell ref="L5:L6"/>
    <mergeCell ref="A11:B11"/>
    <mergeCell ref="A20:B20"/>
    <mergeCell ref="B21:C21"/>
    <mergeCell ref="B31:C31"/>
    <mergeCell ref="B32:C32"/>
    <mergeCell ref="B30:C30"/>
    <mergeCell ref="B22:C22"/>
    <mergeCell ref="B24:C24"/>
    <mergeCell ref="B29:C29"/>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9CB29-1A3B-42C4-A0B1-1C7B04D9111F}">
  <dimension ref="A1:CM44"/>
  <sheetViews>
    <sheetView topLeftCell="A3" zoomScale="85" zoomScaleNormal="85" workbookViewId="0">
      <selection activeCell="D33" sqref="D33"/>
    </sheetView>
  </sheetViews>
  <sheetFormatPr defaultRowHeight="15" x14ac:dyDescent="0.25"/>
  <cols>
    <col min="1" max="1" width="3" bestFit="1" customWidth="1"/>
    <col min="2" max="2" width="30.5703125" bestFit="1" customWidth="1"/>
    <col min="3" max="3" width="62.42578125" style="5" customWidth="1"/>
    <col min="4" max="4" width="39.7109375" customWidth="1"/>
    <col min="5" max="5" width="79.85546875" style="8" customWidth="1"/>
    <col min="6" max="6" width="17.5703125" bestFit="1" customWidth="1"/>
    <col min="7" max="7" width="17.5703125" customWidth="1"/>
    <col min="8" max="8" width="13.140625" style="4" customWidth="1"/>
  </cols>
  <sheetData>
    <row r="1" spans="1:16" ht="30" x14ac:dyDescent="0.25">
      <c r="A1" s="147" t="s">
        <v>151</v>
      </c>
      <c r="B1" s="147"/>
      <c r="C1" s="11" t="s">
        <v>152</v>
      </c>
      <c r="D1" s="11" t="s">
        <v>153</v>
      </c>
      <c r="E1" s="11" t="s">
        <v>154</v>
      </c>
      <c r="F1" s="12" t="s">
        <v>155</v>
      </c>
      <c r="G1" s="12" t="s">
        <v>340</v>
      </c>
      <c r="H1" s="12" t="s">
        <v>156</v>
      </c>
    </row>
    <row r="2" spans="1:16" ht="30" x14ac:dyDescent="0.25">
      <c r="A2" s="9">
        <v>1</v>
      </c>
      <c r="B2" s="9" t="s">
        <v>38</v>
      </c>
      <c r="C2" s="65" t="s">
        <v>157</v>
      </c>
      <c r="D2" s="65" t="s">
        <v>158</v>
      </c>
      <c r="E2" s="15" t="s">
        <v>158</v>
      </c>
      <c r="F2" s="9" t="s">
        <v>159</v>
      </c>
      <c r="H2" s="10"/>
      <c r="K2" t="s">
        <v>38</v>
      </c>
      <c r="P2" s="52">
        <v>2024</v>
      </c>
    </row>
    <row r="3" spans="1:16" ht="45" x14ac:dyDescent="0.25">
      <c r="A3" s="9">
        <v>2</v>
      </c>
      <c r="B3" s="9" t="s">
        <v>42</v>
      </c>
      <c r="C3" s="65" t="s">
        <v>160</v>
      </c>
      <c r="D3" s="65" t="s">
        <v>161</v>
      </c>
      <c r="E3" s="15" t="s">
        <v>162</v>
      </c>
      <c r="F3" s="9" t="s">
        <v>163</v>
      </c>
      <c r="H3" s="10"/>
      <c r="K3" t="s">
        <v>42</v>
      </c>
    </row>
    <row r="4" spans="1:16" ht="30" x14ac:dyDescent="0.25">
      <c r="A4" s="9">
        <v>3</v>
      </c>
      <c r="B4" s="9" t="s">
        <v>46</v>
      </c>
      <c r="C4" s="65" t="s">
        <v>164</v>
      </c>
      <c r="D4" s="65" t="s">
        <v>165</v>
      </c>
      <c r="E4" s="15" t="s">
        <v>165</v>
      </c>
      <c r="F4" s="9" t="s">
        <v>166</v>
      </c>
      <c r="H4" s="10" t="s">
        <v>167</v>
      </c>
      <c r="K4" t="s">
        <v>46</v>
      </c>
    </row>
    <row r="5" spans="1:16" ht="45" x14ac:dyDescent="0.25">
      <c r="A5" s="9">
        <v>4</v>
      </c>
      <c r="B5" s="9" t="s">
        <v>37</v>
      </c>
      <c r="C5" s="13" t="s">
        <v>168</v>
      </c>
      <c r="D5" s="13" t="s">
        <v>169</v>
      </c>
      <c r="E5" s="15" t="s">
        <v>170</v>
      </c>
      <c r="F5" s="9" t="s">
        <v>171</v>
      </c>
      <c r="H5" s="10" t="s">
        <v>172</v>
      </c>
      <c r="K5" t="s">
        <v>49</v>
      </c>
    </row>
    <row r="6" spans="1:16" ht="60" x14ac:dyDescent="0.25">
      <c r="A6" s="9">
        <v>5</v>
      </c>
      <c r="B6" s="9" t="s">
        <v>27</v>
      </c>
      <c r="C6" s="13" t="s">
        <v>173</v>
      </c>
      <c r="D6" s="13" t="s">
        <v>174</v>
      </c>
      <c r="E6" s="15" t="s">
        <v>175</v>
      </c>
      <c r="F6" s="9" t="s">
        <v>171</v>
      </c>
      <c r="H6" s="10" t="s">
        <v>172</v>
      </c>
      <c r="K6" t="s">
        <v>58</v>
      </c>
    </row>
    <row r="7" spans="1:16" ht="30" x14ac:dyDescent="0.25">
      <c r="A7" s="9">
        <v>6</v>
      </c>
      <c r="B7" s="9" t="s">
        <v>30</v>
      </c>
      <c r="C7" s="13" t="s">
        <v>176</v>
      </c>
      <c r="D7" s="13" t="s">
        <v>177</v>
      </c>
      <c r="E7" s="15" t="s">
        <v>177</v>
      </c>
      <c r="F7" s="9" t="s">
        <v>178</v>
      </c>
      <c r="H7" s="10"/>
      <c r="K7" t="s">
        <v>60</v>
      </c>
    </row>
    <row r="8" spans="1:16" ht="30" x14ac:dyDescent="0.25">
      <c r="A8" s="9">
        <v>7</v>
      </c>
      <c r="B8" s="9" t="s">
        <v>49</v>
      </c>
      <c r="C8" s="65" t="s">
        <v>179</v>
      </c>
      <c r="D8" s="65" t="s">
        <v>158</v>
      </c>
      <c r="E8" s="15" t="s">
        <v>180</v>
      </c>
      <c r="F8" s="9" t="s">
        <v>181</v>
      </c>
      <c r="H8" s="10"/>
      <c r="K8" t="s">
        <v>63</v>
      </c>
    </row>
    <row r="9" spans="1:16" ht="60" x14ac:dyDescent="0.25">
      <c r="A9" s="9">
        <v>8</v>
      </c>
      <c r="B9" s="9" t="s">
        <v>34</v>
      </c>
      <c r="C9" s="13" t="s">
        <v>182</v>
      </c>
      <c r="D9" s="13" t="s">
        <v>183</v>
      </c>
      <c r="E9" s="15" t="s">
        <v>184</v>
      </c>
      <c r="F9" s="9" t="s">
        <v>171</v>
      </c>
      <c r="H9" s="10" t="s">
        <v>172</v>
      </c>
      <c r="K9" t="s">
        <v>64</v>
      </c>
    </row>
    <row r="10" spans="1:16" ht="45" x14ac:dyDescent="0.25">
      <c r="A10" s="9">
        <v>9</v>
      </c>
      <c r="B10" s="29" t="s">
        <v>58</v>
      </c>
      <c r="C10" s="26" t="s">
        <v>185</v>
      </c>
      <c r="D10" s="9"/>
      <c r="E10" s="27" t="s">
        <v>186</v>
      </c>
      <c r="F10" s="9" t="s">
        <v>178</v>
      </c>
    </row>
    <row r="11" spans="1:16" x14ac:dyDescent="0.25">
      <c r="A11" s="24">
        <v>10</v>
      </c>
      <c r="B11" s="25" t="s">
        <v>48</v>
      </c>
      <c r="C11" s="26" t="s">
        <v>187</v>
      </c>
      <c r="D11" s="9" t="s">
        <v>188</v>
      </c>
      <c r="E11" s="27" t="s">
        <v>188</v>
      </c>
      <c r="F11" s="9" t="s">
        <v>166</v>
      </c>
    </row>
    <row r="12" spans="1:16" ht="30" x14ac:dyDescent="0.25">
      <c r="A12" s="9">
        <v>11</v>
      </c>
      <c r="B12" s="25" t="s">
        <v>41</v>
      </c>
      <c r="C12" s="13" t="s">
        <v>189</v>
      </c>
      <c r="D12" s="9"/>
      <c r="E12" s="15" t="s">
        <v>190</v>
      </c>
      <c r="F12" s="9" t="s">
        <v>171</v>
      </c>
    </row>
    <row r="13" spans="1:16" ht="30" x14ac:dyDescent="0.25">
      <c r="A13" s="9">
        <v>12</v>
      </c>
      <c r="B13" s="25" t="s">
        <v>44</v>
      </c>
      <c r="C13" s="13" t="s">
        <v>191</v>
      </c>
      <c r="D13" s="9"/>
      <c r="E13" s="15" t="s">
        <v>192</v>
      </c>
      <c r="F13" s="9" t="s">
        <v>181</v>
      </c>
    </row>
    <row r="14" spans="1:16" ht="30" x14ac:dyDescent="0.25">
      <c r="A14" s="9">
        <v>13</v>
      </c>
      <c r="B14" s="25" t="s">
        <v>52</v>
      </c>
      <c r="C14" s="13" t="s">
        <v>193</v>
      </c>
      <c r="D14" s="9"/>
      <c r="E14" s="15" t="s">
        <v>194</v>
      </c>
      <c r="F14" s="9" t="s">
        <v>166</v>
      </c>
    </row>
    <row r="15" spans="1:16" ht="45" x14ac:dyDescent="0.25">
      <c r="A15" s="9">
        <v>14</v>
      </c>
      <c r="B15" s="9" t="s">
        <v>63</v>
      </c>
      <c r="C15" s="13" t="s">
        <v>195</v>
      </c>
      <c r="D15" s="13"/>
      <c r="E15" s="13" t="s">
        <v>196</v>
      </c>
      <c r="F15" t="s">
        <v>181</v>
      </c>
    </row>
    <row r="16" spans="1:16" x14ac:dyDescent="0.25">
      <c r="A16" s="9">
        <v>15</v>
      </c>
      <c r="B16" s="25" t="s">
        <v>45</v>
      </c>
      <c r="C16" s="13" t="s">
        <v>197</v>
      </c>
      <c r="D16" s="13" t="s">
        <v>198</v>
      </c>
      <c r="E16" s="13" t="s">
        <v>198</v>
      </c>
      <c r="F16" t="s">
        <v>199</v>
      </c>
    </row>
    <row r="17" spans="1:91" s="28" customFormat="1" ht="30" x14ac:dyDescent="0.25">
      <c r="A17" s="9">
        <v>16</v>
      </c>
      <c r="B17" s="25" t="s">
        <v>64</v>
      </c>
      <c r="C17" s="65" t="s">
        <v>200</v>
      </c>
      <c r="D17" s="65" t="s">
        <v>201</v>
      </c>
      <c r="E17" s="13" t="s">
        <v>201</v>
      </c>
      <c r="F17" t="s">
        <v>166</v>
      </c>
      <c r="G17"/>
      <c r="H17" s="4"/>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row>
    <row r="18" spans="1:91" x14ac:dyDescent="0.25">
      <c r="A18" s="9">
        <v>17</v>
      </c>
      <c r="B18" s="25" t="s">
        <v>62</v>
      </c>
      <c r="C18" s="13" t="s">
        <v>168</v>
      </c>
      <c r="D18" s="13" t="s">
        <v>169</v>
      </c>
      <c r="E18" s="13" t="s">
        <v>169</v>
      </c>
      <c r="F18" t="s">
        <v>181</v>
      </c>
    </row>
    <row r="20" spans="1:91" x14ac:dyDescent="0.25">
      <c r="B20" s="25" t="s">
        <v>341</v>
      </c>
    </row>
    <row r="21" spans="1:91" x14ac:dyDescent="0.25">
      <c r="B21" s="5" t="s">
        <v>295</v>
      </c>
      <c r="C21" s="5" t="s">
        <v>157</v>
      </c>
      <c r="D21">
        <v>8.5284800000000001</v>
      </c>
    </row>
    <row r="22" spans="1:91" x14ac:dyDescent="0.25">
      <c r="B22" s="5" t="s">
        <v>297</v>
      </c>
      <c r="C22" s="5" t="s">
        <v>343</v>
      </c>
      <c r="D22">
        <v>5.7035200000000001</v>
      </c>
    </row>
    <row r="23" spans="1:91" x14ac:dyDescent="0.25">
      <c r="B23" s="5" t="s">
        <v>301</v>
      </c>
      <c r="C23" s="5" t="s">
        <v>347</v>
      </c>
      <c r="D23">
        <v>8.3876799999999996</v>
      </c>
    </row>
    <row r="24" spans="1:91" x14ac:dyDescent="0.25">
      <c r="B24" s="5" t="s">
        <v>296</v>
      </c>
      <c r="C24" s="5" t="s">
        <v>342</v>
      </c>
      <c r="D24">
        <v>7.2748000000000008</v>
      </c>
    </row>
    <row r="25" spans="1:91" x14ac:dyDescent="0.25">
      <c r="B25" s="5" t="s">
        <v>298</v>
      </c>
      <c r="C25" s="5" t="s">
        <v>344</v>
      </c>
      <c r="D25">
        <v>7.2752999999999997</v>
      </c>
    </row>
    <row r="26" spans="1:91" x14ac:dyDescent="0.25">
      <c r="B26" s="5" t="s">
        <v>302</v>
      </c>
      <c r="C26" s="5" t="s">
        <v>348</v>
      </c>
      <c r="D26">
        <v>8.0888400000000011</v>
      </c>
    </row>
    <row r="27" spans="1:91" x14ac:dyDescent="0.25">
      <c r="B27" s="5" t="s">
        <v>300</v>
      </c>
      <c r="C27" s="5" t="s">
        <v>346</v>
      </c>
      <c r="D27">
        <v>8.5175599999999996</v>
      </c>
    </row>
    <row r="28" spans="1:91" x14ac:dyDescent="0.25">
      <c r="B28" s="5" t="s">
        <v>64</v>
      </c>
      <c r="C28" s="5" t="s">
        <v>342</v>
      </c>
      <c r="D28">
        <v>7.2655199999999995</v>
      </c>
    </row>
    <row r="29" spans="1:91" x14ac:dyDescent="0.25">
      <c r="B29" s="5" t="s">
        <v>303</v>
      </c>
      <c r="C29" s="5" t="s">
        <v>349</v>
      </c>
      <c r="D29">
        <v>8.3857400000000002</v>
      </c>
    </row>
    <row r="30" spans="1:91" x14ac:dyDescent="0.25">
      <c r="B30" s="5" t="s">
        <v>299</v>
      </c>
      <c r="C30" s="5" t="s">
        <v>345</v>
      </c>
      <c r="D30">
        <v>8.0902599999999989</v>
      </c>
    </row>
    <row r="32" spans="1:91" x14ac:dyDescent="0.25">
      <c r="B32" s="5" t="s">
        <v>350</v>
      </c>
    </row>
    <row r="33" spans="2:3" x14ac:dyDescent="0.25">
      <c r="B33" t="s">
        <v>26</v>
      </c>
      <c r="C33" s="5" t="s">
        <v>219</v>
      </c>
    </row>
    <row r="34" spans="2:3" x14ac:dyDescent="0.25">
      <c r="B34" t="s">
        <v>32</v>
      </c>
      <c r="C34" s="5" t="s">
        <v>234</v>
      </c>
    </row>
    <row r="35" spans="2:3" x14ac:dyDescent="0.25">
      <c r="B35" t="s">
        <v>36</v>
      </c>
      <c r="C35" s="5" t="s">
        <v>236</v>
      </c>
    </row>
    <row r="36" spans="2:3" x14ac:dyDescent="0.25">
      <c r="B36" t="s">
        <v>40</v>
      </c>
      <c r="C36" s="5" t="s">
        <v>238</v>
      </c>
    </row>
    <row r="37" spans="2:3" x14ac:dyDescent="0.25">
      <c r="B37" t="s">
        <v>45</v>
      </c>
      <c r="C37" s="5" t="s">
        <v>240</v>
      </c>
    </row>
    <row r="38" spans="2:3" x14ac:dyDescent="0.25">
      <c r="B38" t="s">
        <v>51</v>
      </c>
      <c r="C38" s="5" t="s">
        <v>168</v>
      </c>
    </row>
    <row r="39" spans="2:3" x14ac:dyDescent="0.25">
      <c r="B39" t="s">
        <v>54</v>
      </c>
      <c r="C39" s="5" t="s">
        <v>243</v>
      </c>
    </row>
    <row r="40" spans="2:3" x14ac:dyDescent="0.25">
      <c r="B40" t="s">
        <v>55</v>
      </c>
      <c r="C40" s="5" t="s">
        <v>245</v>
      </c>
    </row>
    <row r="41" spans="2:3" x14ac:dyDescent="0.25">
      <c r="B41" t="s">
        <v>56</v>
      </c>
      <c r="C41" s="5" t="s">
        <v>247</v>
      </c>
    </row>
    <row r="42" spans="2:3" x14ac:dyDescent="0.25">
      <c r="B42" t="s">
        <v>57</v>
      </c>
      <c r="C42" s="5" t="s">
        <v>249</v>
      </c>
    </row>
    <row r="43" spans="2:3" x14ac:dyDescent="0.25">
      <c r="B43" t="s">
        <v>59</v>
      </c>
      <c r="C43" s="5" t="s">
        <v>251</v>
      </c>
    </row>
    <row r="44" spans="2:3" x14ac:dyDescent="0.25">
      <c r="B44" t="s">
        <v>61</v>
      </c>
      <c r="C44" s="5" t="s">
        <v>253</v>
      </c>
    </row>
  </sheetData>
  <sortState xmlns:xlrd2="http://schemas.microsoft.com/office/spreadsheetml/2017/richdata2" ref="B21:C30">
    <sortCondition ref="B21:B30"/>
    <sortCondition ref="C21:C30"/>
  </sortState>
  <mergeCells count="1">
    <mergeCell ref="A1:B1"/>
  </mergeCell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42C3B-9CE2-42F1-979D-DD3786550C7D}">
  <dimension ref="A1:O91"/>
  <sheetViews>
    <sheetView zoomScale="115" zoomScaleNormal="115" workbookViewId="0">
      <selection activeCell="D14" sqref="D14"/>
    </sheetView>
  </sheetViews>
  <sheetFormatPr defaultRowHeight="11.25" x14ac:dyDescent="0.2"/>
  <cols>
    <col min="1" max="1" width="9.140625" style="97"/>
    <col min="2" max="2" width="20.85546875" style="97" customWidth="1"/>
    <col min="3" max="3" width="56.140625" style="99" customWidth="1"/>
    <col min="4" max="4" width="36.7109375" style="99" bestFit="1" customWidth="1"/>
    <col min="5" max="5" width="18" style="100" bestFit="1" customWidth="1"/>
    <col min="6" max="6" width="15.42578125" style="97" bestFit="1" customWidth="1"/>
    <col min="7" max="7" width="11.7109375" style="97" bestFit="1" customWidth="1"/>
    <col min="8" max="8" width="13.28515625" style="97" bestFit="1" customWidth="1"/>
    <col min="9" max="9" width="15.42578125" style="97" bestFit="1" customWidth="1"/>
    <col min="10" max="10" width="14.28515625" style="97" bestFit="1" customWidth="1"/>
    <col min="11" max="11" width="13.7109375" style="97" bestFit="1" customWidth="1"/>
    <col min="12" max="12" width="14.42578125" style="97" bestFit="1" customWidth="1"/>
    <col min="13" max="13" width="31.85546875" style="101" customWidth="1"/>
    <col min="14" max="14" width="9.140625" style="97"/>
    <col min="15" max="15" width="16.140625" style="97" bestFit="1" customWidth="1"/>
    <col min="16" max="16384" width="9.140625" style="97"/>
  </cols>
  <sheetData>
    <row r="1" spans="1:15" s="76" customFormat="1" ht="63" x14ac:dyDescent="0.25">
      <c r="A1" s="150" t="s">
        <v>92</v>
      </c>
      <c r="B1" s="150"/>
      <c r="C1" s="70" t="s">
        <v>202</v>
      </c>
      <c r="D1" s="70" t="s">
        <v>153</v>
      </c>
      <c r="E1" s="70" t="s">
        <v>203</v>
      </c>
      <c r="F1" s="71" t="s">
        <v>204</v>
      </c>
      <c r="G1" s="71" t="s">
        <v>205</v>
      </c>
      <c r="H1" s="72" t="s">
        <v>206</v>
      </c>
      <c r="I1" s="73" t="s">
        <v>207</v>
      </c>
      <c r="J1" s="72" t="s">
        <v>208</v>
      </c>
      <c r="K1" s="72" t="s">
        <v>121</v>
      </c>
      <c r="L1" s="72"/>
      <c r="M1" s="74" t="s">
        <v>156</v>
      </c>
      <c r="N1" s="75"/>
      <c r="O1" s="66" t="s">
        <v>209</v>
      </c>
    </row>
    <row r="2" spans="1:15" s="78" customFormat="1" ht="22.5" x14ac:dyDescent="0.25">
      <c r="A2" s="77">
        <v>1</v>
      </c>
      <c r="B2" s="78" t="s">
        <v>38</v>
      </c>
      <c r="C2" s="79" t="s">
        <v>157</v>
      </c>
      <c r="D2" s="79" t="s">
        <v>158</v>
      </c>
      <c r="E2" s="79" t="s">
        <v>210</v>
      </c>
      <c r="F2" s="78" t="s">
        <v>181</v>
      </c>
      <c r="G2" s="78" t="s">
        <v>211</v>
      </c>
      <c r="H2" s="78" t="s">
        <v>211</v>
      </c>
      <c r="J2" s="78" t="s">
        <v>211</v>
      </c>
      <c r="K2" s="78">
        <v>1</v>
      </c>
      <c r="M2" s="80" t="s">
        <v>212</v>
      </c>
      <c r="N2" s="81"/>
      <c r="O2" s="66" t="s">
        <v>213</v>
      </c>
    </row>
    <row r="3" spans="1:15" s="78" customFormat="1" ht="33.75" x14ac:dyDescent="0.25">
      <c r="A3" s="82">
        <v>2</v>
      </c>
      <c r="B3" s="82" t="s">
        <v>42</v>
      </c>
      <c r="C3" s="83" t="s">
        <v>160</v>
      </c>
      <c r="D3" s="84" t="s">
        <v>161</v>
      </c>
      <c r="E3" s="84" t="s">
        <v>214</v>
      </c>
      <c r="F3" s="82" t="s">
        <v>181</v>
      </c>
      <c r="G3" s="82" t="s">
        <v>211</v>
      </c>
      <c r="H3" s="82"/>
      <c r="I3" s="82"/>
      <c r="J3" s="82" t="s">
        <v>211</v>
      </c>
      <c r="K3" s="82">
        <v>1</v>
      </c>
      <c r="L3" s="82"/>
      <c r="M3" s="85" t="s">
        <v>215</v>
      </c>
      <c r="N3" s="86"/>
      <c r="O3" s="66" t="s">
        <v>216</v>
      </c>
    </row>
    <row r="4" spans="1:15" s="78" customFormat="1" ht="22.5" x14ac:dyDescent="0.25">
      <c r="A4" s="77">
        <v>3</v>
      </c>
      <c r="B4" s="78" t="s">
        <v>46</v>
      </c>
      <c r="C4" s="79" t="s">
        <v>164</v>
      </c>
      <c r="D4" s="79" t="s">
        <v>165</v>
      </c>
      <c r="E4" s="87" t="s">
        <v>217</v>
      </c>
      <c r="F4" s="78" t="s">
        <v>166</v>
      </c>
      <c r="G4" s="78" t="s">
        <v>211</v>
      </c>
      <c r="H4" s="78" t="s">
        <v>211</v>
      </c>
      <c r="J4" s="78" t="s">
        <v>211</v>
      </c>
      <c r="K4" s="78">
        <v>1</v>
      </c>
      <c r="M4" s="80" t="s">
        <v>212</v>
      </c>
      <c r="N4" s="67"/>
      <c r="O4" s="66" t="s">
        <v>218</v>
      </c>
    </row>
    <row r="5" spans="1:15" s="78" customFormat="1" ht="67.5" x14ac:dyDescent="0.25">
      <c r="A5" s="77">
        <v>4</v>
      </c>
      <c r="B5" s="78" t="s">
        <v>37</v>
      </c>
      <c r="C5" s="79" t="s">
        <v>219</v>
      </c>
      <c r="D5" s="79" t="s">
        <v>169</v>
      </c>
      <c r="E5" s="79" t="s">
        <v>220</v>
      </c>
      <c r="F5" s="78" t="s">
        <v>171</v>
      </c>
      <c r="G5" s="78" t="s">
        <v>211</v>
      </c>
      <c r="J5" s="78" t="s">
        <v>211</v>
      </c>
      <c r="K5" s="78">
        <v>2</v>
      </c>
      <c r="M5" s="80" t="s">
        <v>221</v>
      </c>
      <c r="N5" s="88"/>
      <c r="O5" s="68" t="s">
        <v>222</v>
      </c>
    </row>
    <row r="6" spans="1:15" s="78" customFormat="1" ht="33.75" x14ac:dyDescent="0.25">
      <c r="A6" s="82">
        <v>5</v>
      </c>
      <c r="B6" s="82" t="s">
        <v>27</v>
      </c>
      <c r="C6" s="83" t="s">
        <v>173</v>
      </c>
      <c r="D6" s="89" t="s">
        <v>174</v>
      </c>
      <c r="E6" s="89"/>
      <c r="F6" s="90" t="s">
        <v>171</v>
      </c>
      <c r="G6" s="90" t="s">
        <v>211</v>
      </c>
      <c r="H6" s="90" t="s">
        <v>211</v>
      </c>
      <c r="I6" s="90"/>
      <c r="J6" s="90" t="s">
        <v>211</v>
      </c>
      <c r="K6" s="90">
        <v>2</v>
      </c>
      <c r="L6" s="90"/>
      <c r="M6" s="91" t="s">
        <v>223</v>
      </c>
    </row>
    <row r="7" spans="1:15" s="78" customFormat="1" ht="22.5" x14ac:dyDescent="0.25">
      <c r="A7" s="77">
        <v>6</v>
      </c>
      <c r="B7" s="92" t="s">
        <v>30</v>
      </c>
      <c r="C7" s="93" t="s">
        <v>224</v>
      </c>
      <c r="D7" s="79" t="s">
        <v>177</v>
      </c>
      <c r="E7" s="87" t="s">
        <v>217</v>
      </c>
      <c r="F7" s="78" t="s">
        <v>171</v>
      </c>
      <c r="G7" s="78" t="s">
        <v>211</v>
      </c>
      <c r="H7" s="78" t="s">
        <v>211</v>
      </c>
      <c r="J7" s="78" t="s">
        <v>211</v>
      </c>
      <c r="K7" s="78">
        <v>1</v>
      </c>
      <c r="M7" s="80"/>
    </row>
    <row r="8" spans="1:15" s="78" customFormat="1" ht="33.75" x14ac:dyDescent="0.2">
      <c r="A8" s="82">
        <v>7</v>
      </c>
      <c r="B8" s="82" t="s">
        <v>49</v>
      </c>
      <c r="C8" s="83" t="s">
        <v>179</v>
      </c>
      <c r="D8" s="94" t="s">
        <v>158</v>
      </c>
      <c r="E8" s="95" t="s">
        <v>214</v>
      </c>
      <c r="F8" s="82" t="s">
        <v>181</v>
      </c>
      <c r="G8" s="96"/>
      <c r="H8" s="96"/>
      <c r="I8" s="96"/>
      <c r="J8" s="96" t="s">
        <v>211</v>
      </c>
      <c r="K8" s="96">
        <v>1</v>
      </c>
      <c r="L8" s="96"/>
      <c r="M8" s="85" t="s">
        <v>225</v>
      </c>
    </row>
    <row r="9" spans="1:15" s="78" customFormat="1" ht="33.75" x14ac:dyDescent="0.2">
      <c r="A9" s="77">
        <v>8</v>
      </c>
      <c r="B9" s="78" t="s">
        <v>34</v>
      </c>
      <c r="C9" s="79" t="s">
        <v>182</v>
      </c>
      <c r="D9" s="79" t="s">
        <v>183</v>
      </c>
      <c r="E9" s="79" t="s">
        <v>214</v>
      </c>
      <c r="F9" s="78" t="s">
        <v>171</v>
      </c>
      <c r="G9" s="97"/>
      <c r="H9" s="97"/>
      <c r="I9" s="97"/>
      <c r="J9" s="97" t="s">
        <v>211</v>
      </c>
      <c r="K9" s="78">
        <v>2</v>
      </c>
      <c r="L9" s="97"/>
      <c r="M9" s="80" t="s">
        <v>226</v>
      </c>
    </row>
    <row r="10" spans="1:15" s="78" customFormat="1" ht="33.75" x14ac:dyDescent="0.2">
      <c r="A10" s="78">
        <v>9</v>
      </c>
      <c r="B10" s="98" t="s">
        <v>58</v>
      </c>
      <c r="C10" s="93" t="s">
        <v>185</v>
      </c>
      <c r="D10" s="99"/>
      <c r="E10" s="100"/>
      <c r="F10" s="97" t="s">
        <v>178</v>
      </c>
      <c r="G10" s="97"/>
      <c r="H10" s="97"/>
      <c r="I10" s="97"/>
      <c r="J10" s="97"/>
      <c r="K10" s="97">
        <v>1</v>
      </c>
      <c r="L10" s="97"/>
      <c r="M10" s="80"/>
    </row>
    <row r="11" spans="1:15" s="78" customFormat="1" ht="22.5" x14ac:dyDescent="0.2">
      <c r="A11" s="77">
        <v>10</v>
      </c>
      <c r="B11" s="92" t="s">
        <v>48</v>
      </c>
      <c r="C11" s="93" t="s">
        <v>187</v>
      </c>
      <c r="D11" s="99" t="s">
        <v>188</v>
      </c>
      <c r="E11" s="87" t="s">
        <v>227</v>
      </c>
      <c r="F11" s="97" t="s">
        <v>166</v>
      </c>
      <c r="G11" s="97"/>
      <c r="H11" s="97"/>
      <c r="I11" s="97"/>
      <c r="J11" s="97"/>
      <c r="K11" s="97">
        <v>1</v>
      </c>
      <c r="L11" s="97"/>
      <c r="M11" s="101"/>
    </row>
    <row r="12" spans="1:15" s="78" customFormat="1" ht="33.75" x14ac:dyDescent="0.2">
      <c r="A12" s="78">
        <v>11</v>
      </c>
      <c r="B12" s="92" t="s">
        <v>41</v>
      </c>
      <c r="C12" s="99" t="s">
        <v>189</v>
      </c>
      <c r="D12" s="99"/>
      <c r="E12" s="100"/>
      <c r="F12" s="97" t="s">
        <v>171</v>
      </c>
      <c r="G12" s="97"/>
      <c r="H12" s="97"/>
      <c r="I12" s="97"/>
      <c r="J12" s="97"/>
      <c r="K12" s="97">
        <v>1</v>
      </c>
      <c r="L12" s="97"/>
      <c r="M12" s="101"/>
    </row>
    <row r="13" spans="1:15" s="78" customFormat="1" ht="33.75" x14ac:dyDescent="0.2">
      <c r="A13" s="78">
        <v>12</v>
      </c>
      <c r="B13" s="92" t="s">
        <v>44</v>
      </c>
      <c r="C13" s="99" t="s">
        <v>191</v>
      </c>
      <c r="D13" s="99"/>
      <c r="E13" s="100"/>
      <c r="F13" s="97" t="s">
        <v>181</v>
      </c>
      <c r="G13" s="97"/>
      <c r="H13" s="97"/>
      <c r="I13" s="97"/>
      <c r="J13" s="97"/>
      <c r="K13" s="97">
        <v>1</v>
      </c>
      <c r="L13" s="97"/>
      <c r="M13" s="101"/>
    </row>
    <row r="14" spans="1:15" s="78" customFormat="1" ht="78.75" x14ac:dyDescent="0.2">
      <c r="A14" s="78">
        <v>13</v>
      </c>
      <c r="B14" s="92" t="s">
        <v>52</v>
      </c>
      <c r="C14" s="99" t="s">
        <v>193</v>
      </c>
      <c r="D14" s="99"/>
      <c r="E14" s="100"/>
      <c r="F14" s="97" t="s">
        <v>166</v>
      </c>
      <c r="G14" s="97"/>
      <c r="H14" s="97"/>
      <c r="I14" s="97"/>
      <c r="J14" s="97"/>
      <c r="K14" s="97">
        <v>1</v>
      </c>
      <c r="L14" s="97"/>
      <c r="M14" s="101" t="s">
        <v>228</v>
      </c>
    </row>
    <row r="15" spans="1:15" s="78" customFormat="1" ht="33.75" x14ac:dyDescent="0.2">
      <c r="A15" s="78">
        <v>14</v>
      </c>
      <c r="B15" s="78" t="s">
        <v>63</v>
      </c>
      <c r="C15" s="79" t="s">
        <v>195</v>
      </c>
      <c r="D15" s="99"/>
      <c r="E15" s="100"/>
      <c r="F15" s="97" t="s">
        <v>181</v>
      </c>
      <c r="G15" s="97"/>
      <c r="H15" s="97"/>
      <c r="I15" s="97"/>
      <c r="J15" s="97"/>
      <c r="K15" s="97">
        <v>1</v>
      </c>
      <c r="L15" s="97"/>
      <c r="M15" s="101" t="s">
        <v>229</v>
      </c>
    </row>
    <row r="16" spans="1:15" s="102" customFormat="1" ht="22.5" x14ac:dyDescent="0.2">
      <c r="A16" s="77">
        <v>15</v>
      </c>
      <c r="B16" s="92" t="s">
        <v>45</v>
      </c>
      <c r="C16" s="79" t="s">
        <v>197</v>
      </c>
      <c r="D16" s="99" t="s">
        <v>198</v>
      </c>
      <c r="E16" s="100"/>
      <c r="F16" s="97" t="s">
        <v>199</v>
      </c>
      <c r="G16" s="97"/>
      <c r="H16" s="97"/>
      <c r="I16" s="97"/>
      <c r="J16" s="97"/>
      <c r="K16" s="97"/>
      <c r="L16" s="97"/>
      <c r="M16" s="101"/>
      <c r="N16" s="78"/>
      <c r="O16" s="78"/>
    </row>
    <row r="17" spans="1:15" s="103" customFormat="1" ht="22.5" x14ac:dyDescent="0.2">
      <c r="A17" s="77">
        <v>16</v>
      </c>
      <c r="B17" s="92" t="s">
        <v>64</v>
      </c>
      <c r="C17" s="79" t="s">
        <v>200</v>
      </c>
      <c r="D17" s="99" t="s">
        <v>201</v>
      </c>
      <c r="E17" s="100"/>
      <c r="F17" s="97" t="s">
        <v>166</v>
      </c>
      <c r="G17" s="97"/>
      <c r="H17" s="97"/>
      <c r="I17" s="97"/>
      <c r="J17" s="97"/>
      <c r="K17" s="97"/>
      <c r="L17" s="97"/>
      <c r="M17" s="101"/>
      <c r="N17" s="78"/>
      <c r="O17" s="78"/>
    </row>
    <row r="18" spans="1:15" s="78" customFormat="1" ht="67.5" x14ac:dyDescent="0.2">
      <c r="A18" s="77">
        <v>17</v>
      </c>
      <c r="B18" s="92" t="s">
        <v>62</v>
      </c>
      <c r="C18" s="79" t="s">
        <v>168</v>
      </c>
      <c r="D18" s="79" t="s">
        <v>169</v>
      </c>
      <c r="E18" s="79" t="s">
        <v>230</v>
      </c>
      <c r="F18" s="97" t="s">
        <v>181</v>
      </c>
      <c r="G18" s="97"/>
      <c r="H18" s="97"/>
      <c r="I18" s="97"/>
      <c r="J18" s="97"/>
      <c r="K18" s="97"/>
      <c r="L18" s="97"/>
      <c r="M18" s="101"/>
    </row>
    <row r="19" spans="1:15" s="78" customFormat="1" x14ac:dyDescent="0.2">
      <c r="B19" s="92"/>
      <c r="C19" s="99"/>
      <c r="D19" s="99"/>
      <c r="E19" s="100"/>
      <c r="F19" s="97"/>
      <c r="G19" s="97"/>
      <c r="H19" s="97"/>
      <c r="I19" s="97"/>
      <c r="J19" s="97"/>
      <c r="K19" s="97"/>
      <c r="L19" s="97"/>
      <c r="M19" s="101"/>
    </row>
    <row r="20" spans="1:15" s="78" customFormat="1" x14ac:dyDescent="0.2">
      <c r="B20" s="151" t="s">
        <v>231</v>
      </c>
      <c r="C20" s="151"/>
      <c r="D20" s="151"/>
      <c r="E20" s="151"/>
      <c r="F20" s="97"/>
      <c r="G20" s="97"/>
      <c r="H20" s="97"/>
      <c r="I20" s="97"/>
      <c r="J20" s="97"/>
      <c r="K20" s="97"/>
      <c r="L20" s="97"/>
      <c r="M20" s="101"/>
    </row>
    <row r="21" spans="1:15" s="78" customFormat="1" x14ac:dyDescent="0.2">
      <c r="B21" s="104"/>
      <c r="C21" s="104"/>
      <c r="D21" s="152" t="s">
        <v>232</v>
      </c>
      <c r="E21" s="152"/>
      <c r="F21" s="152"/>
      <c r="G21" s="153" t="s">
        <v>286</v>
      </c>
      <c r="H21" s="153"/>
      <c r="I21" s="153"/>
      <c r="J21" s="153"/>
      <c r="K21" s="153"/>
      <c r="L21" s="153"/>
      <c r="M21" s="108"/>
      <c r="N21" s="101"/>
    </row>
    <row r="22" spans="1:15" s="78" customFormat="1" x14ac:dyDescent="0.2">
      <c r="A22" s="97"/>
      <c r="B22" s="97" t="s">
        <v>325</v>
      </c>
      <c r="C22" s="99" t="s">
        <v>326</v>
      </c>
      <c r="D22" s="107" t="s">
        <v>282</v>
      </c>
      <c r="E22" s="107" t="s">
        <v>279</v>
      </c>
      <c r="F22" s="107" t="s">
        <v>280</v>
      </c>
      <c r="G22" s="107" t="s">
        <v>227</v>
      </c>
      <c r="H22" s="107" t="s">
        <v>217</v>
      </c>
      <c r="I22" s="107" t="s">
        <v>284</v>
      </c>
      <c r="J22" s="107" t="s">
        <v>287</v>
      </c>
      <c r="K22" s="109" t="s">
        <v>281</v>
      </c>
      <c r="L22" s="110" t="s">
        <v>283</v>
      </c>
      <c r="M22" s="110" t="s">
        <v>290</v>
      </c>
      <c r="N22" s="97"/>
      <c r="O22" s="97"/>
    </row>
    <row r="23" spans="1:15" s="78" customFormat="1" x14ac:dyDescent="0.2">
      <c r="A23" s="97"/>
      <c r="B23" s="97" t="s">
        <v>26</v>
      </c>
      <c r="C23" s="99" t="s">
        <v>219</v>
      </c>
      <c r="D23" s="111" t="s">
        <v>285</v>
      </c>
      <c r="E23" s="112" t="s">
        <v>285</v>
      </c>
      <c r="F23" s="112" t="s">
        <v>285</v>
      </c>
      <c r="G23" s="112" t="s">
        <v>5</v>
      </c>
      <c r="H23" s="112" t="s">
        <v>5</v>
      </c>
      <c r="I23" s="112" t="s">
        <v>5</v>
      </c>
      <c r="J23" s="112" t="s">
        <v>5</v>
      </c>
      <c r="K23" s="112" t="s">
        <v>5</v>
      </c>
      <c r="L23" s="111" t="s">
        <v>5</v>
      </c>
      <c r="M23" s="111"/>
      <c r="N23" s="78">
        <v>36.308</v>
      </c>
      <c r="O23" s="97"/>
    </row>
    <row r="24" spans="1:15" s="78" customFormat="1" ht="22.5" x14ac:dyDescent="0.2">
      <c r="A24" s="97"/>
      <c r="B24" s="101" t="s">
        <v>32</v>
      </c>
      <c r="C24" s="101" t="s">
        <v>234</v>
      </c>
      <c r="D24" s="112" t="s">
        <v>5</v>
      </c>
      <c r="E24" s="112" t="s">
        <v>285</v>
      </c>
      <c r="F24" s="112" t="s">
        <v>285</v>
      </c>
      <c r="G24" s="112" t="s">
        <v>285</v>
      </c>
      <c r="H24" s="112" t="s">
        <v>5</v>
      </c>
      <c r="I24" s="112" t="s">
        <v>285</v>
      </c>
      <c r="J24" s="112" t="s">
        <v>5</v>
      </c>
      <c r="K24" s="112" t="s">
        <v>285</v>
      </c>
      <c r="L24" s="111" t="s">
        <v>285</v>
      </c>
      <c r="M24" s="111"/>
      <c r="N24" s="78">
        <v>32.002200000000002</v>
      </c>
      <c r="O24" s="97"/>
    </row>
    <row r="25" spans="1:15" s="78" customFormat="1" ht="22.5" x14ac:dyDescent="0.2">
      <c r="A25" s="97"/>
      <c r="B25" s="101" t="s">
        <v>36</v>
      </c>
      <c r="C25" s="101" t="s">
        <v>236</v>
      </c>
      <c r="D25" s="112" t="s">
        <v>285</v>
      </c>
      <c r="E25" s="112" t="s">
        <v>285</v>
      </c>
      <c r="F25" s="112" t="s">
        <v>5</v>
      </c>
      <c r="G25" s="112" t="s">
        <v>5</v>
      </c>
      <c r="H25" s="112" t="s">
        <v>5</v>
      </c>
      <c r="I25" s="112" t="s">
        <v>285</v>
      </c>
      <c r="J25" s="112" t="s">
        <v>5</v>
      </c>
      <c r="K25" s="112" t="s">
        <v>285</v>
      </c>
      <c r="L25" s="111" t="s">
        <v>285</v>
      </c>
      <c r="M25" s="111"/>
      <c r="N25" s="78">
        <v>33.348799999999997</v>
      </c>
      <c r="O25" s="97"/>
    </row>
    <row r="26" spans="1:15" s="78" customFormat="1" ht="22.5" x14ac:dyDescent="0.2">
      <c r="A26" s="97"/>
      <c r="B26" s="101" t="s">
        <v>40</v>
      </c>
      <c r="C26" s="101" t="s">
        <v>238</v>
      </c>
      <c r="D26" s="112" t="s">
        <v>5</v>
      </c>
      <c r="E26" s="112" t="s">
        <v>285</v>
      </c>
      <c r="F26" s="112" t="s">
        <v>285</v>
      </c>
      <c r="G26" s="112" t="s">
        <v>285</v>
      </c>
      <c r="H26" s="112" t="s">
        <v>5</v>
      </c>
      <c r="I26" s="112" t="s">
        <v>285</v>
      </c>
      <c r="J26" s="112" t="s">
        <v>5</v>
      </c>
      <c r="K26" s="112" t="s">
        <v>285</v>
      </c>
      <c r="L26" s="111" t="s">
        <v>285</v>
      </c>
      <c r="M26" s="111"/>
      <c r="N26" s="78">
        <v>32.008200000000002</v>
      </c>
      <c r="O26" s="97"/>
    </row>
    <row r="27" spans="1:15" s="78" customFormat="1" ht="22.5" x14ac:dyDescent="0.2">
      <c r="A27" s="97"/>
      <c r="B27" s="101" t="s">
        <v>45</v>
      </c>
      <c r="C27" s="101" t="s">
        <v>240</v>
      </c>
      <c r="D27" s="112" t="s">
        <v>5</v>
      </c>
      <c r="E27" s="112" t="s">
        <v>285</v>
      </c>
      <c r="F27" s="112" t="s">
        <v>285</v>
      </c>
      <c r="G27" s="112" t="s">
        <v>5</v>
      </c>
      <c r="H27" s="112" t="s">
        <v>5</v>
      </c>
      <c r="I27" s="112" t="s">
        <v>5</v>
      </c>
      <c r="J27" s="112" t="s">
        <v>285</v>
      </c>
      <c r="K27" s="112" t="s">
        <v>285</v>
      </c>
      <c r="L27" s="111" t="s">
        <v>285</v>
      </c>
      <c r="M27" s="111"/>
      <c r="N27" s="78">
        <v>31.931400000000004</v>
      </c>
      <c r="O27" s="97"/>
    </row>
    <row r="28" spans="1:15" s="78" customFormat="1" x14ac:dyDescent="0.2">
      <c r="A28" s="97"/>
      <c r="B28" s="101" t="s">
        <v>51</v>
      </c>
      <c r="C28" s="101" t="s">
        <v>168</v>
      </c>
      <c r="D28" s="112" t="s">
        <v>285</v>
      </c>
      <c r="E28" s="112" t="s">
        <v>285</v>
      </c>
      <c r="F28" s="112" t="s">
        <v>5</v>
      </c>
      <c r="G28" s="112" t="s">
        <v>5</v>
      </c>
      <c r="H28" s="112" t="s">
        <v>5</v>
      </c>
      <c r="I28" s="112" t="s">
        <v>5</v>
      </c>
      <c r="J28" s="112" t="s">
        <v>5</v>
      </c>
      <c r="K28" s="111" t="s">
        <v>5</v>
      </c>
      <c r="L28" s="111" t="s">
        <v>5</v>
      </c>
      <c r="M28" s="111"/>
      <c r="N28" s="97">
        <v>36.295000000000002</v>
      </c>
      <c r="O28" s="97"/>
    </row>
    <row r="29" spans="1:15" s="78" customFormat="1" ht="33.75" x14ac:dyDescent="0.2">
      <c r="A29" s="97"/>
      <c r="B29" s="101" t="s">
        <v>54</v>
      </c>
      <c r="C29" s="101" t="s">
        <v>243</v>
      </c>
      <c r="D29" s="112" t="s">
        <v>5</v>
      </c>
      <c r="E29" s="112" t="s">
        <v>285</v>
      </c>
      <c r="F29" s="112" t="s">
        <v>285</v>
      </c>
      <c r="G29" s="112" t="s">
        <v>5</v>
      </c>
      <c r="H29" s="112" t="s">
        <v>5</v>
      </c>
      <c r="I29" s="112" t="s">
        <v>5</v>
      </c>
      <c r="J29" s="112" t="s">
        <v>5</v>
      </c>
      <c r="K29" s="111" t="s">
        <v>285</v>
      </c>
      <c r="L29" s="111" t="s">
        <v>285</v>
      </c>
      <c r="M29" s="115" t="s">
        <v>291</v>
      </c>
      <c r="N29" s="97">
        <v>31.211199999999998</v>
      </c>
      <c r="O29" s="97"/>
    </row>
    <row r="30" spans="1:15" s="82" customFormat="1" ht="33.75" x14ac:dyDescent="0.2">
      <c r="A30" s="97"/>
      <c r="B30" s="101" t="s">
        <v>55</v>
      </c>
      <c r="C30" s="101" t="s">
        <v>245</v>
      </c>
      <c r="D30" s="112" t="s">
        <v>5</v>
      </c>
      <c r="E30" s="112" t="s">
        <v>285</v>
      </c>
      <c r="F30" s="112" t="s">
        <v>285</v>
      </c>
      <c r="G30" s="112" t="s">
        <v>285</v>
      </c>
      <c r="H30" s="112" t="s">
        <v>5</v>
      </c>
      <c r="I30" s="112" t="s">
        <v>285</v>
      </c>
      <c r="J30" s="112" t="s">
        <v>5</v>
      </c>
      <c r="K30" s="111" t="s">
        <v>285</v>
      </c>
      <c r="L30" s="111" t="s">
        <v>285</v>
      </c>
      <c r="M30" s="115" t="s">
        <v>293</v>
      </c>
      <c r="N30" s="97">
        <v>29.315999999999995</v>
      </c>
      <c r="O30" s="97"/>
    </row>
    <row r="31" spans="1:15" s="78" customFormat="1" ht="33.75" x14ac:dyDescent="0.2">
      <c r="A31" s="97"/>
      <c r="B31" s="101" t="s">
        <v>56</v>
      </c>
      <c r="C31" s="101" t="s">
        <v>247</v>
      </c>
      <c r="D31" s="112" t="s">
        <v>5</v>
      </c>
      <c r="E31" s="112" t="s">
        <v>285</v>
      </c>
      <c r="F31" s="112" t="s">
        <v>285</v>
      </c>
      <c r="G31" s="112" t="s">
        <v>5</v>
      </c>
      <c r="H31" s="112" t="s">
        <v>5</v>
      </c>
      <c r="I31" s="112" t="s">
        <v>285</v>
      </c>
      <c r="J31" s="112" t="s">
        <v>5</v>
      </c>
      <c r="K31" s="111" t="s">
        <v>285</v>
      </c>
      <c r="L31" s="111" t="s">
        <v>285</v>
      </c>
      <c r="M31" s="115" t="s">
        <v>294</v>
      </c>
      <c r="N31" s="97">
        <v>32.705999999999996</v>
      </c>
      <c r="O31" s="97"/>
    </row>
    <row r="32" spans="1:15" s="78" customFormat="1" ht="33.75" x14ac:dyDescent="0.2">
      <c r="A32" s="97"/>
      <c r="B32" s="101" t="s">
        <v>57</v>
      </c>
      <c r="C32" s="101" t="s">
        <v>249</v>
      </c>
      <c r="D32" s="112" t="s">
        <v>5</v>
      </c>
      <c r="E32" s="112" t="s">
        <v>285</v>
      </c>
      <c r="F32" s="112" t="s">
        <v>285</v>
      </c>
      <c r="G32" s="112" t="s">
        <v>5</v>
      </c>
      <c r="H32" s="112" t="s">
        <v>285</v>
      </c>
      <c r="I32" s="112" t="s">
        <v>285</v>
      </c>
      <c r="J32" s="112" t="s">
        <v>5</v>
      </c>
      <c r="K32" s="111" t="s">
        <v>285</v>
      </c>
      <c r="L32" s="111" t="s">
        <v>285</v>
      </c>
      <c r="M32" s="115" t="s">
        <v>293</v>
      </c>
      <c r="N32" s="97">
        <v>29.200400000000002</v>
      </c>
      <c r="O32" s="97"/>
    </row>
    <row r="33" spans="1:15" s="90" customFormat="1" ht="33.75" x14ac:dyDescent="0.2">
      <c r="A33" s="97"/>
      <c r="B33" s="101" t="s">
        <v>59</v>
      </c>
      <c r="C33" s="101" t="s">
        <v>251</v>
      </c>
      <c r="D33" s="112" t="s">
        <v>5</v>
      </c>
      <c r="E33" s="112" t="s">
        <v>285</v>
      </c>
      <c r="F33" s="112" t="s">
        <v>285</v>
      </c>
      <c r="G33" s="112" t="s">
        <v>5</v>
      </c>
      <c r="H33" s="112" t="s">
        <v>5</v>
      </c>
      <c r="I33" s="112" t="s">
        <v>5</v>
      </c>
      <c r="J33" s="112" t="s">
        <v>285</v>
      </c>
      <c r="K33" s="111" t="s">
        <v>285</v>
      </c>
      <c r="L33" s="111" t="s">
        <v>285</v>
      </c>
      <c r="M33" s="115" t="s">
        <v>294</v>
      </c>
      <c r="N33" s="97">
        <v>32.0792</v>
      </c>
      <c r="O33" s="97"/>
    </row>
    <row r="34" spans="1:15" s="78" customFormat="1" ht="22.5" x14ac:dyDescent="0.2">
      <c r="A34" s="97"/>
      <c r="B34" s="101" t="s">
        <v>61</v>
      </c>
      <c r="C34" s="101" t="s">
        <v>253</v>
      </c>
      <c r="D34" s="112" t="s">
        <v>5</v>
      </c>
      <c r="E34" s="112" t="s">
        <v>285</v>
      </c>
      <c r="F34" s="112" t="s">
        <v>285</v>
      </c>
      <c r="G34" s="112" t="s">
        <v>5</v>
      </c>
      <c r="H34" s="112" t="s">
        <v>5</v>
      </c>
      <c r="I34" s="112" t="s">
        <v>5</v>
      </c>
      <c r="J34" s="112" t="s">
        <v>5</v>
      </c>
      <c r="K34" s="111" t="s">
        <v>5</v>
      </c>
      <c r="L34" s="111" t="s">
        <v>285</v>
      </c>
      <c r="M34" s="115" t="s">
        <v>292</v>
      </c>
      <c r="N34" s="97">
        <v>31.273399999999999</v>
      </c>
      <c r="O34" s="97"/>
    </row>
    <row r="35" spans="1:15" s="96" customFormat="1" x14ac:dyDescent="0.2">
      <c r="A35" s="97"/>
      <c r="B35" s="101"/>
      <c r="C35" s="101"/>
      <c r="D35" s="97"/>
      <c r="E35" s="97"/>
      <c r="F35" s="97"/>
      <c r="G35" s="97"/>
      <c r="H35" s="97"/>
      <c r="I35" s="97"/>
      <c r="J35" s="97"/>
      <c r="K35" s="97"/>
      <c r="L35" s="97"/>
      <c r="M35" s="97"/>
      <c r="N35" s="97"/>
      <c r="O35" s="97"/>
    </row>
    <row r="36" spans="1:15" x14ac:dyDescent="0.2">
      <c r="B36" s="101"/>
      <c r="C36" s="101"/>
      <c r="D36" s="97"/>
      <c r="E36" s="97"/>
      <c r="M36" s="97"/>
    </row>
    <row r="37" spans="1:15" x14ac:dyDescent="0.2">
      <c r="B37" s="101"/>
      <c r="C37" s="101"/>
      <c r="D37" s="97"/>
      <c r="E37" s="97"/>
      <c r="M37" s="97"/>
    </row>
    <row r="38" spans="1:15" x14ac:dyDescent="0.2">
      <c r="B38" s="113" t="s">
        <v>26</v>
      </c>
      <c r="C38" s="105" t="s">
        <v>233</v>
      </c>
      <c r="D38" s="97">
        <f>VLOOKUP(B38,'4 node, builds'!$A$67:$B$78,2,FALSE)</f>
        <v>36.308</v>
      </c>
      <c r="E38" s="97"/>
      <c r="M38" s="97"/>
    </row>
    <row r="39" spans="1:15" ht="22.5" x14ac:dyDescent="0.2">
      <c r="B39" s="114" t="s">
        <v>32</v>
      </c>
      <c r="C39" s="106" t="s">
        <v>235</v>
      </c>
      <c r="D39" s="97">
        <f>VLOOKUP(B39,'4 node, builds'!$A$67:$B$78,2,FALSE)</f>
        <v>32.002200000000002</v>
      </c>
      <c r="E39" s="97"/>
      <c r="M39" s="97"/>
    </row>
    <row r="40" spans="1:15" x14ac:dyDescent="0.2">
      <c r="B40" s="114" t="s">
        <v>36</v>
      </c>
      <c r="C40" s="106" t="s">
        <v>237</v>
      </c>
      <c r="D40" s="97">
        <f>VLOOKUP(B40,'4 node, builds'!$A$67:$B$78,2,FALSE)</f>
        <v>33.348799999999997</v>
      </c>
      <c r="E40" s="97"/>
      <c r="M40" s="97"/>
    </row>
    <row r="41" spans="1:15" ht="22.5" x14ac:dyDescent="0.2">
      <c r="B41" s="114" t="s">
        <v>40</v>
      </c>
      <c r="C41" s="106" t="s">
        <v>239</v>
      </c>
      <c r="D41" s="97">
        <f>VLOOKUP(B41,'4 node, builds'!$A$67:$B$78,2,FALSE)</f>
        <v>32.008200000000002</v>
      </c>
      <c r="E41" s="97"/>
      <c r="M41" s="97"/>
    </row>
    <row r="42" spans="1:15" x14ac:dyDescent="0.2">
      <c r="B42" s="114" t="s">
        <v>45</v>
      </c>
      <c r="C42" s="106" t="s">
        <v>241</v>
      </c>
      <c r="D42" s="97">
        <f>VLOOKUP(B42,'4 node, builds'!$A$67:$B$78,2,FALSE)</f>
        <v>31.931400000000004</v>
      </c>
      <c r="E42" s="97"/>
      <c r="M42" s="97"/>
    </row>
    <row r="43" spans="1:15" x14ac:dyDescent="0.2">
      <c r="B43" s="114" t="s">
        <v>51</v>
      </c>
      <c r="C43" s="106" t="s">
        <v>242</v>
      </c>
      <c r="D43" s="97">
        <f>VLOOKUP(B43,'4 node, builds'!$A$67:$B$78,2,FALSE)</f>
        <v>36.295000000000002</v>
      </c>
      <c r="E43" s="97"/>
      <c r="M43" s="97"/>
    </row>
    <row r="44" spans="1:15" ht="22.5" x14ac:dyDescent="0.2">
      <c r="B44" s="114" t="s">
        <v>54</v>
      </c>
      <c r="C44" s="106" t="s">
        <v>244</v>
      </c>
      <c r="D44" s="97">
        <f>VLOOKUP(B44,'4 node, builds'!$A$67:$B$78,2,FALSE)</f>
        <v>31.211199999999998</v>
      </c>
      <c r="E44" s="97"/>
      <c r="M44" s="97"/>
    </row>
    <row r="45" spans="1:15" ht="33.75" x14ac:dyDescent="0.2">
      <c r="B45" s="114" t="s">
        <v>55</v>
      </c>
      <c r="C45" s="106" t="s">
        <v>246</v>
      </c>
      <c r="D45" s="97">
        <f>VLOOKUP(B45,'4 node, builds'!$A$67:$B$78,2,FALSE)</f>
        <v>29.315999999999995</v>
      </c>
      <c r="E45" s="97"/>
      <c r="M45" s="97"/>
    </row>
    <row r="46" spans="1:15" ht="33.75" x14ac:dyDescent="0.2">
      <c r="B46" s="114" t="s">
        <v>56</v>
      </c>
      <c r="C46" s="106" t="s">
        <v>248</v>
      </c>
      <c r="D46" s="97">
        <f>VLOOKUP(B46,'4 node, builds'!$A$67:$B$78,2,FALSE)</f>
        <v>32.705999999999996</v>
      </c>
      <c r="E46" s="97"/>
      <c r="M46" s="97"/>
    </row>
    <row r="47" spans="1:15" ht="22.5" x14ac:dyDescent="0.2">
      <c r="B47" s="114" t="s">
        <v>57</v>
      </c>
      <c r="C47" s="106" t="s">
        <v>250</v>
      </c>
      <c r="D47" s="97">
        <f>VLOOKUP(B47,'4 node, builds'!$A$67:$B$78,2,FALSE)</f>
        <v>29.200400000000002</v>
      </c>
      <c r="E47" s="97"/>
      <c r="M47" s="97"/>
    </row>
    <row r="48" spans="1:15" ht="33.75" x14ac:dyDescent="0.2">
      <c r="B48" s="114" t="s">
        <v>59</v>
      </c>
      <c r="C48" s="106" t="s">
        <v>252</v>
      </c>
      <c r="D48" s="97">
        <f>VLOOKUP(B48,'4 node, builds'!$A$67:$B$78,2,FALSE)</f>
        <v>32.0792</v>
      </c>
      <c r="E48" s="97"/>
      <c r="M48" s="97"/>
    </row>
    <row r="49" spans="1:14" ht="22.5" x14ac:dyDescent="0.2">
      <c r="B49" s="114" t="s">
        <v>61</v>
      </c>
      <c r="C49" s="106" t="s">
        <v>254</v>
      </c>
      <c r="D49" s="97">
        <f>VLOOKUP(B49,'4 node, builds'!$A$67:$B$78,2,FALSE)</f>
        <v>31.273399999999999</v>
      </c>
    </row>
    <row r="52" spans="1:14" x14ac:dyDescent="0.2">
      <c r="A52" s="78"/>
      <c r="B52" s="151" t="s">
        <v>231</v>
      </c>
      <c r="C52" s="151"/>
      <c r="D52" s="151"/>
      <c r="E52" s="151"/>
      <c r="N52" s="78"/>
    </row>
    <row r="53" spans="1:14" x14ac:dyDescent="0.2">
      <c r="A53" s="78"/>
      <c r="B53" s="104"/>
      <c r="C53" s="104"/>
      <c r="D53" s="107" t="s">
        <v>232</v>
      </c>
      <c r="E53" s="104"/>
      <c r="F53" s="108"/>
      <c r="G53" s="108" t="s">
        <v>286</v>
      </c>
      <c r="H53" s="108"/>
      <c r="I53" s="108"/>
      <c r="J53" s="108"/>
      <c r="K53" s="108"/>
      <c r="L53" s="108"/>
      <c r="M53" s="108"/>
      <c r="N53" s="101"/>
    </row>
    <row r="54" spans="1:14" ht="32.25" x14ac:dyDescent="0.2">
      <c r="D54" s="107" t="s">
        <v>304</v>
      </c>
      <c r="E54" s="107" t="s">
        <v>307</v>
      </c>
      <c r="F54" s="107" t="s">
        <v>227</v>
      </c>
      <c r="G54" s="107" t="s">
        <v>308</v>
      </c>
      <c r="H54" s="107" t="s">
        <v>309</v>
      </c>
      <c r="I54" s="109" t="s">
        <v>281</v>
      </c>
      <c r="J54" s="110" t="s">
        <v>283</v>
      </c>
      <c r="K54" s="110" t="s">
        <v>290</v>
      </c>
      <c r="M54" s="97"/>
    </row>
    <row r="55" spans="1:14" x14ac:dyDescent="0.2">
      <c r="B55" s="99" t="s">
        <v>295</v>
      </c>
      <c r="C55" s="99" t="s">
        <v>306</v>
      </c>
      <c r="D55" s="111" t="s">
        <v>285</v>
      </c>
      <c r="E55" s="112" t="s">
        <v>285</v>
      </c>
      <c r="F55" s="112" t="s">
        <v>5</v>
      </c>
      <c r="G55" s="112" t="s">
        <v>5</v>
      </c>
      <c r="H55" s="112" t="s">
        <v>5</v>
      </c>
      <c r="I55" s="112" t="s">
        <v>5</v>
      </c>
      <c r="J55" s="111" t="s">
        <v>5</v>
      </c>
      <c r="K55" s="111"/>
      <c r="L55" s="78">
        <v>8.5284800000000001</v>
      </c>
      <c r="M55" s="97"/>
    </row>
    <row r="56" spans="1:14" ht="22.5" x14ac:dyDescent="0.2">
      <c r="B56" s="99" t="s">
        <v>296</v>
      </c>
      <c r="C56" s="99" t="s">
        <v>310</v>
      </c>
      <c r="D56" s="112" t="s">
        <v>5</v>
      </c>
      <c r="E56" s="112" t="s">
        <v>285</v>
      </c>
      <c r="F56" s="112" t="s">
        <v>5</v>
      </c>
      <c r="G56" s="112" t="s">
        <v>5</v>
      </c>
      <c r="H56" s="112" t="s">
        <v>5</v>
      </c>
      <c r="I56" s="112" t="s">
        <v>285</v>
      </c>
      <c r="J56" s="111" t="s">
        <v>285</v>
      </c>
      <c r="K56" s="111"/>
      <c r="L56" s="78">
        <v>7.2748000000000008</v>
      </c>
      <c r="M56" s="97"/>
    </row>
    <row r="57" spans="1:14" ht="22.5" x14ac:dyDescent="0.2">
      <c r="B57" s="99" t="s">
        <v>297</v>
      </c>
      <c r="C57" s="99" t="s">
        <v>311</v>
      </c>
      <c r="D57" s="112" t="s">
        <v>5</v>
      </c>
      <c r="E57" s="112" t="s">
        <v>285</v>
      </c>
      <c r="F57" s="112" t="s">
        <v>285</v>
      </c>
      <c r="G57" s="112" t="s">
        <v>285</v>
      </c>
      <c r="H57" s="112" t="s">
        <v>5</v>
      </c>
      <c r="I57" s="112" t="s">
        <v>285</v>
      </c>
      <c r="J57" s="111" t="s">
        <v>285</v>
      </c>
      <c r="K57" s="111"/>
      <c r="L57" s="78">
        <v>5.7035200000000001</v>
      </c>
      <c r="M57" s="97"/>
    </row>
    <row r="58" spans="1:14" ht="22.5" x14ac:dyDescent="0.2">
      <c r="B58" s="99" t="s">
        <v>298</v>
      </c>
      <c r="C58" s="99" t="s">
        <v>305</v>
      </c>
      <c r="D58" s="112" t="s">
        <v>285</v>
      </c>
      <c r="E58" s="112" t="s">
        <v>285</v>
      </c>
      <c r="F58" s="112" t="s">
        <v>5</v>
      </c>
      <c r="G58" s="112" t="s">
        <v>285</v>
      </c>
      <c r="H58" s="112" t="s">
        <v>5</v>
      </c>
      <c r="I58" s="112" t="s">
        <v>285</v>
      </c>
      <c r="J58" s="111" t="s">
        <v>285</v>
      </c>
      <c r="K58" s="111"/>
      <c r="L58" s="78">
        <v>7.2752999999999997</v>
      </c>
      <c r="M58" s="97"/>
    </row>
    <row r="59" spans="1:14" ht="22.5" x14ac:dyDescent="0.2">
      <c r="B59" s="99" t="s">
        <v>64</v>
      </c>
      <c r="C59" s="99" t="s">
        <v>310</v>
      </c>
      <c r="D59" s="112" t="s">
        <v>5</v>
      </c>
      <c r="E59" s="112" t="s">
        <v>285</v>
      </c>
      <c r="F59" s="112" t="s">
        <v>5</v>
      </c>
      <c r="G59" s="112" t="s">
        <v>5</v>
      </c>
      <c r="H59" s="112" t="s">
        <v>285</v>
      </c>
      <c r="I59" s="112" t="s">
        <v>285</v>
      </c>
      <c r="J59" s="111" t="s">
        <v>285</v>
      </c>
      <c r="K59" s="111"/>
      <c r="L59" s="78">
        <v>7.2655199999999995</v>
      </c>
      <c r="M59" s="97"/>
    </row>
    <row r="60" spans="1:14" ht="33.75" x14ac:dyDescent="0.2">
      <c r="B60" s="99" t="s">
        <v>299</v>
      </c>
      <c r="C60" s="99" t="s">
        <v>312</v>
      </c>
      <c r="D60" s="112" t="s">
        <v>5</v>
      </c>
      <c r="E60" s="112" t="s">
        <v>285</v>
      </c>
      <c r="F60" s="112" t="s">
        <v>5</v>
      </c>
      <c r="G60" s="112" t="s">
        <v>5</v>
      </c>
      <c r="H60" s="112" t="s">
        <v>285</v>
      </c>
      <c r="I60" s="111" t="s">
        <v>5</v>
      </c>
      <c r="J60" s="111" t="s">
        <v>285</v>
      </c>
      <c r="K60" s="115" t="s">
        <v>294</v>
      </c>
      <c r="L60" s="97">
        <v>8.0902599999999989</v>
      </c>
      <c r="M60" s="97"/>
    </row>
    <row r="61" spans="1:14" ht="33.75" x14ac:dyDescent="0.2">
      <c r="B61" s="99" t="s">
        <v>300</v>
      </c>
      <c r="C61" s="99" t="s">
        <v>313</v>
      </c>
      <c r="D61" s="112" t="s">
        <v>5</v>
      </c>
      <c r="E61" s="112" t="s">
        <v>285</v>
      </c>
      <c r="F61" s="112" t="s">
        <v>5</v>
      </c>
      <c r="G61" s="112" t="s">
        <v>5</v>
      </c>
      <c r="H61" s="112" t="s">
        <v>285</v>
      </c>
      <c r="I61" s="111" t="s">
        <v>285</v>
      </c>
      <c r="J61" s="111" t="s">
        <v>285</v>
      </c>
      <c r="K61" s="115" t="s">
        <v>294</v>
      </c>
      <c r="L61" s="97">
        <v>8.5175599999999996</v>
      </c>
      <c r="M61" s="97"/>
    </row>
    <row r="62" spans="1:14" ht="33.75" x14ac:dyDescent="0.2">
      <c r="B62" s="99" t="s">
        <v>301</v>
      </c>
      <c r="C62" s="99" t="s">
        <v>314</v>
      </c>
      <c r="D62" s="112" t="s">
        <v>5</v>
      </c>
      <c r="E62" s="112" t="s">
        <v>285</v>
      </c>
      <c r="F62" s="112" t="s">
        <v>285</v>
      </c>
      <c r="G62" s="112" t="s">
        <v>285</v>
      </c>
      <c r="H62" s="112" t="s">
        <v>5</v>
      </c>
      <c r="I62" s="111" t="s">
        <v>285</v>
      </c>
      <c r="J62" s="111" t="s">
        <v>285</v>
      </c>
      <c r="K62" s="115" t="s">
        <v>294</v>
      </c>
      <c r="L62" s="97">
        <v>8.3876799999999996</v>
      </c>
      <c r="M62" s="97"/>
    </row>
    <row r="63" spans="1:14" ht="33.75" x14ac:dyDescent="0.2">
      <c r="B63" s="99" t="s">
        <v>302</v>
      </c>
      <c r="C63" s="99" t="s">
        <v>315</v>
      </c>
      <c r="D63" s="112" t="s">
        <v>5</v>
      </c>
      <c r="E63" s="112" t="s">
        <v>285</v>
      </c>
      <c r="F63" s="112" t="s">
        <v>5</v>
      </c>
      <c r="G63" s="112" t="s">
        <v>285</v>
      </c>
      <c r="H63" s="112" t="s">
        <v>5</v>
      </c>
      <c r="I63" s="111" t="s">
        <v>285</v>
      </c>
      <c r="J63" s="111" t="s">
        <v>285</v>
      </c>
      <c r="K63" s="115" t="s">
        <v>294</v>
      </c>
      <c r="L63" s="97">
        <v>8.0888400000000011</v>
      </c>
      <c r="M63" s="97"/>
    </row>
    <row r="64" spans="1:14" ht="33.75" x14ac:dyDescent="0.2">
      <c r="B64" s="99" t="s">
        <v>303</v>
      </c>
      <c r="C64" s="99" t="s">
        <v>316</v>
      </c>
      <c r="D64" s="112" t="s">
        <v>5</v>
      </c>
      <c r="E64" s="112" t="s">
        <v>285</v>
      </c>
      <c r="F64" s="112" t="s">
        <v>5</v>
      </c>
      <c r="G64" s="112" t="s">
        <v>5</v>
      </c>
      <c r="H64" s="112" t="s">
        <v>285</v>
      </c>
      <c r="I64" s="111" t="s">
        <v>285</v>
      </c>
      <c r="J64" s="111" t="s">
        <v>285</v>
      </c>
      <c r="K64" s="115" t="s">
        <v>294</v>
      </c>
      <c r="L64" s="97">
        <v>8.3857400000000002</v>
      </c>
      <c r="M64" s="97"/>
    </row>
    <row r="65" spans="2:13" x14ac:dyDescent="0.2">
      <c r="B65" s="99"/>
      <c r="D65" s="112"/>
      <c r="E65" s="112"/>
      <c r="F65" s="112"/>
      <c r="G65" s="112"/>
      <c r="H65" s="112"/>
      <c r="I65" s="112"/>
      <c r="J65" s="112"/>
      <c r="K65" s="111"/>
      <c r="L65" s="111"/>
      <c r="M65" s="115"/>
    </row>
    <row r="66" spans="2:13" x14ac:dyDescent="0.2">
      <c r="B66" s="99"/>
      <c r="D66" s="112"/>
      <c r="E66" s="112"/>
      <c r="F66" s="112"/>
      <c r="G66" s="112"/>
      <c r="H66" s="112"/>
      <c r="I66" s="112"/>
      <c r="J66" s="112"/>
      <c r="K66" s="111"/>
      <c r="L66" s="111"/>
      <c r="M66" s="115"/>
    </row>
    <row r="67" spans="2:13" x14ac:dyDescent="0.2">
      <c r="B67" s="101"/>
      <c r="C67" s="101"/>
      <c r="D67" s="97"/>
      <c r="E67" s="97"/>
      <c r="M67" s="97"/>
    </row>
    <row r="68" spans="2:13" x14ac:dyDescent="0.2">
      <c r="B68" s="101"/>
      <c r="C68" s="101"/>
      <c r="D68" s="97"/>
      <c r="E68" s="97"/>
      <c r="M68" s="97"/>
    </row>
    <row r="69" spans="2:13" x14ac:dyDescent="0.2">
      <c r="B69" s="101"/>
      <c r="C69" s="101"/>
      <c r="D69" s="97"/>
      <c r="E69" s="97"/>
      <c r="M69" s="97"/>
    </row>
    <row r="70" spans="2:13" x14ac:dyDescent="0.2">
      <c r="B70" s="114" t="s">
        <v>295</v>
      </c>
      <c r="C70" s="114" t="s">
        <v>304</v>
      </c>
      <c r="D70" s="97">
        <f>VLOOKUP(B70,'[1]933 builds'!$A$56:$B$65,2,FALSE)</f>
        <v>8.5284800000000001</v>
      </c>
      <c r="E70" s="97">
        <v>8.5284800000000001</v>
      </c>
      <c r="M70" s="97"/>
    </row>
    <row r="71" spans="2:13" x14ac:dyDescent="0.2">
      <c r="B71" s="114" t="s">
        <v>296</v>
      </c>
      <c r="C71" s="114" t="s">
        <v>318</v>
      </c>
      <c r="D71" s="97">
        <f>VLOOKUP(B71,'[1]933 builds'!$A$56:$B$65,2,FALSE)</f>
        <v>7.2748000000000008</v>
      </c>
      <c r="E71" s="97">
        <v>7.2748000000000008</v>
      </c>
      <c r="M71" s="97"/>
    </row>
    <row r="72" spans="2:13" x14ac:dyDescent="0.2">
      <c r="B72" s="114" t="s">
        <v>297</v>
      </c>
      <c r="C72" s="114" t="s">
        <v>319</v>
      </c>
      <c r="D72" s="97">
        <f>VLOOKUP(B72,'[1]933 builds'!$A$56:$B$65,2,FALSE)</f>
        <v>5.7035200000000001</v>
      </c>
      <c r="E72" s="97">
        <v>5.7035200000000001</v>
      </c>
      <c r="M72" s="97"/>
    </row>
    <row r="73" spans="2:13" x14ac:dyDescent="0.2">
      <c r="B73" s="114" t="s">
        <v>298</v>
      </c>
      <c r="C73" s="114" t="s">
        <v>317</v>
      </c>
      <c r="D73" s="97">
        <f>VLOOKUP(B73,'[1]933 builds'!$A$56:$B$65,2,FALSE)</f>
        <v>7.2752999999999997</v>
      </c>
      <c r="E73" s="97">
        <v>7.2752999999999997</v>
      </c>
      <c r="M73" s="97"/>
    </row>
    <row r="74" spans="2:13" x14ac:dyDescent="0.2">
      <c r="B74" s="114" t="s">
        <v>64</v>
      </c>
      <c r="C74" s="114" t="s">
        <v>318</v>
      </c>
      <c r="D74" s="97">
        <f>VLOOKUP(B74,'[1]933 builds'!$A$56:$B$65,2,FALSE)</f>
        <v>7.2655199999999995</v>
      </c>
      <c r="E74" s="97">
        <v>7.2655199999999995</v>
      </c>
      <c r="M74" s="97"/>
    </row>
    <row r="75" spans="2:13" ht="22.5" x14ac:dyDescent="0.2">
      <c r="B75" s="114" t="s">
        <v>299</v>
      </c>
      <c r="C75" s="114" t="s">
        <v>320</v>
      </c>
      <c r="D75" s="97">
        <f>VLOOKUP(B75,'[1]933 builds'!$A$56:$B$65,2,FALSE)</f>
        <v>8.0902599999999989</v>
      </c>
      <c r="E75" s="97">
        <v>8.0902599999999989</v>
      </c>
      <c r="M75" s="97"/>
    </row>
    <row r="76" spans="2:13" ht="22.5" x14ac:dyDescent="0.2">
      <c r="B76" s="114" t="s">
        <v>300</v>
      </c>
      <c r="C76" s="114" t="s">
        <v>321</v>
      </c>
      <c r="D76" s="97">
        <f>VLOOKUP(B76,'[1]933 builds'!$A$56:$B$65,2,FALSE)</f>
        <v>8.5175599999999996</v>
      </c>
      <c r="E76" s="97">
        <v>8.5175599999999996</v>
      </c>
      <c r="M76" s="97"/>
    </row>
    <row r="77" spans="2:13" ht="33.75" x14ac:dyDescent="0.2">
      <c r="B77" s="114" t="s">
        <v>301</v>
      </c>
      <c r="C77" s="114" t="s">
        <v>322</v>
      </c>
      <c r="D77" s="97">
        <f>VLOOKUP(B77,'[1]933 builds'!$A$56:$B$65,2,FALSE)</f>
        <v>8.3876799999999996</v>
      </c>
      <c r="E77" s="97">
        <v>8.3876799999999996</v>
      </c>
      <c r="M77" s="97"/>
    </row>
    <row r="78" spans="2:13" ht="33.75" x14ac:dyDescent="0.2">
      <c r="B78" s="114" t="s">
        <v>302</v>
      </c>
      <c r="C78" s="114" t="s">
        <v>323</v>
      </c>
      <c r="D78" s="97">
        <f>VLOOKUP(B78,'[1]933 builds'!$A$56:$B$65,2,FALSE)</f>
        <v>8.0888400000000011</v>
      </c>
      <c r="E78" s="97">
        <v>8.0888400000000011</v>
      </c>
      <c r="M78" s="97"/>
    </row>
    <row r="79" spans="2:13" ht="22.5" x14ac:dyDescent="0.2">
      <c r="B79" s="114" t="s">
        <v>303</v>
      </c>
      <c r="C79" s="114" t="s">
        <v>324</v>
      </c>
      <c r="D79" s="97">
        <f>VLOOKUP(B79,'[1]933 builds'!$A$56:$B$65,2,FALSE)</f>
        <v>8.3857400000000002</v>
      </c>
      <c r="E79" s="97">
        <v>8.3857400000000002</v>
      </c>
      <c r="M79" s="97"/>
    </row>
    <row r="82" spans="6:6" x14ac:dyDescent="0.2">
      <c r="F82" s="100"/>
    </row>
    <row r="83" spans="6:6" x14ac:dyDescent="0.2">
      <c r="F83" s="100"/>
    </row>
    <row r="84" spans="6:6" x14ac:dyDescent="0.2">
      <c r="F84" s="100"/>
    </row>
    <row r="85" spans="6:6" x14ac:dyDescent="0.2">
      <c r="F85" s="100"/>
    </row>
    <row r="86" spans="6:6" x14ac:dyDescent="0.2">
      <c r="F86" s="100"/>
    </row>
    <row r="87" spans="6:6" x14ac:dyDescent="0.2">
      <c r="F87" s="100"/>
    </row>
    <row r="88" spans="6:6" x14ac:dyDescent="0.2">
      <c r="F88" s="100"/>
    </row>
    <row r="89" spans="6:6" x14ac:dyDescent="0.2">
      <c r="F89" s="100"/>
    </row>
    <row r="90" spans="6:6" x14ac:dyDescent="0.2">
      <c r="F90" s="100"/>
    </row>
    <row r="91" spans="6:6" x14ac:dyDescent="0.2">
      <c r="F91" s="100"/>
    </row>
  </sheetData>
  <mergeCells count="5">
    <mergeCell ref="A1:B1"/>
    <mergeCell ref="B20:E20"/>
    <mergeCell ref="B52:E52"/>
    <mergeCell ref="D21:F21"/>
    <mergeCell ref="G21:L21"/>
  </mergeCells>
  <phoneticPr fontId="18" type="noConversion"/>
  <conditionalFormatting sqref="D23:M34 D55:K64 D65:M66">
    <cfRule type="cellIs" dxfId="3" priority="8" operator="equal">
      <formula>"Y"</formula>
    </cfRule>
    <cfRule type="cellIs" dxfId="2" priority="9" operator="equal">
      <formula>"N"</formula>
    </cfRule>
  </conditionalFormatting>
  <conditionalFormatting sqref="L55:L64 N65:N66">
    <cfRule type="colorScale" priority="4">
      <colorScale>
        <cfvo type="min"/>
        <cfvo type="percentile" val="50"/>
        <cfvo type="max"/>
        <color rgb="FFF8696B"/>
        <color rgb="FFFFEB84"/>
        <color rgb="FF63BE7B"/>
      </colorScale>
    </cfRule>
  </conditionalFormatting>
  <conditionalFormatting sqref="N23:N34">
    <cfRule type="colorScale" priority="7">
      <colorScale>
        <cfvo type="min"/>
        <cfvo type="percentile" val="50"/>
        <cfvo type="max"/>
        <color rgb="FFF8696B"/>
        <color rgb="FFFFEB84"/>
        <color rgb="FF63BE7B"/>
      </colorScale>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FEB9E-3A04-464B-AE8F-C6BCDE492893}">
  <dimension ref="A1:BN91"/>
  <sheetViews>
    <sheetView workbookViewId="0">
      <selection activeCell="C24" sqref="C24"/>
    </sheetView>
  </sheetViews>
  <sheetFormatPr defaultRowHeight="15" x14ac:dyDescent="0.25"/>
  <cols>
    <col min="1" max="1" width="2" bestFit="1" customWidth="1"/>
    <col min="2" max="2" width="29.42578125" bestFit="1" customWidth="1"/>
    <col min="3" max="4" width="9" bestFit="1" customWidth="1"/>
    <col min="5" max="6" width="8.85546875" bestFit="1" customWidth="1"/>
    <col min="7" max="7" width="8.42578125" bestFit="1" customWidth="1"/>
    <col min="8" max="8" width="7.42578125" bestFit="1" customWidth="1"/>
    <col min="9" max="9" width="7" bestFit="1" customWidth="1"/>
    <col min="10" max="10" width="9" bestFit="1" customWidth="1"/>
    <col min="11" max="11" width="8.140625" bestFit="1" customWidth="1"/>
    <col min="12" max="12" width="9" bestFit="1" customWidth="1"/>
    <col min="13" max="14" width="8.85546875" bestFit="1" customWidth="1"/>
    <col min="15" max="15" width="8.42578125" bestFit="1" customWidth="1"/>
    <col min="16" max="16" width="7.42578125" bestFit="1" customWidth="1"/>
    <col min="17" max="17" width="7" bestFit="1" customWidth="1"/>
    <col min="18" max="18" width="5.42578125" bestFit="1" customWidth="1"/>
    <col min="36" max="36" width="9.140625" style="2"/>
  </cols>
  <sheetData>
    <row r="1" spans="1:66" x14ac:dyDescent="0.25">
      <c r="C1" s="144" t="s">
        <v>255</v>
      </c>
      <c r="D1" s="144"/>
      <c r="E1" s="144"/>
      <c r="F1" s="144"/>
      <c r="G1" s="144"/>
      <c r="H1" s="144"/>
      <c r="I1" s="144"/>
      <c r="J1" s="144"/>
      <c r="K1" s="144"/>
      <c r="L1" s="144"/>
      <c r="M1" s="144"/>
      <c r="N1" s="144"/>
      <c r="O1" s="144"/>
      <c r="P1" s="144"/>
      <c r="Q1" s="144"/>
      <c r="R1" s="144"/>
      <c r="S1" s="144" t="s">
        <v>256</v>
      </c>
      <c r="T1" s="144"/>
      <c r="U1" s="144"/>
      <c r="V1" s="144"/>
      <c r="W1" s="144"/>
      <c r="X1" s="144"/>
      <c r="Y1" s="144"/>
      <c r="Z1" s="144"/>
      <c r="AA1" s="144"/>
      <c r="AB1" s="144"/>
      <c r="AC1" s="144"/>
      <c r="AD1" s="144"/>
      <c r="AE1" s="144"/>
      <c r="AF1" s="144"/>
      <c r="AG1" s="144"/>
      <c r="AH1" s="144"/>
    </row>
    <row r="2" spans="1:66" x14ac:dyDescent="0.25">
      <c r="C2" s="144" t="s">
        <v>257</v>
      </c>
      <c r="D2" s="144"/>
      <c r="E2" s="144"/>
      <c r="F2" s="144"/>
      <c r="G2" s="144"/>
      <c r="H2" s="144"/>
      <c r="I2" s="144"/>
      <c r="J2" s="144"/>
      <c r="K2" s="144" t="s">
        <v>258</v>
      </c>
      <c r="L2" s="144"/>
      <c r="M2" s="144"/>
      <c r="N2" s="144"/>
      <c r="O2" s="144"/>
      <c r="P2" s="144"/>
      <c r="Q2" s="144"/>
      <c r="R2" s="144"/>
      <c r="S2" s="144" t="s">
        <v>257</v>
      </c>
      <c r="T2" s="144"/>
      <c r="U2" s="144"/>
      <c r="V2" s="144"/>
      <c r="W2" s="144"/>
      <c r="X2" s="144"/>
      <c r="Y2" s="144"/>
      <c r="Z2" s="144"/>
      <c r="AA2" s="144" t="s">
        <v>258</v>
      </c>
      <c r="AB2" s="144"/>
      <c r="AC2" s="144"/>
      <c r="AD2" s="144"/>
      <c r="AE2" s="144"/>
      <c r="AF2" s="144"/>
      <c r="AG2" s="144"/>
      <c r="AH2" s="144"/>
    </row>
    <row r="3" spans="1:66" x14ac:dyDescent="0.25">
      <c r="A3" s="154"/>
      <c r="B3" s="154"/>
      <c r="C3" t="s">
        <v>259</v>
      </c>
      <c r="D3" t="s">
        <v>260</v>
      </c>
      <c r="E3" t="s">
        <v>261</v>
      </c>
      <c r="F3" t="s">
        <v>262</v>
      </c>
      <c r="G3" t="s">
        <v>263</v>
      </c>
      <c r="H3" t="s">
        <v>264</v>
      </c>
      <c r="I3" t="s">
        <v>265</v>
      </c>
      <c r="J3" t="s">
        <v>266</v>
      </c>
      <c r="K3" t="s">
        <v>259</v>
      </c>
      <c r="L3" t="s">
        <v>260</v>
      </c>
      <c r="M3" t="s">
        <v>261</v>
      </c>
      <c r="N3" t="s">
        <v>262</v>
      </c>
      <c r="O3" t="s">
        <v>263</v>
      </c>
      <c r="P3" t="s">
        <v>264</v>
      </c>
      <c r="Q3" t="s">
        <v>265</v>
      </c>
      <c r="R3" t="s">
        <v>266</v>
      </c>
      <c r="S3" t="s">
        <v>259</v>
      </c>
      <c r="T3" t="s">
        <v>260</v>
      </c>
      <c r="U3" t="s">
        <v>261</v>
      </c>
      <c r="V3" t="s">
        <v>262</v>
      </c>
      <c r="W3" t="s">
        <v>263</v>
      </c>
      <c r="X3" t="s">
        <v>264</v>
      </c>
      <c r="Y3" t="s">
        <v>265</v>
      </c>
      <c r="Z3" t="s">
        <v>266</v>
      </c>
      <c r="AA3" t="s">
        <v>259</v>
      </c>
      <c r="AB3" t="s">
        <v>260</v>
      </c>
      <c r="AC3" t="s">
        <v>261</v>
      </c>
      <c r="AD3" t="s">
        <v>262</v>
      </c>
      <c r="AE3" t="s">
        <v>263</v>
      </c>
      <c r="AF3" t="s">
        <v>264</v>
      </c>
      <c r="AG3" t="s">
        <v>265</v>
      </c>
      <c r="AH3" t="s">
        <v>266</v>
      </c>
    </row>
    <row r="14" spans="1:66" x14ac:dyDescent="0.25">
      <c r="A14" s="144" t="s">
        <v>92</v>
      </c>
      <c r="B14" s="144"/>
    </row>
    <row r="15" spans="1:66" x14ac:dyDescent="0.25">
      <c r="A15">
        <v>1</v>
      </c>
      <c r="B15" t="s">
        <v>38</v>
      </c>
      <c r="C15" cm="1">
        <f t="array" aca="1" ref="C15:J15" ca="1">TRANSPOSE((OFFSET($D$27,(ROW(K1)-1)*8,0)):(OFFSET($D$34,(ROW(K1)-1)*8,0)))</f>
        <v>264.5</v>
      </c>
      <c r="D15">
        <f ca="1"/>
        <v>186.9</v>
      </c>
      <c r="E15">
        <f ca="1"/>
        <v>181.1</v>
      </c>
      <c r="F15">
        <f ca="1"/>
        <v>179</v>
      </c>
      <c r="G15">
        <f ca="1"/>
        <v>83</v>
      </c>
      <c r="H15">
        <f ca="1"/>
        <v>77.5</v>
      </c>
      <c r="I15">
        <f ca="1"/>
        <v>64.900000000000006</v>
      </c>
      <c r="J15">
        <f ca="1"/>
        <v>49.3</v>
      </c>
      <c r="K15" cm="1">
        <f t="array" aca="1" ref="K15:R15" ca="1">TRANSPOSE((OFFSET($E$27,(ROW(L1)-1)*8,0)):(OFFSET($E$34,(ROW(L1)-1)*8,0)))</f>
        <v>246.5</v>
      </c>
      <c r="L15">
        <f ca="1"/>
        <v>200.1</v>
      </c>
      <c r="M15">
        <f ca="1"/>
        <v>166.1</v>
      </c>
      <c r="N15">
        <f ca="1"/>
        <v>188.8</v>
      </c>
      <c r="O15">
        <f ca="1"/>
        <v>77.400000000000006</v>
      </c>
      <c r="P15">
        <f ca="1"/>
        <v>70.900000000000006</v>
      </c>
      <c r="Q15">
        <f ca="1"/>
        <v>56.6</v>
      </c>
      <c r="R15">
        <f ca="1"/>
        <v>45.9</v>
      </c>
      <c r="S15" cm="1">
        <f t="array" aca="1" ref="S15:Z15" ca="1">TRANSPOSE((OFFSET($F$27,(ROW(M1)-1)*8,0)):(OFFSET($F$34,(ROW(M1)-1)*8,0)))</f>
        <v>257.3</v>
      </c>
      <c r="T15">
        <f ca="1"/>
        <v>190.2</v>
      </c>
      <c r="U15">
        <f ca="1"/>
        <v>189.9</v>
      </c>
      <c r="V15">
        <f ca="1"/>
        <v>192.3</v>
      </c>
      <c r="W15">
        <f ca="1"/>
        <v>75</v>
      </c>
      <c r="X15">
        <f ca="1"/>
        <v>119.3</v>
      </c>
      <c r="Y15">
        <f ca="1"/>
        <v>106.9</v>
      </c>
      <c r="Z15">
        <f ca="1"/>
        <v>98.3</v>
      </c>
      <c r="AA15" cm="1">
        <f t="array" aca="1" ref="AA15:AH15" ca="1">TRANSPOSE((OFFSET($G$27,(ROW(N1)-1)*8,0)):(OFFSET($G$34,(ROW(N1)-1)*8,0)))</f>
        <v>243.8</v>
      </c>
      <c r="AB15">
        <f ca="1"/>
        <v>202.7</v>
      </c>
      <c r="AC15">
        <f ca="1"/>
        <v>175.9</v>
      </c>
      <c r="AD15">
        <f ca="1"/>
        <v>208.1</v>
      </c>
      <c r="AE15">
        <f ca="1"/>
        <v>70</v>
      </c>
      <c r="AF15">
        <f ca="1"/>
        <v>108</v>
      </c>
      <c r="AG15">
        <f ca="1"/>
        <v>97.2</v>
      </c>
      <c r="AH15">
        <f ca="1"/>
        <v>66.599999999999994</v>
      </c>
      <c r="AI15" cm="1">
        <f t="array" aca="1" ref="AI15:AP15" ca="1">TRANSPOSE((OFFSET($H$27,(ROW(O1)-1)*8,0)):(OFFSET($H$34,(ROW(O1)-1)*8,0)))</f>
        <v>246.1</v>
      </c>
      <c r="AJ15" s="2">
        <f ca="1"/>
        <v>196.3</v>
      </c>
      <c r="AK15">
        <f ca="1"/>
        <v>154</v>
      </c>
      <c r="AL15">
        <f ca="1"/>
        <v>169.2</v>
      </c>
      <c r="AM15">
        <f ca="1"/>
        <v>44.1</v>
      </c>
      <c r="AN15">
        <f ca="1"/>
        <v>34.5</v>
      </c>
      <c r="AO15">
        <f ca="1"/>
        <v>48.9</v>
      </c>
      <c r="AP15">
        <f ca="1"/>
        <v>30.8</v>
      </c>
      <c r="AQ15" cm="1">
        <f t="array" aca="1" ref="AQ15:AX15" ca="1">TRANSPOSE((OFFSET($I$27,(ROW(P1)-1)*8,0)):(OFFSET($I$34,(ROW(P1)-1)*8,0)))</f>
        <v>240.6</v>
      </c>
      <c r="AR15">
        <f ca="1"/>
        <v>160</v>
      </c>
      <c r="AS15">
        <f ca="1"/>
        <v>141.80000000000001</v>
      </c>
      <c r="AT15">
        <f ca="1"/>
        <v>149.4</v>
      </c>
      <c r="AU15">
        <f ca="1"/>
        <v>41.1</v>
      </c>
      <c r="AV15">
        <f ca="1"/>
        <v>33.200000000000003</v>
      </c>
      <c r="AW15">
        <f ca="1"/>
        <v>47.6</v>
      </c>
      <c r="AX15">
        <f ca="1"/>
        <v>27.6</v>
      </c>
      <c r="AY15" cm="1">
        <f t="array" aca="1" ref="AY15:BF15" ca="1">TRANSPOSE((OFFSET($J$27,(ROW(Q1)-1)*8,0)):(OFFSET($J$34,(ROW(Q1)-1)*8,0)))</f>
        <v>244</v>
      </c>
      <c r="AZ15">
        <f ca="1"/>
        <v>208.7</v>
      </c>
      <c r="BA15">
        <f ca="1"/>
        <v>172</v>
      </c>
      <c r="BB15">
        <f ca="1"/>
        <v>171.5</v>
      </c>
      <c r="BC15">
        <f ca="1"/>
        <v>45.8</v>
      </c>
      <c r="BD15">
        <f ca="1"/>
        <v>71.400000000000006</v>
      </c>
      <c r="BE15">
        <f ca="1"/>
        <v>71.8</v>
      </c>
      <c r="BF15">
        <f ca="1"/>
        <v>47.4</v>
      </c>
      <c r="BG15" cm="1">
        <f t="array" aca="1" ref="BG15:BN15" ca="1">TRANSPOSE((OFFSET($K$27,(ROW(R1)-1)*8,0)):(OFFSET($K$34,(ROW(R1)-1)*8,0)))</f>
        <v>234.9</v>
      </c>
      <c r="BH15">
        <f ca="1"/>
        <v>166.6</v>
      </c>
      <c r="BI15">
        <f ca="1"/>
        <v>162.5</v>
      </c>
      <c r="BJ15">
        <f ca="1"/>
        <v>165.9</v>
      </c>
      <c r="BK15">
        <f ca="1"/>
        <v>42.7</v>
      </c>
      <c r="BL15">
        <f ca="1"/>
        <v>68.099999999999994</v>
      </c>
      <c r="BM15">
        <f ca="1"/>
        <v>71.099999999999994</v>
      </c>
      <c r="BN15">
        <f ca="1"/>
        <v>48.9</v>
      </c>
    </row>
    <row r="16" spans="1:66" x14ac:dyDescent="0.25">
      <c r="A16">
        <v>2</v>
      </c>
      <c r="B16" t="s">
        <v>42</v>
      </c>
      <c r="C16" cm="1">
        <f t="array" aca="1" ref="C16:J16" ca="1">TRANSPOSE((OFFSET($D$27,(ROW(K2)-1)*8,0)):(OFFSET($D$34,(ROW(K2)-1)*8,0)))</f>
        <v>264.5</v>
      </c>
      <c r="D16">
        <f ca="1"/>
        <v>186.9</v>
      </c>
      <c r="E16">
        <f ca="1"/>
        <v>181.1</v>
      </c>
      <c r="F16">
        <f ca="1"/>
        <v>179</v>
      </c>
      <c r="G16">
        <f ca="1"/>
        <v>83</v>
      </c>
      <c r="H16">
        <f ca="1"/>
        <v>77.5</v>
      </c>
      <c r="I16">
        <f ca="1"/>
        <v>64.900000000000006</v>
      </c>
      <c r="J16">
        <f ca="1"/>
        <v>49.3</v>
      </c>
      <c r="K16" cm="1">
        <f t="array" aca="1" ref="K16:R16" ca="1">TRANSPOSE((OFFSET($E$27,(ROW(L2)-1)*8,0)):(OFFSET($E$34,(ROW(L2)-1)*8,0)))</f>
        <v>246.5</v>
      </c>
      <c r="L16">
        <f ca="1"/>
        <v>200.1</v>
      </c>
      <c r="M16">
        <f ca="1"/>
        <v>166.1</v>
      </c>
      <c r="N16">
        <f ca="1"/>
        <v>188.8</v>
      </c>
      <c r="O16">
        <f ca="1"/>
        <v>77.400000000000006</v>
      </c>
      <c r="P16">
        <f ca="1"/>
        <v>70.900000000000006</v>
      </c>
      <c r="Q16">
        <f ca="1"/>
        <v>56.6</v>
      </c>
      <c r="R16">
        <f ca="1"/>
        <v>45.9</v>
      </c>
      <c r="S16" cm="1">
        <f t="array" aca="1" ref="S16:Z16" ca="1">TRANSPOSE((OFFSET($F$27,(ROW(M2)-1)*8,0)):(OFFSET($F$34,(ROW(M2)-1)*8,0)))</f>
        <v>257.3</v>
      </c>
      <c r="T16">
        <f ca="1"/>
        <v>190.2</v>
      </c>
      <c r="U16">
        <f ca="1"/>
        <v>189.9</v>
      </c>
      <c r="V16">
        <f ca="1"/>
        <v>192.3</v>
      </c>
      <c r="W16">
        <f ca="1"/>
        <v>75</v>
      </c>
      <c r="X16">
        <f ca="1"/>
        <v>119.3</v>
      </c>
      <c r="Y16">
        <f ca="1"/>
        <v>106.9</v>
      </c>
      <c r="Z16">
        <f ca="1"/>
        <v>98.3</v>
      </c>
      <c r="AA16" cm="1">
        <f t="array" aca="1" ref="AA16:AH16" ca="1">TRANSPOSE((OFFSET($G$27,(ROW(N2)-1)*8,0)):(OFFSET($G$34,(ROW(N2)-1)*8,0)))</f>
        <v>243.8</v>
      </c>
      <c r="AB16">
        <f ca="1"/>
        <v>202.7</v>
      </c>
      <c r="AC16">
        <f ca="1"/>
        <v>175.9</v>
      </c>
      <c r="AD16">
        <f ca="1"/>
        <v>208.1</v>
      </c>
      <c r="AE16">
        <f ca="1"/>
        <v>70</v>
      </c>
      <c r="AF16">
        <f ca="1"/>
        <v>108</v>
      </c>
      <c r="AG16">
        <f ca="1"/>
        <v>97.2</v>
      </c>
      <c r="AH16">
        <f ca="1"/>
        <v>66.599999999999994</v>
      </c>
      <c r="AI16" cm="1">
        <f t="array" aca="1" ref="AI16:AP16" ca="1">TRANSPOSE((OFFSET($H$27,(ROW(O2)-1)*8,0)):(OFFSET($H$34,(ROW(O2)-1)*8,0)))</f>
        <v>246.1</v>
      </c>
      <c r="AJ16" s="2">
        <f ca="1"/>
        <v>196.3</v>
      </c>
      <c r="AK16">
        <f ca="1"/>
        <v>154</v>
      </c>
      <c r="AL16">
        <f ca="1"/>
        <v>169.2</v>
      </c>
      <c r="AM16">
        <f ca="1"/>
        <v>44.1</v>
      </c>
      <c r="AN16">
        <f ca="1"/>
        <v>34.5</v>
      </c>
      <c r="AO16">
        <f ca="1"/>
        <v>48.9</v>
      </c>
      <c r="AP16">
        <f ca="1"/>
        <v>30.8</v>
      </c>
      <c r="AQ16" cm="1">
        <f t="array" aca="1" ref="AQ16:AX16" ca="1">TRANSPOSE((OFFSET($I$27,(ROW(P2)-1)*8,0)):(OFFSET($I$34,(ROW(P2)-1)*8,0)))</f>
        <v>240.6</v>
      </c>
      <c r="AR16">
        <f ca="1"/>
        <v>160</v>
      </c>
      <c r="AS16">
        <f ca="1"/>
        <v>141.80000000000001</v>
      </c>
      <c r="AT16">
        <f ca="1"/>
        <v>149.4</v>
      </c>
      <c r="AU16">
        <f ca="1"/>
        <v>41.1</v>
      </c>
      <c r="AV16">
        <f ca="1"/>
        <v>33.200000000000003</v>
      </c>
      <c r="AW16">
        <f ca="1"/>
        <v>47.6</v>
      </c>
      <c r="AX16">
        <f ca="1"/>
        <v>27.6</v>
      </c>
      <c r="AY16" cm="1">
        <f t="array" aca="1" ref="AY16:BF16" ca="1">TRANSPOSE((OFFSET($J$27,(ROW(Q2)-1)*8,0)):(OFFSET($J$34,(ROW(Q2)-1)*8,0)))</f>
        <v>244</v>
      </c>
      <c r="AZ16">
        <f ca="1"/>
        <v>208.7</v>
      </c>
      <c r="BA16">
        <f ca="1"/>
        <v>172</v>
      </c>
      <c r="BB16">
        <f ca="1"/>
        <v>171.5</v>
      </c>
      <c r="BC16">
        <f ca="1"/>
        <v>45.8</v>
      </c>
      <c r="BD16">
        <f ca="1"/>
        <v>71.400000000000006</v>
      </c>
      <c r="BE16">
        <f ca="1"/>
        <v>71.8</v>
      </c>
      <c r="BF16">
        <f ca="1"/>
        <v>47.4</v>
      </c>
      <c r="BG16" cm="1">
        <f t="array" aca="1" ref="BG16:BN16" ca="1">TRANSPOSE((OFFSET($K$27,(ROW(R2)-1)*8,0)):(OFFSET($K$34,(ROW(R2)-1)*8,0)))</f>
        <v>234.9</v>
      </c>
      <c r="BH16">
        <f ca="1"/>
        <v>166.6</v>
      </c>
      <c r="BI16">
        <f ca="1"/>
        <v>162.5</v>
      </c>
      <c r="BJ16">
        <f ca="1"/>
        <v>165.9</v>
      </c>
      <c r="BK16">
        <f ca="1"/>
        <v>42.7</v>
      </c>
      <c r="BL16">
        <f ca="1"/>
        <v>68.099999999999994</v>
      </c>
      <c r="BM16">
        <f ca="1"/>
        <v>71.099999999999994</v>
      </c>
      <c r="BN16">
        <f ca="1"/>
        <v>48.9</v>
      </c>
    </row>
    <row r="17" spans="1:66" x14ac:dyDescent="0.25">
      <c r="A17">
        <v>3</v>
      </c>
      <c r="B17" t="s">
        <v>46</v>
      </c>
      <c r="C17" cm="1">
        <f t="array" aca="1" ref="C17:J17" ca="1">TRANSPOSE((OFFSET($D$27,(ROW(K3)-1)*8,0)):(OFFSET($D$34,(ROW(K3)-1)*8,0)))</f>
        <v>264.5</v>
      </c>
      <c r="D17">
        <f ca="1"/>
        <v>186.9</v>
      </c>
      <c r="E17">
        <f ca="1"/>
        <v>181.1</v>
      </c>
      <c r="F17">
        <f ca="1"/>
        <v>179</v>
      </c>
      <c r="G17">
        <f ca="1"/>
        <v>83.8</v>
      </c>
      <c r="H17">
        <f ca="1"/>
        <v>77.5</v>
      </c>
      <c r="I17">
        <f ca="1"/>
        <v>64.900000000000006</v>
      </c>
      <c r="J17">
        <f ca="1"/>
        <v>49.3</v>
      </c>
      <c r="K17" cm="1">
        <f t="array" aca="1" ref="K17:R17" ca="1">TRANSPOSE((OFFSET($E$27,(ROW(L3)-1)*8,0)):(OFFSET($E$34,(ROW(L3)-1)*8,0)))</f>
        <v>246.3</v>
      </c>
      <c r="L17">
        <f ca="1"/>
        <v>191.1</v>
      </c>
      <c r="M17">
        <f ca="1"/>
        <v>144.5</v>
      </c>
      <c r="N17">
        <f ca="1"/>
        <v>184.6</v>
      </c>
      <c r="O17">
        <f ca="1"/>
        <v>78.2</v>
      </c>
      <c r="P17">
        <f ca="1"/>
        <v>73.599999999999994</v>
      </c>
      <c r="Q17">
        <f ca="1"/>
        <v>57.3</v>
      </c>
      <c r="R17">
        <f ca="1"/>
        <v>44.7</v>
      </c>
      <c r="S17" cm="1">
        <f t="array" aca="1" ref="S17:Z17" ca="1">TRANSPOSE((OFFSET($F$27,(ROW(M3)-1)*8,0)):(OFFSET($F$34,(ROW(M3)-1)*8,0)))</f>
        <v>257.3</v>
      </c>
      <c r="T17">
        <f ca="1"/>
        <v>190.2</v>
      </c>
      <c r="U17">
        <f ca="1"/>
        <v>189.9</v>
      </c>
      <c r="V17">
        <f ca="1"/>
        <v>192.3</v>
      </c>
      <c r="W17">
        <f ca="1"/>
        <v>75.099999999999994</v>
      </c>
      <c r="X17">
        <f ca="1"/>
        <v>119.3</v>
      </c>
      <c r="Y17">
        <f ca="1"/>
        <v>106.9</v>
      </c>
      <c r="Z17">
        <f ca="1"/>
        <v>98.3</v>
      </c>
      <c r="AA17" cm="1">
        <f t="array" aca="1" ref="AA17:AH17" ca="1">TRANSPOSE((OFFSET($G$27,(ROW(N3)-1)*8,0)):(OFFSET($G$34,(ROW(N3)-1)*8,0)))</f>
        <v>242.3</v>
      </c>
      <c r="AB17">
        <f ca="1"/>
        <v>193.4</v>
      </c>
      <c r="AC17">
        <f ca="1"/>
        <v>171.4</v>
      </c>
      <c r="AD17">
        <f ca="1"/>
        <v>192.2</v>
      </c>
      <c r="AE17">
        <f ca="1"/>
        <v>70.2</v>
      </c>
      <c r="AF17">
        <f ca="1"/>
        <v>108.9</v>
      </c>
      <c r="AG17">
        <f ca="1"/>
        <v>98.9</v>
      </c>
      <c r="AH17">
        <f ca="1"/>
        <v>66.900000000000006</v>
      </c>
      <c r="AI17" cm="1">
        <f t="array" aca="1" ref="AI17:AP17" ca="1">TRANSPOSE((OFFSET($H$27,(ROW(O3)-1)*8,0)):(OFFSET($H$34,(ROW(O3)-1)*8,0)))</f>
        <v>246.1</v>
      </c>
      <c r="AJ17" s="2">
        <f ca="1"/>
        <v>196.3</v>
      </c>
      <c r="AK17">
        <f ca="1"/>
        <v>154</v>
      </c>
      <c r="AL17">
        <f ca="1"/>
        <v>169.2</v>
      </c>
      <c r="AM17">
        <f ca="1"/>
        <v>37</v>
      </c>
      <c r="AN17">
        <f ca="1"/>
        <v>34.5</v>
      </c>
      <c r="AO17">
        <f ca="1"/>
        <v>48.9</v>
      </c>
      <c r="AP17">
        <f ca="1"/>
        <v>30.8</v>
      </c>
      <c r="AQ17" cm="1">
        <f t="array" aca="1" ref="AQ17:AX17" ca="1">TRANSPOSE((OFFSET($I$27,(ROW(P3)-1)*8,0)):(OFFSET($I$34,(ROW(P3)-1)*8,0)))</f>
        <v>235.7</v>
      </c>
      <c r="AR17">
        <f ca="1"/>
        <v>161</v>
      </c>
      <c r="AS17">
        <f ca="1"/>
        <v>143.4</v>
      </c>
      <c r="AT17">
        <f ca="1"/>
        <v>150.4</v>
      </c>
      <c r="AU17">
        <f ca="1"/>
        <v>34.5</v>
      </c>
      <c r="AV17">
        <f ca="1"/>
        <v>34.799999999999997</v>
      </c>
      <c r="AW17">
        <f ca="1"/>
        <v>48.4</v>
      </c>
      <c r="AX17">
        <f ca="1"/>
        <v>29.4</v>
      </c>
      <c r="AY17" cm="1">
        <f t="array" aca="1" ref="AY17:BF17" ca="1">TRANSPOSE((OFFSET($J$27,(ROW(Q3)-1)*8,0)):(OFFSET($J$34,(ROW(Q3)-1)*8,0)))</f>
        <v>244</v>
      </c>
      <c r="AZ17">
        <f ca="1"/>
        <v>208.7</v>
      </c>
      <c r="BA17">
        <f ca="1"/>
        <v>172</v>
      </c>
      <c r="BB17">
        <f ca="1"/>
        <v>171.5</v>
      </c>
      <c r="BC17">
        <f ca="1"/>
        <v>38.299999999999997</v>
      </c>
      <c r="BD17">
        <f ca="1"/>
        <v>71.400000000000006</v>
      </c>
      <c r="BE17">
        <f ca="1"/>
        <v>71.8</v>
      </c>
      <c r="BF17">
        <f ca="1"/>
        <v>47.4</v>
      </c>
      <c r="BG17" cm="1">
        <f t="array" aca="1" ref="BG17:BN17" ca="1">TRANSPOSE((OFFSET($K$27,(ROW(R3)-1)*8,0)):(OFFSET($K$34,(ROW(R3)-1)*8,0)))</f>
        <v>228.3</v>
      </c>
      <c r="BH17">
        <f ca="1"/>
        <v>168.1</v>
      </c>
      <c r="BI17">
        <f ca="1"/>
        <v>162.1</v>
      </c>
      <c r="BJ17">
        <f ca="1"/>
        <v>166.2</v>
      </c>
      <c r="BK17">
        <f ca="1"/>
        <v>35.700000000000003</v>
      </c>
      <c r="BL17">
        <f ca="1"/>
        <v>69.400000000000006</v>
      </c>
      <c r="BM17">
        <f ca="1"/>
        <v>68.3</v>
      </c>
      <c r="BN17">
        <f ca="1"/>
        <v>47.9</v>
      </c>
    </row>
    <row r="18" spans="1:66" x14ac:dyDescent="0.25">
      <c r="A18">
        <v>4</v>
      </c>
      <c r="B18" t="s">
        <v>37</v>
      </c>
      <c r="C18" cm="1">
        <f t="array" aca="1" ref="C18:J18" ca="1">TRANSPOSE((OFFSET($D$27,(ROW(K4)-1)*8,0)):(OFFSET($D$34,(ROW(K4)-1)*8,0)))</f>
        <v>177.6</v>
      </c>
      <c r="D18">
        <f ca="1"/>
        <v>151.19999999999999</v>
      </c>
      <c r="E18">
        <f ca="1"/>
        <v>119.6</v>
      </c>
      <c r="F18">
        <f ca="1"/>
        <v>124.8</v>
      </c>
      <c r="G18">
        <f ca="1"/>
        <v>175.1</v>
      </c>
      <c r="H18">
        <f ca="1"/>
        <v>61.2</v>
      </c>
      <c r="I18">
        <f ca="1"/>
        <v>76.900000000000006</v>
      </c>
      <c r="J18">
        <f ca="1"/>
        <v>49</v>
      </c>
      <c r="K18" cm="1">
        <f t="array" aca="1" ref="K18:R18" ca="1">TRANSPOSE((OFFSET($E$27,(ROW(L4)-1)*8,0)):(OFFSET($E$34,(ROW(L4)-1)*8,0)))</f>
        <v>248.3</v>
      </c>
      <c r="L18">
        <f ca="1"/>
        <v>178</v>
      </c>
      <c r="M18">
        <f ca="1"/>
        <v>153.4</v>
      </c>
      <c r="N18">
        <f ca="1"/>
        <v>157.4</v>
      </c>
      <c r="O18">
        <f ca="1"/>
        <v>238.1</v>
      </c>
      <c r="P18">
        <f ca="1"/>
        <v>83.3</v>
      </c>
      <c r="Q18">
        <f ca="1"/>
        <v>95.9</v>
      </c>
      <c r="R18">
        <f ca="1"/>
        <v>28.6</v>
      </c>
      <c r="S18" cm="1">
        <f t="array" aca="1" ref="S18:Z18" ca="1">TRANSPOSE((OFFSET($F$27,(ROW(M4)-1)*8,0)):(OFFSET($F$34,(ROW(M4)-1)*8,0)))</f>
        <v>179</v>
      </c>
      <c r="T18">
        <f ca="1"/>
        <v>128.1</v>
      </c>
      <c r="U18">
        <f ca="1"/>
        <v>131.80000000000001</v>
      </c>
      <c r="V18">
        <f ca="1"/>
        <v>134.30000000000001</v>
      </c>
      <c r="W18">
        <f ca="1"/>
        <v>179.1</v>
      </c>
      <c r="X18">
        <f ca="1"/>
        <v>102.1</v>
      </c>
      <c r="Y18">
        <f ca="1"/>
        <v>107.1</v>
      </c>
      <c r="Z18">
        <f ca="1"/>
        <v>87.7</v>
      </c>
      <c r="AA18" cm="1">
        <f t="array" aca="1" ref="AA18:AH18" ca="1">TRANSPOSE((OFFSET($G$27,(ROW(N4)-1)*8,0)):(OFFSET($G$34,(ROW(N4)-1)*8,0)))</f>
        <v>245.1</v>
      </c>
      <c r="AB18">
        <f ca="1"/>
        <v>183.2</v>
      </c>
      <c r="AC18">
        <f ca="1"/>
        <v>185.5</v>
      </c>
      <c r="AD18">
        <f ca="1"/>
        <v>163.69999999999999</v>
      </c>
      <c r="AE18">
        <f ca="1"/>
        <v>239.7</v>
      </c>
      <c r="AF18">
        <f ca="1"/>
        <v>121.7</v>
      </c>
      <c r="AG18">
        <f ca="1"/>
        <v>114.8</v>
      </c>
      <c r="AH18">
        <f ca="1"/>
        <v>48.8</v>
      </c>
      <c r="AI18" cm="1">
        <f t="array" aca="1" ref="AI18:AP18" ca="1">TRANSPOSE((OFFSET($H$27,(ROW(O4)-1)*8,0)):(OFFSET($H$34,(ROW(O4)-1)*8,0)))</f>
        <v>172.5</v>
      </c>
      <c r="AJ18" s="2">
        <f ca="1"/>
        <v>139.69999999999999</v>
      </c>
      <c r="AK18">
        <f ca="1"/>
        <v>127.6</v>
      </c>
      <c r="AL18">
        <f ca="1"/>
        <v>141.5</v>
      </c>
      <c r="AM18">
        <f ca="1"/>
        <v>165.9</v>
      </c>
      <c r="AN18">
        <f ca="1"/>
        <v>39.4</v>
      </c>
      <c r="AO18">
        <f ca="1"/>
        <v>47.6</v>
      </c>
      <c r="AP18">
        <f ca="1"/>
        <v>28.3</v>
      </c>
      <c r="AQ18" cm="1">
        <f t="array" aca="1" ref="AQ18:AX18" ca="1">TRANSPOSE((OFFSET($I$27,(ROW(P4)-1)*8,0)):(OFFSET($I$34,(ROW(P4)-1)*8,0)))</f>
        <v>239.3</v>
      </c>
      <c r="AR18">
        <f ca="1"/>
        <v>175.7</v>
      </c>
      <c r="AS18">
        <f ca="1"/>
        <v>138.69999999999999</v>
      </c>
      <c r="AT18">
        <f ca="1"/>
        <v>175.5</v>
      </c>
      <c r="AU18">
        <f ca="1"/>
        <v>215</v>
      </c>
      <c r="AV18">
        <f ca="1"/>
        <v>39.4</v>
      </c>
      <c r="AW18">
        <f ca="1"/>
        <v>48.2</v>
      </c>
      <c r="AX18">
        <f ca="1"/>
        <v>17.600000000000001</v>
      </c>
      <c r="AY18" cm="1">
        <f t="array" aca="1" ref="AY18:BF18" ca="1">TRANSPOSE((OFFSET($J$27,(ROW(Q4)-1)*8,0)):(OFFSET($J$34,(ROW(Q4)-1)*8,0)))</f>
        <v>169.7</v>
      </c>
      <c r="AZ18">
        <f ca="1"/>
        <v>141.6</v>
      </c>
      <c r="BA18">
        <f ca="1"/>
        <v>122.4</v>
      </c>
      <c r="BB18">
        <f ca="1"/>
        <v>131.4</v>
      </c>
      <c r="BC18">
        <f ca="1"/>
        <v>167.7</v>
      </c>
      <c r="BD18">
        <f ca="1"/>
        <v>70.2</v>
      </c>
      <c r="BE18">
        <f ca="1"/>
        <v>72.3</v>
      </c>
      <c r="BF18">
        <f ca="1"/>
        <v>53.4</v>
      </c>
      <c r="BG18" cm="1">
        <f t="array" aca="1" ref="BG18:BN18" ca="1">TRANSPOSE((OFFSET($K$27,(ROW(R4)-1)*8,0)):(OFFSET($K$34,(ROW(R4)-1)*8,0)))</f>
        <v>235.6</v>
      </c>
      <c r="BH18">
        <f ca="1"/>
        <v>166.9</v>
      </c>
      <c r="BI18">
        <f ca="1"/>
        <v>162.69999999999999</v>
      </c>
      <c r="BJ18">
        <f ca="1"/>
        <v>153.9</v>
      </c>
      <c r="BK18">
        <f ca="1"/>
        <v>221.8</v>
      </c>
      <c r="BL18">
        <f ca="1"/>
        <v>88.9</v>
      </c>
      <c r="BM18">
        <f ca="1"/>
        <v>81.099999999999994</v>
      </c>
      <c r="BN18">
        <f ca="1"/>
        <v>27.2</v>
      </c>
    </row>
    <row r="19" spans="1:66" x14ac:dyDescent="0.25">
      <c r="A19">
        <v>5</v>
      </c>
      <c r="B19" t="s">
        <v>27</v>
      </c>
      <c r="C19" cm="1">
        <f t="array" aca="1" ref="C19:J19" ca="1">TRANSPOSE((OFFSET($D$27,(ROW(K5)-1)*8,0)):(OFFSET($D$34,(ROW(K5)-1)*8,0)))</f>
        <v>177.6</v>
      </c>
      <c r="D19">
        <f ca="1"/>
        <v>151.19999999999999</v>
      </c>
      <c r="E19">
        <f ca="1"/>
        <v>119.6</v>
      </c>
      <c r="F19">
        <f ca="1"/>
        <v>124.8</v>
      </c>
      <c r="G19">
        <f ca="1"/>
        <v>175.1</v>
      </c>
      <c r="H19">
        <f ca="1"/>
        <v>61.2</v>
      </c>
      <c r="I19">
        <f ca="1"/>
        <v>76.900000000000006</v>
      </c>
      <c r="J19">
        <f ca="1"/>
        <v>49</v>
      </c>
      <c r="K19" cm="1">
        <f t="array" aca="1" ref="K19:R19" ca="1">TRANSPOSE((OFFSET($E$27,(ROW(L5)-1)*8,0)):(OFFSET($E$34,(ROW(L5)-1)*8,0)))</f>
        <v>248.8</v>
      </c>
      <c r="L19">
        <f ca="1"/>
        <v>169.7</v>
      </c>
      <c r="M19">
        <f ca="1"/>
        <v>162.69999999999999</v>
      </c>
      <c r="N19">
        <f ca="1"/>
        <v>161.9</v>
      </c>
      <c r="O19">
        <f ca="1"/>
        <v>238.8</v>
      </c>
      <c r="P19">
        <f ca="1"/>
        <v>67.099999999999994</v>
      </c>
      <c r="Q19">
        <f ca="1"/>
        <v>95.3</v>
      </c>
      <c r="R19">
        <f ca="1"/>
        <v>50.1</v>
      </c>
      <c r="S19" cm="1">
        <f t="array" aca="1" ref="S19:Z19" ca="1">TRANSPOSE((OFFSET($F$27,(ROW(M5)-1)*8,0)):(OFFSET($F$34,(ROW(M5)-1)*8,0)))</f>
        <v>179</v>
      </c>
      <c r="T19">
        <f ca="1"/>
        <v>128.1</v>
      </c>
      <c r="U19">
        <f ca="1"/>
        <v>131.80000000000001</v>
      </c>
      <c r="V19">
        <f ca="1"/>
        <v>134.30000000000001</v>
      </c>
      <c r="W19">
        <f ca="1"/>
        <v>179.1</v>
      </c>
      <c r="X19">
        <f ca="1"/>
        <v>102.1</v>
      </c>
      <c r="Y19">
        <f ca="1"/>
        <v>107.1</v>
      </c>
      <c r="Z19">
        <f ca="1"/>
        <v>87.7</v>
      </c>
      <c r="AA19" cm="1">
        <f t="array" aca="1" ref="AA19:AH19" ca="1">TRANSPOSE((OFFSET($G$27,(ROW(N5)-1)*8,0)):(OFFSET($G$34,(ROW(N5)-1)*8,0)))</f>
        <v>244.8</v>
      </c>
      <c r="AB19">
        <f ca="1"/>
        <v>195.4</v>
      </c>
      <c r="AC19">
        <f ca="1"/>
        <v>193</v>
      </c>
      <c r="AD19">
        <f ca="1"/>
        <v>168.1</v>
      </c>
      <c r="AE19">
        <f ca="1"/>
        <v>239.8</v>
      </c>
      <c r="AF19">
        <f ca="1"/>
        <v>121</v>
      </c>
      <c r="AG19">
        <f ca="1"/>
        <v>122</v>
      </c>
      <c r="AH19">
        <f ca="1"/>
        <v>49.6</v>
      </c>
      <c r="AI19" cm="1">
        <f t="array" aca="1" ref="AI19:AP19" ca="1">TRANSPOSE((OFFSET($H$27,(ROW(O5)-1)*8,0)):(OFFSET($H$34,(ROW(O5)-1)*8,0)))</f>
        <v>172.5</v>
      </c>
      <c r="AJ19" s="2">
        <f ca="1"/>
        <v>139.69999999999999</v>
      </c>
      <c r="AK19">
        <f ca="1"/>
        <v>127.6</v>
      </c>
      <c r="AL19">
        <f ca="1"/>
        <v>141.5</v>
      </c>
      <c r="AM19">
        <f ca="1"/>
        <v>165.9</v>
      </c>
      <c r="AN19">
        <f ca="1"/>
        <v>39.4</v>
      </c>
      <c r="AO19">
        <f ca="1"/>
        <v>47.6</v>
      </c>
      <c r="AP19">
        <f ca="1"/>
        <v>28.3</v>
      </c>
      <c r="AQ19" cm="1">
        <f t="array" aca="1" ref="AQ19:AX19" ca="1">TRANSPOSE((OFFSET($I$27,(ROW(P5)-1)*8,0)):(OFFSET($I$34,(ROW(P5)-1)*8,0)))</f>
        <v>209</v>
      </c>
      <c r="AR19">
        <f ca="1"/>
        <v>164.2</v>
      </c>
      <c r="AS19">
        <f ca="1"/>
        <v>135.4</v>
      </c>
      <c r="AT19">
        <f ca="1"/>
        <v>161.80000000000001</v>
      </c>
      <c r="AU19">
        <f ca="1"/>
        <v>190.6</v>
      </c>
      <c r="AV19">
        <f ca="1"/>
        <v>39.5</v>
      </c>
      <c r="AW19">
        <f ca="1"/>
        <v>47.5</v>
      </c>
      <c r="AX19">
        <f ca="1"/>
        <v>17.899999999999999</v>
      </c>
      <c r="AY19" cm="1">
        <f t="array" aca="1" ref="AY19:BF19" ca="1">TRANSPOSE((OFFSET($J$27,(ROW(Q5)-1)*8,0)):(OFFSET($J$34,(ROW(Q5)-1)*8,0)))</f>
        <v>169.7</v>
      </c>
      <c r="AZ19">
        <f ca="1"/>
        <v>141.6</v>
      </c>
      <c r="BA19">
        <f ca="1"/>
        <v>122.4</v>
      </c>
      <c r="BB19">
        <f ca="1"/>
        <v>131.4</v>
      </c>
      <c r="BC19">
        <f ca="1"/>
        <v>167.7</v>
      </c>
      <c r="BD19">
        <f ca="1"/>
        <v>70.2</v>
      </c>
      <c r="BE19">
        <f ca="1"/>
        <v>72.3</v>
      </c>
      <c r="BF19">
        <f ca="1"/>
        <v>53.4</v>
      </c>
      <c r="BG19" cm="1">
        <f t="array" aca="1" ref="BG19:BN19" ca="1">TRANSPOSE((OFFSET($K$27,(ROW(R5)-1)*8,0)):(OFFSET($K$34,(ROW(R5)-1)*8,0)))</f>
        <v>203.6</v>
      </c>
      <c r="BH19">
        <f ca="1"/>
        <v>173.4</v>
      </c>
      <c r="BI19">
        <f ca="1"/>
        <v>122</v>
      </c>
      <c r="BJ19">
        <f ca="1"/>
        <v>144.6</v>
      </c>
      <c r="BK19">
        <f ca="1"/>
        <v>193.8</v>
      </c>
      <c r="BL19">
        <f ca="1"/>
        <v>96.6</v>
      </c>
      <c r="BM19">
        <f ca="1"/>
        <v>83.2</v>
      </c>
      <c r="BN19">
        <f ca="1"/>
        <v>30.1</v>
      </c>
    </row>
    <row r="20" spans="1:66" x14ac:dyDescent="0.25">
      <c r="A20">
        <v>6</v>
      </c>
      <c r="B20" t="s">
        <v>30</v>
      </c>
      <c r="C20" cm="1">
        <f t="array" aca="1" ref="C20:J20" ca="1">TRANSPOSE((OFFSET($D$27,(ROW(K6)-1)*8,0)):(OFFSET($D$34,(ROW(K6)-1)*8,0)))</f>
        <v>264.5</v>
      </c>
      <c r="D20">
        <f ca="1"/>
        <v>186.9</v>
      </c>
      <c r="E20">
        <f ca="1"/>
        <v>181.1</v>
      </c>
      <c r="F20">
        <f ca="1"/>
        <v>179</v>
      </c>
      <c r="G20">
        <f ca="1"/>
        <v>243.7</v>
      </c>
      <c r="H20">
        <f ca="1"/>
        <v>77.5</v>
      </c>
      <c r="I20">
        <f ca="1"/>
        <v>64.900000000000006</v>
      </c>
      <c r="J20">
        <f ca="1"/>
        <v>49.3</v>
      </c>
      <c r="K20" cm="1">
        <f t="array" aca="1" ref="K20:R20" ca="1">TRANSPOSE((OFFSET($E$27,(ROW(L6)-1)*8,0)):(OFFSET($E$34,(ROW(L6)-1)*8,0)))</f>
        <v>246</v>
      </c>
      <c r="L20">
        <f ca="1"/>
        <v>90</v>
      </c>
      <c r="M20">
        <f ca="1"/>
        <v>70.3</v>
      </c>
      <c r="N20">
        <f ca="1"/>
        <v>84.5</v>
      </c>
      <c r="O20">
        <f ca="1"/>
        <v>227.4</v>
      </c>
      <c r="P20">
        <f ca="1"/>
        <v>71.3</v>
      </c>
      <c r="Q20">
        <f ca="1"/>
        <v>57.2</v>
      </c>
      <c r="R20">
        <f ca="1"/>
        <v>29.9</v>
      </c>
      <c r="S20" cm="1">
        <f t="array" aca="1" ref="S20:Z20" ca="1">TRANSPOSE((OFFSET($F$27,(ROW(M6)-1)*8,0)):(OFFSET($F$34,(ROW(M6)-1)*8,0)))</f>
        <v>257.3</v>
      </c>
      <c r="T20">
        <f ca="1"/>
        <v>190.2</v>
      </c>
      <c r="U20">
        <f ca="1"/>
        <v>189.9</v>
      </c>
      <c r="V20">
        <f ca="1"/>
        <v>192.3</v>
      </c>
      <c r="W20">
        <f ca="1"/>
        <v>248.9</v>
      </c>
      <c r="X20">
        <f ca="1"/>
        <v>119.3</v>
      </c>
      <c r="Y20">
        <f ca="1"/>
        <v>106.9</v>
      </c>
      <c r="Z20">
        <f ca="1"/>
        <v>98.3</v>
      </c>
      <c r="AA20" cm="1">
        <f t="array" aca="1" ref="AA20:AH20" ca="1">TRANSPOSE((OFFSET($G$27,(ROW(N6)-1)*8,0)):(OFFSET($G$34,(ROW(N6)-1)*8,0)))</f>
        <v>242.6</v>
      </c>
      <c r="AB20">
        <f ca="1"/>
        <v>91.1</v>
      </c>
      <c r="AC20">
        <f ca="1"/>
        <v>74.099999999999994</v>
      </c>
      <c r="AD20">
        <f ca="1"/>
        <v>87.3</v>
      </c>
      <c r="AE20">
        <f ca="1"/>
        <v>231.8</v>
      </c>
      <c r="AF20">
        <f ca="1"/>
        <v>108.7</v>
      </c>
      <c r="AG20">
        <f ca="1"/>
        <v>98.2</v>
      </c>
      <c r="AH20">
        <f ca="1"/>
        <v>67.5</v>
      </c>
      <c r="AI20" cm="1">
        <f t="array" aca="1" ref="AI20:AP20" ca="1">TRANSPOSE((OFFSET($H$27,(ROW(O6)-1)*8,0)):(OFFSET($H$34,(ROW(O6)-1)*8,0)))</f>
        <v>246.1</v>
      </c>
      <c r="AJ20" s="2">
        <f ca="1"/>
        <v>196.3</v>
      </c>
      <c r="AK20">
        <f ca="1"/>
        <v>154</v>
      </c>
      <c r="AL20">
        <f ca="1"/>
        <v>169.2</v>
      </c>
      <c r="AM20">
        <f ca="1"/>
        <v>105.4</v>
      </c>
      <c r="AN20">
        <f ca="1"/>
        <v>34.5</v>
      </c>
      <c r="AO20">
        <f ca="1"/>
        <v>48.9</v>
      </c>
      <c r="AP20">
        <f ca="1"/>
        <v>30.8</v>
      </c>
      <c r="AQ20" cm="1">
        <f t="array" aca="1" ref="AQ20:AX20" ca="1">TRANSPOSE((OFFSET($I$27,(ROW(P6)-1)*8,0)):(OFFSET($I$34,(ROW(P6)-1)*8,0)))</f>
        <v>105.4</v>
      </c>
      <c r="AR20">
        <f ca="1"/>
        <v>78.400000000000006</v>
      </c>
      <c r="AS20">
        <f ca="1"/>
        <v>59.2</v>
      </c>
      <c r="AT20">
        <f ca="1"/>
        <v>70</v>
      </c>
      <c r="AU20">
        <f ca="1"/>
        <v>98.4</v>
      </c>
      <c r="AV20">
        <f ca="1"/>
        <v>34.9</v>
      </c>
      <c r="AW20">
        <f ca="1"/>
        <v>33.1</v>
      </c>
      <c r="AX20">
        <f ca="1"/>
        <v>29.4</v>
      </c>
      <c r="AY20" cm="1">
        <f t="array" aca="1" ref="AY20:BF20" ca="1">TRANSPOSE((OFFSET($J$27,(ROW(Q6)-1)*8,0)):(OFFSET($J$34,(ROW(Q6)-1)*8,0)))</f>
        <v>244</v>
      </c>
      <c r="AZ20">
        <f ca="1"/>
        <v>208.7</v>
      </c>
      <c r="BA20">
        <f ca="1"/>
        <v>172</v>
      </c>
      <c r="BB20">
        <f ca="1"/>
        <v>171.5</v>
      </c>
      <c r="BC20">
        <f ca="1"/>
        <v>110.8</v>
      </c>
      <c r="BD20">
        <f ca="1"/>
        <v>71.400000000000006</v>
      </c>
      <c r="BE20">
        <f ca="1"/>
        <v>71.8</v>
      </c>
      <c r="BF20">
        <f ca="1"/>
        <v>47.4</v>
      </c>
      <c r="BG20" cm="1">
        <f t="array" aca="1" ref="BG20:BN20" ca="1">TRANSPOSE((OFFSET($K$27,(ROW(R6)-1)*8,0)):(OFFSET($K$34,(ROW(R6)-1)*8,0)))</f>
        <v>106.9</v>
      </c>
      <c r="BH20">
        <f ca="1"/>
        <v>80.900000000000006</v>
      </c>
      <c r="BI20">
        <f ca="1"/>
        <v>61.9</v>
      </c>
      <c r="BJ20">
        <f ca="1"/>
        <v>67.8</v>
      </c>
      <c r="BK20">
        <f ca="1"/>
        <v>103.3</v>
      </c>
      <c r="BL20">
        <f ca="1"/>
        <v>72.900000000000006</v>
      </c>
      <c r="BM20">
        <f ca="1"/>
        <v>70.5</v>
      </c>
      <c r="BN20">
        <f ca="1"/>
        <v>31.7</v>
      </c>
    </row>
    <row r="21" spans="1:66" x14ac:dyDescent="0.25">
      <c r="A21">
        <v>7</v>
      </c>
      <c r="B21" t="s">
        <v>49</v>
      </c>
      <c r="C21" cm="1">
        <f t="array" aca="1" ref="C21:J21" ca="1">TRANSPOSE((OFFSET($D$27,(ROW(K7)-1)*8,0)):(OFFSET($D$34,(ROW(K7)-1)*8,0)))</f>
        <v>264.5</v>
      </c>
      <c r="D21">
        <f ca="1"/>
        <v>186.9</v>
      </c>
      <c r="E21">
        <f ca="1"/>
        <v>181.1</v>
      </c>
      <c r="F21">
        <f ca="1"/>
        <v>179</v>
      </c>
      <c r="G21">
        <f ca="1"/>
        <v>83.6</v>
      </c>
      <c r="H21">
        <f ca="1"/>
        <v>77.5</v>
      </c>
      <c r="I21">
        <f ca="1"/>
        <v>64.900000000000006</v>
      </c>
      <c r="J21">
        <f ca="1"/>
        <v>49.3</v>
      </c>
      <c r="K21" cm="1">
        <f t="array" aca="1" ref="K21:R21" ca="1">TRANSPOSE((OFFSET($E$27,(ROW(L7)-1)*8,0)):(OFFSET($E$34,(ROW(L7)-1)*8,0)))</f>
        <v>247.1</v>
      </c>
      <c r="L21">
        <f ca="1"/>
        <v>190.4</v>
      </c>
      <c r="M21">
        <f ca="1"/>
        <v>144.4</v>
      </c>
      <c r="N21">
        <f ca="1"/>
        <v>184</v>
      </c>
      <c r="O21">
        <f ca="1"/>
        <v>78</v>
      </c>
      <c r="P21">
        <f ca="1"/>
        <v>72.5</v>
      </c>
      <c r="Q21">
        <f ca="1"/>
        <v>57.4</v>
      </c>
      <c r="R21">
        <f ca="1"/>
        <v>45.1</v>
      </c>
      <c r="S21" cm="1">
        <f t="array" aca="1" ref="S21:Z21" ca="1">TRANSPOSE((OFFSET($F$27,(ROW(M7)-1)*8,0)):(OFFSET($F$34,(ROW(M7)-1)*8,0)))</f>
        <v>257.3</v>
      </c>
      <c r="T21">
        <f ca="1"/>
        <v>190.2</v>
      </c>
      <c r="U21">
        <f ca="1"/>
        <v>189.9</v>
      </c>
      <c r="V21">
        <f ca="1"/>
        <v>192.3</v>
      </c>
      <c r="W21">
        <f ca="1"/>
        <v>75.099999999999994</v>
      </c>
      <c r="X21">
        <f ca="1"/>
        <v>119.3</v>
      </c>
      <c r="Y21">
        <f ca="1"/>
        <v>106.9</v>
      </c>
      <c r="Z21">
        <f ca="1"/>
        <v>98.3</v>
      </c>
      <c r="AA21" cm="1">
        <f t="array" aca="1" ref="AA21:AH21" ca="1">TRANSPOSE((OFFSET($G$27,(ROW(N7)-1)*8,0)):(OFFSET($G$34,(ROW(N7)-1)*8,0)))</f>
        <v>242</v>
      </c>
      <c r="AB21">
        <f ca="1"/>
        <v>194.1</v>
      </c>
      <c r="AC21">
        <f ca="1"/>
        <v>171.9</v>
      </c>
      <c r="AD21">
        <f ca="1"/>
        <v>191.6</v>
      </c>
      <c r="AE21">
        <f ca="1"/>
        <v>70.099999999999994</v>
      </c>
      <c r="AF21">
        <f ca="1"/>
        <v>108.2</v>
      </c>
      <c r="AG21">
        <f ca="1"/>
        <v>97.8</v>
      </c>
      <c r="AH21">
        <f ca="1"/>
        <v>67.2</v>
      </c>
      <c r="AI21" cm="1">
        <f t="array" aca="1" ref="AI21:AP21" ca="1">TRANSPOSE((OFFSET($H$27,(ROW(O7)-1)*8,0)):(OFFSET($H$34,(ROW(O7)-1)*8,0)))</f>
        <v>246.1</v>
      </c>
      <c r="AJ21" s="2">
        <f ca="1"/>
        <v>196.3</v>
      </c>
      <c r="AK21">
        <f ca="1"/>
        <v>154</v>
      </c>
      <c r="AL21">
        <f ca="1"/>
        <v>169.2</v>
      </c>
      <c r="AM21">
        <f ca="1"/>
        <v>37</v>
      </c>
      <c r="AN21">
        <f ca="1"/>
        <v>34.5</v>
      </c>
      <c r="AO21">
        <f ca="1"/>
        <v>48.9</v>
      </c>
      <c r="AP21">
        <f ca="1"/>
        <v>30.8</v>
      </c>
      <c r="AQ21" cm="1">
        <f t="array" aca="1" ref="AQ21:AX21" ca="1">TRANSPOSE((OFFSET($I$27,(ROW(P7)-1)*8,0)):(OFFSET($I$34,(ROW(P7)-1)*8,0)))</f>
        <v>239.3</v>
      </c>
      <c r="AR21">
        <f ca="1"/>
        <v>158.9</v>
      </c>
      <c r="AS21">
        <f ca="1"/>
        <v>142.69999999999999</v>
      </c>
      <c r="AT21">
        <f ca="1"/>
        <v>150.9</v>
      </c>
      <c r="AU21">
        <f ca="1"/>
        <v>34.5</v>
      </c>
      <c r="AV21">
        <f ca="1"/>
        <v>33.5</v>
      </c>
      <c r="AW21">
        <f ca="1"/>
        <v>49.4</v>
      </c>
      <c r="AX21">
        <f ca="1"/>
        <v>29.1</v>
      </c>
      <c r="AY21" cm="1">
        <f t="array" aca="1" ref="AY21:BF21" ca="1">TRANSPOSE((OFFSET($J$27,(ROW(Q7)-1)*8,0)):(OFFSET($J$34,(ROW(Q7)-1)*8,0)))</f>
        <v>244</v>
      </c>
      <c r="AZ21">
        <f ca="1"/>
        <v>208.7</v>
      </c>
      <c r="BA21">
        <f ca="1"/>
        <v>172</v>
      </c>
      <c r="BB21">
        <f ca="1"/>
        <v>171.5</v>
      </c>
      <c r="BC21">
        <f ca="1"/>
        <v>38.299999999999997</v>
      </c>
      <c r="BD21">
        <f ca="1"/>
        <v>71.400000000000006</v>
      </c>
      <c r="BE21">
        <f ca="1"/>
        <v>71.8</v>
      </c>
      <c r="BF21">
        <f ca="1"/>
        <v>47.4</v>
      </c>
      <c r="BG21" cm="1">
        <f t="array" aca="1" ref="BG21:BN21" ca="1">TRANSPOSE((OFFSET($K$27,(ROW(R7)-1)*8,0)):(OFFSET($K$34,(ROW(R7)-1)*8,0)))</f>
        <v>232.2</v>
      </c>
      <c r="BH21">
        <f ca="1"/>
        <v>168.2</v>
      </c>
      <c r="BI21">
        <f ca="1"/>
        <v>161.30000000000001</v>
      </c>
      <c r="BJ21">
        <f ca="1"/>
        <v>164.9</v>
      </c>
      <c r="BK21">
        <f ca="1"/>
        <v>35.700000000000003</v>
      </c>
      <c r="BL21">
        <f ca="1"/>
        <v>72.5</v>
      </c>
      <c r="BM21">
        <f ca="1"/>
        <v>70.8</v>
      </c>
      <c r="BN21">
        <f ca="1"/>
        <v>47.9</v>
      </c>
    </row>
    <row r="22" spans="1:66" x14ac:dyDescent="0.25">
      <c r="A22">
        <v>8</v>
      </c>
      <c r="B22" t="s">
        <v>34</v>
      </c>
      <c r="C22" cm="1">
        <f t="array" aca="1" ref="C22:J22" ca="1">TRANSPOSE((OFFSET($D$27,(ROW(K8)-1)*8,0)):(OFFSET($D$34,(ROW(K8)-1)*8,0)))</f>
        <v>177.6</v>
      </c>
      <c r="D22">
        <f ca="1"/>
        <v>151.19999999999999</v>
      </c>
      <c r="E22">
        <f ca="1"/>
        <v>119.6</v>
      </c>
      <c r="F22">
        <f ca="1"/>
        <v>124.8</v>
      </c>
      <c r="G22">
        <f ca="1"/>
        <v>175.1</v>
      </c>
      <c r="H22">
        <f ca="1"/>
        <v>61.2</v>
      </c>
      <c r="I22">
        <f ca="1"/>
        <v>76.900000000000006</v>
      </c>
      <c r="J22">
        <f ca="1"/>
        <v>49</v>
      </c>
      <c r="K22" cm="1">
        <f t="array" aca="1" ref="K22:R22" ca="1">TRANSPOSE((OFFSET($E$27,(ROW(L8)-1)*8,0)):(OFFSET($E$34,(ROW(L8)-1)*8,0)))</f>
        <v>186.5</v>
      </c>
      <c r="L22">
        <f ca="1"/>
        <v>125.8</v>
      </c>
      <c r="M22">
        <f ca="1"/>
        <v>120.3</v>
      </c>
      <c r="N22">
        <f ca="1"/>
        <v>121.7</v>
      </c>
      <c r="O22">
        <f ca="1"/>
        <v>178.6</v>
      </c>
      <c r="P22">
        <f ca="1"/>
        <v>62.8</v>
      </c>
      <c r="Q22">
        <f ca="1"/>
        <v>70.099999999999994</v>
      </c>
      <c r="R22">
        <f ca="1"/>
        <v>36.4</v>
      </c>
      <c r="S22" cm="1">
        <f t="array" aca="1" ref="S22:Z22" ca="1">TRANSPOSE((OFFSET($F$27,(ROW(M8)-1)*8,0)):(OFFSET($F$34,(ROW(M8)-1)*8,0)))</f>
        <v>179</v>
      </c>
      <c r="T22">
        <f ca="1"/>
        <v>128.1</v>
      </c>
      <c r="U22">
        <f ca="1"/>
        <v>131.80000000000001</v>
      </c>
      <c r="V22">
        <f ca="1"/>
        <v>134.30000000000001</v>
      </c>
      <c r="W22">
        <f ca="1"/>
        <v>179.1</v>
      </c>
      <c r="X22">
        <f ca="1"/>
        <v>102.1</v>
      </c>
      <c r="Y22">
        <f ca="1"/>
        <v>107.1</v>
      </c>
      <c r="Z22">
        <f ca="1"/>
        <v>87.7</v>
      </c>
      <c r="AA22" cm="1">
        <f t="array" aca="1" ref="AA22:AH22" ca="1">TRANSPOSE((OFFSET($G$27,(ROW(N8)-1)*8,0)):(OFFSET($G$34,(ROW(N8)-1)*8,0)))</f>
        <v>183.6</v>
      </c>
      <c r="AB22">
        <f ca="1"/>
        <v>146.9</v>
      </c>
      <c r="AC22">
        <f ca="1"/>
        <v>144</v>
      </c>
      <c r="AD22">
        <f ca="1"/>
        <v>126.1</v>
      </c>
      <c r="AE22">
        <f ca="1"/>
        <v>179.8</v>
      </c>
      <c r="AF22">
        <f ca="1"/>
        <v>90.2</v>
      </c>
      <c r="AG22">
        <f ca="1"/>
        <v>91.8</v>
      </c>
      <c r="AH22">
        <f ca="1"/>
        <v>37</v>
      </c>
      <c r="AI22" cm="1">
        <f t="array" aca="1" ref="AI22:AP22" ca="1">TRANSPOSE((OFFSET($H$27,(ROW(O8)-1)*8,0)):(OFFSET($H$34,(ROW(O8)-1)*8,0)))</f>
        <v>172.5</v>
      </c>
      <c r="AJ22" s="2">
        <f ca="1"/>
        <v>139.69999999999999</v>
      </c>
      <c r="AK22">
        <f ca="1"/>
        <v>127.6</v>
      </c>
      <c r="AL22">
        <f ca="1"/>
        <v>141.5</v>
      </c>
      <c r="AM22">
        <f ca="1"/>
        <v>165.9</v>
      </c>
      <c r="AN22">
        <f ca="1"/>
        <v>39.4</v>
      </c>
      <c r="AO22">
        <f ca="1"/>
        <v>47.6</v>
      </c>
      <c r="AP22">
        <f ca="1"/>
        <v>28.3</v>
      </c>
      <c r="AQ22" cm="1">
        <f t="array" aca="1" ref="AQ22:AX22" ca="1">TRANSPOSE((OFFSET($I$27,(ROW(P8)-1)*8,0)):(OFFSET($I$34,(ROW(P8)-1)*8,0)))</f>
        <v>155.5</v>
      </c>
      <c r="AR22">
        <f ca="1"/>
        <v>124.2</v>
      </c>
      <c r="AS22">
        <f ca="1"/>
        <v>99.3</v>
      </c>
      <c r="AT22">
        <f ca="1"/>
        <v>121.5</v>
      </c>
      <c r="AU22">
        <f ca="1"/>
        <v>142.19999999999999</v>
      </c>
      <c r="AV22">
        <f ca="1"/>
        <v>29.6</v>
      </c>
      <c r="AW22">
        <f ca="1"/>
        <v>37.4</v>
      </c>
      <c r="AX22">
        <f ca="1"/>
        <v>11.9</v>
      </c>
      <c r="AY22" cm="1">
        <f t="array" aca="1" ref="AY22:BF22" ca="1">TRANSPOSE((OFFSET($J$27,(ROW(Q8)-1)*8,0)):(OFFSET($J$34,(ROW(Q8)-1)*8,0)))</f>
        <v>169.7</v>
      </c>
      <c r="AZ22">
        <f ca="1"/>
        <v>141.6</v>
      </c>
      <c r="BA22">
        <f ca="1"/>
        <v>122.4</v>
      </c>
      <c r="BB22">
        <f ca="1"/>
        <v>131.4</v>
      </c>
      <c r="BC22">
        <f ca="1"/>
        <v>167.7</v>
      </c>
      <c r="BD22">
        <f ca="1"/>
        <v>70.2</v>
      </c>
      <c r="BE22">
        <f ca="1"/>
        <v>72.3</v>
      </c>
      <c r="BF22">
        <f ca="1"/>
        <v>53.4</v>
      </c>
      <c r="BG22" cm="1">
        <f t="array" aca="1" ref="BG22:BN22" ca="1">TRANSPOSE((OFFSET($K$27,(ROW(R8)-1)*8,0)):(OFFSET($K$34,(ROW(R8)-1)*8,0)))</f>
        <v>154.1</v>
      </c>
      <c r="BH22">
        <f ca="1"/>
        <v>130.1</v>
      </c>
      <c r="BI22">
        <f ca="1"/>
        <v>91.2</v>
      </c>
      <c r="BJ22">
        <f ca="1"/>
        <v>108.6</v>
      </c>
      <c r="BK22">
        <f ca="1"/>
        <v>145.4</v>
      </c>
      <c r="BL22">
        <f ca="1"/>
        <v>66.400000000000006</v>
      </c>
      <c r="BM22">
        <f ca="1"/>
        <v>62.1</v>
      </c>
      <c r="BN22">
        <f ca="1"/>
        <v>21.9</v>
      </c>
    </row>
    <row r="25" spans="1:66" x14ac:dyDescent="0.25">
      <c r="N25" s="144" t="s">
        <v>267</v>
      </c>
      <c r="O25" s="144"/>
      <c r="P25" s="144"/>
      <c r="Q25" s="144"/>
      <c r="R25" s="144"/>
      <c r="S25" s="144"/>
      <c r="T25" s="144"/>
      <c r="U25" s="144"/>
      <c r="V25" s="144"/>
      <c r="AC25" s="2"/>
      <c r="AJ25"/>
    </row>
    <row r="26" spans="1:66" x14ac:dyDescent="0.25">
      <c r="C26" s="144" t="s">
        <v>92</v>
      </c>
      <c r="D26" s="144"/>
      <c r="E26" s="144"/>
      <c r="F26" s="144"/>
      <c r="G26" s="144"/>
      <c r="H26" s="144"/>
      <c r="I26" s="144"/>
      <c r="J26" s="144"/>
      <c r="K26" s="144"/>
      <c r="AC26" s="2"/>
      <c r="AJ26"/>
    </row>
    <row r="27" spans="1:66" x14ac:dyDescent="0.25">
      <c r="B27">
        <v>1</v>
      </c>
      <c r="C27" t="s">
        <v>259</v>
      </c>
      <c r="D27">
        <v>264.5</v>
      </c>
      <c r="E27">
        <v>246.5</v>
      </c>
      <c r="F27">
        <v>257.3</v>
      </c>
      <c r="G27">
        <v>243.8</v>
      </c>
      <c r="H27">
        <v>246.1</v>
      </c>
      <c r="I27">
        <v>240.6</v>
      </c>
      <c r="J27">
        <v>244</v>
      </c>
      <c r="K27">
        <v>234.9</v>
      </c>
      <c r="AC27" s="2"/>
      <c r="AJ27"/>
    </row>
    <row r="28" spans="1:66" x14ac:dyDescent="0.25">
      <c r="C28" t="s">
        <v>260</v>
      </c>
      <c r="D28">
        <v>186.9</v>
      </c>
      <c r="E28">
        <v>200.1</v>
      </c>
      <c r="F28">
        <v>190.2</v>
      </c>
      <c r="G28">
        <v>202.7</v>
      </c>
      <c r="H28">
        <v>196.3</v>
      </c>
      <c r="I28">
        <v>160</v>
      </c>
      <c r="J28">
        <v>208.7</v>
      </c>
      <c r="K28">
        <v>166.6</v>
      </c>
      <c r="AC28" s="2"/>
      <c r="AJ28"/>
    </row>
    <row r="29" spans="1:66" x14ac:dyDescent="0.25">
      <c r="C29" t="s">
        <v>261</v>
      </c>
      <c r="D29">
        <v>181.1</v>
      </c>
      <c r="E29">
        <v>166.1</v>
      </c>
      <c r="F29">
        <v>189.9</v>
      </c>
      <c r="G29">
        <v>175.9</v>
      </c>
      <c r="H29">
        <v>154</v>
      </c>
      <c r="I29">
        <v>141.80000000000001</v>
      </c>
      <c r="J29">
        <v>172</v>
      </c>
      <c r="K29">
        <v>162.5</v>
      </c>
      <c r="AC29" s="2"/>
      <c r="AJ29"/>
    </row>
    <row r="30" spans="1:66" x14ac:dyDescent="0.25">
      <c r="C30" t="s">
        <v>262</v>
      </c>
      <c r="D30">
        <v>179</v>
      </c>
      <c r="E30">
        <v>188.8</v>
      </c>
      <c r="F30">
        <v>192.3</v>
      </c>
      <c r="G30">
        <v>208.1</v>
      </c>
      <c r="H30">
        <v>169.2</v>
      </c>
      <c r="I30">
        <v>149.4</v>
      </c>
      <c r="J30">
        <v>171.5</v>
      </c>
      <c r="K30">
        <v>165.9</v>
      </c>
      <c r="AC30" s="2"/>
      <c r="AJ30"/>
    </row>
    <row r="31" spans="1:66" x14ac:dyDescent="0.25">
      <c r="C31" t="s">
        <v>263</v>
      </c>
      <c r="D31">
        <v>83</v>
      </c>
      <c r="E31">
        <v>77.400000000000006</v>
      </c>
      <c r="F31">
        <v>75</v>
      </c>
      <c r="G31">
        <v>70</v>
      </c>
      <c r="H31">
        <v>44.1</v>
      </c>
      <c r="I31">
        <v>41.1</v>
      </c>
      <c r="J31">
        <v>45.8</v>
      </c>
      <c r="K31">
        <v>42.7</v>
      </c>
      <c r="AC31" s="2"/>
      <c r="AJ31"/>
    </row>
    <row r="32" spans="1:66" x14ac:dyDescent="0.25">
      <c r="C32" t="s">
        <v>264</v>
      </c>
      <c r="D32">
        <v>77.5</v>
      </c>
      <c r="E32">
        <v>70.900000000000006</v>
      </c>
      <c r="F32">
        <v>119.3</v>
      </c>
      <c r="G32">
        <v>108</v>
      </c>
      <c r="H32">
        <v>34.5</v>
      </c>
      <c r="I32">
        <v>33.200000000000003</v>
      </c>
      <c r="J32">
        <v>71.400000000000006</v>
      </c>
      <c r="K32">
        <v>68.099999999999994</v>
      </c>
      <c r="AC32" s="2"/>
      <c r="AJ32"/>
    </row>
    <row r="33" spans="2:36" x14ac:dyDescent="0.25">
      <c r="C33" t="s">
        <v>265</v>
      </c>
      <c r="D33">
        <v>64.900000000000006</v>
      </c>
      <c r="E33">
        <v>56.6</v>
      </c>
      <c r="F33">
        <v>106.9</v>
      </c>
      <c r="G33">
        <v>97.2</v>
      </c>
      <c r="H33">
        <v>48.9</v>
      </c>
      <c r="I33">
        <v>47.6</v>
      </c>
      <c r="J33">
        <v>71.8</v>
      </c>
      <c r="K33">
        <v>71.099999999999994</v>
      </c>
      <c r="AC33" s="2"/>
      <c r="AJ33"/>
    </row>
    <row r="34" spans="2:36" x14ac:dyDescent="0.25">
      <c r="C34" t="s">
        <v>266</v>
      </c>
      <c r="D34">
        <v>49.3</v>
      </c>
      <c r="E34">
        <v>45.9</v>
      </c>
      <c r="F34">
        <v>98.3</v>
      </c>
      <c r="G34">
        <v>66.599999999999994</v>
      </c>
      <c r="H34">
        <v>30.8</v>
      </c>
      <c r="I34">
        <v>27.6</v>
      </c>
      <c r="J34">
        <v>47.4</v>
      </c>
      <c r="K34">
        <v>48.9</v>
      </c>
      <c r="AC34" s="2"/>
      <c r="AJ34"/>
    </row>
    <row r="35" spans="2:36" x14ac:dyDescent="0.25">
      <c r="B35">
        <v>2</v>
      </c>
      <c r="C35" t="s">
        <v>259</v>
      </c>
      <c r="D35">
        <v>264.5</v>
      </c>
      <c r="E35">
        <v>246.5</v>
      </c>
      <c r="F35">
        <v>257.3</v>
      </c>
      <c r="G35">
        <v>243.8</v>
      </c>
      <c r="H35">
        <v>246.1</v>
      </c>
      <c r="I35">
        <v>240.6</v>
      </c>
      <c r="J35">
        <v>244</v>
      </c>
      <c r="K35">
        <v>234.9</v>
      </c>
      <c r="M35">
        <v>2</v>
      </c>
      <c r="N35" t="s">
        <v>259</v>
      </c>
      <c r="O35">
        <v>246.5</v>
      </c>
      <c r="P35">
        <v>246.3</v>
      </c>
      <c r="Q35">
        <f>(O35-P35)*100/O35</f>
        <v>8.1135902636912227E-2</v>
      </c>
      <c r="R35">
        <v>243.8</v>
      </c>
      <c r="S35">
        <v>242.3</v>
      </c>
      <c r="U35">
        <v>240.6</v>
      </c>
      <c r="V35">
        <v>235.7</v>
      </c>
      <c r="X35">
        <v>234.9</v>
      </c>
      <c r="Y35">
        <v>228.3</v>
      </c>
      <c r="AC35" s="2"/>
      <c r="AJ35"/>
    </row>
    <row r="36" spans="2:36" x14ac:dyDescent="0.25">
      <c r="C36" t="s">
        <v>260</v>
      </c>
      <c r="D36">
        <v>186.9</v>
      </c>
      <c r="E36">
        <v>200.1</v>
      </c>
      <c r="F36">
        <v>190.2</v>
      </c>
      <c r="G36">
        <v>202.7</v>
      </c>
      <c r="H36">
        <v>196.3</v>
      </c>
      <c r="I36">
        <v>160</v>
      </c>
      <c r="J36">
        <v>208.7</v>
      </c>
      <c r="K36">
        <v>166.6</v>
      </c>
      <c r="N36" t="s">
        <v>260</v>
      </c>
      <c r="O36">
        <v>200.1</v>
      </c>
      <c r="P36">
        <v>191.1</v>
      </c>
      <c r="Q36">
        <f t="shared" ref="Q36:Q90" si="0">(O36-P36)*100/O36</f>
        <v>4.497751124437781</v>
      </c>
      <c r="R36">
        <v>202.7</v>
      </c>
      <c r="S36">
        <v>193.4</v>
      </c>
      <c r="U36">
        <v>160</v>
      </c>
      <c r="V36">
        <v>161</v>
      </c>
      <c r="X36">
        <v>166.6</v>
      </c>
      <c r="Y36">
        <v>168.1</v>
      </c>
      <c r="AC36" s="2"/>
      <c r="AJ36"/>
    </row>
    <row r="37" spans="2:36" x14ac:dyDescent="0.25">
      <c r="C37" t="s">
        <v>261</v>
      </c>
      <c r="D37">
        <v>181.1</v>
      </c>
      <c r="E37">
        <v>166.1</v>
      </c>
      <c r="F37">
        <v>189.9</v>
      </c>
      <c r="G37">
        <v>175.9</v>
      </c>
      <c r="H37">
        <v>154</v>
      </c>
      <c r="I37">
        <v>141.80000000000001</v>
      </c>
      <c r="J37">
        <v>172</v>
      </c>
      <c r="K37">
        <v>162.5</v>
      </c>
      <c r="N37" t="s">
        <v>261</v>
      </c>
      <c r="O37">
        <v>166.1</v>
      </c>
      <c r="P37">
        <v>144.5</v>
      </c>
      <c r="Q37">
        <f t="shared" si="0"/>
        <v>13.004214328717637</v>
      </c>
      <c r="R37">
        <v>175.9</v>
      </c>
      <c r="S37">
        <v>171.4</v>
      </c>
      <c r="U37">
        <v>141.80000000000001</v>
      </c>
      <c r="V37">
        <v>143.4</v>
      </c>
      <c r="X37">
        <v>162.5</v>
      </c>
      <c r="Y37">
        <v>162.1</v>
      </c>
      <c r="AC37" s="2"/>
      <c r="AJ37"/>
    </row>
    <row r="38" spans="2:36" x14ac:dyDescent="0.25">
      <c r="C38" t="s">
        <v>262</v>
      </c>
      <c r="D38">
        <v>179</v>
      </c>
      <c r="E38">
        <v>188.8</v>
      </c>
      <c r="F38">
        <v>192.3</v>
      </c>
      <c r="G38">
        <v>208.1</v>
      </c>
      <c r="H38">
        <v>169.2</v>
      </c>
      <c r="I38">
        <v>149.4</v>
      </c>
      <c r="J38">
        <v>171.5</v>
      </c>
      <c r="K38">
        <v>165.9</v>
      </c>
      <c r="N38" t="s">
        <v>262</v>
      </c>
      <c r="O38">
        <v>188.8</v>
      </c>
      <c r="P38">
        <v>184.6</v>
      </c>
      <c r="Q38">
        <f t="shared" si="0"/>
        <v>2.2245762711864496</v>
      </c>
      <c r="R38">
        <v>208.1</v>
      </c>
      <c r="S38">
        <v>192.2</v>
      </c>
      <c r="U38">
        <v>149.4</v>
      </c>
      <c r="V38">
        <v>150.4</v>
      </c>
      <c r="X38">
        <v>165.9</v>
      </c>
      <c r="Y38">
        <v>166.2</v>
      </c>
      <c r="AC38" s="2"/>
      <c r="AJ38"/>
    </row>
    <row r="39" spans="2:36" x14ac:dyDescent="0.25">
      <c r="C39" t="s">
        <v>263</v>
      </c>
      <c r="D39">
        <v>83</v>
      </c>
      <c r="E39">
        <v>77.400000000000006</v>
      </c>
      <c r="F39">
        <v>75</v>
      </c>
      <c r="G39">
        <v>70</v>
      </c>
      <c r="H39">
        <v>44.1</v>
      </c>
      <c r="I39">
        <v>41.1</v>
      </c>
      <c r="J39">
        <v>45.8</v>
      </c>
      <c r="K39">
        <v>42.7</v>
      </c>
      <c r="N39" t="s">
        <v>263</v>
      </c>
      <c r="O39">
        <v>77.5</v>
      </c>
      <c r="P39">
        <v>78.2</v>
      </c>
      <c r="Q39">
        <f t="shared" si="0"/>
        <v>-0.90322580645161654</v>
      </c>
      <c r="R39">
        <v>70</v>
      </c>
      <c r="S39">
        <v>70.2</v>
      </c>
      <c r="U39">
        <v>41.2</v>
      </c>
      <c r="V39">
        <v>34.5</v>
      </c>
      <c r="X39">
        <v>42.7</v>
      </c>
      <c r="Y39">
        <v>35.700000000000003</v>
      </c>
      <c r="AC39" s="2"/>
      <c r="AJ39"/>
    </row>
    <row r="40" spans="2:36" x14ac:dyDescent="0.25">
      <c r="C40" t="s">
        <v>264</v>
      </c>
      <c r="D40">
        <v>77.5</v>
      </c>
      <c r="E40">
        <v>70.900000000000006</v>
      </c>
      <c r="F40">
        <v>119.3</v>
      </c>
      <c r="G40">
        <v>108</v>
      </c>
      <c r="H40">
        <v>34.5</v>
      </c>
      <c r="I40">
        <v>33.200000000000003</v>
      </c>
      <c r="J40">
        <v>71.400000000000006</v>
      </c>
      <c r="K40">
        <v>68.099999999999994</v>
      </c>
      <c r="N40" t="s">
        <v>264</v>
      </c>
      <c r="O40">
        <v>70.900000000000006</v>
      </c>
      <c r="P40">
        <v>73.599999999999994</v>
      </c>
      <c r="Q40">
        <f t="shared" si="0"/>
        <v>-3.8081805359661334</v>
      </c>
      <c r="R40">
        <v>108</v>
      </c>
      <c r="S40">
        <v>108.9</v>
      </c>
      <c r="U40">
        <v>33.200000000000003</v>
      </c>
      <c r="V40">
        <v>34.799999999999997</v>
      </c>
      <c r="X40">
        <v>68.099999999999994</v>
      </c>
      <c r="Y40">
        <v>69.400000000000006</v>
      </c>
      <c r="AC40" s="2"/>
      <c r="AJ40"/>
    </row>
    <row r="41" spans="2:36" x14ac:dyDescent="0.25">
      <c r="C41" t="s">
        <v>265</v>
      </c>
      <c r="D41">
        <v>64.900000000000006</v>
      </c>
      <c r="E41">
        <v>56.6</v>
      </c>
      <c r="F41">
        <v>106.9</v>
      </c>
      <c r="G41">
        <v>97.2</v>
      </c>
      <c r="H41">
        <v>48.9</v>
      </c>
      <c r="I41">
        <v>47.6</v>
      </c>
      <c r="J41">
        <v>71.8</v>
      </c>
      <c r="K41">
        <v>71.099999999999994</v>
      </c>
      <c r="N41" t="s">
        <v>265</v>
      </c>
      <c r="O41">
        <v>56.6</v>
      </c>
      <c r="P41">
        <v>57.3</v>
      </c>
      <c r="Q41">
        <f t="shared" si="0"/>
        <v>-1.2367491166077662</v>
      </c>
      <c r="R41">
        <v>97.2</v>
      </c>
      <c r="S41">
        <v>98.9</v>
      </c>
      <c r="U41">
        <v>47.6</v>
      </c>
      <c r="V41">
        <v>48.4</v>
      </c>
      <c r="X41">
        <v>71.099999999999994</v>
      </c>
      <c r="Y41">
        <v>68.3</v>
      </c>
      <c r="AC41" s="2"/>
      <c r="AJ41"/>
    </row>
    <row r="42" spans="2:36" x14ac:dyDescent="0.25">
      <c r="C42" t="s">
        <v>266</v>
      </c>
      <c r="D42">
        <v>49.3</v>
      </c>
      <c r="E42">
        <v>45.9</v>
      </c>
      <c r="F42">
        <v>98.3</v>
      </c>
      <c r="G42">
        <v>66.599999999999994</v>
      </c>
      <c r="H42">
        <v>30.8</v>
      </c>
      <c r="I42">
        <v>27.6</v>
      </c>
      <c r="J42">
        <v>47.4</v>
      </c>
      <c r="K42">
        <v>48.9</v>
      </c>
      <c r="N42" t="s">
        <v>266</v>
      </c>
      <c r="O42">
        <v>45.9</v>
      </c>
      <c r="P42">
        <v>44.7</v>
      </c>
      <c r="Q42">
        <f t="shared" si="0"/>
        <v>2.614379084967311</v>
      </c>
      <c r="R42">
        <v>66.599999999999994</v>
      </c>
      <c r="S42">
        <v>66.900000000000006</v>
      </c>
      <c r="U42">
        <v>27.6</v>
      </c>
      <c r="V42">
        <v>29.4</v>
      </c>
      <c r="X42">
        <v>48.9</v>
      </c>
      <c r="Y42">
        <v>47.9</v>
      </c>
      <c r="AC42" s="2"/>
      <c r="AJ42"/>
    </row>
    <row r="43" spans="2:36" x14ac:dyDescent="0.25">
      <c r="B43">
        <v>3</v>
      </c>
      <c r="C43" t="s">
        <v>259</v>
      </c>
      <c r="D43">
        <v>264.5</v>
      </c>
      <c r="E43">
        <v>246.3</v>
      </c>
      <c r="F43">
        <v>257.3</v>
      </c>
      <c r="G43">
        <v>242.3</v>
      </c>
      <c r="H43">
        <v>246.1</v>
      </c>
      <c r="I43">
        <v>235.7</v>
      </c>
      <c r="J43">
        <v>244</v>
      </c>
      <c r="K43">
        <v>228.3</v>
      </c>
      <c r="M43">
        <v>3</v>
      </c>
      <c r="N43" t="s">
        <v>259</v>
      </c>
      <c r="O43">
        <v>246.5</v>
      </c>
      <c r="P43">
        <v>246.4</v>
      </c>
      <c r="Q43">
        <f t="shared" si="0"/>
        <v>4.0567951318456114E-2</v>
      </c>
      <c r="R43">
        <v>243.8</v>
      </c>
      <c r="S43">
        <v>243.3</v>
      </c>
      <c r="U43">
        <v>240.6</v>
      </c>
      <c r="V43">
        <v>106.6</v>
      </c>
      <c r="X43">
        <v>234.9</v>
      </c>
      <c r="Y43">
        <v>108.8</v>
      </c>
      <c r="AC43" s="2"/>
      <c r="AJ43"/>
    </row>
    <row r="44" spans="2:36" x14ac:dyDescent="0.25">
      <c r="C44" t="s">
        <v>260</v>
      </c>
      <c r="D44">
        <v>186.9</v>
      </c>
      <c r="E44">
        <v>191.1</v>
      </c>
      <c r="F44">
        <v>190.2</v>
      </c>
      <c r="G44">
        <v>193.4</v>
      </c>
      <c r="H44">
        <v>196.3</v>
      </c>
      <c r="I44">
        <v>161</v>
      </c>
      <c r="J44">
        <v>208.7</v>
      </c>
      <c r="K44">
        <v>168.1</v>
      </c>
      <c r="N44" t="s">
        <v>260</v>
      </c>
      <c r="O44">
        <v>200.1</v>
      </c>
      <c r="P44">
        <v>89.9</v>
      </c>
      <c r="Q44">
        <f t="shared" si="0"/>
        <v>55.072463768115938</v>
      </c>
      <c r="R44">
        <v>202.7</v>
      </c>
      <c r="S44">
        <v>91.1</v>
      </c>
      <c r="U44">
        <v>160</v>
      </c>
      <c r="V44">
        <v>76.400000000000006</v>
      </c>
      <c r="X44">
        <v>166.6</v>
      </c>
      <c r="Y44">
        <v>80.3</v>
      </c>
      <c r="AC44" s="2"/>
      <c r="AJ44"/>
    </row>
    <row r="45" spans="2:36" x14ac:dyDescent="0.25">
      <c r="C45" t="s">
        <v>261</v>
      </c>
      <c r="D45">
        <v>181.1</v>
      </c>
      <c r="E45">
        <v>144.5</v>
      </c>
      <c r="F45">
        <v>189.9</v>
      </c>
      <c r="G45">
        <v>171.4</v>
      </c>
      <c r="H45">
        <v>154</v>
      </c>
      <c r="I45">
        <v>143.4</v>
      </c>
      <c r="J45">
        <v>172</v>
      </c>
      <c r="K45">
        <v>162.1</v>
      </c>
      <c r="N45" t="s">
        <v>261</v>
      </c>
      <c r="O45">
        <v>166.1</v>
      </c>
      <c r="P45">
        <v>67.8</v>
      </c>
      <c r="Q45">
        <f t="shared" si="0"/>
        <v>59.181216134858524</v>
      </c>
      <c r="R45">
        <v>175.9</v>
      </c>
      <c r="S45">
        <v>71.3</v>
      </c>
      <c r="U45">
        <v>141.80000000000001</v>
      </c>
      <c r="V45">
        <v>59.2</v>
      </c>
      <c r="X45">
        <v>162.5</v>
      </c>
      <c r="Y45">
        <v>61.8</v>
      </c>
      <c r="AC45" s="2"/>
      <c r="AJ45"/>
    </row>
    <row r="46" spans="2:36" x14ac:dyDescent="0.25">
      <c r="C46" t="s">
        <v>262</v>
      </c>
      <c r="D46">
        <v>179</v>
      </c>
      <c r="E46">
        <v>184.6</v>
      </c>
      <c r="F46">
        <v>192.3</v>
      </c>
      <c r="G46">
        <v>192.2</v>
      </c>
      <c r="H46">
        <v>169.2</v>
      </c>
      <c r="I46">
        <v>150.4</v>
      </c>
      <c r="J46">
        <v>171.5</v>
      </c>
      <c r="K46">
        <v>166.2</v>
      </c>
      <c r="N46" t="s">
        <v>262</v>
      </c>
      <c r="O46">
        <v>188.8</v>
      </c>
      <c r="P46">
        <v>84.9</v>
      </c>
      <c r="Q46">
        <f t="shared" si="0"/>
        <v>55.031779661016948</v>
      </c>
      <c r="R46">
        <v>208.1</v>
      </c>
      <c r="S46">
        <v>87.2</v>
      </c>
      <c r="U46">
        <v>149.4</v>
      </c>
      <c r="V46">
        <v>69.8</v>
      </c>
      <c r="X46">
        <v>165.9</v>
      </c>
      <c r="Y46">
        <v>68.5</v>
      </c>
      <c r="AC46" s="2"/>
      <c r="AJ46"/>
    </row>
    <row r="47" spans="2:36" x14ac:dyDescent="0.25">
      <c r="C47" t="s">
        <v>263</v>
      </c>
      <c r="D47">
        <v>83.8</v>
      </c>
      <c r="E47">
        <v>78.2</v>
      </c>
      <c r="F47">
        <v>75.099999999999994</v>
      </c>
      <c r="G47">
        <v>70.2</v>
      </c>
      <c r="H47">
        <v>37</v>
      </c>
      <c r="I47">
        <v>34.5</v>
      </c>
      <c r="J47">
        <v>38.299999999999997</v>
      </c>
      <c r="K47">
        <v>35.700000000000003</v>
      </c>
      <c r="N47" t="s">
        <v>263</v>
      </c>
      <c r="O47">
        <v>77.5</v>
      </c>
      <c r="P47">
        <v>77.5</v>
      </c>
      <c r="Q47">
        <f t="shared" si="0"/>
        <v>0</v>
      </c>
      <c r="R47">
        <v>70</v>
      </c>
      <c r="S47">
        <v>70</v>
      </c>
      <c r="U47">
        <v>41.2</v>
      </c>
      <c r="V47">
        <v>41.2</v>
      </c>
      <c r="X47">
        <v>42.7</v>
      </c>
      <c r="Y47">
        <v>42.7</v>
      </c>
      <c r="AC47" s="2"/>
      <c r="AJ47"/>
    </row>
    <row r="48" spans="2:36" x14ac:dyDescent="0.25">
      <c r="C48" t="s">
        <v>264</v>
      </c>
      <c r="D48">
        <v>77.5</v>
      </c>
      <c r="E48">
        <v>73.599999999999994</v>
      </c>
      <c r="F48">
        <v>119.3</v>
      </c>
      <c r="G48">
        <v>108.9</v>
      </c>
      <c r="H48">
        <v>34.5</v>
      </c>
      <c r="I48">
        <v>34.799999999999997</v>
      </c>
      <c r="J48">
        <v>71.400000000000006</v>
      </c>
      <c r="K48">
        <v>69.400000000000006</v>
      </c>
      <c r="N48" t="s">
        <v>264</v>
      </c>
      <c r="O48">
        <v>70.900000000000006</v>
      </c>
      <c r="P48">
        <v>70.900000000000006</v>
      </c>
      <c r="Q48">
        <f t="shared" si="0"/>
        <v>0</v>
      </c>
      <c r="R48">
        <v>108</v>
      </c>
      <c r="S48">
        <v>108.9</v>
      </c>
      <c r="U48">
        <v>33.200000000000003</v>
      </c>
      <c r="V48">
        <v>35.1</v>
      </c>
      <c r="X48">
        <v>68.099999999999994</v>
      </c>
      <c r="Y48">
        <v>72.900000000000006</v>
      </c>
      <c r="AC48" s="2"/>
      <c r="AJ48"/>
    </row>
    <row r="49" spans="2:36" x14ac:dyDescent="0.25">
      <c r="C49" t="s">
        <v>265</v>
      </c>
      <c r="D49">
        <v>64.900000000000006</v>
      </c>
      <c r="E49">
        <v>57.3</v>
      </c>
      <c r="F49">
        <v>106.9</v>
      </c>
      <c r="G49">
        <v>98.9</v>
      </c>
      <c r="H49">
        <v>48.9</v>
      </c>
      <c r="I49">
        <v>48.4</v>
      </c>
      <c r="J49">
        <v>71.8</v>
      </c>
      <c r="K49">
        <v>68.3</v>
      </c>
      <c r="N49" t="s">
        <v>265</v>
      </c>
      <c r="O49">
        <v>56.6</v>
      </c>
      <c r="P49">
        <v>57.3</v>
      </c>
      <c r="Q49">
        <f t="shared" si="0"/>
        <v>-1.2367491166077662</v>
      </c>
      <c r="R49">
        <v>97.2</v>
      </c>
      <c r="S49">
        <v>98.5</v>
      </c>
      <c r="U49">
        <v>47.6</v>
      </c>
      <c r="V49">
        <v>33.1</v>
      </c>
      <c r="X49">
        <v>71.099999999999994</v>
      </c>
      <c r="Y49">
        <v>70.599999999999994</v>
      </c>
      <c r="AC49" s="2"/>
      <c r="AJ49"/>
    </row>
    <row r="50" spans="2:36" x14ac:dyDescent="0.25">
      <c r="C50" t="s">
        <v>266</v>
      </c>
      <c r="D50">
        <v>49.3</v>
      </c>
      <c r="E50">
        <v>44.7</v>
      </c>
      <c r="F50">
        <v>98.3</v>
      </c>
      <c r="G50">
        <v>66.900000000000006</v>
      </c>
      <c r="H50">
        <v>30.8</v>
      </c>
      <c r="I50">
        <v>29.4</v>
      </c>
      <c r="J50">
        <v>47.4</v>
      </c>
      <c r="K50">
        <v>47.9</v>
      </c>
      <c r="N50" t="s">
        <v>266</v>
      </c>
      <c r="O50">
        <v>45.9</v>
      </c>
      <c r="P50">
        <v>30</v>
      </c>
      <c r="Q50">
        <f t="shared" si="0"/>
        <v>34.640522875816991</v>
      </c>
      <c r="R50">
        <v>66.599999999999994</v>
      </c>
      <c r="S50">
        <v>67.400000000000006</v>
      </c>
      <c r="U50">
        <v>27.6</v>
      </c>
      <c r="V50">
        <v>29.6</v>
      </c>
      <c r="X50">
        <v>48.9</v>
      </c>
      <c r="Y50">
        <v>31.9</v>
      </c>
      <c r="AC50" s="2"/>
      <c r="AJ50"/>
    </row>
    <row r="51" spans="2:36" x14ac:dyDescent="0.25">
      <c r="B51">
        <v>4</v>
      </c>
      <c r="C51" t="s">
        <v>259</v>
      </c>
      <c r="D51">
        <v>177.6</v>
      </c>
      <c r="E51">
        <v>248.3</v>
      </c>
      <c r="F51">
        <v>179</v>
      </c>
      <c r="G51">
        <v>245.1</v>
      </c>
      <c r="H51">
        <v>172.5</v>
      </c>
      <c r="I51">
        <v>239.3</v>
      </c>
      <c r="J51">
        <v>169.7</v>
      </c>
      <c r="K51">
        <v>235.6</v>
      </c>
      <c r="Q51" t="e">
        <f t="shared" si="0"/>
        <v>#DIV/0!</v>
      </c>
      <c r="AC51" s="2"/>
      <c r="AJ51"/>
    </row>
    <row r="52" spans="2:36" x14ac:dyDescent="0.25">
      <c r="C52" t="s">
        <v>260</v>
      </c>
      <c r="D52">
        <v>151.19999999999999</v>
      </c>
      <c r="E52">
        <v>178</v>
      </c>
      <c r="F52">
        <v>128.1</v>
      </c>
      <c r="G52">
        <v>183.2</v>
      </c>
      <c r="H52">
        <v>139.69999999999999</v>
      </c>
      <c r="I52">
        <v>175.7</v>
      </c>
      <c r="J52">
        <v>141.6</v>
      </c>
      <c r="K52">
        <v>166.9</v>
      </c>
      <c r="Q52" t="e">
        <f t="shared" si="0"/>
        <v>#DIV/0!</v>
      </c>
      <c r="AC52" s="2"/>
      <c r="AJ52"/>
    </row>
    <row r="53" spans="2:36" x14ac:dyDescent="0.25">
      <c r="C53" t="s">
        <v>261</v>
      </c>
      <c r="D53">
        <v>119.6</v>
      </c>
      <c r="E53">
        <v>153.4</v>
      </c>
      <c r="F53">
        <v>131.80000000000001</v>
      </c>
      <c r="G53">
        <v>185.5</v>
      </c>
      <c r="H53">
        <v>127.6</v>
      </c>
      <c r="I53">
        <v>138.69999999999999</v>
      </c>
      <c r="J53">
        <v>122.4</v>
      </c>
      <c r="K53">
        <v>162.69999999999999</v>
      </c>
      <c r="Q53" t="e">
        <f t="shared" si="0"/>
        <v>#DIV/0!</v>
      </c>
      <c r="AC53" s="2"/>
      <c r="AJ53"/>
    </row>
    <row r="54" spans="2:36" x14ac:dyDescent="0.25">
      <c r="C54" t="s">
        <v>262</v>
      </c>
      <c r="D54">
        <v>124.8</v>
      </c>
      <c r="E54">
        <v>157.4</v>
      </c>
      <c r="F54">
        <v>134.30000000000001</v>
      </c>
      <c r="G54">
        <v>163.69999999999999</v>
      </c>
      <c r="H54">
        <v>141.5</v>
      </c>
      <c r="I54">
        <v>175.5</v>
      </c>
      <c r="J54">
        <v>131.4</v>
      </c>
      <c r="K54">
        <v>153.9</v>
      </c>
      <c r="Q54" t="e">
        <f t="shared" si="0"/>
        <v>#DIV/0!</v>
      </c>
      <c r="AC54" s="2"/>
      <c r="AJ54"/>
    </row>
    <row r="55" spans="2:36" x14ac:dyDescent="0.25">
      <c r="C55" t="s">
        <v>263</v>
      </c>
      <c r="D55">
        <v>175.1</v>
      </c>
      <c r="E55">
        <v>238.1</v>
      </c>
      <c r="F55">
        <v>179.1</v>
      </c>
      <c r="G55">
        <v>239.7</v>
      </c>
      <c r="H55">
        <v>165.9</v>
      </c>
      <c r="I55">
        <v>215</v>
      </c>
      <c r="J55">
        <v>167.7</v>
      </c>
      <c r="K55">
        <v>221.8</v>
      </c>
      <c r="Q55" t="e">
        <f t="shared" si="0"/>
        <v>#DIV/0!</v>
      </c>
      <c r="AC55" s="2"/>
      <c r="AJ55"/>
    </row>
    <row r="56" spans="2:36" x14ac:dyDescent="0.25">
      <c r="C56" t="s">
        <v>264</v>
      </c>
      <c r="D56">
        <v>61.2</v>
      </c>
      <c r="E56">
        <v>83.3</v>
      </c>
      <c r="F56">
        <v>102.1</v>
      </c>
      <c r="G56">
        <v>121.7</v>
      </c>
      <c r="H56">
        <v>39.4</v>
      </c>
      <c r="I56">
        <v>39.4</v>
      </c>
      <c r="J56">
        <v>70.2</v>
      </c>
      <c r="K56">
        <v>88.9</v>
      </c>
      <c r="Q56" t="e">
        <f t="shared" si="0"/>
        <v>#DIV/0!</v>
      </c>
      <c r="AC56" s="2"/>
      <c r="AJ56"/>
    </row>
    <row r="57" spans="2:36" x14ac:dyDescent="0.25">
      <c r="C57" t="s">
        <v>265</v>
      </c>
      <c r="D57">
        <v>76.900000000000006</v>
      </c>
      <c r="E57">
        <v>95.9</v>
      </c>
      <c r="F57">
        <v>107.1</v>
      </c>
      <c r="G57">
        <v>114.8</v>
      </c>
      <c r="H57">
        <v>47.6</v>
      </c>
      <c r="I57">
        <v>48.2</v>
      </c>
      <c r="J57">
        <v>72.3</v>
      </c>
      <c r="K57">
        <v>81.099999999999994</v>
      </c>
      <c r="Q57" t="e">
        <f t="shared" si="0"/>
        <v>#DIV/0!</v>
      </c>
      <c r="AC57" s="2"/>
      <c r="AJ57"/>
    </row>
    <row r="58" spans="2:36" x14ac:dyDescent="0.25">
      <c r="C58" t="s">
        <v>266</v>
      </c>
      <c r="D58">
        <v>49</v>
      </c>
      <c r="E58">
        <v>28.6</v>
      </c>
      <c r="F58">
        <v>87.7</v>
      </c>
      <c r="G58">
        <v>48.8</v>
      </c>
      <c r="H58">
        <v>28.3</v>
      </c>
      <c r="I58">
        <v>17.600000000000001</v>
      </c>
      <c r="J58">
        <v>53.4</v>
      </c>
      <c r="K58">
        <v>27.2</v>
      </c>
      <c r="Q58" t="e">
        <f t="shared" si="0"/>
        <v>#DIV/0!</v>
      </c>
      <c r="AC58" s="2"/>
      <c r="AJ58"/>
    </row>
    <row r="59" spans="2:36" x14ac:dyDescent="0.25">
      <c r="B59">
        <v>5</v>
      </c>
      <c r="C59" t="s">
        <v>259</v>
      </c>
      <c r="D59">
        <v>177.6</v>
      </c>
      <c r="E59">
        <v>248.8</v>
      </c>
      <c r="F59">
        <v>179</v>
      </c>
      <c r="G59">
        <v>244.8</v>
      </c>
      <c r="H59">
        <v>172.5</v>
      </c>
      <c r="I59">
        <v>209</v>
      </c>
      <c r="J59">
        <v>169.7</v>
      </c>
      <c r="K59">
        <v>203.6</v>
      </c>
      <c r="M59">
        <v>5</v>
      </c>
      <c r="N59" t="s">
        <v>259</v>
      </c>
      <c r="O59">
        <v>248.3</v>
      </c>
      <c r="P59">
        <v>248.8</v>
      </c>
      <c r="Q59">
        <f t="shared" si="0"/>
        <v>-0.20136931131695529</v>
      </c>
      <c r="R59">
        <v>245.1</v>
      </c>
      <c r="S59">
        <v>244.8</v>
      </c>
      <c r="U59">
        <v>239.3</v>
      </c>
      <c r="V59">
        <v>209</v>
      </c>
      <c r="X59">
        <v>235.6</v>
      </c>
      <c r="Y59">
        <v>203.6</v>
      </c>
      <c r="AC59" s="2"/>
      <c r="AJ59"/>
    </row>
    <row r="60" spans="2:36" x14ac:dyDescent="0.25">
      <c r="C60" t="s">
        <v>260</v>
      </c>
      <c r="D60">
        <v>151.19999999999999</v>
      </c>
      <c r="E60">
        <v>169.7</v>
      </c>
      <c r="F60">
        <v>128.1</v>
      </c>
      <c r="G60">
        <v>195.4</v>
      </c>
      <c r="H60">
        <v>139.69999999999999</v>
      </c>
      <c r="I60">
        <v>164.2</v>
      </c>
      <c r="J60">
        <v>141.6</v>
      </c>
      <c r="K60">
        <v>173.4</v>
      </c>
      <c r="N60" t="s">
        <v>260</v>
      </c>
      <c r="O60">
        <v>178</v>
      </c>
      <c r="P60">
        <v>169.7</v>
      </c>
      <c r="Q60">
        <f t="shared" si="0"/>
        <v>4.6629213483146135</v>
      </c>
      <c r="R60">
        <v>183.2</v>
      </c>
      <c r="S60">
        <v>195.4</v>
      </c>
      <c r="U60">
        <v>175.7</v>
      </c>
      <c r="V60">
        <v>164.2</v>
      </c>
      <c r="X60">
        <v>166.9</v>
      </c>
      <c r="Y60">
        <v>173.4</v>
      </c>
      <c r="AC60" s="2"/>
      <c r="AJ60"/>
    </row>
    <row r="61" spans="2:36" x14ac:dyDescent="0.25">
      <c r="C61" t="s">
        <v>261</v>
      </c>
      <c r="D61">
        <v>119.6</v>
      </c>
      <c r="E61">
        <v>162.69999999999999</v>
      </c>
      <c r="F61">
        <v>131.80000000000001</v>
      </c>
      <c r="G61">
        <v>193</v>
      </c>
      <c r="H61">
        <v>127.6</v>
      </c>
      <c r="I61">
        <v>135.4</v>
      </c>
      <c r="J61">
        <v>122.4</v>
      </c>
      <c r="K61">
        <v>122</v>
      </c>
      <c r="N61" t="s">
        <v>261</v>
      </c>
      <c r="O61">
        <v>153.4</v>
      </c>
      <c r="P61">
        <v>162.69999999999999</v>
      </c>
      <c r="Q61">
        <f t="shared" si="0"/>
        <v>-6.0625814863102887</v>
      </c>
      <c r="R61">
        <v>185.5</v>
      </c>
      <c r="S61">
        <v>193</v>
      </c>
      <c r="U61">
        <v>138.69999999999999</v>
      </c>
      <c r="V61">
        <v>135.4</v>
      </c>
      <c r="X61">
        <v>162.69999999999999</v>
      </c>
      <c r="Y61">
        <v>122</v>
      </c>
      <c r="AC61" s="2"/>
      <c r="AJ61"/>
    </row>
    <row r="62" spans="2:36" x14ac:dyDescent="0.25">
      <c r="C62" t="s">
        <v>262</v>
      </c>
      <c r="D62">
        <v>124.8</v>
      </c>
      <c r="E62">
        <v>161.9</v>
      </c>
      <c r="F62">
        <v>134.30000000000001</v>
      </c>
      <c r="G62">
        <v>168.1</v>
      </c>
      <c r="H62">
        <v>141.5</v>
      </c>
      <c r="I62">
        <v>161.80000000000001</v>
      </c>
      <c r="J62">
        <v>131.4</v>
      </c>
      <c r="K62">
        <v>144.6</v>
      </c>
      <c r="N62" t="s">
        <v>262</v>
      </c>
      <c r="O62">
        <v>157.4</v>
      </c>
      <c r="P62">
        <v>161.9</v>
      </c>
      <c r="Q62">
        <f t="shared" si="0"/>
        <v>-2.8589580686149936</v>
      </c>
      <c r="R62">
        <v>163.69999999999999</v>
      </c>
      <c r="S62">
        <v>168.1</v>
      </c>
      <c r="U62">
        <v>175.5</v>
      </c>
      <c r="V62">
        <v>161.80000000000001</v>
      </c>
      <c r="X62">
        <v>153.9</v>
      </c>
      <c r="Y62">
        <v>144.6</v>
      </c>
      <c r="AC62" s="2"/>
      <c r="AJ62"/>
    </row>
    <row r="63" spans="2:36" x14ac:dyDescent="0.25">
      <c r="C63" t="s">
        <v>263</v>
      </c>
      <c r="D63">
        <v>175.1</v>
      </c>
      <c r="E63">
        <v>238.8</v>
      </c>
      <c r="F63">
        <v>179.1</v>
      </c>
      <c r="G63">
        <v>239.8</v>
      </c>
      <c r="H63">
        <v>165.9</v>
      </c>
      <c r="I63">
        <v>190.6</v>
      </c>
      <c r="J63">
        <v>167.7</v>
      </c>
      <c r="K63">
        <v>193.8</v>
      </c>
      <c r="N63" t="s">
        <v>263</v>
      </c>
      <c r="O63">
        <v>238</v>
      </c>
      <c r="P63">
        <v>238.3</v>
      </c>
      <c r="Q63">
        <f t="shared" si="0"/>
        <v>-0.126050420168072</v>
      </c>
      <c r="R63">
        <v>239.5</v>
      </c>
      <c r="S63">
        <v>239.9</v>
      </c>
      <c r="U63">
        <v>215</v>
      </c>
      <c r="V63">
        <v>215.9</v>
      </c>
      <c r="X63">
        <v>221.8</v>
      </c>
      <c r="Y63">
        <v>222</v>
      </c>
      <c r="AC63" s="2"/>
      <c r="AJ63"/>
    </row>
    <row r="64" spans="2:36" x14ac:dyDescent="0.25">
      <c r="C64" t="s">
        <v>264</v>
      </c>
      <c r="D64">
        <v>61.2</v>
      </c>
      <c r="E64">
        <v>67.099999999999994</v>
      </c>
      <c r="F64">
        <v>102.1</v>
      </c>
      <c r="G64">
        <v>121</v>
      </c>
      <c r="H64">
        <v>39.4</v>
      </c>
      <c r="I64">
        <v>39.5</v>
      </c>
      <c r="J64">
        <v>70.2</v>
      </c>
      <c r="K64">
        <v>96.6</v>
      </c>
      <c r="N64" t="s">
        <v>264</v>
      </c>
      <c r="O64">
        <v>83.3</v>
      </c>
      <c r="P64">
        <v>67.099999999999994</v>
      </c>
      <c r="Q64">
        <f t="shared" si="0"/>
        <v>19.44777911164466</v>
      </c>
      <c r="R64">
        <v>121.7</v>
      </c>
      <c r="S64">
        <v>121</v>
      </c>
      <c r="U64">
        <v>39.4</v>
      </c>
      <c r="V64">
        <v>39.5</v>
      </c>
      <c r="X64">
        <v>88.9</v>
      </c>
      <c r="Y64">
        <v>96.6</v>
      </c>
      <c r="AC64" s="2"/>
      <c r="AJ64"/>
    </row>
    <row r="65" spans="2:36" x14ac:dyDescent="0.25">
      <c r="C65" t="s">
        <v>265</v>
      </c>
      <c r="D65">
        <v>76.900000000000006</v>
      </c>
      <c r="E65">
        <v>95.3</v>
      </c>
      <c r="F65">
        <v>107.1</v>
      </c>
      <c r="G65">
        <v>122</v>
      </c>
      <c r="H65">
        <v>47.6</v>
      </c>
      <c r="I65">
        <v>47.5</v>
      </c>
      <c r="J65">
        <v>72.3</v>
      </c>
      <c r="K65">
        <v>83.2</v>
      </c>
      <c r="N65" t="s">
        <v>265</v>
      </c>
      <c r="O65">
        <v>95.9</v>
      </c>
      <c r="P65">
        <v>95.3</v>
      </c>
      <c r="Q65">
        <f t="shared" si="0"/>
        <v>0.62565172054224039</v>
      </c>
      <c r="R65">
        <v>114.8</v>
      </c>
      <c r="S65">
        <v>122</v>
      </c>
      <c r="U65">
        <v>48.2</v>
      </c>
      <c r="V65">
        <v>47.5</v>
      </c>
      <c r="X65">
        <v>81.099999999999994</v>
      </c>
      <c r="Y65">
        <v>83.2</v>
      </c>
      <c r="AC65" s="2"/>
      <c r="AJ65"/>
    </row>
    <row r="66" spans="2:36" x14ac:dyDescent="0.25">
      <c r="C66" t="s">
        <v>266</v>
      </c>
      <c r="D66">
        <v>49</v>
      </c>
      <c r="E66">
        <v>50.1</v>
      </c>
      <c r="F66">
        <v>87.7</v>
      </c>
      <c r="G66">
        <v>49.6</v>
      </c>
      <c r="H66">
        <v>28.3</v>
      </c>
      <c r="I66">
        <v>17.899999999999999</v>
      </c>
      <c r="J66">
        <v>53.4</v>
      </c>
      <c r="K66">
        <v>30.1</v>
      </c>
      <c r="N66" t="s">
        <v>266</v>
      </c>
      <c r="O66">
        <v>28.6</v>
      </c>
      <c r="P66">
        <v>50.1</v>
      </c>
      <c r="Q66">
        <f t="shared" si="0"/>
        <v>-75.174825174825173</v>
      </c>
      <c r="R66">
        <v>48.8</v>
      </c>
      <c r="S66">
        <v>49.6</v>
      </c>
      <c r="U66">
        <v>17.600000000000001</v>
      </c>
      <c r="V66">
        <v>17.899999999999999</v>
      </c>
      <c r="X66">
        <v>27.2</v>
      </c>
      <c r="Y66">
        <v>30.1</v>
      </c>
      <c r="AC66" s="2"/>
      <c r="AJ66"/>
    </row>
    <row r="67" spans="2:36" x14ac:dyDescent="0.25">
      <c r="B67">
        <v>6</v>
      </c>
      <c r="C67" t="s">
        <v>259</v>
      </c>
      <c r="D67">
        <v>264.5</v>
      </c>
      <c r="E67">
        <v>246</v>
      </c>
      <c r="F67">
        <v>257.3</v>
      </c>
      <c r="G67">
        <v>242.6</v>
      </c>
      <c r="H67">
        <v>246.1</v>
      </c>
      <c r="I67">
        <v>105.4</v>
      </c>
      <c r="J67">
        <v>244</v>
      </c>
      <c r="K67">
        <v>106.9</v>
      </c>
      <c r="M67">
        <v>6</v>
      </c>
      <c r="N67" t="s">
        <v>259</v>
      </c>
      <c r="O67">
        <v>248.3</v>
      </c>
      <c r="P67">
        <v>246</v>
      </c>
      <c r="Q67">
        <f t="shared" si="0"/>
        <v>0.9262988320579989</v>
      </c>
      <c r="R67">
        <v>245.1</v>
      </c>
      <c r="S67">
        <v>242.6</v>
      </c>
      <c r="U67">
        <v>239.3</v>
      </c>
      <c r="V67">
        <v>105.4</v>
      </c>
      <c r="X67">
        <v>235.6</v>
      </c>
      <c r="Y67">
        <v>106.9</v>
      </c>
      <c r="AC67" s="2"/>
      <c r="AJ67"/>
    </row>
    <row r="68" spans="2:36" x14ac:dyDescent="0.25">
      <c r="C68" t="s">
        <v>260</v>
      </c>
      <c r="D68">
        <v>186.9</v>
      </c>
      <c r="E68">
        <v>90</v>
      </c>
      <c r="F68">
        <v>190.2</v>
      </c>
      <c r="G68">
        <v>91.1</v>
      </c>
      <c r="H68">
        <v>196.3</v>
      </c>
      <c r="I68">
        <v>78.400000000000006</v>
      </c>
      <c r="J68">
        <v>208.7</v>
      </c>
      <c r="K68">
        <v>80.900000000000006</v>
      </c>
      <c r="N68" t="s">
        <v>260</v>
      </c>
      <c r="O68">
        <v>178</v>
      </c>
      <c r="P68">
        <v>90</v>
      </c>
      <c r="Q68">
        <f t="shared" si="0"/>
        <v>49.438202247191015</v>
      </c>
      <c r="R68">
        <v>183.2</v>
      </c>
      <c r="S68">
        <v>91.1</v>
      </c>
      <c r="U68">
        <v>175.7</v>
      </c>
      <c r="V68">
        <v>78.400000000000006</v>
      </c>
      <c r="X68">
        <v>166.9</v>
      </c>
      <c r="Y68">
        <v>80.900000000000006</v>
      </c>
      <c r="AC68" s="2"/>
      <c r="AJ68"/>
    </row>
    <row r="69" spans="2:36" x14ac:dyDescent="0.25">
      <c r="C69" t="s">
        <v>261</v>
      </c>
      <c r="D69">
        <v>181.1</v>
      </c>
      <c r="E69">
        <v>70.3</v>
      </c>
      <c r="F69">
        <v>189.9</v>
      </c>
      <c r="G69">
        <v>74.099999999999994</v>
      </c>
      <c r="H69">
        <v>154</v>
      </c>
      <c r="I69">
        <v>59.2</v>
      </c>
      <c r="J69">
        <v>172</v>
      </c>
      <c r="K69">
        <v>61.9</v>
      </c>
      <c r="N69" t="s">
        <v>261</v>
      </c>
      <c r="O69">
        <v>153.4</v>
      </c>
      <c r="P69">
        <v>70.3</v>
      </c>
      <c r="Q69">
        <f t="shared" si="0"/>
        <v>54.172099087353324</v>
      </c>
      <c r="R69">
        <v>185.5</v>
      </c>
      <c r="S69">
        <v>74.099999999999994</v>
      </c>
      <c r="U69">
        <v>138.69999999999999</v>
      </c>
      <c r="V69">
        <v>59.2</v>
      </c>
      <c r="X69">
        <v>162.69999999999999</v>
      </c>
      <c r="Y69">
        <v>61.9</v>
      </c>
      <c r="AC69" s="2"/>
      <c r="AJ69"/>
    </row>
    <row r="70" spans="2:36" x14ac:dyDescent="0.25">
      <c r="C70" t="s">
        <v>262</v>
      </c>
      <c r="D70">
        <v>179</v>
      </c>
      <c r="E70">
        <v>84.5</v>
      </c>
      <c r="F70">
        <v>192.3</v>
      </c>
      <c r="G70">
        <v>87.3</v>
      </c>
      <c r="H70">
        <v>169.2</v>
      </c>
      <c r="I70">
        <v>70</v>
      </c>
      <c r="J70">
        <v>171.5</v>
      </c>
      <c r="K70">
        <v>67.8</v>
      </c>
      <c r="N70" t="s">
        <v>262</v>
      </c>
      <c r="O70">
        <v>157.4</v>
      </c>
      <c r="P70">
        <v>84.5</v>
      </c>
      <c r="Q70">
        <f t="shared" si="0"/>
        <v>46.315120711562898</v>
      </c>
      <c r="R70">
        <v>163.69999999999999</v>
      </c>
      <c r="S70">
        <v>87.3</v>
      </c>
      <c r="U70">
        <v>175.5</v>
      </c>
      <c r="V70">
        <v>70</v>
      </c>
      <c r="X70">
        <v>153.9</v>
      </c>
      <c r="Y70">
        <v>67.8</v>
      </c>
      <c r="AC70" s="2"/>
      <c r="AJ70"/>
    </row>
    <row r="71" spans="2:36" x14ac:dyDescent="0.25">
      <c r="C71" t="s">
        <v>263</v>
      </c>
      <c r="D71">
        <v>243.7</v>
      </c>
      <c r="E71">
        <v>227.4</v>
      </c>
      <c r="F71">
        <v>248.9</v>
      </c>
      <c r="G71">
        <v>231.8</v>
      </c>
      <c r="H71">
        <v>105.4</v>
      </c>
      <c r="I71">
        <v>98.4</v>
      </c>
      <c r="J71">
        <v>110.8</v>
      </c>
      <c r="K71">
        <v>103.3</v>
      </c>
      <c r="N71" t="s">
        <v>263</v>
      </c>
      <c r="O71">
        <v>238.5</v>
      </c>
      <c r="P71">
        <v>238.4</v>
      </c>
      <c r="Q71">
        <f t="shared" si="0"/>
        <v>4.1928721174001808E-2</v>
      </c>
      <c r="R71">
        <v>240.1</v>
      </c>
      <c r="S71">
        <v>239.6</v>
      </c>
      <c r="U71">
        <v>215.5</v>
      </c>
      <c r="V71">
        <v>215.7</v>
      </c>
      <c r="X71">
        <v>222</v>
      </c>
      <c r="Y71">
        <v>222</v>
      </c>
      <c r="AC71" s="2"/>
      <c r="AJ71"/>
    </row>
    <row r="72" spans="2:36" x14ac:dyDescent="0.25">
      <c r="C72" t="s">
        <v>264</v>
      </c>
      <c r="D72">
        <v>77.5</v>
      </c>
      <c r="E72">
        <v>71.3</v>
      </c>
      <c r="F72">
        <v>119.3</v>
      </c>
      <c r="G72">
        <v>108.7</v>
      </c>
      <c r="H72">
        <v>34.5</v>
      </c>
      <c r="I72">
        <v>34.9</v>
      </c>
      <c r="J72">
        <v>71.400000000000006</v>
      </c>
      <c r="K72">
        <v>72.900000000000006</v>
      </c>
      <c r="N72" t="s">
        <v>264</v>
      </c>
      <c r="O72">
        <v>83.3</v>
      </c>
      <c r="P72">
        <v>71.3</v>
      </c>
      <c r="Q72">
        <f t="shared" si="0"/>
        <v>14.40576230492197</v>
      </c>
      <c r="R72">
        <v>121.7</v>
      </c>
      <c r="S72">
        <v>108.7</v>
      </c>
      <c r="U72">
        <v>39.4</v>
      </c>
      <c r="V72">
        <v>34.9</v>
      </c>
      <c r="X72">
        <v>88.9</v>
      </c>
      <c r="Y72">
        <v>72.900000000000006</v>
      </c>
      <c r="AC72" s="2"/>
      <c r="AJ72"/>
    </row>
    <row r="73" spans="2:36" x14ac:dyDescent="0.25">
      <c r="C73" t="s">
        <v>265</v>
      </c>
      <c r="D73">
        <v>64.900000000000006</v>
      </c>
      <c r="E73">
        <v>57.2</v>
      </c>
      <c r="F73">
        <v>106.9</v>
      </c>
      <c r="G73">
        <v>98.2</v>
      </c>
      <c r="H73">
        <v>48.9</v>
      </c>
      <c r="I73">
        <v>33.1</v>
      </c>
      <c r="J73">
        <v>71.8</v>
      </c>
      <c r="K73">
        <v>70.5</v>
      </c>
      <c r="N73" t="s">
        <v>265</v>
      </c>
      <c r="O73">
        <v>95.9</v>
      </c>
      <c r="P73">
        <v>57.2</v>
      </c>
      <c r="Q73">
        <f t="shared" si="0"/>
        <v>40.354535974973935</v>
      </c>
      <c r="R73">
        <v>114.8</v>
      </c>
      <c r="S73">
        <v>98.2</v>
      </c>
      <c r="U73">
        <v>48.2</v>
      </c>
      <c r="V73">
        <v>33.1</v>
      </c>
      <c r="X73">
        <v>81.099999999999994</v>
      </c>
      <c r="Y73">
        <v>70.5</v>
      </c>
      <c r="AC73" s="2"/>
      <c r="AJ73"/>
    </row>
    <row r="74" spans="2:36" x14ac:dyDescent="0.25">
      <c r="C74" t="s">
        <v>266</v>
      </c>
      <c r="D74">
        <v>49.3</v>
      </c>
      <c r="E74">
        <v>29.9</v>
      </c>
      <c r="F74">
        <v>98.3</v>
      </c>
      <c r="G74">
        <v>67.5</v>
      </c>
      <c r="H74">
        <v>30.8</v>
      </c>
      <c r="I74">
        <v>29.4</v>
      </c>
      <c r="J74">
        <v>47.4</v>
      </c>
      <c r="K74">
        <v>31.7</v>
      </c>
      <c r="N74" t="s">
        <v>266</v>
      </c>
      <c r="O74">
        <v>28.6</v>
      </c>
      <c r="P74">
        <v>29.9</v>
      </c>
      <c r="Q74">
        <f t="shared" si="0"/>
        <v>-4.5454545454545352</v>
      </c>
      <c r="R74">
        <v>48.8</v>
      </c>
      <c r="S74">
        <v>67.5</v>
      </c>
      <c r="U74">
        <v>17.600000000000001</v>
      </c>
      <c r="V74">
        <v>29.4</v>
      </c>
      <c r="X74">
        <v>27.2</v>
      </c>
      <c r="Y74">
        <v>31.7</v>
      </c>
      <c r="AC74" s="2"/>
      <c r="AJ74"/>
    </row>
    <row r="75" spans="2:36" x14ac:dyDescent="0.25">
      <c r="B75">
        <v>7</v>
      </c>
      <c r="C75" t="s">
        <v>259</v>
      </c>
      <c r="D75">
        <v>264.5</v>
      </c>
      <c r="E75">
        <v>247.1</v>
      </c>
      <c r="F75">
        <v>257.3</v>
      </c>
      <c r="G75">
        <v>242</v>
      </c>
      <c r="H75">
        <v>246.1</v>
      </c>
      <c r="I75">
        <v>239.3</v>
      </c>
      <c r="J75">
        <v>244</v>
      </c>
      <c r="K75">
        <v>232.2</v>
      </c>
      <c r="M75">
        <v>7</v>
      </c>
      <c r="N75" t="s">
        <v>259</v>
      </c>
      <c r="O75">
        <v>246.5</v>
      </c>
      <c r="P75">
        <v>247.1</v>
      </c>
      <c r="Q75">
        <f t="shared" si="0"/>
        <v>-0.2434077079107482</v>
      </c>
      <c r="R75">
        <v>243.8</v>
      </c>
      <c r="S75">
        <v>242</v>
      </c>
      <c r="U75">
        <v>240.6</v>
      </c>
      <c r="V75">
        <v>239.3</v>
      </c>
      <c r="X75">
        <v>234.9</v>
      </c>
      <c r="Y75">
        <v>232.2</v>
      </c>
      <c r="AC75" s="2"/>
      <c r="AJ75"/>
    </row>
    <row r="76" spans="2:36" x14ac:dyDescent="0.25">
      <c r="C76" t="s">
        <v>260</v>
      </c>
      <c r="D76">
        <v>186.9</v>
      </c>
      <c r="E76">
        <v>190.4</v>
      </c>
      <c r="F76">
        <v>190.2</v>
      </c>
      <c r="G76">
        <v>194.1</v>
      </c>
      <c r="H76">
        <v>196.3</v>
      </c>
      <c r="I76">
        <v>158.9</v>
      </c>
      <c r="J76">
        <v>208.7</v>
      </c>
      <c r="K76">
        <v>168.2</v>
      </c>
      <c r="N76" t="s">
        <v>260</v>
      </c>
      <c r="O76">
        <v>200.1</v>
      </c>
      <c r="P76">
        <v>190.4</v>
      </c>
      <c r="Q76">
        <f t="shared" si="0"/>
        <v>4.8475762118940473</v>
      </c>
      <c r="R76">
        <v>202.7</v>
      </c>
      <c r="S76">
        <v>194.1</v>
      </c>
      <c r="U76">
        <v>160</v>
      </c>
      <c r="V76">
        <v>158.9</v>
      </c>
      <c r="X76">
        <v>166.6</v>
      </c>
      <c r="Y76">
        <v>168.2</v>
      </c>
      <c r="AC76" s="2"/>
      <c r="AJ76"/>
    </row>
    <row r="77" spans="2:36" x14ac:dyDescent="0.25">
      <c r="C77" t="s">
        <v>261</v>
      </c>
      <c r="D77">
        <v>181.1</v>
      </c>
      <c r="E77">
        <v>144.4</v>
      </c>
      <c r="F77">
        <v>189.9</v>
      </c>
      <c r="G77">
        <v>171.9</v>
      </c>
      <c r="H77">
        <v>154</v>
      </c>
      <c r="I77">
        <v>142.69999999999999</v>
      </c>
      <c r="J77">
        <v>172</v>
      </c>
      <c r="K77">
        <v>161.30000000000001</v>
      </c>
      <c r="N77" t="s">
        <v>261</v>
      </c>
      <c r="O77">
        <v>166.1</v>
      </c>
      <c r="P77">
        <v>144.4</v>
      </c>
      <c r="Q77">
        <f t="shared" si="0"/>
        <v>13.06441902468392</v>
      </c>
      <c r="R77">
        <v>175.9</v>
      </c>
      <c r="S77">
        <v>171.9</v>
      </c>
      <c r="U77">
        <v>141.80000000000001</v>
      </c>
      <c r="V77">
        <v>142.69999999999999</v>
      </c>
      <c r="X77">
        <v>162.5</v>
      </c>
      <c r="Y77">
        <v>161.30000000000001</v>
      </c>
      <c r="AC77" s="2"/>
      <c r="AJ77"/>
    </row>
    <row r="78" spans="2:36" x14ac:dyDescent="0.25">
      <c r="C78" t="s">
        <v>262</v>
      </c>
      <c r="D78">
        <v>179</v>
      </c>
      <c r="E78">
        <v>184</v>
      </c>
      <c r="F78">
        <v>192.3</v>
      </c>
      <c r="G78">
        <v>191.6</v>
      </c>
      <c r="H78">
        <v>169.2</v>
      </c>
      <c r="I78">
        <v>150.9</v>
      </c>
      <c r="J78">
        <v>171.5</v>
      </c>
      <c r="K78">
        <v>164.9</v>
      </c>
      <c r="N78" t="s">
        <v>262</v>
      </c>
      <c r="O78">
        <v>188.8</v>
      </c>
      <c r="P78">
        <v>184</v>
      </c>
      <c r="Q78">
        <f t="shared" si="0"/>
        <v>2.5423728813559379</v>
      </c>
      <c r="R78">
        <v>208.1</v>
      </c>
      <c r="S78">
        <v>191.6</v>
      </c>
      <c r="U78">
        <v>149.4</v>
      </c>
      <c r="V78">
        <v>150.9</v>
      </c>
      <c r="X78">
        <v>165.9</v>
      </c>
      <c r="Y78">
        <v>164.9</v>
      </c>
      <c r="AC78" s="2"/>
      <c r="AJ78"/>
    </row>
    <row r="79" spans="2:36" x14ac:dyDescent="0.25">
      <c r="C79" t="s">
        <v>263</v>
      </c>
      <c r="D79">
        <v>83.6</v>
      </c>
      <c r="E79">
        <v>78</v>
      </c>
      <c r="F79">
        <v>75.099999999999994</v>
      </c>
      <c r="G79">
        <v>70.099999999999994</v>
      </c>
      <c r="H79">
        <v>37</v>
      </c>
      <c r="I79">
        <v>34.5</v>
      </c>
      <c r="J79">
        <v>38.299999999999997</v>
      </c>
      <c r="K79">
        <v>35.700000000000003</v>
      </c>
      <c r="N79" t="s">
        <v>263</v>
      </c>
      <c r="O79">
        <v>77.400000000000006</v>
      </c>
      <c r="P79">
        <v>77.400000000000006</v>
      </c>
      <c r="Q79">
        <f t="shared" si="0"/>
        <v>0</v>
      </c>
      <c r="R79">
        <v>70</v>
      </c>
      <c r="S79">
        <v>70</v>
      </c>
      <c r="U79">
        <v>41.1</v>
      </c>
      <c r="V79">
        <v>41.1</v>
      </c>
      <c r="X79">
        <v>42.7</v>
      </c>
      <c r="Y79">
        <v>42.7</v>
      </c>
      <c r="AC79" s="2"/>
      <c r="AJ79"/>
    </row>
    <row r="80" spans="2:36" x14ac:dyDescent="0.25">
      <c r="C80" t="s">
        <v>264</v>
      </c>
      <c r="D80">
        <v>77.5</v>
      </c>
      <c r="E80">
        <v>72.5</v>
      </c>
      <c r="F80">
        <v>119.3</v>
      </c>
      <c r="G80">
        <v>108.2</v>
      </c>
      <c r="H80">
        <v>34.5</v>
      </c>
      <c r="I80">
        <v>33.5</v>
      </c>
      <c r="J80">
        <v>71.400000000000006</v>
      </c>
      <c r="K80">
        <v>72.5</v>
      </c>
      <c r="N80" t="s">
        <v>264</v>
      </c>
      <c r="O80">
        <v>70.900000000000006</v>
      </c>
      <c r="P80">
        <v>72.5</v>
      </c>
      <c r="Q80">
        <f t="shared" si="0"/>
        <v>-2.2566995768688209</v>
      </c>
      <c r="R80">
        <v>108</v>
      </c>
      <c r="S80">
        <v>108.2</v>
      </c>
      <c r="U80">
        <v>33.200000000000003</v>
      </c>
      <c r="V80">
        <v>33.5</v>
      </c>
      <c r="X80">
        <v>68.099999999999994</v>
      </c>
      <c r="Y80">
        <v>72.5</v>
      </c>
      <c r="AC80" s="2"/>
      <c r="AJ80"/>
    </row>
    <row r="81" spans="2:36" x14ac:dyDescent="0.25">
      <c r="C81" t="s">
        <v>265</v>
      </c>
      <c r="D81">
        <v>64.900000000000006</v>
      </c>
      <c r="E81">
        <v>57.4</v>
      </c>
      <c r="F81">
        <v>106.9</v>
      </c>
      <c r="G81">
        <v>97.8</v>
      </c>
      <c r="H81">
        <v>48.9</v>
      </c>
      <c r="I81">
        <v>49.4</v>
      </c>
      <c r="J81">
        <v>71.8</v>
      </c>
      <c r="K81">
        <v>70.8</v>
      </c>
      <c r="N81" t="s">
        <v>265</v>
      </c>
      <c r="O81">
        <v>56.6</v>
      </c>
      <c r="P81">
        <v>57.4</v>
      </c>
      <c r="Q81">
        <f t="shared" si="0"/>
        <v>-1.4134275618374508</v>
      </c>
      <c r="R81">
        <v>97.2</v>
      </c>
      <c r="S81">
        <v>97.8</v>
      </c>
      <c r="U81">
        <v>47.6</v>
      </c>
      <c r="V81">
        <v>49.4</v>
      </c>
      <c r="X81">
        <v>71.099999999999994</v>
      </c>
      <c r="Y81">
        <v>70.8</v>
      </c>
      <c r="AC81" s="2"/>
      <c r="AJ81"/>
    </row>
    <row r="82" spans="2:36" x14ac:dyDescent="0.25">
      <c r="C82" t="s">
        <v>266</v>
      </c>
      <c r="D82">
        <v>49.3</v>
      </c>
      <c r="E82">
        <v>45.1</v>
      </c>
      <c r="F82">
        <v>98.3</v>
      </c>
      <c r="G82">
        <v>67.2</v>
      </c>
      <c r="H82">
        <v>30.8</v>
      </c>
      <c r="I82">
        <v>29.1</v>
      </c>
      <c r="J82">
        <v>47.4</v>
      </c>
      <c r="K82">
        <v>47.9</v>
      </c>
      <c r="N82" t="s">
        <v>266</v>
      </c>
      <c r="O82">
        <v>45.9</v>
      </c>
      <c r="P82">
        <v>45.1</v>
      </c>
      <c r="Q82">
        <f t="shared" si="0"/>
        <v>1.7429193899782074</v>
      </c>
      <c r="R82">
        <v>66.599999999999994</v>
      </c>
      <c r="S82">
        <v>67.2</v>
      </c>
      <c r="U82">
        <v>27.6</v>
      </c>
      <c r="V82">
        <v>29.1</v>
      </c>
      <c r="X82">
        <v>48.9</v>
      </c>
      <c r="Y82">
        <v>47.9</v>
      </c>
      <c r="AC82" s="2"/>
      <c r="AJ82"/>
    </row>
    <row r="83" spans="2:36" x14ac:dyDescent="0.25">
      <c r="B83">
        <v>8</v>
      </c>
      <c r="C83" t="s">
        <v>259</v>
      </c>
      <c r="D83">
        <v>177.6</v>
      </c>
      <c r="E83">
        <v>186.5</v>
      </c>
      <c r="F83">
        <v>179</v>
      </c>
      <c r="G83">
        <v>183.6</v>
      </c>
      <c r="H83">
        <v>172.5</v>
      </c>
      <c r="I83">
        <v>155.5</v>
      </c>
      <c r="J83">
        <v>169.7</v>
      </c>
      <c r="K83">
        <v>154.1</v>
      </c>
      <c r="M83">
        <v>8</v>
      </c>
      <c r="N83" t="s">
        <v>259</v>
      </c>
      <c r="O83">
        <v>248.3</v>
      </c>
      <c r="P83">
        <v>186.5</v>
      </c>
      <c r="Q83">
        <f t="shared" si="0"/>
        <v>24.889246878775676</v>
      </c>
      <c r="R83">
        <v>245.1</v>
      </c>
      <c r="S83">
        <v>183.6</v>
      </c>
      <c r="U83">
        <v>239.3</v>
      </c>
      <c r="V83">
        <v>155.5</v>
      </c>
      <c r="X83">
        <v>235.6</v>
      </c>
      <c r="Y83">
        <v>154.1</v>
      </c>
      <c r="AC83" s="2"/>
      <c r="AJ83"/>
    </row>
    <row r="84" spans="2:36" x14ac:dyDescent="0.25">
      <c r="C84" t="s">
        <v>260</v>
      </c>
      <c r="D84">
        <v>151.19999999999999</v>
      </c>
      <c r="E84">
        <v>125.8</v>
      </c>
      <c r="F84">
        <v>128.1</v>
      </c>
      <c r="G84">
        <v>146.9</v>
      </c>
      <c r="H84">
        <v>139.69999999999999</v>
      </c>
      <c r="I84">
        <v>124.2</v>
      </c>
      <c r="J84">
        <v>141.6</v>
      </c>
      <c r="K84">
        <v>130.1</v>
      </c>
      <c r="N84" t="s">
        <v>260</v>
      </c>
      <c r="O84">
        <v>178</v>
      </c>
      <c r="P84">
        <v>125.8</v>
      </c>
      <c r="Q84">
        <f t="shared" si="0"/>
        <v>29.325842696629213</v>
      </c>
      <c r="R84">
        <v>183.2</v>
      </c>
      <c r="S84">
        <v>146.9</v>
      </c>
      <c r="U84">
        <v>175.7</v>
      </c>
      <c r="V84">
        <v>124.2</v>
      </c>
      <c r="X84">
        <v>166.9</v>
      </c>
      <c r="Y84">
        <v>130.1</v>
      </c>
      <c r="AC84" s="2"/>
      <c r="AJ84"/>
    </row>
    <row r="85" spans="2:36" x14ac:dyDescent="0.25">
      <c r="C85" t="s">
        <v>261</v>
      </c>
      <c r="D85">
        <v>119.6</v>
      </c>
      <c r="E85">
        <v>120.3</v>
      </c>
      <c r="F85">
        <v>131.80000000000001</v>
      </c>
      <c r="G85">
        <v>144</v>
      </c>
      <c r="H85">
        <v>127.6</v>
      </c>
      <c r="I85">
        <v>99.3</v>
      </c>
      <c r="J85">
        <v>122.4</v>
      </c>
      <c r="K85">
        <v>91.2</v>
      </c>
      <c r="N85" t="s">
        <v>261</v>
      </c>
      <c r="O85">
        <v>153.4</v>
      </c>
      <c r="P85">
        <v>120.3</v>
      </c>
      <c r="Q85">
        <f t="shared" si="0"/>
        <v>21.577574967405482</v>
      </c>
      <c r="R85">
        <v>185.5</v>
      </c>
      <c r="S85">
        <v>144</v>
      </c>
      <c r="U85">
        <v>138.69999999999999</v>
      </c>
      <c r="V85">
        <v>99.3</v>
      </c>
      <c r="X85">
        <v>162.69999999999999</v>
      </c>
      <c r="Y85">
        <v>91.2</v>
      </c>
      <c r="AC85" s="2"/>
      <c r="AJ85"/>
    </row>
    <row r="86" spans="2:36" x14ac:dyDescent="0.25">
      <c r="C86" t="s">
        <v>262</v>
      </c>
      <c r="D86">
        <v>124.8</v>
      </c>
      <c r="E86">
        <v>121.7</v>
      </c>
      <c r="F86">
        <v>134.30000000000001</v>
      </c>
      <c r="G86">
        <v>126.1</v>
      </c>
      <c r="H86">
        <v>141.5</v>
      </c>
      <c r="I86">
        <v>121.5</v>
      </c>
      <c r="J86">
        <v>131.4</v>
      </c>
      <c r="K86">
        <v>108.6</v>
      </c>
      <c r="N86" t="s">
        <v>262</v>
      </c>
      <c r="O86">
        <v>157.4</v>
      </c>
      <c r="P86">
        <v>121.7</v>
      </c>
      <c r="Q86">
        <f t="shared" si="0"/>
        <v>22.681067344345617</v>
      </c>
      <c r="R86">
        <v>163.69999999999999</v>
      </c>
      <c r="S86">
        <v>126.1</v>
      </c>
      <c r="U86">
        <v>175.5</v>
      </c>
      <c r="V86">
        <v>121.5</v>
      </c>
      <c r="X86">
        <v>153.9</v>
      </c>
      <c r="Y86">
        <v>108.6</v>
      </c>
      <c r="AC86" s="2"/>
      <c r="AJ86"/>
    </row>
    <row r="87" spans="2:36" x14ac:dyDescent="0.25">
      <c r="C87" t="s">
        <v>263</v>
      </c>
      <c r="D87">
        <v>175.1</v>
      </c>
      <c r="E87">
        <v>178.6</v>
      </c>
      <c r="F87">
        <v>179.1</v>
      </c>
      <c r="G87">
        <v>179.8</v>
      </c>
      <c r="H87">
        <v>165.9</v>
      </c>
      <c r="I87">
        <v>142.19999999999999</v>
      </c>
      <c r="J87">
        <v>167.7</v>
      </c>
      <c r="K87">
        <v>145.4</v>
      </c>
      <c r="N87" t="s">
        <v>263</v>
      </c>
      <c r="O87">
        <v>238.8</v>
      </c>
      <c r="P87">
        <v>58.1</v>
      </c>
      <c r="Q87">
        <f t="shared" si="0"/>
        <v>75.670016750418753</v>
      </c>
      <c r="R87">
        <v>240</v>
      </c>
      <c r="S87">
        <v>52.5</v>
      </c>
      <c r="U87">
        <v>216.5</v>
      </c>
      <c r="V87">
        <v>30.9</v>
      </c>
      <c r="X87">
        <v>221.9</v>
      </c>
      <c r="Y87">
        <v>32</v>
      </c>
      <c r="AC87" s="2"/>
      <c r="AJ87"/>
    </row>
    <row r="88" spans="2:36" x14ac:dyDescent="0.25">
      <c r="C88" t="s">
        <v>264</v>
      </c>
      <c r="D88">
        <v>61.2</v>
      </c>
      <c r="E88">
        <v>62.8</v>
      </c>
      <c r="F88">
        <v>102.1</v>
      </c>
      <c r="G88">
        <v>90.2</v>
      </c>
      <c r="H88">
        <v>39.4</v>
      </c>
      <c r="I88">
        <v>29.6</v>
      </c>
      <c r="J88">
        <v>70.2</v>
      </c>
      <c r="K88">
        <v>66.400000000000006</v>
      </c>
      <c r="N88" t="s">
        <v>264</v>
      </c>
      <c r="O88">
        <v>83.3</v>
      </c>
      <c r="P88">
        <v>62.8</v>
      </c>
      <c r="Q88">
        <f t="shared" si="0"/>
        <v>24.609843937575032</v>
      </c>
      <c r="R88">
        <v>121.7</v>
      </c>
      <c r="S88">
        <v>90.2</v>
      </c>
      <c r="U88">
        <v>39.4</v>
      </c>
      <c r="V88">
        <v>29.6</v>
      </c>
      <c r="X88">
        <v>88.9</v>
      </c>
      <c r="Y88">
        <v>66.400000000000006</v>
      </c>
      <c r="AC88" s="2"/>
      <c r="AJ88"/>
    </row>
    <row r="89" spans="2:36" x14ac:dyDescent="0.25">
      <c r="C89" t="s">
        <v>265</v>
      </c>
      <c r="D89">
        <v>76.900000000000006</v>
      </c>
      <c r="E89">
        <v>70.099999999999994</v>
      </c>
      <c r="F89">
        <v>107.1</v>
      </c>
      <c r="G89">
        <v>91.8</v>
      </c>
      <c r="H89">
        <v>47.6</v>
      </c>
      <c r="I89">
        <v>37.4</v>
      </c>
      <c r="J89">
        <v>72.3</v>
      </c>
      <c r="K89">
        <v>62.1</v>
      </c>
      <c r="N89" t="s">
        <v>265</v>
      </c>
      <c r="O89">
        <v>95.9</v>
      </c>
      <c r="P89">
        <v>70.099999999999994</v>
      </c>
      <c r="Q89">
        <f t="shared" si="0"/>
        <v>26.903023983315961</v>
      </c>
      <c r="R89">
        <v>114.8</v>
      </c>
      <c r="S89">
        <v>91.8</v>
      </c>
      <c r="U89">
        <v>48.2</v>
      </c>
      <c r="V89">
        <v>37.4</v>
      </c>
      <c r="X89">
        <v>81.099999999999994</v>
      </c>
      <c r="Y89">
        <v>62.1</v>
      </c>
      <c r="AC89" s="2"/>
      <c r="AJ89"/>
    </row>
    <row r="90" spans="2:36" x14ac:dyDescent="0.25">
      <c r="C90" t="s">
        <v>266</v>
      </c>
      <c r="D90">
        <v>49</v>
      </c>
      <c r="E90">
        <v>36.4</v>
      </c>
      <c r="F90">
        <v>87.7</v>
      </c>
      <c r="G90">
        <v>37</v>
      </c>
      <c r="H90">
        <v>28.3</v>
      </c>
      <c r="I90">
        <v>11.9</v>
      </c>
      <c r="J90">
        <v>53.4</v>
      </c>
      <c r="K90">
        <v>21.9</v>
      </c>
      <c r="N90" t="s">
        <v>266</v>
      </c>
      <c r="O90">
        <v>28.6</v>
      </c>
      <c r="P90">
        <v>36.4</v>
      </c>
      <c r="Q90">
        <f t="shared" si="0"/>
        <v>-27.272727272727263</v>
      </c>
      <c r="R90">
        <v>48.8</v>
      </c>
      <c r="S90">
        <v>37</v>
      </c>
      <c r="U90">
        <v>17.600000000000001</v>
      </c>
      <c r="V90">
        <v>11.9</v>
      </c>
      <c r="X90">
        <v>27.2</v>
      </c>
      <c r="Y90">
        <v>21.9</v>
      </c>
      <c r="AC90" s="2"/>
      <c r="AJ90"/>
    </row>
    <row r="91" spans="2:36" x14ac:dyDescent="0.25">
      <c r="AC91" s="2"/>
      <c r="AJ91"/>
    </row>
  </sheetData>
  <mergeCells count="10">
    <mergeCell ref="A3:B3"/>
    <mergeCell ref="A14:B14"/>
    <mergeCell ref="C2:J2"/>
    <mergeCell ref="K2:R2"/>
    <mergeCell ref="S2:Z2"/>
    <mergeCell ref="C26:K26"/>
    <mergeCell ref="N25:V25"/>
    <mergeCell ref="C1:R1"/>
    <mergeCell ref="S1:AH1"/>
    <mergeCell ref="AA2:AH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D55AE-B3C9-4FC6-AAC3-83D3DE4F25A7}">
  <dimension ref="A1:AL89"/>
  <sheetViews>
    <sheetView topLeftCell="A30" zoomScale="85" zoomScaleNormal="85" workbookViewId="0">
      <selection activeCell="I48" sqref="I48"/>
    </sheetView>
  </sheetViews>
  <sheetFormatPr defaultRowHeight="15" x14ac:dyDescent="0.25"/>
  <cols>
    <col min="1" max="1" width="24.85546875" bestFit="1" customWidth="1"/>
    <col min="2" max="8" width="8.28515625" customWidth="1"/>
    <col min="9" max="9" width="8.7109375" style="17" bestFit="1" customWidth="1"/>
    <col min="10" max="10" width="9.7109375" style="33" bestFit="1" customWidth="1"/>
    <col min="11" max="11" width="8.28515625" style="37" customWidth="1"/>
    <col min="12" max="12" width="15.7109375" style="17" bestFit="1" customWidth="1"/>
    <col min="13" max="14" width="15.7109375" style="17" customWidth="1"/>
    <col min="15" max="16" width="8.28515625" customWidth="1"/>
    <col min="17" max="17" width="30.5703125" bestFit="1" customWidth="1"/>
    <col min="18" max="18" width="8.28515625" style="16" customWidth="1"/>
    <col min="19" max="19" width="8.28515625" customWidth="1"/>
    <col min="20" max="23" width="8.28515625" style="16" customWidth="1"/>
    <col min="24" max="24" width="8.28515625" style="2" customWidth="1"/>
    <col min="25" max="25" width="8.7109375" style="17" bestFit="1" customWidth="1"/>
    <col min="26" max="26" width="8.28515625" style="17" customWidth="1"/>
    <col min="27" max="27" width="8.28515625" customWidth="1"/>
    <col min="28" max="28" width="21" style="5" bestFit="1" customWidth="1"/>
    <col min="29" max="29" width="8.28515625" style="16" customWidth="1"/>
    <col min="30" max="30" width="8.28515625" customWidth="1"/>
    <col min="31" max="34" width="8.28515625" style="16" customWidth="1"/>
    <col min="35" max="35" width="8.28515625" style="2" customWidth="1"/>
    <col min="36" max="37" width="8.28515625" style="17" customWidth="1"/>
    <col min="38" max="38" width="8.28515625" customWidth="1"/>
  </cols>
  <sheetData>
    <row r="1" spans="1:38" ht="15.75" x14ac:dyDescent="0.25">
      <c r="A1" s="140" t="s">
        <v>268</v>
      </c>
      <c r="B1" s="140"/>
      <c r="C1" s="140"/>
      <c r="D1" s="140"/>
      <c r="E1" s="140"/>
      <c r="F1" s="140"/>
      <c r="G1" s="140"/>
      <c r="H1" s="140"/>
      <c r="I1" s="140"/>
      <c r="J1" s="140"/>
      <c r="L1"/>
      <c r="M1" s="144" t="s">
        <v>269</v>
      </c>
      <c r="N1" s="144"/>
      <c r="O1" s="144"/>
      <c r="P1" s="144"/>
      <c r="Q1" s="144" t="s">
        <v>270</v>
      </c>
      <c r="R1" s="144"/>
      <c r="S1" s="144"/>
      <c r="T1" s="144"/>
      <c r="U1" s="144"/>
      <c r="V1" s="144"/>
      <c r="W1" s="144"/>
      <c r="X1" s="144"/>
      <c r="Y1" s="144"/>
      <c r="Z1" s="144"/>
      <c r="AA1" s="144"/>
      <c r="AB1" s="144"/>
      <c r="AC1" s="144"/>
      <c r="AD1" s="144"/>
      <c r="AE1" s="144"/>
      <c r="AF1" s="144"/>
      <c r="AG1" s="144"/>
      <c r="AH1" s="144"/>
      <c r="AI1" s="144"/>
      <c r="AJ1" s="144"/>
    </row>
    <row r="2" spans="1:38" ht="15.75" x14ac:dyDescent="0.25">
      <c r="A2" s="141" t="s">
        <v>271</v>
      </c>
      <c r="B2" s="141"/>
      <c r="C2" s="141"/>
      <c r="D2" s="141"/>
      <c r="E2" s="141"/>
      <c r="F2" s="141"/>
      <c r="G2" s="141"/>
      <c r="H2" s="141"/>
      <c r="I2" s="141"/>
      <c r="J2" s="141"/>
      <c r="L2"/>
      <c r="M2"/>
      <c r="N2"/>
      <c r="Q2" s="144"/>
      <c r="R2" s="144"/>
      <c r="S2" s="144"/>
      <c r="T2" s="144"/>
      <c r="U2" s="144"/>
      <c r="V2" s="144"/>
      <c r="W2" s="144"/>
      <c r="X2" s="144"/>
      <c r="Y2" s="144"/>
      <c r="Z2" s="144"/>
      <c r="AA2" s="144"/>
      <c r="AB2" s="144"/>
      <c r="AC2" s="144"/>
      <c r="AD2" s="144"/>
      <c r="AE2" s="144"/>
      <c r="AF2" s="144"/>
      <c r="AG2" s="144"/>
      <c r="AH2" s="144"/>
      <c r="AI2" s="144"/>
      <c r="AJ2" s="144"/>
    </row>
    <row r="3" spans="1:38" x14ac:dyDescent="0.25">
      <c r="Q3" s="145" t="s">
        <v>24</v>
      </c>
      <c r="R3" s="145"/>
      <c r="S3" s="145"/>
      <c r="T3" s="145"/>
      <c r="U3" s="145"/>
      <c r="V3" s="145"/>
      <c r="W3" s="145"/>
      <c r="X3" s="145"/>
      <c r="Y3" s="145"/>
      <c r="Z3" s="145"/>
      <c r="AA3" s="32"/>
      <c r="AB3" s="145" t="s">
        <v>24</v>
      </c>
      <c r="AC3" s="145"/>
      <c r="AD3" s="145"/>
      <c r="AE3" s="145"/>
      <c r="AF3" s="145"/>
      <c r="AG3" s="145"/>
      <c r="AH3" s="145"/>
      <c r="AI3" s="145"/>
      <c r="AJ3" s="145"/>
      <c r="AK3" s="145"/>
    </row>
    <row r="4" spans="1:38" x14ac:dyDescent="0.25">
      <c r="A4" s="14" t="s">
        <v>0</v>
      </c>
      <c r="B4" s="14" t="s">
        <v>3</v>
      </c>
      <c r="C4" s="14" t="s">
        <v>4</v>
      </c>
      <c r="D4" s="14" t="s">
        <v>5</v>
      </c>
      <c r="E4" s="14" t="s">
        <v>6</v>
      </c>
      <c r="F4" s="14" t="s">
        <v>7</v>
      </c>
      <c r="G4" s="14" t="s">
        <v>8</v>
      </c>
      <c r="H4" s="14" t="s">
        <v>9</v>
      </c>
      <c r="I4" s="35" t="s">
        <v>10</v>
      </c>
      <c r="J4" s="49" t="s">
        <v>11</v>
      </c>
      <c r="K4" s="38" t="s">
        <v>9</v>
      </c>
      <c r="L4" s="35" t="s">
        <v>15</v>
      </c>
      <c r="M4" s="35"/>
      <c r="N4" s="35"/>
      <c r="O4" s="14"/>
      <c r="P4" s="14"/>
      <c r="Q4" s="14" t="s">
        <v>0</v>
      </c>
      <c r="R4" s="20" t="s">
        <v>3</v>
      </c>
      <c r="S4" s="14" t="s">
        <v>4</v>
      </c>
      <c r="T4" s="20" t="s">
        <v>5</v>
      </c>
      <c r="U4" s="20" t="s">
        <v>6</v>
      </c>
      <c r="V4" s="20" t="s">
        <v>7</v>
      </c>
      <c r="W4" s="20" t="s">
        <v>8</v>
      </c>
      <c r="X4" s="19" t="s">
        <v>9</v>
      </c>
      <c r="Y4" s="35" t="s">
        <v>10</v>
      </c>
      <c r="Z4" s="35"/>
      <c r="AA4" s="14"/>
      <c r="AB4" s="14" t="s">
        <v>0</v>
      </c>
      <c r="AC4" s="20" t="s">
        <v>3</v>
      </c>
      <c r="AD4" s="14" t="s">
        <v>4</v>
      </c>
      <c r="AE4" s="20" t="s">
        <v>5</v>
      </c>
      <c r="AF4" s="20" t="s">
        <v>6</v>
      </c>
      <c r="AG4" s="20" t="s">
        <v>7</v>
      </c>
      <c r="AH4" s="20" t="s">
        <v>8</v>
      </c>
      <c r="AI4" s="19" t="s">
        <v>9</v>
      </c>
      <c r="AJ4" s="35" t="s">
        <v>10</v>
      </c>
      <c r="AK4" s="35"/>
      <c r="AL4" s="14"/>
    </row>
    <row r="5" spans="1:38" x14ac:dyDescent="0.25">
      <c r="A5" t="s">
        <v>26</v>
      </c>
      <c r="B5">
        <v>0</v>
      </c>
      <c r="C5" t="s">
        <v>16</v>
      </c>
      <c r="D5">
        <v>25984</v>
      </c>
      <c r="E5">
        <v>128</v>
      </c>
      <c r="F5">
        <v>2</v>
      </c>
      <c r="G5">
        <v>8</v>
      </c>
      <c r="H5">
        <v>322.26</v>
      </c>
      <c r="I5" s="1">
        <v>36.295999999999999</v>
      </c>
      <c r="J5" s="33">
        <v>45303</v>
      </c>
      <c r="K5" s="34">
        <v>0.69843749999999993</v>
      </c>
      <c r="L5" s="17">
        <f>AVERAGE(I5:I9)</f>
        <v>36.308</v>
      </c>
      <c r="M5" s="36"/>
      <c r="N5" s="36"/>
      <c r="Q5" s="1" t="s">
        <v>27</v>
      </c>
      <c r="R5" s="16">
        <v>1</v>
      </c>
      <c r="S5" s="1" t="s">
        <v>16</v>
      </c>
      <c r="T5" s="16">
        <v>25984</v>
      </c>
      <c r="U5" s="16">
        <v>128</v>
      </c>
      <c r="V5" s="16">
        <v>2</v>
      </c>
      <c r="W5" s="16">
        <v>8</v>
      </c>
      <c r="X5" s="2">
        <v>1768.96</v>
      </c>
      <c r="Y5" s="17">
        <v>6.6121999999999996</v>
      </c>
      <c r="AB5" s="5" t="s">
        <v>28</v>
      </c>
      <c r="AC5" s="16">
        <v>1</v>
      </c>
      <c r="AD5" t="s">
        <v>16</v>
      </c>
      <c r="AE5" s="16">
        <v>18368</v>
      </c>
      <c r="AF5" s="16">
        <v>64</v>
      </c>
      <c r="AG5" s="16">
        <v>2</v>
      </c>
      <c r="AH5" s="16">
        <v>4</v>
      </c>
      <c r="AI5" s="2">
        <v>2171.0300000000002</v>
      </c>
      <c r="AJ5" s="17">
        <v>1.9032</v>
      </c>
    </row>
    <row r="6" spans="1:38" x14ac:dyDescent="0.25">
      <c r="A6" t="s">
        <v>26</v>
      </c>
      <c r="B6">
        <v>1</v>
      </c>
      <c r="C6" t="s">
        <v>16</v>
      </c>
      <c r="D6">
        <v>25984</v>
      </c>
      <c r="E6">
        <v>128</v>
      </c>
      <c r="F6">
        <v>2</v>
      </c>
      <c r="G6">
        <v>8</v>
      </c>
      <c r="H6">
        <v>322.08999999999997</v>
      </c>
      <c r="I6" s="1">
        <v>36.314999999999998</v>
      </c>
      <c r="J6" s="33">
        <v>45303</v>
      </c>
      <c r="K6" s="34">
        <v>0.7023611111111111</v>
      </c>
      <c r="L6" s="17">
        <f>L5</f>
        <v>36.308</v>
      </c>
      <c r="M6" s="36"/>
      <c r="N6" s="36"/>
      <c r="Q6" s="1" t="s">
        <v>27</v>
      </c>
      <c r="R6" s="16">
        <v>2</v>
      </c>
      <c r="S6" s="1" t="s">
        <v>16</v>
      </c>
      <c r="T6" s="16">
        <v>25984</v>
      </c>
      <c r="U6" s="16">
        <v>128</v>
      </c>
      <c r="V6" s="16">
        <v>2</v>
      </c>
      <c r="W6" s="16">
        <v>8</v>
      </c>
      <c r="X6" s="2">
        <v>1768.31</v>
      </c>
      <c r="Y6" s="17">
        <v>6.6146000000000003</v>
      </c>
      <c r="AB6" s="5" t="s">
        <v>28</v>
      </c>
      <c r="AC6" s="16">
        <v>2</v>
      </c>
      <c r="AD6" t="s">
        <v>16</v>
      </c>
      <c r="AE6" s="16">
        <v>18368</v>
      </c>
      <c r="AF6" s="16">
        <v>64</v>
      </c>
      <c r="AG6" s="16">
        <v>2</v>
      </c>
      <c r="AH6" s="16">
        <v>4</v>
      </c>
      <c r="AI6" s="2">
        <v>2099.9299999999998</v>
      </c>
      <c r="AJ6" s="17">
        <v>1.9676</v>
      </c>
    </row>
    <row r="7" spans="1:38" x14ac:dyDescent="0.25">
      <c r="A7" t="s">
        <v>26</v>
      </c>
      <c r="B7">
        <v>2</v>
      </c>
      <c r="C7" t="s">
        <v>16</v>
      </c>
      <c r="D7">
        <v>25984</v>
      </c>
      <c r="E7">
        <v>128</v>
      </c>
      <c r="F7">
        <v>2</v>
      </c>
      <c r="G7">
        <v>8</v>
      </c>
      <c r="H7">
        <v>322.25</v>
      </c>
      <c r="I7" s="1">
        <v>36.296999999999997</v>
      </c>
      <c r="J7" s="33">
        <v>45303</v>
      </c>
      <c r="K7" s="34">
        <v>0.70627314814814823</v>
      </c>
      <c r="L7" s="17">
        <f>L6</f>
        <v>36.308</v>
      </c>
      <c r="M7" s="36"/>
      <c r="N7" s="36"/>
      <c r="Q7" s="1" t="s">
        <v>27</v>
      </c>
      <c r="R7" s="16">
        <v>3</v>
      </c>
      <c r="S7" s="1" t="s">
        <v>16</v>
      </c>
      <c r="T7" s="16">
        <v>25984</v>
      </c>
      <c r="U7" s="16">
        <v>128</v>
      </c>
      <c r="V7" s="16">
        <v>2</v>
      </c>
      <c r="W7" s="16">
        <v>8</v>
      </c>
      <c r="X7" s="2">
        <v>1767.88</v>
      </c>
      <c r="Y7" s="17">
        <v>6.6162000000000001</v>
      </c>
      <c r="AB7" s="5" t="s">
        <v>28</v>
      </c>
      <c r="AC7" s="16">
        <v>3</v>
      </c>
      <c r="AD7" t="s">
        <v>16</v>
      </c>
      <c r="AE7" s="16">
        <v>18368</v>
      </c>
      <c r="AF7" s="16">
        <v>64</v>
      </c>
      <c r="AG7" s="16">
        <v>2</v>
      </c>
      <c r="AH7" s="16">
        <v>4</v>
      </c>
      <c r="AI7" s="2">
        <v>2161.9</v>
      </c>
      <c r="AJ7" s="17">
        <v>1.9112</v>
      </c>
    </row>
    <row r="8" spans="1:38" x14ac:dyDescent="0.25">
      <c r="A8" t="s">
        <v>26</v>
      </c>
      <c r="B8">
        <v>3</v>
      </c>
      <c r="C8" t="s">
        <v>16</v>
      </c>
      <c r="D8">
        <v>25984</v>
      </c>
      <c r="E8">
        <v>128</v>
      </c>
      <c r="F8">
        <v>2</v>
      </c>
      <c r="G8">
        <v>8</v>
      </c>
      <c r="H8">
        <v>322.02999999999997</v>
      </c>
      <c r="I8" s="1">
        <v>36.322000000000003</v>
      </c>
      <c r="J8" s="33">
        <v>45303</v>
      </c>
      <c r="K8" s="34">
        <v>0.71018518518518514</v>
      </c>
      <c r="L8" s="17">
        <f>L7</f>
        <v>36.308</v>
      </c>
      <c r="M8" s="36"/>
      <c r="N8" s="36"/>
      <c r="Q8" t="s">
        <v>27</v>
      </c>
      <c r="R8" s="16">
        <v>4</v>
      </c>
      <c r="S8" t="s">
        <v>16</v>
      </c>
      <c r="T8" s="16">
        <v>25984</v>
      </c>
      <c r="U8" s="16">
        <v>128</v>
      </c>
      <c r="V8" s="16">
        <v>2</v>
      </c>
      <c r="W8" s="16">
        <v>8</v>
      </c>
      <c r="X8" s="2">
        <v>1768.8</v>
      </c>
      <c r="Y8" s="17">
        <v>6.6128</v>
      </c>
      <c r="AB8" s="5" t="s">
        <v>28</v>
      </c>
      <c r="AC8" s="16">
        <v>4</v>
      </c>
      <c r="AD8" t="s">
        <v>16</v>
      </c>
      <c r="AE8" s="16">
        <v>18368</v>
      </c>
      <c r="AF8" s="16">
        <v>64</v>
      </c>
      <c r="AG8" s="16">
        <v>2</v>
      </c>
      <c r="AH8" s="16">
        <v>4</v>
      </c>
      <c r="AI8" s="2">
        <v>2169.2199999999998</v>
      </c>
      <c r="AJ8" s="17">
        <v>1.9048</v>
      </c>
    </row>
    <row r="9" spans="1:38" x14ac:dyDescent="0.25">
      <c r="A9" t="s">
        <v>26</v>
      </c>
      <c r="B9">
        <v>4</v>
      </c>
      <c r="C9" t="s">
        <v>16</v>
      </c>
      <c r="D9">
        <v>25984</v>
      </c>
      <c r="E9">
        <v>128</v>
      </c>
      <c r="F9">
        <v>2</v>
      </c>
      <c r="G9">
        <v>8</v>
      </c>
      <c r="H9">
        <v>322.14</v>
      </c>
      <c r="I9" s="1">
        <v>36.31</v>
      </c>
      <c r="J9" s="33">
        <v>45303</v>
      </c>
      <c r="K9" s="34">
        <v>0.71410879629629631</v>
      </c>
      <c r="L9" s="17">
        <f>L8</f>
        <v>36.308</v>
      </c>
      <c r="M9" s="36"/>
      <c r="N9" s="36"/>
      <c r="Q9" t="s">
        <v>30</v>
      </c>
      <c r="R9" s="16">
        <v>1</v>
      </c>
      <c r="S9" t="s">
        <v>16</v>
      </c>
      <c r="T9" s="16">
        <v>25984</v>
      </c>
      <c r="U9" s="16">
        <v>128</v>
      </c>
      <c r="V9" s="16">
        <v>2</v>
      </c>
      <c r="W9" s="16">
        <v>8</v>
      </c>
      <c r="X9" s="2">
        <v>2074.65</v>
      </c>
      <c r="Y9" s="17">
        <v>5.6379000000000001</v>
      </c>
      <c r="AB9" s="5" t="s">
        <v>31</v>
      </c>
      <c r="AC9" s="16">
        <v>1</v>
      </c>
      <c r="AD9" t="s">
        <v>16</v>
      </c>
      <c r="AE9" s="16">
        <v>18368</v>
      </c>
      <c r="AF9" s="16">
        <v>64</v>
      </c>
      <c r="AG9" s="16">
        <v>2</v>
      </c>
      <c r="AH9" s="16">
        <v>4</v>
      </c>
      <c r="AI9" s="2">
        <v>2404.98</v>
      </c>
      <c r="AJ9" s="17">
        <v>1.7181</v>
      </c>
    </row>
    <row r="10" spans="1:38" x14ac:dyDescent="0.25">
      <c r="A10" t="s">
        <v>51</v>
      </c>
      <c r="B10">
        <v>0</v>
      </c>
      <c r="C10" t="s">
        <v>16</v>
      </c>
      <c r="D10">
        <v>25984</v>
      </c>
      <c r="E10">
        <v>128</v>
      </c>
      <c r="F10">
        <v>2</v>
      </c>
      <c r="G10">
        <v>8</v>
      </c>
      <c r="H10">
        <v>322.3</v>
      </c>
      <c r="I10" s="1">
        <v>36.290999999999997</v>
      </c>
      <c r="J10" s="33">
        <v>45303</v>
      </c>
      <c r="K10" s="34">
        <v>0.8100694444444444</v>
      </c>
      <c r="L10" s="17">
        <f>AVERAGE(I10:I14)</f>
        <v>36.295000000000002</v>
      </c>
      <c r="M10" s="36"/>
      <c r="N10" s="36"/>
      <c r="Q10" t="s">
        <v>30</v>
      </c>
      <c r="R10" s="16">
        <v>2</v>
      </c>
      <c r="S10" t="s">
        <v>16</v>
      </c>
      <c r="T10" s="16">
        <v>25984</v>
      </c>
      <c r="U10" s="16">
        <v>128</v>
      </c>
      <c r="V10" s="16">
        <v>2</v>
      </c>
      <c r="W10" s="16">
        <v>8</v>
      </c>
      <c r="X10" s="2">
        <v>2074.75</v>
      </c>
      <c r="Y10" s="17">
        <v>5.6375999999999999</v>
      </c>
      <c r="AB10" s="5" t="s">
        <v>31</v>
      </c>
      <c r="AC10" s="16">
        <v>2</v>
      </c>
      <c r="AD10" t="s">
        <v>16</v>
      </c>
      <c r="AE10" s="16">
        <v>18368</v>
      </c>
      <c r="AF10" s="16">
        <v>64</v>
      </c>
      <c r="AG10" s="16">
        <v>2</v>
      </c>
      <c r="AH10" s="16">
        <v>4</v>
      </c>
      <c r="AI10" s="2">
        <v>2420.85</v>
      </c>
      <c r="AJ10" s="17">
        <v>1.7068000000000001</v>
      </c>
    </row>
    <row r="11" spans="1:38" x14ac:dyDescent="0.25">
      <c r="A11" t="s">
        <v>51</v>
      </c>
      <c r="B11">
        <v>1</v>
      </c>
      <c r="C11" t="s">
        <v>16</v>
      </c>
      <c r="D11">
        <v>25984</v>
      </c>
      <c r="E11">
        <v>128</v>
      </c>
      <c r="F11">
        <v>2</v>
      </c>
      <c r="G11">
        <v>8</v>
      </c>
      <c r="H11">
        <v>322.08999999999997</v>
      </c>
      <c r="I11" s="1">
        <v>36.316000000000003</v>
      </c>
      <c r="J11" s="33">
        <v>45303</v>
      </c>
      <c r="K11" s="34">
        <v>0.81398148148148142</v>
      </c>
      <c r="L11" s="17">
        <f>L10</f>
        <v>36.295000000000002</v>
      </c>
      <c r="M11" s="36"/>
      <c r="N11" s="36"/>
      <c r="Q11" t="s">
        <v>30</v>
      </c>
      <c r="R11" s="16">
        <v>3</v>
      </c>
      <c r="S11" t="s">
        <v>16</v>
      </c>
      <c r="T11" s="16">
        <v>25984</v>
      </c>
      <c r="U11" s="16">
        <v>128</v>
      </c>
      <c r="V11" s="16">
        <v>2</v>
      </c>
      <c r="W11" s="16">
        <v>8</v>
      </c>
      <c r="X11" s="2">
        <v>2074.34</v>
      </c>
      <c r="Y11" s="17">
        <v>5.6387999999999998</v>
      </c>
      <c r="AB11" s="5" t="s">
        <v>31</v>
      </c>
      <c r="AC11" s="16">
        <v>3</v>
      </c>
      <c r="AD11" t="s">
        <v>16</v>
      </c>
      <c r="AE11" s="16">
        <v>18368</v>
      </c>
      <c r="AF11" s="16">
        <v>64</v>
      </c>
      <c r="AG11" s="16">
        <v>2</v>
      </c>
      <c r="AH11" s="16">
        <v>4</v>
      </c>
      <c r="AI11" s="2">
        <v>2466</v>
      </c>
      <c r="AJ11" s="17">
        <v>1.6755</v>
      </c>
    </row>
    <row r="12" spans="1:38" x14ac:dyDescent="0.25">
      <c r="A12" t="s">
        <v>51</v>
      </c>
      <c r="B12">
        <v>2</v>
      </c>
      <c r="C12" t="s">
        <v>16</v>
      </c>
      <c r="D12">
        <v>25984</v>
      </c>
      <c r="E12">
        <v>128</v>
      </c>
      <c r="F12">
        <v>2</v>
      </c>
      <c r="G12">
        <v>8</v>
      </c>
      <c r="H12">
        <v>322.16000000000003</v>
      </c>
      <c r="I12" s="1">
        <v>36.307000000000002</v>
      </c>
      <c r="J12" s="33">
        <v>45303</v>
      </c>
      <c r="K12" s="34">
        <v>0.81789351851851855</v>
      </c>
      <c r="L12" s="17">
        <f>L11</f>
        <v>36.295000000000002</v>
      </c>
      <c r="M12" s="36"/>
      <c r="N12" s="36"/>
      <c r="Q12" t="s">
        <v>30</v>
      </c>
      <c r="R12" s="16">
        <v>4</v>
      </c>
      <c r="S12" t="s">
        <v>16</v>
      </c>
      <c r="T12" s="16">
        <v>25984</v>
      </c>
      <c r="U12" s="16">
        <v>128</v>
      </c>
      <c r="V12" s="16">
        <v>2</v>
      </c>
      <c r="W12" s="16">
        <v>8</v>
      </c>
      <c r="X12" s="2">
        <v>2074.6999999999998</v>
      </c>
      <c r="Y12" s="17">
        <v>5.6378000000000004</v>
      </c>
      <c r="AB12" s="5" t="s">
        <v>31</v>
      </c>
      <c r="AC12" s="16">
        <v>4</v>
      </c>
      <c r="AD12" t="s">
        <v>16</v>
      </c>
      <c r="AE12" s="16">
        <v>18368</v>
      </c>
      <c r="AF12" s="16">
        <v>64</v>
      </c>
      <c r="AG12" s="16">
        <v>2</v>
      </c>
      <c r="AH12" s="16">
        <v>4</v>
      </c>
      <c r="AI12" s="2">
        <v>2448.9699999999998</v>
      </c>
      <c r="AJ12" s="17">
        <v>1.6872</v>
      </c>
    </row>
    <row r="13" spans="1:38" x14ac:dyDescent="0.25">
      <c r="A13" t="s">
        <v>51</v>
      </c>
      <c r="B13">
        <v>3</v>
      </c>
      <c r="C13" t="s">
        <v>16</v>
      </c>
      <c r="D13">
        <v>25984</v>
      </c>
      <c r="E13">
        <v>128</v>
      </c>
      <c r="F13">
        <v>2</v>
      </c>
      <c r="G13">
        <v>8</v>
      </c>
      <c r="H13">
        <v>322.39</v>
      </c>
      <c r="I13" s="1">
        <v>36.281999999999996</v>
      </c>
      <c r="J13" s="33">
        <v>45303</v>
      </c>
      <c r="K13" s="34">
        <v>0.82180555555555557</v>
      </c>
      <c r="L13" s="17">
        <f>L12</f>
        <v>36.295000000000002</v>
      </c>
      <c r="M13" s="36"/>
      <c r="N13" s="36"/>
      <c r="Q13" t="s">
        <v>34</v>
      </c>
      <c r="R13" s="16">
        <v>1</v>
      </c>
      <c r="S13" t="s">
        <v>16</v>
      </c>
      <c r="T13" s="16">
        <v>25984</v>
      </c>
      <c r="U13" s="16">
        <v>128</v>
      </c>
      <c r="V13" s="16">
        <v>2</v>
      </c>
      <c r="W13" s="16">
        <v>8</v>
      </c>
      <c r="X13" s="2">
        <v>1768.33</v>
      </c>
      <c r="Y13" s="17">
        <v>6.6146000000000003</v>
      </c>
      <c r="AB13" s="5" t="s">
        <v>35</v>
      </c>
      <c r="AC13" s="16">
        <v>1</v>
      </c>
      <c r="AD13" t="s">
        <v>16</v>
      </c>
      <c r="AE13" s="16">
        <v>18368</v>
      </c>
      <c r="AF13" s="16">
        <v>64</v>
      </c>
      <c r="AG13" s="16">
        <v>2</v>
      </c>
      <c r="AH13" s="16">
        <v>4</v>
      </c>
      <c r="AI13" s="2">
        <v>2543.42</v>
      </c>
      <c r="AJ13" s="17">
        <v>1.6245000000000001</v>
      </c>
    </row>
    <row r="14" spans="1:38" x14ac:dyDescent="0.25">
      <c r="A14" t="s">
        <v>51</v>
      </c>
      <c r="B14">
        <v>4</v>
      </c>
      <c r="C14" t="s">
        <v>16</v>
      </c>
      <c r="D14">
        <v>25984</v>
      </c>
      <c r="E14">
        <v>128</v>
      </c>
      <c r="F14">
        <v>2</v>
      </c>
      <c r="G14">
        <v>8</v>
      </c>
      <c r="H14">
        <v>322.41000000000003</v>
      </c>
      <c r="I14" s="1">
        <v>36.279000000000003</v>
      </c>
      <c r="J14" s="33">
        <v>45303</v>
      </c>
      <c r="K14" s="34">
        <v>0.82572916666666663</v>
      </c>
      <c r="L14" s="17">
        <f>L13</f>
        <v>36.295000000000002</v>
      </c>
      <c r="M14" s="36"/>
      <c r="N14" s="36"/>
      <c r="Q14" t="s">
        <v>34</v>
      </c>
      <c r="R14" s="16">
        <v>2</v>
      </c>
      <c r="S14" t="s">
        <v>16</v>
      </c>
      <c r="T14" s="16">
        <v>25984</v>
      </c>
      <c r="U14" s="16">
        <v>128</v>
      </c>
      <c r="V14" s="16">
        <v>2</v>
      </c>
      <c r="W14" s="16">
        <v>8</v>
      </c>
      <c r="X14" s="2">
        <v>1767.99</v>
      </c>
      <c r="Y14" s="17">
        <v>6.6158000000000001</v>
      </c>
      <c r="AB14" s="5" t="s">
        <v>35</v>
      </c>
      <c r="AC14" s="16">
        <v>2</v>
      </c>
      <c r="AD14" t="s">
        <v>16</v>
      </c>
      <c r="AE14" s="16">
        <v>18368</v>
      </c>
      <c r="AF14" s="16">
        <v>64</v>
      </c>
      <c r="AG14" s="16">
        <v>2</v>
      </c>
      <c r="AH14" s="16">
        <v>4</v>
      </c>
      <c r="AI14" s="2">
        <v>2477.1999999999998</v>
      </c>
      <c r="AJ14" s="17">
        <v>1.6679999999999999</v>
      </c>
    </row>
    <row r="15" spans="1:38" x14ac:dyDescent="0.25">
      <c r="A15" t="s">
        <v>36</v>
      </c>
      <c r="B15">
        <v>0</v>
      </c>
      <c r="C15" t="s">
        <v>16</v>
      </c>
      <c r="D15">
        <v>25984</v>
      </c>
      <c r="E15">
        <v>128</v>
      </c>
      <c r="F15">
        <v>2</v>
      </c>
      <c r="G15">
        <v>8</v>
      </c>
      <c r="H15">
        <v>350.65</v>
      </c>
      <c r="I15" s="1">
        <v>33.356999999999999</v>
      </c>
      <c r="J15" s="33">
        <v>45303</v>
      </c>
      <c r="K15" s="34">
        <v>0.74194444444444441</v>
      </c>
      <c r="L15" s="17">
        <f>AVERAGE(I15:I19)</f>
        <v>33.348799999999997</v>
      </c>
      <c r="M15" s="36"/>
      <c r="N15" s="36"/>
      <c r="Q15" t="s">
        <v>34</v>
      </c>
      <c r="R15" s="16">
        <v>3</v>
      </c>
      <c r="S15" t="s">
        <v>16</v>
      </c>
      <c r="T15" s="16">
        <v>25984</v>
      </c>
      <c r="U15" s="16">
        <v>128</v>
      </c>
      <c r="V15" s="16">
        <v>2</v>
      </c>
      <c r="W15" s="16">
        <v>8</v>
      </c>
      <c r="X15" s="2">
        <v>1768.41</v>
      </c>
      <c r="Y15" s="17">
        <v>6.6143000000000001</v>
      </c>
      <c r="AB15" s="5" t="s">
        <v>35</v>
      </c>
      <c r="AC15" s="16">
        <v>3</v>
      </c>
      <c r="AD15" t="s">
        <v>16</v>
      </c>
      <c r="AE15" s="16">
        <v>18368</v>
      </c>
      <c r="AF15" s="16">
        <v>64</v>
      </c>
      <c r="AG15" s="16">
        <v>2</v>
      </c>
      <c r="AH15" s="16">
        <v>4</v>
      </c>
      <c r="AI15" s="2">
        <v>2511.35</v>
      </c>
      <c r="AJ15" s="17">
        <v>1.6453</v>
      </c>
    </row>
    <row r="16" spans="1:38" x14ac:dyDescent="0.25">
      <c r="A16" t="s">
        <v>36</v>
      </c>
      <c r="B16">
        <v>1</v>
      </c>
      <c r="C16" t="s">
        <v>16</v>
      </c>
      <c r="D16">
        <v>25984</v>
      </c>
      <c r="E16">
        <v>128</v>
      </c>
      <c r="F16">
        <v>2</v>
      </c>
      <c r="G16">
        <v>8</v>
      </c>
      <c r="H16">
        <v>350.67</v>
      </c>
      <c r="I16" s="1">
        <v>33.354999999999997</v>
      </c>
      <c r="J16" s="33">
        <v>45303</v>
      </c>
      <c r="K16" s="34">
        <v>0.74619212962962955</v>
      </c>
      <c r="L16" s="17">
        <f>L15</f>
        <v>33.348799999999997</v>
      </c>
      <c r="M16" s="36"/>
      <c r="N16" s="36"/>
      <c r="Q16" t="s">
        <v>34</v>
      </c>
      <c r="R16" s="16">
        <v>4</v>
      </c>
      <c r="S16" t="s">
        <v>16</v>
      </c>
      <c r="T16" s="16">
        <v>25984</v>
      </c>
      <c r="U16" s="16">
        <v>128</v>
      </c>
      <c r="V16" s="16">
        <v>2</v>
      </c>
      <c r="W16" s="16">
        <v>8</v>
      </c>
      <c r="X16" s="2">
        <v>1768.55</v>
      </c>
      <c r="Y16" s="17">
        <v>6.6138000000000003</v>
      </c>
      <c r="AB16" s="5" t="s">
        <v>35</v>
      </c>
      <c r="AC16" s="16">
        <v>4</v>
      </c>
      <c r="AD16" t="s">
        <v>16</v>
      </c>
      <c r="AE16" s="16">
        <v>18368</v>
      </c>
      <c r="AF16" s="16">
        <v>64</v>
      </c>
      <c r="AG16" s="16">
        <v>2</v>
      </c>
      <c r="AH16" s="16">
        <v>4</v>
      </c>
      <c r="AI16" s="2">
        <v>2537.2399999999998</v>
      </c>
      <c r="AJ16" s="17">
        <v>1.6285000000000001</v>
      </c>
    </row>
    <row r="17" spans="1:38" x14ac:dyDescent="0.25">
      <c r="A17" t="s">
        <v>36</v>
      </c>
      <c r="B17">
        <v>2</v>
      </c>
      <c r="C17" t="s">
        <v>16</v>
      </c>
      <c r="D17">
        <v>25984</v>
      </c>
      <c r="E17">
        <v>128</v>
      </c>
      <c r="F17">
        <v>2</v>
      </c>
      <c r="G17">
        <v>8</v>
      </c>
      <c r="H17">
        <v>350.89</v>
      </c>
      <c r="I17" s="1">
        <v>33.335000000000001</v>
      </c>
      <c r="J17" s="33">
        <v>45303</v>
      </c>
      <c r="K17" s="34">
        <v>0.75043981481481481</v>
      </c>
      <c r="L17" s="17">
        <f>L16</f>
        <v>33.348799999999997</v>
      </c>
      <c r="M17" s="36"/>
      <c r="N17" s="36"/>
      <c r="Q17" s="21" t="s">
        <v>38</v>
      </c>
      <c r="R17" s="22">
        <v>1</v>
      </c>
      <c r="S17" s="21" t="s">
        <v>16</v>
      </c>
      <c r="T17" s="22">
        <v>25984</v>
      </c>
      <c r="U17" s="22">
        <v>128</v>
      </c>
      <c r="V17" s="22">
        <v>2</v>
      </c>
      <c r="W17" s="22">
        <v>8</v>
      </c>
      <c r="X17" s="23">
        <v>404.36</v>
      </c>
      <c r="Y17" s="47">
        <v>28.927</v>
      </c>
      <c r="AB17" s="5" t="s">
        <v>39</v>
      </c>
      <c r="AC17" s="16">
        <v>1</v>
      </c>
      <c r="AD17" t="s">
        <v>16</v>
      </c>
      <c r="AE17" s="16">
        <v>18368</v>
      </c>
      <c r="AF17" s="16">
        <v>64</v>
      </c>
      <c r="AG17" s="16">
        <v>2</v>
      </c>
      <c r="AH17" s="16">
        <v>4</v>
      </c>
      <c r="AI17" s="2">
        <v>3283.31</v>
      </c>
      <c r="AJ17" s="17">
        <v>1.2584</v>
      </c>
    </row>
    <row r="18" spans="1:38" x14ac:dyDescent="0.25">
      <c r="A18" t="s">
        <v>36</v>
      </c>
      <c r="B18">
        <v>3</v>
      </c>
      <c r="C18" t="s">
        <v>16</v>
      </c>
      <c r="D18">
        <v>25984</v>
      </c>
      <c r="E18">
        <v>128</v>
      </c>
      <c r="F18">
        <v>2</v>
      </c>
      <c r="G18">
        <v>8</v>
      </c>
      <c r="H18">
        <v>350.79</v>
      </c>
      <c r="I18" s="1">
        <v>33.344000000000001</v>
      </c>
      <c r="J18" s="33">
        <v>45303</v>
      </c>
      <c r="K18" s="34">
        <v>0.75468750000000007</v>
      </c>
      <c r="L18" s="17">
        <f>L17</f>
        <v>33.348799999999997</v>
      </c>
      <c r="M18" s="36"/>
      <c r="N18" s="36"/>
      <c r="Q18" t="s">
        <v>38</v>
      </c>
      <c r="R18" s="16">
        <v>2</v>
      </c>
      <c r="S18" t="s">
        <v>16</v>
      </c>
      <c r="T18" s="16">
        <v>25984</v>
      </c>
      <c r="U18" s="16">
        <v>128</v>
      </c>
      <c r="V18" s="16">
        <v>2</v>
      </c>
      <c r="W18" s="16">
        <v>8</v>
      </c>
      <c r="X18" s="2">
        <v>407.5</v>
      </c>
      <c r="Y18" s="17">
        <v>28.702999999999999</v>
      </c>
      <c r="AB18" s="5" t="s">
        <v>39</v>
      </c>
      <c r="AC18" s="16">
        <v>2</v>
      </c>
      <c r="AD18" t="s">
        <v>16</v>
      </c>
      <c r="AE18" s="16">
        <v>18368</v>
      </c>
      <c r="AF18" s="16">
        <v>64</v>
      </c>
      <c r="AG18" s="16">
        <v>2</v>
      </c>
      <c r="AH18" s="16">
        <v>4</v>
      </c>
      <c r="AI18" s="2">
        <v>3225.76</v>
      </c>
      <c r="AJ18" s="17">
        <v>1.2808999999999999</v>
      </c>
    </row>
    <row r="19" spans="1:38" x14ac:dyDescent="0.25">
      <c r="A19" t="s">
        <v>36</v>
      </c>
      <c r="B19">
        <v>4</v>
      </c>
      <c r="C19" t="s">
        <v>16</v>
      </c>
      <c r="D19">
        <v>25984</v>
      </c>
      <c r="E19">
        <v>128</v>
      </c>
      <c r="F19">
        <v>2</v>
      </c>
      <c r="G19">
        <v>8</v>
      </c>
      <c r="H19">
        <v>350.7</v>
      </c>
      <c r="I19" s="1">
        <v>33.353000000000002</v>
      </c>
      <c r="J19" s="33">
        <v>45303</v>
      </c>
      <c r="K19" s="34">
        <v>0.75893518518518521</v>
      </c>
      <c r="L19" s="17">
        <f>L18</f>
        <v>33.348799999999997</v>
      </c>
      <c r="M19" s="36"/>
      <c r="N19" s="36"/>
      <c r="Q19" t="s">
        <v>38</v>
      </c>
      <c r="R19" s="16">
        <v>3</v>
      </c>
      <c r="S19" t="s">
        <v>16</v>
      </c>
      <c r="T19" s="16">
        <v>25984</v>
      </c>
      <c r="U19" s="16">
        <v>128</v>
      </c>
      <c r="V19" s="16">
        <v>2</v>
      </c>
      <c r="W19" s="16">
        <v>8</v>
      </c>
      <c r="X19" s="2">
        <v>407.68</v>
      </c>
      <c r="Y19" s="17">
        <v>28.690999999999999</v>
      </c>
      <c r="AB19" s="5" t="s">
        <v>39</v>
      </c>
      <c r="AC19" s="16">
        <v>3</v>
      </c>
      <c r="AD19" t="s">
        <v>16</v>
      </c>
      <c r="AE19" s="16">
        <v>18368</v>
      </c>
      <c r="AF19" s="16">
        <v>64</v>
      </c>
      <c r="AG19" s="16">
        <v>2</v>
      </c>
      <c r="AH19" s="16">
        <v>4</v>
      </c>
      <c r="AI19" s="2">
        <v>3186.46</v>
      </c>
      <c r="AJ19" s="17">
        <v>1.2967</v>
      </c>
    </row>
    <row r="20" spans="1:38" x14ac:dyDescent="0.25">
      <c r="A20" t="s">
        <v>56</v>
      </c>
      <c r="B20">
        <v>0</v>
      </c>
      <c r="C20" t="s">
        <v>16</v>
      </c>
      <c r="D20">
        <v>25984</v>
      </c>
      <c r="E20">
        <v>128</v>
      </c>
      <c r="F20">
        <v>2</v>
      </c>
      <c r="G20">
        <v>8</v>
      </c>
      <c r="H20">
        <v>357.46</v>
      </c>
      <c r="I20" s="1">
        <v>32.722000000000001</v>
      </c>
      <c r="J20" s="33">
        <v>45303</v>
      </c>
      <c r="K20" s="34">
        <v>0.74271990740740745</v>
      </c>
      <c r="L20" s="17">
        <f>AVERAGE(I20:I24)</f>
        <v>32.705999999999996</v>
      </c>
      <c r="M20" s="36"/>
      <c r="N20" s="36"/>
      <c r="Q20" t="s">
        <v>38</v>
      </c>
      <c r="R20" s="16">
        <v>4</v>
      </c>
      <c r="S20" t="s">
        <v>16</v>
      </c>
      <c r="T20" s="16">
        <v>25984</v>
      </c>
      <c r="U20" s="16">
        <v>128</v>
      </c>
      <c r="V20" s="16">
        <v>2</v>
      </c>
      <c r="W20" s="16">
        <v>8</v>
      </c>
      <c r="X20" s="2">
        <v>407.44</v>
      </c>
      <c r="Y20" s="17">
        <v>28.707999999999998</v>
      </c>
      <c r="AB20" s="5" t="s">
        <v>39</v>
      </c>
      <c r="AC20" s="16">
        <v>4</v>
      </c>
      <c r="AD20" t="s">
        <v>16</v>
      </c>
      <c r="AE20" s="16">
        <v>18368</v>
      </c>
      <c r="AF20" s="16">
        <v>64</v>
      </c>
      <c r="AG20" s="16">
        <v>2</v>
      </c>
      <c r="AH20" s="16">
        <v>4</v>
      </c>
      <c r="AI20" s="2">
        <v>3179.9</v>
      </c>
      <c r="AJ20" s="17">
        <v>1.2994000000000001</v>
      </c>
    </row>
    <row r="21" spans="1:38" x14ac:dyDescent="0.25">
      <c r="A21" t="s">
        <v>56</v>
      </c>
      <c r="B21">
        <v>1</v>
      </c>
      <c r="C21" t="s">
        <v>16</v>
      </c>
      <c r="D21">
        <v>25984</v>
      </c>
      <c r="E21">
        <v>128</v>
      </c>
      <c r="F21">
        <v>2</v>
      </c>
      <c r="G21">
        <v>8</v>
      </c>
      <c r="H21">
        <v>357.78</v>
      </c>
      <c r="I21" s="1">
        <v>32.692</v>
      </c>
      <c r="J21" s="33">
        <v>45303</v>
      </c>
      <c r="K21" s="34">
        <v>0.74707175925925917</v>
      </c>
      <c r="L21" s="17">
        <f>L20</f>
        <v>32.705999999999996</v>
      </c>
      <c r="M21" s="36"/>
      <c r="N21" s="36"/>
      <c r="Q21" t="s">
        <v>42</v>
      </c>
      <c r="R21" s="16">
        <v>1</v>
      </c>
      <c r="S21" t="s">
        <v>16</v>
      </c>
      <c r="T21" s="16">
        <v>25984</v>
      </c>
      <c r="U21" s="16">
        <v>128</v>
      </c>
      <c r="V21" s="16">
        <v>2</v>
      </c>
      <c r="W21" s="16">
        <v>8</v>
      </c>
      <c r="X21" s="2">
        <v>405.29</v>
      </c>
      <c r="Y21" s="17">
        <v>28.86</v>
      </c>
      <c r="AB21" s="5" t="s">
        <v>43</v>
      </c>
      <c r="AC21" s="16">
        <v>1</v>
      </c>
      <c r="AD21" t="s">
        <v>16</v>
      </c>
      <c r="AE21" s="16">
        <v>18368</v>
      </c>
      <c r="AF21" s="16">
        <v>64</v>
      </c>
      <c r="AG21" s="16">
        <v>2</v>
      </c>
      <c r="AH21" s="16">
        <v>4</v>
      </c>
      <c r="AI21" s="2">
        <v>2154.4899999999998</v>
      </c>
      <c r="AJ21" s="17">
        <v>1.9177999999999999</v>
      </c>
    </row>
    <row r="22" spans="1:38" x14ac:dyDescent="0.25">
      <c r="A22" t="s">
        <v>56</v>
      </c>
      <c r="B22">
        <v>2</v>
      </c>
      <c r="C22" t="s">
        <v>16</v>
      </c>
      <c r="D22">
        <v>25984</v>
      </c>
      <c r="E22">
        <v>128</v>
      </c>
      <c r="F22">
        <v>2</v>
      </c>
      <c r="G22">
        <v>8</v>
      </c>
      <c r="H22">
        <v>357.63</v>
      </c>
      <c r="I22" s="1">
        <v>32.706000000000003</v>
      </c>
      <c r="J22" s="33">
        <v>45303</v>
      </c>
      <c r="K22" s="34">
        <v>0.75141203703703707</v>
      </c>
      <c r="L22" s="17">
        <f>L21</f>
        <v>32.705999999999996</v>
      </c>
      <c r="M22" s="36"/>
      <c r="N22" s="36"/>
      <c r="Q22" t="s">
        <v>42</v>
      </c>
      <c r="R22" s="16">
        <v>2</v>
      </c>
      <c r="S22" t="s">
        <v>16</v>
      </c>
      <c r="T22" s="16">
        <v>25984</v>
      </c>
      <c r="U22" s="16">
        <v>128</v>
      </c>
      <c r="V22" s="16">
        <v>2</v>
      </c>
      <c r="W22" s="16">
        <v>8</v>
      </c>
      <c r="X22" s="2">
        <v>405.44</v>
      </c>
      <c r="Y22" s="17">
        <v>28.849</v>
      </c>
      <c r="AB22" s="5" t="s">
        <v>43</v>
      </c>
      <c r="AC22" s="16">
        <v>2</v>
      </c>
      <c r="AD22" t="s">
        <v>16</v>
      </c>
      <c r="AE22" s="16">
        <v>18368</v>
      </c>
      <c r="AF22" s="16">
        <v>64</v>
      </c>
      <c r="AG22" s="16">
        <v>2</v>
      </c>
      <c r="AH22" s="16">
        <v>4</v>
      </c>
      <c r="AI22" s="2">
        <v>2052.6999999999998</v>
      </c>
      <c r="AJ22" s="17">
        <v>2.0129000000000001</v>
      </c>
    </row>
    <row r="23" spans="1:38" x14ac:dyDescent="0.25">
      <c r="A23" t="s">
        <v>56</v>
      </c>
      <c r="B23">
        <v>3</v>
      </c>
      <c r="C23" t="s">
        <v>16</v>
      </c>
      <c r="D23">
        <v>25984</v>
      </c>
      <c r="E23">
        <v>128</v>
      </c>
      <c r="F23">
        <v>2</v>
      </c>
      <c r="G23">
        <v>8</v>
      </c>
      <c r="H23">
        <v>357.52</v>
      </c>
      <c r="I23" s="1">
        <v>32.716999999999999</v>
      </c>
      <c r="J23" s="33">
        <v>45303</v>
      </c>
      <c r="K23" s="34">
        <v>0.75575231481481486</v>
      </c>
      <c r="L23" s="17">
        <f>L22</f>
        <v>32.705999999999996</v>
      </c>
      <c r="M23" s="36"/>
      <c r="N23" s="36"/>
      <c r="Q23" t="s">
        <v>42</v>
      </c>
      <c r="R23" s="16">
        <v>3</v>
      </c>
      <c r="S23" t="s">
        <v>16</v>
      </c>
      <c r="T23" s="16">
        <v>25984</v>
      </c>
      <c r="U23" s="16">
        <v>128</v>
      </c>
      <c r="V23" s="16">
        <v>2</v>
      </c>
      <c r="W23" s="16">
        <v>8</v>
      </c>
      <c r="X23" s="2">
        <v>406.14</v>
      </c>
      <c r="Y23" s="17">
        <v>28.8</v>
      </c>
      <c r="AB23" s="5" t="s">
        <v>43</v>
      </c>
      <c r="AC23" s="16">
        <v>3</v>
      </c>
      <c r="AD23" t="s">
        <v>16</v>
      </c>
      <c r="AE23" s="16">
        <v>18368</v>
      </c>
      <c r="AF23" s="16">
        <v>64</v>
      </c>
      <c r="AG23" s="16">
        <v>2</v>
      </c>
      <c r="AH23" s="16">
        <v>4</v>
      </c>
      <c r="AI23" s="2">
        <v>2146.85</v>
      </c>
      <c r="AJ23" s="17">
        <v>1.9246000000000001</v>
      </c>
    </row>
    <row r="24" spans="1:38" x14ac:dyDescent="0.25">
      <c r="A24" t="s">
        <v>56</v>
      </c>
      <c r="B24">
        <v>4</v>
      </c>
      <c r="C24" t="s">
        <v>16</v>
      </c>
      <c r="D24">
        <v>25984</v>
      </c>
      <c r="E24">
        <v>128</v>
      </c>
      <c r="F24">
        <v>2</v>
      </c>
      <c r="G24">
        <v>8</v>
      </c>
      <c r="H24">
        <v>357.77</v>
      </c>
      <c r="I24" s="1">
        <v>32.692999999999998</v>
      </c>
      <c r="J24" s="33">
        <v>45303</v>
      </c>
      <c r="K24" s="34">
        <v>0.76010416666666669</v>
      </c>
      <c r="L24" s="17">
        <f>L23</f>
        <v>32.705999999999996</v>
      </c>
      <c r="M24" s="36"/>
      <c r="N24" s="36"/>
      <c r="Q24" t="s">
        <v>42</v>
      </c>
      <c r="R24" s="16">
        <v>4</v>
      </c>
      <c r="S24" t="s">
        <v>16</v>
      </c>
      <c r="T24" s="16">
        <v>25984</v>
      </c>
      <c r="U24" s="16">
        <v>128</v>
      </c>
      <c r="V24" s="16">
        <v>2</v>
      </c>
      <c r="W24" s="16">
        <v>8</v>
      </c>
      <c r="X24" s="2">
        <v>405.84</v>
      </c>
      <c r="Y24" s="17">
        <v>28.821000000000002</v>
      </c>
      <c r="AB24" s="5" t="s">
        <v>43</v>
      </c>
      <c r="AC24" s="16">
        <v>4</v>
      </c>
      <c r="AD24" t="s">
        <v>16</v>
      </c>
      <c r="AE24" s="16">
        <v>18368</v>
      </c>
      <c r="AF24" s="16">
        <v>64</v>
      </c>
      <c r="AG24" s="16">
        <v>2</v>
      </c>
      <c r="AH24" s="16">
        <v>4</v>
      </c>
      <c r="AI24" s="2">
        <v>2132.6999999999998</v>
      </c>
      <c r="AJ24" s="17">
        <v>1.9374</v>
      </c>
    </row>
    <row r="25" spans="1:38" x14ac:dyDescent="0.25">
      <c r="A25" t="s">
        <v>59</v>
      </c>
      <c r="B25">
        <v>0</v>
      </c>
      <c r="C25" t="s">
        <v>16</v>
      </c>
      <c r="D25">
        <v>25984</v>
      </c>
      <c r="E25">
        <v>128</v>
      </c>
      <c r="F25">
        <v>2</v>
      </c>
      <c r="G25">
        <v>8</v>
      </c>
      <c r="H25">
        <v>364.66</v>
      </c>
      <c r="I25" s="1">
        <v>32.076000000000001</v>
      </c>
      <c r="J25" s="33">
        <v>45303</v>
      </c>
      <c r="K25" s="34">
        <v>0.78868055555555561</v>
      </c>
      <c r="L25" s="17">
        <f>AVERAGE(I25:I29)</f>
        <v>32.0792</v>
      </c>
      <c r="M25" s="36"/>
      <c r="N25" s="36"/>
      <c r="O25" s="1"/>
      <c r="P25" s="1"/>
      <c r="Q25" t="s">
        <v>46</v>
      </c>
      <c r="R25" s="16">
        <v>1</v>
      </c>
      <c r="S25" t="s">
        <v>16</v>
      </c>
      <c r="T25" s="16">
        <v>25984</v>
      </c>
      <c r="U25" s="16">
        <v>128</v>
      </c>
      <c r="V25" s="16">
        <v>2</v>
      </c>
      <c r="W25" s="16">
        <v>8</v>
      </c>
      <c r="X25" s="2">
        <v>723.48</v>
      </c>
      <c r="Y25" s="17">
        <v>16.167000000000002</v>
      </c>
      <c r="AB25" s="5" t="s">
        <v>47</v>
      </c>
      <c r="AC25" s="16">
        <v>1</v>
      </c>
      <c r="AD25" t="s">
        <v>16</v>
      </c>
      <c r="AE25" s="16">
        <v>18368</v>
      </c>
      <c r="AF25" s="16">
        <v>64</v>
      </c>
      <c r="AG25" s="16">
        <v>2</v>
      </c>
      <c r="AH25" s="16">
        <v>4</v>
      </c>
      <c r="AI25" s="2">
        <v>2273.58</v>
      </c>
      <c r="AJ25" s="17">
        <v>1.8172999999999999</v>
      </c>
      <c r="AL25" s="1"/>
    </row>
    <row r="26" spans="1:38" x14ac:dyDescent="0.25">
      <c r="A26" t="s">
        <v>59</v>
      </c>
      <c r="B26">
        <v>1</v>
      </c>
      <c r="C26" t="s">
        <v>16</v>
      </c>
      <c r="D26">
        <v>25984</v>
      </c>
      <c r="E26">
        <v>128</v>
      </c>
      <c r="F26">
        <v>2</v>
      </c>
      <c r="G26">
        <v>8</v>
      </c>
      <c r="H26">
        <v>364.62</v>
      </c>
      <c r="I26" s="1">
        <v>32.08</v>
      </c>
      <c r="J26" s="33">
        <v>45303</v>
      </c>
      <c r="K26" s="34">
        <v>0.79311342592592593</v>
      </c>
      <c r="L26" s="17">
        <f>L25</f>
        <v>32.0792</v>
      </c>
      <c r="M26" s="36"/>
      <c r="N26" s="36"/>
      <c r="O26" s="1"/>
      <c r="P26" s="1"/>
      <c r="Q26" t="s">
        <v>46</v>
      </c>
      <c r="R26" s="16">
        <v>2</v>
      </c>
      <c r="S26" t="s">
        <v>16</v>
      </c>
      <c r="T26" s="16">
        <v>25984</v>
      </c>
      <c r="U26" s="16">
        <v>128</v>
      </c>
      <c r="V26" s="16">
        <v>2</v>
      </c>
      <c r="W26" s="16">
        <v>8</v>
      </c>
      <c r="X26" s="2">
        <v>722.22</v>
      </c>
      <c r="Y26" s="17">
        <v>16.196000000000002</v>
      </c>
      <c r="AB26" s="5" t="s">
        <v>47</v>
      </c>
      <c r="AC26" s="16">
        <v>2</v>
      </c>
      <c r="AD26" t="s">
        <v>16</v>
      </c>
      <c r="AE26" s="16">
        <v>18368</v>
      </c>
      <c r="AF26" s="16">
        <v>64</v>
      </c>
      <c r="AG26" s="16">
        <v>2</v>
      </c>
      <c r="AH26" s="16">
        <v>4</v>
      </c>
      <c r="AI26" s="2">
        <v>2239.7399999999998</v>
      </c>
      <c r="AJ26" s="17">
        <v>1.8448</v>
      </c>
      <c r="AL26" s="1"/>
    </row>
    <row r="27" spans="1:38" x14ac:dyDescent="0.25">
      <c r="A27" t="s">
        <v>59</v>
      </c>
      <c r="B27">
        <v>2</v>
      </c>
      <c r="C27" t="s">
        <v>16</v>
      </c>
      <c r="D27">
        <v>25984</v>
      </c>
      <c r="E27">
        <v>128</v>
      </c>
      <c r="F27">
        <v>2</v>
      </c>
      <c r="G27">
        <v>8</v>
      </c>
      <c r="H27">
        <v>364.54</v>
      </c>
      <c r="I27" s="1">
        <v>32.085999999999999</v>
      </c>
      <c r="J27" s="33">
        <v>45303</v>
      </c>
      <c r="K27" s="34">
        <v>0.79753472222222221</v>
      </c>
      <c r="L27" s="17">
        <f>L26</f>
        <v>32.0792</v>
      </c>
      <c r="M27" s="36"/>
      <c r="N27" s="36"/>
      <c r="O27" s="1"/>
      <c r="P27" s="1"/>
      <c r="Q27" t="s">
        <v>46</v>
      </c>
      <c r="R27" s="16">
        <v>3</v>
      </c>
      <c r="S27" t="s">
        <v>16</v>
      </c>
      <c r="T27" s="16">
        <v>25984</v>
      </c>
      <c r="U27" s="16">
        <v>128</v>
      </c>
      <c r="V27" s="16">
        <v>2</v>
      </c>
      <c r="W27" s="16">
        <v>8</v>
      </c>
      <c r="X27" s="2">
        <v>721.86</v>
      </c>
      <c r="Y27" s="17">
        <v>16.204000000000001</v>
      </c>
      <c r="AB27" s="5" t="s">
        <v>47</v>
      </c>
      <c r="AC27" s="16">
        <v>3</v>
      </c>
      <c r="AD27" t="s">
        <v>16</v>
      </c>
      <c r="AE27" s="16">
        <v>18368</v>
      </c>
      <c r="AF27" s="16">
        <v>64</v>
      </c>
      <c r="AG27" s="16">
        <v>2</v>
      </c>
      <c r="AH27" s="16">
        <v>4</v>
      </c>
      <c r="AI27" s="2">
        <v>2271.34</v>
      </c>
      <c r="AJ27" s="17">
        <v>1.8190999999999999</v>
      </c>
      <c r="AL27" s="1"/>
    </row>
    <row r="28" spans="1:38" x14ac:dyDescent="0.25">
      <c r="A28" t="s">
        <v>59</v>
      </c>
      <c r="B28">
        <v>3</v>
      </c>
      <c r="C28" t="s">
        <v>16</v>
      </c>
      <c r="D28">
        <v>25984</v>
      </c>
      <c r="E28">
        <v>128</v>
      </c>
      <c r="F28">
        <v>2</v>
      </c>
      <c r="G28">
        <v>8</v>
      </c>
      <c r="H28">
        <v>364.66</v>
      </c>
      <c r="I28" s="1">
        <v>32.076000000000001</v>
      </c>
      <c r="J28" s="33">
        <v>45303</v>
      </c>
      <c r="K28" s="34">
        <v>0.80196759259259265</v>
      </c>
      <c r="L28" s="17">
        <f>L27</f>
        <v>32.0792</v>
      </c>
      <c r="M28" s="36"/>
      <c r="N28" s="36"/>
      <c r="O28" s="1"/>
      <c r="P28" s="1"/>
      <c r="Q28" t="s">
        <v>46</v>
      </c>
      <c r="R28" s="16">
        <v>4</v>
      </c>
      <c r="S28" t="s">
        <v>16</v>
      </c>
      <c r="T28" s="16">
        <v>25984</v>
      </c>
      <c r="U28" s="16">
        <v>128</v>
      </c>
      <c r="V28" s="16">
        <v>2</v>
      </c>
      <c r="W28" s="16">
        <v>8</v>
      </c>
      <c r="X28" s="2">
        <v>720.97</v>
      </c>
      <c r="Y28" s="17">
        <v>16.224</v>
      </c>
      <c r="AB28" s="5" t="s">
        <v>47</v>
      </c>
      <c r="AC28" s="16">
        <v>4</v>
      </c>
      <c r="AD28" t="s">
        <v>16</v>
      </c>
      <c r="AE28" s="16">
        <v>18368</v>
      </c>
      <c r="AF28" s="16">
        <v>64</v>
      </c>
      <c r="AG28" s="16">
        <v>2</v>
      </c>
      <c r="AH28" s="16">
        <v>4</v>
      </c>
      <c r="AI28" s="2">
        <v>2342.5</v>
      </c>
      <c r="AJ28" s="17">
        <v>1.7639</v>
      </c>
      <c r="AL28" s="1"/>
    </row>
    <row r="29" spans="1:38" x14ac:dyDescent="0.25">
      <c r="A29" t="s">
        <v>59</v>
      </c>
      <c r="B29">
        <v>4</v>
      </c>
      <c r="C29" t="s">
        <v>16</v>
      </c>
      <c r="D29">
        <v>25984</v>
      </c>
      <c r="E29">
        <v>128</v>
      </c>
      <c r="F29">
        <v>2</v>
      </c>
      <c r="G29">
        <v>8</v>
      </c>
      <c r="H29">
        <v>364.64</v>
      </c>
      <c r="I29" s="1">
        <v>32.078000000000003</v>
      </c>
      <c r="J29" s="33">
        <v>45303</v>
      </c>
      <c r="K29" s="34">
        <v>0.80640046296296297</v>
      </c>
      <c r="L29" s="17">
        <f>L28</f>
        <v>32.0792</v>
      </c>
      <c r="M29" s="36"/>
      <c r="N29" s="36"/>
      <c r="O29" s="1"/>
      <c r="P29" s="1"/>
      <c r="Q29" t="s">
        <v>49</v>
      </c>
      <c r="R29" s="16">
        <v>1</v>
      </c>
      <c r="S29" t="s">
        <v>16</v>
      </c>
      <c r="T29" s="16">
        <v>25984</v>
      </c>
      <c r="U29" s="16">
        <v>128</v>
      </c>
      <c r="V29" s="16">
        <v>2</v>
      </c>
      <c r="W29" s="16">
        <v>8</v>
      </c>
      <c r="X29" s="2">
        <v>405.36</v>
      </c>
      <c r="Y29" s="17">
        <v>28.855</v>
      </c>
      <c r="AB29" s="5" t="s">
        <v>50</v>
      </c>
      <c r="AC29" s="16">
        <v>1</v>
      </c>
      <c r="AD29" t="s">
        <v>16</v>
      </c>
      <c r="AE29" s="16">
        <v>18368</v>
      </c>
      <c r="AF29" s="16">
        <v>64</v>
      </c>
      <c r="AG29" s="16">
        <v>2</v>
      </c>
      <c r="AH29" s="16">
        <v>4</v>
      </c>
      <c r="AI29" s="2">
        <v>2237.62</v>
      </c>
      <c r="AJ29" s="17">
        <v>1.8466</v>
      </c>
      <c r="AL29" s="1"/>
    </row>
    <row r="30" spans="1:38" x14ac:dyDescent="0.25">
      <c r="A30" t="s">
        <v>40</v>
      </c>
      <c r="B30">
        <v>0</v>
      </c>
      <c r="C30" t="s">
        <v>16</v>
      </c>
      <c r="D30">
        <v>25984</v>
      </c>
      <c r="E30">
        <v>128</v>
      </c>
      <c r="F30">
        <v>2</v>
      </c>
      <c r="G30">
        <v>8</v>
      </c>
      <c r="H30">
        <v>365.55</v>
      </c>
      <c r="I30" s="1">
        <v>31.998000000000001</v>
      </c>
      <c r="J30" s="33">
        <v>45303</v>
      </c>
      <c r="K30" s="34">
        <v>0.76365740740740751</v>
      </c>
      <c r="L30" s="17">
        <f>AVERAGE(I30:I34)</f>
        <v>32.008200000000002</v>
      </c>
      <c r="M30" s="36"/>
      <c r="N30" s="36"/>
      <c r="O30" s="1"/>
      <c r="P30" s="1"/>
      <c r="Q30" t="s">
        <v>49</v>
      </c>
      <c r="R30" s="16">
        <v>2</v>
      </c>
      <c r="S30" t="s">
        <v>16</v>
      </c>
      <c r="T30" s="16">
        <v>25984</v>
      </c>
      <c r="U30" s="16">
        <v>128</v>
      </c>
      <c r="V30" s="16">
        <v>2</v>
      </c>
      <c r="W30" s="16">
        <v>8</v>
      </c>
      <c r="X30" s="2">
        <v>405.77</v>
      </c>
      <c r="Y30" s="17">
        <v>28.826000000000001</v>
      </c>
      <c r="AB30" s="5" t="s">
        <v>50</v>
      </c>
      <c r="AC30" s="16">
        <v>2</v>
      </c>
      <c r="AD30" t="s">
        <v>16</v>
      </c>
      <c r="AE30" s="16">
        <v>18368</v>
      </c>
      <c r="AF30" s="16">
        <v>64</v>
      </c>
      <c r="AG30" s="16">
        <v>2</v>
      </c>
      <c r="AH30" s="16">
        <v>4</v>
      </c>
      <c r="AI30" s="2">
        <v>2233.42</v>
      </c>
      <c r="AJ30" s="17">
        <v>1.85</v>
      </c>
      <c r="AL30" s="1"/>
    </row>
    <row r="31" spans="1:38" x14ac:dyDescent="0.25">
      <c r="A31" t="s">
        <v>40</v>
      </c>
      <c r="B31">
        <v>1</v>
      </c>
      <c r="C31" t="s">
        <v>16</v>
      </c>
      <c r="D31">
        <v>25984</v>
      </c>
      <c r="E31">
        <v>128</v>
      </c>
      <c r="F31">
        <v>2</v>
      </c>
      <c r="G31">
        <v>8</v>
      </c>
      <c r="H31">
        <v>365.32</v>
      </c>
      <c r="I31" s="1">
        <v>32.018000000000001</v>
      </c>
      <c r="J31" s="33">
        <v>45303</v>
      </c>
      <c r="K31" s="34">
        <v>0.76836805555555554</v>
      </c>
      <c r="L31" s="17">
        <f>L30</f>
        <v>32.008200000000002</v>
      </c>
      <c r="M31" s="36"/>
      <c r="N31" s="36"/>
      <c r="O31" s="1"/>
      <c r="P31" s="1"/>
      <c r="Q31" t="s">
        <v>49</v>
      </c>
      <c r="R31" s="16">
        <v>3</v>
      </c>
      <c r="S31" t="s">
        <v>16</v>
      </c>
      <c r="T31" s="16">
        <v>25984</v>
      </c>
      <c r="U31" s="16">
        <v>128</v>
      </c>
      <c r="V31" s="16">
        <v>2</v>
      </c>
      <c r="W31" s="16">
        <v>8</v>
      </c>
      <c r="X31" s="2">
        <v>406.6</v>
      </c>
      <c r="Y31" s="17">
        <v>28.766999999999999</v>
      </c>
      <c r="AB31" s="5" t="s">
        <v>50</v>
      </c>
      <c r="AC31" s="16">
        <v>3</v>
      </c>
      <c r="AD31" t="s">
        <v>16</v>
      </c>
      <c r="AE31" s="16">
        <v>18368</v>
      </c>
      <c r="AF31" s="16">
        <v>64</v>
      </c>
      <c r="AG31" s="16">
        <v>2</v>
      </c>
      <c r="AH31" s="16">
        <v>4</v>
      </c>
      <c r="AI31" s="2">
        <v>2162.59</v>
      </c>
      <c r="AJ31" s="17">
        <v>1.9106000000000001</v>
      </c>
      <c r="AL31" s="1"/>
    </row>
    <row r="32" spans="1:38" x14ac:dyDescent="0.25">
      <c r="A32" t="s">
        <v>40</v>
      </c>
      <c r="B32">
        <v>2</v>
      </c>
      <c r="C32" t="s">
        <v>16</v>
      </c>
      <c r="D32">
        <v>25984</v>
      </c>
      <c r="E32">
        <v>128</v>
      </c>
      <c r="F32">
        <v>2</v>
      </c>
      <c r="G32">
        <v>8</v>
      </c>
      <c r="H32">
        <v>365.37</v>
      </c>
      <c r="I32" s="1">
        <v>32.012999999999998</v>
      </c>
      <c r="J32" s="33">
        <v>45303</v>
      </c>
      <c r="K32" s="34">
        <v>0.77307870370370368</v>
      </c>
      <c r="L32" s="17">
        <f>L31</f>
        <v>32.008200000000002</v>
      </c>
      <c r="M32" s="36"/>
      <c r="N32" s="36"/>
      <c r="O32" s="1"/>
      <c r="P32" s="1"/>
      <c r="Q32" t="s">
        <v>49</v>
      </c>
      <c r="R32" s="16">
        <v>4</v>
      </c>
      <c r="S32" t="s">
        <v>16</v>
      </c>
      <c r="T32" s="16">
        <v>25984</v>
      </c>
      <c r="U32" s="16">
        <v>128</v>
      </c>
      <c r="V32" s="16">
        <v>2</v>
      </c>
      <c r="W32" s="16">
        <v>8</v>
      </c>
      <c r="X32" s="2">
        <v>405.95</v>
      </c>
      <c r="Y32" s="17">
        <v>28.812999999999999</v>
      </c>
      <c r="AB32" s="5" t="s">
        <v>50</v>
      </c>
      <c r="AC32" s="16">
        <v>4</v>
      </c>
      <c r="AD32" t="s">
        <v>16</v>
      </c>
      <c r="AE32" s="16">
        <v>18368</v>
      </c>
      <c r="AF32" s="16">
        <v>64</v>
      </c>
      <c r="AG32" s="16">
        <v>2</v>
      </c>
      <c r="AH32" s="16">
        <v>4</v>
      </c>
      <c r="AI32" s="2">
        <v>2239.5</v>
      </c>
      <c r="AJ32" s="17">
        <v>1.845</v>
      </c>
      <c r="AL32" s="1"/>
    </row>
    <row r="33" spans="1:38" x14ac:dyDescent="0.25">
      <c r="A33" t="s">
        <v>40</v>
      </c>
      <c r="B33">
        <v>3</v>
      </c>
      <c r="C33" t="s">
        <v>16</v>
      </c>
      <c r="D33">
        <v>25984</v>
      </c>
      <c r="E33">
        <v>128</v>
      </c>
      <c r="F33">
        <v>2</v>
      </c>
      <c r="G33">
        <v>8</v>
      </c>
      <c r="H33">
        <v>365.35</v>
      </c>
      <c r="I33" s="1">
        <v>32.015000000000001</v>
      </c>
      <c r="J33" s="33">
        <v>45303</v>
      </c>
      <c r="K33" s="34">
        <v>0.77780092592592587</v>
      </c>
      <c r="L33" s="17">
        <f>L32</f>
        <v>32.008200000000002</v>
      </c>
      <c r="M33" s="36"/>
      <c r="N33" s="36"/>
      <c r="O33" s="1"/>
      <c r="P33" s="1"/>
      <c r="Q33" s="1"/>
      <c r="S33" s="1"/>
      <c r="AA33" s="1"/>
      <c r="AB33" s="5" t="s">
        <v>53</v>
      </c>
      <c r="AC33" s="16">
        <v>1</v>
      </c>
      <c r="AD33" s="1" t="s">
        <v>16</v>
      </c>
      <c r="AE33" s="16">
        <v>18368</v>
      </c>
      <c r="AF33" s="16">
        <v>64</v>
      </c>
      <c r="AG33" s="16">
        <v>2</v>
      </c>
      <c r="AH33" s="16">
        <v>4</v>
      </c>
      <c r="AI33" s="2">
        <v>2273.1</v>
      </c>
      <c r="AJ33" s="17">
        <v>1.8177000000000001</v>
      </c>
      <c r="AL33" s="1"/>
    </row>
    <row r="34" spans="1:38" x14ac:dyDescent="0.25">
      <c r="A34" t="s">
        <v>40</v>
      </c>
      <c r="B34">
        <v>4</v>
      </c>
      <c r="C34" t="s">
        <v>16</v>
      </c>
      <c r="D34">
        <v>25984</v>
      </c>
      <c r="E34">
        <v>128</v>
      </c>
      <c r="F34">
        <v>2</v>
      </c>
      <c r="G34">
        <v>8</v>
      </c>
      <c r="H34">
        <v>365.56</v>
      </c>
      <c r="I34" s="1">
        <v>31.997</v>
      </c>
      <c r="J34" s="33">
        <v>45303</v>
      </c>
      <c r="K34" s="34">
        <v>0.78251157407407401</v>
      </c>
      <c r="L34" s="17">
        <f>L33</f>
        <v>32.008200000000002</v>
      </c>
      <c r="M34" s="36"/>
      <c r="N34" s="36"/>
      <c r="O34" s="1"/>
      <c r="P34" s="1"/>
      <c r="AA34" s="1"/>
      <c r="AB34" s="5" t="s">
        <v>53</v>
      </c>
      <c r="AC34" s="16">
        <v>2</v>
      </c>
      <c r="AD34" s="1" t="s">
        <v>16</v>
      </c>
      <c r="AE34" s="16">
        <v>18368</v>
      </c>
      <c r="AF34" s="16">
        <v>64</v>
      </c>
      <c r="AG34" s="16">
        <v>2</v>
      </c>
      <c r="AH34" s="16">
        <v>4</v>
      </c>
      <c r="AI34" s="2">
        <v>2107.9299999999998</v>
      </c>
      <c r="AJ34" s="17">
        <v>1.9601999999999999</v>
      </c>
      <c r="AL34" s="1"/>
    </row>
    <row r="35" spans="1:38" x14ac:dyDescent="0.25">
      <c r="A35" t="s">
        <v>32</v>
      </c>
      <c r="B35">
        <v>0</v>
      </c>
      <c r="C35" t="s">
        <v>16</v>
      </c>
      <c r="D35">
        <v>25984</v>
      </c>
      <c r="E35">
        <v>128</v>
      </c>
      <c r="F35">
        <v>2</v>
      </c>
      <c r="G35">
        <v>8</v>
      </c>
      <c r="H35">
        <v>365.42</v>
      </c>
      <c r="I35" s="1">
        <v>32.009</v>
      </c>
      <c r="J35" s="33">
        <v>45303</v>
      </c>
      <c r="K35" s="34">
        <v>0.71881944444444434</v>
      </c>
      <c r="L35" s="17">
        <f>AVERAGE(I35:I39)</f>
        <v>32.002200000000002</v>
      </c>
      <c r="M35" s="36"/>
      <c r="N35" s="36"/>
      <c r="O35" s="1"/>
      <c r="P35" s="1"/>
      <c r="AA35" s="1"/>
      <c r="AB35" s="5" t="s">
        <v>53</v>
      </c>
      <c r="AC35" s="16">
        <v>3</v>
      </c>
      <c r="AD35" s="1" t="s">
        <v>16</v>
      </c>
      <c r="AE35" s="16">
        <v>18368</v>
      </c>
      <c r="AF35" s="16">
        <v>64</v>
      </c>
      <c r="AG35" s="16">
        <v>2</v>
      </c>
      <c r="AH35" s="16">
        <v>4</v>
      </c>
      <c r="AI35" s="2">
        <v>2215</v>
      </c>
      <c r="AJ35" s="17">
        <v>1.8653999999999999</v>
      </c>
      <c r="AL35" s="1"/>
    </row>
    <row r="36" spans="1:38" x14ac:dyDescent="0.25">
      <c r="A36" t="s">
        <v>32</v>
      </c>
      <c r="B36">
        <v>1</v>
      </c>
      <c r="C36" t="s">
        <v>16</v>
      </c>
      <c r="D36">
        <v>25984</v>
      </c>
      <c r="E36">
        <v>128</v>
      </c>
      <c r="F36">
        <v>2</v>
      </c>
      <c r="G36">
        <v>8</v>
      </c>
      <c r="H36">
        <v>365.46</v>
      </c>
      <c r="I36" s="1">
        <v>32.005000000000003</v>
      </c>
      <c r="J36" s="33">
        <v>45303</v>
      </c>
      <c r="K36" s="34">
        <v>0.72354166666666664</v>
      </c>
      <c r="L36" s="17">
        <f>L35</f>
        <v>32.002200000000002</v>
      </c>
      <c r="M36" s="36"/>
      <c r="N36" s="36"/>
      <c r="O36" s="1"/>
      <c r="P36" s="1"/>
      <c r="AA36" s="1"/>
      <c r="AB36" s="5" t="s">
        <v>53</v>
      </c>
      <c r="AC36" s="16">
        <v>4</v>
      </c>
      <c r="AD36" s="1" t="s">
        <v>16</v>
      </c>
      <c r="AE36" s="16">
        <v>18368</v>
      </c>
      <c r="AF36" s="16">
        <v>64</v>
      </c>
      <c r="AG36" s="16">
        <v>2</v>
      </c>
      <c r="AH36" s="16">
        <v>4</v>
      </c>
      <c r="AI36" s="2">
        <v>2250.13</v>
      </c>
      <c r="AJ36" s="17">
        <v>1.8363</v>
      </c>
      <c r="AL36" s="1"/>
    </row>
    <row r="37" spans="1:38" x14ac:dyDescent="0.25">
      <c r="A37" t="s">
        <v>32</v>
      </c>
      <c r="B37">
        <v>2</v>
      </c>
      <c r="C37" t="s">
        <v>16</v>
      </c>
      <c r="D37">
        <v>25984</v>
      </c>
      <c r="E37">
        <v>128</v>
      </c>
      <c r="F37">
        <v>2</v>
      </c>
      <c r="G37">
        <v>8</v>
      </c>
      <c r="H37">
        <v>365.41</v>
      </c>
      <c r="I37" s="1">
        <v>32.01</v>
      </c>
      <c r="J37" s="33">
        <v>45303</v>
      </c>
      <c r="K37" s="34">
        <v>0.72825231481481489</v>
      </c>
      <c r="L37" s="17">
        <f>L36</f>
        <v>32.002200000000002</v>
      </c>
      <c r="M37" s="36"/>
      <c r="N37" s="36"/>
    </row>
    <row r="38" spans="1:38" x14ac:dyDescent="0.25">
      <c r="A38" t="s">
        <v>32</v>
      </c>
      <c r="B38">
        <v>3</v>
      </c>
      <c r="C38" t="s">
        <v>16</v>
      </c>
      <c r="D38">
        <v>25984</v>
      </c>
      <c r="E38">
        <v>128</v>
      </c>
      <c r="F38">
        <v>2</v>
      </c>
      <c r="G38">
        <v>8</v>
      </c>
      <c r="H38">
        <v>365.6</v>
      </c>
      <c r="I38" s="1">
        <v>31.992999999999999</v>
      </c>
      <c r="J38" s="33">
        <v>45303</v>
      </c>
      <c r="K38" s="34">
        <v>0.73297453703703708</v>
      </c>
      <c r="L38" s="17">
        <f>L37</f>
        <v>32.002200000000002</v>
      </c>
      <c r="M38" s="36"/>
      <c r="N38" s="36"/>
    </row>
    <row r="39" spans="1:38" x14ac:dyDescent="0.25">
      <c r="A39" t="s">
        <v>32</v>
      </c>
      <c r="B39">
        <v>4</v>
      </c>
      <c r="C39" t="s">
        <v>16</v>
      </c>
      <c r="D39">
        <v>25984</v>
      </c>
      <c r="E39">
        <v>128</v>
      </c>
      <c r="F39">
        <v>2</v>
      </c>
      <c r="G39">
        <v>8</v>
      </c>
      <c r="H39">
        <v>365.59</v>
      </c>
      <c r="I39" s="1">
        <v>31.994</v>
      </c>
      <c r="J39" s="33">
        <v>45303</v>
      </c>
      <c r="K39" s="34">
        <v>0.73769675925925926</v>
      </c>
      <c r="L39" s="17">
        <f>L38</f>
        <v>32.002200000000002</v>
      </c>
      <c r="M39" s="36"/>
      <c r="N39" s="36"/>
    </row>
    <row r="40" spans="1:38" x14ac:dyDescent="0.25">
      <c r="A40" t="s">
        <v>45</v>
      </c>
      <c r="B40">
        <v>0</v>
      </c>
      <c r="C40" t="s">
        <v>16</v>
      </c>
      <c r="D40">
        <v>25984</v>
      </c>
      <c r="E40">
        <v>128</v>
      </c>
      <c r="F40">
        <v>2</v>
      </c>
      <c r="G40">
        <v>8</v>
      </c>
      <c r="H40">
        <v>366.44</v>
      </c>
      <c r="I40" s="1">
        <v>31.92</v>
      </c>
      <c r="J40" s="33">
        <v>45303</v>
      </c>
      <c r="K40" s="34">
        <v>0.78724537037037035</v>
      </c>
      <c r="L40" s="17">
        <f>AVERAGE(I40:I44)</f>
        <v>31.931400000000004</v>
      </c>
      <c r="M40" s="36"/>
      <c r="N40" s="36"/>
    </row>
    <row r="41" spans="1:38" x14ac:dyDescent="0.25">
      <c r="A41" t="s">
        <v>45</v>
      </c>
      <c r="B41">
        <v>1</v>
      </c>
      <c r="C41" t="s">
        <v>16</v>
      </c>
      <c r="D41">
        <v>25984</v>
      </c>
      <c r="E41">
        <v>128</v>
      </c>
      <c r="F41">
        <v>2</v>
      </c>
      <c r="G41">
        <v>8</v>
      </c>
      <c r="H41">
        <v>366.24</v>
      </c>
      <c r="I41" s="1">
        <v>31.937000000000001</v>
      </c>
      <c r="J41" s="33">
        <v>45303</v>
      </c>
      <c r="K41" s="34">
        <v>0.79197916666666668</v>
      </c>
      <c r="L41" s="17">
        <f>L40</f>
        <v>31.931400000000004</v>
      </c>
      <c r="M41" s="36"/>
      <c r="N41" s="36"/>
    </row>
    <row r="42" spans="1:38" x14ac:dyDescent="0.25">
      <c r="A42" t="s">
        <v>45</v>
      </c>
      <c r="B42">
        <v>2</v>
      </c>
      <c r="C42" t="s">
        <v>16</v>
      </c>
      <c r="D42">
        <v>25984</v>
      </c>
      <c r="E42">
        <v>128</v>
      </c>
      <c r="F42">
        <v>2</v>
      </c>
      <c r="G42">
        <v>8</v>
      </c>
      <c r="H42">
        <v>366.41</v>
      </c>
      <c r="I42" s="1">
        <v>31.922000000000001</v>
      </c>
      <c r="J42" s="33">
        <v>45303</v>
      </c>
      <c r="K42" s="34">
        <v>0.79670138888888886</v>
      </c>
      <c r="L42" s="17">
        <f>L41</f>
        <v>31.931400000000004</v>
      </c>
      <c r="M42" s="36"/>
      <c r="N42" s="36"/>
    </row>
    <row r="43" spans="1:38" x14ac:dyDescent="0.25">
      <c r="A43" t="s">
        <v>45</v>
      </c>
      <c r="B43">
        <v>3</v>
      </c>
      <c r="C43" t="s">
        <v>16</v>
      </c>
      <c r="D43">
        <v>25984</v>
      </c>
      <c r="E43">
        <v>128</v>
      </c>
      <c r="F43">
        <v>2</v>
      </c>
      <c r="G43">
        <v>8</v>
      </c>
      <c r="H43">
        <v>366.17</v>
      </c>
      <c r="I43" s="1">
        <v>31.943999999999999</v>
      </c>
      <c r="J43" s="33">
        <v>45303</v>
      </c>
      <c r="K43" s="34">
        <v>0.80142361111111116</v>
      </c>
      <c r="L43" s="17">
        <f>L42</f>
        <v>31.931400000000004</v>
      </c>
      <c r="M43" s="36"/>
      <c r="N43" s="36"/>
    </row>
    <row r="44" spans="1:38" x14ac:dyDescent="0.25">
      <c r="A44" t="s">
        <v>45</v>
      </c>
      <c r="B44">
        <v>4</v>
      </c>
      <c r="C44" t="s">
        <v>16</v>
      </c>
      <c r="D44">
        <v>25984</v>
      </c>
      <c r="E44">
        <v>128</v>
      </c>
      <c r="F44">
        <v>2</v>
      </c>
      <c r="G44">
        <v>8</v>
      </c>
      <c r="H44">
        <v>366.28</v>
      </c>
      <c r="I44" s="1">
        <v>31.934000000000001</v>
      </c>
      <c r="J44" s="33">
        <v>45303</v>
      </c>
      <c r="K44" s="34">
        <v>0.80615740740740749</v>
      </c>
      <c r="L44" s="17">
        <f>L43</f>
        <v>31.931400000000004</v>
      </c>
      <c r="M44" s="36"/>
      <c r="N44" s="36"/>
    </row>
    <row r="45" spans="1:38" x14ac:dyDescent="0.25">
      <c r="A45" t="s">
        <v>61</v>
      </c>
      <c r="B45">
        <v>0</v>
      </c>
      <c r="C45" t="s">
        <v>16</v>
      </c>
      <c r="D45">
        <v>25984</v>
      </c>
      <c r="E45">
        <v>128</v>
      </c>
      <c r="F45">
        <v>2</v>
      </c>
      <c r="G45">
        <v>8</v>
      </c>
      <c r="H45">
        <v>374.14</v>
      </c>
      <c r="I45" s="1">
        <v>31.263000000000002</v>
      </c>
      <c r="J45" s="33">
        <v>45303</v>
      </c>
      <c r="K45" s="34">
        <v>0.8109143518518519</v>
      </c>
      <c r="L45" s="17">
        <f>AVERAGE(I45:I49)</f>
        <v>31.273399999999999</v>
      </c>
      <c r="M45" s="36"/>
      <c r="N45" s="36"/>
    </row>
    <row r="46" spans="1:38" x14ac:dyDescent="0.25">
      <c r="A46" t="s">
        <v>61</v>
      </c>
      <c r="B46">
        <v>1</v>
      </c>
      <c r="C46" t="s">
        <v>16</v>
      </c>
      <c r="D46">
        <v>25984</v>
      </c>
      <c r="E46">
        <v>128</v>
      </c>
      <c r="F46">
        <v>2</v>
      </c>
      <c r="G46">
        <v>8</v>
      </c>
      <c r="H46">
        <v>374.06</v>
      </c>
      <c r="I46" s="1">
        <v>31.268999999999998</v>
      </c>
      <c r="J46" s="33">
        <v>45303</v>
      </c>
      <c r="K46" s="34">
        <v>0.81541666666666668</v>
      </c>
      <c r="L46" s="17">
        <f>L45</f>
        <v>31.273399999999999</v>
      </c>
      <c r="M46" s="36"/>
      <c r="N46" s="36"/>
    </row>
    <row r="47" spans="1:38" x14ac:dyDescent="0.25">
      <c r="A47" t="s">
        <v>61</v>
      </c>
      <c r="B47">
        <v>2</v>
      </c>
      <c r="C47" t="s">
        <v>16</v>
      </c>
      <c r="D47">
        <v>25984</v>
      </c>
      <c r="E47">
        <v>128</v>
      </c>
      <c r="F47">
        <v>2</v>
      </c>
      <c r="G47">
        <v>8</v>
      </c>
      <c r="H47">
        <v>373.95</v>
      </c>
      <c r="I47" s="1">
        <v>31.279</v>
      </c>
      <c r="J47" s="33">
        <v>45303</v>
      </c>
      <c r="K47" s="34">
        <v>0.81993055555555561</v>
      </c>
      <c r="L47" s="17">
        <f>L46</f>
        <v>31.273399999999999</v>
      </c>
      <c r="M47" s="36"/>
      <c r="N47" s="36"/>
    </row>
    <row r="48" spans="1:38" x14ac:dyDescent="0.25">
      <c r="A48" t="s">
        <v>61</v>
      </c>
      <c r="B48">
        <v>3</v>
      </c>
      <c r="C48" t="s">
        <v>16</v>
      </c>
      <c r="D48">
        <v>25984</v>
      </c>
      <c r="E48">
        <v>128</v>
      </c>
      <c r="F48">
        <v>2</v>
      </c>
      <c r="G48">
        <v>8</v>
      </c>
      <c r="H48">
        <v>374.01</v>
      </c>
      <c r="I48" s="1">
        <v>31.274000000000001</v>
      </c>
      <c r="J48" s="33">
        <v>45303</v>
      </c>
      <c r="K48" s="34">
        <v>0.82444444444444442</v>
      </c>
      <c r="L48" s="17">
        <f>L47</f>
        <v>31.273399999999999</v>
      </c>
      <c r="M48" s="36"/>
      <c r="N48" s="36"/>
    </row>
    <row r="49" spans="1:14" x14ac:dyDescent="0.25">
      <c r="A49" t="s">
        <v>61</v>
      </c>
      <c r="B49">
        <v>4</v>
      </c>
      <c r="C49" t="s">
        <v>16</v>
      </c>
      <c r="D49">
        <v>25984</v>
      </c>
      <c r="E49">
        <v>128</v>
      </c>
      <c r="F49">
        <v>2</v>
      </c>
      <c r="G49">
        <v>8</v>
      </c>
      <c r="H49">
        <v>373.91</v>
      </c>
      <c r="I49" s="1">
        <v>31.282</v>
      </c>
      <c r="J49" s="33">
        <v>45303</v>
      </c>
      <c r="K49" s="34">
        <v>0.82895833333333335</v>
      </c>
      <c r="L49" s="17">
        <f>L48</f>
        <v>31.273399999999999</v>
      </c>
      <c r="M49" s="36"/>
      <c r="N49" s="36"/>
    </row>
    <row r="50" spans="1:14" x14ac:dyDescent="0.25">
      <c r="A50" t="s">
        <v>54</v>
      </c>
      <c r="B50">
        <v>1</v>
      </c>
      <c r="C50" t="s">
        <v>16</v>
      </c>
      <c r="D50">
        <v>25984</v>
      </c>
      <c r="E50">
        <v>128</v>
      </c>
      <c r="F50">
        <v>2</v>
      </c>
      <c r="G50">
        <v>8</v>
      </c>
      <c r="H50">
        <v>374.76</v>
      </c>
      <c r="I50" s="1">
        <v>31.210999999999999</v>
      </c>
      <c r="J50" s="33">
        <v>45303</v>
      </c>
      <c r="K50" s="34">
        <v>0.70085648148148139</v>
      </c>
      <c r="L50" s="17">
        <f>AVERAGE(I50:I54)</f>
        <v>31.211199999999998</v>
      </c>
      <c r="M50" s="36"/>
      <c r="N50" s="36"/>
    </row>
    <row r="51" spans="1:14" x14ac:dyDescent="0.25">
      <c r="A51" t="s">
        <v>54</v>
      </c>
      <c r="B51">
        <v>2</v>
      </c>
      <c r="C51" t="s">
        <v>16</v>
      </c>
      <c r="D51">
        <v>25984</v>
      </c>
      <c r="E51">
        <v>128</v>
      </c>
      <c r="F51">
        <v>2</v>
      </c>
      <c r="G51">
        <v>8</v>
      </c>
      <c r="H51">
        <v>374.71</v>
      </c>
      <c r="I51" s="1">
        <v>31.216000000000001</v>
      </c>
      <c r="J51" s="33">
        <v>45303</v>
      </c>
      <c r="K51" s="34">
        <v>0.70534722222222224</v>
      </c>
      <c r="L51" s="17">
        <f>L50</f>
        <v>31.211199999999998</v>
      </c>
      <c r="M51" s="36"/>
      <c r="N51" s="36"/>
    </row>
    <row r="52" spans="1:14" x14ac:dyDescent="0.25">
      <c r="A52" t="s">
        <v>54</v>
      </c>
      <c r="B52">
        <v>3</v>
      </c>
      <c r="C52" t="s">
        <v>16</v>
      </c>
      <c r="D52">
        <v>25984</v>
      </c>
      <c r="E52">
        <v>128</v>
      </c>
      <c r="F52">
        <v>2</v>
      </c>
      <c r="G52">
        <v>8</v>
      </c>
      <c r="H52">
        <v>374.66</v>
      </c>
      <c r="I52" s="1">
        <v>31.22</v>
      </c>
      <c r="J52" s="33">
        <v>45303</v>
      </c>
      <c r="K52" s="34">
        <v>0.70983796296296298</v>
      </c>
      <c r="L52" s="17">
        <f>L51</f>
        <v>31.211199999999998</v>
      </c>
      <c r="M52" s="36"/>
      <c r="N52" s="36"/>
    </row>
    <row r="53" spans="1:14" x14ac:dyDescent="0.25">
      <c r="A53" t="s">
        <v>54</v>
      </c>
      <c r="B53">
        <v>4</v>
      </c>
      <c r="C53" t="s">
        <v>16</v>
      </c>
      <c r="D53">
        <v>25984</v>
      </c>
      <c r="E53">
        <v>128</v>
      </c>
      <c r="F53">
        <v>2</v>
      </c>
      <c r="G53">
        <v>8</v>
      </c>
      <c r="H53">
        <v>374.54</v>
      </c>
      <c r="I53" s="1">
        <v>31.228999999999999</v>
      </c>
      <c r="J53" s="33">
        <v>45303</v>
      </c>
      <c r="K53" s="34">
        <v>0.71434027777777775</v>
      </c>
      <c r="L53" s="17">
        <f>L52</f>
        <v>31.211199999999998</v>
      </c>
      <c r="M53" s="36"/>
      <c r="N53" s="36"/>
    </row>
    <row r="54" spans="1:14" x14ac:dyDescent="0.25">
      <c r="A54" t="s">
        <v>272</v>
      </c>
      <c r="B54">
        <v>0</v>
      </c>
      <c r="C54" t="s">
        <v>16</v>
      </c>
      <c r="D54">
        <v>25984</v>
      </c>
      <c r="E54">
        <v>128</v>
      </c>
      <c r="F54">
        <v>2</v>
      </c>
      <c r="G54">
        <v>8</v>
      </c>
      <c r="H54">
        <v>375.14</v>
      </c>
      <c r="I54" s="1">
        <v>31.18</v>
      </c>
      <c r="J54" s="33">
        <v>45303</v>
      </c>
      <c r="K54" s="34">
        <v>0.69636574074074076</v>
      </c>
      <c r="L54" s="17">
        <f>L53</f>
        <v>31.211199999999998</v>
      </c>
      <c r="M54" s="36"/>
      <c r="N54" s="36"/>
    </row>
    <row r="55" spans="1:14" x14ac:dyDescent="0.25">
      <c r="A55" t="s">
        <v>55</v>
      </c>
      <c r="B55">
        <v>0</v>
      </c>
      <c r="C55" t="s">
        <v>16</v>
      </c>
      <c r="D55">
        <v>25984</v>
      </c>
      <c r="E55">
        <v>128</v>
      </c>
      <c r="F55">
        <v>2</v>
      </c>
      <c r="G55">
        <v>8</v>
      </c>
      <c r="H55">
        <v>399.67</v>
      </c>
      <c r="I55" s="1">
        <v>29.265999999999998</v>
      </c>
      <c r="J55" s="33">
        <v>45303</v>
      </c>
      <c r="K55" s="34">
        <v>0.71915509259259258</v>
      </c>
      <c r="L55" s="17">
        <f>AVERAGE(I55:I59)</f>
        <v>29.315999999999995</v>
      </c>
      <c r="M55" s="36"/>
      <c r="N55" s="36"/>
    </row>
    <row r="56" spans="1:14" x14ac:dyDescent="0.25">
      <c r="A56" t="s">
        <v>55</v>
      </c>
      <c r="B56">
        <v>1</v>
      </c>
      <c r="C56" t="s">
        <v>16</v>
      </c>
      <c r="D56">
        <v>25984</v>
      </c>
      <c r="E56">
        <v>128</v>
      </c>
      <c r="F56">
        <v>2</v>
      </c>
      <c r="G56">
        <v>8</v>
      </c>
      <c r="H56">
        <v>398.57</v>
      </c>
      <c r="I56" s="1">
        <v>29.346</v>
      </c>
      <c r="J56" s="33">
        <v>45303</v>
      </c>
      <c r="K56" s="34">
        <v>0.72395833333333337</v>
      </c>
      <c r="L56" s="17">
        <f>L55</f>
        <v>29.315999999999995</v>
      </c>
      <c r="M56" s="36"/>
      <c r="N56" s="36"/>
    </row>
    <row r="57" spans="1:14" x14ac:dyDescent="0.25">
      <c r="A57" t="s">
        <v>55</v>
      </c>
      <c r="B57">
        <v>2</v>
      </c>
      <c r="C57" t="s">
        <v>16</v>
      </c>
      <c r="D57">
        <v>25984</v>
      </c>
      <c r="E57">
        <v>128</v>
      </c>
      <c r="F57">
        <v>2</v>
      </c>
      <c r="G57">
        <v>8</v>
      </c>
      <c r="H57">
        <v>399.09</v>
      </c>
      <c r="I57" s="1">
        <v>29.309000000000001</v>
      </c>
      <c r="J57" s="33">
        <v>45303</v>
      </c>
      <c r="K57" s="34">
        <v>0.7287731481481482</v>
      </c>
      <c r="L57" s="17">
        <f>L56</f>
        <v>29.315999999999995</v>
      </c>
      <c r="M57" s="36"/>
      <c r="N57" s="36"/>
    </row>
    <row r="58" spans="1:14" x14ac:dyDescent="0.25">
      <c r="A58" t="s">
        <v>55</v>
      </c>
      <c r="B58">
        <v>3</v>
      </c>
      <c r="C58" t="s">
        <v>16</v>
      </c>
      <c r="D58">
        <v>25984</v>
      </c>
      <c r="E58">
        <v>128</v>
      </c>
      <c r="F58">
        <v>2</v>
      </c>
      <c r="G58">
        <v>8</v>
      </c>
      <c r="H58">
        <v>398.62</v>
      </c>
      <c r="I58" s="1">
        <v>29.343</v>
      </c>
      <c r="J58" s="33">
        <v>45303</v>
      </c>
      <c r="K58" s="34">
        <v>0.73357638888888888</v>
      </c>
      <c r="L58" s="17">
        <f>L57</f>
        <v>29.315999999999995</v>
      </c>
      <c r="M58" s="36"/>
      <c r="N58" s="36"/>
    </row>
    <row r="59" spans="1:14" x14ac:dyDescent="0.25">
      <c r="A59" t="s">
        <v>55</v>
      </c>
      <c r="B59">
        <v>4</v>
      </c>
      <c r="C59" t="s">
        <v>16</v>
      </c>
      <c r="D59">
        <v>25984</v>
      </c>
      <c r="E59">
        <v>128</v>
      </c>
      <c r="F59">
        <v>2</v>
      </c>
      <c r="G59">
        <v>8</v>
      </c>
      <c r="H59">
        <v>398.99</v>
      </c>
      <c r="I59" s="1">
        <v>29.315999999999999</v>
      </c>
      <c r="J59" s="33">
        <v>45303</v>
      </c>
      <c r="K59" s="34">
        <v>0.73837962962962955</v>
      </c>
      <c r="L59" s="17">
        <f>L58</f>
        <v>29.315999999999995</v>
      </c>
      <c r="M59" s="36"/>
      <c r="N59" s="36"/>
    </row>
    <row r="60" spans="1:14" x14ac:dyDescent="0.25">
      <c r="A60" t="s">
        <v>57</v>
      </c>
      <c r="B60">
        <v>0</v>
      </c>
      <c r="C60" t="s">
        <v>16</v>
      </c>
      <c r="D60">
        <v>25984</v>
      </c>
      <c r="E60">
        <v>128</v>
      </c>
      <c r="F60">
        <v>2</v>
      </c>
      <c r="G60">
        <v>8</v>
      </c>
      <c r="H60">
        <v>400.97</v>
      </c>
      <c r="I60" s="1">
        <v>29.170999999999999</v>
      </c>
      <c r="J60" s="33">
        <v>45303</v>
      </c>
      <c r="K60" s="34">
        <v>0.76493055555555556</v>
      </c>
      <c r="L60" s="17">
        <f>AVERAGE(I60:I64)</f>
        <v>29.200400000000002</v>
      </c>
      <c r="M60" s="36"/>
      <c r="N60" s="36"/>
    </row>
    <row r="61" spans="1:14" x14ac:dyDescent="0.25">
      <c r="A61" t="s">
        <v>57</v>
      </c>
      <c r="B61">
        <v>1</v>
      </c>
      <c r="C61" t="s">
        <v>16</v>
      </c>
      <c r="D61">
        <v>25984</v>
      </c>
      <c r="E61">
        <v>128</v>
      </c>
      <c r="F61">
        <v>2</v>
      </c>
      <c r="G61">
        <v>8</v>
      </c>
      <c r="H61">
        <v>400.49</v>
      </c>
      <c r="I61" s="1">
        <v>29.206</v>
      </c>
      <c r="J61" s="33">
        <v>45303</v>
      </c>
      <c r="K61" s="34">
        <v>0.76976851851851846</v>
      </c>
      <c r="L61" s="17">
        <f>L60</f>
        <v>29.200400000000002</v>
      </c>
      <c r="M61" s="36"/>
      <c r="N61" s="36"/>
    </row>
    <row r="62" spans="1:14" x14ac:dyDescent="0.25">
      <c r="A62" t="s">
        <v>57</v>
      </c>
      <c r="B62">
        <v>2</v>
      </c>
      <c r="C62" t="s">
        <v>16</v>
      </c>
      <c r="D62">
        <v>25984</v>
      </c>
      <c r="E62">
        <v>128</v>
      </c>
      <c r="F62">
        <v>2</v>
      </c>
      <c r="G62">
        <v>8</v>
      </c>
      <c r="H62">
        <v>400.64</v>
      </c>
      <c r="I62" s="1">
        <v>29.195</v>
      </c>
      <c r="J62" s="33">
        <v>45303</v>
      </c>
      <c r="K62" s="34">
        <v>0.77459490740740744</v>
      </c>
      <c r="L62" s="17">
        <f>L61</f>
        <v>29.200400000000002</v>
      </c>
      <c r="M62" s="36"/>
      <c r="N62" s="36"/>
    </row>
    <row r="63" spans="1:14" x14ac:dyDescent="0.25">
      <c r="A63" t="s">
        <v>57</v>
      </c>
      <c r="B63">
        <v>3</v>
      </c>
      <c r="C63" t="s">
        <v>16</v>
      </c>
      <c r="D63">
        <v>25984</v>
      </c>
      <c r="E63">
        <v>128</v>
      </c>
      <c r="F63">
        <v>2</v>
      </c>
      <c r="G63">
        <v>8</v>
      </c>
      <c r="H63">
        <v>400.13</v>
      </c>
      <c r="I63" s="1">
        <v>29.231999999999999</v>
      </c>
      <c r="J63" s="33">
        <v>45303</v>
      </c>
      <c r="K63" s="34">
        <v>0.7794212962962962</v>
      </c>
      <c r="L63" s="17">
        <f>L62</f>
        <v>29.200400000000002</v>
      </c>
      <c r="M63" s="36"/>
      <c r="N63" s="36"/>
    </row>
    <row r="64" spans="1:14" x14ac:dyDescent="0.25">
      <c r="A64" t="s">
        <v>57</v>
      </c>
      <c r="B64">
        <v>4</v>
      </c>
      <c r="C64" t="s">
        <v>16</v>
      </c>
      <c r="D64">
        <v>25984</v>
      </c>
      <c r="E64">
        <v>128</v>
      </c>
      <c r="F64">
        <v>2</v>
      </c>
      <c r="G64">
        <v>8</v>
      </c>
      <c r="H64">
        <v>400.6</v>
      </c>
      <c r="I64" s="1">
        <v>29.198</v>
      </c>
      <c r="J64" s="33">
        <v>45303</v>
      </c>
      <c r="K64" s="34">
        <v>0.78425925925925932</v>
      </c>
      <c r="L64" s="17">
        <f>L63</f>
        <v>29.200400000000002</v>
      </c>
      <c r="M64" s="36"/>
      <c r="N64" s="36"/>
    </row>
    <row r="66" spans="1:37" x14ac:dyDescent="0.25">
      <c r="A66" s="144" t="s">
        <v>288</v>
      </c>
      <c r="B66" s="144"/>
      <c r="D66" s="144" t="s">
        <v>289</v>
      </c>
      <c r="E66" s="144"/>
    </row>
    <row r="67" spans="1:37" x14ac:dyDescent="0.25">
      <c r="A67" s="5" t="s">
        <v>26</v>
      </c>
      <c r="B67" s="30">
        <v>36.308</v>
      </c>
      <c r="D67" t="s">
        <v>57</v>
      </c>
      <c r="E67" s="30">
        <v>29.200400000000002</v>
      </c>
      <c r="H67" s="17"/>
      <c r="I67" s="33"/>
      <c r="J67" s="37"/>
      <c r="K67" s="17"/>
      <c r="N67"/>
      <c r="Q67" s="16"/>
      <c r="R67"/>
      <c r="S67" s="16"/>
      <c r="W67" s="2"/>
      <c r="X67" s="17"/>
      <c r="Z67"/>
      <c r="AA67" s="5"/>
      <c r="AB67" s="16"/>
      <c r="AC67"/>
      <c r="AD67" s="16"/>
      <c r="AH67" s="2"/>
      <c r="AI67" s="17"/>
      <c r="AK67"/>
    </row>
    <row r="68" spans="1:37" x14ac:dyDescent="0.25">
      <c r="A68" s="5" t="s">
        <v>40</v>
      </c>
      <c r="B68" s="30">
        <v>32.008200000000002</v>
      </c>
      <c r="D68" t="s">
        <v>55</v>
      </c>
      <c r="E68" s="30">
        <v>29.315999999999995</v>
      </c>
      <c r="H68" s="17"/>
      <c r="I68" s="33"/>
      <c r="J68" s="37"/>
      <c r="K68" s="17"/>
      <c r="N68"/>
      <c r="Q68" s="16"/>
      <c r="R68"/>
      <c r="S68" s="16"/>
      <c r="W68" s="2"/>
      <c r="X68" s="17"/>
      <c r="Z68"/>
      <c r="AA68" s="5"/>
      <c r="AB68" s="16"/>
      <c r="AC68"/>
      <c r="AD68" s="16"/>
      <c r="AH68" s="2"/>
      <c r="AI68" s="17"/>
      <c r="AK68"/>
    </row>
    <row r="69" spans="1:37" x14ac:dyDescent="0.25">
      <c r="A69" s="5" t="s">
        <v>57</v>
      </c>
      <c r="B69" s="30">
        <v>29.200400000000002</v>
      </c>
      <c r="D69" t="s">
        <v>54</v>
      </c>
      <c r="E69" s="30">
        <v>31.211199999999998</v>
      </c>
      <c r="H69" s="17"/>
      <c r="I69" s="33"/>
      <c r="J69" s="37"/>
      <c r="K69" s="17"/>
      <c r="N69"/>
      <c r="Q69" s="16"/>
      <c r="R69"/>
      <c r="S69" s="16"/>
      <c r="W69" s="2"/>
      <c r="X69" s="17"/>
      <c r="Z69"/>
      <c r="AA69" s="5"/>
      <c r="AB69" s="16"/>
      <c r="AC69"/>
      <c r="AD69" s="16"/>
      <c r="AH69" s="2"/>
      <c r="AI69" s="17"/>
      <c r="AK69"/>
    </row>
    <row r="70" spans="1:37" x14ac:dyDescent="0.25">
      <c r="A70" s="5" t="s">
        <v>32</v>
      </c>
      <c r="B70" s="30">
        <v>32.002200000000002</v>
      </c>
      <c r="D70" t="s">
        <v>45</v>
      </c>
      <c r="E70" s="30">
        <v>31.931400000000004</v>
      </c>
      <c r="H70" s="17"/>
      <c r="I70" s="33"/>
      <c r="J70" s="37"/>
      <c r="K70" s="17"/>
      <c r="N70"/>
      <c r="Q70" s="16"/>
      <c r="R70"/>
      <c r="S70" s="16"/>
      <c r="W70" s="2"/>
      <c r="X70" s="17"/>
      <c r="Z70"/>
      <c r="AA70" s="5"/>
      <c r="AB70" s="16"/>
      <c r="AC70"/>
      <c r="AD70" s="16"/>
      <c r="AH70" s="2"/>
      <c r="AI70" s="17"/>
      <c r="AK70"/>
    </row>
    <row r="71" spans="1:37" x14ac:dyDescent="0.25">
      <c r="A71" s="5" t="s">
        <v>55</v>
      </c>
      <c r="B71" s="30">
        <v>29.315999999999995</v>
      </c>
      <c r="D71" t="s">
        <v>32</v>
      </c>
      <c r="E71" s="30">
        <v>32.002200000000002</v>
      </c>
      <c r="H71" s="17"/>
      <c r="I71" s="33"/>
      <c r="J71" s="37"/>
      <c r="K71" s="17"/>
      <c r="N71"/>
      <c r="Q71" s="16"/>
      <c r="R71"/>
      <c r="S71" s="16"/>
      <c r="W71" s="2"/>
      <c r="X71" s="17"/>
      <c r="Z71"/>
      <c r="AA71" s="5"/>
      <c r="AB71" s="16"/>
      <c r="AC71"/>
      <c r="AD71" s="16"/>
      <c r="AH71" s="2"/>
      <c r="AI71" s="17"/>
      <c r="AK71"/>
    </row>
    <row r="72" spans="1:37" x14ac:dyDescent="0.25">
      <c r="A72" s="5" t="s">
        <v>36</v>
      </c>
      <c r="B72" s="30">
        <v>33.348799999999997</v>
      </c>
      <c r="D72" t="s">
        <v>40</v>
      </c>
      <c r="E72" s="30">
        <v>32.008200000000002</v>
      </c>
      <c r="H72" s="17"/>
      <c r="I72" s="33"/>
      <c r="J72" s="37"/>
      <c r="K72" s="17"/>
      <c r="N72"/>
      <c r="Q72" s="16"/>
      <c r="R72"/>
      <c r="S72" s="16"/>
      <c r="W72" s="2"/>
      <c r="X72" s="17"/>
      <c r="Z72"/>
      <c r="AA72" s="5"/>
      <c r="AB72" s="16"/>
      <c r="AC72"/>
      <c r="AD72" s="16"/>
      <c r="AH72" s="2"/>
      <c r="AI72" s="17"/>
      <c r="AK72"/>
    </row>
    <row r="73" spans="1:37" x14ac:dyDescent="0.25">
      <c r="A73" s="5" t="s">
        <v>56</v>
      </c>
      <c r="B73" s="30">
        <v>32.705999999999996</v>
      </c>
      <c r="D73" t="s">
        <v>59</v>
      </c>
      <c r="E73" s="30">
        <v>32.0792</v>
      </c>
      <c r="H73" s="17"/>
      <c r="I73" s="33"/>
      <c r="J73" s="37"/>
      <c r="K73" s="17"/>
      <c r="N73"/>
      <c r="Q73" s="16"/>
      <c r="R73"/>
      <c r="S73" s="16"/>
      <c r="W73" s="2"/>
      <c r="X73" s="17"/>
      <c r="Z73"/>
      <c r="AA73" s="5"/>
      <c r="AB73" s="16"/>
      <c r="AC73"/>
      <c r="AD73" s="16"/>
      <c r="AH73" s="2"/>
      <c r="AI73" s="17"/>
      <c r="AK73"/>
    </row>
    <row r="74" spans="1:37" x14ac:dyDescent="0.25">
      <c r="A74" s="5" t="s">
        <v>45</v>
      </c>
      <c r="B74" s="30">
        <v>31.931400000000004</v>
      </c>
      <c r="D74" t="s">
        <v>56</v>
      </c>
      <c r="E74" s="30">
        <v>32.705999999999996</v>
      </c>
      <c r="H74" s="17"/>
      <c r="I74" s="33"/>
      <c r="J74" s="37"/>
      <c r="K74" s="17"/>
      <c r="N74"/>
      <c r="Q74" s="16"/>
      <c r="R74"/>
      <c r="S74" s="16"/>
      <c r="W74" s="2"/>
      <c r="X74" s="17"/>
      <c r="Z74"/>
      <c r="AA74" s="5"/>
      <c r="AB74" s="16"/>
      <c r="AC74"/>
      <c r="AD74" s="16"/>
      <c r="AH74" s="2"/>
      <c r="AI74" s="17"/>
      <c r="AK74"/>
    </row>
    <row r="75" spans="1:37" x14ac:dyDescent="0.25">
      <c r="A75" s="5" t="s">
        <v>59</v>
      </c>
      <c r="B75" s="30">
        <v>32.0792</v>
      </c>
      <c r="D75" t="s">
        <v>36</v>
      </c>
      <c r="E75" s="30">
        <v>33.348799999999997</v>
      </c>
      <c r="H75" s="17"/>
      <c r="I75" s="33"/>
      <c r="J75" s="37"/>
      <c r="K75" s="17"/>
      <c r="N75"/>
      <c r="Q75" s="16"/>
      <c r="R75"/>
      <c r="S75" s="16"/>
      <c r="W75" s="2"/>
      <c r="X75" s="17"/>
      <c r="Z75"/>
      <c r="AA75" s="5"/>
      <c r="AB75" s="16"/>
      <c r="AC75"/>
      <c r="AD75" s="16"/>
      <c r="AH75" s="2"/>
      <c r="AI75" s="17"/>
      <c r="AK75"/>
    </row>
    <row r="76" spans="1:37" x14ac:dyDescent="0.25">
      <c r="A76" s="5" t="s">
        <v>54</v>
      </c>
      <c r="B76" s="30">
        <v>31.211199999999998</v>
      </c>
      <c r="D76" t="s">
        <v>51</v>
      </c>
      <c r="E76" s="30">
        <v>36.295000000000002</v>
      </c>
      <c r="H76" s="17"/>
      <c r="I76" s="33"/>
      <c r="J76" s="37"/>
      <c r="K76" s="17"/>
      <c r="N76"/>
      <c r="Q76" s="16"/>
      <c r="R76"/>
      <c r="S76" s="16"/>
      <c r="W76" s="2"/>
      <c r="X76" s="17"/>
      <c r="Z76"/>
      <c r="AA76" s="5"/>
      <c r="AB76" s="16"/>
      <c r="AC76"/>
      <c r="AD76" s="16"/>
      <c r="AH76" s="2"/>
      <c r="AI76" s="17"/>
      <c r="AK76"/>
    </row>
    <row r="77" spans="1:37" x14ac:dyDescent="0.25">
      <c r="A77" s="5" t="s">
        <v>51</v>
      </c>
      <c r="B77" s="30">
        <v>36.295000000000002</v>
      </c>
      <c r="D77" t="s">
        <v>26</v>
      </c>
      <c r="E77" s="30">
        <v>36.308</v>
      </c>
      <c r="H77" s="17"/>
      <c r="I77" s="33"/>
      <c r="J77" s="37"/>
      <c r="K77" s="17"/>
      <c r="N77"/>
      <c r="Q77" s="16"/>
      <c r="R77"/>
      <c r="S77" s="16"/>
      <c r="W77" s="2"/>
      <c r="X77" s="17"/>
      <c r="Z77"/>
      <c r="AA77" s="5"/>
      <c r="AB77" s="16"/>
      <c r="AC77"/>
      <c r="AD77" s="16"/>
      <c r="AH77" s="2"/>
      <c r="AI77" s="17"/>
      <c r="AK77"/>
    </row>
    <row r="78" spans="1:37" x14ac:dyDescent="0.25">
      <c r="A78" s="5" t="s">
        <v>61</v>
      </c>
      <c r="B78" s="30">
        <v>31.273399999999999</v>
      </c>
      <c r="E78" s="30"/>
      <c r="H78" s="17"/>
      <c r="I78" s="33"/>
      <c r="J78" s="37"/>
      <c r="K78" s="17"/>
      <c r="N78"/>
      <c r="Q78" s="16"/>
      <c r="R78"/>
      <c r="S78" s="16"/>
      <c r="W78" s="2"/>
      <c r="X78" s="17"/>
      <c r="Z78"/>
      <c r="AA78" s="5"/>
      <c r="AB78" s="16"/>
      <c r="AC78"/>
      <c r="AD78" s="16"/>
      <c r="AH78" s="2"/>
      <c r="AI78" s="17"/>
      <c r="AK78"/>
    </row>
    <row r="81" spans="15:16" ht="16.5" customHeight="1" x14ac:dyDescent="0.25">
      <c r="O81" s="48"/>
      <c r="P81" s="48"/>
    </row>
    <row r="82" spans="15:16" ht="16.5" customHeight="1" x14ac:dyDescent="0.25">
      <c r="O82" s="48"/>
      <c r="P82" s="48"/>
    </row>
    <row r="83" spans="15:16" ht="16.5" customHeight="1" x14ac:dyDescent="0.25">
      <c r="O83" s="48"/>
      <c r="P83" s="48"/>
    </row>
    <row r="84" spans="15:16" ht="16.5" customHeight="1" x14ac:dyDescent="0.25">
      <c r="O84" s="48"/>
      <c r="P84" s="48"/>
    </row>
    <row r="85" spans="15:16" ht="16.5" customHeight="1" x14ac:dyDescent="0.25">
      <c r="O85" s="48"/>
      <c r="P85" s="48"/>
    </row>
    <row r="86" spans="15:16" ht="16.5" customHeight="1" x14ac:dyDescent="0.25">
      <c r="O86" s="48"/>
      <c r="P86" s="48"/>
    </row>
    <row r="87" spans="15:16" ht="16.5" customHeight="1" x14ac:dyDescent="0.25">
      <c r="O87" s="48"/>
      <c r="P87" s="48"/>
    </row>
    <row r="88" spans="15:16" ht="16.5" customHeight="1" x14ac:dyDescent="0.25">
      <c r="O88" s="48"/>
      <c r="P88" s="48"/>
    </row>
    <row r="89" spans="15:16" ht="16.5" customHeight="1" x14ac:dyDescent="0.25">
      <c r="O89" s="48"/>
      <c r="P89" s="48"/>
    </row>
  </sheetData>
  <sortState xmlns:xlrd2="http://schemas.microsoft.com/office/spreadsheetml/2017/richdata2" ref="A5:L64">
    <sortCondition descending="1" ref="L5:L64"/>
    <sortCondition ref="A5:A64"/>
    <sortCondition ref="B5:B64"/>
  </sortState>
  <mergeCells count="8">
    <mergeCell ref="A66:B66"/>
    <mergeCell ref="D66:E66"/>
    <mergeCell ref="AB3:AK3"/>
    <mergeCell ref="A1:J1"/>
    <mergeCell ref="A2:J2"/>
    <mergeCell ref="Q3:Z3"/>
    <mergeCell ref="Q1:AJ2"/>
    <mergeCell ref="M1:P1"/>
  </mergeCells>
  <conditionalFormatting sqref="L5:N5 L10:N10 L15:N15 L20:N20 L25:N25 L30:N30 L35:N35 L40:N40 L45:N45 L50:N50 L55:N55 L60:N60">
    <cfRule type="colorScale" priority="1">
      <colorScale>
        <cfvo type="min"/>
        <cfvo type="percentile" val="50"/>
        <cfvo type="max"/>
        <color rgb="FFF8696B"/>
        <color rgb="FFFFEB84"/>
        <color rgb="FF63BE7B"/>
      </colorScale>
    </cfRule>
  </conditionalFormatting>
  <conditionalFormatting sqref="O33:AA33 O34:P36 Z34:AA36 Q5:Q7 O25:P32 AK25:AL36">
    <cfRule type="colorScale" priority="11">
      <colorScale>
        <cfvo type="min"/>
        <cfvo type="percentile" val="50"/>
        <cfvo type="max"/>
        <color rgb="FFF8696B"/>
        <color rgb="FFFFEB84"/>
        <color rgb="FF63BE7B"/>
      </colorScale>
    </cfRule>
  </conditionalFormatting>
  <conditionalFormatting sqref="Y5:Y16">
    <cfRule type="colorScale" priority="10">
      <colorScale>
        <cfvo type="min"/>
        <cfvo type="percentile" val="50"/>
        <cfvo type="max"/>
        <color rgb="FFF8696B"/>
        <color rgb="FFFFEB84"/>
        <color rgb="FF63BE7B"/>
      </colorScale>
    </cfRule>
  </conditionalFormatting>
  <conditionalFormatting sqref="Y17:Y32">
    <cfRule type="colorScale" priority="9">
      <colorScale>
        <cfvo type="min"/>
        <cfvo type="percentile" val="50"/>
        <cfvo type="max"/>
        <color rgb="FFF8696B"/>
        <color rgb="FFFFEB84"/>
        <color rgb="FF63BE7B"/>
      </colorScale>
    </cfRule>
  </conditionalFormatting>
  <conditionalFormatting sqref="AJ5:AJ36">
    <cfRule type="colorScale" priority="3">
      <colorScale>
        <cfvo type="min"/>
        <cfvo type="percentile" val="50"/>
        <cfvo type="max"/>
        <color rgb="FFF8696B"/>
        <color rgb="FFFFEB84"/>
        <color rgb="FF63BE7B"/>
      </colorScale>
    </cfRule>
  </conditionalFormatting>
  <pageMargins left="0.7" right="0.7" top="0.75" bottom="0.75" header="0.3" footer="0.3"/>
  <pageSetup paperSize="9" orientation="portrait"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4F3EB-005D-412F-8C78-B45B873BC129}">
  <dimension ref="A1:X49"/>
  <sheetViews>
    <sheetView workbookViewId="0">
      <selection activeCell="AB16" sqref="AB16"/>
    </sheetView>
  </sheetViews>
  <sheetFormatPr defaultRowHeight="15" x14ac:dyDescent="0.25"/>
  <cols>
    <col min="1" max="1" width="19.7109375" style="16" bestFit="1" customWidth="1"/>
    <col min="2" max="2" width="5" bestFit="1" customWidth="1"/>
    <col min="3" max="3" width="9.7109375" bestFit="1" customWidth="1"/>
    <col min="4" max="4" width="6" style="16" bestFit="1" customWidth="1"/>
    <col min="5" max="5" width="4" style="16" bestFit="1" customWidth="1"/>
    <col min="6" max="6" width="2.140625" style="16" bestFit="1" customWidth="1"/>
    <col min="7" max="7" width="2.42578125" style="16" bestFit="1" customWidth="1"/>
    <col min="8" max="8" width="6.5703125" style="2" bestFit="1" customWidth="1"/>
    <col min="9" max="9" width="7.85546875" style="30" bestFit="1" customWidth="1"/>
    <col min="10" max="10" width="9.140625" style="33"/>
    <col min="11" max="11" width="8.140625" style="61" bestFit="1" customWidth="1"/>
    <col min="12" max="23" width="8.42578125" style="16" bestFit="1" customWidth="1"/>
  </cols>
  <sheetData>
    <row r="1" spans="1:24" x14ac:dyDescent="0.25">
      <c r="A1" s="155" t="s">
        <v>277</v>
      </c>
      <c r="B1" s="155"/>
      <c r="C1" s="155"/>
      <c r="D1" s="155"/>
      <c r="E1" s="155"/>
      <c r="F1" s="155"/>
      <c r="G1" s="155"/>
      <c r="H1" s="155"/>
      <c r="I1" s="155"/>
      <c r="J1" s="155"/>
      <c r="K1" s="155"/>
      <c r="L1" s="155"/>
      <c r="M1" s="155"/>
      <c r="N1" s="155"/>
      <c r="O1" s="155"/>
      <c r="P1" s="155"/>
      <c r="Q1" s="155"/>
      <c r="R1" s="155"/>
      <c r="S1" s="155"/>
      <c r="T1" s="155"/>
      <c r="U1" s="155"/>
      <c r="V1" s="155"/>
    </row>
    <row r="2" spans="1:24" x14ac:dyDescent="0.25">
      <c r="A2" s="20"/>
      <c r="B2" s="14"/>
      <c r="C2" s="14"/>
      <c r="D2" s="20"/>
      <c r="E2" s="20"/>
      <c r="F2" s="20"/>
      <c r="G2" s="20"/>
      <c r="H2" s="19"/>
      <c r="I2" s="46"/>
      <c r="J2" s="49"/>
      <c r="K2" s="156" t="s">
        <v>2</v>
      </c>
      <c r="L2" s="156"/>
      <c r="M2" s="156"/>
      <c r="N2" s="157" t="s">
        <v>17</v>
      </c>
      <c r="O2" s="157"/>
      <c r="P2" s="157"/>
      <c r="Q2" s="157" t="s">
        <v>18</v>
      </c>
      <c r="R2" s="157"/>
      <c r="S2" s="157"/>
      <c r="T2" s="157" t="s">
        <v>19</v>
      </c>
      <c r="U2" s="157"/>
      <c r="V2" s="157"/>
    </row>
    <row r="3" spans="1:24" x14ac:dyDescent="0.25">
      <c r="A3" s="20"/>
      <c r="B3" s="14"/>
      <c r="C3" s="14"/>
      <c r="D3" s="20"/>
      <c r="E3" s="20"/>
      <c r="F3" s="20"/>
      <c r="G3" s="20"/>
      <c r="H3" s="19"/>
      <c r="I3" s="46"/>
      <c r="J3" s="49"/>
      <c r="K3" s="60"/>
      <c r="L3" s="64"/>
      <c r="M3" s="64"/>
      <c r="N3" s="64"/>
      <c r="O3" s="64"/>
      <c r="P3" s="64"/>
      <c r="Q3" s="64"/>
      <c r="R3" s="64"/>
      <c r="S3" s="64"/>
      <c r="T3" s="64"/>
      <c r="U3" s="64"/>
      <c r="V3" s="64"/>
    </row>
    <row r="4" spans="1:24" x14ac:dyDescent="0.25">
      <c r="A4" s="16" t="s">
        <v>278</v>
      </c>
      <c r="B4" s="6" t="s">
        <v>20</v>
      </c>
      <c r="C4" s="6"/>
      <c r="D4" s="63" t="s">
        <v>5</v>
      </c>
      <c r="E4" s="63" t="s">
        <v>6</v>
      </c>
      <c r="F4" s="63" t="s">
        <v>7</v>
      </c>
      <c r="G4" s="63" t="s">
        <v>8</v>
      </c>
      <c r="H4" s="62" t="s">
        <v>9</v>
      </c>
      <c r="I4" s="18" t="s">
        <v>10</v>
      </c>
      <c r="J4" s="31" t="s">
        <v>11</v>
      </c>
      <c r="K4" s="51" t="s">
        <v>9</v>
      </c>
      <c r="L4" s="64" t="s">
        <v>12</v>
      </c>
      <c r="M4" s="64" t="s">
        <v>13</v>
      </c>
      <c r="N4" s="64" t="s">
        <v>14</v>
      </c>
      <c r="O4" s="64" t="s">
        <v>12</v>
      </c>
      <c r="P4" s="64" t="s">
        <v>13</v>
      </c>
      <c r="Q4" s="64" t="s">
        <v>14</v>
      </c>
      <c r="R4" s="64" t="s">
        <v>12</v>
      </c>
      <c r="S4" s="64" t="s">
        <v>13</v>
      </c>
      <c r="T4" s="64" t="s">
        <v>14</v>
      </c>
      <c r="U4" s="64" t="s">
        <v>12</v>
      </c>
      <c r="V4" s="64" t="s">
        <v>13</v>
      </c>
      <c r="W4" s="64" t="s">
        <v>14</v>
      </c>
    </row>
    <row r="5" spans="1:24" x14ac:dyDescent="0.25">
      <c r="A5" s="16">
        <v>200000</v>
      </c>
      <c r="B5">
        <v>0</v>
      </c>
      <c r="C5" t="s">
        <v>16</v>
      </c>
      <c r="D5" s="16">
        <v>29016</v>
      </c>
      <c r="E5" s="16">
        <v>104</v>
      </c>
      <c r="F5" s="16">
        <v>2</v>
      </c>
      <c r="G5" s="16">
        <v>8</v>
      </c>
      <c r="H5" s="2">
        <v>495.17</v>
      </c>
      <c r="I5" s="30">
        <v>32.893000000000001</v>
      </c>
      <c r="J5" s="33">
        <v>45318</v>
      </c>
      <c r="K5" s="61">
        <v>6.7453703703703696E-2</v>
      </c>
      <c r="L5" s="16">
        <v>0</v>
      </c>
      <c r="M5" s="16">
        <v>0</v>
      </c>
      <c r="N5" s="16">
        <v>0</v>
      </c>
      <c r="O5" s="16">
        <v>0</v>
      </c>
      <c r="P5" s="16">
        <v>0</v>
      </c>
      <c r="Q5" s="16">
        <v>0</v>
      </c>
      <c r="R5" s="16">
        <v>0</v>
      </c>
      <c r="S5" s="16">
        <v>0</v>
      </c>
      <c r="T5" s="16">
        <v>0</v>
      </c>
      <c r="U5" s="16">
        <v>0</v>
      </c>
      <c r="V5" s="16">
        <v>0</v>
      </c>
      <c r="W5" s="16">
        <v>0</v>
      </c>
      <c r="X5" s="158">
        <f>AVERAGE(I5:I9)</f>
        <v>33.099599999999995</v>
      </c>
    </row>
    <row r="6" spans="1:24" x14ac:dyDescent="0.25">
      <c r="A6" s="16">
        <v>200000</v>
      </c>
      <c r="B6">
        <v>1</v>
      </c>
      <c r="C6" t="s">
        <v>16</v>
      </c>
      <c r="D6" s="16">
        <v>29016</v>
      </c>
      <c r="E6" s="16">
        <v>104</v>
      </c>
      <c r="F6" s="16">
        <v>2</v>
      </c>
      <c r="G6" s="16">
        <v>8</v>
      </c>
      <c r="H6" s="2">
        <v>493.14</v>
      </c>
      <c r="I6" s="30">
        <v>33.029000000000003</v>
      </c>
      <c r="J6" s="33">
        <v>45318</v>
      </c>
      <c r="K6" s="61">
        <v>7.391203703703704E-2</v>
      </c>
      <c r="L6" s="16">
        <v>0</v>
      </c>
      <c r="M6" s="16">
        <v>0</v>
      </c>
      <c r="N6" s="16">
        <v>0</v>
      </c>
      <c r="O6" s="16">
        <v>0</v>
      </c>
      <c r="P6" s="16">
        <v>0</v>
      </c>
      <c r="Q6" s="16">
        <v>0</v>
      </c>
      <c r="R6" s="16">
        <v>0</v>
      </c>
      <c r="S6" s="16">
        <v>0</v>
      </c>
      <c r="T6" s="16">
        <v>0</v>
      </c>
      <c r="U6" s="16">
        <v>0</v>
      </c>
      <c r="V6" s="16">
        <v>0</v>
      </c>
      <c r="W6" s="16">
        <v>0</v>
      </c>
      <c r="X6" s="158"/>
    </row>
    <row r="7" spans="1:24" x14ac:dyDescent="0.25">
      <c r="A7" s="16">
        <v>200000</v>
      </c>
      <c r="B7">
        <v>2</v>
      </c>
      <c r="C7" t="s">
        <v>16</v>
      </c>
      <c r="D7" s="16">
        <v>29016</v>
      </c>
      <c r="E7" s="16">
        <v>104</v>
      </c>
      <c r="F7" s="16">
        <v>2</v>
      </c>
      <c r="G7" s="16">
        <v>8</v>
      </c>
      <c r="H7" s="2">
        <v>489.45</v>
      </c>
      <c r="I7" s="30">
        <v>33.277000000000001</v>
      </c>
      <c r="J7" s="33">
        <v>45318</v>
      </c>
      <c r="K7" s="61">
        <v>8.0335648148148142E-2</v>
      </c>
      <c r="L7" s="16">
        <v>0</v>
      </c>
      <c r="M7" s="16">
        <v>0</v>
      </c>
      <c r="N7" s="16">
        <v>0</v>
      </c>
      <c r="O7" s="16">
        <v>0</v>
      </c>
      <c r="P7" s="16">
        <v>0</v>
      </c>
      <c r="Q7" s="16">
        <v>0</v>
      </c>
      <c r="R7" s="16">
        <v>0</v>
      </c>
      <c r="S7" s="16">
        <v>0</v>
      </c>
      <c r="T7" s="16">
        <v>0</v>
      </c>
      <c r="U7" s="16">
        <v>0</v>
      </c>
      <c r="V7" s="16">
        <v>0</v>
      </c>
      <c r="W7" s="16">
        <v>0</v>
      </c>
      <c r="X7" s="158"/>
    </row>
    <row r="8" spans="1:24" x14ac:dyDescent="0.25">
      <c r="A8" s="16">
        <v>200000</v>
      </c>
      <c r="B8">
        <v>3</v>
      </c>
      <c r="C8" t="s">
        <v>16</v>
      </c>
      <c r="D8" s="16">
        <v>29016</v>
      </c>
      <c r="E8" s="16">
        <v>104</v>
      </c>
      <c r="F8" s="16">
        <v>2</v>
      </c>
      <c r="G8" s="16">
        <v>8</v>
      </c>
      <c r="H8" s="2">
        <v>491.84</v>
      </c>
      <c r="I8" s="30">
        <v>33.115000000000002</v>
      </c>
      <c r="J8" s="33">
        <v>45318</v>
      </c>
      <c r="K8" s="61">
        <v>8.6770833333333339E-2</v>
      </c>
      <c r="L8" s="16">
        <v>0</v>
      </c>
      <c r="M8" s="16">
        <v>0</v>
      </c>
      <c r="N8" s="16">
        <v>0</v>
      </c>
      <c r="O8" s="16">
        <v>0</v>
      </c>
      <c r="P8" s="16">
        <v>0</v>
      </c>
      <c r="Q8" s="16">
        <v>0</v>
      </c>
      <c r="R8" s="16">
        <v>0</v>
      </c>
      <c r="S8" s="16">
        <v>0</v>
      </c>
      <c r="T8" s="16">
        <v>0</v>
      </c>
      <c r="U8" s="16">
        <v>0</v>
      </c>
      <c r="V8" s="16">
        <v>0</v>
      </c>
      <c r="W8" s="16">
        <v>0</v>
      </c>
      <c r="X8" s="158"/>
    </row>
    <row r="9" spans="1:24" x14ac:dyDescent="0.25">
      <c r="A9" s="16">
        <v>200000</v>
      </c>
      <c r="B9">
        <v>4</v>
      </c>
      <c r="C9" t="s">
        <v>16</v>
      </c>
      <c r="D9" s="16">
        <v>29016</v>
      </c>
      <c r="E9" s="16">
        <v>104</v>
      </c>
      <c r="F9" s="16">
        <v>2</v>
      </c>
      <c r="G9" s="16">
        <v>8</v>
      </c>
      <c r="H9" s="2">
        <v>490.82</v>
      </c>
      <c r="I9" s="30">
        <v>33.183999999999997</v>
      </c>
      <c r="J9" s="33">
        <v>45318</v>
      </c>
      <c r="K9" s="61">
        <v>9.3206018518518521E-2</v>
      </c>
      <c r="L9" s="16">
        <v>0</v>
      </c>
      <c r="M9" s="16">
        <v>0</v>
      </c>
      <c r="N9" s="16">
        <v>0</v>
      </c>
      <c r="O9" s="16">
        <v>0</v>
      </c>
      <c r="P9" s="16">
        <v>0</v>
      </c>
      <c r="Q9" s="16">
        <v>0</v>
      </c>
      <c r="R9" s="16">
        <v>0</v>
      </c>
      <c r="S9" s="16">
        <v>0</v>
      </c>
      <c r="T9" s="16">
        <v>0</v>
      </c>
      <c r="U9" s="16">
        <v>0</v>
      </c>
      <c r="V9" s="16">
        <v>0</v>
      </c>
      <c r="W9" s="16">
        <v>0</v>
      </c>
      <c r="X9" s="158"/>
    </row>
    <row r="10" spans="1:24" x14ac:dyDescent="0.25">
      <c r="A10" s="16">
        <v>400000</v>
      </c>
      <c r="B10">
        <v>0</v>
      </c>
      <c r="C10" t="s">
        <v>16</v>
      </c>
      <c r="D10" s="16">
        <v>29016</v>
      </c>
      <c r="E10" s="16">
        <v>104</v>
      </c>
      <c r="F10" s="16">
        <v>2</v>
      </c>
      <c r="G10" s="16">
        <v>8</v>
      </c>
      <c r="H10" s="2">
        <v>410.15</v>
      </c>
      <c r="I10" s="30">
        <v>39.710999999999999</v>
      </c>
      <c r="J10" s="33">
        <v>45318</v>
      </c>
      <c r="K10" s="61">
        <v>4.0914351851851848E-2</v>
      </c>
      <c r="L10" s="16">
        <v>0</v>
      </c>
      <c r="M10" s="16">
        <v>0</v>
      </c>
      <c r="N10" s="16">
        <v>0</v>
      </c>
      <c r="O10" s="16">
        <v>0</v>
      </c>
      <c r="P10" s="16">
        <v>0</v>
      </c>
      <c r="Q10" s="16">
        <v>0</v>
      </c>
      <c r="R10" s="16">
        <v>0</v>
      </c>
      <c r="S10" s="16">
        <v>0</v>
      </c>
      <c r="T10" s="16">
        <v>0</v>
      </c>
      <c r="U10" s="16">
        <v>0</v>
      </c>
      <c r="V10" s="16">
        <v>0</v>
      </c>
      <c r="W10" s="16">
        <v>964</v>
      </c>
      <c r="X10" s="158">
        <f t="shared" ref="X10" si="0">AVERAGE(I10:I14)</f>
        <v>39.686199999999999</v>
      </c>
    </row>
    <row r="11" spans="1:24" x14ac:dyDescent="0.25">
      <c r="A11" s="16">
        <v>400000</v>
      </c>
      <c r="B11">
        <v>1</v>
      </c>
      <c r="C11" t="s">
        <v>16</v>
      </c>
      <c r="D11" s="16">
        <v>29016</v>
      </c>
      <c r="E11" s="16">
        <v>104</v>
      </c>
      <c r="F11" s="16">
        <v>2</v>
      </c>
      <c r="G11" s="16">
        <v>8</v>
      </c>
      <c r="H11" s="2">
        <v>410.93</v>
      </c>
      <c r="I11" s="30">
        <v>39.636000000000003</v>
      </c>
      <c r="J11" s="33">
        <v>45318</v>
      </c>
      <c r="K11" s="61">
        <v>4.6412037037037036E-2</v>
      </c>
      <c r="L11" s="16">
        <v>0</v>
      </c>
      <c r="M11" s="16">
        <v>0</v>
      </c>
      <c r="N11" s="16">
        <v>0</v>
      </c>
      <c r="O11" s="16">
        <v>0</v>
      </c>
      <c r="P11" s="16">
        <v>0</v>
      </c>
      <c r="Q11" s="16">
        <v>0</v>
      </c>
      <c r="R11" s="16">
        <v>0</v>
      </c>
      <c r="S11" s="16">
        <v>0</v>
      </c>
      <c r="T11" s="16">
        <v>0</v>
      </c>
      <c r="U11" s="16">
        <v>0</v>
      </c>
      <c r="V11" s="16">
        <v>0</v>
      </c>
      <c r="W11" s="16">
        <v>1044</v>
      </c>
      <c r="X11" s="158"/>
    </row>
    <row r="12" spans="1:24" x14ac:dyDescent="0.25">
      <c r="A12" s="16">
        <v>400000</v>
      </c>
      <c r="B12">
        <v>2</v>
      </c>
      <c r="C12" t="s">
        <v>16</v>
      </c>
      <c r="D12" s="16">
        <v>29016</v>
      </c>
      <c r="E12" s="16">
        <v>104</v>
      </c>
      <c r="F12" s="16">
        <v>2</v>
      </c>
      <c r="G12" s="16">
        <v>8</v>
      </c>
      <c r="H12" s="2">
        <v>410.69</v>
      </c>
      <c r="I12" s="30">
        <v>39.658999999999999</v>
      </c>
      <c r="J12" s="33">
        <v>45318</v>
      </c>
      <c r="K12" s="61">
        <v>5.1898148148148145E-2</v>
      </c>
      <c r="L12" s="16">
        <v>0</v>
      </c>
      <c r="M12" s="16">
        <v>0</v>
      </c>
      <c r="N12" s="16">
        <v>0</v>
      </c>
      <c r="O12" s="16">
        <v>0</v>
      </c>
      <c r="P12" s="16">
        <v>0</v>
      </c>
      <c r="Q12" s="16">
        <v>0</v>
      </c>
      <c r="R12" s="16">
        <v>0</v>
      </c>
      <c r="S12" s="16">
        <v>0</v>
      </c>
      <c r="T12" s="16">
        <v>0</v>
      </c>
      <c r="U12" s="16">
        <v>0</v>
      </c>
      <c r="V12" s="16">
        <v>0</v>
      </c>
      <c r="W12" s="16">
        <v>614</v>
      </c>
      <c r="X12" s="158"/>
    </row>
    <row r="13" spans="1:24" x14ac:dyDescent="0.25">
      <c r="A13" s="16">
        <v>400000</v>
      </c>
      <c r="B13">
        <v>3</v>
      </c>
      <c r="C13" t="s">
        <v>16</v>
      </c>
      <c r="D13" s="16">
        <v>29016</v>
      </c>
      <c r="E13" s="16">
        <v>104</v>
      </c>
      <c r="F13" s="16">
        <v>2</v>
      </c>
      <c r="G13" s="16">
        <v>8</v>
      </c>
      <c r="H13" s="2">
        <v>410.73</v>
      </c>
      <c r="I13" s="30">
        <v>39.655000000000001</v>
      </c>
      <c r="J13" s="33">
        <v>45318</v>
      </c>
      <c r="K13" s="61">
        <v>5.7384259259259253E-2</v>
      </c>
      <c r="L13" s="16">
        <v>0</v>
      </c>
      <c r="M13" s="16">
        <v>0</v>
      </c>
      <c r="N13" s="16">
        <v>0</v>
      </c>
      <c r="O13" s="16">
        <v>0</v>
      </c>
      <c r="P13" s="16">
        <v>0</v>
      </c>
      <c r="Q13" s="16">
        <v>0</v>
      </c>
      <c r="R13" s="16">
        <v>0</v>
      </c>
      <c r="S13" s="16">
        <v>0</v>
      </c>
      <c r="T13" s="16">
        <v>0</v>
      </c>
      <c r="U13" s="16">
        <v>0</v>
      </c>
      <c r="V13" s="16">
        <v>0</v>
      </c>
      <c r="W13" s="16">
        <v>1431</v>
      </c>
      <c r="X13" s="158"/>
    </row>
    <row r="14" spans="1:24" x14ac:dyDescent="0.25">
      <c r="A14" s="16">
        <v>400000</v>
      </c>
      <c r="B14">
        <v>4</v>
      </c>
      <c r="C14" t="s">
        <v>16</v>
      </c>
      <c r="D14" s="16">
        <v>29016</v>
      </c>
      <c r="E14" s="16">
        <v>104</v>
      </c>
      <c r="F14" s="16">
        <v>2</v>
      </c>
      <c r="G14" s="16">
        <v>8</v>
      </c>
      <c r="H14" s="2">
        <v>409.55</v>
      </c>
      <c r="I14" s="30">
        <v>39.770000000000003</v>
      </c>
      <c r="J14" s="33">
        <v>45318</v>
      </c>
      <c r="K14" s="61">
        <v>6.2847222222222221E-2</v>
      </c>
      <c r="L14" s="16">
        <v>0</v>
      </c>
      <c r="M14" s="16">
        <v>0</v>
      </c>
      <c r="N14" s="16">
        <v>0</v>
      </c>
      <c r="O14" s="16">
        <v>0</v>
      </c>
      <c r="P14" s="16">
        <v>0</v>
      </c>
      <c r="Q14" s="16">
        <v>0</v>
      </c>
      <c r="R14" s="16">
        <v>0</v>
      </c>
      <c r="S14" s="16">
        <v>0</v>
      </c>
      <c r="T14" s="16">
        <v>0</v>
      </c>
      <c r="U14" s="16">
        <v>0</v>
      </c>
      <c r="V14" s="16">
        <v>0</v>
      </c>
      <c r="W14" s="16">
        <v>1138</v>
      </c>
      <c r="X14" s="158"/>
    </row>
    <row r="15" spans="1:24" x14ac:dyDescent="0.25">
      <c r="A15" s="16">
        <v>600000</v>
      </c>
      <c r="B15">
        <v>0</v>
      </c>
      <c r="C15" t="s">
        <v>16</v>
      </c>
      <c r="D15" s="16">
        <v>29016</v>
      </c>
      <c r="E15" s="16">
        <v>104</v>
      </c>
      <c r="F15" s="16">
        <v>2</v>
      </c>
      <c r="G15" s="16">
        <v>8</v>
      </c>
      <c r="H15" s="2">
        <v>393.72</v>
      </c>
      <c r="I15" s="30">
        <v>41.369</v>
      </c>
      <c r="J15" s="33">
        <v>45318</v>
      </c>
      <c r="K15" s="61">
        <v>1.4270833333333335E-2</v>
      </c>
      <c r="L15" s="16">
        <v>0</v>
      </c>
      <c r="M15" s="16">
        <v>0</v>
      </c>
      <c r="N15" s="16">
        <v>0</v>
      </c>
      <c r="O15" s="16">
        <v>0</v>
      </c>
      <c r="P15" s="16">
        <v>0</v>
      </c>
      <c r="Q15" s="16">
        <v>0</v>
      </c>
      <c r="R15" s="16">
        <v>0</v>
      </c>
      <c r="S15" s="16">
        <v>0</v>
      </c>
      <c r="T15" s="16">
        <v>0</v>
      </c>
      <c r="U15" s="16">
        <v>0</v>
      </c>
      <c r="V15" s="16">
        <v>0</v>
      </c>
      <c r="W15" s="16">
        <v>740</v>
      </c>
      <c r="X15" s="158">
        <f t="shared" ref="X15" si="1">AVERAGE(I15:I19)</f>
        <v>41.363999999999997</v>
      </c>
    </row>
    <row r="16" spans="1:24" x14ac:dyDescent="0.25">
      <c r="A16" s="16">
        <v>600000</v>
      </c>
      <c r="B16">
        <v>1</v>
      </c>
      <c r="C16" t="s">
        <v>16</v>
      </c>
      <c r="D16" s="16">
        <v>29016</v>
      </c>
      <c r="E16" s="16">
        <v>104</v>
      </c>
      <c r="F16" s="16">
        <v>2</v>
      </c>
      <c r="G16" s="16">
        <v>8</v>
      </c>
      <c r="H16" s="2">
        <v>393.87</v>
      </c>
      <c r="I16" s="30">
        <v>41.353000000000002</v>
      </c>
      <c r="J16" s="33">
        <v>45318</v>
      </c>
      <c r="K16" s="61">
        <v>1.954861111111111E-2</v>
      </c>
      <c r="L16" s="16">
        <v>0</v>
      </c>
      <c r="M16" s="16">
        <v>0</v>
      </c>
      <c r="N16" s="16">
        <v>0</v>
      </c>
      <c r="O16" s="16">
        <v>0</v>
      </c>
      <c r="P16" s="16">
        <v>0</v>
      </c>
      <c r="Q16" s="16">
        <v>0</v>
      </c>
      <c r="R16" s="16">
        <v>0</v>
      </c>
      <c r="S16" s="16">
        <v>0</v>
      </c>
      <c r="T16" s="16">
        <v>0</v>
      </c>
      <c r="U16" s="16">
        <v>0</v>
      </c>
      <c r="V16" s="16">
        <v>0</v>
      </c>
      <c r="W16" s="16">
        <v>1023</v>
      </c>
      <c r="X16" s="158"/>
    </row>
    <row r="17" spans="1:24" x14ac:dyDescent="0.25">
      <c r="A17" s="16">
        <v>600000</v>
      </c>
      <c r="B17">
        <v>2</v>
      </c>
      <c r="C17" t="s">
        <v>16</v>
      </c>
      <c r="D17" s="16">
        <v>29016</v>
      </c>
      <c r="E17" s="16">
        <v>104</v>
      </c>
      <c r="F17" s="16">
        <v>2</v>
      </c>
      <c r="G17" s="16">
        <v>8</v>
      </c>
      <c r="H17" s="2">
        <v>393.9</v>
      </c>
      <c r="I17" s="30">
        <v>41.35</v>
      </c>
      <c r="J17" s="33">
        <v>45318</v>
      </c>
      <c r="K17" s="61">
        <v>2.4837962962962964E-2</v>
      </c>
      <c r="L17" s="16">
        <v>0</v>
      </c>
      <c r="M17" s="16">
        <v>0</v>
      </c>
      <c r="N17" s="16">
        <v>0</v>
      </c>
      <c r="O17" s="16">
        <v>0</v>
      </c>
      <c r="P17" s="16">
        <v>0</v>
      </c>
      <c r="Q17" s="16">
        <v>0</v>
      </c>
      <c r="R17" s="16">
        <v>0</v>
      </c>
      <c r="S17" s="16">
        <v>0</v>
      </c>
      <c r="T17" s="16">
        <v>0</v>
      </c>
      <c r="U17" s="16">
        <v>0</v>
      </c>
      <c r="V17" s="16">
        <v>0</v>
      </c>
      <c r="W17" s="16">
        <v>1057</v>
      </c>
      <c r="X17" s="158"/>
    </row>
    <row r="18" spans="1:24" x14ac:dyDescent="0.25">
      <c r="A18" s="16">
        <v>600000</v>
      </c>
      <c r="B18">
        <v>3</v>
      </c>
      <c r="C18" t="s">
        <v>16</v>
      </c>
      <c r="D18" s="16">
        <v>29016</v>
      </c>
      <c r="E18" s="16">
        <v>104</v>
      </c>
      <c r="F18" s="16">
        <v>2</v>
      </c>
      <c r="G18" s="16">
        <v>8</v>
      </c>
      <c r="H18" s="2">
        <v>393.76</v>
      </c>
      <c r="I18" s="30">
        <v>41.363999999999997</v>
      </c>
      <c r="J18" s="33">
        <v>45318</v>
      </c>
      <c r="K18" s="61">
        <v>3.0127314814814815E-2</v>
      </c>
      <c r="L18" s="16">
        <v>0</v>
      </c>
      <c r="M18" s="16">
        <v>0</v>
      </c>
      <c r="N18" s="16">
        <v>0</v>
      </c>
      <c r="O18" s="16">
        <v>0</v>
      </c>
      <c r="P18" s="16">
        <v>0</v>
      </c>
      <c r="Q18" s="16">
        <v>0</v>
      </c>
      <c r="R18" s="16">
        <v>0</v>
      </c>
      <c r="S18" s="16">
        <v>0</v>
      </c>
      <c r="T18" s="16">
        <v>0</v>
      </c>
      <c r="U18" s="16">
        <v>0</v>
      </c>
      <c r="V18" s="16">
        <v>0</v>
      </c>
      <c r="W18" s="16">
        <v>2042</v>
      </c>
      <c r="X18" s="158"/>
    </row>
    <row r="19" spans="1:24" x14ac:dyDescent="0.25">
      <c r="A19" s="16">
        <v>600000</v>
      </c>
      <c r="B19">
        <v>4</v>
      </c>
      <c r="C19" t="s">
        <v>16</v>
      </c>
      <c r="D19" s="16">
        <v>29016</v>
      </c>
      <c r="E19" s="16">
        <v>104</v>
      </c>
      <c r="F19" s="16">
        <v>2</v>
      </c>
      <c r="G19" s="16">
        <v>8</v>
      </c>
      <c r="H19" s="2">
        <v>393.57</v>
      </c>
      <c r="I19" s="30">
        <v>41.384</v>
      </c>
      <c r="J19" s="33">
        <v>45318</v>
      </c>
      <c r="K19" s="61">
        <v>3.5405092592592592E-2</v>
      </c>
      <c r="L19" s="16">
        <v>0</v>
      </c>
      <c r="M19" s="16">
        <v>0</v>
      </c>
      <c r="N19" s="16">
        <v>0</v>
      </c>
      <c r="O19" s="16">
        <v>0</v>
      </c>
      <c r="P19" s="16">
        <v>0</v>
      </c>
      <c r="Q19" s="16">
        <v>0</v>
      </c>
      <c r="R19" s="16">
        <v>0</v>
      </c>
      <c r="S19" s="16">
        <v>0</v>
      </c>
      <c r="T19" s="16">
        <v>0</v>
      </c>
      <c r="U19" s="16">
        <v>0</v>
      </c>
      <c r="V19" s="16">
        <v>0</v>
      </c>
      <c r="W19" s="16">
        <v>2754</v>
      </c>
      <c r="X19" s="158"/>
    </row>
    <row r="20" spans="1:24" x14ac:dyDescent="0.25">
      <c r="A20" s="16">
        <v>800000</v>
      </c>
      <c r="B20">
        <v>0</v>
      </c>
      <c r="C20" t="s">
        <v>16</v>
      </c>
      <c r="D20" s="16">
        <v>29016</v>
      </c>
      <c r="E20" s="16">
        <v>104</v>
      </c>
      <c r="F20" s="16">
        <v>2</v>
      </c>
      <c r="G20" s="16">
        <v>8</v>
      </c>
      <c r="H20" s="2">
        <v>391.73</v>
      </c>
      <c r="I20" s="30">
        <v>41.579000000000001</v>
      </c>
      <c r="J20" s="33">
        <v>45318</v>
      </c>
      <c r="K20" s="61">
        <v>4.8923611111111105E-2</v>
      </c>
      <c r="L20" s="16">
        <v>0</v>
      </c>
      <c r="M20" s="16">
        <v>0</v>
      </c>
      <c r="N20" s="16">
        <v>0</v>
      </c>
      <c r="O20" s="16">
        <v>0</v>
      </c>
      <c r="P20" s="16">
        <v>0</v>
      </c>
      <c r="Q20" s="16">
        <v>0</v>
      </c>
      <c r="R20" s="16">
        <v>0</v>
      </c>
      <c r="S20" s="16">
        <v>0</v>
      </c>
      <c r="T20" s="16">
        <v>0</v>
      </c>
      <c r="U20" s="16">
        <v>0</v>
      </c>
      <c r="V20" s="16">
        <v>0</v>
      </c>
      <c r="W20" s="16">
        <v>0</v>
      </c>
      <c r="X20" s="158">
        <f t="shared" ref="X20" si="2">AVERAGE(I20:I24)</f>
        <v>41.545500000000004</v>
      </c>
    </row>
    <row r="21" spans="1:24" x14ac:dyDescent="0.25">
      <c r="A21" s="16">
        <v>800000</v>
      </c>
      <c r="B21">
        <v>1</v>
      </c>
      <c r="C21" t="s">
        <v>16</v>
      </c>
      <c r="D21" s="16">
        <v>29016</v>
      </c>
      <c r="E21" s="16">
        <v>104</v>
      </c>
      <c r="F21" s="16">
        <v>2</v>
      </c>
      <c r="G21" s="16">
        <v>8</v>
      </c>
      <c r="H21" s="2">
        <v>392.01</v>
      </c>
      <c r="I21" s="30">
        <v>41.548000000000002</v>
      </c>
      <c r="J21" s="33">
        <v>45318</v>
      </c>
      <c r="K21" s="61">
        <v>5.4189814814814809E-2</v>
      </c>
      <c r="L21" s="16">
        <v>0</v>
      </c>
      <c r="M21" s="16">
        <v>0</v>
      </c>
      <c r="N21" s="16">
        <v>0</v>
      </c>
      <c r="O21" s="16">
        <v>0</v>
      </c>
      <c r="P21" s="16">
        <v>0</v>
      </c>
      <c r="Q21" s="16">
        <v>0</v>
      </c>
      <c r="R21" s="16">
        <v>0</v>
      </c>
      <c r="S21" s="16">
        <v>0</v>
      </c>
      <c r="T21" s="16">
        <v>0</v>
      </c>
      <c r="U21" s="16">
        <v>0</v>
      </c>
      <c r="V21" s="16">
        <v>0</v>
      </c>
      <c r="W21" s="16">
        <v>0</v>
      </c>
      <c r="X21" s="158"/>
    </row>
    <row r="22" spans="1:24" x14ac:dyDescent="0.25">
      <c r="A22" s="16">
        <v>800000</v>
      </c>
      <c r="B22">
        <v>2</v>
      </c>
      <c r="C22" t="s">
        <v>16</v>
      </c>
      <c r="D22" s="16">
        <v>29016</v>
      </c>
      <c r="E22" s="16">
        <v>104</v>
      </c>
      <c r="F22" s="16">
        <v>2</v>
      </c>
      <c r="G22" s="16">
        <v>8</v>
      </c>
      <c r="H22" s="2">
        <v>391.76</v>
      </c>
      <c r="I22" s="30">
        <v>41.575000000000003</v>
      </c>
      <c r="J22" s="33">
        <v>45318</v>
      </c>
      <c r="K22" s="61">
        <v>5.9444444444444446E-2</v>
      </c>
      <c r="L22" s="16">
        <v>0</v>
      </c>
      <c r="M22" s="16">
        <v>0</v>
      </c>
      <c r="N22" s="16">
        <v>0</v>
      </c>
      <c r="O22" s="16">
        <v>0</v>
      </c>
      <c r="P22" s="16">
        <v>0</v>
      </c>
      <c r="Q22" s="16">
        <v>0</v>
      </c>
      <c r="R22" s="16">
        <v>0</v>
      </c>
      <c r="S22" s="16">
        <v>0</v>
      </c>
      <c r="T22" s="16">
        <v>0</v>
      </c>
      <c r="U22" s="16">
        <v>0</v>
      </c>
      <c r="V22" s="16">
        <v>0</v>
      </c>
      <c r="W22" s="16">
        <v>0</v>
      </c>
      <c r="X22" s="158"/>
    </row>
    <row r="23" spans="1:24" x14ac:dyDescent="0.25">
      <c r="A23" s="16">
        <v>800000</v>
      </c>
      <c r="B23">
        <v>3</v>
      </c>
      <c r="C23" t="s">
        <v>16</v>
      </c>
      <c r="D23" s="16">
        <v>29016</v>
      </c>
      <c r="E23" s="16">
        <v>104</v>
      </c>
      <c r="F23" s="16">
        <v>2</v>
      </c>
      <c r="G23" s="16">
        <v>8</v>
      </c>
      <c r="H23" s="2">
        <v>392.66</v>
      </c>
      <c r="I23" s="30">
        <v>41.48</v>
      </c>
      <c r="J23" s="33">
        <v>45318</v>
      </c>
      <c r="K23" s="61">
        <v>6.4722222222222223E-2</v>
      </c>
      <c r="L23" s="16">
        <v>0</v>
      </c>
      <c r="M23" s="16">
        <v>0</v>
      </c>
      <c r="N23" s="16">
        <v>0</v>
      </c>
      <c r="O23" s="16">
        <v>0</v>
      </c>
      <c r="P23" s="16">
        <v>0</v>
      </c>
      <c r="Q23" s="16">
        <v>0</v>
      </c>
      <c r="R23" s="16">
        <v>0</v>
      </c>
      <c r="S23" s="16">
        <v>0</v>
      </c>
      <c r="T23" s="16">
        <v>0</v>
      </c>
      <c r="U23" s="16">
        <v>0</v>
      </c>
      <c r="V23" s="16">
        <v>0</v>
      </c>
      <c r="W23" s="16">
        <v>0</v>
      </c>
      <c r="X23" s="158"/>
    </row>
    <row r="24" spans="1:24" x14ac:dyDescent="0.25">
      <c r="X24" s="158"/>
    </row>
    <row r="25" spans="1:24" x14ac:dyDescent="0.25">
      <c r="A25" s="16">
        <v>1000000</v>
      </c>
      <c r="B25">
        <v>0</v>
      </c>
      <c r="C25" t="s">
        <v>16</v>
      </c>
      <c r="D25" s="16">
        <v>29016</v>
      </c>
      <c r="E25" s="16">
        <v>104</v>
      </c>
      <c r="F25" s="16">
        <v>2</v>
      </c>
      <c r="G25" s="16">
        <v>8</v>
      </c>
      <c r="H25" s="2">
        <v>391.04</v>
      </c>
      <c r="I25" s="30">
        <v>41.652000000000001</v>
      </c>
      <c r="J25" s="33">
        <v>45317</v>
      </c>
      <c r="K25" s="61">
        <v>0.99672453703703701</v>
      </c>
      <c r="L25" s="16">
        <v>0</v>
      </c>
      <c r="M25" s="16">
        <v>0</v>
      </c>
      <c r="N25" s="16">
        <v>0</v>
      </c>
      <c r="O25" s="16">
        <v>0</v>
      </c>
      <c r="P25" s="16">
        <v>0</v>
      </c>
      <c r="Q25" s="16">
        <v>0</v>
      </c>
      <c r="R25" s="16">
        <v>0</v>
      </c>
      <c r="S25" s="16">
        <v>0</v>
      </c>
      <c r="T25" s="16">
        <v>0</v>
      </c>
      <c r="U25" s="16">
        <v>0</v>
      </c>
      <c r="V25" s="16">
        <v>0</v>
      </c>
      <c r="W25" s="16">
        <v>25</v>
      </c>
      <c r="X25" s="158">
        <f t="shared" ref="X25" si="3">AVERAGE(I25:I29)</f>
        <v>41.645200000000003</v>
      </c>
    </row>
    <row r="26" spans="1:24" x14ac:dyDescent="0.25">
      <c r="A26" s="16">
        <v>1000000</v>
      </c>
      <c r="B26">
        <v>1</v>
      </c>
      <c r="C26" t="s">
        <v>16</v>
      </c>
      <c r="D26" s="16">
        <v>29016</v>
      </c>
      <c r="E26" s="16">
        <v>104</v>
      </c>
      <c r="F26" s="16">
        <v>2</v>
      </c>
      <c r="G26" s="16">
        <v>8</v>
      </c>
      <c r="H26" s="2">
        <v>391.15</v>
      </c>
      <c r="I26" s="30">
        <v>41.640999999999998</v>
      </c>
      <c r="J26" s="33">
        <v>45318</v>
      </c>
      <c r="K26" s="61">
        <v>1.9791666666666668E-3</v>
      </c>
      <c r="L26" s="16">
        <v>0</v>
      </c>
      <c r="M26" s="16">
        <v>0</v>
      </c>
      <c r="N26" s="16">
        <v>0</v>
      </c>
      <c r="O26" s="16">
        <v>0</v>
      </c>
      <c r="P26" s="16">
        <v>0</v>
      </c>
      <c r="Q26" s="16">
        <v>0</v>
      </c>
      <c r="R26" s="16">
        <v>0</v>
      </c>
      <c r="S26" s="16">
        <v>0</v>
      </c>
      <c r="T26" s="16">
        <v>0</v>
      </c>
      <c r="U26" s="16">
        <v>0</v>
      </c>
      <c r="V26" s="16">
        <v>0</v>
      </c>
      <c r="W26" s="16">
        <v>0</v>
      </c>
      <c r="X26" s="158"/>
    </row>
    <row r="27" spans="1:24" x14ac:dyDescent="0.25">
      <c r="A27" s="16">
        <v>1000000</v>
      </c>
      <c r="B27">
        <v>2</v>
      </c>
      <c r="C27" t="s">
        <v>16</v>
      </c>
      <c r="D27" s="16">
        <v>29016</v>
      </c>
      <c r="E27" s="16">
        <v>104</v>
      </c>
      <c r="F27" s="16">
        <v>2</v>
      </c>
      <c r="G27" s="16">
        <v>8</v>
      </c>
      <c r="H27" s="2">
        <v>390.83</v>
      </c>
      <c r="I27" s="30">
        <v>41.673999999999999</v>
      </c>
      <c r="J27" s="33">
        <v>45318</v>
      </c>
      <c r="K27" s="61">
        <v>7.2222222222222228E-3</v>
      </c>
      <c r="L27" s="16">
        <v>0</v>
      </c>
      <c r="M27" s="16">
        <v>0</v>
      </c>
      <c r="N27" s="16">
        <v>0</v>
      </c>
      <c r="O27" s="16">
        <v>0</v>
      </c>
      <c r="P27" s="16">
        <v>0</v>
      </c>
      <c r="Q27" s="16">
        <v>0</v>
      </c>
      <c r="R27" s="16">
        <v>0</v>
      </c>
      <c r="S27" s="16">
        <v>0</v>
      </c>
      <c r="T27" s="16">
        <v>0</v>
      </c>
      <c r="U27" s="16">
        <v>0</v>
      </c>
      <c r="V27" s="16">
        <v>0</v>
      </c>
      <c r="W27" s="16">
        <v>66</v>
      </c>
      <c r="X27" s="158"/>
    </row>
    <row r="28" spans="1:24" x14ac:dyDescent="0.25">
      <c r="A28" s="16">
        <v>1000000</v>
      </c>
      <c r="B28">
        <v>3</v>
      </c>
      <c r="C28" t="s">
        <v>16</v>
      </c>
      <c r="D28" s="16">
        <v>29016</v>
      </c>
      <c r="E28" s="16">
        <v>104</v>
      </c>
      <c r="F28" s="16">
        <v>2</v>
      </c>
      <c r="G28" s="16">
        <v>8</v>
      </c>
      <c r="H28" s="2">
        <v>391.12</v>
      </c>
      <c r="I28" s="30">
        <v>41.643000000000001</v>
      </c>
      <c r="J28" s="33">
        <v>45318</v>
      </c>
      <c r="K28" s="61">
        <v>1.247685185185185E-2</v>
      </c>
      <c r="L28" s="16">
        <v>0</v>
      </c>
      <c r="M28" s="16">
        <v>0</v>
      </c>
      <c r="N28" s="16">
        <v>0</v>
      </c>
      <c r="O28" s="16">
        <v>0</v>
      </c>
      <c r="P28" s="16">
        <v>0</v>
      </c>
      <c r="Q28" s="16">
        <v>0</v>
      </c>
      <c r="R28" s="16">
        <v>0</v>
      </c>
      <c r="S28" s="16">
        <v>0</v>
      </c>
      <c r="T28" s="16">
        <v>0</v>
      </c>
      <c r="U28" s="16">
        <v>0</v>
      </c>
      <c r="V28" s="16">
        <v>0</v>
      </c>
      <c r="W28" s="16">
        <v>201</v>
      </c>
      <c r="X28" s="158"/>
    </row>
    <row r="29" spans="1:24" x14ac:dyDescent="0.25">
      <c r="A29" s="16">
        <v>1000000</v>
      </c>
      <c r="B29">
        <v>4</v>
      </c>
      <c r="C29" t="s">
        <v>16</v>
      </c>
      <c r="D29" s="16">
        <v>29016</v>
      </c>
      <c r="E29" s="16">
        <v>104</v>
      </c>
      <c r="F29" s="16">
        <v>2</v>
      </c>
      <c r="G29" s="16">
        <v>8</v>
      </c>
      <c r="H29" s="2">
        <v>391.37</v>
      </c>
      <c r="I29" s="30">
        <v>41.616</v>
      </c>
      <c r="J29" s="33">
        <v>45318</v>
      </c>
      <c r="K29" s="61">
        <v>1.7731481481481483E-2</v>
      </c>
      <c r="L29" s="16">
        <v>0</v>
      </c>
      <c r="M29" s="16">
        <v>0</v>
      </c>
      <c r="N29" s="16">
        <v>0</v>
      </c>
      <c r="O29" s="16">
        <v>0</v>
      </c>
      <c r="P29" s="16">
        <v>0</v>
      </c>
      <c r="Q29" s="16">
        <v>0</v>
      </c>
      <c r="R29" s="16">
        <v>0</v>
      </c>
      <c r="S29" s="16">
        <v>0</v>
      </c>
      <c r="T29" s="16">
        <v>0</v>
      </c>
      <c r="U29" s="16">
        <v>0</v>
      </c>
      <c r="V29" s="16">
        <v>0</v>
      </c>
      <c r="W29" s="16">
        <v>0</v>
      </c>
      <c r="X29" s="158"/>
    </row>
    <row r="30" spans="1:24" x14ac:dyDescent="0.25">
      <c r="A30" s="16">
        <v>1200000</v>
      </c>
      <c r="B30">
        <v>0</v>
      </c>
      <c r="C30" t="s">
        <v>16</v>
      </c>
      <c r="D30" s="16">
        <v>29016</v>
      </c>
      <c r="E30" s="16">
        <v>104</v>
      </c>
      <c r="F30" s="16">
        <v>2</v>
      </c>
      <c r="G30" s="16">
        <v>8</v>
      </c>
      <c r="H30" s="2">
        <v>390.28</v>
      </c>
      <c r="I30" s="30">
        <v>41.732999999999997</v>
      </c>
      <c r="J30" s="33">
        <v>45318</v>
      </c>
      <c r="K30" s="61">
        <v>2.2650462962962966E-2</v>
      </c>
      <c r="L30" s="16">
        <v>0</v>
      </c>
      <c r="M30" s="16">
        <v>0</v>
      </c>
      <c r="N30" s="16">
        <v>0</v>
      </c>
      <c r="O30" s="16">
        <v>0</v>
      </c>
      <c r="P30" s="16">
        <v>0</v>
      </c>
      <c r="Q30" s="16">
        <v>0</v>
      </c>
      <c r="R30" s="16">
        <v>0</v>
      </c>
      <c r="S30" s="16">
        <v>0</v>
      </c>
      <c r="T30" s="16">
        <v>0</v>
      </c>
      <c r="U30" s="16">
        <v>0</v>
      </c>
      <c r="V30" s="16">
        <v>0</v>
      </c>
      <c r="W30" s="16">
        <v>0</v>
      </c>
      <c r="X30" s="158">
        <f t="shared" ref="X30" si="4">AVERAGE(I30:I34)</f>
        <v>41.697799999999994</v>
      </c>
    </row>
    <row r="31" spans="1:24" x14ac:dyDescent="0.25">
      <c r="A31" s="16">
        <v>1200000</v>
      </c>
      <c r="B31">
        <v>1</v>
      </c>
      <c r="C31" t="s">
        <v>16</v>
      </c>
      <c r="D31" s="16">
        <v>29016</v>
      </c>
      <c r="E31" s="16">
        <v>104</v>
      </c>
      <c r="F31" s="16">
        <v>2</v>
      </c>
      <c r="G31" s="16">
        <v>8</v>
      </c>
      <c r="H31" s="2">
        <v>390.4</v>
      </c>
      <c r="I31" s="30">
        <v>41.720999999999997</v>
      </c>
      <c r="J31" s="33">
        <v>45318</v>
      </c>
      <c r="K31" s="61">
        <v>2.7893518518518515E-2</v>
      </c>
      <c r="L31" s="16">
        <v>0</v>
      </c>
      <c r="M31" s="16">
        <v>0</v>
      </c>
      <c r="N31" s="16">
        <v>0</v>
      </c>
      <c r="O31" s="16">
        <v>0</v>
      </c>
      <c r="P31" s="16">
        <v>0</v>
      </c>
      <c r="Q31" s="16">
        <v>0</v>
      </c>
      <c r="R31" s="16">
        <v>0</v>
      </c>
      <c r="S31" s="16">
        <v>0</v>
      </c>
      <c r="T31" s="16">
        <v>0</v>
      </c>
      <c r="U31" s="16">
        <v>0</v>
      </c>
      <c r="V31" s="16">
        <v>0</v>
      </c>
      <c r="W31" s="16">
        <v>0</v>
      </c>
      <c r="X31" s="158"/>
    </row>
    <row r="32" spans="1:24" x14ac:dyDescent="0.25">
      <c r="A32" s="16">
        <v>1200000</v>
      </c>
      <c r="B32">
        <v>2</v>
      </c>
      <c r="C32" t="s">
        <v>16</v>
      </c>
      <c r="D32" s="16">
        <v>29016</v>
      </c>
      <c r="E32" s="16">
        <v>104</v>
      </c>
      <c r="F32" s="16">
        <v>2</v>
      </c>
      <c r="G32" s="16">
        <v>8</v>
      </c>
      <c r="H32" s="2">
        <v>390.89</v>
      </c>
      <c r="I32" s="30">
        <v>41.667999999999999</v>
      </c>
      <c r="J32" s="33">
        <v>45318</v>
      </c>
      <c r="K32" s="61">
        <v>3.3136574074074075E-2</v>
      </c>
      <c r="L32" s="16">
        <v>0</v>
      </c>
      <c r="M32" s="16">
        <v>0</v>
      </c>
      <c r="N32" s="16">
        <v>0</v>
      </c>
      <c r="O32" s="16">
        <v>0</v>
      </c>
      <c r="P32" s="16">
        <v>0</v>
      </c>
      <c r="Q32" s="16">
        <v>0</v>
      </c>
      <c r="R32" s="16">
        <v>0</v>
      </c>
      <c r="S32" s="16">
        <v>0</v>
      </c>
      <c r="T32" s="16">
        <v>0</v>
      </c>
      <c r="U32" s="16">
        <v>0</v>
      </c>
      <c r="V32" s="16">
        <v>0</v>
      </c>
      <c r="W32" s="16">
        <v>0</v>
      </c>
      <c r="X32" s="158"/>
    </row>
    <row r="33" spans="1:24" x14ac:dyDescent="0.25">
      <c r="A33" s="16">
        <v>1200000</v>
      </c>
      <c r="B33">
        <v>3</v>
      </c>
      <c r="C33" t="s">
        <v>16</v>
      </c>
      <c r="D33" s="16">
        <v>29016</v>
      </c>
      <c r="E33" s="16">
        <v>104</v>
      </c>
      <c r="F33" s="16">
        <v>2</v>
      </c>
      <c r="G33" s="16">
        <v>8</v>
      </c>
      <c r="H33" s="2">
        <v>390.63</v>
      </c>
      <c r="I33" s="30">
        <v>41.695999999999998</v>
      </c>
      <c r="J33" s="33">
        <v>45318</v>
      </c>
      <c r="K33" s="61">
        <v>3.8391203703703698E-2</v>
      </c>
      <c r="L33" s="16">
        <v>0</v>
      </c>
      <c r="M33" s="16">
        <v>0</v>
      </c>
      <c r="N33" s="16">
        <v>0</v>
      </c>
      <c r="O33" s="16">
        <v>0</v>
      </c>
      <c r="P33" s="16">
        <v>0</v>
      </c>
      <c r="Q33" s="16">
        <v>0</v>
      </c>
      <c r="R33" s="16">
        <v>0</v>
      </c>
      <c r="S33" s="16">
        <v>0</v>
      </c>
      <c r="T33" s="16">
        <v>0</v>
      </c>
      <c r="U33" s="16">
        <v>0</v>
      </c>
      <c r="V33" s="16">
        <v>0</v>
      </c>
      <c r="W33" s="16">
        <v>0</v>
      </c>
      <c r="X33" s="158"/>
    </row>
    <row r="34" spans="1:24" x14ac:dyDescent="0.25">
      <c r="A34" s="16">
        <v>1200000</v>
      </c>
      <c r="B34">
        <v>4</v>
      </c>
      <c r="C34" t="s">
        <v>16</v>
      </c>
      <c r="D34" s="16">
        <v>29016</v>
      </c>
      <c r="E34" s="16">
        <v>104</v>
      </c>
      <c r="F34" s="16">
        <v>2</v>
      </c>
      <c r="G34" s="16">
        <v>8</v>
      </c>
      <c r="H34" s="2">
        <v>390.86</v>
      </c>
      <c r="I34" s="30">
        <v>41.670999999999999</v>
      </c>
      <c r="J34" s="33">
        <v>45318</v>
      </c>
      <c r="K34" s="61">
        <v>4.3634259259259262E-2</v>
      </c>
      <c r="L34" s="16">
        <v>0</v>
      </c>
      <c r="M34" s="16">
        <v>0</v>
      </c>
      <c r="N34" s="16">
        <v>0</v>
      </c>
      <c r="O34" s="16">
        <v>0</v>
      </c>
      <c r="P34" s="16">
        <v>0</v>
      </c>
      <c r="Q34" s="16">
        <v>0</v>
      </c>
      <c r="R34" s="16">
        <v>0</v>
      </c>
      <c r="S34" s="16">
        <v>0</v>
      </c>
      <c r="T34" s="16">
        <v>0</v>
      </c>
      <c r="U34" s="16">
        <v>0</v>
      </c>
      <c r="V34" s="16">
        <v>0</v>
      </c>
      <c r="W34" s="16">
        <v>0</v>
      </c>
      <c r="X34" s="158"/>
    </row>
    <row r="35" spans="1:24" x14ac:dyDescent="0.25">
      <c r="A35" s="16">
        <v>1300000</v>
      </c>
      <c r="B35">
        <v>0</v>
      </c>
      <c r="C35" t="s">
        <v>16</v>
      </c>
      <c r="D35" s="16">
        <v>29016</v>
      </c>
      <c r="E35" s="16">
        <v>104</v>
      </c>
      <c r="F35" s="16">
        <v>2</v>
      </c>
      <c r="G35" s="16">
        <v>8</v>
      </c>
      <c r="H35" s="2">
        <v>390.73</v>
      </c>
      <c r="I35" s="30">
        <v>41.683999999999997</v>
      </c>
      <c r="J35" s="33">
        <v>45307</v>
      </c>
      <c r="K35" s="61">
        <v>0.56674768518518526</v>
      </c>
      <c r="L35" s="16">
        <v>0</v>
      </c>
      <c r="M35" s="16">
        <v>0</v>
      </c>
      <c r="N35" s="16">
        <v>0</v>
      </c>
      <c r="O35" s="16">
        <v>0</v>
      </c>
      <c r="P35" s="16">
        <v>0</v>
      </c>
      <c r="Q35" s="16">
        <v>0</v>
      </c>
      <c r="R35" s="16">
        <v>0</v>
      </c>
      <c r="S35" s="16">
        <v>0</v>
      </c>
      <c r="T35" s="16">
        <v>0</v>
      </c>
      <c r="U35" s="16">
        <v>0</v>
      </c>
      <c r="V35" s="16">
        <v>0</v>
      </c>
      <c r="W35" s="16">
        <v>0</v>
      </c>
      <c r="X35" s="158">
        <f t="shared" ref="X35" si="5">AVERAGE(I35:I39)</f>
        <v>41.650799999999997</v>
      </c>
    </row>
    <row r="36" spans="1:24" x14ac:dyDescent="0.25">
      <c r="A36" s="16">
        <v>1300000</v>
      </c>
      <c r="B36">
        <v>1</v>
      </c>
      <c r="C36" t="s">
        <v>16</v>
      </c>
      <c r="D36" s="16">
        <v>29016</v>
      </c>
      <c r="E36" s="16">
        <v>104</v>
      </c>
      <c r="F36" s="16">
        <v>2</v>
      </c>
      <c r="G36" s="16">
        <v>8</v>
      </c>
      <c r="H36" s="2">
        <v>391.65</v>
      </c>
      <c r="I36" s="30">
        <v>41.587000000000003</v>
      </c>
      <c r="J36" s="33">
        <v>45307</v>
      </c>
      <c r="K36" s="61">
        <v>0.74353009259259262</v>
      </c>
      <c r="L36" s="16">
        <v>0</v>
      </c>
      <c r="M36" s="16">
        <v>0</v>
      </c>
      <c r="N36" s="16">
        <v>0</v>
      </c>
      <c r="O36" s="16">
        <v>0</v>
      </c>
      <c r="P36" s="16">
        <v>0</v>
      </c>
      <c r="Q36" s="16">
        <v>0</v>
      </c>
      <c r="R36" s="16">
        <v>0</v>
      </c>
      <c r="S36" s="16">
        <v>0</v>
      </c>
      <c r="T36" s="16">
        <v>0</v>
      </c>
      <c r="U36" s="16">
        <v>0</v>
      </c>
      <c r="V36" s="16">
        <v>0</v>
      </c>
      <c r="W36" s="16">
        <v>0</v>
      </c>
      <c r="X36" s="158"/>
    </row>
    <row r="37" spans="1:24" x14ac:dyDescent="0.25">
      <c r="A37" s="16">
        <v>1300000</v>
      </c>
      <c r="B37">
        <v>2</v>
      </c>
      <c r="C37" t="s">
        <v>16</v>
      </c>
      <c r="D37" s="16">
        <v>29016</v>
      </c>
      <c r="E37" s="16">
        <v>104</v>
      </c>
      <c r="F37" s="16">
        <v>2</v>
      </c>
      <c r="G37" s="16">
        <v>8</v>
      </c>
      <c r="H37" s="2">
        <v>391</v>
      </c>
      <c r="I37" s="30">
        <v>41.655999999999999</v>
      </c>
      <c r="J37" s="33">
        <v>45307</v>
      </c>
      <c r="K37" s="61">
        <v>0.76461805555555562</v>
      </c>
      <c r="L37" s="16">
        <v>0</v>
      </c>
      <c r="M37" s="16">
        <v>0</v>
      </c>
      <c r="N37" s="16">
        <v>0</v>
      </c>
      <c r="O37" s="16">
        <v>0</v>
      </c>
      <c r="P37" s="16">
        <v>0</v>
      </c>
      <c r="Q37" s="16">
        <v>0</v>
      </c>
      <c r="R37" s="16">
        <v>0</v>
      </c>
      <c r="S37" s="16">
        <v>0</v>
      </c>
      <c r="T37" s="16">
        <v>0</v>
      </c>
      <c r="U37" s="16">
        <v>0</v>
      </c>
      <c r="V37" s="16">
        <v>0</v>
      </c>
      <c r="W37" s="16">
        <v>0</v>
      </c>
      <c r="X37" s="158"/>
    </row>
    <row r="38" spans="1:24" x14ac:dyDescent="0.25">
      <c r="A38" s="16">
        <v>1300000</v>
      </c>
      <c r="B38">
        <v>3</v>
      </c>
      <c r="C38" t="s">
        <v>16</v>
      </c>
      <c r="D38" s="16">
        <v>29016</v>
      </c>
      <c r="E38" s="16">
        <v>104</v>
      </c>
      <c r="F38" s="16">
        <v>2</v>
      </c>
      <c r="G38" s="16">
        <v>8</v>
      </c>
      <c r="H38" s="2">
        <v>391.13</v>
      </c>
      <c r="I38" s="30">
        <v>41.643000000000001</v>
      </c>
      <c r="J38" s="33">
        <v>45307</v>
      </c>
      <c r="K38" s="61">
        <v>0.78568287037037043</v>
      </c>
      <c r="L38" s="16">
        <v>0</v>
      </c>
      <c r="M38" s="16">
        <v>0</v>
      </c>
      <c r="N38" s="16">
        <v>0</v>
      </c>
      <c r="O38" s="16">
        <v>0</v>
      </c>
      <c r="P38" s="16">
        <v>0</v>
      </c>
      <c r="Q38" s="16">
        <v>0</v>
      </c>
      <c r="R38" s="16">
        <v>0</v>
      </c>
      <c r="S38" s="16">
        <v>0</v>
      </c>
      <c r="T38" s="16">
        <v>0</v>
      </c>
      <c r="U38" s="16">
        <v>0</v>
      </c>
      <c r="V38" s="16">
        <v>0</v>
      </c>
      <c r="W38" s="16">
        <v>0</v>
      </c>
      <c r="X38" s="158"/>
    </row>
    <row r="39" spans="1:24" x14ac:dyDescent="0.25">
      <c r="A39" s="16">
        <v>1300000</v>
      </c>
      <c r="B39">
        <v>4</v>
      </c>
      <c r="C39" t="s">
        <v>16</v>
      </c>
      <c r="D39" s="16">
        <v>29016</v>
      </c>
      <c r="E39" s="16">
        <v>104</v>
      </c>
      <c r="F39" s="16">
        <v>2</v>
      </c>
      <c r="G39" s="16">
        <v>8</v>
      </c>
      <c r="H39" s="2">
        <v>390.74</v>
      </c>
      <c r="I39" s="30">
        <v>41.683999999999997</v>
      </c>
      <c r="J39" s="33">
        <v>45307</v>
      </c>
      <c r="K39" s="61">
        <v>0.80675925925925929</v>
      </c>
      <c r="L39" s="16">
        <v>0</v>
      </c>
      <c r="M39" s="16">
        <v>0</v>
      </c>
      <c r="N39" s="16">
        <v>0</v>
      </c>
      <c r="O39" s="16">
        <v>0</v>
      </c>
      <c r="P39" s="16">
        <v>0</v>
      </c>
      <c r="Q39" s="16">
        <v>0</v>
      </c>
      <c r="R39" s="16">
        <v>0</v>
      </c>
      <c r="S39" s="16">
        <v>0</v>
      </c>
      <c r="T39" s="16">
        <v>0</v>
      </c>
      <c r="U39" s="16">
        <v>0</v>
      </c>
      <c r="V39" s="16">
        <v>0</v>
      </c>
      <c r="W39" s="16">
        <v>0</v>
      </c>
      <c r="X39" s="158"/>
    </row>
    <row r="40" spans="1:24" x14ac:dyDescent="0.25">
      <c r="A40" s="16">
        <v>1400000</v>
      </c>
      <c r="B40">
        <v>0</v>
      </c>
      <c r="C40" t="s">
        <v>16</v>
      </c>
      <c r="D40" s="16">
        <v>29016</v>
      </c>
      <c r="E40" s="16">
        <v>104</v>
      </c>
      <c r="F40" s="16">
        <v>2</v>
      </c>
      <c r="G40" s="16">
        <v>8</v>
      </c>
      <c r="H40" s="2">
        <v>390.5</v>
      </c>
      <c r="I40" s="30">
        <v>41.709000000000003</v>
      </c>
      <c r="J40" s="33">
        <v>45317</v>
      </c>
      <c r="K40" s="61">
        <v>0.99638888888888888</v>
      </c>
      <c r="L40" s="16">
        <v>0</v>
      </c>
      <c r="M40" s="16">
        <v>0</v>
      </c>
      <c r="N40" s="16">
        <v>0</v>
      </c>
      <c r="O40" s="16">
        <v>0</v>
      </c>
      <c r="P40" s="16">
        <v>0</v>
      </c>
      <c r="Q40" s="16">
        <v>0</v>
      </c>
      <c r="R40" s="16">
        <v>0</v>
      </c>
      <c r="S40" s="16">
        <v>0</v>
      </c>
      <c r="T40" s="16">
        <v>0</v>
      </c>
      <c r="U40" s="16">
        <v>0</v>
      </c>
      <c r="V40" s="16">
        <v>0</v>
      </c>
      <c r="W40" s="16">
        <v>0</v>
      </c>
      <c r="X40" s="158">
        <f t="shared" ref="X40" si="6">AVERAGE(I40:I44)</f>
        <v>41.677199999999999</v>
      </c>
    </row>
    <row r="41" spans="1:24" x14ac:dyDescent="0.25">
      <c r="A41" s="16">
        <v>1400000</v>
      </c>
      <c r="B41">
        <v>1</v>
      </c>
      <c r="C41" t="s">
        <v>16</v>
      </c>
      <c r="D41" s="16">
        <v>29016</v>
      </c>
      <c r="E41" s="16">
        <v>104</v>
      </c>
      <c r="F41" s="16">
        <v>2</v>
      </c>
      <c r="G41" s="16">
        <v>8</v>
      </c>
      <c r="H41" s="2">
        <v>390.63</v>
      </c>
      <c r="I41" s="30">
        <v>41.695</v>
      </c>
      <c r="J41" s="33">
        <v>45318</v>
      </c>
      <c r="K41" s="61">
        <v>1.6319444444444445E-3</v>
      </c>
      <c r="L41" s="16">
        <v>0</v>
      </c>
      <c r="M41" s="16">
        <v>0</v>
      </c>
      <c r="N41" s="16">
        <v>0</v>
      </c>
      <c r="O41" s="16">
        <v>0</v>
      </c>
      <c r="P41" s="16">
        <v>0</v>
      </c>
      <c r="Q41" s="16">
        <v>0</v>
      </c>
      <c r="R41" s="16">
        <v>0</v>
      </c>
      <c r="S41" s="16">
        <v>0</v>
      </c>
      <c r="T41" s="16">
        <v>0</v>
      </c>
      <c r="U41" s="16">
        <v>0</v>
      </c>
      <c r="V41" s="16">
        <v>0</v>
      </c>
      <c r="W41" s="16">
        <v>0</v>
      </c>
      <c r="X41" s="158"/>
    </row>
    <row r="42" spans="1:24" x14ac:dyDescent="0.25">
      <c r="A42" s="16">
        <v>1400000</v>
      </c>
      <c r="B42">
        <v>2</v>
      </c>
      <c r="C42" t="s">
        <v>16</v>
      </c>
      <c r="D42" s="16">
        <v>29016</v>
      </c>
      <c r="E42" s="16">
        <v>104</v>
      </c>
      <c r="F42" s="16">
        <v>2</v>
      </c>
      <c r="G42" s="16">
        <v>8</v>
      </c>
      <c r="H42" s="2">
        <v>391.17</v>
      </c>
      <c r="I42" s="30">
        <v>41.637999999999998</v>
      </c>
      <c r="J42" s="33">
        <v>45318</v>
      </c>
      <c r="K42" s="61">
        <v>6.8865740740740736E-3</v>
      </c>
      <c r="L42" s="16">
        <v>0</v>
      </c>
      <c r="M42" s="16">
        <v>0</v>
      </c>
      <c r="N42" s="16">
        <v>0</v>
      </c>
      <c r="O42" s="16">
        <v>0</v>
      </c>
      <c r="P42" s="16">
        <v>0</v>
      </c>
      <c r="Q42" s="16">
        <v>0</v>
      </c>
      <c r="R42" s="16">
        <v>0</v>
      </c>
      <c r="S42" s="16">
        <v>0</v>
      </c>
      <c r="T42" s="16">
        <v>0</v>
      </c>
      <c r="U42" s="16">
        <v>0</v>
      </c>
      <c r="V42" s="16">
        <v>0</v>
      </c>
      <c r="W42" s="16">
        <v>0</v>
      </c>
      <c r="X42" s="158"/>
    </row>
    <row r="43" spans="1:24" x14ac:dyDescent="0.25">
      <c r="A43" s="16">
        <v>1400000</v>
      </c>
      <c r="B43">
        <v>3</v>
      </c>
      <c r="C43" t="s">
        <v>16</v>
      </c>
      <c r="D43" s="16">
        <v>29016</v>
      </c>
      <c r="E43" s="16">
        <v>104</v>
      </c>
      <c r="F43" s="16">
        <v>2</v>
      </c>
      <c r="G43" s="16">
        <v>8</v>
      </c>
      <c r="H43" s="2">
        <v>391.14</v>
      </c>
      <c r="I43" s="30">
        <v>41.642000000000003</v>
      </c>
      <c r="J43" s="33">
        <v>45318</v>
      </c>
      <c r="K43" s="61">
        <v>1.2129629629629629E-2</v>
      </c>
      <c r="L43" s="16">
        <v>0</v>
      </c>
      <c r="M43" s="16">
        <v>0</v>
      </c>
      <c r="N43" s="16">
        <v>0</v>
      </c>
      <c r="O43" s="16">
        <v>0</v>
      </c>
      <c r="P43" s="16">
        <v>0</v>
      </c>
      <c r="Q43" s="16">
        <v>0</v>
      </c>
      <c r="R43" s="16">
        <v>0</v>
      </c>
      <c r="S43" s="16">
        <v>0</v>
      </c>
      <c r="T43" s="16">
        <v>0</v>
      </c>
      <c r="U43" s="16">
        <v>0</v>
      </c>
      <c r="V43" s="16">
        <v>0</v>
      </c>
      <c r="W43" s="16">
        <v>0</v>
      </c>
      <c r="X43" s="158"/>
    </row>
    <row r="44" spans="1:24" x14ac:dyDescent="0.25">
      <c r="A44" s="16">
        <v>1400000</v>
      </c>
      <c r="B44">
        <v>4</v>
      </c>
      <c r="C44" t="s">
        <v>16</v>
      </c>
      <c r="D44" s="16">
        <v>29016</v>
      </c>
      <c r="E44" s="16">
        <v>104</v>
      </c>
      <c r="F44" s="16">
        <v>2</v>
      </c>
      <c r="G44" s="16">
        <v>8</v>
      </c>
      <c r="H44" s="2">
        <v>390.57</v>
      </c>
      <c r="I44" s="30">
        <v>41.701999999999998</v>
      </c>
      <c r="J44" s="33">
        <v>45318</v>
      </c>
      <c r="K44" s="61">
        <v>1.7384259259259262E-2</v>
      </c>
      <c r="L44" s="16">
        <v>0</v>
      </c>
      <c r="M44" s="16">
        <v>0</v>
      </c>
      <c r="N44" s="16">
        <v>0</v>
      </c>
      <c r="O44" s="16">
        <v>0</v>
      </c>
      <c r="P44" s="16">
        <v>0</v>
      </c>
      <c r="Q44" s="16">
        <v>0</v>
      </c>
      <c r="R44" s="16">
        <v>0</v>
      </c>
      <c r="S44" s="16">
        <v>0</v>
      </c>
      <c r="T44" s="16">
        <v>0</v>
      </c>
      <c r="U44" s="16">
        <v>0</v>
      </c>
      <c r="V44" s="16">
        <v>0</v>
      </c>
      <c r="W44" s="16">
        <v>0</v>
      </c>
      <c r="X44" s="158"/>
    </row>
    <row r="45" spans="1:24" x14ac:dyDescent="0.25">
      <c r="A45" s="16">
        <v>1500000</v>
      </c>
      <c r="B45">
        <v>0</v>
      </c>
      <c r="C45" t="s">
        <v>16</v>
      </c>
      <c r="D45" s="16">
        <v>29016</v>
      </c>
      <c r="E45" s="16">
        <v>104</v>
      </c>
      <c r="F45" s="16">
        <v>2</v>
      </c>
      <c r="G45" s="16">
        <v>8</v>
      </c>
      <c r="H45" s="2">
        <v>390.25</v>
      </c>
      <c r="I45" s="30">
        <v>41.735999999999997</v>
      </c>
      <c r="J45" s="33">
        <v>45318</v>
      </c>
      <c r="K45" s="61">
        <v>3.4803240740740739E-2</v>
      </c>
      <c r="L45" s="16">
        <v>0</v>
      </c>
      <c r="M45" s="16">
        <v>0</v>
      </c>
      <c r="N45" s="16">
        <v>0</v>
      </c>
      <c r="O45" s="16">
        <v>0</v>
      </c>
      <c r="P45" s="16">
        <v>0</v>
      </c>
      <c r="Q45" s="16">
        <v>0</v>
      </c>
      <c r="R45" s="16">
        <v>0</v>
      </c>
      <c r="S45" s="16">
        <v>0</v>
      </c>
      <c r="T45" s="16">
        <v>0</v>
      </c>
      <c r="U45" s="16">
        <v>0</v>
      </c>
      <c r="V45" s="16">
        <v>0</v>
      </c>
      <c r="W45" s="16">
        <v>0</v>
      </c>
      <c r="X45" s="158">
        <f t="shared" ref="X45" si="7">AVERAGE(I45:I49)</f>
        <v>41.707799999999999</v>
      </c>
    </row>
    <row r="46" spans="1:24" x14ac:dyDescent="0.25">
      <c r="A46" s="16">
        <v>1500000</v>
      </c>
      <c r="B46">
        <v>1</v>
      </c>
      <c r="C46" t="s">
        <v>16</v>
      </c>
      <c r="D46" s="16">
        <v>29016</v>
      </c>
      <c r="E46" s="16">
        <v>104</v>
      </c>
      <c r="F46" s="16">
        <v>2</v>
      </c>
      <c r="G46" s="16">
        <v>8</v>
      </c>
      <c r="H46" s="2">
        <v>390.61</v>
      </c>
      <c r="I46" s="30">
        <v>41.697000000000003</v>
      </c>
      <c r="J46" s="33">
        <v>45318</v>
      </c>
      <c r="K46" s="61">
        <v>4.0046296296296295E-2</v>
      </c>
      <c r="L46" s="16">
        <v>0</v>
      </c>
      <c r="M46" s="16">
        <v>0</v>
      </c>
      <c r="N46" s="16">
        <v>0</v>
      </c>
      <c r="O46" s="16">
        <v>0</v>
      </c>
      <c r="P46" s="16">
        <v>0</v>
      </c>
      <c r="Q46" s="16">
        <v>0</v>
      </c>
      <c r="R46" s="16">
        <v>0</v>
      </c>
      <c r="S46" s="16">
        <v>0</v>
      </c>
      <c r="T46" s="16">
        <v>0</v>
      </c>
      <c r="U46" s="16">
        <v>0</v>
      </c>
      <c r="V46" s="16">
        <v>0</v>
      </c>
      <c r="W46" s="16">
        <v>0</v>
      </c>
      <c r="X46" s="158"/>
    </row>
    <row r="47" spans="1:24" x14ac:dyDescent="0.25">
      <c r="A47" s="16">
        <v>1500000</v>
      </c>
      <c r="B47">
        <v>2</v>
      </c>
      <c r="C47" t="s">
        <v>16</v>
      </c>
      <c r="D47" s="16">
        <v>29016</v>
      </c>
      <c r="E47" s="16">
        <v>104</v>
      </c>
      <c r="F47" s="16">
        <v>2</v>
      </c>
      <c r="G47" s="16">
        <v>8</v>
      </c>
      <c r="H47" s="2">
        <v>390.69</v>
      </c>
      <c r="I47" s="30">
        <v>41.689</v>
      </c>
      <c r="J47" s="33">
        <v>45318</v>
      </c>
      <c r="K47" s="61">
        <v>4.5289351851851851E-2</v>
      </c>
      <c r="L47" s="16">
        <v>0</v>
      </c>
      <c r="M47" s="16">
        <v>0</v>
      </c>
      <c r="N47" s="16">
        <v>0</v>
      </c>
      <c r="O47" s="16">
        <v>0</v>
      </c>
      <c r="P47" s="16">
        <v>0</v>
      </c>
      <c r="Q47" s="16">
        <v>0</v>
      </c>
      <c r="R47" s="16">
        <v>0</v>
      </c>
      <c r="S47" s="16">
        <v>0</v>
      </c>
      <c r="T47" s="16">
        <v>0</v>
      </c>
      <c r="U47" s="16">
        <v>0</v>
      </c>
      <c r="V47" s="16">
        <v>0</v>
      </c>
      <c r="W47" s="16">
        <v>0</v>
      </c>
      <c r="X47" s="158"/>
    </row>
    <row r="48" spans="1:24" x14ac:dyDescent="0.25">
      <c r="A48" s="16">
        <v>1500000</v>
      </c>
      <c r="B48">
        <v>3</v>
      </c>
      <c r="C48" t="s">
        <v>16</v>
      </c>
      <c r="D48" s="16">
        <v>29016</v>
      </c>
      <c r="E48" s="16">
        <v>104</v>
      </c>
      <c r="F48" s="16">
        <v>2</v>
      </c>
      <c r="G48" s="16">
        <v>8</v>
      </c>
      <c r="H48" s="2">
        <v>390.55</v>
      </c>
      <c r="I48" s="30">
        <v>41.704000000000001</v>
      </c>
      <c r="J48" s="33">
        <v>45318</v>
      </c>
      <c r="K48" s="61">
        <v>5.0532407407407408E-2</v>
      </c>
      <c r="L48" s="16">
        <v>0</v>
      </c>
      <c r="M48" s="16">
        <v>0</v>
      </c>
      <c r="N48" s="16">
        <v>0</v>
      </c>
      <c r="O48" s="16">
        <v>0</v>
      </c>
      <c r="P48" s="16">
        <v>0</v>
      </c>
      <c r="Q48" s="16">
        <v>0</v>
      </c>
      <c r="R48" s="16">
        <v>0</v>
      </c>
      <c r="S48" s="16">
        <v>0</v>
      </c>
      <c r="T48" s="16">
        <v>0</v>
      </c>
      <c r="U48" s="16">
        <v>0</v>
      </c>
      <c r="V48" s="16">
        <v>0</v>
      </c>
      <c r="W48" s="16">
        <v>0</v>
      </c>
      <c r="X48" s="158"/>
    </row>
    <row r="49" spans="1:24" x14ac:dyDescent="0.25">
      <c r="A49" s="16">
        <v>1500000</v>
      </c>
      <c r="B49">
        <v>4</v>
      </c>
      <c r="C49" t="s">
        <v>16</v>
      </c>
      <c r="D49" s="16">
        <v>29016</v>
      </c>
      <c r="E49" s="16">
        <v>104</v>
      </c>
      <c r="F49" s="16">
        <v>2</v>
      </c>
      <c r="G49" s="16">
        <v>8</v>
      </c>
      <c r="H49" s="2">
        <v>390.47</v>
      </c>
      <c r="I49" s="30">
        <v>41.713000000000001</v>
      </c>
      <c r="J49" s="33">
        <v>45318</v>
      </c>
      <c r="K49" s="61">
        <v>5.5787037037037031E-2</v>
      </c>
      <c r="L49" s="16">
        <v>0</v>
      </c>
      <c r="M49" s="16">
        <v>0</v>
      </c>
      <c r="N49" s="16">
        <v>0</v>
      </c>
      <c r="O49" s="16">
        <v>0</v>
      </c>
      <c r="P49" s="16">
        <v>0</v>
      </c>
      <c r="Q49" s="16">
        <v>0</v>
      </c>
      <c r="R49" s="16">
        <v>0</v>
      </c>
      <c r="S49" s="16">
        <v>0</v>
      </c>
      <c r="T49" s="16">
        <v>0</v>
      </c>
      <c r="U49" s="16">
        <v>0</v>
      </c>
      <c r="V49" s="16">
        <v>0</v>
      </c>
      <c r="W49" s="16">
        <v>0</v>
      </c>
      <c r="X49" s="158"/>
    </row>
  </sheetData>
  <sortState xmlns:xlrd2="http://schemas.microsoft.com/office/spreadsheetml/2017/richdata2" ref="A5:W49">
    <sortCondition ref="A5:A49"/>
    <sortCondition ref="B5:B49"/>
  </sortState>
  <mergeCells count="14">
    <mergeCell ref="X35:X39"/>
    <mergeCell ref="X40:X44"/>
    <mergeCell ref="X45:X49"/>
    <mergeCell ref="X5:X9"/>
    <mergeCell ref="X10:X14"/>
    <mergeCell ref="X15:X19"/>
    <mergeCell ref="X20:X24"/>
    <mergeCell ref="X25:X29"/>
    <mergeCell ref="X30:X34"/>
    <mergeCell ref="A1:V1"/>
    <mergeCell ref="K2:M2"/>
    <mergeCell ref="N2:P2"/>
    <mergeCell ref="Q2:S2"/>
    <mergeCell ref="T2:V2"/>
  </mergeCells>
  <conditionalFormatting sqref="X5:X49">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DA7E8-56C1-4E6E-B4B6-87D6BF878AD7}">
  <dimension ref="A1:AC283"/>
  <sheetViews>
    <sheetView tabSelected="1" zoomScale="85" zoomScaleNormal="85" workbookViewId="0">
      <selection activeCell="I23" sqref="I23"/>
    </sheetView>
  </sheetViews>
  <sheetFormatPr defaultRowHeight="15" x14ac:dyDescent="0.25"/>
  <cols>
    <col min="8" max="8" width="9.140625" style="17"/>
    <col min="9" max="9" width="10.28515625" bestFit="1" customWidth="1"/>
    <col min="10" max="10" width="9.140625" style="37"/>
    <col min="11" max="13" width="15" customWidth="1"/>
    <col min="14" max="14" width="15.7109375" style="30" bestFit="1" customWidth="1"/>
    <col min="23" max="23" width="9.140625" style="17"/>
    <col min="24" max="24" width="10.28515625" bestFit="1" customWidth="1"/>
    <col min="25" max="25" width="9.140625" style="37"/>
    <col min="26" max="28" width="15.28515625" customWidth="1"/>
    <col min="29" max="29" width="15.7109375" style="30" bestFit="1" customWidth="1"/>
  </cols>
  <sheetData>
    <row r="1" spans="1:29" s="42" customFormat="1" ht="15.75" x14ac:dyDescent="0.25">
      <c r="A1" s="140"/>
      <c r="B1" s="140"/>
      <c r="C1" s="140"/>
      <c r="D1" s="140"/>
      <c r="E1" s="140"/>
      <c r="F1" s="140"/>
      <c r="G1" s="140"/>
      <c r="H1" s="140"/>
      <c r="I1" s="140"/>
      <c r="J1" s="140"/>
      <c r="K1" s="140"/>
      <c r="L1" s="140"/>
      <c r="M1" s="140"/>
      <c r="N1" s="140"/>
      <c r="P1" s="140"/>
      <c r="Q1" s="140"/>
      <c r="R1" s="140"/>
      <c r="S1" s="140"/>
      <c r="T1" s="140"/>
      <c r="U1" s="140"/>
      <c r="V1" s="140"/>
      <c r="W1" s="140"/>
      <c r="X1" s="140"/>
      <c r="Y1" s="140"/>
      <c r="Z1" s="140"/>
      <c r="AA1" s="140"/>
      <c r="AB1" s="140"/>
      <c r="AC1" s="159"/>
    </row>
    <row r="2" spans="1:29" s="42" customFormat="1" ht="15.75" x14ac:dyDescent="0.25">
      <c r="A2" s="116" t="s">
        <v>327</v>
      </c>
      <c r="B2" s="117">
        <f>MAX(N4:N499)</f>
        <v>10.5688</v>
      </c>
      <c r="C2" s="118">
        <f>INDEX(C:C,MATCH(MAX($N:$N),$N:$N,0))</f>
        <v>14560</v>
      </c>
      <c r="D2" s="118">
        <f t="shared" ref="D2:F2" si="0">INDEX(D:D,MATCH(MAX($N:$N),$N:$N,0))</f>
        <v>160</v>
      </c>
      <c r="E2" s="118">
        <f t="shared" si="0"/>
        <v>2</v>
      </c>
      <c r="F2" s="118">
        <f t="shared" si="0"/>
        <v>2</v>
      </c>
      <c r="H2" s="41"/>
      <c r="J2" s="43"/>
      <c r="K2" s="140" t="s">
        <v>2</v>
      </c>
      <c r="L2" s="140"/>
      <c r="M2" s="140"/>
      <c r="N2" s="30"/>
      <c r="P2" s="116" t="s">
        <v>327</v>
      </c>
      <c r="Q2" s="117">
        <f>MAX(AC4:AC499)</f>
        <v>11.337399999999999</v>
      </c>
      <c r="R2" s="118">
        <f>INDEX(R:R,MATCH(MAX($AC:$AC),$AC:$AC,0))</f>
        <v>14592</v>
      </c>
      <c r="S2" s="118">
        <f>INDEX(S:S,MATCH(MAX($AC:$AC),$AC:$AC,0))</f>
        <v>96</v>
      </c>
      <c r="T2" s="118">
        <f>INDEX(T:T,MATCH(MAX($AC:$AC),$AC:$AC,0))</f>
        <v>1</v>
      </c>
      <c r="U2" s="118">
        <f>INDEX(U:U,MATCH(MAX($AC:$AC),$AC:$AC,0))</f>
        <v>4</v>
      </c>
      <c r="W2" s="41"/>
      <c r="Y2" s="43"/>
      <c r="Z2" s="140" t="s">
        <v>1</v>
      </c>
      <c r="AA2" s="140"/>
      <c r="AB2" s="140"/>
      <c r="AC2" s="30"/>
    </row>
    <row r="3" spans="1:29" s="42" customFormat="1" ht="15" customHeight="1" x14ac:dyDescent="0.25">
      <c r="A3" s="40" t="s">
        <v>3</v>
      </c>
      <c r="B3" s="40" t="s">
        <v>4</v>
      </c>
      <c r="C3" s="40" t="s">
        <v>5</v>
      </c>
      <c r="D3" s="40" t="s">
        <v>6</v>
      </c>
      <c r="E3" s="40" t="s">
        <v>7</v>
      </c>
      <c r="F3" s="40" t="s">
        <v>8</v>
      </c>
      <c r="G3" s="40" t="s">
        <v>9</v>
      </c>
      <c r="H3" s="44" t="s">
        <v>10</v>
      </c>
      <c r="I3" s="40" t="s">
        <v>11</v>
      </c>
      <c r="J3" s="45" t="s">
        <v>9</v>
      </c>
      <c r="K3" s="40" t="s">
        <v>12</v>
      </c>
      <c r="L3" s="40" t="s">
        <v>13</v>
      </c>
      <c r="M3" s="40" t="s">
        <v>14</v>
      </c>
      <c r="N3" s="122" t="s">
        <v>15</v>
      </c>
      <c r="P3" s="40" t="s">
        <v>3</v>
      </c>
      <c r="Q3" s="40" t="s">
        <v>4</v>
      </c>
      <c r="R3" s="40" t="s">
        <v>5</v>
      </c>
      <c r="S3" s="40" t="s">
        <v>6</v>
      </c>
      <c r="T3" s="40" t="s">
        <v>7</v>
      </c>
      <c r="U3" s="40" t="s">
        <v>8</v>
      </c>
      <c r="V3" s="40" t="s">
        <v>9</v>
      </c>
      <c r="W3" s="44" t="s">
        <v>10</v>
      </c>
      <c r="X3" s="40" t="s">
        <v>11</v>
      </c>
      <c r="Y3" s="45" t="s">
        <v>9</v>
      </c>
      <c r="Z3" s="40" t="s">
        <v>12</v>
      </c>
      <c r="AA3" s="40" t="s">
        <v>13</v>
      </c>
      <c r="AB3" s="40" t="s">
        <v>14</v>
      </c>
      <c r="AC3" s="122" t="s">
        <v>15</v>
      </c>
    </row>
    <row r="4" spans="1:29" x14ac:dyDescent="0.25">
      <c r="A4">
        <v>0</v>
      </c>
      <c r="B4" t="s">
        <v>16</v>
      </c>
      <c r="C4">
        <v>13056</v>
      </c>
      <c r="D4">
        <v>32</v>
      </c>
      <c r="E4">
        <v>1</v>
      </c>
      <c r="F4">
        <v>4</v>
      </c>
      <c r="G4">
        <v>171.03</v>
      </c>
      <c r="H4" s="139">
        <v>8.6765000000000008</v>
      </c>
      <c r="I4" s="33">
        <v>45608</v>
      </c>
      <c r="J4" s="37">
        <v>0.30931712962962965</v>
      </c>
      <c r="K4">
        <v>0</v>
      </c>
      <c r="L4">
        <v>0</v>
      </c>
      <c r="M4">
        <v>0</v>
      </c>
      <c r="N4" s="30">
        <f>AVERAGE(H4:H8)</f>
        <v>8.665280000000001</v>
      </c>
      <c r="P4">
        <v>0</v>
      </c>
      <c r="Q4" t="s">
        <v>16</v>
      </c>
      <c r="R4">
        <v>13056</v>
      </c>
      <c r="S4">
        <v>32</v>
      </c>
      <c r="T4">
        <v>1</v>
      </c>
      <c r="U4">
        <v>4</v>
      </c>
      <c r="V4">
        <v>147.41</v>
      </c>
      <c r="W4" s="139">
        <v>10.067</v>
      </c>
      <c r="X4" s="33">
        <v>45608</v>
      </c>
      <c r="Y4" s="37">
        <v>0.31114583333333334</v>
      </c>
      <c r="Z4">
        <v>0</v>
      </c>
      <c r="AA4">
        <v>0</v>
      </c>
      <c r="AB4">
        <v>0</v>
      </c>
      <c r="AC4" s="30">
        <f>AVERAGE(W4:W8)</f>
        <v>10.04074</v>
      </c>
    </row>
    <row r="5" spans="1:29" x14ac:dyDescent="0.25">
      <c r="A5">
        <v>1</v>
      </c>
      <c r="B5" t="s">
        <v>16</v>
      </c>
      <c r="C5">
        <v>13056</v>
      </c>
      <c r="D5">
        <v>32</v>
      </c>
      <c r="E5">
        <v>1</v>
      </c>
      <c r="F5">
        <v>4</v>
      </c>
      <c r="G5">
        <v>171.15</v>
      </c>
      <c r="H5" s="139">
        <v>8.6705000000000005</v>
      </c>
      <c r="I5" s="33">
        <v>45608</v>
      </c>
      <c r="J5" s="37">
        <v>0.36436342592592591</v>
      </c>
      <c r="K5">
        <v>0</v>
      </c>
      <c r="L5">
        <v>0</v>
      </c>
      <c r="M5">
        <v>0</v>
      </c>
      <c r="N5" s="30">
        <f>N4</f>
        <v>8.665280000000001</v>
      </c>
      <c r="P5">
        <v>1</v>
      </c>
      <c r="Q5" t="s">
        <v>16</v>
      </c>
      <c r="R5">
        <v>13056</v>
      </c>
      <c r="S5">
        <v>32</v>
      </c>
      <c r="T5">
        <v>1</v>
      </c>
      <c r="U5">
        <v>4</v>
      </c>
      <c r="V5">
        <v>146.94</v>
      </c>
      <c r="W5" s="139">
        <v>10.099</v>
      </c>
      <c r="X5" s="33">
        <v>45608</v>
      </c>
      <c r="Y5" s="37">
        <v>0.37180555555555556</v>
      </c>
      <c r="Z5">
        <v>0</v>
      </c>
      <c r="AA5">
        <v>0</v>
      </c>
      <c r="AB5">
        <v>0</v>
      </c>
      <c r="AC5" s="30">
        <f>AC4</f>
        <v>10.04074</v>
      </c>
    </row>
    <row r="6" spans="1:29" x14ac:dyDescent="0.25">
      <c r="A6">
        <v>2</v>
      </c>
      <c r="B6" t="s">
        <v>16</v>
      </c>
      <c r="C6">
        <v>13056</v>
      </c>
      <c r="D6">
        <v>32</v>
      </c>
      <c r="E6">
        <v>1</v>
      </c>
      <c r="F6">
        <v>4</v>
      </c>
      <c r="G6">
        <v>171.49</v>
      </c>
      <c r="H6" s="139">
        <v>8.6533999999999995</v>
      </c>
      <c r="I6" s="33">
        <v>45608</v>
      </c>
      <c r="J6" s="37">
        <v>0.4193634259259259</v>
      </c>
      <c r="K6">
        <v>0</v>
      </c>
      <c r="L6">
        <v>0</v>
      </c>
      <c r="M6">
        <v>0</v>
      </c>
      <c r="N6" s="30">
        <f t="shared" ref="N6:N8" si="1">N5</f>
        <v>8.665280000000001</v>
      </c>
      <c r="P6">
        <v>2</v>
      </c>
      <c r="Q6" t="s">
        <v>16</v>
      </c>
      <c r="R6">
        <v>13056</v>
      </c>
      <c r="S6">
        <v>32</v>
      </c>
      <c r="T6">
        <v>1</v>
      </c>
      <c r="U6">
        <v>4</v>
      </c>
      <c r="V6">
        <v>148.9</v>
      </c>
      <c r="W6" s="139">
        <v>9.9659999999999993</v>
      </c>
      <c r="X6" s="33">
        <v>45608</v>
      </c>
      <c r="Y6" s="37">
        <v>0.4325</v>
      </c>
      <c r="Z6">
        <v>0</v>
      </c>
      <c r="AA6">
        <v>0</v>
      </c>
      <c r="AB6">
        <v>0</v>
      </c>
      <c r="AC6" s="30">
        <f t="shared" ref="AC6:AC8" si="2">AC5</f>
        <v>10.04074</v>
      </c>
    </row>
    <row r="7" spans="1:29" x14ac:dyDescent="0.25">
      <c r="A7">
        <v>3</v>
      </c>
      <c r="B7" t="s">
        <v>16</v>
      </c>
      <c r="C7">
        <v>13056</v>
      </c>
      <c r="D7">
        <v>32</v>
      </c>
      <c r="E7">
        <v>1</v>
      </c>
      <c r="F7">
        <v>4</v>
      </c>
      <c r="G7">
        <v>171.23</v>
      </c>
      <c r="H7" s="139">
        <v>8.6661999999999999</v>
      </c>
      <c r="I7" s="33">
        <v>45608</v>
      </c>
      <c r="J7" s="37">
        <v>0.47436342592592595</v>
      </c>
      <c r="K7">
        <v>0</v>
      </c>
      <c r="L7">
        <v>0</v>
      </c>
      <c r="M7">
        <v>0</v>
      </c>
      <c r="N7" s="30">
        <f t="shared" si="1"/>
        <v>8.665280000000001</v>
      </c>
      <c r="P7">
        <v>3</v>
      </c>
      <c r="Q7" t="s">
        <v>16</v>
      </c>
      <c r="R7">
        <v>13056</v>
      </c>
      <c r="S7">
        <v>32</v>
      </c>
      <c r="T7">
        <v>1</v>
      </c>
      <c r="U7">
        <v>4</v>
      </c>
      <c r="V7">
        <v>147.03</v>
      </c>
      <c r="W7" s="139">
        <v>10.093</v>
      </c>
      <c r="X7" s="33">
        <v>45608</v>
      </c>
      <c r="Y7" s="37">
        <v>0.49315972222222221</v>
      </c>
      <c r="Z7">
        <v>0</v>
      </c>
      <c r="AA7">
        <v>0</v>
      </c>
      <c r="AB7">
        <v>0</v>
      </c>
      <c r="AC7" s="30">
        <f t="shared" si="2"/>
        <v>10.04074</v>
      </c>
    </row>
    <row r="8" spans="1:29" x14ac:dyDescent="0.25">
      <c r="A8">
        <v>4</v>
      </c>
      <c r="B8" t="s">
        <v>16</v>
      </c>
      <c r="C8">
        <v>13056</v>
      </c>
      <c r="D8">
        <v>32</v>
      </c>
      <c r="E8">
        <v>1</v>
      </c>
      <c r="F8">
        <v>4</v>
      </c>
      <c r="G8">
        <v>171.36</v>
      </c>
      <c r="H8" s="139">
        <v>8.6598000000000006</v>
      </c>
      <c r="I8" s="33">
        <v>45608</v>
      </c>
      <c r="J8" s="37">
        <v>0.57746527777777779</v>
      </c>
      <c r="K8">
        <v>0</v>
      </c>
      <c r="L8">
        <v>0</v>
      </c>
      <c r="M8">
        <v>0</v>
      </c>
      <c r="N8" s="30">
        <f t="shared" si="1"/>
        <v>8.665280000000001</v>
      </c>
      <c r="P8">
        <v>4</v>
      </c>
      <c r="Q8" t="s">
        <v>16</v>
      </c>
      <c r="R8">
        <v>13056</v>
      </c>
      <c r="S8">
        <v>32</v>
      </c>
      <c r="T8">
        <v>1</v>
      </c>
      <c r="U8">
        <v>4</v>
      </c>
      <c r="V8">
        <v>148.71</v>
      </c>
      <c r="W8" s="139">
        <v>9.9786999999999999</v>
      </c>
      <c r="X8" s="33">
        <v>45608</v>
      </c>
      <c r="Y8" s="37">
        <v>0.60340277777777773</v>
      </c>
      <c r="Z8">
        <v>0</v>
      </c>
      <c r="AA8">
        <v>0</v>
      </c>
      <c r="AB8">
        <v>0</v>
      </c>
      <c r="AC8" s="30">
        <f t="shared" si="2"/>
        <v>10.04074</v>
      </c>
    </row>
    <row r="9" spans="1:29" x14ac:dyDescent="0.25">
      <c r="A9">
        <v>0</v>
      </c>
      <c r="B9" t="s">
        <v>16</v>
      </c>
      <c r="C9">
        <v>13824</v>
      </c>
      <c r="D9">
        <v>32</v>
      </c>
      <c r="E9">
        <v>1</v>
      </c>
      <c r="F9">
        <v>4</v>
      </c>
      <c r="G9">
        <v>226.12</v>
      </c>
      <c r="H9" s="139">
        <v>7.7901999999999996</v>
      </c>
      <c r="I9" s="33">
        <v>45608</v>
      </c>
      <c r="J9" s="37">
        <v>0.32527777777777778</v>
      </c>
      <c r="K9">
        <v>0</v>
      </c>
      <c r="L9">
        <v>0</v>
      </c>
      <c r="M9">
        <v>0</v>
      </c>
      <c r="N9" s="30">
        <f t="shared" ref="N9" si="3">AVERAGE(H9:H13)</f>
        <v>7.7974999999999994</v>
      </c>
      <c r="P9">
        <v>0</v>
      </c>
      <c r="Q9" t="s">
        <v>16</v>
      </c>
      <c r="R9">
        <v>13824</v>
      </c>
      <c r="S9">
        <v>32</v>
      </c>
      <c r="T9">
        <v>1</v>
      </c>
      <c r="U9">
        <v>4</v>
      </c>
      <c r="V9">
        <v>187.63</v>
      </c>
      <c r="W9" s="139">
        <v>9.3879999999999999</v>
      </c>
      <c r="X9" s="33">
        <v>45608</v>
      </c>
      <c r="Y9" s="37">
        <v>0.3288773148148148</v>
      </c>
      <c r="Z9">
        <v>0</v>
      </c>
      <c r="AA9">
        <v>0</v>
      </c>
      <c r="AB9">
        <v>0</v>
      </c>
      <c r="AC9" s="30">
        <f>AVERAGE(W9:W13)</f>
        <v>9.3977600000000017</v>
      </c>
    </row>
    <row r="10" spans="1:29" x14ac:dyDescent="0.25">
      <c r="A10">
        <v>1</v>
      </c>
      <c r="B10" t="s">
        <v>16</v>
      </c>
      <c r="C10">
        <v>13824</v>
      </c>
      <c r="D10">
        <v>32</v>
      </c>
      <c r="E10">
        <v>1</v>
      </c>
      <c r="F10">
        <v>4</v>
      </c>
      <c r="G10">
        <v>225.84</v>
      </c>
      <c r="H10" s="139">
        <v>7.7996999999999996</v>
      </c>
      <c r="I10" s="33">
        <v>45608</v>
      </c>
      <c r="J10" s="37">
        <v>0.38033564814814813</v>
      </c>
      <c r="K10">
        <v>0</v>
      </c>
      <c r="L10">
        <v>0</v>
      </c>
      <c r="M10">
        <v>0</v>
      </c>
      <c r="N10" s="30">
        <f t="shared" ref="N10:N73" si="4">N9</f>
        <v>7.7974999999999994</v>
      </c>
      <c r="P10">
        <v>1</v>
      </c>
      <c r="Q10" t="s">
        <v>16</v>
      </c>
      <c r="R10">
        <v>13824</v>
      </c>
      <c r="S10">
        <v>32</v>
      </c>
      <c r="T10">
        <v>1</v>
      </c>
      <c r="U10">
        <v>4</v>
      </c>
      <c r="V10">
        <v>187.44</v>
      </c>
      <c r="W10" s="139">
        <v>9.3973999999999993</v>
      </c>
      <c r="X10" s="33">
        <v>45608</v>
      </c>
      <c r="Y10" s="37">
        <v>0.38954861111111111</v>
      </c>
      <c r="Z10">
        <v>0</v>
      </c>
      <c r="AA10">
        <v>0</v>
      </c>
      <c r="AB10">
        <v>0</v>
      </c>
      <c r="AC10" s="30">
        <f>AC9</f>
        <v>9.3977600000000017</v>
      </c>
    </row>
    <row r="11" spans="1:29" x14ac:dyDescent="0.25">
      <c r="A11">
        <v>2</v>
      </c>
      <c r="B11" t="s">
        <v>16</v>
      </c>
      <c r="C11">
        <v>13824</v>
      </c>
      <c r="D11">
        <v>32</v>
      </c>
      <c r="E11">
        <v>1</v>
      </c>
      <c r="F11">
        <v>4</v>
      </c>
      <c r="G11">
        <v>225.76</v>
      </c>
      <c r="H11" s="139">
        <v>7.8023999999999996</v>
      </c>
      <c r="I11" s="33">
        <v>45608</v>
      </c>
      <c r="J11" s="37">
        <v>0.43533564814814812</v>
      </c>
      <c r="K11">
        <v>0</v>
      </c>
      <c r="L11">
        <v>0</v>
      </c>
      <c r="M11">
        <v>0</v>
      </c>
      <c r="N11" s="30">
        <f t="shared" si="4"/>
        <v>7.7974999999999994</v>
      </c>
      <c r="P11">
        <v>2</v>
      </c>
      <c r="Q11" t="s">
        <v>16</v>
      </c>
      <c r="R11">
        <v>13824</v>
      </c>
      <c r="S11">
        <v>32</v>
      </c>
      <c r="T11">
        <v>1</v>
      </c>
      <c r="U11">
        <v>4</v>
      </c>
      <c r="V11">
        <v>187.17</v>
      </c>
      <c r="W11" s="139">
        <v>9.4113000000000007</v>
      </c>
      <c r="X11" s="33">
        <v>45608</v>
      </c>
      <c r="Y11" s="37">
        <v>0.45023148148148145</v>
      </c>
      <c r="Z11">
        <v>0</v>
      </c>
      <c r="AA11">
        <v>0</v>
      </c>
      <c r="AB11">
        <v>0</v>
      </c>
      <c r="AC11" s="30">
        <f t="shared" ref="AC11:AC13" si="5">AC10</f>
        <v>9.3977600000000017</v>
      </c>
    </row>
    <row r="12" spans="1:29" x14ac:dyDescent="0.25">
      <c r="A12">
        <v>3</v>
      </c>
      <c r="B12" t="s">
        <v>16</v>
      </c>
      <c r="C12">
        <v>13824</v>
      </c>
      <c r="D12">
        <v>32</v>
      </c>
      <c r="E12">
        <v>1</v>
      </c>
      <c r="F12">
        <v>4</v>
      </c>
      <c r="G12">
        <v>225.92</v>
      </c>
      <c r="H12" s="139">
        <v>7.7969999999999997</v>
      </c>
      <c r="I12" s="33">
        <v>45608</v>
      </c>
      <c r="J12" s="37">
        <v>0.49033564814814817</v>
      </c>
      <c r="K12">
        <v>0</v>
      </c>
      <c r="L12">
        <v>0</v>
      </c>
      <c r="M12">
        <v>0</v>
      </c>
      <c r="N12" s="30">
        <f t="shared" si="4"/>
        <v>7.7974999999999994</v>
      </c>
      <c r="P12">
        <v>3</v>
      </c>
      <c r="Q12" t="s">
        <v>16</v>
      </c>
      <c r="R12">
        <v>13824</v>
      </c>
      <c r="S12">
        <v>32</v>
      </c>
      <c r="T12">
        <v>1</v>
      </c>
      <c r="U12">
        <v>4</v>
      </c>
      <c r="V12">
        <v>187.4</v>
      </c>
      <c r="W12" s="139">
        <v>9.3996999999999993</v>
      </c>
      <c r="X12" s="33">
        <v>45608</v>
      </c>
      <c r="Y12" s="37">
        <v>0.51089120370370367</v>
      </c>
      <c r="Z12">
        <v>0</v>
      </c>
      <c r="AA12">
        <v>0</v>
      </c>
      <c r="AB12">
        <v>0</v>
      </c>
      <c r="AC12" s="30">
        <f t="shared" si="5"/>
        <v>9.3977600000000017</v>
      </c>
    </row>
    <row r="13" spans="1:29" x14ac:dyDescent="0.25">
      <c r="A13">
        <v>4</v>
      </c>
      <c r="B13" t="s">
        <v>16</v>
      </c>
      <c r="C13">
        <v>13824</v>
      </c>
      <c r="D13">
        <v>32</v>
      </c>
      <c r="E13">
        <v>1</v>
      </c>
      <c r="F13">
        <v>4</v>
      </c>
      <c r="G13">
        <v>225.89</v>
      </c>
      <c r="H13" s="139">
        <v>7.7981999999999996</v>
      </c>
      <c r="I13" s="33">
        <v>45608</v>
      </c>
      <c r="J13" s="37">
        <v>0.59342592592592591</v>
      </c>
      <c r="K13">
        <v>0</v>
      </c>
      <c r="L13">
        <v>0</v>
      </c>
      <c r="M13">
        <v>0</v>
      </c>
      <c r="N13" s="30">
        <f t="shared" si="4"/>
        <v>7.7974999999999994</v>
      </c>
      <c r="P13">
        <v>4</v>
      </c>
      <c r="Q13" t="s">
        <v>16</v>
      </c>
      <c r="R13">
        <v>13824</v>
      </c>
      <c r="S13">
        <v>32</v>
      </c>
      <c r="T13">
        <v>1</v>
      </c>
      <c r="U13">
        <v>4</v>
      </c>
      <c r="V13">
        <v>187.55</v>
      </c>
      <c r="W13" s="139">
        <v>9.3924000000000003</v>
      </c>
      <c r="X13" s="33">
        <v>45608</v>
      </c>
      <c r="Y13" s="37">
        <v>0.62113425925925925</v>
      </c>
      <c r="Z13">
        <v>0</v>
      </c>
      <c r="AA13">
        <v>0</v>
      </c>
      <c r="AB13">
        <v>0</v>
      </c>
      <c r="AC13" s="30">
        <f t="shared" si="5"/>
        <v>9.3977600000000017</v>
      </c>
    </row>
    <row r="14" spans="1:29" x14ac:dyDescent="0.25">
      <c r="A14">
        <v>0</v>
      </c>
      <c r="B14" t="s">
        <v>16</v>
      </c>
      <c r="C14">
        <v>14592</v>
      </c>
      <c r="D14">
        <v>32</v>
      </c>
      <c r="E14">
        <v>1</v>
      </c>
      <c r="F14">
        <v>4</v>
      </c>
      <c r="G14">
        <v>236.49</v>
      </c>
      <c r="H14" s="139">
        <v>8.7601999999999993</v>
      </c>
      <c r="I14" s="33">
        <v>45608</v>
      </c>
      <c r="J14" s="37">
        <v>0.34410879629629632</v>
      </c>
      <c r="K14">
        <v>0</v>
      </c>
      <c r="L14">
        <v>0</v>
      </c>
      <c r="M14">
        <v>0</v>
      </c>
      <c r="N14" s="30">
        <f t="shared" ref="N14" si="6">AVERAGE(H14:H18)</f>
        <v>8.7642400000000009</v>
      </c>
      <c r="P14">
        <v>0</v>
      </c>
      <c r="Q14" t="s">
        <v>16</v>
      </c>
      <c r="R14">
        <v>14592</v>
      </c>
      <c r="S14">
        <v>32</v>
      </c>
      <c r="T14">
        <v>1</v>
      </c>
      <c r="U14">
        <v>4</v>
      </c>
      <c r="V14">
        <v>203.32</v>
      </c>
      <c r="W14" s="139">
        <v>10.189</v>
      </c>
      <c r="X14" s="33">
        <v>45608</v>
      </c>
      <c r="Y14" s="37">
        <v>0.34938657407407409</v>
      </c>
      <c r="Z14">
        <v>0</v>
      </c>
      <c r="AA14">
        <v>0</v>
      </c>
      <c r="AB14">
        <v>0</v>
      </c>
      <c r="AC14" s="30">
        <f t="shared" ref="AC14" si="7">AVERAGE(W14:W18)</f>
        <v>10.138400000000001</v>
      </c>
    </row>
    <row r="15" spans="1:29" x14ac:dyDescent="0.25">
      <c r="A15">
        <v>1</v>
      </c>
      <c r="B15" t="s">
        <v>16</v>
      </c>
      <c r="C15">
        <v>14592</v>
      </c>
      <c r="D15">
        <v>32</v>
      </c>
      <c r="E15">
        <v>1</v>
      </c>
      <c r="F15">
        <v>4</v>
      </c>
      <c r="G15">
        <v>236.68</v>
      </c>
      <c r="H15" s="139">
        <v>8.7530999999999999</v>
      </c>
      <c r="I15" s="33">
        <v>45608</v>
      </c>
      <c r="J15" s="37">
        <v>0.39917824074074076</v>
      </c>
      <c r="K15">
        <v>0</v>
      </c>
      <c r="L15">
        <v>0</v>
      </c>
      <c r="M15">
        <v>0</v>
      </c>
      <c r="N15" s="30">
        <f t="shared" ref="N15" si="8">N14</f>
        <v>8.7642400000000009</v>
      </c>
      <c r="P15">
        <v>1</v>
      </c>
      <c r="Q15" t="s">
        <v>16</v>
      </c>
      <c r="R15">
        <v>14592</v>
      </c>
      <c r="S15">
        <v>32</v>
      </c>
      <c r="T15">
        <v>1</v>
      </c>
      <c r="U15">
        <v>4</v>
      </c>
      <c r="V15">
        <v>204.09</v>
      </c>
      <c r="W15" s="139">
        <v>10.151</v>
      </c>
      <c r="X15" s="33">
        <v>45608</v>
      </c>
      <c r="Y15" s="37">
        <v>0.41008101851851853</v>
      </c>
      <c r="Z15">
        <v>0</v>
      </c>
      <c r="AA15">
        <v>0</v>
      </c>
      <c r="AB15">
        <v>0</v>
      </c>
      <c r="AC15" s="30">
        <f t="shared" ref="AC15:AC78" si="9">AC14</f>
        <v>10.138400000000001</v>
      </c>
    </row>
    <row r="16" spans="1:29" x14ac:dyDescent="0.25">
      <c r="A16">
        <v>2</v>
      </c>
      <c r="B16" t="s">
        <v>16</v>
      </c>
      <c r="C16">
        <v>14592</v>
      </c>
      <c r="D16">
        <v>32</v>
      </c>
      <c r="E16">
        <v>1</v>
      </c>
      <c r="F16">
        <v>4</v>
      </c>
      <c r="G16">
        <v>236.26</v>
      </c>
      <c r="H16" s="139">
        <v>8.7685999999999993</v>
      </c>
      <c r="I16" s="33">
        <v>45608</v>
      </c>
      <c r="J16" s="37">
        <v>0.45415509259259257</v>
      </c>
      <c r="K16">
        <v>0</v>
      </c>
      <c r="L16">
        <v>0</v>
      </c>
      <c r="M16">
        <v>0</v>
      </c>
      <c r="N16" s="30">
        <f t="shared" si="4"/>
        <v>8.7642400000000009</v>
      </c>
      <c r="P16">
        <v>2</v>
      </c>
      <c r="Q16" t="s">
        <v>16</v>
      </c>
      <c r="R16">
        <v>14592</v>
      </c>
      <c r="S16">
        <v>32</v>
      </c>
      <c r="T16">
        <v>1</v>
      </c>
      <c r="U16">
        <v>4</v>
      </c>
      <c r="V16">
        <v>203.71</v>
      </c>
      <c r="W16" s="139">
        <v>10.17</v>
      </c>
      <c r="X16" s="33">
        <v>45608</v>
      </c>
      <c r="Y16" s="37">
        <v>0.47075231481481483</v>
      </c>
      <c r="Z16">
        <v>0</v>
      </c>
      <c r="AA16">
        <v>0</v>
      </c>
      <c r="AB16">
        <v>0</v>
      </c>
      <c r="AC16" s="30">
        <f t="shared" si="9"/>
        <v>10.138400000000001</v>
      </c>
    </row>
    <row r="17" spans="1:29" x14ac:dyDescent="0.25">
      <c r="A17">
        <v>3</v>
      </c>
      <c r="B17" t="s">
        <v>16</v>
      </c>
      <c r="C17">
        <v>14592</v>
      </c>
      <c r="D17">
        <v>32</v>
      </c>
      <c r="E17">
        <v>1</v>
      </c>
      <c r="F17">
        <v>4</v>
      </c>
      <c r="G17">
        <v>236.24</v>
      </c>
      <c r="H17" s="139">
        <v>8.7692999999999994</v>
      </c>
      <c r="I17" s="33">
        <v>45608</v>
      </c>
      <c r="J17" s="37">
        <v>0.50915509259259262</v>
      </c>
      <c r="K17">
        <v>0</v>
      </c>
      <c r="L17">
        <v>0</v>
      </c>
      <c r="M17">
        <v>0</v>
      </c>
      <c r="N17" s="30">
        <f t="shared" si="4"/>
        <v>8.7642400000000009</v>
      </c>
      <c r="P17">
        <v>3</v>
      </c>
      <c r="Q17" t="s">
        <v>16</v>
      </c>
      <c r="R17">
        <v>14592</v>
      </c>
      <c r="S17">
        <v>32</v>
      </c>
      <c r="T17">
        <v>1</v>
      </c>
      <c r="U17">
        <v>4</v>
      </c>
      <c r="V17">
        <v>206.07</v>
      </c>
      <c r="W17" s="139">
        <v>10.053000000000001</v>
      </c>
      <c r="X17" s="33">
        <v>45608</v>
      </c>
      <c r="Y17" s="37">
        <v>0.58097222222222222</v>
      </c>
      <c r="Z17">
        <v>0</v>
      </c>
      <c r="AA17">
        <v>0</v>
      </c>
      <c r="AB17">
        <v>0</v>
      </c>
      <c r="AC17" s="30">
        <f t="shared" si="9"/>
        <v>10.138400000000001</v>
      </c>
    </row>
    <row r="18" spans="1:29" x14ac:dyDescent="0.25">
      <c r="A18">
        <v>4</v>
      </c>
      <c r="B18" t="s">
        <v>16</v>
      </c>
      <c r="C18">
        <v>14592</v>
      </c>
      <c r="D18">
        <v>32</v>
      </c>
      <c r="E18">
        <v>1</v>
      </c>
      <c r="F18">
        <v>4</v>
      </c>
      <c r="G18">
        <v>236.22</v>
      </c>
      <c r="H18" s="139">
        <v>8.77</v>
      </c>
      <c r="I18" s="33">
        <v>45608</v>
      </c>
      <c r="J18" s="37">
        <v>0.61225694444444445</v>
      </c>
      <c r="K18">
        <v>0</v>
      </c>
      <c r="L18">
        <v>0</v>
      </c>
      <c r="M18">
        <v>0</v>
      </c>
      <c r="N18" s="30">
        <f t="shared" si="4"/>
        <v>8.7642400000000009</v>
      </c>
      <c r="P18">
        <v>4</v>
      </c>
      <c r="Q18" t="s">
        <v>16</v>
      </c>
      <c r="R18">
        <v>14592</v>
      </c>
      <c r="S18">
        <v>32</v>
      </c>
      <c r="T18">
        <v>1</v>
      </c>
      <c r="U18">
        <v>4</v>
      </c>
      <c r="V18">
        <v>204.52</v>
      </c>
      <c r="W18" s="139">
        <v>10.129</v>
      </c>
      <c r="X18" s="33">
        <v>45608</v>
      </c>
      <c r="Y18" s="37">
        <v>0.64166666666666672</v>
      </c>
      <c r="Z18">
        <v>0</v>
      </c>
      <c r="AA18">
        <v>0</v>
      </c>
      <c r="AB18">
        <v>0</v>
      </c>
      <c r="AC18" s="30">
        <f t="shared" si="9"/>
        <v>10.138400000000001</v>
      </c>
    </row>
    <row r="19" spans="1:29" x14ac:dyDescent="0.25">
      <c r="A19">
        <v>0</v>
      </c>
      <c r="B19" t="s">
        <v>16</v>
      </c>
      <c r="C19">
        <v>13056</v>
      </c>
      <c r="D19">
        <v>32</v>
      </c>
      <c r="E19">
        <v>2</v>
      </c>
      <c r="F19">
        <v>2</v>
      </c>
      <c r="G19">
        <v>171.27</v>
      </c>
      <c r="H19" s="139">
        <v>8.6641999999999992</v>
      </c>
      <c r="I19" s="33">
        <v>45608</v>
      </c>
      <c r="J19" s="37">
        <v>0.31144675925925924</v>
      </c>
      <c r="K19">
        <v>0</v>
      </c>
      <c r="L19">
        <v>0</v>
      </c>
      <c r="M19">
        <v>0</v>
      </c>
      <c r="N19" s="30">
        <f t="shared" ref="N19" si="10">AVERAGE(H19:H23)</f>
        <v>8.657919999999999</v>
      </c>
      <c r="P19">
        <v>0</v>
      </c>
      <c r="Q19" t="s">
        <v>16</v>
      </c>
      <c r="R19">
        <v>13056</v>
      </c>
      <c r="S19">
        <v>32</v>
      </c>
      <c r="T19">
        <v>2</v>
      </c>
      <c r="U19">
        <v>2</v>
      </c>
      <c r="V19">
        <v>145.68</v>
      </c>
      <c r="W19" s="139">
        <v>10.186</v>
      </c>
      <c r="X19" s="33">
        <v>45608</v>
      </c>
      <c r="Y19" s="37">
        <v>0.31339120370370371</v>
      </c>
      <c r="Z19">
        <v>0</v>
      </c>
      <c r="AA19">
        <v>0</v>
      </c>
      <c r="AB19">
        <v>0</v>
      </c>
      <c r="AC19" s="30">
        <f t="shared" ref="AC19" si="11">AVERAGE(W19:W23)</f>
        <v>10.178000000000001</v>
      </c>
    </row>
    <row r="20" spans="1:29" x14ac:dyDescent="0.25">
      <c r="A20">
        <v>1</v>
      </c>
      <c r="B20" t="s">
        <v>16</v>
      </c>
      <c r="C20">
        <v>13056</v>
      </c>
      <c r="D20">
        <v>32</v>
      </c>
      <c r="E20">
        <v>2</v>
      </c>
      <c r="F20">
        <v>2</v>
      </c>
      <c r="G20">
        <v>171.71</v>
      </c>
      <c r="H20" s="139">
        <v>8.6422000000000008</v>
      </c>
      <c r="I20" s="33">
        <v>45608</v>
      </c>
      <c r="J20" s="37">
        <v>0.36649305555555556</v>
      </c>
      <c r="K20">
        <v>0</v>
      </c>
      <c r="L20">
        <v>0</v>
      </c>
      <c r="M20">
        <v>0</v>
      </c>
      <c r="N20" s="30">
        <f t="shared" ref="N20" si="12">N19</f>
        <v>8.657919999999999</v>
      </c>
      <c r="P20">
        <v>1</v>
      </c>
      <c r="Q20" t="s">
        <v>16</v>
      </c>
      <c r="R20">
        <v>13056</v>
      </c>
      <c r="S20">
        <v>32</v>
      </c>
      <c r="T20">
        <v>2</v>
      </c>
      <c r="U20">
        <v>2</v>
      </c>
      <c r="V20">
        <v>146.96</v>
      </c>
      <c r="W20" s="139">
        <v>10.097</v>
      </c>
      <c r="X20" s="33">
        <v>45608</v>
      </c>
      <c r="Y20" s="37">
        <v>0.37406250000000002</v>
      </c>
      <c r="Z20">
        <v>0</v>
      </c>
      <c r="AA20">
        <v>0</v>
      </c>
      <c r="AB20">
        <v>0</v>
      </c>
      <c r="AC20" s="30">
        <f t="shared" ref="AC20:AC83" si="13">AC19</f>
        <v>10.178000000000001</v>
      </c>
    </row>
    <row r="21" spans="1:29" x14ac:dyDescent="0.25">
      <c r="A21">
        <v>2</v>
      </c>
      <c r="B21" t="s">
        <v>16</v>
      </c>
      <c r="C21">
        <v>13056</v>
      </c>
      <c r="D21">
        <v>32</v>
      </c>
      <c r="E21">
        <v>2</v>
      </c>
      <c r="F21">
        <v>2</v>
      </c>
      <c r="G21">
        <v>171.45</v>
      </c>
      <c r="H21" s="139">
        <v>8.6549999999999994</v>
      </c>
      <c r="I21" s="33">
        <v>45608</v>
      </c>
      <c r="J21" s="37">
        <v>0.42149305555555555</v>
      </c>
      <c r="K21">
        <v>0</v>
      </c>
      <c r="L21">
        <v>0</v>
      </c>
      <c r="M21">
        <v>0</v>
      </c>
      <c r="N21" s="30">
        <f t="shared" si="4"/>
        <v>8.657919999999999</v>
      </c>
      <c r="P21">
        <v>2</v>
      </c>
      <c r="Q21" t="s">
        <v>16</v>
      </c>
      <c r="R21">
        <v>13056</v>
      </c>
      <c r="S21">
        <v>32</v>
      </c>
      <c r="T21">
        <v>2</v>
      </c>
      <c r="U21">
        <v>2</v>
      </c>
      <c r="V21">
        <v>145.66</v>
      </c>
      <c r="W21" s="139">
        <v>10.188000000000001</v>
      </c>
      <c r="X21" s="33">
        <v>45608</v>
      </c>
      <c r="Y21" s="37">
        <v>0.43474537037037037</v>
      </c>
      <c r="Z21">
        <v>0</v>
      </c>
      <c r="AA21">
        <v>0</v>
      </c>
      <c r="AB21">
        <v>0</v>
      </c>
      <c r="AC21" s="30">
        <f t="shared" si="13"/>
        <v>10.178000000000001</v>
      </c>
    </row>
    <row r="22" spans="1:29" x14ac:dyDescent="0.25">
      <c r="A22">
        <v>3</v>
      </c>
      <c r="B22" t="s">
        <v>16</v>
      </c>
      <c r="C22">
        <v>13056</v>
      </c>
      <c r="D22">
        <v>32</v>
      </c>
      <c r="E22">
        <v>2</v>
      </c>
      <c r="F22">
        <v>2</v>
      </c>
      <c r="G22">
        <v>171.54</v>
      </c>
      <c r="H22" s="139">
        <v>8.6506000000000007</v>
      </c>
      <c r="I22" s="33">
        <v>45608</v>
      </c>
      <c r="J22" s="37">
        <v>0.47649305555555554</v>
      </c>
      <c r="K22">
        <v>0</v>
      </c>
      <c r="L22">
        <v>0</v>
      </c>
      <c r="M22">
        <v>0</v>
      </c>
      <c r="N22" s="30">
        <f t="shared" si="4"/>
        <v>8.657919999999999</v>
      </c>
      <c r="P22">
        <v>3</v>
      </c>
      <c r="Q22" t="s">
        <v>16</v>
      </c>
      <c r="R22">
        <v>13056</v>
      </c>
      <c r="S22">
        <v>32</v>
      </c>
      <c r="T22">
        <v>2</v>
      </c>
      <c r="U22">
        <v>2</v>
      </c>
      <c r="V22">
        <v>145.25</v>
      </c>
      <c r="W22" s="139">
        <v>10.215999999999999</v>
      </c>
      <c r="X22" s="33">
        <v>45608</v>
      </c>
      <c r="Y22" s="37">
        <v>0.49540509259259258</v>
      </c>
      <c r="Z22">
        <v>0</v>
      </c>
      <c r="AA22">
        <v>0</v>
      </c>
      <c r="AB22">
        <v>0</v>
      </c>
      <c r="AC22" s="30">
        <f t="shared" si="13"/>
        <v>10.178000000000001</v>
      </c>
    </row>
    <row r="23" spans="1:29" x14ac:dyDescent="0.25">
      <c r="A23">
        <v>4</v>
      </c>
      <c r="B23" t="s">
        <v>16</v>
      </c>
      <c r="C23">
        <v>13056</v>
      </c>
      <c r="D23">
        <v>32</v>
      </c>
      <c r="E23">
        <v>2</v>
      </c>
      <c r="F23">
        <v>2</v>
      </c>
      <c r="G23">
        <v>171.01</v>
      </c>
      <c r="H23" s="139">
        <v>8.6776</v>
      </c>
      <c r="I23" s="33">
        <v>45608</v>
      </c>
      <c r="J23" s="37">
        <v>0.57959490740740738</v>
      </c>
      <c r="K23">
        <v>0</v>
      </c>
      <c r="L23">
        <v>0</v>
      </c>
      <c r="M23">
        <v>0</v>
      </c>
      <c r="N23" s="30">
        <f t="shared" si="4"/>
        <v>8.657919999999999</v>
      </c>
      <c r="P23">
        <v>4</v>
      </c>
      <c r="Q23" t="s">
        <v>16</v>
      </c>
      <c r="R23">
        <v>13056</v>
      </c>
      <c r="S23">
        <v>32</v>
      </c>
      <c r="T23">
        <v>2</v>
      </c>
      <c r="U23">
        <v>2</v>
      </c>
      <c r="V23">
        <v>145.44</v>
      </c>
      <c r="W23" s="139">
        <v>10.202999999999999</v>
      </c>
      <c r="X23" s="33">
        <v>45608</v>
      </c>
      <c r="Y23" s="37">
        <v>0.60563657407407412</v>
      </c>
      <c r="Z23">
        <v>0</v>
      </c>
      <c r="AA23">
        <v>0</v>
      </c>
      <c r="AB23">
        <v>0</v>
      </c>
      <c r="AC23" s="30">
        <f t="shared" si="13"/>
        <v>10.178000000000001</v>
      </c>
    </row>
    <row r="24" spans="1:29" x14ac:dyDescent="0.25">
      <c r="A24">
        <v>0</v>
      </c>
      <c r="B24" t="s">
        <v>16</v>
      </c>
      <c r="C24">
        <v>13824</v>
      </c>
      <c r="D24">
        <v>32</v>
      </c>
      <c r="E24">
        <v>2</v>
      </c>
      <c r="F24">
        <v>2</v>
      </c>
      <c r="G24">
        <v>204.03</v>
      </c>
      <c r="H24" s="139">
        <v>8.6333000000000002</v>
      </c>
      <c r="I24" s="33">
        <v>45608</v>
      </c>
      <c r="J24" s="37">
        <v>0.32781250000000001</v>
      </c>
      <c r="K24">
        <v>0</v>
      </c>
      <c r="L24">
        <v>0</v>
      </c>
      <c r="M24">
        <v>0</v>
      </c>
      <c r="N24" s="30">
        <f t="shared" ref="N24" si="14">AVERAGE(H24:H28)</f>
        <v>8.6272199999999994</v>
      </c>
      <c r="P24">
        <v>0</v>
      </c>
      <c r="Q24" t="s">
        <v>16</v>
      </c>
      <c r="R24">
        <v>13824</v>
      </c>
      <c r="S24">
        <v>32</v>
      </c>
      <c r="T24">
        <v>2</v>
      </c>
      <c r="U24">
        <v>2</v>
      </c>
      <c r="V24">
        <v>172.61</v>
      </c>
      <c r="W24" s="139">
        <v>10.205</v>
      </c>
      <c r="X24" s="33">
        <v>45608</v>
      </c>
      <c r="Y24" s="37">
        <v>0.33150462962962962</v>
      </c>
      <c r="Z24">
        <v>0</v>
      </c>
      <c r="AA24">
        <v>0</v>
      </c>
      <c r="AB24">
        <v>0</v>
      </c>
      <c r="AC24" s="30">
        <f t="shared" ref="AC24" si="15">AVERAGE(W24:W28)</f>
        <v>10.1792</v>
      </c>
    </row>
    <row r="25" spans="1:29" x14ac:dyDescent="0.25">
      <c r="A25">
        <v>1</v>
      </c>
      <c r="B25" t="s">
        <v>16</v>
      </c>
      <c r="C25">
        <v>13824</v>
      </c>
      <c r="D25">
        <v>32</v>
      </c>
      <c r="E25">
        <v>2</v>
      </c>
      <c r="F25">
        <v>2</v>
      </c>
      <c r="G25">
        <v>204.13</v>
      </c>
      <c r="H25" s="139">
        <v>8.6294000000000004</v>
      </c>
      <c r="I25" s="33">
        <v>45608</v>
      </c>
      <c r="J25" s="37">
        <v>0.38285879629629632</v>
      </c>
      <c r="K25">
        <v>0</v>
      </c>
      <c r="L25">
        <v>0</v>
      </c>
      <c r="M25">
        <v>0</v>
      </c>
      <c r="N25" s="30">
        <f t="shared" ref="N25" si="16">N24</f>
        <v>8.6272199999999994</v>
      </c>
      <c r="P25">
        <v>1</v>
      </c>
      <c r="Q25" t="s">
        <v>16</v>
      </c>
      <c r="R25">
        <v>13824</v>
      </c>
      <c r="S25">
        <v>32</v>
      </c>
      <c r="T25">
        <v>2</v>
      </c>
      <c r="U25">
        <v>2</v>
      </c>
      <c r="V25">
        <v>173.15</v>
      </c>
      <c r="W25" s="139">
        <v>10.173</v>
      </c>
      <c r="X25" s="33">
        <v>45608</v>
      </c>
      <c r="Y25" s="37">
        <v>0.39217592592592593</v>
      </c>
      <c r="Z25">
        <v>0</v>
      </c>
      <c r="AA25">
        <v>0</v>
      </c>
      <c r="AB25">
        <v>0</v>
      </c>
      <c r="AC25" s="30">
        <f t="shared" ref="AC25" si="17">AC24</f>
        <v>10.1792</v>
      </c>
    </row>
    <row r="26" spans="1:29" x14ac:dyDescent="0.25">
      <c r="A26">
        <v>2</v>
      </c>
      <c r="B26" t="s">
        <v>16</v>
      </c>
      <c r="C26">
        <v>13824</v>
      </c>
      <c r="D26">
        <v>32</v>
      </c>
      <c r="E26">
        <v>2</v>
      </c>
      <c r="F26">
        <v>2</v>
      </c>
      <c r="G26">
        <v>204.32</v>
      </c>
      <c r="H26" s="139">
        <v>8.6212999999999997</v>
      </c>
      <c r="I26" s="33">
        <v>45608</v>
      </c>
      <c r="J26" s="37">
        <v>0.43785879629629632</v>
      </c>
      <c r="K26">
        <v>0</v>
      </c>
      <c r="L26">
        <v>0</v>
      </c>
      <c r="M26">
        <v>0</v>
      </c>
      <c r="N26" s="30">
        <f t="shared" si="4"/>
        <v>8.6272199999999994</v>
      </c>
      <c r="P26">
        <v>2</v>
      </c>
      <c r="Q26" t="s">
        <v>16</v>
      </c>
      <c r="R26">
        <v>13824</v>
      </c>
      <c r="S26">
        <v>32</v>
      </c>
      <c r="T26">
        <v>2</v>
      </c>
      <c r="U26">
        <v>2</v>
      </c>
      <c r="V26">
        <v>173.03</v>
      </c>
      <c r="W26" s="139">
        <v>10.18</v>
      </c>
      <c r="X26" s="33">
        <v>45608</v>
      </c>
      <c r="Y26" s="37">
        <v>0.45285879629629627</v>
      </c>
      <c r="Z26">
        <v>0</v>
      </c>
      <c r="AA26">
        <v>0</v>
      </c>
      <c r="AB26">
        <v>0</v>
      </c>
      <c r="AC26" s="30">
        <f t="shared" si="9"/>
        <v>10.1792</v>
      </c>
    </row>
    <row r="27" spans="1:29" x14ac:dyDescent="0.25">
      <c r="A27">
        <v>3</v>
      </c>
      <c r="B27" t="s">
        <v>16</v>
      </c>
      <c r="C27">
        <v>13824</v>
      </c>
      <c r="D27">
        <v>32</v>
      </c>
      <c r="E27">
        <v>2</v>
      </c>
      <c r="F27">
        <v>2</v>
      </c>
      <c r="G27">
        <v>204.21</v>
      </c>
      <c r="H27" s="139">
        <v>8.6257999999999999</v>
      </c>
      <c r="I27" s="33">
        <v>45608</v>
      </c>
      <c r="J27" s="37">
        <v>0.49285879629629631</v>
      </c>
      <c r="K27">
        <v>0</v>
      </c>
      <c r="L27">
        <v>0</v>
      </c>
      <c r="M27">
        <v>0</v>
      </c>
      <c r="N27" s="30">
        <f t="shared" si="4"/>
        <v>8.6272199999999994</v>
      </c>
      <c r="P27">
        <v>3</v>
      </c>
      <c r="Q27" t="s">
        <v>16</v>
      </c>
      <c r="R27">
        <v>13824</v>
      </c>
      <c r="S27">
        <v>32</v>
      </c>
      <c r="T27">
        <v>2</v>
      </c>
      <c r="U27">
        <v>2</v>
      </c>
      <c r="V27">
        <v>173.17</v>
      </c>
      <c r="W27" s="139">
        <v>10.172000000000001</v>
      </c>
      <c r="X27" s="33">
        <v>45608</v>
      </c>
      <c r="Y27" s="37">
        <v>0.51353009259259264</v>
      </c>
      <c r="Z27">
        <v>0</v>
      </c>
      <c r="AA27">
        <v>0</v>
      </c>
      <c r="AB27">
        <v>0</v>
      </c>
      <c r="AC27" s="30">
        <f t="shared" si="9"/>
        <v>10.1792</v>
      </c>
    </row>
    <row r="28" spans="1:29" x14ac:dyDescent="0.25">
      <c r="A28">
        <v>4</v>
      </c>
      <c r="B28" t="s">
        <v>16</v>
      </c>
      <c r="C28">
        <v>13824</v>
      </c>
      <c r="D28">
        <v>32</v>
      </c>
      <c r="E28">
        <v>2</v>
      </c>
      <c r="F28">
        <v>2</v>
      </c>
      <c r="G28">
        <v>204.2</v>
      </c>
      <c r="H28" s="139">
        <v>8.6263000000000005</v>
      </c>
      <c r="I28" s="33">
        <v>45608</v>
      </c>
      <c r="J28" s="37">
        <v>0.5959606481481482</v>
      </c>
      <c r="K28">
        <v>0</v>
      </c>
      <c r="L28">
        <v>0</v>
      </c>
      <c r="M28">
        <v>0</v>
      </c>
      <c r="N28" s="30">
        <f t="shared" si="4"/>
        <v>8.6272199999999994</v>
      </c>
      <c r="P28">
        <v>4</v>
      </c>
      <c r="Q28" t="s">
        <v>16</v>
      </c>
      <c r="R28">
        <v>13824</v>
      </c>
      <c r="S28">
        <v>32</v>
      </c>
      <c r="T28">
        <v>2</v>
      </c>
      <c r="U28">
        <v>2</v>
      </c>
      <c r="V28">
        <v>173.27</v>
      </c>
      <c r="W28" s="139">
        <v>10.166</v>
      </c>
      <c r="X28" s="33">
        <v>45608</v>
      </c>
      <c r="Y28" s="37">
        <v>0.62376157407407407</v>
      </c>
      <c r="Z28">
        <v>0</v>
      </c>
      <c r="AA28">
        <v>0</v>
      </c>
      <c r="AB28">
        <v>0</v>
      </c>
      <c r="AC28" s="30">
        <f t="shared" si="9"/>
        <v>10.1792</v>
      </c>
    </row>
    <row r="29" spans="1:29" x14ac:dyDescent="0.25">
      <c r="A29">
        <v>0</v>
      </c>
      <c r="B29" t="s">
        <v>16</v>
      </c>
      <c r="C29">
        <v>14592</v>
      </c>
      <c r="D29">
        <v>32</v>
      </c>
      <c r="E29">
        <v>2</v>
      </c>
      <c r="F29">
        <v>2</v>
      </c>
      <c r="G29">
        <v>236.77</v>
      </c>
      <c r="H29" s="139">
        <v>8.7494999999999994</v>
      </c>
      <c r="I29" s="33">
        <v>45608</v>
      </c>
      <c r="J29" s="37">
        <v>0.34702546296296294</v>
      </c>
      <c r="K29">
        <v>0</v>
      </c>
      <c r="L29">
        <v>0</v>
      </c>
      <c r="M29">
        <v>0</v>
      </c>
      <c r="N29" s="30">
        <f t="shared" ref="N29" si="18">AVERAGE(H29:H33)</f>
        <v>8.7490999999999985</v>
      </c>
      <c r="P29">
        <v>0</v>
      </c>
      <c r="Q29" t="s">
        <v>16</v>
      </c>
      <c r="R29">
        <v>14592</v>
      </c>
      <c r="S29">
        <v>32</v>
      </c>
      <c r="T29">
        <v>2</v>
      </c>
      <c r="U29">
        <v>2</v>
      </c>
      <c r="V29">
        <v>200.97</v>
      </c>
      <c r="W29" s="139">
        <v>10.308999999999999</v>
      </c>
      <c r="X29" s="33">
        <v>45608</v>
      </c>
      <c r="Y29" s="37">
        <v>0.35240740740740739</v>
      </c>
      <c r="Z29">
        <v>0</v>
      </c>
      <c r="AA29">
        <v>0</v>
      </c>
      <c r="AB29">
        <v>0</v>
      </c>
      <c r="AC29" s="30">
        <f t="shared" ref="AC29" si="19">AVERAGE(W29:W33)</f>
        <v>10.296199999999999</v>
      </c>
    </row>
    <row r="30" spans="1:29" x14ac:dyDescent="0.25">
      <c r="A30">
        <v>1</v>
      </c>
      <c r="B30" t="s">
        <v>16</v>
      </c>
      <c r="C30">
        <v>14592</v>
      </c>
      <c r="D30">
        <v>32</v>
      </c>
      <c r="E30">
        <v>2</v>
      </c>
      <c r="F30">
        <v>2</v>
      </c>
      <c r="G30">
        <v>236.72</v>
      </c>
      <c r="H30" s="139">
        <v>8.7515000000000001</v>
      </c>
      <c r="I30" s="33">
        <v>45608</v>
      </c>
      <c r="J30" s="37">
        <v>0.40209490740740739</v>
      </c>
      <c r="K30">
        <v>0</v>
      </c>
      <c r="L30">
        <v>0</v>
      </c>
      <c r="M30">
        <v>0</v>
      </c>
      <c r="N30" s="30">
        <f t="shared" ref="N30" si="20">N29</f>
        <v>8.7490999999999985</v>
      </c>
      <c r="P30">
        <v>1</v>
      </c>
      <c r="Q30" t="s">
        <v>16</v>
      </c>
      <c r="R30">
        <v>14592</v>
      </c>
      <c r="S30">
        <v>32</v>
      </c>
      <c r="T30">
        <v>2</v>
      </c>
      <c r="U30">
        <v>2</v>
      </c>
      <c r="V30">
        <v>201.21</v>
      </c>
      <c r="W30" s="139">
        <v>10.295999999999999</v>
      </c>
      <c r="X30" s="33">
        <v>45608</v>
      </c>
      <c r="Y30" s="37">
        <v>0.41311342592592593</v>
      </c>
      <c r="Z30">
        <v>0</v>
      </c>
      <c r="AA30">
        <v>0</v>
      </c>
      <c r="AB30">
        <v>0</v>
      </c>
      <c r="AC30" s="30">
        <f t="shared" ref="AC30" si="21">AC29</f>
        <v>10.296199999999999</v>
      </c>
    </row>
    <row r="31" spans="1:29" x14ac:dyDescent="0.25">
      <c r="A31">
        <v>2</v>
      </c>
      <c r="B31" t="s">
        <v>16</v>
      </c>
      <c r="C31">
        <v>14592</v>
      </c>
      <c r="D31">
        <v>32</v>
      </c>
      <c r="E31">
        <v>2</v>
      </c>
      <c r="F31">
        <v>2</v>
      </c>
      <c r="G31">
        <v>236.92</v>
      </c>
      <c r="H31" s="139">
        <v>8.7440999999999995</v>
      </c>
      <c r="I31" s="33">
        <v>45608</v>
      </c>
      <c r="J31" s="37">
        <v>0.45708333333333334</v>
      </c>
      <c r="K31">
        <v>0</v>
      </c>
      <c r="L31">
        <v>0</v>
      </c>
      <c r="M31">
        <v>0</v>
      </c>
      <c r="N31" s="30">
        <f t="shared" si="4"/>
        <v>8.7490999999999985</v>
      </c>
      <c r="P31">
        <v>2</v>
      </c>
      <c r="Q31" t="s">
        <v>16</v>
      </c>
      <c r="R31">
        <v>14592</v>
      </c>
      <c r="S31">
        <v>32</v>
      </c>
      <c r="T31">
        <v>2</v>
      </c>
      <c r="U31">
        <v>2</v>
      </c>
      <c r="V31">
        <v>200.83</v>
      </c>
      <c r="W31" s="139">
        <v>10.315</v>
      </c>
      <c r="X31" s="33">
        <v>45608</v>
      </c>
      <c r="Y31" s="37">
        <v>0.47377314814814814</v>
      </c>
      <c r="Z31">
        <v>0</v>
      </c>
      <c r="AA31">
        <v>0</v>
      </c>
      <c r="AB31">
        <v>0</v>
      </c>
      <c r="AC31" s="30">
        <f t="shared" si="13"/>
        <v>10.296199999999999</v>
      </c>
    </row>
    <row r="32" spans="1:29" x14ac:dyDescent="0.25">
      <c r="A32">
        <v>3</v>
      </c>
      <c r="B32" t="s">
        <v>16</v>
      </c>
      <c r="C32">
        <v>14592</v>
      </c>
      <c r="D32">
        <v>32</v>
      </c>
      <c r="E32">
        <v>2</v>
      </c>
      <c r="F32">
        <v>2</v>
      </c>
      <c r="G32">
        <v>236.82</v>
      </c>
      <c r="H32" s="139">
        <v>8.7477</v>
      </c>
      <c r="I32" s="33">
        <v>45608</v>
      </c>
      <c r="J32" s="37">
        <v>0.5120717592592593</v>
      </c>
      <c r="K32">
        <v>0</v>
      </c>
      <c r="L32">
        <v>0</v>
      </c>
      <c r="M32">
        <v>0</v>
      </c>
      <c r="N32" s="30">
        <f t="shared" si="4"/>
        <v>8.7490999999999985</v>
      </c>
      <c r="P32">
        <v>3</v>
      </c>
      <c r="Q32" t="s">
        <v>16</v>
      </c>
      <c r="R32">
        <v>14592</v>
      </c>
      <c r="S32">
        <v>32</v>
      </c>
      <c r="T32">
        <v>2</v>
      </c>
      <c r="U32">
        <v>2</v>
      </c>
      <c r="V32">
        <v>201.07</v>
      </c>
      <c r="W32" s="139">
        <v>10.303000000000001</v>
      </c>
      <c r="X32" s="33">
        <v>45608</v>
      </c>
      <c r="Y32" s="37">
        <v>0.58400462962962962</v>
      </c>
      <c r="Z32">
        <v>0</v>
      </c>
      <c r="AA32">
        <v>0</v>
      </c>
      <c r="AB32">
        <v>0</v>
      </c>
      <c r="AC32" s="30">
        <f t="shared" si="13"/>
        <v>10.296199999999999</v>
      </c>
    </row>
    <row r="33" spans="1:29" x14ac:dyDescent="0.25">
      <c r="A33">
        <v>4</v>
      </c>
      <c r="B33" t="s">
        <v>16</v>
      </c>
      <c r="C33">
        <v>14592</v>
      </c>
      <c r="D33">
        <v>32</v>
      </c>
      <c r="E33">
        <v>2</v>
      </c>
      <c r="F33">
        <v>2</v>
      </c>
      <c r="G33">
        <v>236.69</v>
      </c>
      <c r="H33" s="139">
        <v>8.7527000000000008</v>
      </c>
      <c r="I33" s="33">
        <v>45608</v>
      </c>
      <c r="J33" s="37">
        <v>0.61517361111111113</v>
      </c>
      <c r="K33">
        <v>0</v>
      </c>
      <c r="L33">
        <v>0</v>
      </c>
      <c r="M33">
        <v>0</v>
      </c>
      <c r="N33" s="30">
        <f t="shared" si="4"/>
        <v>8.7490999999999985</v>
      </c>
      <c r="P33">
        <v>4</v>
      </c>
      <c r="Q33" t="s">
        <v>16</v>
      </c>
      <c r="R33">
        <v>14592</v>
      </c>
      <c r="S33">
        <v>32</v>
      </c>
      <c r="T33">
        <v>2</v>
      </c>
      <c r="U33">
        <v>2</v>
      </c>
      <c r="V33">
        <v>201.96</v>
      </c>
      <c r="W33" s="139">
        <v>10.257999999999999</v>
      </c>
      <c r="X33" s="33">
        <v>45608</v>
      </c>
      <c r="Y33" s="37">
        <v>0.64469907407407412</v>
      </c>
      <c r="Z33">
        <v>0</v>
      </c>
      <c r="AA33">
        <v>0</v>
      </c>
      <c r="AB33">
        <v>0</v>
      </c>
      <c r="AC33" s="30">
        <f t="shared" si="13"/>
        <v>10.296199999999999</v>
      </c>
    </row>
    <row r="34" spans="1:29" x14ac:dyDescent="0.25">
      <c r="A34">
        <v>0</v>
      </c>
      <c r="B34" t="s">
        <v>16</v>
      </c>
      <c r="C34">
        <v>13056</v>
      </c>
      <c r="D34">
        <v>64</v>
      </c>
      <c r="E34">
        <v>1</v>
      </c>
      <c r="F34">
        <v>4</v>
      </c>
      <c r="G34">
        <v>152.74</v>
      </c>
      <c r="H34" s="17">
        <v>9.7155000000000005</v>
      </c>
      <c r="I34" s="33">
        <v>45318</v>
      </c>
      <c r="J34" s="37">
        <v>0.80196759259259265</v>
      </c>
      <c r="K34">
        <v>0</v>
      </c>
      <c r="L34">
        <v>0</v>
      </c>
      <c r="M34">
        <v>0</v>
      </c>
      <c r="N34" s="30">
        <f t="shared" ref="N34" si="22">AVERAGE(H34:H38)</f>
        <v>9.7156800000000008</v>
      </c>
      <c r="P34">
        <v>0</v>
      </c>
      <c r="Q34" t="s">
        <v>16</v>
      </c>
      <c r="R34">
        <v>13056</v>
      </c>
      <c r="S34">
        <v>64</v>
      </c>
      <c r="T34">
        <v>1</v>
      </c>
      <c r="U34">
        <v>4</v>
      </c>
      <c r="V34">
        <v>135.52000000000001</v>
      </c>
      <c r="W34" s="17">
        <v>10.95</v>
      </c>
      <c r="X34" s="33">
        <v>45318</v>
      </c>
      <c r="Y34" s="37">
        <v>0.46936342592592589</v>
      </c>
      <c r="Z34">
        <v>0</v>
      </c>
      <c r="AA34">
        <v>0</v>
      </c>
      <c r="AB34">
        <v>0</v>
      </c>
      <c r="AC34" s="30">
        <f t="shared" ref="AC34" si="23">AVERAGE(W34:W38)</f>
        <v>10.945599999999999</v>
      </c>
    </row>
    <row r="35" spans="1:29" x14ac:dyDescent="0.25">
      <c r="A35">
        <v>1</v>
      </c>
      <c r="B35" t="s">
        <v>16</v>
      </c>
      <c r="C35">
        <v>13056</v>
      </c>
      <c r="D35">
        <v>64</v>
      </c>
      <c r="E35">
        <v>1</v>
      </c>
      <c r="F35">
        <v>4</v>
      </c>
      <c r="G35">
        <v>152.69999999999999</v>
      </c>
      <c r="H35" s="17">
        <v>9.718</v>
      </c>
      <c r="I35" s="33">
        <v>45318</v>
      </c>
      <c r="J35" s="37">
        <v>0.85466435185185186</v>
      </c>
      <c r="K35">
        <v>0</v>
      </c>
      <c r="L35">
        <v>0</v>
      </c>
      <c r="M35">
        <v>0</v>
      </c>
      <c r="N35" s="30">
        <f t="shared" ref="N35" si="24">N34</f>
        <v>9.7156800000000008</v>
      </c>
      <c r="P35">
        <v>1</v>
      </c>
      <c r="Q35" t="s">
        <v>16</v>
      </c>
      <c r="R35">
        <v>13056</v>
      </c>
      <c r="S35">
        <v>64</v>
      </c>
      <c r="T35">
        <v>1</v>
      </c>
      <c r="U35">
        <v>4</v>
      </c>
      <c r="V35">
        <v>135.57</v>
      </c>
      <c r="W35" s="17">
        <v>10.946</v>
      </c>
      <c r="X35" s="33">
        <v>45318</v>
      </c>
      <c r="Y35" s="37">
        <v>0.52902777777777776</v>
      </c>
      <c r="Z35">
        <v>0</v>
      </c>
      <c r="AA35">
        <v>0</v>
      </c>
      <c r="AB35">
        <v>0</v>
      </c>
      <c r="AC35" s="30">
        <f t="shared" ref="AC35" si="25">AC34</f>
        <v>10.945599999999999</v>
      </c>
    </row>
    <row r="36" spans="1:29" x14ac:dyDescent="0.25">
      <c r="A36">
        <v>2</v>
      </c>
      <c r="B36" t="s">
        <v>16</v>
      </c>
      <c r="C36">
        <v>13056</v>
      </c>
      <c r="D36">
        <v>64</v>
      </c>
      <c r="E36">
        <v>1</v>
      </c>
      <c r="F36">
        <v>4</v>
      </c>
      <c r="G36">
        <v>152.74</v>
      </c>
      <c r="H36" s="17">
        <v>9.7151999999999994</v>
      </c>
      <c r="I36" s="33">
        <v>45318</v>
      </c>
      <c r="J36" s="37">
        <v>0.90739583333333329</v>
      </c>
      <c r="K36">
        <v>0</v>
      </c>
      <c r="L36">
        <v>0</v>
      </c>
      <c r="M36">
        <v>0</v>
      </c>
      <c r="N36" s="30">
        <f t="shared" si="4"/>
        <v>9.7156800000000008</v>
      </c>
      <c r="P36">
        <v>2</v>
      </c>
      <c r="Q36" t="s">
        <v>16</v>
      </c>
      <c r="R36">
        <v>13056</v>
      </c>
      <c r="S36">
        <v>64</v>
      </c>
      <c r="T36">
        <v>1</v>
      </c>
      <c r="U36">
        <v>4</v>
      </c>
      <c r="V36">
        <v>135.41999999999999</v>
      </c>
      <c r="W36" s="17">
        <v>10.958</v>
      </c>
      <c r="X36" s="33">
        <v>45318</v>
      </c>
      <c r="Y36" s="37">
        <v>0.5886689814814815</v>
      </c>
      <c r="Z36">
        <v>0</v>
      </c>
      <c r="AA36">
        <v>0</v>
      </c>
      <c r="AB36">
        <v>0</v>
      </c>
      <c r="AC36" s="30">
        <f t="shared" si="9"/>
        <v>10.945599999999999</v>
      </c>
    </row>
    <row r="37" spans="1:29" x14ac:dyDescent="0.25">
      <c r="A37">
        <v>3</v>
      </c>
      <c r="B37" t="s">
        <v>16</v>
      </c>
      <c r="C37">
        <v>13056</v>
      </c>
      <c r="D37">
        <v>64</v>
      </c>
      <c r="E37">
        <v>1</v>
      </c>
      <c r="F37">
        <v>4</v>
      </c>
      <c r="G37">
        <v>152.65</v>
      </c>
      <c r="H37" s="17">
        <v>9.7212999999999994</v>
      </c>
      <c r="I37" s="33">
        <v>45318</v>
      </c>
      <c r="J37" s="37">
        <v>0.9601157407407408</v>
      </c>
      <c r="K37">
        <v>0</v>
      </c>
      <c r="L37">
        <v>0</v>
      </c>
      <c r="M37">
        <v>0</v>
      </c>
      <c r="N37" s="30">
        <f t="shared" si="4"/>
        <v>9.7156800000000008</v>
      </c>
      <c r="P37">
        <v>3</v>
      </c>
      <c r="Q37" t="s">
        <v>16</v>
      </c>
      <c r="R37">
        <v>13056</v>
      </c>
      <c r="S37">
        <v>64</v>
      </c>
      <c r="T37">
        <v>1</v>
      </c>
      <c r="U37">
        <v>4</v>
      </c>
      <c r="V37">
        <v>135.53</v>
      </c>
      <c r="W37" s="17">
        <v>10.949</v>
      </c>
      <c r="X37" s="33">
        <v>45318</v>
      </c>
      <c r="Y37" s="37">
        <v>0.64833333333333332</v>
      </c>
      <c r="Z37">
        <v>0</v>
      </c>
      <c r="AA37">
        <v>0</v>
      </c>
      <c r="AB37">
        <v>0</v>
      </c>
      <c r="AC37" s="30">
        <f t="shared" si="9"/>
        <v>10.945599999999999</v>
      </c>
    </row>
    <row r="38" spans="1:29" x14ac:dyDescent="0.25">
      <c r="A38">
        <v>4</v>
      </c>
      <c r="B38" t="s">
        <v>16</v>
      </c>
      <c r="C38">
        <v>13056</v>
      </c>
      <c r="D38">
        <v>64</v>
      </c>
      <c r="E38">
        <v>1</v>
      </c>
      <c r="F38">
        <v>4</v>
      </c>
      <c r="G38">
        <v>152.85</v>
      </c>
      <c r="H38" s="17">
        <v>9.7083999999999993</v>
      </c>
      <c r="I38" s="33">
        <v>45319</v>
      </c>
      <c r="J38" s="37">
        <v>1.2824074074074073E-2</v>
      </c>
      <c r="K38">
        <v>0</v>
      </c>
      <c r="L38">
        <v>0</v>
      </c>
      <c r="M38">
        <v>0</v>
      </c>
      <c r="N38" s="30">
        <f t="shared" si="4"/>
        <v>9.7156800000000008</v>
      </c>
      <c r="P38">
        <v>4</v>
      </c>
      <c r="Q38" t="s">
        <v>16</v>
      </c>
      <c r="R38">
        <v>13056</v>
      </c>
      <c r="S38">
        <v>64</v>
      </c>
      <c r="T38">
        <v>1</v>
      </c>
      <c r="U38">
        <v>4</v>
      </c>
      <c r="V38">
        <v>135.82</v>
      </c>
      <c r="W38" s="17">
        <v>10.925000000000001</v>
      </c>
      <c r="X38" s="33">
        <v>45318</v>
      </c>
      <c r="Y38" s="37">
        <v>0.70797453703703705</v>
      </c>
      <c r="Z38">
        <v>0</v>
      </c>
      <c r="AA38">
        <v>0</v>
      </c>
      <c r="AB38">
        <v>0</v>
      </c>
      <c r="AC38" s="30">
        <f t="shared" si="9"/>
        <v>10.945599999999999</v>
      </c>
    </row>
    <row r="39" spans="1:29" x14ac:dyDescent="0.25">
      <c r="A39">
        <v>0</v>
      </c>
      <c r="B39" t="s">
        <v>16</v>
      </c>
      <c r="C39">
        <v>13824</v>
      </c>
      <c r="D39">
        <v>64</v>
      </c>
      <c r="E39">
        <v>1</v>
      </c>
      <c r="F39">
        <v>4</v>
      </c>
      <c r="G39">
        <v>200.34</v>
      </c>
      <c r="H39" s="17">
        <v>8.7925000000000004</v>
      </c>
      <c r="I39" s="33">
        <v>45318</v>
      </c>
      <c r="J39" s="37">
        <v>0.81717592592592592</v>
      </c>
      <c r="K39">
        <v>0</v>
      </c>
      <c r="L39">
        <v>0</v>
      </c>
      <c r="M39">
        <v>0</v>
      </c>
      <c r="N39" s="30">
        <f t="shared" ref="N39" si="26">AVERAGE(H39:H43)</f>
        <v>8.7855000000000008</v>
      </c>
      <c r="P39">
        <v>0</v>
      </c>
      <c r="Q39" t="s">
        <v>16</v>
      </c>
      <c r="R39">
        <v>13824</v>
      </c>
      <c r="S39">
        <v>64</v>
      </c>
      <c r="T39">
        <v>1</v>
      </c>
      <c r="U39">
        <v>4</v>
      </c>
      <c r="V39">
        <v>169.99</v>
      </c>
      <c r="W39" s="17">
        <v>10.362</v>
      </c>
      <c r="X39" s="33">
        <v>45318</v>
      </c>
      <c r="Y39" s="37">
        <v>0.48672453703703705</v>
      </c>
      <c r="Z39">
        <v>0</v>
      </c>
      <c r="AA39">
        <v>0</v>
      </c>
      <c r="AB39">
        <v>0</v>
      </c>
      <c r="AC39" s="30">
        <f t="shared" ref="AC39" si="27">AVERAGE(W39:W43)</f>
        <v>10.378400000000001</v>
      </c>
    </row>
    <row r="40" spans="1:29" x14ac:dyDescent="0.25">
      <c r="A40">
        <v>1</v>
      </c>
      <c r="B40" t="s">
        <v>16</v>
      </c>
      <c r="C40">
        <v>13824</v>
      </c>
      <c r="D40">
        <v>64</v>
      </c>
      <c r="E40">
        <v>1</v>
      </c>
      <c r="F40">
        <v>4</v>
      </c>
      <c r="G40">
        <v>200.74</v>
      </c>
      <c r="H40" s="17">
        <v>8.7748000000000008</v>
      </c>
      <c r="I40" s="33">
        <v>45318</v>
      </c>
      <c r="J40" s="37">
        <v>0.86989583333333342</v>
      </c>
      <c r="K40">
        <v>0</v>
      </c>
      <c r="L40">
        <v>0</v>
      </c>
      <c r="M40">
        <v>0</v>
      </c>
      <c r="N40" s="30">
        <f t="shared" ref="N40" si="28">N39</f>
        <v>8.7855000000000008</v>
      </c>
      <c r="P40">
        <v>1</v>
      </c>
      <c r="Q40" t="s">
        <v>16</v>
      </c>
      <c r="R40">
        <v>13824</v>
      </c>
      <c r="S40">
        <v>64</v>
      </c>
      <c r="T40">
        <v>1</v>
      </c>
      <c r="U40">
        <v>4</v>
      </c>
      <c r="V40">
        <v>169.59</v>
      </c>
      <c r="W40" s="17">
        <v>10.387</v>
      </c>
      <c r="X40" s="33">
        <v>45318</v>
      </c>
      <c r="Y40" s="37">
        <v>0.54638888888888892</v>
      </c>
      <c r="Z40">
        <v>0</v>
      </c>
      <c r="AA40">
        <v>0</v>
      </c>
      <c r="AB40">
        <v>0</v>
      </c>
      <c r="AC40" s="30">
        <f t="shared" ref="AC40" si="29">AC39</f>
        <v>10.378400000000001</v>
      </c>
    </row>
    <row r="41" spans="1:29" x14ac:dyDescent="0.25">
      <c r="A41">
        <v>2</v>
      </c>
      <c r="B41" t="s">
        <v>16</v>
      </c>
      <c r="C41">
        <v>13824</v>
      </c>
      <c r="D41">
        <v>64</v>
      </c>
      <c r="E41">
        <v>1</v>
      </c>
      <c r="F41">
        <v>4</v>
      </c>
      <c r="G41">
        <v>200.07</v>
      </c>
      <c r="H41" s="17">
        <v>8.8046000000000006</v>
      </c>
      <c r="I41" s="33">
        <v>45318</v>
      </c>
      <c r="J41" s="37">
        <v>0.92261574074074071</v>
      </c>
      <c r="K41">
        <v>0</v>
      </c>
      <c r="L41">
        <v>0</v>
      </c>
      <c r="M41">
        <v>0</v>
      </c>
      <c r="N41" s="30">
        <f t="shared" si="4"/>
        <v>8.7855000000000008</v>
      </c>
      <c r="P41">
        <v>2</v>
      </c>
      <c r="Q41" t="s">
        <v>16</v>
      </c>
      <c r="R41">
        <v>13824</v>
      </c>
      <c r="S41">
        <v>64</v>
      </c>
      <c r="T41">
        <v>1</v>
      </c>
      <c r="U41">
        <v>4</v>
      </c>
      <c r="V41">
        <v>169.39</v>
      </c>
      <c r="W41" s="17">
        <v>10.398999999999999</v>
      </c>
      <c r="X41" s="33">
        <v>45318</v>
      </c>
      <c r="Y41" s="37">
        <v>0.60603009259259266</v>
      </c>
      <c r="Z41">
        <v>0</v>
      </c>
      <c r="AA41">
        <v>0</v>
      </c>
      <c r="AB41">
        <v>0</v>
      </c>
      <c r="AC41" s="30">
        <f t="shared" si="13"/>
        <v>10.378400000000001</v>
      </c>
    </row>
    <row r="42" spans="1:29" x14ac:dyDescent="0.25">
      <c r="A42">
        <v>3</v>
      </c>
      <c r="B42" t="s">
        <v>16</v>
      </c>
      <c r="C42">
        <v>13824</v>
      </c>
      <c r="D42">
        <v>64</v>
      </c>
      <c r="E42">
        <v>1</v>
      </c>
      <c r="F42">
        <v>4</v>
      </c>
      <c r="G42">
        <v>200.45</v>
      </c>
      <c r="H42" s="17">
        <v>8.7878000000000007</v>
      </c>
      <c r="I42" s="33">
        <v>45318</v>
      </c>
      <c r="J42" s="37">
        <v>0.97533564814814822</v>
      </c>
      <c r="K42">
        <v>0</v>
      </c>
      <c r="L42">
        <v>0</v>
      </c>
      <c r="M42">
        <v>0</v>
      </c>
      <c r="N42" s="30">
        <f t="shared" si="4"/>
        <v>8.7855000000000008</v>
      </c>
      <c r="P42">
        <v>3</v>
      </c>
      <c r="Q42" t="s">
        <v>16</v>
      </c>
      <c r="R42">
        <v>13824</v>
      </c>
      <c r="S42">
        <v>64</v>
      </c>
      <c r="T42">
        <v>1</v>
      </c>
      <c r="U42">
        <v>4</v>
      </c>
      <c r="V42">
        <v>169.73</v>
      </c>
      <c r="W42" s="17">
        <v>10.378</v>
      </c>
      <c r="X42" s="33">
        <v>45318</v>
      </c>
      <c r="Y42" s="37">
        <v>0.66569444444444448</v>
      </c>
      <c r="Z42">
        <v>0</v>
      </c>
      <c r="AA42">
        <v>0</v>
      </c>
      <c r="AB42">
        <v>0</v>
      </c>
      <c r="AC42" s="30">
        <f t="shared" si="13"/>
        <v>10.378400000000001</v>
      </c>
    </row>
    <row r="43" spans="1:29" x14ac:dyDescent="0.25">
      <c r="A43">
        <v>4</v>
      </c>
      <c r="B43" t="s">
        <v>16</v>
      </c>
      <c r="C43">
        <v>13824</v>
      </c>
      <c r="D43">
        <v>64</v>
      </c>
      <c r="E43">
        <v>1</v>
      </c>
      <c r="F43">
        <v>4</v>
      </c>
      <c r="G43">
        <v>200.9</v>
      </c>
      <c r="H43" s="17">
        <v>8.7677999999999994</v>
      </c>
      <c r="I43" s="33">
        <v>45319</v>
      </c>
      <c r="J43" s="37">
        <v>2.8043981481481479E-2</v>
      </c>
      <c r="K43">
        <v>0</v>
      </c>
      <c r="L43">
        <v>0</v>
      </c>
      <c r="M43">
        <v>0</v>
      </c>
      <c r="N43" s="30">
        <f t="shared" si="4"/>
        <v>8.7855000000000008</v>
      </c>
      <c r="P43">
        <v>4</v>
      </c>
      <c r="Q43" t="s">
        <v>16</v>
      </c>
      <c r="R43">
        <v>13824</v>
      </c>
      <c r="S43">
        <v>64</v>
      </c>
      <c r="T43">
        <v>1</v>
      </c>
      <c r="U43">
        <v>4</v>
      </c>
      <c r="V43">
        <v>169.92</v>
      </c>
      <c r="W43" s="17">
        <v>10.366</v>
      </c>
      <c r="X43" s="33">
        <v>45318</v>
      </c>
      <c r="Y43" s="37">
        <v>0.72533564814814822</v>
      </c>
      <c r="Z43">
        <v>0</v>
      </c>
      <c r="AA43">
        <v>0</v>
      </c>
      <c r="AB43">
        <v>0</v>
      </c>
      <c r="AC43" s="30">
        <f t="shared" si="13"/>
        <v>10.378400000000001</v>
      </c>
    </row>
    <row r="44" spans="1:29" x14ac:dyDescent="0.25">
      <c r="A44">
        <v>0</v>
      </c>
      <c r="B44" t="s">
        <v>16</v>
      </c>
      <c r="C44">
        <v>14592</v>
      </c>
      <c r="D44">
        <v>64</v>
      </c>
      <c r="E44">
        <v>1</v>
      </c>
      <c r="F44">
        <v>4</v>
      </c>
      <c r="G44">
        <v>210.17</v>
      </c>
      <c r="H44" s="17">
        <v>9.8569999999999993</v>
      </c>
      <c r="I44" s="33">
        <v>45318</v>
      </c>
      <c r="J44" s="37">
        <v>0.83528935185185194</v>
      </c>
      <c r="K44">
        <v>0</v>
      </c>
      <c r="L44">
        <v>0</v>
      </c>
      <c r="M44">
        <v>0</v>
      </c>
      <c r="N44" s="30">
        <f t="shared" ref="N44" si="30">AVERAGE(H44:H48)</f>
        <v>9.8533000000000008</v>
      </c>
      <c r="P44">
        <v>0</v>
      </c>
      <c r="Q44" t="s">
        <v>16</v>
      </c>
      <c r="R44">
        <v>14592</v>
      </c>
      <c r="S44">
        <v>64</v>
      </c>
      <c r="T44">
        <v>1</v>
      </c>
      <c r="U44">
        <v>4</v>
      </c>
      <c r="V44">
        <v>187.63</v>
      </c>
      <c r="W44" s="17">
        <v>11.041</v>
      </c>
      <c r="X44" s="33">
        <v>45318</v>
      </c>
      <c r="Y44" s="37">
        <v>0.50699074074074069</v>
      </c>
      <c r="Z44">
        <v>0</v>
      </c>
      <c r="AA44">
        <v>0</v>
      </c>
      <c r="AB44">
        <v>0</v>
      </c>
      <c r="AC44" s="30">
        <f t="shared" ref="AC44" si="31">AVERAGE(W44:W48)</f>
        <v>11.042400000000001</v>
      </c>
    </row>
    <row r="45" spans="1:29" x14ac:dyDescent="0.25">
      <c r="A45">
        <v>1</v>
      </c>
      <c r="B45" t="s">
        <v>16</v>
      </c>
      <c r="C45">
        <v>14592</v>
      </c>
      <c r="D45">
        <v>64</v>
      </c>
      <c r="E45">
        <v>1</v>
      </c>
      <c r="F45">
        <v>4</v>
      </c>
      <c r="G45">
        <v>210.35</v>
      </c>
      <c r="H45" s="17">
        <v>9.8486999999999991</v>
      </c>
      <c r="I45" s="33">
        <v>45318</v>
      </c>
      <c r="J45" s="37">
        <v>0.88799768518518529</v>
      </c>
      <c r="K45">
        <v>0</v>
      </c>
      <c r="L45">
        <v>0</v>
      </c>
      <c r="M45">
        <v>0</v>
      </c>
      <c r="N45" s="30">
        <f t="shared" ref="N45" si="32">N44</f>
        <v>9.8533000000000008</v>
      </c>
      <c r="P45">
        <v>1</v>
      </c>
      <c r="Q45" t="s">
        <v>16</v>
      </c>
      <c r="R45">
        <v>14592</v>
      </c>
      <c r="S45">
        <v>64</v>
      </c>
      <c r="T45">
        <v>1</v>
      </c>
      <c r="U45">
        <v>4</v>
      </c>
      <c r="V45">
        <v>187.54</v>
      </c>
      <c r="W45" s="17">
        <v>11.047000000000001</v>
      </c>
      <c r="X45" s="33">
        <v>45318</v>
      </c>
      <c r="Y45" s="37">
        <v>0.56663194444444442</v>
      </c>
      <c r="Z45">
        <v>0</v>
      </c>
      <c r="AA45">
        <v>0</v>
      </c>
      <c r="AB45">
        <v>0</v>
      </c>
      <c r="AC45" s="30">
        <f t="shared" ref="AC45" si="33">AC44</f>
        <v>11.042400000000001</v>
      </c>
    </row>
    <row r="46" spans="1:29" x14ac:dyDescent="0.25">
      <c r="A46">
        <v>2</v>
      </c>
      <c r="B46" t="s">
        <v>16</v>
      </c>
      <c r="C46">
        <v>14592</v>
      </c>
      <c r="D46">
        <v>64</v>
      </c>
      <c r="E46">
        <v>1</v>
      </c>
      <c r="F46">
        <v>4</v>
      </c>
      <c r="G46">
        <v>210.29</v>
      </c>
      <c r="H46" s="17">
        <v>9.8514999999999997</v>
      </c>
      <c r="I46" s="33">
        <v>45318</v>
      </c>
      <c r="J46" s="37">
        <v>0.94072916666666673</v>
      </c>
      <c r="K46">
        <v>0</v>
      </c>
      <c r="L46">
        <v>0</v>
      </c>
      <c r="M46">
        <v>0</v>
      </c>
      <c r="N46" s="30">
        <f t="shared" si="4"/>
        <v>9.8533000000000008</v>
      </c>
      <c r="P46">
        <v>2</v>
      </c>
      <c r="Q46" t="s">
        <v>16</v>
      </c>
      <c r="R46">
        <v>14592</v>
      </c>
      <c r="S46">
        <v>64</v>
      </c>
      <c r="T46">
        <v>1</v>
      </c>
      <c r="U46">
        <v>4</v>
      </c>
      <c r="V46">
        <v>187.84</v>
      </c>
      <c r="W46" s="17">
        <v>11.029</v>
      </c>
      <c r="X46" s="33">
        <v>45318</v>
      </c>
      <c r="Y46" s="37">
        <v>0.62629629629629624</v>
      </c>
      <c r="Z46">
        <v>0</v>
      </c>
      <c r="AA46">
        <v>0</v>
      </c>
      <c r="AB46">
        <v>0</v>
      </c>
      <c r="AC46" s="30">
        <f t="shared" si="9"/>
        <v>11.042400000000001</v>
      </c>
    </row>
    <row r="47" spans="1:29" x14ac:dyDescent="0.25">
      <c r="A47">
        <v>3</v>
      </c>
      <c r="B47" t="s">
        <v>16</v>
      </c>
      <c r="C47">
        <v>14592</v>
      </c>
      <c r="D47">
        <v>64</v>
      </c>
      <c r="E47">
        <v>1</v>
      </c>
      <c r="F47">
        <v>4</v>
      </c>
      <c r="G47">
        <v>210.18</v>
      </c>
      <c r="H47" s="17">
        <v>9.8565000000000005</v>
      </c>
      <c r="I47" s="33">
        <v>45318</v>
      </c>
      <c r="J47" s="37">
        <v>0.99343750000000008</v>
      </c>
      <c r="K47">
        <v>0</v>
      </c>
      <c r="L47">
        <v>0</v>
      </c>
      <c r="M47">
        <v>0</v>
      </c>
      <c r="N47" s="30">
        <f t="shared" si="4"/>
        <v>9.8533000000000008</v>
      </c>
      <c r="P47">
        <v>3</v>
      </c>
      <c r="Q47" t="s">
        <v>16</v>
      </c>
      <c r="R47">
        <v>14592</v>
      </c>
      <c r="S47">
        <v>64</v>
      </c>
      <c r="T47">
        <v>1</v>
      </c>
      <c r="U47">
        <v>4</v>
      </c>
      <c r="V47">
        <v>187.39</v>
      </c>
      <c r="W47" s="17">
        <v>11.055</v>
      </c>
      <c r="X47" s="33">
        <v>45318</v>
      </c>
      <c r="Y47" s="37">
        <v>0.68594907407407402</v>
      </c>
      <c r="Z47">
        <v>0</v>
      </c>
      <c r="AA47">
        <v>0</v>
      </c>
      <c r="AB47">
        <v>0</v>
      </c>
      <c r="AC47" s="30">
        <f t="shared" si="9"/>
        <v>11.042400000000001</v>
      </c>
    </row>
    <row r="48" spans="1:29" x14ac:dyDescent="0.25">
      <c r="A48">
        <v>4</v>
      </c>
      <c r="B48" t="s">
        <v>16</v>
      </c>
      <c r="C48">
        <v>14592</v>
      </c>
      <c r="D48">
        <v>64</v>
      </c>
      <c r="E48">
        <v>1</v>
      </c>
      <c r="F48">
        <v>4</v>
      </c>
      <c r="G48">
        <v>210.26</v>
      </c>
      <c r="H48" s="17">
        <v>9.8528000000000002</v>
      </c>
      <c r="I48" s="33">
        <v>45319</v>
      </c>
      <c r="J48" s="37">
        <v>4.614583333333333E-2</v>
      </c>
      <c r="K48">
        <v>0</v>
      </c>
      <c r="L48">
        <v>0</v>
      </c>
      <c r="M48">
        <v>0</v>
      </c>
      <c r="N48" s="30">
        <f t="shared" si="4"/>
        <v>9.8533000000000008</v>
      </c>
      <c r="P48">
        <v>4</v>
      </c>
      <c r="Q48" t="s">
        <v>16</v>
      </c>
      <c r="R48">
        <v>14592</v>
      </c>
      <c r="S48">
        <v>64</v>
      </c>
      <c r="T48">
        <v>1</v>
      </c>
      <c r="U48">
        <v>4</v>
      </c>
      <c r="V48">
        <v>187.65</v>
      </c>
      <c r="W48" s="17">
        <v>11.04</v>
      </c>
      <c r="X48" s="33">
        <v>45318</v>
      </c>
      <c r="Y48" s="37">
        <v>0.74559027777777775</v>
      </c>
      <c r="Z48">
        <v>0</v>
      </c>
      <c r="AA48">
        <v>0</v>
      </c>
      <c r="AB48">
        <v>0</v>
      </c>
      <c r="AC48" s="30">
        <f t="shared" si="9"/>
        <v>11.042400000000001</v>
      </c>
    </row>
    <row r="49" spans="1:29" x14ac:dyDescent="0.25">
      <c r="A49">
        <v>0</v>
      </c>
      <c r="B49" t="s">
        <v>16</v>
      </c>
      <c r="C49">
        <v>13056</v>
      </c>
      <c r="D49">
        <v>64</v>
      </c>
      <c r="E49">
        <v>2</v>
      </c>
      <c r="F49">
        <v>2</v>
      </c>
      <c r="G49">
        <v>151.61000000000001</v>
      </c>
      <c r="H49" s="17">
        <v>9.7879000000000005</v>
      </c>
      <c r="I49" s="33">
        <v>45318</v>
      </c>
      <c r="J49" s="37">
        <v>0.8038657407407408</v>
      </c>
      <c r="K49">
        <v>0</v>
      </c>
      <c r="L49">
        <v>0</v>
      </c>
      <c r="M49">
        <v>0</v>
      </c>
      <c r="N49" s="30">
        <f t="shared" ref="N49" si="34">AVERAGE(H49:H53)</f>
        <v>9.7732199999999985</v>
      </c>
      <c r="P49">
        <v>0</v>
      </c>
      <c r="Q49" t="s">
        <v>16</v>
      </c>
      <c r="R49">
        <v>13056</v>
      </c>
      <c r="S49">
        <v>64</v>
      </c>
      <c r="T49">
        <v>2</v>
      </c>
      <c r="U49">
        <v>2</v>
      </c>
      <c r="V49">
        <v>136.09</v>
      </c>
      <c r="W49" s="17">
        <v>10.904</v>
      </c>
      <c r="X49" s="33">
        <v>45318</v>
      </c>
      <c r="Y49" s="37">
        <v>0.4714930555555556</v>
      </c>
      <c r="Z49">
        <v>0</v>
      </c>
      <c r="AA49">
        <v>0</v>
      </c>
      <c r="AB49">
        <v>0</v>
      </c>
      <c r="AC49" s="30">
        <f t="shared" ref="AC49" si="35">AVERAGE(W49:W53)</f>
        <v>10.889600000000002</v>
      </c>
    </row>
    <row r="50" spans="1:29" x14ac:dyDescent="0.25">
      <c r="A50">
        <v>1</v>
      </c>
      <c r="B50" t="s">
        <v>16</v>
      </c>
      <c r="C50">
        <v>13056</v>
      </c>
      <c r="D50">
        <v>64</v>
      </c>
      <c r="E50">
        <v>2</v>
      </c>
      <c r="F50">
        <v>2</v>
      </c>
      <c r="G50">
        <v>152.04</v>
      </c>
      <c r="H50" s="17">
        <v>9.76</v>
      </c>
      <c r="I50" s="33">
        <v>45318</v>
      </c>
      <c r="J50" s="37">
        <v>0.85657407407407404</v>
      </c>
      <c r="K50">
        <v>0</v>
      </c>
      <c r="L50">
        <v>0</v>
      </c>
      <c r="M50">
        <v>0</v>
      </c>
      <c r="N50" s="30">
        <f t="shared" ref="N50" si="36">N49</f>
        <v>9.7732199999999985</v>
      </c>
      <c r="P50">
        <v>1</v>
      </c>
      <c r="Q50" t="s">
        <v>16</v>
      </c>
      <c r="R50">
        <v>13056</v>
      </c>
      <c r="S50">
        <v>64</v>
      </c>
      <c r="T50">
        <v>2</v>
      </c>
      <c r="U50">
        <v>2</v>
      </c>
      <c r="V50">
        <v>136.29</v>
      </c>
      <c r="W50" s="17">
        <v>10.888</v>
      </c>
      <c r="X50" s="33">
        <v>45318</v>
      </c>
      <c r="Y50" s="37">
        <v>0.53115740740740736</v>
      </c>
      <c r="Z50">
        <v>0</v>
      </c>
      <c r="AA50">
        <v>0</v>
      </c>
      <c r="AB50">
        <v>0</v>
      </c>
      <c r="AC50" s="30">
        <f t="shared" ref="AC50" si="37">AC49</f>
        <v>10.889600000000002</v>
      </c>
    </row>
    <row r="51" spans="1:29" x14ac:dyDescent="0.25">
      <c r="A51">
        <v>2</v>
      </c>
      <c r="B51" t="s">
        <v>16</v>
      </c>
      <c r="C51">
        <v>13056</v>
      </c>
      <c r="D51">
        <v>64</v>
      </c>
      <c r="E51">
        <v>2</v>
      </c>
      <c r="F51">
        <v>2</v>
      </c>
      <c r="G51">
        <v>152.12</v>
      </c>
      <c r="H51" s="17">
        <v>9.7548999999999992</v>
      </c>
      <c r="I51" s="33">
        <v>45318</v>
      </c>
      <c r="J51" s="37">
        <v>0.90929398148148144</v>
      </c>
      <c r="K51">
        <v>0</v>
      </c>
      <c r="L51">
        <v>0</v>
      </c>
      <c r="M51">
        <v>0</v>
      </c>
      <c r="N51" s="30">
        <f t="shared" si="4"/>
        <v>9.7732199999999985</v>
      </c>
      <c r="P51">
        <v>2</v>
      </c>
      <c r="Q51" t="s">
        <v>16</v>
      </c>
      <c r="R51">
        <v>13056</v>
      </c>
      <c r="S51">
        <v>64</v>
      </c>
      <c r="T51">
        <v>2</v>
      </c>
      <c r="U51">
        <v>2</v>
      </c>
      <c r="V51">
        <v>136.11000000000001</v>
      </c>
      <c r="W51" s="17">
        <v>10.901999999999999</v>
      </c>
      <c r="X51" s="33">
        <v>45318</v>
      </c>
      <c r="Y51" s="37">
        <v>0.59079861111111109</v>
      </c>
      <c r="Z51">
        <v>0</v>
      </c>
      <c r="AA51">
        <v>0</v>
      </c>
      <c r="AB51">
        <v>0</v>
      </c>
      <c r="AC51" s="30">
        <f t="shared" si="13"/>
        <v>10.889600000000002</v>
      </c>
    </row>
    <row r="52" spans="1:29" x14ac:dyDescent="0.25">
      <c r="A52">
        <v>3</v>
      </c>
      <c r="B52" t="s">
        <v>16</v>
      </c>
      <c r="C52">
        <v>13056</v>
      </c>
      <c r="D52">
        <v>64</v>
      </c>
      <c r="E52">
        <v>2</v>
      </c>
      <c r="F52">
        <v>2</v>
      </c>
      <c r="G52">
        <v>151.74</v>
      </c>
      <c r="H52" s="17">
        <v>9.7791999999999994</v>
      </c>
      <c r="I52" s="33">
        <v>45318</v>
      </c>
      <c r="J52" s="37">
        <v>0.96201388888888895</v>
      </c>
      <c r="K52">
        <v>0</v>
      </c>
      <c r="L52">
        <v>0</v>
      </c>
      <c r="M52">
        <v>0</v>
      </c>
      <c r="N52" s="30">
        <f t="shared" si="4"/>
        <v>9.7732199999999985</v>
      </c>
      <c r="P52">
        <v>3</v>
      </c>
      <c r="Q52" t="s">
        <v>16</v>
      </c>
      <c r="R52">
        <v>13056</v>
      </c>
      <c r="S52">
        <v>64</v>
      </c>
      <c r="T52">
        <v>2</v>
      </c>
      <c r="U52">
        <v>2</v>
      </c>
      <c r="V52">
        <v>136.74</v>
      </c>
      <c r="W52" s="17">
        <v>10.852</v>
      </c>
      <c r="X52" s="33">
        <v>45318</v>
      </c>
      <c r="Y52" s="37">
        <v>0.65046296296296291</v>
      </c>
      <c r="Z52">
        <v>0</v>
      </c>
      <c r="AA52">
        <v>0</v>
      </c>
      <c r="AB52">
        <v>0</v>
      </c>
      <c r="AC52" s="30">
        <f t="shared" si="13"/>
        <v>10.889600000000002</v>
      </c>
    </row>
    <row r="53" spans="1:29" x14ac:dyDescent="0.25">
      <c r="A53">
        <v>4</v>
      </c>
      <c r="B53" t="s">
        <v>16</v>
      </c>
      <c r="C53">
        <v>13056</v>
      </c>
      <c r="D53">
        <v>64</v>
      </c>
      <c r="E53">
        <v>2</v>
      </c>
      <c r="F53">
        <v>2</v>
      </c>
      <c r="G53">
        <v>151.66999999999999</v>
      </c>
      <c r="H53" s="17">
        <v>9.7841000000000005</v>
      </c>
      <c r="I53" s="33">
        <v>45319</v>
      </c>
      <c r="J53" s="37">
        <v>1.4722222222222222E-2</v>
      </c>
      <c r="K53">
        <v>0</v>
      </c>
      <c r="L53">
        <v>0</v>
      </c>
      <c r="M53">
        <v>0</v>
      </c>
      <c r="N53" s="30">
        <f t="shared" si="4"/>
        <v>9.7732199999999985</v>
      </c>
      <c r="P53">
        <v>4</v>
      </c>
      <c r="Q53" t="s">
        <v>16</v>
      </c>
      <c r="R53">
        <v>13056</v>
      </c>
      <c r="S53">
        <v>64</v>
      </c>
      <c r="T53">
        <v>2</v>
      </c>
      <c r="U53">
        <v>2</v>
      </c>
      <c r="V53">
        <v>136.12</v>
      </c>
      <c r="W53" s="17">
        <v>10.901999999999999</v>
      </c>
      <c r="X53" s="33">
        <v>45318</v>
      </c>
      <c r="Y53" s="37">
        <v>0.71010416666666665</v>
      </c>
      <c r="Z53">
        <v>0</v>
      </c>
      <c r="AA53">
        <v>0</v>
      </c>
      <c r="AB53">
        <v>0</v>
      </c>
      <c r="AC53" s="30">
        <f t="shared" si="13"/>
        <v>10.889600000000002</v>
      </c>
    </row>
    <row r="54" spans="1:29" x14ac:dyDescent="0.25">
      <c r="A54">
        <v>0</v>
      </c>
      <c r="B54" t="s">
        <v>16</v>
      </c>
      <c r="C54">
        <v>13824</v>
      </c>
      <c r="D54">
        <v>64</v>
      </c>
      <c r="E54">
        <v>2</v>
      </c>
      <c r="F54">
        <v>2</v>
      </c>
      <c r="G54">
        <v>182.95</v>
      </c>
      <c r="H54" s="17">
        <v>9.6283999999999992</v>
      </c>
      <c r="I54" s="33">
        <v>45318</v>
      </c>
      <c r="J54" s="37">
        <v>0.81945601851851846</v>
      </c>
      <c r="K54">
        <v>0</v>
      </c>
      <c r="L54">
        <v>0</v>
      </c>
      <c r="M54">
        <v>0</v>
      </c>
      <c r="N54" s="30">
        <f t="shared" ref="N54" si="38">AVERAGE(H54:H58)</f>
        <v>9.6260200000000005</v>
      </c>
      <c r="P54">
        <v>0</v>
      </c>
      <c r="Q54" t="s">
        <v>16</v>
      </c>
      <c r="R54">
        <v>13824</v>
      </c>
      <c r="S54">
        <v>64</v>
      </c>
      <c r="T54">
        <v>2</v>
      </c>
      <c r="U54">
        <v>2</v>
      </c>
      <c r="V54">
        <v>161.49</v>
      </c>
      <c r="W54" s="17">
        <v>10.907999999999999</v>
      </c>
      <c r="X54" s="33">
        <v>45318</v>
      </c>
      <c r="Y54" s="37">
        <v>0.48921296296296296</v>
      </c>
      <c r="Z54">
        <v>0</v>
      </c>
      <c r="AA54">
        <v>0</v>
      </c>
      <c r="AB54">
        <v>0</v>
      </c>
      <c r="AC54" s="30">
        <f t="shared" ref="AC54" si="39">AVERAGE(W54:W58)</f>
        <v>10.911</v>
      </c>
    </row>
    <row r="55" spans="1:29" x14ac:dyDescent="0.25">
      <c r="A55">
        <v>1</v>
      </c>
      <c r="B55" t="s">
        <v>16</v>
      </c>
      <c r="C55">
        <v>13824</v>
      </c>
      <c r="D55">
        <v>64</v>
      </c>
      <c r="E55">
        <v>2</v>
      </c>
      <c r="F55">
        <v>2</v>
      </c>
      <c r="G55">
        <v>182.97</v>
      </c>
      <c r="H55" s="17">
        <v>9.6272000000000002</v>
      </c>
      <c r="I55" s="33">
        <v>45318</v>
      </c>
      <c r="J55" s="37">
        <v>0.87216435185185182</v>
      </c>
      <c r="K55">
        <v>0</v>
      </c>
      <c r="L55">
        <v>0</v>
      </c>
      <c r="M55">
        <v>0</v>
      </c>
      <c r="N55" s="30">
        <f t="shared" ref="N55" si="40">N54</f>
        <v>9.6260200000000005</v>
      </c>
      <c r="P55">
        <v>1</v>
      </c>
      <c r="Q55" t="s">
        <v>16</v>
      </c>
      <c r="R55">
        <v>13824</v>
      </c>
      <c r="S55">
        <v>64</v>
      </c>
      <c r="T55">
        <v>2</v>
      </c>
      <c r="U55">
        <v>2</v>
      </c>
      <c r="V55">
        <v>161.34</v>
      </c>
      <c r="W55" s="17">
        <v>10.917999999999999</v>
      </c>
      <c r="X55" s="33">
        <v>45318</v>
      </c>
      <c r="Y55" s="37">
        <v>0.54886574074074079</v>
      </c>
      <c r="Z55">
        <v>0</v>
      </c>
      <c r="AA55">
        <v>0</v>
      </c>
      <c r="AB55">
        <v>0</v>
      </c>
      <c r="AC55" s="30">
        <f t="shared" ref="AC55" si="41">AC54</f>
        <v>10.911</v>
      </c>
    </row>
    <row r="56" spans="1:29" x14ac:dyDescent="0.25">
      <c r="A56">
        <v>2</v>
      </c>
      <c r="B56" t="s">
        <v>16</v>
      </c>
      <c r="C56">
        <v>13824</v>
      </c>
      <c r="D56">
        <v>64</v>
      </c>
      <c r="E56">
        <v>2</v>
      </c>
      <c r="F56">
        <v>2</v>
      </c>
      <c r="G56">
        <v>182.86</v>
      </c>
      <c r="H56" s="17">
        <v>9.6329999999999991</v>
      </c>
      <c r="I56" s="33">
        <v>45318</v>
      </c>
      <c r="J56" s="37">
        <v>0.92489583333333336</v>
      </c>
      <c r="K56">
        <v>0</v>
      </c>
      <c r="L56">
        <v>0</v>
      </c>
      <c r="M56">
        <v>0</v>
      </c>
      <c r="N56" s="30">
        <f t="shared" si="4"/>
        <v>9.6260200000000005</v>
      </c>
      <c r="P56">
        <v>2</v>
      </c>
      <c r="Q56" t="s">
        <v>16</v>
      </c>
      <c r="R56">
        <v>13824</v>
      </c>
      <c r="S56">
        <v>64</v>
      </c>
      <c r="T56">
        <v>2</v>
      </c>
      <c r="U56">
        <v>2</v>
      </c>
      <c r="V56">
        <v>161.34</v>
      </c>
      <c r="W56" s="17">
        <v>10.917999999999999</v>
      </c>
      <c r="X56" s="33">
        <v>45318</v>
      </c>
      <c r="Y56" s="37">
        <v>0.60851851851851857</v>
      </c>
      <c r="Z56">
        <v>0</v>
      </c>
      <c r="AA56">
        <v>0</v>
      </c>
      <c r="AB56">
        <v>0</v>
      </c>
      <c r="AC56" s="30">
        <f t="shared" si="9"/>
        <v>10.911</v>
      </c>
    </row>
    <row r="57" spans="1:29" x14ac:dyDescent="0.25">
      <c r="A57">
        <v>3</v>
      </c>
      <c r="B57" t="s">
        <v>16</v>
      </c>
      <c r="C57">
        <v>13824</v>
      </c>
      <c r="D57">
        <v>64</v>
      </c>
      <c r="E57">
        <v>2</v>
      </c>
      <c r="F57">
        <v>2</v>
      </c>
      <c r="G57">
        <v>183.24</v>
      </c>
      <c r="H57" s="17">
        <v>9.6128999999999998</v>
      </c>
      <c r="I57" s="33">
        <v>45318</v>
      </c>
      <c r="J57" s="37">
        <v>0.97760416666666661</v>
      </c>
      <c r="K57">
        <v>0</v>
      </c>
      <c r="L57">
        <v>0</v>
      </c>
      <c r="M57">
        <v>0</v>
      </c>
      <c r="N57" s="30">
        <f t="shared" si="4"/>
        <v>9.6260200000000005</v>
      </c>
      <c r="P57">
        <v>3</v>
      </c>
      <c r="Q57" t="s">
        <v>16</v>
      </c>
      <c r="R57">
        <v>13824</v>
      </c>
      <c r="S57">
        <v>64</v>
      </c>
      <c r="T57">
        <v>2</v>
      </c>
      <c r="U57">
        <v>2</v>
      </c>
      <c r="V57">
        <v>161.34</v>
      </c>
      <c r="W57" s="17">
        <v>10.917999999999999</v>
      </c>
      <c r="X57" s="33">
        <v>45318</v>
      </c>
      <c r="Y57" s="37">
        <v>0.66818287037037039</v>
      </c>
      <c r="Z57">
        <v>0</v>
      </c>
      <c r="AA57">
        <v>0</v>
      </c>
      <c r="AB57">
        <v>0</v>
      </c>
      <c r="AC57" s="30">
        <f t="shared" si="9"/>
        <v>10.911</v>
      </c>
    </row>
    <row r="58" spans="1:29" x14ac:dyDescent="0.25">
      <c r="A58">
        <v>4</v>
      </c>
      <c r="B58" t="s">
        <v>16</v>
      </c>
      <c r="C58">
        <v>13824</v>
      </c>
      <c r="D58">
        <v>64</v>
      </c>
      <c r="E58">
        <v>2</v>
      </c>
      <c r="F58">
        <v>2</v>
      </c>
      <c r="G58">
        <v>182.94</v>
      </c>
      <c r="H58" s="17">
        <v>9.6286000000000005</v>
      </c>
      <c r="I58" s="33">
        <v>45319</v>
      </c>
      <c r="J58" s="37">
        <v>3.0312499999999996E-2</v>
      </c>
      <c r="K58">
        <v>0</v>
      </c>
      <c r="L58">
        <v>0</v>
      </c>
      <c r="M58">
        <v>0</v>
      </c>
      <c r="N58" s="30">
        <f t="shared" si="4"/>
        <v>9.6260200000000005</v>
      </c>
      <c r="P58">
        <v>4</v>
      </c>
      <c r="Q58" t="s">
        <v>16</v>
      </c>
      <c r="R58">
        <v>13824</v>
      </c>
      <c r="S58">
        <v>64</v>
      </c>
      <c r="T58">
        <v>2</v>
      </c>
      <c r="U58">
        <v>2</v>
      </c>
      <c r="V58">
        <v>161.71</v>
      </c>
      <c r="W58" s="17">
        <v>10.893000000000001</v>
      </c>
      <c r="X58" s="33">
        <v>45318</v>
      </c>
      <c r="Y58" s="37">
        <v>0.72782407407407401</v>
      </c>
      <c r="Z58">
        <v>0</v>
      </c>
      <c r="AA58">
        <v>0</v>
      </c>
      <c r="AB58">
        <v>0</v>
      </c>
      <c r="AC58" s="30">
        <f t="shared" si="9"/>
        <v>10.911</v>
      </c>
    </row>
    <row r="59" spans="1:29" x14ac:dyDescent="0.25">
      <c r="A59">
        <v>0</v>
      </c>
      <c r="B59" t="s">
        <v>16</v>
      </c>
      <c r="C59">
        <v>14592</v>
      </c>
      <c r="D59">
        <v>64</v>
      </c>
      <c r="E59">
        <v>2</v>
      </c>
      <c r="F59">
        <v>2</v>
      </c>
      <c r="G59">
        <v>209.43</v>
      </c>
      <c r="H59" s="17">
        <v>9.8920999999999992</v>
      </c>
      <c r="I59" s="33">
        <v>45318</v>
      </c>
      <c r="J59" s="37">
        <v>0.83788194444444442</v>
      </c>
      <c r="K59">
        <v>0</v>
      </c>
      <c r="L59">
        <v>0</v>
      </c>
      <c r="M59">
        <v>0</v>
      </c>
      <c r="N59" s="30">
        <f t="shared" ref="N59" si="42">AVERAGE(H59:H63)</f>
        <v>9.8856400000000004</v>
      </c>
      <c r="P59">
        <v>0</v>
      </c>
      <c r="Q59" t="s">
        <v>16</v>
      </c>
      <c r="R59">
        <v>14592</v>
      </c>
      <c r="S59">
        <v>64</v>
      </c>
      <c r="T59">
        <v>2</v>
      </c>
      <c r="U59">
        <v>2</v>
      </c>
      <c r="V59">
        <v>187.9</v>
      </c>
      <c r="W59" s="17">
        <v>11.025</v>
      </c>
      <c r="X59" s="33">
        <v>45318</v>
      </c>
      <c r="Y59" s="37">
        <v>0.5098611111111111</v>
      </c>
      <c r="Z59">
        <v>0</v>
      </c>
      <c r="AA59">
        <v>0</v>
      </c>
      <c r="AB59">
        <v>0</v>
      </c>
      <c r="AC59" s="30">
        <f t="shared" ref="AC59" si="43">AVERAGE(W59:W63)</f>
        <v>11.0258</v>
      </c>
    </row>
    <row r="60" spans="1:29" x14ac:dyDescent="0.25">
      <c r="A60">
        <v>1</v>
      </c>
      <c r="B60" t="s">
        <v>16</v>
      </c>
      <c r="C60">
        <v>14592</v>
      </c>
      <c r="D60">
        <v>64</v>
      </c>
      <c r="E60">
        <v>2</v>
      </c>
      <c r="F60">
        <v>2</v>
      </c>
      <c r="G60">
        <v>209.51</v>
      </c>
      <c r="H60" s="17">
        <v>9.8884000000000007</v>
      </c>
      <c r="I60" s="33">
        <v>45318</v>
      </c>
      <c r="J60" s="37">
        <v>0.89060185185185192</v>
      </c>
      <c r="K60">
        <v>0</v>
      </c>
      <c r="L60">
        <v>0</v>
      </c>
      <c r="M60">
        <v>0</v>
      </c>
      <c r="N60" s="30">
        <f t="shared" ref="N60" si="44">N59</f>
        <v>9.8856400000000004</v>
      </c>
      <c r="P60">
        <v>1</v>
      </c>
      <c r="Q60" t="s">
        <v>16</v>
      </c>
      <c r="R60">
        <v>14592</v>
      </c>
      <c r="S60">
        <v>64</v>
      </c>
      <c r="T60">
        <v>2</v>
      </c>
      <c r="U60">
        <v>2</v>
      </c>
      <c r="V60">
        <v>187.78</v>
      </c>
      <c r="W60" s="17">
        <v>11.032999999999999</v>
      </c>
      <c r="X60" s="33">
        <v>45318</v>
      </c>
      <c r="Y60" s="37">
        <v>0.56950231481481484</v>
      </c>
      <c r="Z60">
        <v>0</v>
      </c>
      <c r="AA60">
        <v>0</v>
      </c>
      <c r="AB60">
        <v>0</v>
      </c>
      <c r="AC60" s="30">
        <f t="shared" ref="AC60" si="45">AC59</f>
        <v>11.0258</v>
      </c>
    </row>
    <row r="61" spans="1:29" x14ac:dyDescent="0.25">
      <c r="A61">
        <v>2</v>
      </c>
      <c r="B61" t="s">
        <v>16</v>
      </c>
      <c r="C61">
        <v>14592</v>
      </c>
      <c r="D61">
        <v>64</v>
      </c>
      <c r="E61">
        <v>2</v>
      </c>
      <c r="F61">
        <v>2</v>
      </c>
      <c r="G61">
        <v>209.83</v>
      </c>
      <c r="H61" s="17">
        <v>9.8729999999999993</v>
      </c>
      <c r="I61" s="33">
        <v>45318</v>
      </c>
      <c r="J61" s="37">
        <v>0.94333333333333336</v>
      </c>
      <c r="K61">
        <v>0</v>
      </c>
      <c r="L61">
        <v>0</v>
      </c>
      <c r="M61">
        <v>0</v>
      </c>
      <c r="N61" s="30">
        <f t="shared" si="4"/>
        <v>9.8856400000000004</v>
      </c>
      <c r="P61">
        <v>2</v>
      </c>
      <c r="Q61" t="s">
        <v>16</v>
      </c>
      <c r="R61">
        <v>14592</v>
      </c>
      <c r="S61">
        <v>64</v>
      </c>
      <c r="T61">
        <v>2</v>
      </c>
      <c r="U61">
        <v>2</v>
      </c>
      <c r="V61">
        <v>188.22</v>
      </c>
      <c r="W61" s="17">
        <v>11.007</v>
      </c>
      <c r="X61" s="33">
        <v>45318</v>
      </c>
      <c r="Y61" s="37">
        <v>0.62915509259259261</v>
      </c>
      <c r="Z61">
        <v>0</v>
      </c>
      <c r="AA61">
        <v>0</v>
      </c>
      <c r="AB61">
        <v>0</v>
      </c>
      <c r="AC61" s="30">
        <f t="shared" si="13"/>
        <v>11.0258</v>
      </c>
    </row>
    <row r="62" spans="1:29" x14ac:dyDescent="0.25">
      <c r="A62">
        <v>3</v>
      </c>
      <c r="B62" t="s">
        <v>16</v>
      </c>
      <c r="C62">
        <v>14592</v>
      </c>
      <c r="D62">
        <v>64</v>
      </c>
      <c r="E62">
        <v>2</v>
      </c>
      <c r="F62">
        <v>2</v>
      </c>
      <c r="G62">
        <v>209.55</v>
      </c>
      <c r="H62" s="17">
        <v>9.8864000000000001</v>
      </c>
      <c r="I62" s="33">
        <v>45318</v>
      </c>
      <c r="J62" s="37">
        <v>0.99603009259259256</v>
      </c>
      <c r="K62">
        <v>0</v>
      </c>
      <c r="L62">
        <v>0</v>
      </c>
      <c r="M62">
        <v>0</v>
      </c>
      <c r="N62" s="30">
        <f t="shared" si="4"/>
        <v>9.8856400000000004</v>
      </c>
      <c r="P62">
        <v>3</v>
      </c>
      <c r="Q62" t="s">
        <v>16</v>
      </c>
      <c r="R62">
        <v>14592</v>
      </c>
      <c r="S62">
        <v>64</v>
      </c>
      <c r="T62">
        <v>2</v>
      </c>
      <c r="U62">
        <v>2</v>
      </c>
      <c r="V62">
        <v>187.77</v>
      </c>
      <c r="W62" s="17">
        <v>11.032999999999999</v>
      </c>
      <c r="X62" s="33">
        <v>45318</v>
      </c>
      <c r="Y62" s="37">
        <v>0.68880787037037028</v>
      </c>
      <c r="Z62">
        <v>0</v>
      </c>
      <c r="AA62">
        <v>0</v>
      </c>
      <c r="AB62">
        <v>0</v>
      </c>
      <c r="AC62" s="30">
        <f t="shared" si="13"/>
        <v>11.0258</v>
      </c>
    </row>
    <row r="63" spans="1:29" x14ac:dyDescent="0.25">
      <c r="A63">
        <v>4</v>
      </c>
      <c r="B63" t="s">
        <v>16</v>
      </c>
      <c r="C63">
        <v>14592</v>
      </c>
      <c r="D63">
        <v>64</v>
      </c>
      <c r="E63">
        <v>2</v>
      </c>
      <c r="F63">
        <v>2</v>
      </c>
      <c r="G63">
        <v>209.51</v>
      </c>
      <c r="H63" s="17">
        <v>9.8882999999999992</v>
      </c>
      <c r="I63" s="33">
        <v>45319</v>
      </c>
      <c r="J63" s="37">
        <v>4.8749999999999995E-2</v>
      </c>
      <c r="K63">
        <v>0</v>
      </c>
      <c r="L63">
        <v>0</v>
      </c>
      <c r="M63">
        <v>0</v>
      </c>
      <c r="N63" s="30">
        <f t="shared" si="4"/>
        <v>9.8856400000000004</v>
      </c>
      <c r="P63">
        <v>4</v>
      </c>
      <c r="Q63" t="s">
        <v>16</v>
      </c>
      <c r="R63">
        <v>14592</v>
      </c>
      <c r="S63">
        <v>64</v>
      </c>
      <c r="T63">
        <v>2</v>
      </c>
      <c r="U63">
        <v>2</v>
      </c>
      <c r="V63">
        <v>187.8</v>
      </c>
      <c r="W63" s="17">
        <v>11.031000000000001</v>
      </c>
      <c r="X63" s="33">
        <v>45318</v>
      </c>
      <c r="Y63" s="37">
        <v>0.74844907407407402</v>
      </c>
      <c r="Z63">
        <v>0</v>
      </c>
      <c r="AA63">
        <v>0</v>
      </c>
      <c r="AB63">
        <v>0</v>
      </c>
      <c r="AC63" s="30">
        <f t="shared" si="13"/>
        <v>11.0258</v>
      </c>
    </row>
    <row r="64" spans="1:29" x14ac:dyDescent="0.25">
      <c r="A64">
        <v>0</v>
      </c>
      <c r="B64" t="s">
        <v>16</v>
      </c>
      <c r="C64">
        <v>13056</v>
      </c>
      <c r="D64">
        <v>96</v>
      </c>
      <c r="E64">
        <v>1</v>
      </c>
      <c r="F64">
        <v>4</v>
      </c>
      <c r="G64">
        <v>152.25</v>
      </c>
      <c r="H64" s="139">
        <v>9.7468000000000004</v>
      </c>
      <c r="I64" s="33">
        <v>45608</v>
      </c>
      <c r="J64" s="37">
        <v>0.31335648148148149</v>
      </c>
      <c r="K64">
        <v>0</v>
      </c>
      <c r="L64">
        <v>0</v>
      </c>
      <c r="M64">
        <v>0</v>
      </c>
      <c r="N64" s="30">
        <f t="shared" ref="N64" si="46">AVERAGE(H64:H68)</f>
        <v>9.7420200000000001</v>
      </c>
      <c r="P64">
        <v>0</v>
      </c>
      <c r="Q64" t="s">
        <v>16</v>
      </c>
      <c r="R64">
        <v>13056</v>
      </c>
      <c r="S64">
        <v>96</v>
      </c>
      <c r="T64">
        <v>1</v>
      </c>
      <c r="U64">
        <v>4</v>
      </c>
      <c r="V64">
        <v>132.03</v>
      </c>
      <c r="W64" s="139">
        <v>11.239000000000001</v>
      </c>
      <c r="X64" s="33">
        <v>45608</v>
      </c>
      <c r="Y64" s="37">
        <v>0.31546296296296295</v>
      </c>
      <c r="Z64">
        <v>0</v>
      </c>
      <c r="AA64">
        <v>0</v>
      </c>
      <c r="AB64">
        <v>0</v>
      </c>
      <c r="AC64" s="30">
        <f t="shared" ref="AC64" si="47">AVERAGE(W64:W68)</f>
        <v>11.2166</v>
      </c>
    </row>
    <row r="65" spans="1:29" x14ac:dyDescent="0.25">
      <c r="A65">
        <v>1</v>
      </c>
      <c r="B65" t="s">
        <v>16</v>
      </c>
      <c r="C65">
        <v>13056</v>
      </c>
      <c r="D65">
        <v>96</v>
      </c>
      <c r="E65">
        <v>1</v>
      </c>
      <c r="F65">
        <v>4</v>
      </c>
      <c r="G65">
        <v>152.43</v>
      </c>
      <c r="H65" s="139">
        <v>9.7355</v>
      </c>
      <c r="I65" s="33">
        <v>45608</v>
      </c>
      <c r="J65" s="37">
        <v>0.3684027777777778</v>
      </c>
      <c r="K65">
        <v>0</v>
      </c>
      <c r="L65">
        <v>0</v>
      </c>
      <c r="M65">
        <v>0</v>
      </c>
      <c r="N65" s="30">
        <f t="shared" ref="N65" si="48">N64</f>
        <v>9.7420200000000001</v>
      </c>
      <c r="P65">
        <v>1</v>
      </c>
      <c r="Q65" t="s">
        <v>16</v>
      </c>
      <c r="R65">
        <v>13056</v>
      </c>
      <c r="S65">
        <v>96</v>
      </c>
      <c r="T65">
        <v>1</v>
      </c>
      <c r="U65">
        <v>4</v>
      </c>
      <c r="V65">
        <v>132.38999999999999</v>
      </c>
      <c r="W65" s="139">
        <v>11.209</v>
      </c>
      <c r="X65" s="33">
        <v>45608</v>
      </c>
      <c r="Y65" s="37">
        <v>0.37614583333333335</v>
      </c>
      <c r="Z65">
        <v>0</v>
      </c>
      <c r="AA65">
        <v>0</v>
      </c>
      <c r="AB65">
        <v>0</v>
      </c>
      <c r="AC65" s="30">
        <f t="shared" ref="AC65" si="49">AC64</f>
        <v>11.2166</v>
      </c>
    </row>
    <row r="66" spans="1:29" x14ac:dyDescent="0.25">
      <c r="A66">
        <v>2</v>
      </c>
      <c r="B66" t="s">
        <v>16</v>
      </c>
      <c r="C66">
        <v>13056</v>
      </c>
      <c r="D66">
        <v>96</v>
      </c>
      <c r="E66">
        <v>1</v>
      </c>
      <c r="F66">
        <v>4</v>
      </c>
      <c r="G66">
        <v>152.22</v>
      </c>
      <c r="H66" s="139">
        <v>9.7483000000000004</v>
      </c>
      <c r="I66" s="33">
        <v>45608</v>
      </c>
      <c r="J66" s="37">
        <v>0.42340277777777779</v>
      </c>
      <c r="K66">
        <v>0</v>
      </c>
      <c r="L66">
        <v>0</v>
      </c>
      <c r="M66">
        <v>0</v>
      </c>
      <c r="N66" s="30">
        <f t="shared" si="4"/>
        <v>9.7420200000000001</v>
      </c>
      <c r="P66">
        <v>2</v>
      </c>
      <c r="Q66" t="s">
        <v>16</v>
      </c>
      <c r="R66">
        <v>13056</v>
      </c>
      <c r="S66">
        <v>96</v>
      </c>
      <c r="T66">
        <v>1</v>
      </c>
      <c r="U66">
        <v>4</v>
      </c>
      <c r="V66">
        <v>132.29</v>
      </c>
      <c r="W66" s="139">
        <v>11.217000000000001</v>
      </c>
      <c r="X66" s="33">
        <v>45608</v>
      </c>
      <c r="Y66" s="37">
        <v>0.43682870370370369</v>
      </c>
      <c r="Z66">
        <v>0</v>
      </c>
      <c r="AA66">
        <v>0</v>
      </c>
      <c r="AB66">
        <v>0</v>
      </c>
      <c r="AC66" s="30">
        <f t="shared" si="9"/>
        <v>11.2166</v>
      </c>
    </row>
    <row r="67" spans="1:29" x14ac:dyDescent="0.25">
      <c r="A67">
        <v>3</v>
      </c>
      <c r="B67" t="s">
        <v>16</v>
      </c>
      <c r="C67">
        <v>13056</v>
      </c>
      <c r="D67">
        <v>96</v>
      </c>
      <c r="E67">
        <v>1</v>
      </c>
      <c r="F67">
        <v>4</v>
      </c>
      <c r="G67">
        <v>152.38999999999999</v>
      </c>
      <c r="H67" s="139">
        <v>9.7373999999999992</v>
      </c>
      <c r="I67" s="33">
        <v>45608</v>
      </c>
      <c r="J67" s="37">
        <v>0.47840277777777779</v>
      </c>
      <c r="K67">
        <v>0</v>
      </c>
      <c r="L67">
        <v>0</v>
      </c>
      <c r="M67">
        <v>0</v>
      </c>
      <c r="N67" s="30">
        <f t="shared" si="4"/>
        <v>9.7420200000000001</v>
      </c>
      <c r="P67">
        <v>3</v>
      </c>
      <c r="Q67" t="s">
        <v>16</v>
      </c>
      <c r="R67">
        <v>13056</v>
      </c>
      <c r="S67">
        <v>96</v>
      </c>
      <c r="T67">
        <v>1</v>
      </c>
      <c r="U67">
        <v>4</v>
      </c>
      <c r="V67">
        <v>132.47999999999999</v>
      </c>
      <c r="W67" s="139">
        <v>11.201000000000001</v>
      </c>
      <c r="X67" s="33">
        <v>45608</v>
      </c>
      <c r="Y67" s="37">
        <v>0.4974884259259259</v>
      </c>
      <c r="Z67">
        <v>0</v>
      </c>
      <c r="AA67">
        <v>0</v>
      </c>
      <c r="AB67">
        <v>0</v>
      </c>
      <c r="AC67" s="30">
        <f t="shared" si="9"/>
        <v>11.2166</v>
      </c>
    </row>
    <row r="68" spans="1:29" x14ac:dyDescent="0.25">
      <c r="A68">
        <v>4</v>
      </c>
      <c r="B68" t="s">
        <v>16</v>
      </c>
      <c r="C68">
        <v>13056</v>
      </c>
      <c r="D68">
        <v>96</v>
      </c>
      <c r="E68">
        <v>1</v>
      </c>
      <c r="F68">
        <v>4</v>
      </c>
      <c r="G68">
        <v>152.32</v>
      </c>
      <c r="H68" s="139">
        <v>9.7421000000000006</v>
      </c>
      <c r="I68" s="33">
        <v>45608</v>
      </c>
      <c r="J68" s="37">
        <v>0.58150462962962968</v>
      </c>
      <c r="K68">
        <v>0</v>
      </c>
      <c r="L68">
        <v>0</v>
      </c>
      <c r="M68">
        <v>0</v>
      </c>
      <c r="N68" s="30">
        <f t="shared" si="4"/>
        <v>9.7420200000000001</v>
      </c>
      <c r="P68">
        <v>4</v>
      </c>
      <c r="Q68" t="s">
        <v>16</v>
      </c>
      <c r="R68">
        <v>13056</v>
      </c>
      <c r="S68">
        <v>96</v>
      </c>
      <c r="T68">
        <v>1</v>
      </c>
      <c r="U68">
        <v>4</v>
      </c>
      <c r="V68">
        <v>132.29</v>
      </c>
      <c r="W68" s="139">
        <v>11.217000000000001</v>
      </c>
      <c r="X68" s="33">
        <v>45608</v>
      </c>
      <c r="Y68" s="37">
        <v>0.60771990740740744</v>
      </c>
      <c r="Z68">
        <v>0</v>
      </c>
      <c r="AA68">
        <v>0</v>
      </c>
      <c r="AB68">
        <v>0</v>
      </c>
      <c r="AC68" s="30">
        <f t="shared" si="9"/>
        <v>11.2166</v>
      </c>
    </row>
    <row r="69" spans="1:29" x14ac:dyDescent="0.25">
      <c r="A69">
        <v>0</v>
      </c>
      <c r="B69" t="s">
        <v>16</v>
      </c>
      <c r="C69">
        <v>13824</v>
      </c>
      <c r="D69">
        <v>96</v>
      </c>
      <c r="E69">
        <v>1</v>
      </c>
      <c r="F69">
        <v>4</v>
      </c>
      <c r="G69">
        <v>200.44</v>
      </c>
      <c r="H69" s="139">
        <v>8.7879000000000005</v>
      </c>
      <c r="I69" s="33">
        <v>45608</v>
      </c>
      <c r="J69" s="37">
        <v>0.33028935185185188</v>
      </c>
      <c r="K69">
        <v>0</v>
      </c>
      <c r="L69">
        <v>0</v>
      </c>
      <c r="M69">
        <v>0</v>
      </c>
      <c r="N69" s="30">
        <f t="shared" ref="N69" si="50">AVERAGE(H69:H73)</f>
        <v>8.7888400000000004</v>
      </c>
      <c r="P69">
        <v>0</v>
      </c>
      <c r="Q69" t="s">
        <v>16</v>
      </c>
      <c r="R69">
        <v>13824</v>
      </c>
      <c r="S69">
        <v>96</v>
      </c>
      <c r="T69">
        <v>1</v>
      </c>
      <c r="U69">
        <v>4</v>
      </c>
      <c r="V69">
        <v>161.03</v>
      </c>
      <c r="W69" s="139">
        <v>10.939</v>
      </c>
      <c r="X69" s="33">
        <v>45608</v>
      </c>
      <c r="Y69" s="37">
        <v>0.33398148148148149</v>
      </c>
      <c r="Z69">
        <v>0</v>
      </c>
      <c r="AA69">
        <v>0</v>
      </c>
      <c r="AB69">
        <v>0</v>
      </c>
      <c r="AC69" s="30">
        <f t="shared" ref="AC69" si="51">AVERAGE(W69:W73)</f>
        <v>10.9412</v>
      </c>
    </row>
    <row r="70" spans="1:29" x14ac:dyDescent="0.25">
      <c r="A70">
        <v>1</v>
      </c>
      <c r="B70" t="s">
        <v>16</v>
      </c>
      <c r="C70">
        <v>13824</v>
      </c>
      <c r="D70">
        <v>96</v>
      </c>
      <c r="E70">
        <v>1</v>
      </c>
      <c r="F70">
        <v>4</v>
      </c>
      <c r="G70">
        <v>200.28</v>
      </c>
      <c r="H70" s="139">
        <v>8.7951999999999995</v>
      </c>
      <c r="I70" s="33">
        <v>45608</v>
      </c>
      <c r="J70" s="37">
        <v>0.38533564814814814</v>
      </c>
      <c r="K70">
        <v>0</v>
      </c>
      <c r="L70">
        <v>0</v>
      </c>
      <c r="M70">
        <v>0</v>
      </c>
      <c r="N70" s="30">
        <f t="shared" ref="N70" si="52">N69</f>
        <v>8.7888400000000004</v>
      </c>
      <c r="P70">
        <v>1</v>
      </c>
      <c r="Q70" t="s">
        <v>16</v>
      </c>
      <c r="R70">
        <v>13824</v>
      </c>
      <c r="S70">
        <v>96</v>
      </c>
      <c r="T70">
        <v>1</v>
      </c>
      <c r="U70">
        <v>4</v>
      </c>
      <c r="V70">
        <v>160.96</v>
      </c>
      <c r="W70" s="139">
        <v>10.944000000000001</v>
      </c>
      <c r="X70" s="33">
        <v>45608</v>
      </c>
      <c r="Y70" s="37">
        <v>0.3946527777777778</v>
      </c>
      <c r="Z70">
        <v>0</v>
      </c>
      <c r="AA70">
        <v>0</v>
      </c>
      <c r="AB70">
        <v>0</v>
      </c>
      <c r="AC70" s="30">
        <f t="shared" ref="AC70" si="53">AC69</f>
        <v>10.9412</v>
      </c>
    </row>
    <row r="71" spans="1:29" x14ac:dyDescent="0.25">
      <c r="A71">
        <v>2</v>
      </c>
      <c r="B71" t="s">
        <v>16</v>
      </c>
      <c r="C71">
        <v>13824</v>
      </c>
      <c r="D71">
        <v>96</v>
      </c>
      <c r="E71">
        <v>1</v>
      </c>
      <c r="F71">
        <v>4</v>
      </c>
      <c r="G71">
        <v>200.6</v>
      </c>
      <c r="H71" s="139">
        <v>8.7811000000000003</v>
      </c>
      <c r="I71" s="33">
        <v>45608</v>
      </c>
      <c r="J71" s="37">
        <v>0.44034722222222222</v>
      </c>
      <c r="K71">
        <v>0</v>
      </c>
      <c r="L71">
        <v>0</v>
      </c>
      <c r="M71">
        <v>0</v>
      </c>
      <c r="N71" s="30">
        <f t="shared" si="4"/>
        <v>8.7888400000000004</v>
      </c>
      <c r="P71">
        <v>2</v>
      </c>
      <c r="Q71" t="s">
        <v>16</v>
      </c>
      <c r="R71">
        <v>13824</v>
      </c>
      <c r="S71">
        <v>96</v>
      </c>
      <c r="T71">
        <v>1</v>
      </c>
      <c r="U71">
        <v>4</v>
      </c>
      <c r="V71">
        <v>161.11000000000001</v>
      </c>
      <c r="W71" s="139">
        <v>10.933</v>
      </c>
      <c r="X71" s="33">
        <v>45608</v>
      </c>
      <c r="Y71" s="37">
        <v>0.45533564814814814</v>
      </c>
      <c r="Z71">
        <v>0</v>
      </c>
      <c r="AA71">
        <v>0</v>
      </c>
      <c r="AB71">
        <v>0</v>
      </c>
      <c r="AC71" s="30">
        <f t="shared" si="13"/>
        <v>10.9412</v>
      </c>
    </row>
    <row r="72" spans="1:29" x14ac:dyDescent="0.25">
      <c r="A72">
        <v>3</v>
      </c>
      <c r="B72" t="s">
        <v>16</v>
      </c>
      <c r="C72">
        <v>13824</v>
      </c>
      <c r="D72">
        <v>96</v>
      </c>
      <c r="E72">
        <v>1</v>
      </c>
      <c r="F72">
        <v>4</v>
      </c>
      <c r="G72">
        <v>200.27</v>
      </c>
      <c r="H72" s="139">
        <v>8.7955000000000005</v>
      </c>
      <c r="I72" s="33">
        <v>45608</v>
      </c>
      <c r="J72" s="37">
        <v>0.49533564814814812</v>
      </c>
      <c r="K72">
        <v>0</v>
      </c>
      <c r="L72">
        <v>0</v>
      </c>
      <c r="M72">
        <v>0</v>
      </c>
      <c r="N72" s="30">
        <f t="shared" si="4"/>
        <v>8.7888400000000004</v>
      </c>
      <c r="P72">
        <v>3</v>
      </c>
      <c r="Q72" t="s">
        <v>16</v>
      </c>
      <c r="R72">
        <v>13824</v>
      </c>
      <c r="S72">
        <v>96</v>
      </c>
      <c r="T72">
        <v>1</v>
      </c>
      <c r="U72">
        <v>4</v>
      </c>
      <c r="V72">
        <v>160.97999999999999</v>
      </c>
      <c r="W72" s="139">
        <v>10.943</v>
      </c>
      <c r="X72" s="33">
        <v>45608</v>
      </c>
      <c r="Y72" s="37">
        <v>0.5655324074074074</v>
      </c>
      <c r="Z72">
        <v>0</v>
      </c>
      <c r="AA72">
        <v>0</v>
      </c>
      <c r="AB72">
        <v>0</v>
      </c>
      <c r="AC72" s="30">
        <f t="shared" si="13"/>
        <v>10.9412</v>
      </c>
    </row>
    <row r="73" spans="1:29" x14ac:dyDescent="0.25">
      <c r="A73">
        <v>4</v>
      </c>
      <c r="B73" t="s">
        <v>16</v>
      </c>
      <c r="C73">
        <v>13824</v>
      </c>
      <c r="D73">
        <v>96</v>
      </c>
      <c r="E73">
        <v>1</v>
      </c>
      <c r="F73">
        <v>4</v>
      </c>
      <c r="G73">
        <v>200.52</v>
      </c>
      <c r="H73" s="139">
        <v>8.7844999999999995</v>
      </c>
      <c r="I73" s="33">
        <v>45608</v>
      </c>
      <c r="J73" s="37">
        <v>0.59843749999999996</v>
      </c>
      <c r="K73">
        <v>0</v>
      </c>
      <c r="L73">
        <v>0</v>
      </c>
      <c r="M73">
        <v>0</v>
      </c>
      <c r="N73" s="30">
        <f t="shared" si="4"/>
        <v>8.7888400000000004</v>
      </c>
      <c r="P73">
        <v>4</v>
      </c>
      <c r="Q73" t="s">
        <v>16</v>
      </c>
      <c r="R73">
        <v>13824</v>
      </c>
      <c r="S73">
        <v>96</v>
      </c>
      <c r="T73">
        <v>1</v>
      </c>
      <c r="U73">
        <v>4</v>
      </c>
      <c r="V73">
        <v>160.91999999999999</v>
      </c>
      <c r="W73" s="139">
        <v>10.946999999999999</v>
      </c>
      <c r="X73" s="33">
        <v>45608</v>
      </c>
      <c r="Y73" s="37">
        <v>0.62624999999999997</v>
      </c>
      <c r="Z73">
        <v>0</v>
      </c>
      <c r="AA73">
        <v>0</v>
      </c>
      <c r="AB73">
        <v>0</v>
      </c>
      <c r="AC73" s="30">
        <f t="shared" si="13"/>
        <v>10.9412</v>
      </c>
    </row>
    <row r="74" spans="1:29" x14ac:dyDescent="0.25">
      <c r="A74">
        <v>0</v>
      </c>
      <c r="B74" t="s">
        <v>16</v>
      </c>
      <c r="C74">
        <v>14592</v>
      </c>
      <c r="D74">
        <v>96</v>
      </c>
      <c r="E74">
        <v>1</v>
      </c>
      <c r="F74">
        <v>4</v>
      </c>
      <c r="G74">
        <v>209.52</v>
      </c>
      <c r="H74" s="139">
        <v>9.8878000000000004</v>
      </c>
      <c r="I74" s="33">
        <v>45608</v>
      </c>
      <c r="J74" s="37">
        <v>0.34962962962962962</v>
      </c>
      <c r="K74">
        <v>0</v>
      </c>
      <c r="L74">
        <v>0</v>
      </c>
      <c r="M74">
        <v>0</v>
      </c>
      <c r="N74" s="30">
        <f t="shared" ref="N74" si="54">AVERAGE(H74:H78)</f>
        <v>9.8771799999999992</v>
      </c>
      <c r="P74">
        <v>0</v>
      </c>
      <c r="Q74" t="s">
        <v>16</v>
      </c>
      <c r="R74">
        <v>14592</v>
      </c>
      <c r="S74">
        <v>96</v>
      </c>
      <c r="T74">
        <v>1</v>
      </c>
      <c r="U74">
        <v>4</v>
      </c>
      <c r="V74">
        <v>182.93</v>
      </c>
      <c r="W74" s="139">
        <v>11.324999999999999</v>
      </c>
      <c r="X74" s="33">
        <v>45608</v>
      </c>
      <c r="Y74" s="37">
        <v>0.35521990740740739</v>
      </c>
      <c r="Z74">
        <v>0</v>
      </c>
      <c r="AA74">
        <v>0</v>
      </c>
      <c r="AB74">
        <v>0</v>
      </c>
      <c r="AC74" s="30">
        <f t="shared" ref="AC74" si="55">AVERAGE(W74:W78)</f>
        <v>11.337399999999999</v>
      </c>
    </row>
    <row r="75" spans="1:29" x14ac:dyDescent="0.25">
      <c r="A75">
        <v>1</v>
      </c>
      <c r="B75" t="s">
        <v>16</v>
      </c>
      <c r="C75">
        <v>14592</v>
      </c>
      <c r="D75">
        <v>96</v>
      </c>
      <c r="E75">
        <v>1</v>
      </c>
      <c r="F75">
        <v>4</v>
      </c>
      <c r="G75">
        <v>209.86</v>
      </c>
      <c r="H75" s="139">
        <v>9.8714999999999993</v>
      </c>
      <c r="I75" s="33">
        <v>45608</v>
      </c>
      <c r="J75" s="37">
        <v>0.40471064814814817</v>
      </c>
      <c r="K75">
        <v>0</v>
      </c>
      <c r="L75">
        <v>0</v>
      </c>
      <c r="M75">
        <v>0</v>
      </c>
      <c r="N75" s="30">
        <f t="shared" ref="N75:N138" si="56">N74</f>
        <v>9.8771799999999992</v>
      </c>
      <c r="P75">
        <v>1</v>
      </c>
      <c r="Q75" t="s">
        <v>16</v>
      </c>
      <c r="R75">
        <v>14592</v>
      </c>
      <c r="S75">
        <v>96</v>
      </c>
      <c r="T75">
        <v>1</v>
      </c>
      <c r="U75">
        <v>4</v>
      </c>
      <c r="V75">
        <v>182.48</v>
      </c>
      <c r="W75" s="139">
        <v>11.353</v>
      </c>
      <c r="X75" s="33">
        <v>45608</v>
      </c>
      <c r="Y75" s="37">
        <v>0.41590277777777779</v>
      </c>
      <c r="Z75">
        <v>0</v>
      </c>
      <c r="AA75">
        <v>0</v>
      </c>
      <c r="AB75">
        <v>0</v>
      </c>
      <c r="AC75" s="30">
        <f t="shared" ref="AC75" si="57">AC74</f>
        <v>11.337399999999999</v>
      </c>
    </row>
    <row r="76" spans="1:29" x14ac:dyDescent="0.25">
      <c r="A76">
        <v>2</v>
      </c>
      <c r="B76" t="s">
        <v>16</v>
      </c>
      <c r="C76">
        <v>14592</v>
      </c>
      <c r="D76">
        <v>96</v>
      </c>
      <c r="E76">
        <v>1</v>
      </c>
      <c r="F76">
        <v>4</v>
      </c>
      <c r="G76">
        <v>209.73</v>
      </c>
      <c r="H76" s="139">
        <v>9.8775999999999993</v>
      </c>
      <c r="I76" s="33">
        <v>45608</v>
      </c>
      <c r="J76" s="37">
        <v>0.45968750000000003</v>
      </c>
      <c r="K76">
        <v>0</v>
      </c>
      <c r="L76">
        <v>0</v>
      </c>
      <c r="M76">
        <v>0</v>
      </c>
      <c r="N76" s="30">
        <f t="shared" si="56"/>
        <v>9.8771799999999992</v>
      </c>
      <c r="P76">
        <v>2</v>
      </c>
      <c r="Q76" t="s">
        <v>16</v>
      </c>
      <c r="R76">
        <v>14592</v>
      </c>
      <c r="S76">
        <v>96</v>
      </c>
      <c r="T76">
        <v>1</v>
      </c>
      <c r="U76">
        <v>4</v>
      </c>
      <c r="V76">
        <v>182.59</v>
      </c>
      <c r="W76" s="139">
        <v>11.346</v>
      </c>
      <c r="X76" s="33">
        <v>45608</v>
      </c>
      <c r="Y76" s="37">
        <v>0.47657407407407409</v>
      </c>
      <c r="Z76">
        <v>0</v>
      </c>
      <c r="AA76">
        <v>0</v>
      </c>
      <c r="AB76">
        <v>0</v>
      </c>
      <c r="AC76" s="30">
        <f t="shared" si="9"/>
        <v>11.337399999999999</v>
      </c>
    </row>
    <row r="77" spans="1:29" x14ac:dyDescent="0.25">
      <c r="A77">
        <v>3</v>
      </c>
      <c r="B77" t="s">
        <v>16</v>
      </c>
      <c r="C77">
        <v>14592</v>
      </c>
      <c r="D77">
        <v>96</v>
      </c>
      <c r="E77">
        <v>1</v>
      </c>
      <c r="F77">
        <v>4</v>
      </c>
      <c r="G77">
        <v>209.94</v>
      </c>
      <c r="H77" s="139">
        <v>9.8678000000000008</v>
      </c>
      <c r="I77" s="33">
        <v>45608</v>
      </c>
      <c r="J77" s="37">
        <v>0.51468749999999996</v>
      </c>
      <c r="K77">
        <v>0</v>
      </c>
      <c r="L77">
        <v>0</v>
      </c>
      <c r="M77">
        <v>0</v>
      </c>
      <c r="N77" s="30">
        <f t="shared" si="56"/>
        <v>9.8771799999999992</v>
      </c>
      <c r="P77">
        <v>3</v>
      </c>
      <c r="Q77" t="s">
        <v>16</v>
      </c>
      <c r="R77">
        <v>14592</v>
      </c>
      <c r="S77">
        <v>96</v>
      </c>
      <c r="T77">
        <v>1</v>
      </c>
      <c r="U77">
        <v>4</v>
      </c>
      <c r="V77">
        <v>182.95</v>
      </c>
      <c r="W77" s="139">
        <v>11.323</v>
      </c>
      <c r="X77" s="33">
        <v>45608</v>
      </c>
      <c r="Y77" s="37">
        <v>0.58680555555555558</v>
      </c>
      <c r="Z77">
        <v>0</v>
      </c>
      <c r="AA77">
        <v>0</v>
      </c>
      <c r="AB77">
        <v>0</v>
      </c>
      <c r="AC77" s="30">
        <f t="shared" si="9"/>
        <v>11.337399999999999</v>
      </c>
    </row>
    <row r="78" spans="1:29" x14ac:dyDescent="0.25">
      <c r="A78">
        <v>4</v>
      </c>
      <c r="B78" t="s">
        <v>16</v>
      </c>
      <c r="C78">
        <v>14592</v>
      </c>
      <c r="D78">
        <v>96</v>
      </c>
      <c r="E78">
        <v>1</v>
      </c>
      <c r="F78">
        <v>4</v>
      </c>
      <c r="G78">
        <v>209.66</v>
      </c>
      <c r="H78" s="139">
        <v>9.8811999999999998</v>
      </c>
      <c r="I78" s="33">
        <v>45608</v>
      </c>
      <c r="J78" s="37">
        <v>0.61777777777777776</v>
      </c>
      <c r="K78">
        <v>0</v>
      </c>
      <c r="L78">
        <v>0</v>
      </c>
      <c r="M78">
        <v>0</v>
      </c>
      <c r="N78" s="30">
        <f t="shared" si="56"/>
        <v>9.8771799999999992</v>
      </c>
      <c r="P78">
        <v>4</v>
      </c>
      <c r="Q78" t="s">
        <v>16</v>
      </c>
      <c r="R78">
        <v>14592</v>
      </c>
      <c r="S78">
        <v>96</v>
      </c>
      <c r="T78">
        <v>1</v>
      </c>
      <c r="U78">
        <v>4</v>
      </c>
      <c r="V78">
        <v>182.69</v>
      </c>
      <c r="W78" s="139">
        <v>11.34</v>
      </c>
      <c r="X78" s="33">
        <v>45608</v>
      </c>
      <c r="Y78" s="37">
        <v>0.64749999999999996</v>
      </c>
      <c r="Z78">
        <v>0</v>
      </c>
      <c r="AA78">
        <v>0</v>
      </c>
      <c r="AB78">
        <v>0</v>
      </c>
      <c r="AC78" s="30">
        <f t="shared" si="9"/>
        <v>11.337399999999999</v>
      </c>
    </row>
    <row r="79" spans="1:29" x14ac:dyDescent="0.25">
      <c r="A79">
        <v>0</v>
      </c>
      <c r="B79" t="s">
        <v>16</v>
      </c>
      <c r="C79">
        <v>13056</v>
      </c>
      <c r="D79">
        <v>96</v>
      </c>
      <c r="E79">
        <v>2</v>
      </c>
      <c r="F79">
        <v>2</v>
      </c>
      <c r="G79">
        <v>148.44999999999999</v>
      </c>
      <c r="H79" s="139">
        <v>9.9961000000000002</v>
      </c>
      <c r="I79" s="33">
        <v>45608</v>
      </c>
      <c r="J79" s="37">
        <v>0.31521990740740741</v>
      </c>
      <c r="K79">
        <v>0</v>
      </c>
      <c r="L79">
        <v>0</v>
      </c>
      <c r="M79">
        <v>0</v>
      </c>
      <c r="N79" s="30">
        <f t="shared" ref="N79" si="58">AVERAGE(H79:H83)</f>
        <v>9.9916799999999988</v>
      </c>
      <c r="P79">
        <v>0</v>
      </c>
      <c r="Q79" t="s">
        <v>16</v>
      </c>
      <c r="R79">
        <v>13056</v>
      </c>
      <c r="S79">
        <v>96</v>
      </c>
      <c r="T79">
        <v>2</v>
      </c>
      <c r="U79">
        <v>2</v>
      </c>
      <c r="V79">
        <v>132.72</v>
      </c>
      <c r="W79" s="139">
        <v>11.180999999999999</v>
      </c>
      <c r="X79" s="33">
        <v>45608</v>
      </c>
      <c r="Y79" s="37">
        <v>0.31755787037037037</v>
      </c>
      <c r="Z79">
        <v>0</v>
      </c>
      <c r="AA79">
        <v>0</v>
      </c>
      <c r="AB79">
        <v>0</v>
      </c>
      <c r="AC79" s="30">
        <f t="shared" ref="AC79" si="59">AVERAGE(W79:W83)</f>
        <v>11.1762</v>
      </c>
    </row>
    <row r="80" spans="1:29" x14ac:dyDescent="0.25">
      <c r="A80">
        <v>1</v>
      </c>
      <c r="B80" t="s">
        <v>16</v>
      </c>
      <c r="C80">
        <v>13056</v>
      </c>
      <c r="D80">
        <v>96</v>
      </c>
      <c r="E80">
        <v>2</v>
      </c>
      <c r="F80">
        <v>2</v>
      </c>
      <c r="G80">
        <v>148.47</v>
      </c>
      <c r="H80" s="139">
        <v>9.9949999999999992</v>
      </c>
      <c r="I80" s="33">
        <v>45608</v>
      </c>
      <c r="J80" s="37">
        <v>0.37026620370370372</v>
      </c>
      <c r="K80">
        <v>0</v>
      </c>
      <c r="L80">
        <v>0</v>
      </c>
      <c r="M80">
        <v>0</v>
      </c>
      <c r="N80" s="30">
        <f t="shared" ref="N80" si="60">N79</f>
        <v>9.9916799999999988</v>
      </c>
      <c r="P80">
        <v>1</v>
      </c>
      <c r="Q80" t="s">
        <v>16</v>
      </c>
      <c r="R80">
        <v>13056</v>
      </c>
      <c r="S80">
        <v>96</v>
      </c>
      <c r="T80">
        <v>2</v>
      </c>
      <c r="U80">
        <v>2</v>
      </c>
      <c r="V80">
        <v>133.03</v>
      </c>
      <c r="W80" s="139">
        <v>11.154999999999999</v>
      </c>
      <c r="X80" s="33">
        <v>45608</v>
      </c>
      <c r="Y80" s="37">
        <v>0.37824074074074077</v>
      </c>
      <c r="Z80">
        <v>0</v>
      </c>
      <c r="AA80">
        <v>0</v>
      </c>
      <c r="AB80">
        <v>0</v>
      </c>
      <c r="AC80" s="30">
        <f t="shared" ref="AC80" si="61">AC79</f>
        <v>11.1762</v>
      </c>
    </row>
    <row r="81" spans="1:29" x14ac:dyDescent="0.25">
      <c r="A81">
        <v>2</v>
      </c>
      <c r="B81" t="s">
        <v>16</v>
      </c>
      <c r="C81">
        <v>13056</v>
      </c>
      <c r="D81">
        <v>96</v>
      </c>
      <c r="E81">
        <v>2</v>
      </c>
      <c r="F81">
        <v>2</v>
      </c>
      <c r="G81">
        <v>148.55000000000001</v>
      </c>
      <c r="H81" s="139">
        <v>9.9891000000000005</v>
      </c>
      <c r="I81" s="33">
        <v>45608</v>
      </c>
      <c r="J81" s="37">
        <v>0.42526620370370372</v>
      </c>
      <c r="K81">
        <v>0</v>
      </c>
      <c r="L81">
        <v>0</v>
      </c>
      <c r="M81">
        <v>0</v>
      </c>
      <c r="N81" s="30">
        <f t="shared" si="56"/>
        <v>9.9916799999999988</v>
      </c>
      <c r="P81">
        <v>2</v>
      </c>
      <c r="Q81" t="s">
        <v>16</v>
      </c>
      <c r="R81">
        <v>13056</v>
      </c>
      <c r="S81">
        <v>96</v>
      </c>
      <c r="T81">
        <v>2</v>
      </c>
      <c r="U81">
        <v>2</v>
      </c>
      <c r="V81">
        <v>132.53</v>
      </c>
      <c r="W81" s="139">
        <v>11.196999999999999</v>
      </c>
      <c r="X81" s="33">
        <v>45608</v>
      </c>
      <c r="Y81" s="37">
        <v>0.43891203703703702</v>
      </c>
      <c r="Z81">
        <v>0</v>
      </c>
      <c r="AA81">
        <v>0</v>
      </c>
      <c r="AB81">
        <v>0</v>
      </c>
      <c r="AC81" s="30">
        <f t="shared" si="13"/>
        <v>11.1762</v>
      </c>
    </row>
    <row r="82" spans="1:29" x14ac:dyDescent="0.25">
      <c r="A82">
        <v>3</v>
      </c>
      <c r="B82" t="s">
        <v>16</v>
      </c>
      <c r="C82">
        <v>13056</v>
      </c>
      <c r="D82">
        <v>96</v>
      </c>
      <c r="E82">
        <v>2</v>
      </c>
      <c r="F82">
        <v>2</v>
      </c>
      <c r="G82">
        <v>148.58000000000001</v>
      </c>
      <c r="H82" s="139">
        <v>9.9873999999999992</v>
      </c>
      <c r="I82" s="33">
        <v>45608</v>
      </c>
      <c r="J82" s="37">
        <v>0.48026620370370371</v>
      </c>
      <c r="K82">
        <v>0</v>
      </c>
      <c r="L82">
        <v>0</v>
      </c>
      <c r="M82">
        <v>0</v>
      </c>
      <c r="N82" s="30">
        <f t="shared" si="56"/>
        <v>9.9916799999999988</v>
      </c>
      <c r="P82">
        <v>3</v>
      </c>
      <c r="Q82" t="s">
        <v>16</v>
      </c>
      <c r="R82">
        <v>13056</v>
      </c>
      <c r="S82">
        <v>96</v>
      </c>
      <c r="T82">
        <v>2</v>
      </c>
      <c r="U82">
        <v>2</v>
      </c>
      <c r="V82">
        <v>132.75</v>
      </c>
      <c r="W82" s="139">
        <v>11.178000000000001</v>
      </c>
      <c r="X82" s="33">
        <v>45608</v>
      </c>
      <c r="Y82" s="37">
        <v>0.49958333333333332</v>
      </c>
      <c r="Z82">
        <v>0</v>
      </c>
      <c r="AA82">
        <v>0</v>
      </c>
      <c r="AB82">
        <v>0</v>
      </c>
      <c r="AC82" s="30">
        <f t="shared" si="13"/>
        <v>11.1762</v>
      </c>
    </row>
    <row r="83" spans="1:29" x14ac:dyDescent="0.25">
      <c r="A83">
        <v>4</v>
      </c>
      <c r="B83" t="s">
        <v>16</v>
      </c>
      <c r="C83">
        <v>13056</v>
      </c>
      <c r="D83">
        <v>96</v>
      </c>
      <c r="E83">
        <v>2</v>
      </c>
      <c r="F83">
        <v>2</v>
      </c>
      <c r="G83">
        <v>148.53</v>
      </c>
      <c r="H83" s="139">
        <v>9.9908000000000001</v>
      </c>
      <c r="I83" s="33">
        <v>45608</v>
      </c>
      <c r="J83" s="37">
        <v>0.5833680555555556</v>
      </c>
      <c r="K83">
        <v>0</v>
      </c>
      <c r="L83">
        <v>0</v>
      </c>
      <c r="M83">
        <v>0</v>
      </c>
      <c r="N83" s="30">
        <f t="shared" si="56"/>
        <v>9.9916799999999988</v>
      </c>
      <c r="P83">
        <v>4</v>
      </c>
      <c r="Q83" t="s">
        <v>16</v>
      </c>
      <c r="R83">
        <v>13056</v>
      </c>
      <c r="S83">
        <v>96</v>
      </c>
      <c r="T83">
        <v>2</v>
      </c>
      <c r="U83">
        <v>2</v>
      </c>
      <c r="V83">
        <v>132.84</v>
      </c>
      <c r="W83" s="139">
        <v>11.17</v>
      </c>
      <c r="X83" s="33">
        <v>45608</v>
      </c>
      <c r="Y83" s="37">
        <v>0.60981481481481481</v>
      </c>
      <c r="Z83">
        <v>0</v>
      </c>
      <c r="AA83">
        <v>0</v>
      </c>
      <c r="AB83">
        <v>0</v>
      </c>
      <c r="AC83" s="30">
        <f t="shared" si="13"/>
        <v>11.1762</v>
      </c>
    </row>
    <row r="84" spans="1:29" x14ac:dyDescent="0.25">
      <c r="A84">
        <v>0</v>
      </c>
      <c r="B84" t="s">
        <v>16</v>
      </c>
      <c r="C84">
        <v>13824</v>
      </c>
      <c r="D84">
        <v>96</v>
      </c>
      <c r="E84">
        <v>2</v>
      </c>
      <c r="F84">
        <v>2</v>
      </c>
      <c r="G84">
        <v>179.24</v>
      </c>
      <c r="H84" s="139">
        <v>9.8274000000000008</v>
      </c>
      <c r="I84" s="33">
        <v>45608</v>
      </c>
      <c r="J84" s="37">
        <v>0.33252314814814815</v>
      </c>
      <c r="K84">
        <v>0</v>
      </c>
      <c r="L84">
        <v>0</v>
      </c>
      <c r="M84">
        <v>0</v>
      </c>
      <c r="N84" s="30">
        <f t="shared" ref="N84" si="62">AVERAGE(H84:H88)</f>
        <v>9.82728</v>
      </c>
      <c r="P84">
        <v>0</v>
      </c>
      <c r="Q84" t="s">
        <v>16</v>
      </c>
      <c r="R84">
        <v>13824</v>
      </c>
      <c r="S84">
        <v>96</v>
      </c>
      <c r="T84">
        <v>2</v>
      </c>
      <c r="U84">
        <v>2</v>
      </c>
      <c r="V84">
        <v>157.56</v>
      </c>
      <c r="W84" s="139">
        <v>11.18</v>
      </c>
      <c r="X84" s="33">
        <v>45608</v>
      </c>
      <c r="Y84" s="37">
        <v>0.33642361111111113</v>
      </c>
      <c r="Z84">
        <v>0</v>
      </c>
      <c r="AA84">
        <v>0</v>
      </c>
      <c r="AB84">
        <v>0</v>
      </c>
      <c r="AC84" s="30">
        <f t="shared" ref="AC84" si="63">AVERAGE(W84:W88)</f>
        <v>11.195199999999998</v>
      </c>
    </row>
    <row r="85" spans="1:29" x14ac:dyDescent="0.25">
      <c r="A85">
        <v>1</v>
      </c>
      <c r="B85" t="s">
        <v>16</v>
      </c>
      <c r="C85">
        <v>13824</v>
      </c>
      <c r="D85">
        <v>96</v>
      </c>
      <c r="E85">
        <v>2</v>
      </c>
      <c r="F85">
        <v>2</v>
      </c>
      <c r="G85">
        <v>179.42</v>
      </c>
      <c r="H85" s="139">
        <v>9.8179999999999996</v>
      </c>
      <c r="I85" s="33">
        <v>45608</v>
      </c>
      <c r="J85" s="37">
        <v>0.38758101851851851</v>
      </c>
      <c r="K85">
        <v>0</v>
      </c>
      <c r="L85">
        <v>0</v>
      </c>
      <c r="M85">
        <v>0</v>
      </c>
      <c r="N85" s="30">
        <f t="shared" ref="N85" si="64">N84</f>
        <v>9.82728</v>
      </c>
      <c r="P85">
        <v>1</v>
      </c>
      <c r="Q85" t="s">
        <v>16</v>
      </c>
      <c r="R85">
        <v>13824</v>
      </c>
      <c r="S85">
        <v>96</v>
      </c>
      <c r="T85">
        <v>2</v>
      </c>
      <c r="U85">
        <v>2</v>
      </c>
      <c r="V85">
        <v>157.33000000000001</v>
      </c>
      <c r="W85" s="139">
        <v>11.196</v>
      </c>
      <c r="X85" s="33">
        <v>45608</v>
      </c>
      <c r="Y85" s="37">
        <v>0.39709490740740738</v>
      </c>
      <c r="Z85">
        <v>0</v>
      </c>
      <c r="AA85">
        <v>0</v>
      </c>
      <c r="AB85">
        <v>0</v>
      </c>
      <c r="AC85" s="30">
        <f t="shared" ref="AC85:AC118" si="65">AC84</f>
        <v>11.195199999999998</v>
      </c>
    </row>
    <row r="86" spans="1:29" x14ac:dyDescent="0.25">
      <c r="A86">
        <v>2</v>
      </c>
      <c r="B86" t="s">
        <v>16</v>
      </c>
      <c r="C86">
        <v>13824</v>
      </c>
      <c r="D86">
        <v>96</v>
      </c>
      <c r="E86">
        <v>2</v>
      </c>
      <c r="F86">
        <v>2</v>
      </c>
      <c r="G86">
        <v>179.27</v>
      </c>
      <c r="H86" s="139">
        <v>9.8257999999999992</v>
      </c>
      <c r="I86" s="33">
        <v>45608</v>
      </c>
      <c r="J86" s="37">
        <v>0.4425810185185185</v>
      </c>
      <c r="K86">
        <v>0</v>
      </c>
      <c r="L86">
        <v>0</v>
      </c>
      <c r="M86">
        <v>0</v>
      </c>
      <c r="N86" s="30">
        <f t="shared" si="56"/>
        <v>9.82728</v>
      </c>
      <c r="P86">
        <v>2</v>
      </c>
      <c r="Q86" t="s">
        <v>16</v>
      </c>
      <c r="R86">
        <v>13824</v>
      </c>
      <c r="S86">
        <v>96</v>
      </c>
      <c r="T86">
        <v>2</v>
      </c>
      <c r="U86">
        <v>2</v>
      </c>
      <c r="V86">
        <v>157.32</v>
      </c>
      <c r="W86" s="139">
        <v>11.196999999999999</v>
      </c>
      <c r="X86" s="33">
        <v>45608</v>
      </c>
      <c r="Y86" s="37">
        <v>0.45777777777777778</v>
      </c>
      <c r="Z86">
        <v>0</v>
      </c>
      <c r="AA86">
        <v>0</v>
      </c>
      <c r="AB86">
        <v>0</v>
      </c>
      <c r="AC86" s="30">
        <f t="shared" si="65"/>
        <v>11.195199999999998</v>
      </c>
    </row>
    <row r="87" spans="1:29" x14ac:dyDescent="0.25">
      <c r="A87">
        <v>3</v>
      </c>
      <c r="B87" t="s">
        <v>16</v>
      </c>
      <c r="C87">
        <v>13824</v>
      </c>
      <c r="D87">
        <v>96</v>
      </c>
      <c r="E87">
        <v>2</v>
      </c>
      <c r="F87">
        <v>2</v>
      </c>
      <c r="G87">
        <v>179.09</v>
      </c>
      <c r="H87" s="139">
        <v>9.8358000000000008</v>
      </c>
      <c r="I87" s="33">
        <v>45608</v>
      </c>
      <c r="J87" s="37">
        <v>0.49758101851851849</v>
      </c>
      <c r="K87">
        <v>0</v>
      </c>
      <c r="L87">
        <v>0</v>
      </c>
      <c r="M87">
        <v>0</v>
      </c>
      <c r="N87" s="30">
        <f t="shared" si="56"/>
        <v>9.82728</v>
      </c>
      <c r="P87">
        <v>3</v>
      </c>
      <c r="Q87" t="s">
        <v>16</v>
      </c>
      <c r="R87">
        <v>13824</v>
      </c>
      <c r="S87">
        <v>96</v>
      </c>
      <c r="T87">
        <v>2</v>
      </c>
      <c r="U87">
        <v>2</v>
      </c>
      <c r="V87">
        <v>157.22999999999999</v>
      </c>
      <c r="W87" s="139">
        <v>11.204000000000001</v>
      </c>
      <c r="X87" s="33">
        <v>45608</v>
      </c>
      <c r="Y87" s="37">
        <v>0.56797453703703704</v>
      </c>
      <c r="Z87">
        <v>0</v>
      </c>
      <c r="AA87">
        <v>0</v>
      </c>
      <c r="AB87">
        <v>0</v>
      </c>
      <c r="AC87" s="30">
        <f t="shared" si="65"/>
        <v>11.195199999999998</v>
      </c>
    </row>
    <row r="88" spans="1:29" x14ac:dyDescent="0.25">
      <c r="A88">
        <v>4</v>
      </c>
      <c r="B88" t="s">
        <v>16</v>
      </c>
      <c r="C88">
        <v>13824</v>
      </c>
      <c r="D88">
        <v>96</v>
      </c>
      <c r="E88">
        <v>2</v>
      </c>
      <c r="F88">
        <v>2</v>
      </c>
      <c r="G88">
        <v>179.21</v>
      </c>
      <c r="H88" s="139">
        <v>9.8293999999999997</v>
      </c>
      <c r="I88" s="33">
        <v>45608</v>
      </c>
      <c r="J88" s="37">
        <v>0.60068287037037038</v>
      </c>
      <c r="K88">
        <v>0</v>
      </c>
      <c r="L88">
        <v>0</v>
      </c>
      <c r="M88">
        <v>0</v>
      </c>
      <c r="N88" s="30">
        <f t="shared" si="56"/>
        <v>9.82728</v>
      </c>
      <c r="P88">
        <v>4</v>
      </c>
      <c r="Q88" t="s">
        <v>16</v>
      </c>
      <c r="R88">
        <v>13824</v>
      </c>
      <c r="S88">
        <v>96</v>
      </c>
      <c r="T88">
        <v>2</v>
      </c>
      <c r="U88">
        <v>2</v>
      </c>
      <c r="V88">
        <v>157.29</v>
      </c>
      <c r="W88" s="139">
        <v>11.199</v>
      </c>
      <c r="X88" s="33">
        <v>45608</v>
      </c>
      <c r="Y88" s="37">
        <v>0.62868055555555558</v>
      </c>
      <c r="Z88">
        <v>0</v>
      </c>
      <c r="AA88">
        <v>0</v>
      </c>
      <c r="AB88">
        <v>0</v>
      </c>
      <c r="AC88" s="30">
        <f t="shared" si="65"/>
        <v>11.195199999999998</v>
      </c>
    </row>
    <row r="89" spans="1:29" x14ac:dyDescent="0.25">
      <c r="A89">
        <v>0</v>
      </c>
      <c r="B89" t="s">
        <v>16</v>
      </c>
      <c r="C89">
        <v>14592</v>
      </c>
      <c r="D89">
        <v>96</v>
      </c>
      <c r="E89">
        <v>2</v>
      </c>
      <c r="F89">
        <v>2</v>
      </c>
      <c r="G89">
        <v>205.41</v>
      </c>
      <c r="H89" s="139">
        <v>10.086</v>
      </c>
      <c r="I89" s="33">
        <v>45608</v>
      </c>
      <c r="J89" s="37">
        <v>0.35218749999999999</v>
      </c>
      <c r="K89">
        <v>0</v>
      </c>
      <c r="L89">
        <v>0</v>
      </c>
      <c r="M89">
        <v>0</v>
      </c>
      <c r="N89" s="30">
        <f t="shared" ref="N89" si="66">AVERAGE(H89:H93)</f>
        <v>10.1142</v>
      </c>
      <c r="P89">
        <v>0</v>
      </c>
      <c r="Q89" t="s">
        <v>16</v>
      </c>
      <c r="R89">
        <v>14592</v>
      </c>
      <c r="S89">
        <v>96</v>
      </c>
      <c r="T89">
        <v>2</v>
      </c>
      <c r="U89">
        <v>2</v>
      </c>
      <c r="V89">
        <v>183.37</v>
      </c>
      <c r="W89" s="139">
        <v>11.298</v>
      </c>
      <c r="X89" s="33">
        <v>45608</v>
      </c>
      <c r="Y89" s="37">
        <v>0.35802083333333334</v>
      </c>
      <c r="Z89">
        <v>0</v>
      </c>
      <c r="AA89">
        <v>0</v>
      </c>
      <c r="AB89">
        <v>0</v>
      </c>
      <c r="AC89" s="30">
        <f t="shared" ref="AC89" si="67">AVERAGE(W89:W93)</f>
        <v>11.309800000000001</v>
      </c>
    </row>
    <row r="90" spans="1:29" x14ac:dyDescent="0.25">
      <c r="A90">
        <v>1</v>
      </c>
      <c r="B90" t="s">
        <v>16</v>
      </c>
      <c r="C90">
        <v>14592</v>
      </c>
      <c r="D90">
        <v>96</v>
      </c>
      <c r="E90">
        <v>2</v>
      </c>
      <c r="F90">
        <v>2</v>
      </c>
      <c r="G90">
        <v>204.68</v>
      </c>
      <c r="H90" s="139">
        <v>10.121</v>
      </c>
      <c r="I90" s="33">
        <v>45608</v>
      </c>
      <c r="J90" s="37">
        <v>0.40725694444444444</v>
      </c>
      <c r="K90">
        <v>0</v>
      </c>
      <c r="L90">
        <v>0</v>
      </c>
      <c r="M90">
        <v>0</v>
      </c>
      <c r="N90" s="30">
        <f t="shared" ref="N90" si="68">N89</f>
        <v>10.1142</v>
      </c>
      <c r="P90">
        <v>1</v>
      </c>
      <c r="Q90" t="s">
        <v>16</v>
      </c>
      <c r="R90">
        <v>14592</v>
      </c>
      <c r="S90">
        <v>96</v>
      </c>
      <c r="T90">
        <v>2</v>
      </c>
      <c r="U90">
        <v>2</v>
      </c>
      <c r="V90">
        <v>183.01</v>
      </c>
      <c r="W90" s="139">
        <v>11.32</v>
      </c>
      <c r="X90" s="33">
        <v>45608</v>
      </c>
      <c r="Y90" s="37">
        <v>0.41871527777777778</v>
      </c>
      <c r="Z90">
        <v>0</v>
      </c>
      <c r="AA90">
        <v>0</v>
      </c>
      <c r="AB90">
        <v>0</v>
      </c>
      <c r="AC90" s="30">
        <f t="shared" ref="AC90:AC153" si="69">AC89</f>
        <v>11.309800000000001</v>
      </c>
    </row>
    <row r="91" spans="1:29" x14ac:dyDescent="0.25">
      <c r="A91">
        <v>2</v>
      </c>
      <c r="B91" t="s">
        <v>16</v>
      </c>
      <c r="C91">
        <v>14592</v>
      </c>
      <c r="D91">
        <v>96</v>
      </c>
      <c r="E91">
        <v>2</v>
      </c>
      <c r="F91">
        <v>2</v>
      </c>
      <c r="G91">
        <v>204.81</v>
      </c>
      <c r="H91" s="139">
        <v>10.115</v>
      </c>
      <c r="I91" s="33">
        <v>45608</v>
      </c>
      <c r="J91" s="37">
        <v>0.4622337962962963</v>
      </c>
      <c r="K91">
        <v>0</v>
      </c>
      <c r="L91">
        <v>0</v>
      </c>
      <c r="M91">
        <v>0</v>
      </c>
      <c r="N91" s="30">
        <f t="shared" si="56"/>
        <v>10.1142</v>
      </c>
      <c r="P91">
        <v>2</v>
      </c>
      <c r="Q91" t="s">
        <v>16</v>
      </c>
      <c r="R91">
        <v>14592</v>
      </c>
      <c r="S91">
        <v>96</v>
      </c>
      <c r="T91">
        <v>2</v>
      </c>
      <c r="U91">
        <v>2</v>
      </c>
      <c r="V91">
        <v>182.91</v>
      </c>
      <c r="W91" s="139">
        <v>11.326000000000001</v>
      </c>
      <c r="X91" s="33">
        <v>45608</v>
      </c>
      <c r="Y91" s="37">
        <v>0.479375</v>
      </c>
      <c r="Z91">
        <v>0</v>
      </c>
      <c r="AA91">
        <v>0</v>
      </c>
      <c r="AB91">
        <v>0</v>
      </c>
      <c r="AC91" s="30">
        <f t="shared" si="69"/>
        <v>11.309800000000001</v>
      </c>
    </row>
    <row r="92" spans="1:29" x14ac:dyDescent="0.25">
      <c r="A92">
        <v>3</v>
      </c>
      <c r="B92" t="s">
        <v>16</v>
      </c>
      <c r="C92">
        <v>14592</v>
      </c>
      <c r="D92">
        <v>96</v>
      </c>
      <c r="E92">
        <v>2</v>
      </c>
      <c r="F92">
        <v>2</v>
      </c>
      <c r="G92">
        <v>204.74</v>
      </c>
      <c r="H92" s="139">
        <v>10.119</v>
      </c>
      <c r="I92" s="33">
        <v>45608</v>
      </c>
      <c r="J92" s="37">
        <v>0.56537037037037041</v>
      </c>
      <c r="K92">
        <v>0</v>
      </c>
      <c r="L92">
        <v>0</v>
      </c>
      <c r="M92">
        <v>0</v>
      </c>
      <c r="N92" s="30">
        <f t="shared" si="56"/>
        <v>10.1142</v>
      </c>
      <c r="P92">
        <v>3</v>
      </c>
      <c r="Q92" t="s">
        <v>16</v>
      </c>
      <c r="R92">
        <v>14592</v>
      </c>
      <c r="S92">
        <v>96</v>
      </c>
      <c r="T92">
        <v>2</v>
      </c>
      <c r="U92">
        <v>2</v>
      </c>
      <c r="V92">
        <v>183.16</v>
      </c>
      <c r="W92" s="139">
        <v>11.311</v>
      </c>
      <c r="X92" s="33">
        <v>45608</v>
      </c>
      <c r="Y92" s="37">
        <v>0.58960648148148154</v>
      </c>
      <c r="Z92">
        <v>0</v>
      </c>
      <c r="AA92">
        <v>0</v>
      </c>
      <c r="AB92">
        <v>0</v>
      </c>
      <c r="AC92" s="30">
        <f t="shared" si="69"/>
        <v>11.309800000000001</v>
      </c>
    </row>
    <row r="93" spans="1:29" x14ac:dyDescent="0.25">
      <c r="A93">
        <v>4</v>
      </c>
      <c r="B93" t="s">
        <v>16</v>
      </c>
      <c r="C93">
        <v>14592</v>
      </c>
      <c r="D93">
        <v>96</v>
      </c>
      <c r="E93">
        <v>2</v>
      </c>
      <c r="F93">
        <v>2</v>
      </c>
      <c r="G93">
        <v>204.51</v>
      </c>
      <c r="H93" s="139">
        <v>10.130000000000001</v>
      </c>
      <c r="I93" s="33">
        <v>45608</v>
      </c>
      <c r="J93" s="37">
        <v>0.62032407407407408</v>
      </c>
      <c r="K93">
        <v>0</v>
      </c>
      <c r="L93">
        <v>0</v>
      </c>
      <c r="M93">
        <v>0</v>
      </c>
      <c r="N93" s="30">
        <f t="shared" si="56"/>
        <v>10.1142</v>
      </c>
      <c r="P93">
        <v>4</v>
      </c>
      <c r="Q93" t="s">
        <v>16</v>
      </c>
      <c r="R93">
        <v>14592</v>
      </c>
      <c r="S93">
        <v>96</v>
      </c>
      <c r="T93">
        <v>2</v>
      </c>
      <c r="U93">
        <v>2</v>
      </c>
      <c r="V93">
        <v>183.43</v>
      </c>
      <c r="W93" s="139">
        <v>11.294</v>
      </c>
      <c r="X93" s="33">
        <v>45608</v>
      </c>
      <c r="Y93" s="37">
        <v>0.65031249999999996</v>
      </c>
      <c r="Z93">
        <v>0</v>
      </c>
      <c r="AA93">
        <v>0</v>
      </c>
      <c r="AB93">
        <v>0</v>
      </c>
      <c r="AC93" s="30">
        <f t="shared" si="69"/>
        <v>11.309800000000001</v>
      </c>
    </row>
    <row r="94" spans="1:29" x14ac:dyDescent="0.25">
      <c r="A94">
        <v>0</v>
      </c>
      <c r="B94" t="s">
        <v>16</v>
      </c>
      <c r="C94">
        <v>13056</v>
      </c>
      <c r="D94">
        <v>128</v>
      </c>
      <c r="E94">
        <v>1</v>
      </c>
      <c r="F94">
        <v>4</v>
      </c>
      <c r="G94">
        <v>148.91</v>
      </c>
      <c r="H94" s="17">
        <v>9.9649999999999999</v>
      </c>
      <c r="I94" s="33">
        <v>45318</v>
      </c>
      <c r="J94" s="37">
        <v>0.80572916666666661</v>
      </c>
      <c r="K94">
        <v>0</v>
      </c>
      <c r="L94">
        <v>0</v>
      </c>
      <c r="M94">
        <v>0</v>
      </c>
      <c r="N94" s="30">
        <f t="shared" ref="N94" si="70">AVERAGE(H94:H98)</f>
        <v>9.9653799999999997</v>
      </c>
      <c r="P94">
        <v>0</v>
      </c>
      <c r="Q94" t="s">
        <v>16</v>
      </c>
      <c r="R94">
        <v>13056</v>
      </c>
      <c r="S94">
        <v>128</v>
      </c>
      <c r="T94">
        <v>1</v>
      </c>
      <c r="U94">
        <v>4</v>
      </c>
      <c r="V94">
        <v>136.31</v>
      </c>
      <c r="W94" s="17">
        <v>10.887</v>
      </c>
      <c r="X94" s="33">
        <v>45318</v>
      </c>
      <c r="Y94" s="37">
        <v>0.47362268518518519</v>
      </c>
      <c r="Z94">
        <v>0</v>
      </c>
      <c r="AA94">
        <v>0</v>
      </c>
      <c r="AB94">
        <v>0</v>
      </c>
      <c r="AC94" s="30">
        <f t="shared" ref="AC94" si="71">AVERAGE(W94:W98)</f>
        <v>10.886199999999999</v>
      </c>
    </row>
    <row r="95" spans="1:29" x14ac:dyDescent="0.25">
      <c r="A95">
        <v>1</v>
      </c>
      <c r="B95" t="s">
        <v>16</v>
      </c>
      <c r="C95">
        <v>13056</v>
      </c>
      <c r="D95">
        <v>128</v>
      </c>
      <c r="E95">
        <v>1</v>
      </c>
      <c r="F95">
        <v>4</v>
      </c>
      <c r="G95">
        <v>148.81</v>
      </c>
      <c r="H95" s="17">
        <v>9.9718</v>
      </c>
      <c r="I95" s="33">
        <v>45318</v>
      </c>
      <c r="J95" s="37">
        <v>0.85843749999999996</v>
      </c>
      <c r="K95">
        <v>0</v>
      </c>
      <c r="L95">
        <v>0</v>
      </c>
      <c r="M95">
        <v>0</v>
      </c>
      <c r="N95" s="30">
        <f t="shared" ref="N95" si="72">N94</f>
        <v>9.9653799999999997</v>
      </c>
      <c r="P95">
        <v>1</v>
      </c>
      <c r="Q95" t="s">
        <v>16</v>
      </c>
      <c r="R95">
        <v>13056</v>
      </c>
      <c r="S95">
        <v>128</v>
      </c>
      <c r="T95">
        <v>1</v>
      </c>
      <c r="U95">
        <v>4</v>
      </c>
      <c r="V95">
        <v>136.28</v>
      </c>
      <c r="W95" s="17">
        <v>10.888999999999999</v>
      </c>
      <c r="X95" s="33">
        <v>45318</v>
      </c>
      <c r="Y95" s="37">
        <v>0.5332986111111111</v>
      </c>
      <c r="Z95">
        <v>0</v>
      </c>
      <c r="AA95">
        <v>0</v>
      </c>
      <c r="AB95">
        <v>0</v>
      </c>
      <c r="AC95" s="30">
        <f t="shared" ref="AC95" si="73">AC94</f>
        <v>10.886199999999999</v>
      </c>
    </row>
    <row r="96" spans="1:29" x14ac:dyDescent="0.25">
      <c r="A96">
        <v>2</v>
      </c>
      <c r="B96" t="s">
        <v>16</v>
      </c>
      <c r="C96">
        <v>13056</v>
      </c>
      <c r="D96">
        <v>128</v>
      </c>
      <c r="E96">
        <v>1</v>
      </c>
      <c r="F96">
        <v>4</v>
      </c>
      <c r="G96">
        <v>149.05000000000001</v>
      </c>
      <c r="H96" s="17">
        <v>9.9560999999999993</v>
      </c>
      <c r="I96" s="33">
        <v>45318</v>
      </c>
      <c r="J96" s="37">
        <v>0.91115740740740747</v>
      </c>
      <c r="K96">
        <v>0</v>
      </c>
      <c r="L96">
        <v>0</v>
      </c>
      <c r="M96">
        <v>0</v>
      </c>
      <c r="N96" s="30">
        <f t="shared" si="56"/>
        <v>9.9653799999999997</v>
      </c>
      <c r="P96">
        <v>2</v>
      </c>
      <c r="Q96" t="s">
        <v>16</v>
      </c>
      <c r="R96">
        <v>13056</v>
      </c>
      <c r="S96">
        <v>128</v>
      </c>
      <c r="T96">
        <v>1</v>
      </c>
      <c r="U96">
        <v>4</v>
      </c>
      <c r="V96">
        <v>136.32</v>
      </c>
      <c r="W96" s="17">
        <v>10.885999999999999</v>
      </c>
      <c r="X96" s="33">
        <v>45318</v>
      </c>
      <c r="Y96" s="37">
        <v>0.59292824074074069</v>
      </c>
      <c r="Z96">
        <v>0</v>
      </c>
      <c r="AA96">
        <v>0</v>
      </c>
      <c r="AB96">
        <v>0</v>
      </c>
      <c r="AC96" s="30">
        <f t="shared" si="65"/>
        <v>10.886199999999999</v>
      </c>
    </row>
    <row r="97" spans="1:29" x14ac:dyDescent="0.25">
      <c r="A97">
        <v>3</v>
      </c>
      <c r="B97" t="s">
        <v>16</v>
      </c>
      <c r="C97">
        <v>13056</v>
      </c>
      <c r="D97">
        <v>128</v>
      </c>
      <c r="E97">
        <v>1</v>
      </c>
      <c r="F97">
        <v>4</v>
      </c>
      <c r="G97">
        <v>148.91</v>
      </c>
      <c r="H97" s="17">
        <v>9.9656000000000002</v>
      </c>
      <c r="I97" s="33">
        <v>45318</v>
      </c>
      <c r="J97" s="37">
        <v>0.96387731481481476</v>
      </c>
      <c r="K97">
        <v>0</v>
      </c>
      <c r="L97">
        <v>0</v>
      </c>
      <c r="M97">
        <v>0</v>
      </c>
      <c r="N97" s="30">
        <f t="shared" si="56"/>
        <v>9.9653799999999997</v>
      </c>
      <c r="P97">
        <v>3</v>
      </c>
      <c r="Q97" t="s">
        <v>16</v>
      </c>
      <c r="R97">
        <v>13056</v>
      </c>
      <c r="S97">
        <v>128</v>
      </c>
      <c r="T97">
        <v>1</v>
      </c>
      <c r="U97">
        <v>4</v>
      </c>
      <c r="V97">
        <v>136.38999999999999</v>
      </c>
      <c r="W97" s="17">
        <v>10.88</v>
      </c>
      <c r="X97" s="33">
        <v>45318</v>
      </c>
      <c r="Y97" s="37">
        <v>0.65260416666666665</v>
      </c>
      <c r="Z97">
        <v>0</v>
      </c>
      <c r="AA97">
        <v>0</v>
      </c>
      <c r="AB97">
        <v>0</v>
      </c>
      <c r="AC97" s="30">
        <f t="shared" si="65"/>
        <v>10.886199999999999</v>
      </c>
    </row>
    <row r="98" spans="1:29" x14ac:dyDescent="0.25">
      <c r="A98">
        <v>4</v>
      </c>
      <c r="B98" t="s">
        <v>16</v>
      </c>
      <c r="C98">
        <v>13056</v>
      </c>
      <c r="D98">
        <v>128</v>
      </c>
      <c r="E98">
        <v>1</v>
      </c>
      <c r="F98">
        <v>4</v>
      </c>
      <c r="G98">
        <v>148.86000000000001</v>
      </c>
      <c r="H98" s="17">
        <v>9.9684000000000008</v>
      </c>
      <c r="I98" s="33">
        <v>45319</v>
      </c>
      <c r="J98" s="37">
        <v>1.6585648148148148E-2</v>
      </c>
      <c r="K98">
        <v>0</v>
      </c>
      <c r="L98">
        <v>0</v>
      </c>
      <c r="M98">
        <v>0</v>
      </c>
      <c r="N98" s="30">
        <f t="shared" si="56"/>
        <v>9.9653799999999997</v>
      </c>
      <c r="P98">
        <v>4</v>
      </c>
      <c r="Q98" t="s">
        <v>16</v>
      </c>
      <c r="R98">
        <v>13056</v>
      </c>
      <c r="S98">
        <v>128</v>
      </c>
      <c r="T98">
        <v>1</v>
      </c>
      <c r="U98">
        <v>4</v>
      </c>
      <c r="V98">
        <v>136.28</v>
      </c>
      <c r="W98" s="17">
        <v>10.888999999999999</v>
      </c>
      <c r="X98" s="33">
        <v>45318</v>
      </c>
      <c r="Y98" s="37">
        <v>0.71224537037037028</v>
      </c>
      <c r="Z98">
        <v>0</v>
      </c>
      <c r="AA98">
        <v>0</v>
      </c>
      <c r="AB98">
        <v>0</v>
      </c>
      <c r="AC98" s="30">
        <f t="shared" si="65"/>
        <v>10.886199999999999</v>
      </c>
    </row>
    <row r="99" spans="1:29" x14ac:dyDescent="0.25">
      <c r="A99">
        <v>0</v>
      </c>
      <c r="B99" t="s">
        <v>16</v>
      </c>
      <c r="C99">
        <v>13824</v>
      </c>
      <c r="D99">
        <v>128</v>
      </c>
      <c r="E99">
        <v>1</v>
      </c>
      <c r="F99">
        <v>4</v>
      </c>
      <c r="G99">
        <v>193.67</v>
      </c>
      <c r="H99" s="17">
        <v>9.0952999999999999</v>
      </c>
      <c r="I99" s="33">
        <v>45318</v>
      </c>
      <c r="J99" s="37">
        <v>0.82185185185185183</v>
      </c>
      <c r="K99">
        <v>0</v>
      </c>
      <c r="L99">
        <v>0</v>
      </c>
      <c r="M99">
        <v>0</v>
      </c>
      <c r="N99" s="30">
        <f t="shared" ref="N99" si="74">AVERAGE(H99:H103)</f>
        <v>9.09558</v>
      </c>
      <c r="P99">
        <v>0</v>
      </c>
      <c r="Q99" t="s">
        <v>16</v>
      </c>
      <c r="R99">
        <v>13824</v>
      </c>
      <c r="S99">
        <v>128</v>
      </c>
      <c r="T99">
        <v>1</v>
      </c>
      <c r="U99">
        <v>4</v>
      </c>
      <c r="V99">
        <v>170.47</v>
      </c>
      <c r="W99" s="17">
        <v>10.333</v>
      </c>
      <c r="X99" s="33">
        <v>45318</v>
      </c>
      <c r="Y99" s="37">
        <v>0.49180555555555555</v>
      </c>
      <c r="Z99">
        <v>0</v>
      </c>
      <c r="AA99">
        <v>0</v>
      </c>
      <c r="AB99">
        <v>0</v>
      </c>
      <c r="AC99" s="30">
        <f t="shared" ref="AC99" si="75">AVERAGE(W99:W103)</f>
        <v>10.328799999999999</v>
      </c>
    </row>
    <row r="100" spans="1:29" x14ac:dyDescent="0.25">
      <c r="A100">
        <v>1</v>
      </c>
      <c r="B100" t="s">
        <v>16</v>
      </c>
      <c r="C100">
        <v>13824</v>
      </c>
      <c r="D100">
        <v>128</v>
      </c>
      <c r="E100">
        <v>1</v>
      </c>
      <c r="F100">
        <v>4</v>
      </c>
      <c r="G100">
        <v>193.62</v>
      </c>
      <c r="H100" s="17">
        <v>9.0978999999999992</v>
      </c>
      <c r="I100" s="33">
        <v>45318</v>
      </c>
      <c r="J100" s="37">
        <v>0.87457175925925934</v>
      </c>
      <c r="K100">
        <v>0</v>
      </c>
      <c r="L100">
        <v>0</v>
      </c>
      <c r="M100">
        <v>0</v>
      </c>
      <c r="N100" s="30">
        <f t="shared" ref="N100" si="76">N99</f>
        <v>9.09558</v>
      </c>
      <c r="P100">
        <v>1</v>
      </c>
      <c r="Q100" t="s">
        <v>16</v>
      </c>
      <c r="R100">
        <v>13824</v>
      </c>
      <c r="S100">
        <v>128</v>
      </c>
      <c r="T100">
        <v>1</v>
      </c>
      <c r="U100">
        <v>4</v>
      </c>
      <c r="V100">
        <v>170.73</v>
      </c>
      <c r="W100" s="17">
        <v>10.317</v>
      </c>
      <c r="X100" s="33">
        <v>45318</v>
      </c>
      <c r="Y100" s="37">
        <v>0.55145833333333327</v>
      </c>
      <c r="Z100">
        <v>0</v>
      </c>
      <c r="AA100">
        <v>0</v>
      </c>
      <c r="AB100">
        <v>0</v>
      </c>
      <c r="AC100" s="30">
        <f t="shared" ref="AC100" si="77">AC99</f>
        <v>10.328799999999999</v>
      </c>
    </row>
    <row r="101" spans="1:29" x14ac:dyDescent="0.25">
      <c r="A101">
        <v>2</v>
      </c>
      <c r="B101" t="s">
        <v>16</v>
      </c>
      <c r="C101">
        <v>13824</v>
      </c>
      <c r="D101">
        <v>128</v>
      </c>
      <c r="E101">
        <v>1</v>
      </c>
      <c r="F101">
        <v>4</v>
      </c>
      <c r="G101">
        <v>193.62</v>
      </c>
      <c r="H101" s="17">
        <v>9.0975000000000001</v>
      </c>
      <c r="I101" s="33">
        <v>45318</v>
      </c>
      <c r="J101" s="37">
        <v>0.92729166666666663</v>
      </c>
      <c r="K101">
        <v>0</v>
      </c>
      <c r="L101">
        <v>0</v>
      </c>
      <c r="M101">
        <v>0</v>
      </c>
      <c r="N101" s="30">
        <f t="shared" si="56"/>
        <v>9.09558</v>
      </c>
      <c r="P101">
        <v>2</v>
      </c>
      <c r="Q101" t="s">
        <v>16</v>
      </c>
      <c r="R101">
        <v>13824</v>
      </c>
      <c r="S101">
        <v>128</v>
      </c>
      <c r="T101">
        <v>1</v>
      </c>
      <c r="U101">
        <v>4</v>
      </c>
      <c r="V101">
        <v>170.58</v>
      </c>
      <c r="W101" s="17">
        <v>10.326000000000001</v>
      </c>
      <c r="X101" s="33">
        <v>45318</v>
      </c>
      <c r="Y101" s="37">
        <v>0.61109953703703701</v>
      </c>
      <c r="Z101">
        <v>0</v>
      </c>
      <c r="AA101">
        <v>0</v>
      </c>
      <c r="AB101">
        <v>0</v>
      </c>
      <c r="AC101" s="30">
        <f t="shared" si="69"/>
        <v>10.328799999999999</v>
      </c>
    </row>
    <row r="102" spans="1:29" x14ac:dyDescent="0.25">
      <c r="A102">
        <v>3</v>
      </c>
      <c r="B102" t="s">
        <v>16</v>
      </c>
      <c r="C102">
        <v>13824</v>
      </c>
      <c r="D102">
        <v>128</v>
      </c>
      <c r="E102">
        <v>1</v>
      </c>
      <c r="F102">
        <v>4</v>
      </c>
      <c r="G102">
        <v>193.51</v>
      </c>
      <c r="H102" s="17">
        <v>9.1026000000000007</v>
      </c>
      <c r="I102" s="33">
        <v>45318</v>
      </c>
      <c r="J102" s="37">
        <v>0.98</v>
      </c>
      <c r="K102">
        <v>0</v>
      </c>
      <c r="L102">
        <v>0</v>
      </c>
      <c r="M102">
        <v>0</v>
      </c>
      <c r="N102" s="30">
        <f t="shared" si="56"/>
        <v>9.09558</v>
      </c>
      <c r="P102">
        <v>3</v>
      </c>
      <c r="Q102" t="s">
        <v>16</v>
      </c>
      <c r="R102">
        <v>13824</v>
      </c>
      <c r="S102">
        <v>128</v>
      </c>
      <c r="T102">
        <v>1</v>
      </c>
      <c r="U102">
        <v>4</v>
      </c>
      <c r="V102">
        <v>170.67</v>
      </c>
      <c r="W102" s="17">
        <v>10.321</v>
      </c>
      <c r="X102" s="33">
        <v>45318</v>
      </c>
      <c r="Y102" s="37">
        <v>0.67077546296296298</v>
      </c>
      <c r="Z102">
        <v>0</v>
      </c>
      <c r="AA102">
        <v>0</v>
      </c>
      <c r="AB102">
        <v>0</v>
      </c>
      <c r="AC102" s="30">
        <f t="shared" si="69"/>
        <v>10.328799999999999</v>
      </c>
    </row>
    <row r="103" spans="1:29" x14ac:dyDescent="0.25">
      <c r="A103">
        <v>4</v>
      </c>
      <c r="B103" t="s">
        <v>16</v>
      </c>
      <c r="C103">
        <v>13824</v>
      </c>
      <c r="D103">
        <v>128</v>
      </c>
      <c r="E103">
        <v>1</v>
      </c>
      <c r="F103">
        <v>4</v>
      </c>
      <c r="G103">
        <v>193.9</v>
      </c>
      <c r="H103" s="17">
        <v>9.0846</v>
      </c>
      <c r="I103" s="33">
        <v>45319</v>
      </c>
      <c r="J103" s="37">
        <v>3.2719907407407406E-2</v>
      </c>
      <c r="K103">
        <v>0</v>
      </c>
      <c r="L103">
        <v>0</v>
      </c>
      <c r="M103">
        <v>0</v>
      </c>
      <c r="N103" s="30">
        <f t="shared" si="56"/>
        <v>9.09558</v>
      </c>
      <c r="P103">
        <v>4</v>
      </c>
      <c r="Q103" t="s">
        <v>16</v>
      </c>
      <c r="R103">
        <v>13824</v>
      </c>
      <c r="S103">
        <v>128</v>
      </c>
      <c r="T103">
        <v>1</v>
      </c>
      <c r="U103">
        <v>4</v>
      </c>
      <c r="V103">
        <v>170.24</v>
      </c>
      <c r="W103" s="17">
        <v>10.347</v>
      </c>
      <c r="X103" s="33">
        <v>45318</v>
      </c>
      <c r="Y103" s="37">
        <v>0.73041666666666671</v>
      </c>
      <c r="Z103">
        <v>0</v>
      </c>
      <c r="AA103">
        <v>0</v>
      </c>
      <c r="AB103">
        <v>0</v>
      </c>
      <c r="AC103" s="30">
        <f t="shared" si="69"/>
        <v>10.328799999999999</v>
      </c>
    </row>
    <row r="104" spans="1:29" x14ac:dyDescent="0.25">
      <c r="A104">
        <v>0</v>
      </c>
      <c r="B104" t="s">
        <v>16</v>
      </c>
      <c r="C104">
        <v>14592</v>
      </c>
      <c r="D104">
        <v>128</v>
      </c>
      <c r="E104">
        <v>1</v>
      </c>
      <c r="F104">
        <v>4</v>
      </c>
      <c r="G104">
        <v>204.6</v>
      </c>
      <c r="H104" s="17">
        <v>10.125999999999999</v>
      </c>
      <c r="I104" s="33">
        <v>45318</v>
      </c>
      <c r="J104" s="37">
        <v>0.84042824074074074</v>
      </c>
      <c r="K104">
        <v>0</v>
      </c>
      <c r="L104">
        <v>0</v>
      </c>
      <c r="M104">
        <v>0</v>
      </c>
      <c r="N104" s="30">
        <f t="shared" ref="N104" si="78">AVERAGE(H104:H108)</f>
        <v>10.125399999999999</v>
      </c>
      <c r="P104">
        <v>0</v>
      </c>
      <c r="Q104" t="s">
        <v>16</v>
      </c>
      <c r="R104">
        <v>14592</v>
      </c>
      <c r="S104">
        <v>128</v>
      </c>
      <c r="T104">
        <v>1</v>
      </c>
      <c r="U104">
        <v>4</v>
      </c>
      <c r="V104">
        <v>188.83</v>
      </c>
      <c r="W104" s="17">
        <v>10.971</v>
      </c>
      <c r="X104" s="33">
        <v>45318</v>
      </c>
      <c r="Y104" s="37">
        <v>0.51274305555555555</v>
      </c>
      <c r="Z104">
        <v>0</v>
      </c>
      <c r="AA104">
        <v>0</v>
      </c>
      <c r="AB104">
        <v>0</v>
      </c>
      <c r="AC104" s="30">
        <f t="shared" ref="AC104" si="79">AVERAGE(W104:W108)</f>
        <v>10.9862</v>
      </c>
    </row>
    <row r="105" spans="1:29" x14ac:dyDescent="0.25">
      <c r="A105">
        <v>1</v>
      </c>
      <c r="B105" t="s">
        <v>16</v>
      </c>
      <c r="C105">
        <v>14592</v>
      </c>
      <c r="D105">
        <v>128</v>
      </c>
      <c r="E105">
        <v>1</v>
      </c>
      <c r="F105">
        <v>4</v>
      </c>
      <c r="G105">
        <v>204.53</v>
      </c>
      <c r="H105" s="17">
        <v>10.129</v>
      </c>
      <c r="I105" s="33">
        <v>45318</v>
      </c>
      <c r="J105" s="37">
        <v>0.8931365740740741</v>
      </c>
      <c r="K105">
        <v>0</v>
      </c>
      <c r="L105">
        <v>0</v>
      </c>
      <c r="M105">
        <v>0</v>
      </c>
      <c r="N105" s="30">
        <f t="shared" ref="N105" si="80">N104</f>
        <v>10.125399999999999</v>
      </c>
      <c r="P105">
        <v>1</v>
      </c>
      <c r="Q105" t="s">
        <v>16</v>
      </c>
      <c r="R105">
        <v>14592</v>
      </c>
      <c r="S105">
        <v>128</v>
      </c>
      <c r="T105">
        <v>1</v>
      </c>
      <c r="U105">
        <v>4</v>
      </c>
      <c r="V105">
        <v>188.45</v>
      </c>
      <c r="W105" s="17">
        <v>10.993</v>
      </c>
      <c r="X105" s="33">
        <v>45318</v>
      </c>
      <c r="Y105" s="37">
        <v>0.57237268518518525</v>
      </c>
      <c r="Z105">
        <v>0</v>
      </c>
      <c r="AA105">
        <v>0</v>
      </c>
      <c r="AB105">
        <v>0</v>
      </c>
      <c r="AC105" s="30">
        <f t="shared" ref="AC105" si="81">AC104</f>
        <v>10.9862</v>
      </c>
    </row>
    <row r="106" spans="1:29" x14ac:dyDescent="0.25">
      <c r="A106">
        <v>2</v>
      </c>
      <c r="B106" t="s">
        <v>16</v>
      </c>
      <c r="C106">
        <v>14592</v>
      </c>
      <c r="D106">
        <v>128</v>
      </c>
      <c r="E106">
        <v>1</v>
      </c>
      <c r="F106">
        <v>4</v>
      </c>
      <c r="G106">
        <v>204.75</v>
      </c>
      <c r="H106" s="17">
        <v>10.118</v>
      </c>
      <c r="I106" s="33">
        <v>45318</v>
      </c>
      <c r="J106" s="37">
        <v>0.94586805555555553</v>
      </c>
      <c r="K106">
        <v>0</v>
      </c>
      <c r="L106">
        <v>0</v>
      </c>
      <c r="M106">
        <v>0</v>
      </c>
      <c r="N106" s="30">
        <f t="shared" si="56"/>
        <v>10.125399999999999</v>
      </c>
      <c r="P106">
        <v>2</v>
      </c>
      <c r="Q106" t="s">
        <v>16</v>
      </c>
      <c r="R106">
        <v>14592</v>
      </c>
      <c r="S106">
        <v>128</v>
      </c>
      <c r="T106">
        <v>1</v>
      </c>
      <c r="U106">
        <v>4</v>
      </c>
      <c r="V106">
        <v>188.46</v>
      </c>
      <c r="W106" s="17">
        <v>10.993</v>
      </c>
      <c r="X106" s="33">
        <v>45318</v>
      </c>
      <c r="Y106" s="37">
        <v>0.63203703703703706</v>
      </c>
      <c r="Z106">
        <v>0</v>
      </c>
      <c r="AA106">
        <v>0</v>
      </c>
      <c r="AB106">
        <v>0</v>
      </c>
      <c r="AC106" s="30">
        <f t="shared" si="65"/>
        <v>10.9862</v>
      </c>
    </row>
    <row r="107" spans="1:29" x14ac:dyDescent="0.25">
      <c r="A107">
        <v>3</v>
      </c>
      <c r="B107" t="s">
        <v>16</v>
      </c>
      <c r="C107">
        <v>14592</v>
      </c>
      <c r="D107">
        <v>128</v>
      </c>
      <c r="E107">
        <v>1</v>
      </c>
      <c r="F107">
        <v>4</v>
      </c>
      <c r="G107">
        <v>204.54</v>
      </c>
      <c r="H107" s="17">
        <v>10.128</v>
      </c>
      <c r="I107" s="33">
        <v>45318</v>
      </c>
      <c r="J107" s="37">
        <v>0.99857638888888889</v>
      </c>
      <c r="K107">
        <v>0</v>
      </c>
      <c r="L107">
        <v>0</v>
      </c>
      <c r="M107">
        <v>0</v>
      </c>
      <c r="N107" s="30">
        <f t="shared" si="56"/>
        <v>10.125399999999999</v>
      </c>
      <c r="P107">
        <v>3</v>
      </c>
      <c r="Q107" t="s">
        <v>16</v>
      </c>
      <c r="R107">
        <v>14592</v>
      </c>
      <c r="S107">
        <v>128</v>
      </c>
      <c r="T107">
        <v>1</v>
      </c>
      <c r="U107">
        <v>4</v>
      </c>
      <c r="V107">
        <v>188.29</v>
      </c>
      <c r="W107" s="17">
        <v>11.003</v>
      </c>
      <c r="X107" s="33">
        <v>45318</v>
      </c>
      <c r="Y107" s="37">
        <v>0.69168981481481484</v>
      </c>
      <c r="Z107">
        <v>0</v>
      </c>
      <c r="AA107">
        <v>0</v>
      </c>
      <c r="AB107">
        <v>0</v>
      </c>
      <c r="AC107" s="30">
        <f t="shared" si="65"/>
        <v>10.9862</v>
      </c>
    </row>
    <row r="108" spans="1:29" x14ac:dyDescent="0.25">
      <c r="A108">
        <v>4</v>
      </c>
      <c r="B108" t="s">
        <v>16</v>
      </c>
      <c r="C108">
        <v>14592</v>
      </c>
      <c r="D108">
        <v>128</v>
      </c>
      <c r="E108">
        <v>1</v>
      </c>
      <c r="F108">
        <v>4</v>
      </c>
      <c r="G108">
        <v>204.58</v>
      </c>
      <c r="H108" s="17">
        <v>10.125999999999999</v>
      </c>
      <c r="I108" s="33">
        <v>45319</v>
      </c>
      <c r="J108" s="37">
        <v>5.1284722222222225E-2</v>
      </c>
      <c r="K108">
        <v>0</v>
      </c>
      <c r="L108">
        <v>0</v>
      </c>
      <c r="M108">
        <v>0</v>
      </c>
      <c r="N108" s="30">
        <f t="shared" si="56"/>
        <v>10.125399999999999</v>
      </c>
      <c r="P108">
        <v>4</v>
      </c>
      <c r="Q108" t="s">
        <v>16</v>
      </c>
      <c r="R108">
        <v>14592</v>
      </c>
      <c r="S108">
        <v>128</v>
      </c>
      <c r="T108">
        <v>1</v>
      </c>
      <c r="U108">
        <v>4</v>
      </c>
      <c r="V108">
        <v>188.83</v>
      </c>
      <c r="W108" s="17">
        <v>10.971</v>
      </c>
      <c r="X108" s="33">
        <v>45318</v>
      </c>
      <c r="Y108" s="37">
        <v>0.75133101851851858</v>
      </c>
      <c r="Z108">
        <v>0</v>
      </c>
      <c r="AA108">
        <v>0</v>
      </c>
      <c r="AB108">
        <v>0</v>
      </c>
      <c r="AC108" s="30">
        <f t="shared" si="65"/>
        <v>10.9862</v>
      </c>
    </row>
    <row r="109" spans="1:29" x14ac:dyDescent="0.25">
      <c r="A109">
        <v>0</v>
      </c>
      <c r="B109" t="s">
        <v>16</v>
      </c>
      <c r="C109">
        <v>13056</v>
      </c>
      <c r="D109">
        <v>128</v>
      </c>
      <c r="E109">
        <v>2</v>
      </c>
      <c r="F109">
        <v>2</v>
      </c>
      <c r="G109">
        <v>145.84</v>
      </c>
      <c r="H109" s="17">
        <v>10.175000000000001</v>
      </c>
      <c r="I109" s="33">
        <v>45318</v>
      </c>
      <c r="J109" s="37">
        <v>0.80755787037037041</v>
      </c>
      <c r="K109">
        <v>0</v>
      </c>
      <c r="L109">
        <v>0</v>
      </c>
      <c r="M109">
        <v>0</v>
      </c>
      <c r="N109" s="30">
        <f t="shared" ref="N109" si="82">AVERAGE(H109:H113)</f>
        <v>10.176200000000001</v>
      </c>
      <c r="P109">
        <v>0</v>
      </c>
      <c r="Q109" t="s">
        <v>16</v>
      </c>
      <c r="R109">
        <v>13056</v>
      </c>
      <c r="S109">
        <v>128</v>
      </c>
      <c r="T109">
        <v>2</v>
      </c>
      <c r="U109">
        <v>2</v>
      </c>
      <c r="V109">
        <v>136.34</v>
      </c>
      <c r="W109" s="17">
        <v>10.884</v>
      </c>
      <c r="X109" s="33">
        <v>45318</v>
      </c>
      <c r="Y109" s="37">
        <v>0.47575231481481484</v>
      </c>
      <c r="Z109">
        <v>0</v>
      </c>
      <c r="AA109">
        <v>0</v>
      </c>
      <c r="AB109">
        <v>0</v>
      </c>
      <c r="AC109" s="30">
        <f t="shared" ref="AC109" si="83">AVERAGE(W109:W113)</f>
        <v>10.9</v>
      </c>
    </row>
    <row r="110" spans="1:29" x14ac:dyDescent="0.25">
      <c r="A110">
        <v>1</v>
      </c>
      <c r="B110" t="s">
        <v>16</v>
      </c>
      <c r="C110">
        <v>13056</v>
      </c>
      <c r="D110">
        <v>128</v>
      </c>
      <c r="E110">
        <v>2</v>
      </c>
      <c r="F110">
        <v>2</v>
      </c>
      <c r="G110">
        <v>145.88999999999999</v>
      </c>
      <c r="H110" s="17">
        <v>10.172000000000001</v>
      </c>
      <c r="I110" s="33">
        <v>45318</v>
      </c>
      <c r="J110" s="37">
        <v>0.86026620370370377</v>
      </c>
      <c r="K110">
        <v>0</v>
      </c>
      <c r="L110">
        <v>0</v>
      </c>
      <c r="M110">
        <v>0</v>
      </c>
      <c r="N110" s="30">
        <f t="shared" ref="N110" si="84">N109</f>
        <v>10.176200000000001</v>
      </c>
      <c r="P110">
        <v>1</v>
      </c>
      <c r="Q110" t="s">
        <v>16</v>
      </c>
      <c r="R110">
        <v>13056</v>
      </c>
      <c r="S110">
        <v>128</v>
      </c>
      <c r="T110">
        <v>2</v>
      </c>
      <c r="U110">
        <v>2</v>
      </c>
      <c r="V110">
        <v>136.15</v>
      </c>
      <c r="W110" s="17">
        <v>10.898999999999999</v>
      </c>
      <c r="X110" s="33">
        <v>45318</v>
      </c>
      <c r="Y110" s="37">
        <v>0.53541666666666665</v>
      </c>
      <c r="Z110">
        <v>0</v>
      </c>
      <c r="AA110">
        <v>0</v>
      </c>
      <c r="AB110">
        <v>0</v>
      </c>
      <c r="AC110" s="30">
        <f t="shared" ref="AC110" si="85">AC109</f>
        <v>10.9</v>
      </c>
    </row>
    <row r="111" spans="1:29" x14ac:dyDescent="0.25">
      <c r="A111">
        <v>2</v>
      </c>
      <c r="B111" t="s">
        <v>16</v>
      </c>
      <c r="C111">
        <v>13056</v>
      </c>
      <c r="D111">
        <v>128</v>
      </c>
      <c r="E111">
        <v>2</v>
      </c>
      <c r="F111">
        <v>2</v>
      </c>
      <c r="G111">
        <v>145.83000000000001</v>
      </c>
      <c r="H111" s="17">
        <v>10.176</v>
      </c>
      <c r="I111" s="33">
        <v>45318</v>
      </c>
      <c r="J111" s="37">
        <v>0.91298611111111105</v>
      </c>
      <c r="K111">
        <v>0</v>
      </c>
      <c r="L111">
        <v>0</v>
      </c>
      <c r="M111">
        <v>0</v>
      </c>
      <c r="N111" s="30">
        <f t="shared" si="56"/>
        <v>10.176200000000001</v>
      </c>
      <c r="P111">
        <v>2</v>
      </c>
      <c r="Q111" t="s">
        <v>16</v>
      </c>
      <c r="R111">
        <v>13056</v>
      </c>
      <c r="S111">
        <v>128</v>
      </c>
      <c r="T111">
        <v>2</v>
      </c>
      <c r="U111">
        <v>2</v>
      </c>
      <c r="V111">
        <v>135.86000000000001</v>
      </c>
      <c r="W111" s="17">
        <v>10.923</v>
      </c>
      <c r="X111" s="33">
        <v>45318</v>
      </c>
      <c r="Y111" s="37">
        <v>0.59505787037037039</v>
      </c>
      <c r="Z111">
        <v>0</v>
      </c>
      <c r="AA111">
        <v>0</v>
      </c>
      <c r="AB111">
        <v>0</v>
      </c>
      <c r="AC111" s="30">
        <f t="shared" si="69"/>
        <v>10.9</v>
      </c>
    </row>
    <row r="112" spans="1:29" x14ac:dyDescent="0.25">
      <c r="A112">
        <v>3</v>
      </c>
      <c r="B112" t="s">
        <v>16</v>
      </c>
      <c r="C112">
        <v>13056</v>
      </c>
      <c r="D112">
        <v>128</v>
      </c>
      <c r="E112">
        <v>2</v>
      </c>
      <c r="F112">
        <v>2</v>
      </c>
      <c r="G112">
        <v>145.74</v>
      </c>
      <c r="H112" s="17">
        <v>10.182</v>
      </c>
      <c r="I112" s="33">
        <v>45318</v>
      </c>
      <c r="J112" s="37">
        <v>0.96570601851851856</v>
      </c>
      <c r="K112">
        <v>0</v>
      </c>
      <c r="L112">
        <v>0</v>
      </c>
      <c r="M112">
        <v>0</v>
      </c>
      <c r="N112" s="30">
        <f t="shared" si="56"/>
        <v>10.176200000000001</v>
      </c>
      <c r="P112">
        <v>3</v>
      </c>
      <c r="Q112" t="s">
        <v>16</v>
      </c>
      <c r="R112">
        <v>13056</v>
      </c>
      <c r="S112">
        <v>128</v>
      </c>
      <c r="T112">
        <v>2</v>
      </c>
      <c r="U112">
        <v>2</v>
      </c>
      <c r="V112">
        <v>136.34</v>
      </c>
      <c r="W112" s="17">
        <v>10.884</v>
      </c>
      <c r="X112" s="33">
        <v>45318</v>
      </c>
      <c r="Y112" s="37">
        <v>0.65473379629629636</v>
      </c>
      <c r="Z112">
        <v>0</v>
      </c>
      <c r="AA112">
        <v>0</v>
      </c>
      <c r="AB112">
        <v>0</v>
      </c>
      <c r="AC112" s="30">
        <f t="shared" si="69"/>
        <v>10.9</v>
      </c>
    </row>
    <row r="113" spans="1:29" x14ac:dyDescent="0.25">
      <c r="A113">
        <v>4</v>
      </c>
      <c r="B113" t="s">
        <v>16</v>
      </c>
      <c r="C113">
        <v>13056</v>
      </c>
      <c r="D113">
        <v>128</v>
      </c>
      <c r="E113">
        <v>2</v>
      </c>
      <c r="F113">
        <v>2</v>
      </c>
      <c r="G113">
        <v>145.83000000000001</v>
      </c>
      <c r="H113" s="17">
        <v>10.176</v>
      </c>
      <c r="I113" s="33">
        <v>45319</v>
      </c>
      <c r="J113" s="37">
        <v>1.8402777777777778E-2</v>
      </c>
      <c r="K113">
        <v>0</v>
      </c>
      <c r="L113">
        <v>0</v>
      </c>
      <c r="M113">
        <v>0</v>
      </c>
      <c r="N113" s="30">
        <f t="shared" si="56"/>
        <v>10.176200000000001</v>
      </c>
      <c r="P113">
        <v>4</v>
      </c>
      <c r="Q113" t="s">
        <v>16</v>
      </c>
      <c r="R113">
        <v>13056</v>
      </c>
      <c r="S113">
        <v>128</v>
      </c>
      <c r="T113">
        <v>2</v>
      </c>
      <c r="U113">
        <v>2</v>
      </c>
      <c r="V113">
        <v>136.01</v>
      </c>
      <c r="W113" s="17">
        <v>10.91</v>
      </c>
      <c r="X113" s="33">
        <v>45318</v>
      </c>
      <c r="Y113" s="37">
        <v>0.71436342592592583</v>
      </c>
      <c r="Z113">
        <v>0</v>
      </c>
      <c r="AA113">
        <v>0</v>
      </c>
      <c r="AB113">
        <v>0</v>
      </c>
      <c r="AC113" s="30">
        <f t="shared" si="69"/>
        <v>10.9</v>
      </c>
    </row>
    <row r="114" spans="1:29" x14ac:dyDescent="0.25">
      <c r="A114">
        <v>0</v>
      </c>
      <c r="B114" t="s">
        <v>16</v>
      </c>
      <c r="C114">
        <v>13824</v>
      </c>
      <c r="D114">
        <v>128</v>
      </c>
      <c r="E114">
        <v>2</v>
      </c>
      <c r="F114">
        <v>2</v>
      </c>
      <c r="G114">
        <v>175.73</v>
      </c>
      <c r="H114" s="17">
        <v>10.023999999999999</v>
      </c>
      <c r="I114" s="33">
        <v>45318</v>
      </c>
      <c r="J114" s="37">
        <v>0.82403935185185195</v>
      </c>
      <c r="K114">
        <v>0</v>
      </c>
      <c r="L114">
        <v>0</v>
      </c>
      <c r="M114">
        <v>0</v>
      </c>
      <c r="N114" s="30">
        <f t="shared" ref="N114" si="86">AVERAGE(H114:H118)</f>
        <v>10.025399999999999</v>
      </c>
      <c r="P114">
        <v>0</v>
      </c>
      <c r="Q114" t="s">
        <v>16</v>
      </c>
      <c r="R114">
        <v>13824</v>
      </c>
      <c r="S114">
        <v>128</v>
      </c>
      <c r="T114">
        <v>2</v>
      </c>
      <c r="U114">
        <v>2</v>
      </c>
      <c r="V114">
        <v>161.66999999999999</v>
      </c>
      <c r="W114" s="17">
        <v>10.896000000000001</v>
      </c>
      <c r="X114" s="33">
        <v>45318</v>
      </c>
      <c r="Y114" s="37">
        <v>0.49429398148148151</v>
      </c>
      <c r="Z114">
        <v>0</v>
      </c>
      <c r="AA114">
        <v>0</v>
      </c>
      <c r="AB114">
        <v>0</v>
      </c>
      <c r="AC114" s="30">
        <f t="shared" ref="AC114" si="87">AVERAGE(W114:W118)</f>
        <v>10.905200000000001</v>
      </c>
    </row>
    <row r="115" spans="1:29" x14ac:dyDescent="0.25">
      <c r="A115">
        <v>1</v>
      </c>
      <c r="B115" t="s">
        <v>16</v>
      </c>
      <c r="C115">
        <v>13824</v>
      </c>
      <c r="D115">
        <v>128</v>
      </c>
      <c r="E115">
        <v>2</v>
      </c>
      <c r="F115">
        <v>2</v>
      </c>
      <c r="G115">
        <v>175.78</v>
      </c>
      <c r="H115" s="17">
        <v>10.021000000000001</v>
      </c>
      <c r="I115" s="33">
        <v>45318</v>
      </c>
      <c r="J115" s="37">
        <v>0.87675925925925924</v>
      </c>
      <c r="K115">
        <v>0</v>
      </c>
      <c r="L115">
        <v>0</v>
      </c>
      <c r="M115">
        <v>0</v>
      </c>
      <c r="N115" s="30">
        <f t="shared" ref="N115" si="88">N114</f>
        <v>10.025399999999999</v>
      </c>
      <c r="P115">
        <v>1</v>
      </c>
      <c r="Q115" t="s">
        <v>16</v>
      </c>
      <c r="R115">
        <v>13824</v>
      </c>
      <c r="S115">
        <v>128</v>
      </c>
      <c r="T115">
        <v>2</v>
      </c>
      <c r="U115">
        <v>2</v>
      </c>
      <c r="V115">
        <v>161.52000000000001</v>
      </c>
      <c r="W115" s="17">
        <v>10.906000000000001</v>
      </c>
      <c r="X115" s="33">
        <v>45318</v>
      </c>
      <c r="Y115" s="37">
        <v>0.55394675925925929</v>
      </c>
      <c r="Z115">
        <v>0</v>
      </c>
      <c r="AA115">
        <v>0</v>
      </c>
      <c r="AB115">
        <v>0</v>
      </c>
      <c r="AC115" s="30">
        <f t="shared" ref="AC115" si="89">AC114</f>
        <v>10.905200000000001</v>
      </c>
    </row>
    <row r="116" spans="1:29" x14ac:dyDescent="0.25">
      <c r="A116">
        <v>2</v>
      </c>
      <c r="B116" t="s">
        <v>16</v>
      </c>
      <c r="C116">
        <v>13824</v>
      </c>
      <c r="D116">
        <v>128</v>
      </c>
      <c r="E116">
        <v>2</v>
      </c>
      <c r="F116">
        <v>2</v>
      </c>
      <c r="G116">
        <v>175.83</v>
      </c>
      <c r="H116" s="17">
        <v>10.018000000000001</v>
      </c>
      <c r="I116" s="33">
        <v>45318</v>
      </c>
      <c r="J116" s="37">
        <v>0.92947916666666675</v>
      </c>
      <c r="K116">
        <v>0</v>
      </c>
      <c r="L116">
        <v>0</v>
      </c>
      <c r="M116">
        <v>0</v>
      </c>
      <c r="N116" s="30">
        <f t="shared" si="56"/>
        <v>10.025399999999999</v>
      </c>
      <c r="P116">
        <v>2</v>
      </c>
      <c r="Q116" t="s">
        <v>16</v>
      </c>
      <c r="R116">
        <v>13824</v>
      </c>
      <c r="S116">
        <v>128</v>
      </c>
      <c r="T116">
        <v>2</v>
      </c>
      <c r="U116">
        <v>2</v>
      </c>
      <c r="V116">
        <v>161.62</v>
      </c>
      <c r="W116" s="17">
        <v>10.898999999999999</v>
      </c>
      <c r="X116" s="33">
        <v>45318</v>
      </c>
      <c r="Y116" s="37">
        <v>0.61358796296296292</v>
      </c>
      <c r="Z116">
        <v>0</v>
      </c>
      <c r="AA116">
        <v>0</v>
      </c>
      <c r="AB116">
        <v>0</v>
      </c>
      <c r="AC116" s="30">
        <f t="shared" si="65"/>
        <v>10.905200000000001</v>
      </c>
    </row>
    <row r="117" spans="1:29" x14ac:dyDescent="0.25">
      <c r="A117">
        <v>3</v>
      </c>
      <c r="B117" t="s">
        <v>16</v>
      </c>
      <c r="C117">
        <v>13824</v>
      </c>
      <c r="D117">
        <v>128</v>
      </c>
      <c r="E117">
        <v>2</v>
      </c>
      <c r="F117">
        <v>2</v>
      </c>
      <c r="G117">
        <v>175.48</v>
      </c>
      <c r="H117" s="17">
        <v>10.038</v>
      </c>
      <c r="I117" s="33">
        <v>45318</v>
      </c>
      <c r="J117" s="37">
        <v>0.9821875000000001</v>
      </c>
      <c r="K117">
        <v>0</v>
      </c>
      <c r="L117">
        <v>0</v>
      </c>
      <c r="M117">
        <v>0</v>
      </c>
      <c r="N117" s="30">
        <f t="shared" si="56"/>
        <v>10.025399999999999</v>
      </c>
      <c r="P117">
        <v>3</v>
      </c>
      <c r="Q117" t="s">
        <v>16</v>
      </c>
      <c r="R117">
        <v>13824</v>
      </c>
      <c r="S117">
        <v>128</v>
      </c>
      <c r="T117">
        <v>2</v>
      </c>
      <c r="U117">
        <v>2</v>
      </c>
      <c r="V117">
        <v>161.38999999999999</v>
      </c>
      <c r="W117" s="17">
        <v>10.914</v>
      </c>
      <c r="X117" s="33">
        <v>45318</v>
      </c>
      <c r="Y117" s="37">
        <v>0.67326388888888899</v>
      </c>
      <c r="Z117">
        <v>0</v>
      </c>
      <c r="AA117">
        <v>0</v>
      </c>
      <c r="AB117">
        <v>0</v>
      </c>
      <c r="AC117" s="30">
        <f t="shared" si="65"/>
        <v>10.905200000000001</v>
      </c>
    </row>
    <row r="118" spans="1:29" x14ac:dyDescent="0.25">
      <c r="A118">
        <v>4</v>
      </c>
      <c r="B118" t="s">
        <v>16</v>
      </c>
      <c r="C118">
        <v>13824</v>
      </c>
      <c r="D118">
        <v>128</v>
      </c>
      <c r="E118">
        <v>2</v>
      </c>
      <c r="F118">
        <v>2</v>
      </c>
      <c r="G118">
        <v>175.69</v>
      </c>
      <c r="H118" s="17">
        <v>10.026</v>
      </c>
      <c r="I118" s="33">
        <v>45319</v>
      </c>
      <c r="J118" s="37">
        <v>3.4907407407407408E-2</v>
      </c>
      <c r="K118">
        <v>0</v>
      </c>
      <c r="L118">
        <v>0</v>
      </c>
      <c r="M118">
        <v>0</v>
      </c>
      <c r="N118" s="30">
        <f t="shared" si="56"/>
        <v>10.025399999999999</v>
      </c>
      <c r="P118">
        <v>4</v>
      </c>
      <c r="Q118" t="s">
        <v>16</v>
      </c>
      <c r="R118">
        <v>13824</v>
      </c>
      <c r="S118">
        <v>128</v>
      </c>
      <c r="T118">
        <v>2</v>
      </c>
      <c r="U118">
        <v>2</v>
      </c>
      <c r="V118">
        <v>161.44</v>
      </c>
      <c r="W118" s="17">
        <v>10.911</v>
      </c>
      <c r="X118" s="33">
        <v>45318</v>
      </c>
      <c r="Y118" s="37">
        <v>0.73289351851851858</v>
      </c>
      <c r="Z118">
        <v>0</v>
      </c>
      <c r="AA118">
        <v>0</v>
      </c>
      <c r="AB118">
        <v>0</v>
      </c>
      <c r="AC118" s="30">
        <f t="shared" si="65"/>
        <v>10.905200000000001</v>
      </c>
    </row>
    <row r="119" spans="1:29" x14ac:dyDescent="0.25">
      <c r="A119">
        <v>0</v>
      </c>
      <c r="B119" t="s">
        <v>16</v>
      </c>
      <c r="C119">
        <v>14592</v>
      </c>
      <c r="D119">
        <v>128</v>
      </c>
      <c r="E119">
        <v>2</v>
      </c>
      <c r="F119">
        <v>2</v>
      </c>
      <c r="G119">
        <v>200.81</v>
      </c>
      <c r="H119" s="17">
        <v>10.317</v>
      </c>
      <c r="I119" s="33">
        <v>45318</v>
      </c>
      <c r="J119" s="37">
        <v>0.84291666666666665</v>
      </c>
      <c r="K119">
        <v>0</v>
      </c>
      <c r="L119">
        <v>0</v>
      </c>
      <c r="M119">
        <v>0</v>
      </c>
      <c r="N119" s="30">
        <f t="shared" ref="N119" si="90">AVERAGE(H119:H123)</f>
        <v>10.318000000000001</v>
      </c>
      <c r="P119">
        <v>0</v>
      </c>
      <c r="Q119" t="s">
        <v>16</v>
      </c>
      <c r="R119">
        <v>14592</v>
      </c>
      <c r="S119">
        <v>128</v>
      </c>
      <c r="T119">
        <v>2</v>
      </c>
      <c r="U119">
        <v>2</v>
      </c>
      <c r="V119">
        <v>187.7</v>
      </c>
      <c r="W119" s="17">
        <v>11.037000000000001</v>
      </c>
      <c r="X119" s="33">
        <v>45318</v>
      </c>
      <c r="Y119" s="37">
        <v>0.51559027777777777</v>
      </c>
      <c r="Z119">
        <v>0</v>
      </c>
      <c r="AA119">
        <v>0</v>
      </c>
      <c r="AB119">
        <v>0</v>
      </c>
      <c r="AC119" s="30">
        <f t="shared" ref="AC119" si="91">AVERAGE(W119:W123)</f>
        <v>11.033600000000002</v>
      </c>
    </row>
    <row r="120" spans="1:29" x14ac:dyDescent="0.25">
      <c r="A120">
        <v>1</v>
      </c>
      <c r="B120" t="s">
        <v>16</v>
      </c>
      <c r="C120">
        <v>14592</v>
      </c>
      <c r="D120">
        <v>128</v>
      </c>
      <c r="E120">
        <v>2</v>
      </c>
      <c r="F120">
        <v>2</v>
      </c>
      <c r="G120">
        <v>200.56</v>
      </c>
      <c r="H120" s="17">
        <v>10.33</v>
      </c>
      <c r="I120" s="33">
        <v>45318</v>
      </c>
      <c r="J120" s="37">
        <v>0.89563657407407404</v>
      </c>
      <c r="K120">
        <v>0</v>
      </c>
      <c r="L120">
        <v>0</v>
      </c>
      <c r="M120">
        <v>0</v>
      </c>
      <c r="N120" s="30">
        <f t="shared" ref="N120" si="92">N119</f>
        <v>10.318000000000001</v>
      </c>
      <c r="P120">
        <v>1</v>
      </c>
      <c r="Q120" t="s">
        <v>16</v>
      </c>
      <c r="R120">
        <v>14592</v>
      </c>
      <c r="S120">
        <v>128</v>
      </c>
      <c r="T120">
        <v>2</v>
      </c>
      <c r="U120">
        <v>2</v>
      </c>
      <c r="V120">
        <v>187.53</v>
      </c>
      <c r="W120" s="17">
        <v>11.047000000000001</v>
      </c>
      <c r="X120" s="33">
        <v>45318</v>
      </c>
      <c r="Y120" s="37">
        <v>0.57523148148148151</v>
      </c>
      <c r="Z120">
        <v>0</v>
      </c>
      <c r="AA120">
        <v>0</v>
      </c>
      <c r="AB120">
        <v>0</v>
      </c>
      <c r="AC120" s="30">
        <f t="shared" ref="AC120" si="93">AC119</f>
        <v>11.033600000000002</v>
      </c>
    </row>
    <row r="121" spans="1:29" x14ac:dyDescent="0.25">
      <c r="A121">
        <v>2</v>
      </c>
      <c r="B121" t="s">
        <v>16</v>
      </c>
      <c r="C121">
        <v>14592</v>
      </c>
      <c r="D121">
        <v>128</v>
      </c>
      <c r="E121">
        <v>2</v>
      </c>
      <c r="F121">
        <v>2</v>
      </c>
      <c r="G121">
        <v>200.85</v>
      </c>
      <c r="H121" s="17">
        <v>10.314</v>
      </c>
      <c r="I121" s="33">
        <v>45318</v>
      </c>
      <c r="J121" s="37">
        <v>0.94836805555555559</v>
      </c>
      <c r="K121">
        <v>0</v>
      </c>
      <c r="L121">
        <v>0</v>
      </c>
      <c r="M121">
        <v>0</v>
      </c>
      <c r="N121" s="30">
        <f t="shared" si="56"/>
        <v>10.318000000000001</v>
      </c>
      <c r="P121">
        <v>2</v>
      </c>
      <c r="Q121" t="s">
        <v>16</v>
      </c>
      <c r="R121">
        <v>14592</v>
      </c>
      <c r="S121">
        <v>128</v>
      </c>
      <c r="T121">
        <v>2</v>
      </c>
      <c r="U121">
        <v>2</v>
      </c>
      <c r="V121">
        <v>187.86</v>
      </c>
      <c r="W121" s="17">
        <v>11.028</v>
      </c>
      <c r="X121" s="33">
        <v>45318</v>
      </c>
      <c r="Y121" s="37">
        <v>0.63489583333333333</v>
      </c>
      <c r="Z121">
        <v>0</v>
      </c>
      <c r="AA121">
        <v>0</v>
      </c>
      <c r="AB121">
        <v>0</v>
      </c>
      <c r="AC121" s="30">
        <f t="shared" si="69"/>
        <v>11.033600000000002</v>
      </c>
    </row>
    <row r="122" spans="1:29" x14ac:dyDescent="0.25">
      <c r="A122">
        <v>3</v>
      </c>
      <c r="B122" t="s">
        <v>16</v>
      </c>
      <c r="C122">
        <v>14592</v>
      </c>
      <c r="D122">
        <v>128</v>
      </c>
      <c r="E122">
        <v>2</v>
      </c>
      <c r="F122">
        <v>2</v>
      </c>
      <c r="G122">
        <v>200.88</v>
      </c>
      <c r="H122" s="17">
        <v>10.313000000000001</v>
      </c>
      <c r="I122" s="33">
        <v>45319</v>
      </c>
      <c r="J122" s="37">
        <v>1.0648148148148147E-3</v>
      </c>
      <c r="K122">
        <v>0</v>
      </c>
      <c r="L122">
        <v>0</v>
      </c>
      <c r="M122">
        <v>0</v>
      </c>
      <c r="N122" s="30">
        <f t="shared" si="56"/>
        <v>10.318000000000001</v>
      </c>
      <c r="P122">
        <v>3</v>
      </c>
      <c r="Q122" t="s">
        <v>16</v>
      </c>
      <c r="R122">
        <v>14592</v>
      </c>
      <c r="S122">
        <v>128</v>
      </c>
      <c r="T122">
        <v>2</v>
      </c>
      <c r="U122">
        <v>2</v>
      </c>
      <c r="V122">
        <v>187.98</v>
      </c>
      <c r="W122" s="17">
        <v>11.021000000000001</v>
      </c>
      <c r="X122" s="33">
        <v>45318</v>
      </c>
      <c r="Y122" s="37">
        <v>0.6945486111111111</v>
      </c>
      <c r="Z122">
        <v>0</v>
      </c>
      <c r="AA122">
        <v>0</v>
      </c>
      <c r="AB122">
        <v>0</v>
      </c>
      <c r="AC122" s="30">
        <f t="shared" si="69"/>
        <v>11.033600000000002</v>
      </c>
    </row>
    <row r="123" spans="1:29" x14ac:dyDescent="0.25">
      <c r="A123">
        <v>4</v>
      </c>
      <c r="B123" t="s">
        <v>16</v>
      </c>
      <c r="C123">
        <v>14592</v>
      </c>
      <c r="D123">
        <v>128</v>
      </c>
      <c r="E123">
        <v>2</v>
      </c>
      <c r="F123">
        <v>2</v>
      </c>
      <c r="G123">
        <v>200.82</v>
      </c>
      <c r="H123" s="17">
        <v>10.316000000000001</v>
      </c>
      <c r="I123" s="33">
        <v>45319</v>
      </c>
      <c r="J123" s="37">
        <v>5.378472222222222E-2</v>
      </c>
      <c r="K123">
        <v>0</v>
      </c>
      <c r="L123">
        <v>0</v>
      </c>
      <c r="M123">
        <v>0</v>
      </c>
      <c r="N123" s="30">
        <f t="shared" si="56"/>
        <v>10.318000000000001</v>
      </c>
      <c r="P123">
        <v>4</v>
      </c>
      <c r="Q123" t="s">
        <v>16</v>
      </c>
      <c r="R123">
        <v>14592</v>
      </c>
      <c r="S123">
        <v>128</v>
      </c>
      <c r="T123">
        <v>2</v>
      </c>
      <c r="U123">
        <v>2</v>
      </c>
      <c r="V123">
        <v>187.74</v>
      </c>
      <c r="W123" s="17">
        <v>11.035</v>
      </c>
      <c r="X123" s="33">
        <v>45318</v>
      </c>
      <c r="Y123" s="37">
        <v>0.75418981481481484</v>
      </c>
      <c r="Z123">
        <v>0</v>
      </c>
      <c r="AA123">
        <v>0</v>
      </c>
      <c r="AB123">
        <v>0</v>
      </c>
      <c r="AC123" s="30">
        <f t="shared" si="69"/>
        <v>11.033600000000002</v>
      </c>
    </row>
    <row r="124" spans="1:29" x14ac:dyDescent="0.25">
      <c r="A124">
        <v>0</v>
      </c>
      <c r="B124" t="s">
        <v>16</v>
      </c>
      <c r="C124">
        <v>12960</v>
      </c>
      <c r="D124">
        <v>160</v>
      </c>
      <c r="E124">
        <v>1</v>
      </c>
      <c r="F124">
        <v>4</v>
      </c>
      <c r="G124">
        <v>140.22999999999999</v>
      </c>
      <c r="H124" s="17">
        <v>10.35</v>
      </c>
      <c r="I124" s="33">
        <v>45318</v>
      </c>
      <c r="J124" s="37">
        <v>0.80931712962962965</v>
      </c>
      <c r="K124">
        <v>0</v>
      </c>
      <c r="L124">
        <v>0</v>
      </c>
      <c r="M124">
        <v>0</v>
      </c>
      <c r="N124" s="30">
        <f t="shared" ref="N124:N184" si="94">AVERAGE(H124:H128)</f>
        <v>10.352599999999999</v>
      </c>
      <c r="P124">
        <v>0</v>
      </c>
      <c r="Q124" t="s">
        <v>16</v>
      </c>
      <c r="R124">
        <v>12960</v>
      </c>
      <c r="S124">
        <v>160</v>
      </c>
      <c r="T124">
        <v>1</v>
      </c>
      <c r="U124">
        <v>4</v>
      </c>
      <c r="V124">
        <v>131.97</v>
      </c>
      <c r="W124" s="17">
        <v>10.997999999999999</v>
      </c>
      <c r="X124" s="33">
        <v>45318</v>
      </c>
      <c r="Y124" s="37">
        <v>0.47784722222222226</v>
      </c>
      <c r="Z124">
        <v>0</v>
      </c>
      <c r="AA124">
        <v>0</v>
      </c>
      <c r="AB124">
        <v>0</v>
      </c>
      <c r="AC124" s="30">
        <f t="shared" ref="AC124:AC184" si="95">AVERAGE(W124:W128)</f>
        <v>11.001999999999999</v>
      </c>
    </row>
    <row r="125" spans="1:29" x14ac:dyDescent="0.25">
      <c r="A125">
        <v>1</v>
      </c>
      <c r="B125" t="s">
        <v>16</v>
      </c>
      <c r="C125">
        <v>12960</v>
      </c>
      <c r="D125">
        <v>160</v>
      </c>
      <c r="E125">
        <v>1</v>
      </c>
      <c r="F125">
        <v>4</v>
      </c>
      <c r="G125">
        <v>140.19999999999999</v>
      </c>
      <c r="H125" s="17">
        <v>10.353</v>
      </c>
      <c r="I125" s="33">
        <v>45318</v>
      </c>
      <c r="J125" s="37">
        <v>0.86202546296296301</v>
      </c>
      <c r="K125">
        <v>0</v>
      </c>
      <c r="L125">
        <v>0</v>
      </c>
      <c r="M125">
        <v>0</v>
      </c>
      <c r="N125" s="30">
        <f t="shared" ref="N125:N188" si="96">N124</f>
        <v>10.352599999999999</v>
      </c>
      <c r="P125">
        <v>1</v>
      </c>
      <c r="Q125" t="s">
        <v>16</v>
      </c>
      <c r="R125">
        <v>12960</v>
      </c>
      <c r="S125">
        <v>160</v>
      </c>
      <c r="T125">
        <v>1</v>
      </c>
      <c r="U125">
        <v>4</v>
      </c>
      <c r="V125">
        <v>131.77000000000001</v>
      </c>
      <c r="W125" s="17">
        <v>11.015000000000001</v>
      </c>
      <c r="X125" s="33">
        <v>45318</v>
      </c>
      <c r="Y125" s="37">
        <v>0.53751157407407402</v>
      </c>
      <c r="Z125">
        <v>0</v>
      </c>
      <c r="AA125">
        <v>0</v>
      </c>
      <c r="AB125">
        <v>0</v>
      </c>
      <c r="AC125" s="30">
        <f t="shared" ref="AC125:AC188" si="97">AC124</f>
        <v>11.001999999999999</v>
      </c>
    </row>
    <row r="126" spans="1:29" x14ac:dyDescent="0.25">
      <c r="A126">
        <v>2</v>
      </c>
      <c r="B126" t="s">
        <v>16</v>
      </c>
      <c r="C126">
        <v>12960</v>
      </c>
      <c r="D126">
        <v>160</v>
      </c>
      <c r="E126">
        <v>1</v>
      </c>
      <c r="F126">
        <v>4</v>
      </c>
      <c r="G126">
        <v>140.21</v>
      </c>
      <c r="H126" s="17">
        <v>10.352</v>
      </c>
      <c r="I126" s="33">
        <v>45318</v>
      </c>
      <c r="J126" s="37">
        <v>0.91475694444444444</v>
      </c>
      <c r="K126">
        <v>0</v>
      </c>
      <c r="L126">
        <v>0</v>
      </c>
      <c r="M126">
        <v>0</v>
      </c>
      <c r="N126" s="30">
        <f t="shared" si="56"/>
        <v>10.352599999999999</v>
      </c>
      <c r="P126">
        <v>2</v>
      </c>
      <c r="Q126" t="s">
        <v>16</v>
      </c>
      <c r="R126">
        <v>12960</v>
      </c>
      <c r="S126">
        <v>160</v>
      </c>
      <c r="T126">
        <v>1</v>
      </c>
      <c r="U126">
        <v>4</v>
      </c>
      <c r="V126">
        <v>131.91999999999999</v>
      </c>
      <c r="W126" s="17">
        <v>11.003</v>
      </c>
      <c r="X126" s="33">
        <v>45318</v>
      </c>
      <c r="Y126" s="37">
        <v>0.59714120370370372</v>
      </c>
      <c r="Z126">
        <v>0</v>
      </c>
      <c r="AA126">
        <v>0</v>
      </c>
      <c r="AB126">
        <v>0</v>
      </c>
      <c r="AC126" s="30">
        <f t="shared" si="69"/>
        <v>11.001999999999999</v>
      </c>
    </row>
    <row r="127" spans="1:29" x14ac:dyDescent="0.25">
      <c r="A127">
        <v>3</v>
      </c>
      <c r="B127" t="s">
        <v>16</v>
      </c>
      <c r="C127">
        <v>12960</v>
      </c>
      <c r="D127">
        <v>160</v>
      </c>
      <c r="E127">
        <v>1</v>
      </c>
      <c r="F127">
        <v>4</v>
      </c>
      <c r="G127">
        <v>140.18</v>
      </c>
      <c r="H127" s="17">
        <v>10.353999999999999</v>
      </c>
      <c r="I127" s="33">
        <v>45318</v>
      </c>
      <c r="J127" s="37">
        <v>0.9674652777777778</v>
      </c>
      <c r="K127">
        <v>0</v>
      </c>
      <c r="L127">
        <v>0</v>
      </c>
      <c r="M127">
        <v>0</v>
      </c>
      <c r="N127" s="30">
        <f t="shared" si="56"/>
        <v>10.352599999999999</v>
      </c>
      <c r="P127">
        <v>3</v>
      </c>
      <c r="Q127" t="s">
        <v>16</v>
      </c>
      <c r="R127">
        <v>12960</v>
      </c>
      <c r="S127">
        <v>160</v>
      </c>
      <c r="T127">
        <v>1</v>
      </c>
      <c r="U127">
        <v>4</v>
      </c>
      <c r="V127">
        <v>131.97999999999999</v>
      </c>
      <c r="W127" s="17">
        <v>10.997</v>
      </c>
      <c r="X127" s="33">
        <v>45318</v>
      </c>
      <c r="Y127" s="37">
        <v>0.65682870370370372</v>
      </c>
      <c r="Z127">
        <v>0</v>
      </c>
      <c r="AA127">
        <v>0</v>
      </c>
      <c r="AB127">
        <v>0</v>
      </c>
      <c r="AC127" s="30">
        <f t="shared" si="69"/>
        <v>11.001999999999999</v>
      </c>
    </row>
    <row r="128" spans="1:29" x14ac:dyDescent="0.25">
      <c r="A128">
        <v>4</v>
      </c>
      <c r="B128" t="s">
        <v>16</v>
      </c>
      <c r="C128">
        <v>12960</v>
      </c>
      <c r="D128">
        <v>160</v>
      </c>
      <c r="E128">
        <v>1</v>
      </c>
      <c r="F128">
        <v>4</v>
      </c>
      <c r="G128">
        <v>140.18</v>
      </c>
      <c r="H128" s="17">
        <v>10.353999999999999</v>
      </c>
      <c r="I128" s="33">
        <v>45319</v>
      </c>
      <c r="J128" s="37">
        <v>2.0173611111111111E-2</v>
      </c>
      <c r="K128">
        <v>0</v>
      </c>
      <c r="L128">
        <v>0</v>
      </c>
      <c r="M128">
        <v>0</v>
      </c>
      <c r="N128" s="30">
        <f t="shared" si="56"/>
        <v>10.352599999999999</v>
      </c>
      <c r="P128">
        <v>4</v>
      </c>
      <c r="Q128" t="s">
        <v>16</v>
      </c>
      <c r="R128">
        <v>12960</v>
      </c>
      <c r="S128">
        <v>160</v>
      </c>
      <c r="T128">
        <v>1</v>
      </c>
      <c r="U128">
        <v>4</v>
      </c>
      <c r="V128">
        <v>131.99</v>
      </c>
      <c r="W128" s="17">
        <v>10.997</v>
      </c>
      <c r="X128" s="33">
        <v>45318</v>
      </c>
      <c r="Y128" s="37">
        <v>0.71645833333333331</v>
      </c>
      <c r="Z128">
        <v>0</v>
      </c>
      <c r="AA128">
        <v>0</v>
      </c>
      <c r="AB128">
        <v>0</v>
      </c>
      <c r="AC128" s="30">
        <f t="shared" si="69"/>
        <v>11.001999999999999</v>
      </c>
    </row>
    <row r="129" spans="1:29" x14ac:dyDescent="0.25">
      <c r="A129">
        <v>0</v>
      </c>
      <c r="B129" t="s">
        <v>16</v>
      </c>
      <c r="C129">
        <v>13760</v>
      </c>
      <c r="D129">
        <v>160</v>
      </c>
      <c r="E129">
        <v>1</v>
      </c>
      <c r="F129">
        <v>4</v>
      </c>
      <c r="G129">
        <v>167.17</v>
      </c>
      <c r="H129" s="17">
        <v>10.391999999999999</v>
      </c>
      <c r="I129" s="33">
        <v>45318</v>
      </c>
      <c r="J129" s="37">
        <v>0.82613425925925921</v>
      </c>
      <c r="K129">
        <v>0</v>
      </c>
      <c r="L129">
        <v>0</v>
      </c>
      <c r="M129">
        <v>0</v>
      </c>
      <c r="N129" s="30">
        <f t="shared" si="94"/>
        <v>10.384600000000001</v>
      </c>
      <c r="P129">
        <v>0</v>
      </c>
      <c r="Q129" t="s">
        <v>16</v>
      </c>
      <c r="R129">
        <v>13760</v>
      </c>
      <c r="S129">
        <v>160</v>
      </c>
      <c r="T129">
        <v>1</v>
      </c>
      <c r="U129">
        <v>4</v>
      </c>
      <c r="V129">
        <v>157.49</v>
      </c>
      <c r="W129" s="17">
        <v>11.03</v>
      </c>
      <c r="X129" s="33">
        <v>45318</v>
      </c>
      <c r="Y129" s="37">
        <v>0.4967361111111111</v>
      </c>
      <c r="Z129">
        <v>0</v>
      </c>
      <c r="AA129">
        <v>0</v>
      </c>
      <c r="AB129">
        <v>0</v>
      </c>
      <c r="AC129" s="30">
        <f t="shared" si="95"/>
        <v>11.050800000000001</v>
      </c>
    </row>
    <row r="130" spans="1:29" x14ac:dyDescent="0.25">
      <c r="A130">
        <v>1</v>
      </c>
      <c r="B130" t="s">
        <v>16</v>
      </c>
      <c r="C130">
        <v>13760</v>
      </c>
      <c r="D130">
        <v>160</v>
      </c>
      <c r="E130">
        <v>1</v>
      </c>
      <c r="F130">
        <v>4</v>
      </c>
      <c r="G130">
        <v>167.25</v>
      </c>
      <c r="H130" s="17">
        <v>10.385999999999999</v>
      </c>
      <c r="I130" s="33">
        <v>45318</v>
      </c>
      <c r="J130" s="37">
        <v>0.87884259259259256</v>
      </c>
      <c r="K130">
        <v>0</v>
      </c>
      <c r="L130">
        <v>0</v>
      </c>
      <c r="M130">
        <v>0</v>
      </c>
      <c r="N130" s="30">
        <f t="shared" si="96"/>
        <v>10.384600000000001</v>
      </c>
      <c r="P130">
        <v>1</v>
      </c>
      <c r="Q130" t="s">
        <v>16</v>
      </c>
      <c r="R130">
        <v>13760</v>
      </c>
      <c r="S130">
        <v>160</v>
      </c>
      <c r="T130">
        <v>1</v>
      </c>
      <c r="U130">
        <v>4</v>
      </c>
      <c r="V130">
        <v>157.08000000000001</v>
      </c>
      <c r="W130" s="17">
        <v>11.058999999999999</v>
      </c>
      <c r="X130" s="33">
        <v>45318</v>
      </c>
      <c r="Y130" s="37">
        <v>0.55638888888888893</v>
      </c>
      <c r="Z130">
        <v>0</v>
      </c>
      <c r="AA130">
        <v>0</v>
      </c>
      <c r="AB130">
        <v>0</v>
      </c>
      <c r="AC130" s="30">
        <f t="shared" si="97"/>
        <v>11.050800000000001</v>
      </c>
    </row>
    <row r="131" spans="1:29" x14ac:dyDescent="0.25">
      <c r="A131">
        <v>2</v>
      </c>
      <c r="B131" t="s">
        <v>16</v>
      </c>
      <c r="C131">
        <v>13760</v>
      </c>
      <c r="D131">
        <v>160</v>
      </c>
      <c r="E131">
        <v>1</v>
      </c>
      <c r="F131">
        <v>4</v>
      </c>
      <c r="G131">
        <v>167.31</v>
      </c>
      <c r="H131" s="17">
        <v>10.382999999999999</v>
      </c>
      <c r="I131" s="33">
        <v>45318</v>
      </c>
      <c r="J131" s="37">
        <v>0.931574074074074</v>
      </c>
      <c r="K131">
        <v>0</v>
      </c>
      <c r="L131">
        <v>0</v>
      </c>
      <c r="M131">
        <v>0</v>
      </c>
      <c r="N131" s="30">
        <f t="shared" si="56"/>
        <v>10.384600000000001</v>
      </c>
      <c r="P131">
        <v>2</v>
      </c>
      <c r="Q131" t="s">
        <v>16</v>
      </c>
      <c r="R131">
        <v>13760</v>
      </c>
      <c r="S131">
        <v>160</v>
      </c>
      <c r="T131">
        <v>1</v>
      </c>
      <c r="U131">
        <v>4</v>
      </c>
      <c r="V131">
        <v>157.05000000000001</v>
      </c>
      <c r="W131" s="17">
        <v>11.061</v>
      </c>
      <c r="X131" s="33">
        <v>45318</v>
      </c>
      <c r="Y131" s="37">
        <v>0.61603009259259256</v>
      </c>
      <c r="Z131">
        <v>0</v>
      </c>
      <c r="AA131">
        <v>0</v>
      </c>
      <c r="AB131">
        <v>0</v>
      </c>
      <c r="AC131" s="30">
        <f t="shared" si="69"/>
        <v>11.050800000000001</v>
      </c>
    </row>
    <row r="132" spans="1:29" x14ac:dyDescent="0.25">
      <c r="A132">
        <v>3</v>
      </c>
      <c r="B132" t="s">
        <v>16</v>
      </c>
      <c r="C132">
        <v>13760</v>
      </c>
      <c r="D132">
        <v>160</v>
      </c>
      <c r="E132">
        <v>1</v>
      </c>
      <c r="F132">
        <v>4</v>
      </c>
      <c r="G132">
        <v>167.34</v>
      </c>
      <c r="H132" s="17">
        <v>10.381</v>
      </c>
      <c r="I132" s="33">
        <v>45318</v>
      </c>
      <c r="J132" s="37">
        <v>0.98428240740740736</v>
      </c>
      <c r="K132">
        <v>0</v>
      </c>
      <c r="L132">
        <v>0</v>
      </c>
      <c r="M132">
        <v>0</v>
      </c>
      <c r="N132" s="30">
        <f t="shared" si="56"/>
        <v>10.384600000000001</v>
      </c>
      <c r="P132">
        <v>3</v>
      </c>
      <c r="Q132" t="s">
        <v>16</v>
      </c>
      <c r="R132">
        <v>13760</v>
      </c>
      <c r="S132">
        <v>160</v>
      </c>
      <c r="T132">
        <v>1</v>
      </c>
      <c r="U132">
        <v>4</v>
      </c>
      <c r="V132">
        <v>157.38</v>
      </c>
      <c r="W132" s="17">
        <v>11.038</v>
      </c>
      <c r="X132" s="33">
        <v>45318</v>
      </c>
      <c r="Y132" s="37">
        <v>0.67570601851851853</v>
      </c>
      <c r="Z132">
        <v>0</v>
      </c>
      <c r="AA132">
        <v>0</v>
      </c>
      <c r="AB132">
        <v>0</v>
      </c>
      <c r="AC132" s="30">
        <f t="shared" si="69"/>
        <v>11.050800000000001</v>
      </c>
    </row>
    <row r="133" spans="1:29" x14ac:dyDescent="0.25">
      <c r="A133">
        <v>4</v>
      </c>
      <c r="B133" t="s">
        <v>16</v>
      </c>
      <c r="C133">
        <v>13760</v>
      </c>
      <c r="D133">
        <v>160</v>
      </c>
      <c r="E133">
        <v>1</v>
      </c>
      <c r="F133">
        <v>4</v>
      </c>
      <c r="G133">
        <v>167.34</v>
      </c>
      <c r="H133" s="17">
        <v>10.381</v>
      </c>
      <c r="I133" s="33">
        <v>45319</v>
      </c>
      <c r="J133" s="37">
        <v>3.6990740740740741E-2</v>
      </c>
      <c r="K133">
        <v>0</v>
      </c>
      <c r="L133">
        <v>0</v>
      </c>
      <c r="M133">
        <v>0</v>
      </c>
      <c r="N133" s="30">
        <f t="shared" si="56"/>
        <v>10.384600000000001</v>
      </c>
      <c r="P133">
        <v>4</v>
      </c>
      <c r="Q133" t="s">
        <v>16</v>
      </c>
      <c r="R133">
        <v>13760</v>
      </c>
      <c r="S133">
        <v>160</v>
      </c>
      <c r="T133">
        <v>1</v>
      </c>
      <c r="U133">
        <v>4</v>
      </c>
      <c r="V133">
        <v>156.99</v>
      </c>
      <c r="W133" s="17">
        <v>11.066000000000001</v>
      </c>
      <c r="X133" s="33">
        <v>45318</v>
      </c>
      <c r="Y133" s="37">
        <v>0.73533564814814811</v>
      </c>
      <c r="Z133">
        <v>0</v>
      </c>
      <c r="AA133">
        <v>0</v>
      </c>
      <c r="AB133">
        <v>0</v>
      </c>
      <c r="AC133" s="30">
        <f t="shared" si="69"/>
        <v>11.050800000000001</v>
      </c>
    </row>
    <row r="134" spans="1:29" x14ac:dyDescent="0.25">
      <c r="A134">
        <v>0</v>
      </c>
      <c r="B134" t="s">
        <v>16</v>
      </c>
      <c r="C134">
        <v>14560</v>
      </c>
      <c r="D134">
        <v>160</v>
      </c>
      <c r="E134">
        <v>1</v>
      </c>
      <c r="F134">
        <v>4</v>
      </c>
      <c r="G134">
        <v>198.44</v>
      </c>
      <c r="H134" s="17">
        <v>10.371</v>
      </c>
      <c r="I134" s="33">
        <v>45318</v>
      </c>
      <c r="J134" s="37">
        <v>0.84539351851851852</v>
      </c>
      <c r="K134">
        <v>0</v>
      </c>
      <c r="L134">
        <v>0</v>
      </c>
      <c r="M134">
        <v>0</v>
      </c>
      <c r="N134" s="30">
        <f t="shared" si="94"/>
        <v>10.374599999999999</v>
      </c>
      <c r="P134">
        <v>0</v>
      </c>
      <c r="Q134" t="s">
        <v>16</v>
      </c>
      <c r="R134">
        <v>14560</v>
      </c>
      <c r="S134">
        <v>160</v>
      </c>
      <c r="T134">
        <v>1</v>
      </c>
      <c r="U134">
        <v>4</v>
      </c>
      <c r="V134">
        <v>185.17</v>
      </c>
      <c r="W134" s="17">
        <v>11.115</v>
      </c>
      <c r="X134" s="33">
        <v>45318</v>
      </c>
      <c r="Y134" s="37">
        <v>0.51842592592592596</v>
      </c>
      <c r="Z134">
        <v>0</v>
      </c>
      <c r="AA134">
        <v>0</v>
      </c>
      <c r="AB134">
        <v>0</v>
      </c>
      <c r="AC134" s="30">
        <f t="shared" si="95"/>
        <v>11.106800000000002</v>
      </c>
    </row>
    <row r="135" spans="1:29" x14ac:dyDescent="0.25">
      <c r="A135">
        <v>1</v>
      </c>
      <c r="B135" t="s">
        <v>16</v>
      </c>
      <c r="C135">
        <v>14560</v>
      </c>
      <c r="D135">
        <v>160</v>
      </c>
      <c r="E135">
        <v>1</v>
      </c>
      <c r="F135">
        <v>4</v>
      </c>
      <c r="G135">
        <v>198.4</v>
      </c>
      <c r="H135" s="17">
        <v>10.372999999999999</v>
      </c>
      <c r="I135" s="33">
        <v>45318</v>
      </c>
      <c r="J135" s="37">
        <v>0.89810185185185187</v>
      </c>
      <c r="K135">
        <v>0</v>
      </c>
      <c r="L135">
        <v>0</v>
      </c>
      <c r="M135">
        <v>0</v>
      </c>
      <c r="N135" s="30">
        <f t="shared" si="96"/>
        <v>10.374599999999999</v>
      </c>
      <c r="P135">
        <v>1</v>
      </c>
      <c r="Q135" t="s">
        <v>16</v>
      </c>
      <c r="R135">
        <v>14560</v>
      </c>
      <c r="S135">
        <v>160</v>
      </c>
      <c r="T135">
        <v>1</v>
      </c>
      <c r="U135">
        <v>4</v>
      </c>
      <c r="V135">
        <v>185.5</v>
      </c>
      <c r="W135" s="17">
        <v>11.095000000000001</v>
      </c>
      <c r="X135" s="33">
        <v>45318</v>
      </c>
      <c r="Y135" s="37">
        <v>0.57806712962962969</v>
      </c>
      <c r="Z135">
        <v>0</v>
      </c>
      <c r="AA135">
        <v>0</v>
      </c>
      <c r="AB135">
        <v>0</v>
      </c>
      <c r="AC135" s="30">
        <f t="shared" si="97"/>
        <v>11.106800000000002</v>
      </c>
    </row>
    <row r="136" spans="1:29" x14ac:dyDescent="0.25">
      <c r="A136">
        <v>2</v>
      </c>
      <c r="B136" t="s">
        <v>16</v>
      </c>
      <c r="C136">
        <v>14560</v>
      </c>
      <c r="D136">
        <v>160</v>
      </c>
      <c r="E136">
        <v>1</v>
      </c>
      <c r="F136">
        <v>4</v>
      </c>
      <c r="G136">
        <v>198.39</v>
      </c>
      <c r="H136" s="17">
        <v>10.374000000000001</v>
      </c>
      <c r="I136" s="33">
        <v>45318</v>
      </c>
      <c r="J136" s="37">
        <v>0.95083333333333331</v>
      </c>
      <c r="K136">
        <v>0</v>
      </c>
      <c r="L136">
        <v>0</v>
      </c>
      <c r="M136">
        <v>0</v>
      </c>
      <c r="N136" s="30">
        <f t="shared" si="56"/>
        <v>10.374599999999999</v>
      </c>
      <c r="P136">
        <v>2</v>
      </c>
      <c r="Q136" t="s">
        <v>16</v>
      </c>
      <c r="R136">
        <v>14560</v>
      </c>
      <c r="S136">
        <v>160</v>
      </c>
      <c r="T136">
        <v>1</v>
      </c>
      <c r="U136">
        <v>4</v>
      </c>
      <c r="V136">
        <v>185.26</v>
      </c>
      <c r="W136" s="17">
        <v>11.109</v>
      </c>
      <c r="X136" s="33">
        <v>45318</v>
      </c>
      <c r="Y136" s="37">
        <v>0.63773148148148151</v>
      </c>
      <c r="Z136">
        <v>0</v>
      </c>
      <c r="AA136">
        <v>0</v>
      </c>
      <c r="AB136">
        <v>0</v>
      </c>
      <c r="AC136" s="30">
        <f t="shared" si="69"/>
        <v>11.106800000000002</v>
      </c>
    </row>
    <row r="137" spans="1:29" x14ac:dyDescent="0.25">
      <c r="A137">
        <v>3</v>
      </c>
      <c r="B137" t="s">
        <v>16</v>
      </c>
      <c r="C137">
        <v>14560</v>
      </c>
      <c r="D137">
        <v>160</v>
      </c>
      <c r="E137">
        <v>1</v>
      </c>
      <c r="F137">
        <v>4</v>
      </c>
      <c r="G137">
        <v>198.23</v>
      </c>
      <c r="H137" s="17">
        <v>10.382</v>
      </c>
      <c r="I137" s="33">
        <v>45319</v>
      </c>
      <c r="J137" s="37">
        <v>3.5416666666666665E-3</v>
      </c>
      <c r="K137">
        <v>0</v>
      </c>
      <c r="L137">
        <v>0</v>
      </c>
      <c r="M137">
        <v>0</v>
      </c>
      <c r="N137" s="30">
        <f t="shared" si="56"/>
        <v>10.374599999999999</v>
      </c>
      <c r="P137">
        <v>3</v>
      </c>
      <c r="Q137" t="s">
        <v>16</v>
      </c>
      <c r="R137">
        <v>14560</v>
      </c>
      <c r="S137">
        <v>160</v>
      </c>
      <c r="T137">
        <v>1</v>
      </c>
      <c r="U137">
        <v>4</v>
      </c>
      <c r="V137">
        <v>185.36</v>
      </c>
      <c r="W137" s="17">
        <v>11.103</v>
      </c>
      <c r="X137" s="33">
        <v>45318</v>
      </c>
      <c r="Y137" s="37">
        <v>0.69738425925925929</v>
      </c>
      <c r="Z137">
        <v>0</v>
      </c>
      <c r="AA137">
        <v>0</v>
      </c>
      <c r="AB137">
        <v>0</v>
      </c>
      <c r="AC137" s="30">
        <f t="shared" si="69"/>
        <v>11.106800000000002</v>
      </c>
    </row>
    <row r="138" spans="1:29" x14ac:dyDescent="0.25">
      <c r="A138">
        <v>4</v>
      </c>
      <c r="B138" t="s">
        <v>16</v>
      </c>
      <c r="C138">
        <v>14560</v>
      </c>
      <c r="D138">
        <v>160</v>
      </c>
      <c r="E138">
        <v>1</v>
      </c>
      <c r="F138">
        <v>4</v>
      </c>
      <c r="G138">
        <v>198.41</v>
      </c>
      <c r="H138" s="17">
        <v>10.372999999999999</v>
      </c>
      <c r="I138" s="33">
        <v>45319</v>
      </c>
      <c r="J138" s="37">
        <v>5.6250000000000001E-2</v>
      </c>
      <c r="K138">
        <v>0</v>
      </c>
      <c r="L138">
        <v>0</v>
      </c>
      <c r="M138">
        <v>0</v>
      </c>
      <c r="N138" s="30">
        <f t="shared" si="56"/>
        <v>10.374599999999999</v>
      </c>
      <c r="P138">
        <v>4</v>
      </c>
      <c r="Q138" t="s">
        <v>16</v>
      </c>
      <c r="R138">
        <v>14560</v>
      </c>
      <c r="S138">
        <v>160</v>
      </c>
      <c r="T138">
        <v>1</v>
      </c>
      <c r="U138">
        <v>4</v>
      </c>
      <c r="V138">
        <v>185.2</v>
      </c>
      <c r="W138" s="17">
        <v>11.112</v>
      </c>
      <c r="X138" s="33">
        <v>45318</v>
      </c>
      <c r="Y138" s="37">
        <v>0.75702546296296302</v>
      </c>
      <c r="Z138">
        <v>0</v>
      </c>
      <c r="AA138">
        <v>0</v>
      </c>
      <c r="AB138">
        <v>0</v>
      </c>
      <c r="AC138" s="30">
        <f t="shared" si="69"/>
        <v>11.106800000000002</v>
      </c>
    </row>
    <row r="139" spans="1:29" x14ac:dyDescent="0.25">
      <c r="A139">
        <v>0</v>
      </c>
      <c r="B139" t="s">
        <v>16</v>
      </c>
      <c r="C139">
        <v>12960</v>
      </c>
      <c r="D139">
        <v>160</v>
      </c>
      <c r="E139">
        <v>2</v>
      </c>
      <c r="F139">
        <v>2</v>
      </c>
      <c r="G139">
        <v>139.78</v>
      </c>
      <c r="H139" s="17">
        <v>10.382999999999999</v>
      </c>
      <c r="I139" s="33">
        <v>45318</v>
      </c>
      <c r="J139" s="37">
        <v>0.81107638888888889</v>
      </c>
      <c r="K139">
        <v>0</v>
      </c>
      <c r="L139">
        <v>0</v>
      </c>
      <c r="M139">
        <v>0</v>
      </c>
      <c r="N139" s="30">
        <f t="shared" si="94"/>
        <v>10.382000000000001</v>
      </c>
      <c r="P139">
        <v>0</v>
      </c>
      <c r="Q139" t="s">
        <v>16</v>
      </c>
      <c r="R139">
        <v>12960</v>
      </c>
      <c r="S139">
        <v>160</v>
      </c>
      <c r="T139">
        <v>2</v>
      </c>
      <c r="U139">
        <v>2</v>
      </c>
      <c r="V139">
        <v>131.88999999999999</v>
      </c>
      <c r="W139" s="17">
        <v>11.005000000000001</v>
      </c>
      <c r="X139" s="33">
        <v>45318</v>
      </c>
      <c r="Y139" s="37">
        <v>0.47993055555555553</v>
      </c>
      <c r="Z139">
        <v>0</v>
      </c>
      <c r="AA139">
        <v>0</v>
      </c>
      <c r="AB139">
        <v>0</v>
      </c>
      <c r="AC139" s="30">
        <f t="shared" si="95"/>
        <v>11.020399999999999</v>
      </c>
    </row>
    <row r="140" spans="1:29" x14ac:dyDescent="0.25">
      <c r="A140">
        <v>1</v>
      </c>
      <c r="B140" t="s">
        <v>16</v>
      </c>
      <c r="C140">
        <v>12960</v>
      </c>
      <c r="D140">
        <v>160</v>
      </c>
      <c r="E140">
        <v>2</v>
      </c>
      <c r="F140">
        <v>2</v>
      </c>
      <c r="G140">
        <v>139.80000000000001</v>
      </c>
      <c r="H140" s="17">
        <v>10.382</v>
      </c>
      <c r="I140" s="33">
        <v>45318</v>
      </c>
      <c r="J140" s="37">
        <v>0.86378472222222225</v>
      </c>
      <c r="K140">
        <v>0</v>
      </c>
      <c r="L140">
        <v>0</v>
      </c>
      <c r="M140">
        <v>0</v>
      </c>
      <c r="N140" s="30">
        <f t="shared" si="96"/>
        <v>10.382000000000001</v>
      </c>
      <c r="P140">
        <v>1</v>
      </c>
      <c r="Q140" t="s">
        <v>16</v>
      </c>
      <c r="R140">
        <v>12960</v>
      </c>
      <c r="S140">
        <v>160</v>
      </c>
      <c r="T140">
        <v>2</v>
      </c>
      <c r="U140">
        <v>2</v>
      </c>
      <c r="V140">
        <v>131.53</v>
      </c>
      <c r="W140" s="17">
        <v>11.035</v>
      </c>
      <c r="X140" s="33">
        <v>45318</v>
      </c>
      <c r="Y140" s="37">
        <v>0.5395833333333333</v>
      </c>
      <c r="Z140">
        <v>0</v>
      </c>
      <c r="AA140">
        <v>0</v>
      </c>
      <c r="AB140">
        <v>0</v>
      </c>
      <c r="AC140" s="30">
        <f t="shared" si="97"/>
        <v>11.020399999999999</v>
      </c>
    </row>
    <row r="141" spans="1:29" x14ac:dyDescent="0.25">
      <c r="A141">
        <v>2</v>
      </c>
      <c r="B141" t="s">
        <v>16</v>
      </c>
      <c r="C141">
        <v>12960</v>
      </c>
      <c r="D141">
        <v>160</v>
      </c>
      <c r="E141">
        <v>2</v>
      </c>
      <c r="F141">
        <v>2</v>
      </c>
      <c r="G141">
        <v>139.83000000000001</v>
      </c>
      <c r="H141" s="17">
        <v>10.38</v>
      </c>
      <c r="I141" s="33">
        <v>45318</v>
      </c>
      <c r="J141" s="37">
        <v>0.91650462962962964</v>
      </c>
      <c r="K141">
        <v>0</v>
      </c>
      <c r="L141">
        <v>0</v>
      </c>
      <c r="M141">
        <v>0</v>
      </c>
      <c r="N141" s="30">
        <f t="shared" si="96"/>
        <v>10.382000000000001</v>
      </c>
      <c r="P141">
        <v>2</v>
      </c>
      <c r="Q141" t="s">
        <v>16</v>
      </c>
      <c r="R141">
        <v>12960</v>
      </c>
      <c r="S141">
        <v>160</v>
      </c>
      <c r="T141">
        <v>2</v>
      </c>
      <c r="U141">
        <v>2</v>
      </c>
      <c r="V141">
        <v>132.04</v>
      </c>
      <c r="W141" s="17">
        <v>10.992000000000001</v>
      </c>
      <c r="X141" s="33">
        <v>45318</v>
      </c>
      <c r="Y141" s="37">
        <v>0.59922453703703704</v>
      </c>
      <c r="Z141">
        <v>0</v>
      </c>
      <c r="AA141">
        <v>0</v>
      </c>
      <c r="AB141">
        <v>0</v>
      </c>
      <c r="AC141" s="30">
        <f t="shared" si="69"/>
        <v>11.020399999999999</v>
      </c>
    </row>
    <row r="142" spans="1:29" x14ac:dyDescent="0.25">
      <c r="A142">
        <v>3</v>
      </c>
      <c r="B142" t="s">
        <v>16</v>
      </c>
      <c r="C142">
        <v>12960</v>
      </c>
      <c r="D142">
        <v>160</v>
      </c>
      <c r="E142">
        <v>2</v>
      </c>
      <c r="F142">
        <v>2</v>
      </c>
      <c r="G142">
        <v>139.9</v>
      </c>
      <c r="H142" s="17">
        <v>10.375</v>
      </c>
      <c r="I142" s="33">
        <v>45318</v>
      </c>
      <c r="J142" s="37">
        <v>0.96922453703703704</v>
      </c>
      <c r="K142">
        <v>0</v>
      </c>
      <c r="L142">
        <v>0</v>
      </c>
      <c r="M142">
        <v>0</v>
      </c>
      <c r="N142" s="30">
        <f t="shared" si="96"/>
        <v>10.382000000000001</v>
      </c>
      <c r="P142">
        <v>3</v>
      </c>
      <c r="Q142" t="s">
        <v>16</v>
      </c>
      <c r="R142">
        <v>12960</v>
      </c>
      <c r="S142">
        <v>160</v>
      </c>
      <c r="T142">
        <v>2</v>
      </c>
      <c r="U142">
        <v>2</v>
      </c>
      <c r="V142">
        <v>131.41</v>
      </c>
      <c r="W142" s="17">
        <v>11.045</v>
      </c>
      <c r="X142" s="33">
        <v>45318</v>
      </c>
      <c r="Y142" s="37">
        <v>0.65890046296296301</v>
      </c>
      <c r="Z142">
        <v>0</v>
      </c>
      <c r="AA142">
        <v>0</v>
      </c>
      <c r="AB142">
        <v>0</v>
      </c>
      <c r="AC142" s="30">
        <f t="shared" si="69"/>
        <v>11.020399999999999</v>
      </c>
    </row>
    <row r="143" spans="1:29" x14ac:dyDescent="0.25">
      <c r="A143">
        <v>4</v>
      </c>
      <c r="B143" t="s">
        <v>16</v>
      </c>
      <c r="C143">
        <v>12960</v>
      </c>
      <c r="D143">
        <v>160</v>
      </c>
      <c r="E143">
        <v>2</v>
      </c>
      <c r="F143">
        <v>2</v>
      </c>
      <c r="G143">
        <v>139.69999999999999</v>
      </c>
      <c r="H143" s="17">
        <v>10.39</v>
      </c>
      <c r="I143" s="33">
        <v>45319</v>
      </c>
      <c r="J143" s="37">
        <v>2.1921296296296296E-2</v>
      </c>
      <c r="K143">
        <v>0</v>
      </c>
      <c r="L143">
        <v>0</v>
      </c>
      <c r="M143">
        <v>0</v>
      </c>
      <c r="N143" s="30">
        <f t="shared" si="96"/>
        <v>10.382000000000001</v>
      </c>
      <c r="P143">
        <v>4</v>
      </c>
      <c r="Q143" t="s">
        <v>16</v>
      </c>
      <c r="R143">
        <v>12960</v>
      </c>
      <c r="S143">
        <v>160</v>
      </c>
      <c r="T143">
        <v>2</v>
      </c>
      <c r="U143">
        <v>2</v>
      </c>
      <c r="V143">
        <v>131.65</v>
      </c>
      <c r="W143" s="17">
        <v>11.025</v>
      </c>
      <c r="X143" s="33">
        <v>45318</v>
      </c>
      <c r="Y143" s="37">
        <v>0.7185300925925926</v>
      </c>
      <c r="Z143">
        <v>0</v>
      </c>
      <c r="AA143">
        <v>0</v>
      </c>
      <c r="AB143">
        <v>0</v>
      </c>
      <c r="AC143" s="30">
        <f t="shared" si="69"/>
        <v>11.020399999999999</v>
      </c>
    </row>
    <row r="144" spans="1:29" x14ac:dyDescent="0.25">
      <c r="A144">
        <v>0</v>
      </c>
      <c r="B144" t="s">
        <v>16</v>
      </c>
      <c r="C144">
        <v>13760</v>
      </c>
      <c r="D144">
        <v>160</v>
      </c>
      <c r="E144">
        <v>2</v>
      </c>
      <c r="F144">
        <v>2</v>
      </c>
      <c r="G144">
        <v>165.55</v>
      </c>
      <c r="H144" s="17">
        <v>10.493</v>
      </c>
      <c r="I144" s="33">
        <v>45318</v>
      </c>
      <c r="J144" s="37">
        <v>0.82819444444444434</v>
      </c>
      <c r="K144">
        <v>0</v>
      </c>
      <c r="L144">
        <v>0</v>
      </c>
      <c r="M144">
        <v>0</v>
      </c>
      <c r="N144" s="30">
        <f t="shared" si="94"/>
        <v>10.4918</v>
      </c>
      <c r="P144">
        <v>0</v>
      </c>
      <c r="Q144" t="s">
        <v>16</v>
      </c>
      <c r="R144">
        <v>13760</v>
      </c>
      <c r="S144">
        <v>160</v>
      </c>
      <c r="T144">
        <v>2</v>
      </c>
      <c r="U144">
        <v>2</v>
      </c>
      <c r="V144">
        <v>156.33000000000001</v>
      </c>
      <c r="W144" s="17">
        <v>11.112</v>
      </c>
      <c r="X144" s="33">
        <v>45318</v>
      </c>
      <c r="Y144" s="37">
        <v>0.49915509259259255</v>
      </c>
      <c r="Z144">
        <v>0</v>
      </c>
      <c r="AA144">
        <v>0</v>
      </c>
      <c r="AB144">
        <v>0</v>
      </c>
      <c r="AC144" s="30">
        <f t="shared" si="95"/>
        <v>11.105799999999999</v>
      </c>
    </row>
    <row r="145" spans="1:29" x14ac:dyDescent="0.25">
      <c r="A145">
        <v>1</v>
      </c>
      <c r="B145" t="s">
        <v>16</v>
      </c>
      <c r="C145">
        <v>13760</v>
      </c>
      <c r="D145">
        <v>160</v>
      </c>
      <c r="E145">
        <v>2</v>
      </c>
      <c r="F145">
        <v>2</v>
      </c>
      <c r="G145">
        <v>165.66</v>
      </c>
      <c r="H145" s="17">
        <v>10.486000000000001</v>
      </c>
      <c r="I145" s="33">
        <v>45318</v>
      </c>
      <c r="J145" s="37">
        <v>0.88091435185185185</v>
      </c>
      <c r="K145">
        <v>0</v>
      </c>
      <c r="L145">
        <v>0</v>
      </c>
      <c r="M145">
        <v>0</v>
      </c>
      <c r="N145" s="30">
        <f t="shared" si="96"/>
        <v>10.4918</v>
      </c>
      <c r="P145">
        <v>1</v>
      </c>
      <c r="Q145" t="s">
        <v>16</v>
      </c>
      <c r="R145">
        <v>13760</v>
      </c>
      <c r="S145">
        <v>160</v>
      </c>
      <c r="T145">
        <v>2</v>
      </c>
      <c r="U145">
        <v>2</v>
      </c>
      <c r="V145">
        <v>156.47</v>
      </c>
      <c r="W145" s="17">
        <v>11.102</v>
      </c>
      <c r="X145" s="33">
        <v>45318</v>
      </c>
      <c r="Y145" s="37">
        <v>0.55880787037037039</v>
      </c>
      <c r="Z145">
        <v>0</v>
      </c>
      <c r="AA145">
        <v>0</v>
      </c>
      <c r="AB145">
        <v>0</v>
      </c>
      <c r="AC145" s="30">
        <f t="shared" si="97"/>
        <v>11.105799999999999</v>
      </c>
    </row>
    <row r="146" spans="1:29" x14ac:dyDescent="0.25">
      <c r="A146">
        <v>2</v>
      </c>
      <c r="B146" t="s">
        <v>16</v>
      </c>
      <c r="C146">
        <v>13760</v>
      </c>
      <c r="D146">
        <v>160</v>
      </c>
      <c r="E146">
        <v>2</v>
      </c>
      <c r="F146">
        <v>2</v>
      </c>
      <c r="G146">
        <v>165.54</v>
      </c>
      <c r="H146" s="17">
        <v>10.494</v>
      </c>
      <c r="I146" s="33">
        <v>45318</v>
      </c>
      <c r="J146" s="37">
        <v>0.93363425925925936</v>
      </c>
      <c r="K146">
        <v>0</v>
      </c>
      <c r="L146">
        <v>0</v>
      </c>
      <c r="M146">
        <v>0</v>
      </c>
      <c r="N146" s="30">
        <f t="shared" si="96"/>
        <v>10.4918</v>
      </c>
      <c r="P146">
        <v>2</v>
      </c>
      <c r="Q146" t="s">
        <v>16</v>
      </c>
      <c r="R146">
        <v>13760</v>
      </c>
      <c r="S146">
        <v>160</v>
      </c>
      <c r="T146">
        <v>2</v>
      </c>
      <c r="U146">
        <v>2</v>
      </c>
      <c r="V146">
        <v>156.63999999999999</v>
      </c>
      <c r="W146" s="17">
        <v>11.09</v>
      </c>
      <c r="X146" s="33">
        <v>45318</v>
      </c>
      <c r="Y146" s="37">
        <v>0.61844907407407412</v>
      </c>
      <c r="Z146">
        <v>0</v>
      </c>
      <c r="AA146">
        <v>0</v>
      </c>
      <c r="AB146">
        <v>0</v>
      </c>
      <c r="AC146" s="30">
        <f t="shared" si="69"/>
        <v>11.105799999999999</v>
      </c>
    </row>
    <row r="147" spans="1:29" x14ac:dyDescent="0.25">
      <c r="A147">
        <v>3</v>
      </c>
      <c r="B147" t="s">
        <v>16</v>
      </c>
      <c r="C147">
        <v>13760</v>
      </c>
      <c r="D147">
        <v>160</v>
      </c>
      <c r="E147">
        <v>2</v>
      </c>
      <c r="F147">
        <v>2</v>
      </c>
      <c r="G147">
        <v>165.59</v>
      </c>
      <c r="H147" s="17">
        <v>10.491</v>
      </c>
      <c r="I147" s="33">
        <v>45318</v>
      </c>
      <c r="J147" s="37">
        <v>0.98635416666666664</v>
      </c>
      <c r="K147">
        <v>0</v>
      </c>
      <c r="L147">
        <v>0</v>
      </c>
      <c r="M147">
        <v>0</v>
      </c>
      <c r="N147" s="30">
        <f t="shared" si="96"/>
        <v>10.4918</v>
      </c>
      <c r="P147">
        <v>3</v>
      </c>
      <c r="Q147" t="s">
        <v>16</v>
      </c>
      <c r="R147">
        <v>13760</v>
      </c>
      <c r="S147">
        <v>160</v>
      </c>
      <c r="T147">
        <v>2</v>
      </c>
      <c r="U147">
        <v>2</v>
      </c>
      <c r="V147">
        <v>156.09</v>
      </c>
      <c r="W147" s="17">
        <v>11.129</v>
      </c>
      <c r="X147" s="33">
        <v>45318</v>
      </c>
      <c r="Y147" s="37">
        <v>0.67812499999999998</v>
      </c>
      <c r="Z147">
        <v>0</v>
      </c>
      <c r="AA147">
        <v>0</v>
      </c>
      <c r="AB147">
        <v>0</v>
      </c>
      <c r="AC147" s="30">
        <f t="shared" si="69"/>
        <v>11.105799999999999</v>
      </c>
    </row>
    <row r="148" spans="1:29" x14ac:dyDescent="0.25">
      <c r="A148">
        <v>4</v>
      </c>
      <c r="B148" t="s">
        <v>16</v>
      </c>
      <c r="C148">
        <v>13760</v>
      </c>
      <c r="D148">
        <v>160</v>
      </c>
      <c r="E148">
        <v>2</v>
      </c>
      <c r="F148">
        <v>2</v>
      </c>
      <c r="G148">
        <v>165.52</v>
      </c>
      <c r="H148" s="17">
        <v>10.494999999999999</v>
      </c>
      <c r="I148" s="33">
        <v>45319</v>
      </c>
      <c r="J148" s="37">
        <v>3.90625E-2</v>
      </c>
      <c r="K148">
        <v>0</v>
      </c>
      <c r="L148">
        <v>0</v>
      </c>
      <c r="M148">
        <v>0</v>
      </c>
      <c r="N148" s="30">
        <f t="shared" si="96"/>
        <v>10.4918</v>
      </c>
      <c r="P148">
        <v>4</v>
      </c>
      <c r="Q148" t="s">
        <v>16</v>
      </c>
      <c r="R148">
        <v>13760</v>
      </c>
      <c r="S148">
        <v>160</v>
      </c>
      <c r="T148">
        <v>2</v>
      </c>
      <c r="U148">
        <v>2</v>
      </c>
      <c r="V148">
        <v>156.55000000000001</v>
      </c>
      <c r="W148" s="17">
        <v>11.096</v>
      </c>
      <c r="X148" s="33">
        <v>45318</v>
      </c>
      <c r="Y148" s="37">
        <v>0.73775462962962957</v>
      </c>
      <c r="Z148">
        <v>0</v>
      </c>
      <c r="AA148">
        <v>0</v>
      </c>
      <c r="AB148">
        <v>0</v>
      </c>
      <c r="AC148" s="30">
        <f t="shared" si="69"/>
        <v>11.105799999999999</v>
      </c>
    </row>
    <row r="149" spans="1:29" x14ac:dyDescent="0.25">
      <c r="A149">
        <v>0</v>
      </c>
      <c r="B149" t="s">
        <v>16</v>
      </c>
      <c r="C149">
        <v>14560</v>
      </c>
      <c r="D149">
        <v>160</v>
      </c>
      <c r="E149">
        <v>2</v>
      </c>
      <c r="F149">
        <v>2</v>
      </c>
      <c r="G149">
        <v>194.72</v>
      </c>
      <c r="H149" s="17">
        <v>10.569000000000001</v>
      </c>
      <c r="I149" s="33">
        <v>45318</v>
      </c>
      <c r="J149" s="37">
        <v>0.84781249999999997</v>
      </c>
      <c r="K149">
        <v>0</v>
      </c>
      <c r="L149">
        <v>0</v>
      </c>
      <c r="M149">
        <v>0</v>
      </c>
      <c r="N149" s="30">
        <f t="shared" si="94"/>
        <v>10.5688</v>
      </c>
      <c r="P149">
        <v>0</v>
      </c>
      <c r="Q149" t="s">
        <v>16</v>
      </c>
      <c r="R149">
        <v>14560</v>
      </c>
      <c r="S149">
        <v>160</v>
      </c>
      <c r="T149">
        <v>2</v>
      </c>
      <c r="U149">
        <v>2</v>
      </c>
      <c r="V149">
        <v>183.88</v>
      </c>
      <c r="W149" s="17">
        <v>11.193</v>
      </c>
      <c r="X149" s="33">
        <v>45318</v>
      </c>
      <c r="Y149" s="37">
        <v>0.52124999999999999</v>
      </c>
      <c r="Z149">
        <v>0</v>
      </c>
      <c r="AA149">
        <v>0</v>
      </c>
      <c r="AB149">
        <v>0</v>
      </c>
      <c r="AC149" s="30">
        <f t="shared" si="95"/>
        <v>11.197800000000001</v>
      </c>
    </row>
    <row r="150" spans="1:29" x14ac:dyDescent="0.25">
      <c r="A150">
        <v>1</v>
      </c>
      <c r="B150" t="s">
        <v>16</v>
      </c>
      <c r="C150">
        <v>14560</v>
      </c>
      <c r="D150">
        <v>160</v>
      </c>
      <c r="E150">
        <v>2</v>
      </c>
      <c r="F150">
        <v>2</v>
      </c>
      <c r="G150">
        <v>194.69</v>
      </c>
      <c r="H150" s="17">
        <v>10.571</v>
      </c>
      <c r="I150" s="33">
        <v>45318</v>
      </c>
      <c r="J150" s="37">
        <v>0.90053240740740748</v>
      </c>
      <c r="K150">
        <v>0</v>
      </c>
      <c r="L150">
        <v>0</v>
      </c>
      <c r="M150">
        <v>0</v>
      </c>
      <c r="N150" s="30">
        <f t="shared" si="96"/>
        <v>10.5688</v>
      </c>
      <c r="P150">
        <v>1</v>
      </c>
      <c r="Q150" t="s">
        <v>16</v>
      </c>
      <c r="R150">
        <v>14560</v>
      </c>
      <c r="S150">
        <v>160</v>
      </c>
      <c r="T150">
        <v>2</v>
      </c>
      <c r="U150">
        <v>2</v>
      </c>
      <c r="V150">
        <v>183.96</v>
      </c>
      <c r="W150" s="17">
        <v>11.188000000000001</v>
      </c>
      <c r="X150" s="33">
        <v>45318</v>
      </c>
      <c r="Y150" s="37">
        <v>0.58089120370370373</v>
      </c>
      <c r="Z150">
        <v>0</v>
      </c>
      <c r="AA150">
        <v>0</v>
      </c>
      <c r="AB150">
        <v>0</v>
      </c>
      <c r="AC150" s="30">
        <f t="shared" si="97"/>
        <v>11.197800000000001</v>
      </c>
    </row>
    <row r="151" spans="1:29" x14ac:dyDescent="0.25">
      <c r="A151">
        <v>2</v>
      </c>
      <c r="B151" t="s">
        <v>16</v>
      </c>
      <c r="C151">
        <v>14560</v>
      </c>
      <c r="D151">
        <v>160</v>
      </c>
      <c r="E151">
        <v>2</v>
      </c>
      <c r="F151">
        <v>2</v>
      </c>
      <c r="G151">
        <v>194.78</v>
      </c>
      <c r="H151" s="17">
        <v>10.566000000000001</v>
      </c>
      <c r="I151" s="33">
        <v>45318</v>
      </c>
      <c r="J151" s="37">
        <v>0.95326388888888891</v>
      </c>
      <c r="K151">
        <v>0</v>
      </c>
      <c r="L151">
        <v>0</v>
      </c>
      <c r="M151">
        <v>0</v>
      </c>
      <c r="N151" s="30">
        <f t="shared" si="96"/>
        <v>10.5688</v>
      </c>
      <c r="P151">
        <v>2</v>
      </c>
      <c r="Q151" t="s">
        <v>16</v>
      </c>
      <c r="R151">
        <v>14560</v>
      </c>
      <c r="S151">
        <v>160</v>
      </c>
      <c r="T151">
        <v>2</v>
      </c>
      <c r="U151">
        <v>2</v>
      </c>
      <c r="V151">
        <v>183.76</v>
      </c>
      <c r="W151" s="17">
        <v>11.2</v>
      </c>
      <c r="X151" s="33">
        <v>45318</v>
      </c>
      <c r="Y151" s="37">
        <v>0.64055555555555554</v>
      </c>
      <c r="Z151">
        <v>0</v>
      </c>
      <c r="AA151">
        <v>0</v>
      </c>
      <c r="AB151">
        <v>0</v>
      </c>
      <c r="AC151" s="30">
        <f t="shared" si="69"/>
        <v>11.197800000000001</v>
      </c>
    </row>
    <row r="152" spans="1:29" x14ac:dyDescent="0.25">
      <c r="A152">
        <v>3</v>
      </c>
      <c r="B152" t="s">
        <v>16</v>
      </c>
      <c r="C152">
        <v>14560</v>
      </c>
      <c r="D152">
        <v>160</v>
      </c>
      <c r="E152">
        <v>2</v>
      </c>
      <c r="F152">
        <v>2</v>
      </c>
      <c r="G152">
        <v>194.79</v>
      </c>
      <c r="H152" s="17">
        <v>10.565</v>
      </c>
      <c r="I152" s="33">
        <v>45319</v>
      </c>
      <c r="J152" s="37">
        <v>5.9606481481481489E-3</v>
      </c>
      <c r="K152">
        <v>0</v>
      </c>
      <c r="L152">
        <v>0</v>
      </c>
      <c r="M152">
        <v>0</v>
      </c>
      <c r="N152" s="30">
        <f t="shared" si="96"/>
        <v>10.5688</v>
      </c>
      <c r="P152">
        <v>3</v>
      </c>
      <c r="Q152" t="s">
        <v>16</v>
      </c>
      <c r="R152">
        <v>14560</v>
      </c>
      <c r="S152">
        <v>160</v>
      </c>
      <c r="T152">
        <v>2</v>
      </c>
      <c r="U152">
        <v>2</v>
      </c>
      <c r="V152">
        <v>183.68</v>
      </c>
      <c r="W152" s="17">
        <v>11.205</v>
      </c>
      <c r="X152" s="33">
        <v>45318</v>
      </c>
      <c r="Y152" s="37">
        <v>0.70019675925925917</v>
      </c>
      <c r="Z152">
        <v>0</v>
      </c>
      <c r="AA152">
        <v>0</v>
      </c>
      <c r="AB152">
        <v>0</v>
      </c>
      <c r="AC152" s="30">
        <f t="shared" si="69"/>
        <v>11.197800000000001</v>
      </c>
    </row>
    <row r="153" spans="1:29" x14ac:dyDescent="0.25">
      <c r="A153">
        <v>4</v>
      </c>
      <c r="B153" t="s">
        <v>16</v>
      </c>
      <c r="C153">
        <v>14560</v>
      </c>
      <c r="D153">
        <v>160</v>
      </c>
      <c r="E153">
        <v>2</v>
      </c>
      <c r="F153">
        <v>2</v>
      </c>
      <c r="G153">
        <v>194.65</v>
      </c>
      <c r="H153" s="17">
        <v>10.573</v>
      </c>
      <c r="I153" s="33">
        <v>45319</v>
      </c>
      <c r="J153" s="37">
        <v>5.8680555555555548E-2</v>
      </c>
      <c r="K153">
        <v>0</v>
      </c>
      <c r="L153">
        <v>0</v>
      </c>
      <c r="M153">
        <v>0</v>
      </c>
      <c r="N153" s="30">
        <f t="shared" si="96"/>
        <v>10.5688</v>
      </c>
      <c r="P153">
        <v>4</v>
      </c>
      <c r="Q153" t="s">
        <v>16</v>
      </c>
      <c r="R153">
        <v>14560</v>
      </c>
      <c r="S153">
        <v>160</v>
      </c>
      <c r="T153">
        <v>2</v>
      </c>
      <c r="U153">
        <v>2</v>
      </c>
      <c r="V153">
        <v>183.71</v>
      </c>
      <c r="W153" s="17">
        <v>11.202999999999999</v>
      </c>
      <c r="X153" s="33">
        <v>45318</v>
      </c>
      <c r="Y153" s="37">
        <v>0.75983796296296291</v>
      </c>
      <c r="Z153">
        <v>0</v>
      </c>
      <c r="AA153">
        <v>0</v>
      </c>
      <c r="AB153">
        <v>0</v>
      </c>
      <c r="AC153" s="30">
        <f t="shared" si="69"/>
        <v>11.197800000000001</v>
      </c>
    </row>
    <row r="154" spans="1:29" x14ac:dyDescent="0.25">
      <c r="A154">
        <v>0</v>
      </c>
      <c r="B154" t="s">
        <v>16</v>
      </c>
      <c r="C154">
        <v>13056</v>
      </c>
      <c r="D154">
        <v>192</v>
      </c>
      <c r="E154">
        <v>1</v>
      </c>
      <c r="F154">
        <v>4</v>
      </c>
      <c r="G154">
        <v>145.66999999999999</v>
      </c>
      <c r="H154" s="17">
        <v>10.186999999999999</v>
      </c>
      <c r="I154" s="33">
        <v>45318</v>
      </c>
      <c r="J154" s="37">
        <v>0.81290509259259258</v>
      </c>
      <c r="K154">
        <v>0</v>
      </c>
      <c r="L154">
        <v>0</v>
      </c>
      <c r="M154">
        <v>0</v>
      </c>
      <c r="N154" s="30">
        <f t="shared" si="94"/>
        <v>10.175199999999998</v>
      </c>
      <c r="P154">
        <v>0</v>
      </c>
      <c r="Q154" t="s">
        <v>16</v>
      </c>
      <c r="R154">
        <v>13056</v>
      </c>
      <c r="S154">
        <v>192</v>
      </c>
      <c r="T154">
        <v>1</v>
      </c>
      <c r="U154">
        <v>4</v>
      </c>
      <c r="V154">
        <v>135.06</v>
      </c>
      <c r="W154" s="17">
        <v>10.987</v>
      </c>
      <c r="X154" s="33">
        <v>45318</v>
      </c>
      <c r="Y154" s="37">
        <v>0.48203703703703704</v>
      </c>
      <c r="Z154">
        <v>0</v>
      </c>
      <c r="AA154">
        <v>0</v>
      </c>
      <c r="AB154">
        <v>0</v>
      </c>
      <c r="AC154" s="30">
        <f t="shared" si="95"/>
        <v>10.989999999999998</v>
      </c>
    </row>
    <row r="155" spans="1:29" x14ac:dyDescent="0.25">
      <c r="A155">
        <v>1</v>
      </c>
      <c r="B155" t="s">
        <v>16</v>
      </c>
      <c r="C155">
        <v>13056</v>
      </c>
      <c r="D155">
        <v>192</v>
      </c>
      <c r="E155">
        <v>1</v>
      </c>
      <c r="F155">
        <v>4</v>
      </c>
      <c r="G155">
        <v>145.88999999999999</v>
      </c>
      <c r="H155" s="17">
        <v>10.170999999999999</v>
      </c>
      <c r="I155" s="33">
        <v>45318</v>
      </c>
      <c r="J155" s="37">
        <v>0.86561342592592594</v>
      </c>
      <c r="K155">
        <v>0</v>
      </c>
      <c r="L155">
        <v>0</v>
      </c>
      <c r="M155">
        <v>0</v>
      </c>
      <c r="N155" s="30">
        <f t="shared" si="96"/>
        <v>10.175199999999998</v>
      </c>
      <c r="P155">
        <v>1</v>
      </c>
      <c r="Q155" t="s">
        <v>16</v>
      </c>
      <c r="R155">
        <v>13056</v>
      </c>
      <c r="S155">
        <v>192</v>
      </c>
      <c r="T155">
        <v>1</v>
      </c>
      <c r="U155">
        <v>4</v>
      </c>
      <c r="V155">
        <v>134.88999999999999</v>
      </c>
      <c r="W155" s="17">
        <v>11.000999999999999</v>
      </c>
      <c r="X155" s="33">
        <v>45318</v>
      </c>
      <c r="Y155" s="37">
        <v>0.54170138888888886</v>
      </c>
      <c r="Z155">
        <v>0</v>
      </c>
      <c r="AA155">
        <v>0</v>
      </c>
      <c r="AB155">
        <v>0</v>
      </c>
      <c r="AC155" s="30">
        <f t="shared" si="97"/>
        <v>10.989999999999998</v>
      </c>
    </row>
    <row r="156" spans="1:29" x14ac:dyDescent="0.25">
      <c r="A156">
        <v>2</v>
      </c>
      <c r="B156" t="s">
        <v>16</v>
      </c>
      <c r="C156">
        <v>13056</v>
      </c>
      <c r="D156">
        <v>192</v>
      </c>
      <c r="E156">
        <v>1</v>
      </c>
      <c r="F156">
        <v>4</v>
      </c>
      <c r="G156">
        <v>145.93</v>
      </c>
      <c r="H156" s="17">
        <v>10.169</v>
      </c>
      <c r="I156" s="33">
        <v>45318</v>
      </c>
      <c r="J156" s="37">
        <v>0.91833333333333333</v>
      </c>
      <c r="K156">
        <v>0</v>
      </c>
      <c r="L156">
        <v>0</v>
      </c>
      <c r="M156">
        <v>0</v>
      </c>
      <c r="N156" s="30">
        <f t="shared" si="96"/>
        <v>10.175199999999998</v>
      </c>
      <c r="P156">
        <v>2</v>
      </c>
      <c r="Q156" t="s">
        <v>16</v>
      </c>
      <c r="R156">
        <v>13056</v>
      </c>
      <c r="S156">
        <v>192</v>
      </c>
      <c r="T156">
        <v>1</v>
      </c>
      <c r="U156">
        <v>4</v>
      </c>
      <c r="V156">
        <v>134.9</v>
      </c>
      <c r="W156" s="17">
        <v>11.000999999999999</v>
      </c>
      <c r="X156" s="33">
        <v>45318</v>
      </c>
      <c r="Y156" s="37">
        <v>0.6013425925925926</v>
      </c>
      <c r="Z156">
        <v>0</v>
      </c>
      <c r="AA156">
        <v>0</v>
      </c>
      <c r="AB156">
        <v>0</v>
      </c>
      <c r="AC156" s="30">
        <f t="shared" si="97"/>
        <v>10.989999999999998</v>
      </c>
    </row>
    <row r="157" spans="1:29" x14ac:dyDescent="0.25">
      <c r="A157">
        <v>3</v>
      </c>
      <c r="B157" t="s">
        <v>16</v>
      </c>
      <c r="C157">
        <v>13056</v>
      </c>
      <c r="D157">
        <v>192</v>
      </c>
      <c r="E157">
        <v>1</v>
      </c>
      <c r="F157">
        <v>4</v>
      </c>
      <c r="G157">
        <v>145.86000000000001</v>
      </c>
      <c r="H157" s="17">
        <v>10.173999999999999</v>
      </c>
      <c r="I157" s="33">
        <v>45318</v>
      </c>
      <c r="J157" s="37">
        <v>0.97105324074074073</v>
      </c>
      <c r="K157">
        <v>0</v>
      </c>
      <c r="L157">
        <v>0</v>
      </c>
      <c r="M157">
        <v>0</v>
      </c>
      <c r="N157" s="30">
        <f t="shared" si="96"/>
        <v>10.175199999999998</v>
      </c>
      <c r="P157">
        <v>3</v>
      </c>
      <c r="Q157" t="s">
        <v>16</v>
      </c>
      <c r="R157">
        <v>13056</v>
      </c>
      <c r="S157">
        <v>192</v>
      </c>
      <c r="T157">
        <v>1</v>
      </c>
      <c r="U157">
        <v>4</v>
      </c>
      <c r="V157">
        <v>134.96</v>
      </c>
      <c r="W157" s="17">
        <v>10.994999999999999</v>
      </c>
      <c r="X157" s="33">
        <v>45318</v>
      </c>
      <c r="Y157" s="37">
        <v>0.66100694444444441</v>
      </c>
      <c r="Z157">
        <v>0</v>
      </c>
      <c r="AA157">
        <v>0</v>
      </c>
      <c r="AB157">
        <v>0</v>
      </c>
      <c r="AC157" s="30">
        <f t="shared" si="97"/>
        <v>10.989999999999998</v>
      </c>
    </row>
    <row r="158" spans="1:29" x14ac:dyDescent="0.25">
      <c r="A158">
        <v>4</v>
      </c>
      <c r="B158" t="s">
        <v>16</v>
      </c>
      <c r="C158">
        <v>13056</v>
      </c>
      <c r="D158">
        <v>192</v>
      </c>
      <c r="E158">
        <v>1</v>
      </c>
      <c r="F158">
        <v>4</v>
      </c>
      <c r="G158">
        <v>145.84</v>
      </c>
      <c r="H158" s="17">
        <v>10.175000000000001</v>
      </c>
      <c r="I158" s="33">
        <v>45319</v>
      </c>
      <c r="J158" s="37">
        <v>2.3750000000000004E-2</v>
      </c>
      <c r="K158">
        <v>0</v>
      </c>
      <c r="L158">
        <v>0</v>
      </c>
      <c r="M158">
        <v>0</v>
      </c>
      <c r="N158" s="30">
        <f t="shared" si="96"/>
        <v>10.175199999999998</v>
      </c>
      <c r="P158">
        <v>4</v>
      </c>
      <c r="Q158" t="s">
        <v>16</v>
      </c>
      <c r="R158">
        <v>13056</v>
      </c>
      <c r="S158">
        <v>192</v>
      </c>
      <c r="T158">
        <v>1</v>
      </c>
      <c r="U158">
        <v>4</v>
      </c>
      <c r="V158">
        <v>135.32</v>
      </c>
      <c r="W158" s="17">
        <v>10.965999999999999</v>
      </c>
      <c r="X158" s="33">
        <v>45318</v>
      </c>
      <c r="Y158" s="37">
        <v>0.72064814814814815</v>
      </c>
      <c r="Z158">
        <v>0</v>
      </c>
      <c r="AA158">
        <v>0</v>
      </c>
      <c r="AB158">
        <v>0</v>
      </c>
      <c r="AC158" s="30">
        <f t="shared" si="97"/>
        <v>10.989999999999998</v>
      </c>
    </row>
    <row r="159" spans="1:29" x14ac:dyDescent="0.25">
      <c r="A159">
        <v>0</v>
      </c>
      <c r="B159" t="s">
        <v>16</v>
      </c>
      <c r="C159">
        <v>13824</v>
      </c>
      <c r="D159">
        <v>192</v>
      </c>
      <c r="E159">
        <v>1</v>
      </c>
      <c r="F159">
        <v>4</v>
      </c>
      <c r="G159">
        <v>187.63</v>
      </c>
      <c r="H159" s="17">
        <v>9.3879999999999999</v>
      </c>
      <c r="I159" s="33">
        <v>45318</v>
      </c>
      <c r="J159" s="37">
        <v>0.83052083333333337</v>
      </c>
      <c r="K159">
        <v>0</v>
      </c>
      <c r="L159">
        <v>0</v>
      </c>
      <c r="M159">
        <v>0</v>
      </c>
      <c r="N159" s="30">
        <f t="shared" si="94"/>
        <v>9.3956800000000005</v>
      </c>
      <c r="P159">
        <v>0</v>
      </c>
      <c r="Q159" t="s">
        <v>16</v>
      </c>
      <c r="R159">
        <v>13824</v>
      </c>
      <c r="S159">
        <v>192</v>
      </c>
      <c r="T159">
        <v>1</v>
      </c>
      <c r="U159">
        <v>4</v>
      </c>
      <c r="V159">
        <v>164.18</v>
      </c>
      <c r="W159" s="17">
        <v>10.728999999999999</v>
      </c>
      <c r="X159" s="33">
        <v>45318</v>
      </c>
      <c r="Y159" s="37">
        <v>0.50167824074074074</v>
      </c>
      <c r="Z159">
        <v>0</v>
      </c>
      <c r="AA159">
        <v>0</v>
      </c>
      <c r="AB159">
        <v>0</v>
      </c>
      <c r="AC159" s="30">
        <f t="shared" si="95"/>
        <v>10.734</v>
      </c>
    </row>
    <row r="160" spans="1:29" x14ac:dyDescent="0.25">
      <c r="A160">
        <v>1</v>
      </c>
      <c r="B160" t="s">
        <v>16</v>
      </c>
      <c r="C160">
        <v>13824</v>
      </c>
      <c r="D160">
        <v>192</v>
      </c>
      <c r="E160">
        <v>1</v>
      </c>
      <c r="F160">
        <v>4</v>
      </c>
      <c r="G160">
        <v>187.51</v>
      </c>
      <c r="H160" s="17">
        <v>9.3940999999999999</v>
      </c>
      <c r="I160" s="33">
        <v>45318</v>
      </c>
      <c r="J160" s="37">
        <v>0.88324074074074066</v>
      </c>
      <c r="K160">
        <v>0</v>
      </c>
      <c r="L160">
        <v>0</v>
      </c>
      <c r="M160">
        <v>0</v>
      </c>
      <c r="N160" s="30">
        <f t="shared" si="96"/>
        <v>9.3956800000000005</v>
      </c>
      <c r="P160">
        <v>1</v>
      </c>
      <c r="Q160" t="s">
        <v>16</v>
      </c>
      <c r="R160">
        <v>13824</v>
      </c>
      <c r="S160">
        <v>192</v>
      </c>
      <c r="T160">
        <v>1</v>
      </c>
      <c r="U160">
        <v>4</v>
      </c>
      <c r="V160">
        <v>164.1</v>
      </c>
      <c r="W160" s="17">
        <v>10.734</v>
      </c>
      <c r="X160" s="33">
        <v>45318</v>
      </c>
      <c r="Y160" s="37">
        <v>0.56131944444444448</v>
      </c>
      <c r="Z160">
        <v>0</v>
      </c>
      <c r="AA160">
        <v>0</v>
      </c>
      <c r="AB160">
        <v>0</v>
      </c>
      <c r="AC160" s="30">
        <f t="shared" si="97"/>
        <v>10.734</v>
      </c>
    </row>
    <row r="161" spans="1:29" x14ac:dyDescent="0.25">
      <c r="A161">
        <v>2</v>
      </c>
      <c r="B161" t="s">
        <v>16</v>
      </c>
      <c r="C161">
        <v>13824</v>
      </c>
      <c r="D161">
        <v>192</v>
      </c>
      <c r="E161">
        <v>1</v>
      </c>
      <c r="F161">
        <v>4</v>
      </c>
      <c r="G161">
        <v>187.53</v>
      </c>
      <c r="H161" s="17">
        <v>9.3933</v>
      </c>
      <c r="I161" s="33">
        <v>45318</v>
      </c>
      <c r="J161" s="37">
        <v>0.93596064814814817</v>
      </c>
      <c r="K161">
        <v>0</v>
      </c>
      <c r="L161">
        <v>0</v>
      </c>
      <c r="M161">
        <v>0</v>
      </c>
      <c r="N161" s="30">
        <f t="shared" si="96"/>
        <v>9.3956800000000005</v>
      </c>
      <c r="P161">
        <v>2</v>
      </c>
      <c r="Q161" t="s">
        <v>16</v>
      </c>
      <c r="R161">
        <v>13824</v>
      </c>
      <c r="S161">
        <v>192</v>
      </c>
      <c r="T161">
        <v>1</v>
      </c>
      <c r="U161">
        <v>4</v>
      </c>
      <c r="V161">
        <v>164.34</v>
      </c>
      <c r="W161" s="17">
        <v>10.718999999999999</v>
      </c>
      <c r="X161" s="33">
        <v>45318</v>
      </c>
      <c r="Y161" s="37">
        <v>0.62097222222222226</v>
      </c>
      <c r="Z161">
        <v>0</v>
      </c>
      <c r="AA161">
        <v>0</v>
      </c>
      <c r="AB161">
        <v>0</v>
      </c>
      <c r="AC161" s="30">
        <f t="shared" si="97"/>
        <v>10.734</v>
      </c>
    </row>
    <row r="162" spans="1:29" x14ac:dyDescent="0.25">
      <c r="A162">
        <v>3</v>
      </c>
      <c r="B162" t="s">
        <v>16</v>
      </c>
      <c r="C162">
        <v>13824</v>
      </c>
      <c r="D162">
        <v>192</v>
      </c>
      <c r="E162">
        <v>1</v>
      </c>
      <c r="F162">
        <v>4</v>
      </c>
      <c r="G162">
        <v>187.21</v>
      </c>
      <c r="H162" s="17">
        <v>9.4093999999999998</v>
      </c>
      <c r="I162" s="33">
        <v>45318</v>
      </c>
      <c r="J162" s="37">
        <v>0.98866898148148152</v>
      </c>
      <c r="K162">
        <v>0</v>
      </c>
      <c r="L162">
        <v>0</v>
      </c>
      <c r="M162">
        <v>0</v>
      </c>
      <c r="N162" s="30">
        <f t="shared" si="96"/>
        <v>9.3956800000000005</v>
      </c>
      <c r="P162">
        <v>3</v>
      </c>
      <c r="Q162" t="s">
        <v>16</v>
      </c>
      <c r="R162">
        <v>13824</v>
      </c>
      <c r="S162">
        <v>192</v>
      </c>
      <c r="T162">
        <v>1</v>
      </c>
      <c r="U162">
        <v>4</v>
      </c>
      <c r="V162">
        <v>163.91</v>
      </c>
      <c r="W162" s="17">
        <v>10.747</v>
      </c>
      <c r="X162" s="33">
        <v>45318</v>
      </c>
      <c r="Y162" s="37">
        <v>0.68063657407407396</v>
      </c>
      <c r="Z162">
        <v>0</v>
      </c>
      <c r="AA162">
        <v>0</v>
      </c>
      <c r="AB162">
        <v>0</v>
      </c>
      <c r="AC162" s="30">
        <f t="shared" si="97"/>
        <v>10.734</v>
      </c>
    </row>
    <row r="163" spans="1:29" x14ac:dyDescent="0.25">
      <c r="A163">
        <v>4</v>
      </c>
      <c r="B163" t="s">
        <v>16</v>
      </c>
      <c r="C163">
        <v>13824</v>
      </c>
      <c r="D163">
        <v>192</v>
      </c>
      <c r="E163">
        <v>1</v>
      </c>
      <c r="F163">
        <v>4</v>
      </c>
      <c r="G163">
        <v>187.52</v>
      </c>
      <c r="H163" s="17">
        <v>9.3935999999999993</v>
      </c>
      <c r="I163" s="33">
        <v>45319</v>
      </c>
      <c r="J163" s="37">
        <v>4.1388888888888892E-2</v>
      </c>
      <c r="K163">
        <v>0</v>
      </c>
      <c r="L163">
        <v>0</v>
      </c>
      <c r="M163">
        <v>0</v>
      </c>
      <c r="N163" s="30">
        <f t="shared" si="96"/>
        <v>9.3956800000000005</v>
      </c>
      <c r="P163">
        <v>4</v>
      </c>
      <c r="Q163" t="s">
        <v>16</v>
      </c>
      <c r="R163">
        <v>13824</v>
      </c>
      <c r="S163">
        <v>192</v>
      </c>
      <c r="T163">
        <v>1</v>
      </c>
      <c r="U163">
        <v>4</v>
      </c>
      <c r="V163">
        <v>164</v>
      </c>
      <c r="W163" s="17">
        <v>10.741</v>
      </c>
      <c r="X163" s="33">
        <v>45318</v>
      </c>
      <c r="Y163" s="37">
        <v>0.74026620370370377</v>
      </c>
      <c r="Z163">
        <v>0</v>
      </c>
      <c r="AA163">
        <v>0</v>
      </c>
      <c r="AB163">
        <v>0</v>
      </c>
      <c r="AC163" s="30">
        <f t="shared" si="97"/>
        <v>10.734</v>
      </c>
    </row>
    <row r="164" spans="1:29" x14ac:dyDescent="0.25">
      <c r="A164">
        <v>0</v>
      </c>
      <c r="B164" t="s">
        <v>16</v>
      </c>
      <c r="C164">
        <v>14592</v>
      </c>
      <c r="D164">
        <v>192</v>
      </c>
      <c r="E164">
        <v>1</v>
      </c>
      <c r="F164">
        <v>4</v>
      </c>
      <c r="G164">
        <v>199.85</v>
      </c>
      <c r="H164" s="17">
        <v>10.366</v>
      </c>
      <c r="I164" s="33">
        <v>45318</v>
      </c>
      <c r="J164" s="37">
        <v>0.85030092592592599</v>
      </c>
      <c r="K164">
        <v>0</v>
      </c>
      <c r="L164">
        <v>0</v>
      </c>
      <c r="M164">
        <v>0</v>
      </c>
      <c r="N164" s="30">
        <f t="shared" si="94"/>
        <v>10.363</v>
      </c>
      <c r="P164">
        <v>0</v>
      </c>
      <c r="Q164" t="s">
        <v>16</v>
      </c>
      <c r="R164">
        <v>14592</v>
      </c>
      <c r="S164">
        <v>192</v>
      </c>
      <c r="T164">
        <v>1</v>
      </c>
      <c r="U164">
        <v>4</v>
      </c>
      <c r="V164">
        <v>185.7</v>
      </c>
      <c r="W164" s="17">
        <v>11.156000000000001</v>
      </c>
      <c r="X164" s="33">
        <v>45318</v>
      </c>
      <c r="Y164" s="37">
        <v>0.52408564814814818</v>
      </c>
      <c r="Z164">
        <v>0</v>
      </c>
      <c r="AA164">
        <v>0</v>
      </c>
      <c r="AB164">
        <v>0</v>
      </c>
      <c r="AC164" s="30">
        <f t="shared" si="95"/>
        <v>11.1576</v>
      </c>
    </row>
    <row r="165" spans="1:29" x14ac:dyDescent="0.25">
      <c r="A165">
        <v>1</v>
      </c>
      <c r="B165" t="s">
        <v>16</v>
      </c>
      <c r="C165">
        <v>14592</v>
      </c>
      <c r="D165">
        <v>192</v>
      </c>
      <c r="E165">
        <v>1</v>
      </c>
      <c r="F165">
        <v>4</v>
      </c>
      <c r="G165">
        <v>199.9</v>
      </c>
      <c r="H165" s="17">
        <v>10.364000000000001</v>
      </c>
      <c r="I165" s="33">
        <v>45318</v>
      </c>
      <c r="J165" s="37">
        <v>0.90300925925925923</v>
      </c>
      <c r="K165">
        <v>0</v>
      </c>
      <c r="L165">
        <v>0</v>
      </c>
      <c r="M165">
        <v>0</v>
      </c>
      <c r="N165" s="30">
        <f t="shared" si="96"/>
        <v>10.363</v>
      </c>
      <c r="P165">
        <v>1</v>
      </c>
      <c r="Q165" t="s">
        <v>16</v>
      </c>
      <c r="R165">
        <v>14592</v>
      </c>
      <c r="S165">
        <v>192</v>
      </c>
      <c r="T165">
        <v>1</v>
      </c>
      <c r="U165">
        <v>4</v>
      </c>
      <c r="V165">
        <v>185.62</v>
      </c>
      <c r="W165" s="17">
        <v>11.161</v>
      </c>
      <c r="X165" s="33">
        <v>45318</v>
      </c>
      <c r="Y165" s="37">
        <v>0.5837268518518518</v>
      </c>
      <c r="Z165">
        <v>0</v>
      </c>
      <c r="AA165">
        <v>0</v>
      </c>
      <c r="AB165">
        <v>0</v>
      </c>
      <c r="AC165" s="30">
        <f t="shared" si="97"/>
        <v>11.1576</v>
      </c>
    </row>
    <row r="166" spans="1:29" x14ac:dyDescent="0.25">
      <c r="A166">
        <v>2</v>
      </c>
      <c r="B166" t="s">
        <v>16</v>
      </c>
      <c r="C166">
        <v>14592</v>
      </c>
      <c r="D166">
        <v>192</v>
      </c>
      <c r="E166">
        <v>1</v>
      </c>
      <c r="F166">
        <v>4</v>
      </c>
      <c r="G166">
        <v>199.87</v>
      </c>
      <c r="H166" s="17">
        <v>10.365</v>
      </c>
      <c r="I166" s="33">
        <v>45318</v>
      </c>
      <c r="J166" s="37">
        <v>0.95575231481481471</v>
      </c>
      <c r="K166">
        <v>0</v>
      </c>
      <c r="L166">
        <v>0</v>
      </c>
      <c r="M166">
        <v>0</v>
      </c>
      <c r="N166" s="30">
        <f t="shared" si="96"/>
        <v>10.363</v>
      </c>
      <c r="P166">
        <v>2</v>
      </c>
      <c r="Q166" t="s">
        <v>16</v>
      </c>
      <c r="R166">
        <v>14592</v>
      </c>
      <c r="S166">
        <v>192</v>
      </c>
      <c r="T166">
        <v>1</v>
      </c>
      <c r="U166">
        <v>4</v>
      </c>
      <c r="V166">
        <v>185.81</v>
      </c>
      <c r="W166" s="17">
        <v>11.148999999999999</v>
      </c>
      <c r="X166" s="33">
        <v>45318</v>
      </c>
      <c r="Y166" s="37">
        <v>0.64337962962962958</v>
      </c>
      <c r="Z166">
        <v>0</v>
      </c>
      <c r="AA166">
        <v>0</v>
      </c>
      <c r="AB166">
        <v>0</v>
      </c>
      <c r="AC166" s="30">
        <f t="shared" si="97"/>
        <v>11.1576</v>
      </c>
    </row>
    <row r="167" spans="1:29" x14ac:dyDescent="0.25">
      <c r="A167">
        <v>3</v>
      </c>
      <c r="B167" t="s">
        <v>16</v>
      </c>
      <c r="C167">
        <v>14592</v>
      </c>
      <c r="D167">
        <v>192</v>
      </c>
      <c r="E167">
        <v>1</v>
      </c>
      <c r="F167">
        <v>4</v>
      </c>
      <c r="G167">
        <v>199.96</v>
      </c>
      <c r="H167" s="17">
        <v>10.36</v>
      </c>
      <c r="I167" s="33">
        <v>45319</v>
      </c>
      <c r="J167" s="37">
        <v>8.4490740740740741E-3</v>
      </c>
      <c r="K167">
        <v>0</v>
      </c>
      <c r="L167">
        <v>0</v>
      </c>
      <c r="M167">
        <v>0</v>
      </c>
      <c r="N167" s="30">
        <f t="shared" si="96"/>
        <v>10.363</v>
      </c>
      <c r="P167">
        <v>3</v>
      </c>
      <c r="Q167" t="s">
        <v>16</v>
      </c>
      <c r="R167">
        <v>14592</v>
      </c>
      <c r="S167">
        <v>192</v>
      </c>
      <c r="T167">
        <v>1</v>
      </c>
      <c r="U167">
        <v>4</v>
      </c>
      <c r="V167">
        <v>185.63</v>
      </c>
      <c r="W167" s="17">
        <v>11.16</v>
      </c>
      <c r="X167" s="33">
        <v>45318</v>
      </c>
      <c r="Y167" s="37">
        <v>0.70303240740740736</v>
      </c>
      <c r="Z167">
        <v>0</v>
      </c>
      <c r="AA167">
        <v>0</v>
      </c>
      <c r="AB167">
        <v>0</v>
      </c>
      <c r="AC167" s="30">
        <f t="shared" si="97"/>
        <v>11.1576</v>
      </c>
    </row>
    <row r="168" spans="1:29" x14ac:dyDescent="0.25">
      <c r="A168">
        <v>4</v>
      </c>
      <c r="B168" t="s">
        <v>16</v>
      </c>
      <c r="C168">
        <v>14592</v>
      </c>
      <c r="D168">
        <v>192</v>
      </c>
      <c r="E168">
        <v>1</v>
      </c>
      <c r="F168">
        <v>4</v>
      </c>
      <c r="G168">
        <v>199.97</v>
      </c>
      <c r="H168" s="17">
        <v>10.36</v>
      </c>
      <c r="I168" s="33">
        <v>45319</v>
      </c>
      <c r="J168" s="37">
        <v>6.115740740740741E-2</v>
      </c>
      <c r="K168">
        <v>0</v>
      </c>
      <c r="L168">
        <v>0</v>
      </c>
      <c r="M168">
        <v>0</v>
      </c>
      <c r="N168" s="30">
        <f t="shared" si="96"/>
        <v>10.363</v>
      </c>
      <c r="P168">
        <v>4</v>
      </c>
      <c r="Q168" t="s">
        <v>16</v>
      </c>
      <c r="R168">
        <v>14592</v>
      </c>
      <c r="S168">
        <v>192</v>
      </c>
      <c r="T168">
        <v>1</v>
      </c>
      <c r="U168">
        <v>4</v>
      </c>
      <c r="V168">
        <v>185.6</v>
      </c>
      <c r="W168" s="17">
        <v>11.162000000000001</v>
      </c>
      <c r="X168" s="33">
        <v>45318</v>
      </c>
      <c r="Y168" s="37">
        <v>0.76267361111111109</v>
      </c>
      <c r="Z168">
        <v>0</v>
      </c>
      <c r="AA168">
        <v>0</v>
      </c>
      <c r="AB168">
        <v>0</v>
      </c>
      <c r="AC168" s="30">
        <f t="shared" si="97"/>
        <v>11.1576</v>
      </c>
    </row>
    <row r="169" spans="1:29" x14ac:dyDescent="0.25">
      <c r="A169">
        <v>0</v>
      </c>
      <c r="B169" t="s">
        <v>16</v>
      </c>
      <c r="C169">
        <v>13056</v>
      </c>
      <c r="D169">
        <v>192</v>
      </c>
      <c r="E169">
        <v>2</v>
      </c>
      <c r="F169">
        <v>2</v>
      </c>
      <c r="G169">
        <v>143.87</v>
      </c>
      <c r="H169" s="17">
        <v>10.314</v>
      </c>
      <c r="I169" s="33">
        <v>45318</v>
      </c>
      <c r="J169" s="37">
        <v>0.8147106481481482</v>
      </c>
      <c r="K169">
        <v>0</v>
      </c>
      <c r="L169">
        <v>0</v>
      </c>
      <c r="M169">
        <v>0</v>
      </c>
      <c r="N169" s="30">
        <f t="shared" si="94"/>
        <v>10.309000000000001</v>
      </c>
      <c r="P169">
        <v>0</v>
      </c>
      <c r="Q169" t="s">
        <v>16</v>
      </c>
      <c r="R169">
        <v>13056</v>
      </c>
      <c r="S169">
        <v>192</v>
      </c>
      <c r="T169">
        <v>2</v>
      </c>
      <c r="U169">
        <v>2</v>
      </c>
      <c r="V169">
        <v>134.38999999999999</v>
      </c>
      <c r="W169" s="17">
        <v>11.042</v>
      </c>
      <c r="X169" s="33">
        <v>45318</v>
      </c>
      <c r="Y169" s="37">
        <v>0.4841435185185185</v>
      </c>
      <c r="Z169">
        <v>0</v>
      </c>
      <c r="AA169">
        <v>0</v>
      </c>
      <c r="AB169">
        <v>0</v>
      </c>
      <c r="AC169" s="30">
        <f t="shared" si="95"/>
        <v>11.038</v>
      </c>
    </row>
    <row r="170" spans="1:29" x14ac:dyDescent="0.25">
      <c r="A170">
        <v>1</v>
      </c>
      <c r="B170" t="s">
        <v>16</v>
      </c>
      <c r="C170">
        <v>13056</v>
      </c>
      <c r="D170">
        <v>192</v>
      </c>
      <c r="E170">
        <v>2</v>
      </c>
      <c r="F170">
        <v>2</v>
      </c>
      <c r="G170">
        <v>143.97</v>
      </c>
      <c r="H170" s="17">
        <v>10.307</v>
      </c>
      <c r="I170" s="33">
        <v>45318</v>
      </c>
      <c r="J170" s="37">
        <v>0.86741898148148155</v>
      </c>
      <c r="K170">
        <v>0</v>
      </c>
      <c r="L170">
        <v>0</v>
      </c>
      <c r="M170">
        <v>0</v>
      </c>
      <c r="N170" s="30">
        <f t="shared" si="96"/>
        <v>10.309000000000001</v>
      </c>
      <c r="P170">
        <v>1</v>
      </c>
      <c r="Q170" t="s">
        <v>16</v>
      </c>
      <c r="R170">
        <v>13056</v>
      </c>
      <c r="S170">
        <v>192</v>
      </c>
      <c r="T170">
        <v>2</v>
      </c>
      <c r="U170">
        <v>2</v>
      </c>
      <c r="V170">
        <v>134.37</v>
      </c>
      <c r="W170" s="17">
        <v>11.044</v>
      </c>
      <c r="X170" s="33">
        <v>45318</v>
      </c>
      <c r="Y170" s="37">
        <v>0.54379629629629633</v>
      </c>
      <c r="Z170">
        <v>0</v>
      </c>
      <c r="AA170">
        <v>0</v>
      </c>
      <c r="AB170">
        <v>0</v>
      </c>
      <c r="AC170" s="30">
        <f t="shared" si="97"/>
        <v>11.038</v>
      </c>
    </row>
    <row r="171" spans="1:29" x14ac:dyDescent="0.25">
      <c r="A171">
        <v>2</v>
      </c>
      <c r="B171" t="s">
        <v>16</v>
      </c>
      <c r="C171">
        <v>13056</v>
      </c>
      <c r="D171">
        <v>192</v>
      </c>
      <c r="E171">
        <v>2</v>
      </c>
      <c r="F171">
        <v>2</v>
      </c>
      <c r="G171">
        <v>144</v>
      </c>
      <c r="H171" s="17">
        <v>10.305</v>
      </c>
      <c r="I171" s="33">
        <v>45318</v>
      </c>
      <c r="J171" s="37">
        <v>0.92015046296296299</v>
      </c>
      <c r="K171">
        <v>0</v>
      </c>
      <c r="L171">
        <v>0</v>
      </c>
      <c r="M171">
        <v>0</v>
      </c>
      <c r="N171" s="30">
        <f t="shared" si="96"/>
        <v>10.309000000000001</v>
      </c>
      <c r="P171">
        <v>2</v>
      </c>
      <c r="Q171" t="s">
        <v>16</v>
      </c>
      <c r="R171">
        <v>13056</v>
      </c>
      <c r="S171">
        <v>192</v>
      </c>
      <c r="T171">
        <v>2</v>
      </c>
      <c r="U171">
        <v>2</v>
      </c>
      <c r="V171">
        <v>134.69</v>
      </c>
      <c r="W171" s="17">
        <v>11.016999999999999</v>
      </c>
      <c r="X171" s="33">
        <v>45318</v>
      </c>
      <c r="Y171" s="37">
        <v>0.603449074074074</v>
      </c>
      <c r="Z171">
        <v>0</v>
      </c>
      <c r="AA171">
        <v>0</v>
      </c>
      <c r="AB171">
        <v>0</v>
      </c>
      <c r="AC171" s="30">
        <f t="shared" si="97"/>
        <v>11.038</v>
      </c>
    </row>
    <row r="172" spans="1:29" x14ac:dyDescent="0.25">
      <c r="A172">
        <v>3</v>
      </c>
      <c r="B172" t="s">
        <v>16</v>
      </c>
      <c r="C172">
        <v>13056</v>
      </c>
      <c r="D172">
        <v>192</v>
      </c>
      <c r="E172">
        <v>2</v>
      </c>
      <c r="F172">
        <v>2</v>
      </c>
      <c r="G172">
        <v>143.80000000000001</v>
      </c>
      <c r="H172" s="17">
        <v>10.319000000000001</v>
      </c>
      <c r="I172" s="33">
        <v>45318</v>
      </c>
      <c r="J172" s="37">
        <v>0.97285879629629635</v>
      </c>
      <c r="K172">
        <v>0</v>
      </c>
      <c r="L172">
        <v>0</v>
      </c>
      <c r="M172">
        <v>0</v>
      </c>
      <c r="N172" s="30">
        <f t="shared" si="96"/>
        <v>10.309000000000001</v>
      </c>
      <c r="P172">
        <v>3</v>
      </c>
      <c r="Q172" t="s">
        <v>16</v>
      </c>
      <c r="R172">
        <v>13056</v>
      </c>
      <c r="S172">
        <v>192</v>
      </c>
      <c r="T172">
        <v>2</v>
      </c>
      <c r="U172">
        <v>2</v>
      </c>
      <c r="V172">
        <v>134.57</v>
      </c>
      <c r="W172" s="17">
        <v>11.026999999999999</v>
      </c>
      <c r="X172" s="33">
        <v>45318</v>
      </c>
      <c r="Y172" s="37">
        <v>0.66311342592592593</v>
      </c>
      <c r="Z172">
        <v>0</v>
      </c>
      <c r="AA172">
        <v>0</v>
      </c>
      <c r="AB172">
        <v>0</v>
      </c>
      <c r="AC172" s="30">
        <f t="shared" si="97"/>
        <v>11.038</v>
      </c>
    </row>
    <row r="173" spans="1:29" x14ac:dyDescent="0.25">
      <c r="A173">
        <v>4</v>
      </c>
      <c r="B173" t="s">
        <v>16</v>
      </c>
      <c r="C173">
        <v>13056</v>
      </c>
      <c r="D173">
        <v>192</v>
      </c>
      <c r="E173">
        <v>2</v>
      </c>
      <c r="F173">
        <v>2</v>
      </c>
      <c r="G173">
        <v>144.07</v>
      </c>
      <c r="H173" s="17">
        <v>10.3</v>
      </c>
      <c r="I173" s="33">
        <v>45319</v>
      </c>
      <c r="J173" s="37">
        <v>2.5555555555555554E-2</v>
      </c>
      <c r="K173">
        <v>0</v>
      </c>
      <c r="L173">
        <v>0</v>
      </c>
      <c r="M173">
        <v>0</v>
      </c>
      <c r="N173" s="30">
        <f t="shared" si="96"/>
        <v>10.309000000000001</v>
      </c>
      <c r="P173">
        <v>4</v>
      </c>
      <c r="Q173" t="s">
        <v>16</v>
      </c>
      <c r="R173">
        <v>13056</v>
      </c>
      <c r="S173">
        <v>192</v>
      </c>
      <c r="T173">
        <v>2</v>
      </c>
      <c r="U173">
        <v>2</v>
      </c>
      <c r="V173">
        <v>134.16999999999999</v>
      </c>
      <c r="W173" s="17">
        <v>11.06</v>
      </c>
      <c r="X173" s="33">
        <v>45318</v>
      </c>
      <c r="Y173" s="37">
        <v>0.72275462962962955</v>
      </c>
      <c r="Z173">
        <v>0</v>
      </c>
      <c r="AA173">
        <v>0</v>
      </c>
      <c r="AB173">
        <v>0</v>
      </c>
      <c r="AC173" s="30">
        <f t="shared" si="97"/>
        <v>11.038</v>
      </c>
    </row>
    <row r="174" spans="1:29" x14ac:dyDescent="0.25">
      <c r="A174">
        <v>0</v>
      </c>
      <c r="B174" t="s">
        <v>16</v>
      </c>
      <c r="C174">
        <v>13824</v>
      </c>
      <c r="D174">
        <v>192</v>
      </c>
      <c r="E174">
        <v>2</v>
      </c>
      <c r="F174">
        <v>2</v>
      </c>
      <c r="G174">
        <v>172.92</v>
      </c>
      <c r="H174" s="17">
        <v>10.186999999999999</v>
      </c>
      <c r="I174" s="33">
        <v>45318</v>
      </c>
      <c r="J174" s="37">
        <v>0.83268518518518519</v>
      </c>
      <c r="K174">
        <v>0</v>
      </c>
      <c r="L174">
        <v>0</v>
      </c>
      <c r="M174">
        <v>0</v>
      </c>
      <c r="N174" s="30">
        <f t="shared" si="94"/>
        <v>10.188599999999999</v>
      </c>
      <c r="P174">
        <v>0</v>
      </c>
      <c r="Q174" t="s">
        <v>16</v>
      </c>
      <c r="R174">
        <v>13824</v>
      </c>
      <c r="S174">
        <v>192</v>
      </c>
      <c r="T174">
        <v>2</v>
      </c>
      <c r="U174">
        <v>2</v>
      </c>
      <c r="V174">
        <v>159.01</v>
      </c>
      <c r="W174" s="17">
        <v>11.077999999999999</v>
      </c>
      <c r="X174" s="33">
        <v>45318</v>
      </c>
      <c r="Y174" s="37">
        <v>0.50413194444444442</v>
      </c>
      <c r="Z174">
        <v>0</v>
      </c>
      <c r="AA174">
        <v>0</v>
      </c>
      <c r="AB174">
        <v>0</v>
      </c>
      <c r="AC174" s="30">
        <f t="shared" si="95"/>
        <v>11.076599999999999</v>
      </c>
    </row>
    <row r="175" spans="1:29" x14ac:dyDescent="0.25">
      <c r="A175">
        <v>1</v>
      </c>
      <c r="B175" t="s">
        <v>16</v>
      </c>
      <c r="C175">
        <v>13824</v>
      </c>
      <c r="D175">
        <v>192</v>
      </c>
      <c r="E175">
        <v>2</v>
      </c>
      <c r="F175">
        <v>2</v>
      </c>
      <c r="G175">
        <v>172.71</v>
      </c>
      <c r="H175" s="17">
        <v>10.199</v>
      </c>
      <c r="I175" s="33">
        <v>45318</v>
      </c>
      <c r="J175" s="37">
        <v>0.88539351851851855</v>
      </c>
      <c r="K175">
        <v>0</v>
      </c>
      <c r="L175">
        <v>0</v>
      </c>
      <c r="M175">
        <v>0</v>
      </c>
      <c r="N175" s="30">
        <f t="shared" si="96"/>
        <v>10.188599999999999</v>
      </c>
      <c r="P175">
        <v>1</v>
      </c>
      <c r="Q175" t="s">
        <v>16</v>
      </c>
      <c r="R175">
        <v>13824</v>
      </c>
      <c r="S175">
        <v>192</v>
      </c>
      <c r="T175">
        <v>2</v>
      </c>
      <c r="U175">
        <v>2</v>
      </c>
      <c r="V175">
        <v>159.05000000000001</v>
      </c>
      <c r="W175" s="17">
        <v>11.074999999999999</v>
      </c>
      <c r="X175" s="33">
        <v>45318</v>
      </c>
      <c r="Y175" s="37">
        <v>0.56377314814814816</v>
      </c>
      <c r="Z175">
        <v>0</v>
      </c>
      <c r="AA175">
        <v>0</v>
      </c>
      <c r="AB175">
        <v>0</v>
      </c>
      <c r="AC175" s="30">
        <f t="shared" si="97"/>
        <v>11.076599999999999</v>
      </c>
    </row>
    <row r="176" spans="1:29" x14ac:dyDescent="0.25">
      <c r="A176">
        <v>2</v>
      </c>
      <c r="B176" t="s">
        <v>16</v>
      </c>
      <c r="C176">
        <v>13824</v>
      </c>
      <c r="D176">
        <v>192</v>
      </c>
      <c r="E176">
        <v>2</v>
      </c>
      <c r="F176">
        <v>2</v>
      </c>
      <c r="G176">
        <v>172.98</v>
      </c>
      <c r="H176" s="17">
        <v>10.183</v>
      </c>
      <c r="I176" s="33">
        <v>45318</v>
      </c>
      <c r="J176" s="37">
        <v>0.93812499999999999</v>
      </c>
      <c r="K176">
        <v>0</v>
      </c>
      <c r="L176">
        <v>0</v>
      </c>
      <c r="M176">
        <v>0</v>
      </c>
      <c r="N176" s="30">
        <f t="shared" si="96"/>
        <v>10.188599999999999</v>
      </c>
      <c r="P176">
        <v>2</v>
      </c>
      <c r="Q176" t="s">
        <v>16</v>
      </c>
      <c r="R176">
        <v>13824</v>
      </c>
      <c r="S176">
        <v>192</v>
      </c>
      <c r="T176">
        <v>2</v>
      </c>
      <c r="U176">
        <v>2</v>
      </c>
      <c r="V176">
        <v>159.16999999999999</v>
      </c>
      <c r="W176" s="17">
        <v>11.067</v>
      </c>
      <c r="X176" s="33">
        <v>45318</v>
      </c>
      <c r="Y176" s="37">
        <v>0.62342592592592594</v>
      </c>
      <c r="Z176">
        <v>0</v>
      </c>
      <c r="AA176">
        <v>0</v>
      </c>
      <c r="AB176">
        <v>0</v>
      </c>
      <c r="AC176" s="30">
        <f t="shared" si="97"/>
        <v>11.076599999999999</v>
      </c>
    </row>
    <row r="177" spans="1:29" x14ac:dyDescent="0.25">
      <c r="A177">
        <v>3</v>
      </c>
      <c r="B177" t="s">
        <v>16</v>
      </c>
      <c r="C177">
        <v>13824</v>
      </c>
      <c r="D177">
        <v>192</v>
      </c>
      <c r="E177">
        <v>2</v>
      </c>
      <c r="F177">
        <v>2</v>
      </c>
      <c r="G177">
        <v>172.98</v>
      </c>
      <c r="H177" s="17">
        <v>10.183</v>
      </c>
      <c r="I177" s="33">
        <v>45318</v>
      </c>
      <c r="J177" s="37">
        <v>0.99083333333333334</v>
      </c>
      <c r="K177">
        <v>0</v>
      </c>
      <c r="L177">
        <v>0</v>
      </c>
      <c r="M177">
        <v>0</v>
      </c>
      <c r="N177" s="30">
        <f t="shared" si="96"/>
        <v>10.188599999999999</v>
      </c>
      <c r="P177">
        <v>3</v>
      </c>
      <c r="Q177" t="s">
        <v>16</v>
      </c>
      <c r="R177">
        <v>13824</v>
      </c>
      <c r="S177">
        <v>192</v>
      </c>
      <c r="T177">
        <v>2</v>
      </c>
      <c r="U177">
        <v>2</v>
      </c>
      <c r="V177">
        <v>158.97999999999999</v>
      </c>
      <c r="W177" s="17">
        <v>11.08</v>
      </c>
      <c r="X177" s="33">
        <v>45318</v>
      </c>
      <c r="Y177" s="37">
        <v>0.68309027777777775</v>
      </c>
      <c r="Z177">
        <v>0</v>
      </c>
      <c r="AA177">
        <v>0</v>
      </c>
      <c r="AB177">
        <v>0</v>
      </c>
      <c r="AC177" s="30">
        <f t="shared" si="97"/>
        <v>11.076599999999999</v>
      </c>
    </row>
    <row r="178" spans="1:29" x14ac:dyDescent="0.25">
      <c r="A178">
        <v>4</v>
      </c>
      <c r="B178" t="s">
        <v>16</v>
      </c>
      <c r="C178">
        <v>13824</v>
      </c>
      <c r="D178">
        <v>192</v>
      </c>
      <c r="E178">
        <v>2</v>
      </c>
      <c r="F178">
        <v>2</v>
      </c>
      <c r="G178">
        <v>172.85</v>
      </c>
      <c r="H178" s="17">
        <v>10.191000000000001</v>
      </c>
      <c r="I178" s="33">
        <v>45319</v>
      </c>
      <c r="J178" s="37">
        <v>4.3541666666666666E-2</v>
      </c>
      <c r="K178">
        <v>0</v>
      </c>
      <c r="L178">
        <v>0</v>
      </c>
      <c r="M178">
        <v>0</v>
      </c>
      <c r="N178" s="30">
        <f t="shared" si="96"/>
        <v>10.188599999999999</v>
      </c>
      <c r="P178">
        <v>4</v>
      </c>
      <c r="Q178" t="s">
        <v>16</v>
      </c>
      <c r="R178">
        <v>13824</v>
      </c>
      <c r="S178">
        <v>192</v>
      </c>
      <c r="T178">
        <v>2</v>
      </c>
      <c r="U178">
        <v>2</v>
      </c>
      <c r="V178">
        <v>158.93</v>
      </c>
      <c r="W178" s="17">
        <v>11.083</v>
      </c>
      <c r="X178" s="33">
        <v>45318</v>
      </c>
      <c r="Y178" s="37">
        <v>0.74271990740740745</v>
      </c>
      <c r="Z178">
        <v>0</v>
      </c>
      <c r="AA178">
        <v>0</v>
      </c>
      <c r="AB178">
        <v>0</v>
      </c>
      <c r="AC178" s="30">
        <f t="shared" si="97"/>
        <v>11.076599999999999</v>
      </c>
    </row>
    <row r="179" spans="1:29" x14ac:dyDescent="0.25">
      <c r="A179">
        <v>0</v>
      </c>
      <c r="B179" t="s">
        <v>16</v>
      </c>
      <c r="C179">
        <v>14592</v>
      </c>
      <c r="D179">
        <v>192</v>
      </c>
      <c r="E179">
        <v>2</v>
      </c>
      <c r="F179">
        <v>2</v>
      </c>
      <c r="G179">
        <v>197.81</v>
      </c>
      <c r="H179" s="17">
        <v>10.473000000000001</v>
      </c>
      <c r="I179" s="33">
        <v>45318</v>
      </c>
      <c r="J179" s="37">
        <v>0.85276620370370371</v>
      </c>
      <c r="K179">
        <v>0</v>
      </c>
      <c r="L179">
        <v>0</v>
      </c>
      <c r="M179">
        <v>0</v>
      </c>
      <c r="N179" s="30">
        <f t="shared" si="94"/>
        <v>10.455800000000002</v>
      </c>
      <c r="P179">
        <v>0</v>
      </c>
      <c r="Q179" t="s">
        <v>16</v>
      </c>
      <c r="R179">
        <v>14592</v>
      </c>
      <c r="S179">
        <v>192</v>
      </c>
      <c r="T179">
        <v>2</v>
      </c>
      <c r="U179">
        <v>2</v>
      </c>
      <c r="V179">
        <v>184.5</v>
      </c>
      <c r="W179" s="17">
        <v>11.228999999999999</v>
      </c>
      <c r="X179" s="33">
        <v>45318</v>
      </c>
      <c r="Y179" s="37">
        <v>0.52689814814814817</v>
      </c>
      <c r="Z179">
        <v>0</v>
      </c>
      <c r="AA179">
        <v>0</v>
      </c>
      <c r="AB179">
        <v>0</v>
      </c>
      <c r="AC179" s="30">
        <f t="shared" si="95"/>
        <v>11.215799999999998</v>
      </c>
    </row>
    <row r="180" spans="1:29" x14ac:dyDescent="0.25">
      <c r="A180">
        <v>1</v>
      </c>
      <c r="B180" t="s">
        <v>16</v>
      </c>
      <c r="C180">
        <v>14592</v>
      </c>
      <c r="D180">
        <v>192</v>
      </c>
      <c r="E180">
        <v>2</v>
      </c>
      <c r="F180">
        <v>2</v>
      </c>
      <c r="G180">
        <v>199.01</v>
      </c>
      <c r="H180" s="17">
        <v>10.41</v>
      </c>
      <c r="I180" s="33">
        <v>45318</v>
      </c>
      <c r="J180" s="37">
        <v>0.9054861111111111</v>
      </c>
      <c r="K180">
        <v>0</v>
      </c>
      <c r="L180">
        <v>0</v>
      </c>
      <c r="M180">
        <v>0</v>
      </c>
      <c r="N180" s="30">
        <f t="shared" si="96"/>
        <v>10.455800000000002</v>
      </c>
      <c r="P180">
        <v>1</v>
      </c>
      <c r="Q180" t="s">
        <v>16</v>
      </c>
      <c r="R180">
        <v>14592</v>
      </c>
      <c r="S180">
        <v>192</v>
      </c>
      <c r="T180">
        <v>2</v>
      </c>
      <c r="U180">
        <v>2</v>
      </c>
      <c r="V180">
        <v>184.75</v>
      </c>
      <c r="W180" s="17">
        <v>11.212999999999999</v>
      </c>
      <c r="X180" s="33">
        <v>45318</v>
      </c>
      <c r="Y180" s="37">
        <v>0.58655092592592595</v>
      </c>
      <c r="Z180">
        <v>0</v>
      </c>
      <c r="AA180">
        <v>0</v>
      </c>
      <c r="AB180">
        <v>0</v>
      </c>
      <c r="AC180" s="30">
        <f t="shared" si="97"/>
        <v>11.215799999999998</v>
      </c>
    </row>
    <row r="181" spans="1:29" x14ac:dyDescent="0.25">
      <c r="A181">
        <v>2</v>
      </c>
      <c r="B181" t="s">
        <v>16</v>
      </c>
      <c r="C181">
        <v>14592</v>
      </c>
      <c r="D181">
        <v>192</v>
      </c>
      <c r="E181">
        <v>2</v>
      </c>
      <c r="F181">
        <v>2</v>
      </c>
      <c r="G181">
        <v>197.94</v>
      </c>
      <c r="H181" s="17">
        <v>10.465999999999999</v>
      </c>
      <c r="I181" s="33">
        <v>45318</v>
      </c>
      <c r="J181" s="37">
        <v>0.9582060185185185</v>
      </c>
      <c r="K181">
        <v>0</v>
      </c>
      <c r="L181">
        <v>0</v>
      </c>
      <c r="M181">
        <v>0</v>
      </c>
      <c r="N181" s="30">
        <f t="shared" si="96"/>
        <v>10.455800000000002</v>
      </c>
      <c r="P181">
        <v>2</v>
      </c>
      <c r="Q181" t="s">
        <v>16</v>
      </c>
      <c r="R181">
        <v>14592</v>
      </c>
      <c r="S181">
        <v>192</v>
      </c>
      <c r="T181">
        <v>2</v>
      </c>
      <c r="U181">
        <v>2</v>
      </c>
      <c r="V181">
        <v>184.88</v>
      </c>
      <c r="W181" s="17">
        <v>11.205</v>
      </c>
      <c r="X181" s="33">
        <v>45318</v>
      </c>
      <c r="Y181" s="37">
        <v>0.64620370370370372</v>
      </c>
      <c r="Z181">
        <v>0</v>
      </c>
      <c r="AA181">
        <v>0</v>
      </c>
      <c r="AB181">
        <v>0</v>
      </c>
      <c r="AC181" s="30">
        <f t="shared" si="97"/>
        <v>11.215799999999998</v>
      </c>
    </row>
    <row r="182" spans="1:29" x14ac:dyDescent="0.25">
      <c r="A182">
        <v>3</v>
      </c>
      <c r="B182" t="s">
        <v>16</v>
      </c>
      <c r="C182">
        <v>14592</v>
      </c>
      <c r="D182">
        <v>192</v>
      </c>
      <c r="E182">
        <v>2</v>
      </c>
      <c r="F182">
        <v>2</v>
      </c>
      <c r="G182">
        <v>198.01</v>
      </c>
      <c r="H182" s="17">
        <v>10.462</v>
      </c>
      <c r="I182" s="33">
        <v>45319</v>
      </c>
      <c r="J182" s="37">
        <v>1.091435185185185E-2</v>
      </c>
      <c r="K182">
        <v>0</v>
      </c>
      <c r="L182">
        <v>0</v>
      </c>
      <c r="M182">
        <v>0</v>
      </c>
      <c r="N182" s="30">
        <f t="shared" si="96"/>
        <v>10.455800000000002</v>
      </c>
      <c r="P182">
        <v>3</v>
      </c>
      <c r="Q182" t="s">
        <v>16</v>
      </c>
      <c r="R182">
        <v>14592</v>
      </c>
      <c r="S182">
        <v>192</v>
      </c>
      <c r="T182">
        <v>2</v>
      </c>
      <c r="U182">
        <v>2</v>
      </c>
      <c r="V182">
        <v>184.63</v>
      </c>
      <c r="W182" s="17">
        <v>11.22</v>
      </c>
      <c r="X182" s="33">
        <v>45318</v>
      </c>
      <c r="Y182" s="37">
        <v>0.7058564814814815</v>
      </c>
      <c r="Z182">
        <v>0</v>
      </c>
      <c r="AA182">
        <v>0</v>
      </c>
      <c r="AB182">
        <v>0</v>
      </c>
      <c r="AC182" s="30">
        <f t="shared" si="97"/>
        <v>11.215799999999998</v>
      </c>
    </row>
    <row r="183" spans="1:29" x14ac:dyDescent="0.25">
      <c r="A183">
        <v>4</v>
      </c>
      <c r="B183" t="s">
        <v>16</v>
      </c>
      <c r="C183">
        <v>14592</v>
      </c>
      <c r="D183">
        <v>192</v>
      </c>
      <c r="E183">
        <v>2</v>
      </c>
      <c r="F183">
        <v>2</v>
      </c>
      <c r="G183">
        <v>197.91</v>
      </c>
      <c r="H183" s="17">
        <v>10.468</v>
      </c>
      <c r="I183" s="33">
        <v>45319</v>
      </c>
      <c r="J183" s="37">
        <v>6.3622685185185185E-2</v>
      </c>
      <c r="K183">
        <v>0</v>
      </c>
      <c r="L183">
        <v>0</v>
      </c>
      <c r="M183">
        <v>0</v>
      </c>
      <c r="N183" s="30">
        <f t="shared" si="96"/>
        <v>10.455800000000002</v>
      </c>
      <c r="P183">
        <v>4</v>
      </c>
      <c r="Q183" t="s">
        <v>16</v>
      </c>
      <c r="R183">
        <v>14592</v>
      </c>
      <c r="S183">
        <v>192</v>
      </c>
      <c r="T183">
        <v>2</v>
      </c>
      <c r="U183">
        <v>2</v>
      </c>
      <c r="V183">
        <v>184.77</v>
      </c>
      <c r="W183" s="17">
        <v>11.212</v>
      </c>
      <c r="X183" s="33">
        <v>45318</v>
      </c>
      <c r="Y183" s="37">
        <v>0.76549768518518524</v>
      </c>
      <c r="Z183">
        <v>0</v>
      </c>
      <c r="AA183">
        <v>0</v>
      </c>
      <c r="AB183">
        <v>0</v>
      </c>
      <c r="AC183" s="30">
        <f t="shared" si="97"/>
        <v>11.215799999999998</v>
      </c>
    </row>
    <row r="184" spans="1:29" x14ac:dyDescent="0.25">
      <c r="A184">
        <v>0</v>
      </c>
      <c r="B184" t="s">
        <v>16</v>
      </c>
      <c r="C184">
        <v>12992</v>
      </c>
      <c r="D184">
        <v>224</v>
      </c>
      <c r="E184">
        <v>1</v>
      </c>
      <c r="F184">
        <v>4</v>
      </c>
      <c r="G184">
        <v>143.08000000000001</v>
      </c>
      <c r="H184" s="139">
        <v>10.218999999999999</v>
      </c>
      <c r="I184" s="33">
        <v>45608</v>
      </c>
      <c r="J184" s="37">
        <v>0.31702546296296297</v>
      </c>
      <c r="K184">
        <v>0</v>
      </c>
      <c r="L184">
        <v>0</v>
      </c>
      <c r="M184">
        <v>0</v>
      </c>
      <c r="N184" s="30">
        <f t="shared" si="94"/>
        <v>10.215</v>
      </c>
      <c r="P184">
        <v>0</v>
      </c>
      <c r="Q184" t="s">
        <v>16</v>
      </c>
      <c r="R184">
        <v>12992</v>
      </c>
      <c r="S184">
        <v>224</v>
      </c>
      <c r="T184">
        <v>1</v>
      </c>
      <c r="U184">
        <v>4</v>
      </c>
      <c r="V184">
        <v>133.25</v>
      </c>
      <c r="W184" s="139">
        <v>10.973000000000001</v>
      </c>
      <c r="X184" s="33">
        <v>45608</v>
      </c>
      <c r="Y184" s="37">
        <v>0.31965277777777779</v>
      </c>
      <c r="Z184">
        <v>0</v>
      </c>
      <c r="AA184">
        <v>0</v>
      </c>
      <c r="AB184">
        <v>0</v>
      </c>
      <c r="AC184" s="30">
        <f t="shared" si="95"/>
        <v>10.962400000000001</v>
      </c>
    </row>
    <row r="185" spans="1:29" x14ac:dyDescent="0.25">
      <c r="A185">
        <v>1</v>
      </c>
      <c r="B185" t="s">
        <v>16</v>
      </c>
      <c r="C185">
        <v>12992</v>
      </c>
      <c r="D185">
        <v>224</v>
      </c>
      <c r="E185">
        <v>1</v>
      </c>
      <c r="F185">
        <v>4</v>
      </c>
      <c r="G185">
        <v>143.16999999999999</v>
      </c>
      <c r="H185" s="139">
        <v>10.212999999999999</v>
      </c>
      <c r="I185" s="33">
        <v>45608</v>
      </c>
      <c r="J185" s="37">
        <v>0.37207175925925928</v>
      </c>
      <c r="K185">
        <v>0</v>
      </c>
      <c r="L185">
        <v>0</v>
      </c>
      <c r="M185">
        <v>0</v>
      </c>
      <c r="N185" s="30">
        <f t="shared" si="96"/>
        <v>10.215</v>
      </c>
      <c r="P185">
        <v>1</v>
      </c>
      <c r="Q185" t="s">
        <v>16</v>
      </c>
      <c r="R185">
        <v>12992</v>
      </c>
      <c r="S185">
        <v>224</v>
      </c>
      <c r="T185">
        <v>1</v>
      </c>
      <c r="U185">
        <v>4</v>
      </c>
      <c r="V185">
        <v>133.13999999999999</v>
      </c>
      <c r="W185" s="139">
        <v>10.983000000000001</v>
      </c>
      <c r="X185" s="33">
        <v>45608</v>
      </c>
      <c r="Y185" s="37">
        <v>0.38033564814814813</v>
      </c>
      <c r="Z185">
        <v>0</v>
      </c>
      <c r="AA185">
        <v>0</v>
      </c>
      <c r="AB185">
        <v>0</v>
      </c>
      <c r="AC185" s="30">
        <f t="shared" si="97"/>
        <v>10.962400000000001</v>
      </c>
    </row>
    <row r="186" spans="1:29" x14ac:dyDescent="0.25">
      <c r="A186">
        <v>2</v>
      </c>
      <c r="B186" t="s">
        <v>16</v>
      </c>
      <c r="C186">
        <v>12992</v>
      </c>
      <c r="D186">
        <v>224</v>
      </c>
      <c r="E186">
        <v>1</v>
      </c>
      <c r="F186">
        <v>4</v>
      </c>
      <c r="G186">
        <v>143.15</v>
      </c>
      <c r="H186" s="139">
        <v>10.214</v>
      </c>
      <c r="I186" s="33">
        <v>45608</v>
      </c>
      <c r="J186" s="37">
        <v>0.42707175925925928</v>
      </c>
      <c r="K186">
        <v>0</v>
      </c>
      <c r="L186">
        <v>0</v>
      </c>
      <c r="M186">
        <v>0</v>
      </c>
      <c r="N186" s="30">
        <f t="shared" si="96"/>
        <v>10.215</v>
      </c>
      <c r="P186">
        <v>2</v>
      </c>
      <c r="Q186" t="s">
        <v>16</v>
      </c>
      <c r="R186">
        <v>12992</v>
      </c>
      <c r="S186">
        <v>224</v>
      </c>
      <c r="T186">
        <v>1</v>
      </c>
      <c r="U186">
        <v>4</v>
      </c>
      <c r="V186">
        <v>133.44</v>
      </c>
      <c r="W186" s="139">
        <v>10.958</v>
      </c>
      <c r="X186" s="33">
        <v>45608</v>
      </c>
      <c r="Y186" s="37">
        <v>0.44101851851851853</v>
      </c>
      <c r="Z186">
        <v>0</v>
      </c>
      <c r="AA186">
        <v>0</v>
      </c>
      <c r="AB186">
        <v>0</v>
      </c>
      <c r="AC186" s="30">
        <f t="shared" si="97"/>
        <v>10.962400000000001</v>
      </c>
    </row>
    <row r="187" spans="1:29" x14ac:dyDescent="0.25">
      <c r="A187">
        <v>3</v>
      </c>
      <c r="B187" t="s">
        <v>16</v>
      </c>
      <c r="C187">
        <v>12992</v>
      </c>
      <c r="D187">
        <v>224</v>
      </c>
      <c r="E187">
        <v>1</v>
      </c>
      <c r="F187">
        <v>4</v>
      </c>
      <c r="G187">
        <v>143.16</v>
      </c>
      <c r="H187" s="139">
        <v>10.214</v>
      </c>
      <c r="I187" s="33">
        <v>45608</v>
      </c>
      <c r="J187" s="37">
        <v>0.48207175925925927</v>
      </c>
      <c r="K187">
        <v>0</v>
      </c>
      <c r="L187">
        <v>0</v>
      </c>
      <c r="M187">
        <v>0</v>
      </c>
      <c r="N187" s="30">
        <f t="shared" si="96"/>
        <v>10.215</v>
      </c>
      <c r="P187">
        <v>3</v>
      </c>
      <c r="Q187" t="s">
        <v>16</v>
      </c>
      <c r="R187">
        <v>12992</v>
      </c>
      <c r="S187">
        <v>224</v>
      </c>
      <c r="T187">
        <v>1</v>
      </c>
      <c r="U187">
        <v>4</v>
      </c>
      <c r="V187">
        <v>133.41</v>
      </c>
      <c r="W187" s="139">
        <v>10.96</v>
      </c>
      <c r="X187" s="33">
        <v>45608</v>
      </c>
      <c r="Y187" s="37">
        <v>0.50167824074074074</v>
      </c>
      <c r="Z187">
        <v>0</v>
      </c>
      <c r="AA187">
        <v>0</v>
      </c>
      <c r="AB187">
        <v>0</v>
      </c>
      <c r="AC187" s="30">
        <f t="shared" si="97"/>
        <v>10.962400000000001</v>
      </c>
    </row>
    <row r="188" spans="1:29" x14ac:dyDescent="0.25">
      <c r="A188">
        <v>4</v>
      </c>
      <c r="B188" t="s">
        <v>16</v>
      </c>
      <c r="C188">
        <v>12992</v>
      </c>
      <c r="D188">
        <v>224</v>
      </c>
      <c r="E188">
        <v>1</v>
      </c>
      <c r="F188">
        <v>4</v>
      </c>
      <c r="G188">
        <v>143.15</v>
      </c>
      <c r="H188" s="139">
        <v>10.215</v>
      </c>
      <c r="I188" s="33">
        <v>45608</v>
      </c>
      <c r="J188" s="37">
        <v>0.5851736111111111</v>
      </c>
      <c r="K188">
        <v>0</v>
      </c>
      <c r="L188">
        <v>0</v>
      </c>
      <c r="M188">
        <v>0</v>
      </c>
      <c r="N188" s="30">
        <f t="shared" si="96"/>
        <v>10.215</v>
      </c>
      <c r="P188">
        <v>4</v>
      </c>
      <c r="Q188" t="s">
        <v>16</v>
      </c>
      <c r="R188">
        <v>12992</v>
      </c>
      <c r="S188">
        <v>224</v>
      </c>
      <c r="T188">
        <v>1</v>
      </c>
      <c r="U188">
        <v>4</v>
      </c>
      <c r="V188">
        <v>133.68</v>
      </c>
      <c r="W188" s="139">
        <v>10.938000000000001</v>
      </c>
      <c r="X188" s="33">
        <v>45608</v>
      </c>
      <c r="Y188" s="37">
        <v>0.61192129629629632</v>
      </c>
      <c r="Z188">
        <v>0</v>
      </c>
      <c r="AA188">
        <v>0</v>
      </c>
      <c r="AB188">
        <v>0</v>
      </c>
      <c r="AC188" s="30">
        <f t="shared" si="97"/>
        <v>10.962400000000001</v>
      </c>
    </row>
    <row r="189" spans="1:29" x14ac:dyDescent="0.25">
      <c r="A189">
        <v>0</v>
      </c>
      <c r="B189" t="s">
        <v>16</v>
      </c>
      <c r="C189">
        <v>13664</v>
      </c>
      <c r="D189">
        <v>224</v>
      </c>
      <c r="E189">
        <v>1</v>
      </c>
      <c r="F189">
        <v>4</v>
      </c>
      <c r="G189">
        <v>165.1</v>
      </c>
      <c r="H189" s="139">
        <v>10.303000000000001</v>
      </c>
      <c r="I189" s="33">
        <v>45608</v>
      </c>
      <c r="J189" s="37">
        <v>0.33459490740740738</v>
      </c>
      <c r="K189">
        <v>0</v>
      </c>
      <c r="L189">
        <v>0</v>
      </c>
      <c r="M189">
        <v>0</v>
      </c>
      <c r="N189" s="30">
        <f t="shared" ref="N189:N239" si="98">AVERAGE(H189:H193)</f>
        <v>10.292400000000001</v>
      </c>
      <c r="P189">
        <v>0</v>
      </c>
      <c r="Q189" t="s">
        <v>16</v>
      </c>
      <c r="R189">
        <v>13664</v>
      </c>
      <c r="S189">
        <v>224</v>
      </c>
      <c r="T189">
        <v>1</v>
      </c>
      <c r="U189">
        <v>4</v>
      </c>
      <c r="V189">
        <v>154.05000000000001</v>
      </c>
      <c r="W189" s="139">
        <v>11.042</v>
      </c>
      <c r="X189" s="33">
        <v>45608</v>
      </c>
      <c r="Y189" s="37">
        <v>0.33883101851851855</v>
      </c>
      <c r="Z189">
        <v>0</v>
      </c>
      <c r="AA189">
        <v>0</v>
      </c>
      <c r="AB189">
        <v>0</v>
      </c>
      <c r="AC189" s="30">
        <f t="shared" ref="AC189:AC239" si="99">AVERAGE(W189:W193)</f>
        <v>11.0358</v>
      </c>
    </row>
    <row r="190" spans="1:29" x14ac:dyDescent="0.25">
      <c r="A190">
        <v>1</v>
      </c>
      <c r="B190" t="s">
        <v>16</v>
      </c>
      <c r="C190">
        <v>13664</v>
      </c>
      <c r="D190">
        <v>224</v>
      </c>
      <c r="E190">
        <v>1</v>
      </c>
      <c r="F190">
        <v>4</v>
      </c>
      <c r="G190">
        <v>165.28</v>
      </c>
      <c r="H190" s="139">
        <v>10.292</v>
      </c>
      <c r="I190" s="33">
        <v>45608</v>
      </c>
      <c r="J190" s="37">
        <v>0.38965277777777779</v>
      </c>
      <c r="K190">
        <v>0</v>
      </c>
      <c r="L190">
        <v>0</v>
      </c>
      <c r="M190">
        <v>0</v>
      </c>
      <c r="N190" s="30">
        <f t="shared" ref="N190:N243" si="100">N189</f>
        <v>10.292400000000001</v>
      </c>
      <c r="P190">
        <v>1</v>
      </c>
      <c r="Q190" t="s">
        <v>16</v>
      </c>
      <c r="R190">
        <v>13664</v>
      </c>
      <c r="S190">
        <v>224</v>
      </c>
      <c r="T190">
        <v>1</v>
      </c>
      <c r="U190">
        <v>4</v>
      </c>
      <c r="V190">
        <v>154.80000000000001</v>
      </c>
      <c r="W190" s="139">
        <v>10.989000000000001</v>
      </c>
      <c r="X190" s="33">
        <v>45608</v>
      </c>
      <c r="Y190" s="37">
        <v>0.39951388888888889</v>
      </c>
      <c r="Z190">
        <v>0</v>
      </c>
      <c r="AA190">
        <v>0</v>
      </c>
      <c r="AB190">
        <v>0</v>
      </c>
      <c r="AC190" s="30">
        <f t="shared" ref="AC190:AC243" si="101">AC189</f>
        <v>11.0358</v>
      </c>
    </row>
    <row r="191" spans="1:29" x14ac:dyDescent="0.25">
      <c r="A191">
        <v>2</v>
      </c>
      <c r="B191" t="s">
        <v>16</v>
      </c>
      <c r="C191">
        <v>13664</v>
      </c>
      <c r="D191">
        <v>224</v>
      </c>
      <c r="E191">
        <v>1</v>
      </c>
      <c r="F191">
        <v>4</v>
      </c>
      <c r="G191">
        <v>165.27</v>
      </c>
      <c r="H191" s="139">
        <v>10.292</v>
      </c>
      <c r="I191" s="33">
        <v>45608</v>
      </c>
      <c r="J191" s="37">
        <v>0.44465277777777779</v>
      </c>
      <c r="K191">
        <v>0</v>
      </c>
      <c r="L191">
        <v>0</v>
      </c>
      <c r="M191">
        <v>0</v>
      </c>
      <c r="N191" s="30">
        <f t="shared" si="100"/>
        <v>10.292400000000001</v>
      </c>
      <c r="P191">
        <v>2</v>
      </c>
      <c r="Q191" t="s">
        <v>16</v>
      </c>
      <c r="R191">
        <v>13664</v>
      </c>
      <c r="S191">
        <v>224</v>
      </c>
      <c r="T191">
        <v>1</v>
      </c>
      <c r="U191">
        <v>4</v>
      </c>
      <c r="V191">
        <v>153.96</v>
      </c>
      <c r="W191" s="139">
        <v>11.048</v>
      </c>
      <c r="X191" s="33">
        <v>45608</v>
      </c>
      <c r="Y191" s="37">
        <v>0.4601851851851852</v>
      </c>
      <c r="Z191">
        <v>0</v>
      </c>
      <c r="AA191">
        <v>0</v>
      </c>
      <c r="AB191">
        <v>0</v>
      </c>
      <c r="AC191" s="30">
        <f t="shared" si="101"/>
        <v>11.0358</v>
      </c>
    </row>
    <row r="192" spans="1:29" x14ac:dyDescent="0.25">
      <c r="A192">
        <v>3</v>
      </c>
      <c r="B192" t="s">
        <v>16</v>
      </c>
      <c r="C192">
        <v>13664</v>
      </c>
      <c r="D192">
        <v>224</v>
      </c>
      <c r="E192">
        <v>1</v>
      </c>
      <c r="F192">
        <v>4</v>
      </c>
      <c r="G192">
        <v>165.24</v>
      </c>
      <c r="H192" s="139">
        <v>10.295</v>
      </c>
      <c r="I192" s="33">
        <v>45608</v>
      </c>
      <c r="J192" s="37">
        <v>0.49965277777777778</v>
      </c>
      <c r="K192">
        <v>0</v>
      </c>
      <c r="L192">
        <v>0</v>
      </c>
      <c r="M192">
        <v>0</v>
      </c>
      <c r="N192" s="30">
        <f t="shared" si="100"/>
        <v>10.292400000000001</v>
      </c>
      <c r="P192">
        <v>3</v>
      </c>
      <c r="Q192" t="s">
        <v>16</v>
      </c>
      <c r="R192">
        <v>13664</v>
      </c>
      <c r="S192">
        <v>224</v>
      </c>
      <c r="T192">
        <v>1</v>
      </c>
      <c r="U192">
        <v>4</v>
      </c>
      <c r="V192">
        <v>153.86000000000001</v>
      </c>
      <c r="W192" s="139">
        <v>11.055999999999999</v>
      </c>
      <c r="X192" s="33">
        <v>45608</v>
      </c>
      <c r="Y192" s="37">
        <v>0.57038194444444446</v>
      </c>
      <c r="Z192">
        <v>0</v>
      </c>
      <c r="AA192">
        <v>0</v>
      </c>
      <c r="AB192">
        <v>0</v>
      </c>
      <c r="AC192" s="30">
        <f t="shared" si="101"/>
        <v>11.0358</v>
      </c>
    </row>
    <row r="193" spans="1:29" x14ac:dyDescent="0.25">
      <c r="A193">
        <v>4</v>
      </c>
      <c r="B193" t="s">
        <v>16</v>
      </c>
      <c r="C193">
        <v>13664</v>
      </c>
      <c r="D193">
        <v>224</v>
      </c>
      <c r="E193">
        <v>1</v>
      </c>
      <c r="F193">
        <v>4</v>
      </c>
      <c r="G193">
        <v>165.48</v>
      </c>
      <c r="H193" s="139">
        <v>10.28</v>
      </c>
      <c r="I193" s="33">
        <v>45608</v>
      </c>
      <c r="J193" s="37">
        <v>0.60275462962962967</v>
      </c>
      <c r="K193">
        <v>0</v>
      </c>
      <c r="L193">
        <v>0</v>
      </c>
      <c r="M193">
        <v>0</v>
      </c>
      <c r="N193" s="30">
        <f t="shared" si="100"/>
        <v>10.292400000000001</v>
      </c>
      <c r="P193">
        <v>4</v>
      </c>
      <c r="Q193" t="s">
        <v>16</v>
      </c>
      <c r="R193">
        <v>13664</v>
      </c>
      <c r="S193">
        <v>224</v>
      </c>
      <c r="T193">
        <v>1</v>
      </c>
      <c r="U193">
        <v>4</v>
      </c>
      <c r="V193">
        <v>154.02000000000001</v>
      </c>
      <c r="W193" s="139">
        <v>11.044</v>
      </c>
      <c r="X193" s="33">
        <v>45608</v>
      </c>
      <c r="Y193" s="37">
        <v>0.63108796296296299</v>
      </c>
      <c r="Z193">
        <v>0</v>
      </c>
      <c r="AA193">
        <v>0</v>
      </c>
      <c r="AB193">
        <v>0</v>
      </c>
      <c r="AC193" s="30">
        <f t="shared" si="101"/>
        <v>11.0358</v>
      </c>
    </row>
    <row r="194" spans="1:29" x14ac:dyDescent="0.25">
      <c r="A194">
        <v>0</v>
      </c>
      <c r="B194" t="s">
        <v>16</v>
      </c>
      <c r="C194">
        <v>14560</v>
      </c>
      <c r="D194">
        <v>224</v>
      </c>
      <c r="E194">
        <v>1</v>
      </c>
      <c r="F194">
        <v>4</v>
      </c>
      <c r="G194">
        <v>202.43</v>
      </c>
      <c r="H194" s="139">
        <v>10.167</v>
      </c>
      <c r="I194" s="33">
        <v>45608</v>
      </c>
      <c r="J194" s="37">
        <v>0.35471064814814812</v>
      </c>
      <c r="K194">
        <v>0</v>
      </c>
      <c r="L194">
        <v>0</v>
      </c>
      <c r="M194">
        <v>0</v>
      </c>
      <c r="N194" s="30">
        <f t="shared" si="98"/>
        <v>10.2576</v>
      </c>
      <c r="P194">
        <v>0</v>
      </c>
      <c r="Q194" t="s">
        <v>16</v>
      </c>
      <c r="R194">
        <v>14560</v>
      </c>
      <c r="S194">
        <v>224</v>
      </c>
      <c r="T194">
        <v>1</v>
      </c>
      <c r="U194">
        <v>4</v>
      </c>
      <c r="V194">
        <v>185.46</v>
      </c>
      <c r="W194" s="139">
        <v>11.097</v>
      </c>
      <c r="X194" s="33">
        <v>45608</v>
      </c>
      <c r="Y194" s="37">
        <v>0.36087962962962961</v>
      </c>
      <c r="Z194">
        <v>0</v>
      </c>
      <c r="AA194">
        <v>0</v>
      </c>
      <c r="AB194">
        <v>0</v>
      </c>
      <c r="AC194" s="30">
        <f t="shared" si="99"/>
        <v>11.102799999999998</v>
      </c>
    </row>
    <row r="195" spans="1:29" x14ac:dyDescent="0.25">
      <c r="A195">
        <v>1</v>
      </c>
      <c r="B195" t="s">
        <v>16</v>
      </c>
      <c r="C195">
        <v>14560</v>
      </c>
      <c r="D195">
        <v>224</v>
      </c>
      <c r="E195">
        <v>1</v>
      </c>
      <c r="F195">
        <v>4</v>
      </c>
      <c r="G195">
        <v>200.35</v>
      </c>
      <c r="H195" s="139">
        <v>10.272</v>
      </c>
      <c r="I195" s="33">
        <v>45608</v>
      </c>
      <c r="J195" s="37">
        <v>0.40975694444444444</v>
      </c>
      <c r="K195">
        <v>0</v>
      </c>
      <c r="L195">
        <v>0</v>
      </c>
      <c r="M195">
        <v>0</v>
      </c>
      <c r="N195" s="30">
        <f t="shared" si="100"/>
        <v>10.2576</v>
      </c>
      <c r="P195">
        <v>1</v>
      </c>
      <c r="Q195" t="s">
        <v>16</v>
      </c>
      <c r="R195">
        <v>14560</v>
      </c>
      <c r="S195">
        <v>224</v>
      </c>
      <c r="T195">
        <v>1</v>
      </c>
      <c r="U195">
        <v>4</v>
      </c>
      <c r="V195">
        <v>185.13</v>
      </c>
      <c r="W195" s="139">
        <v>11.117000000000001</v>
      </c>
      <c r="X195" s="33">
        <v>45608</v>
      </c>
      <c r="Y195" s="37">
        <v>0.42156250000000001</v>
      </c>
      <c r="Z195">
        <v>0</v>
      </c>
      <c r="AA195">
        <v>0</v>
      </c>
      <c r="AB195">
        <v>0</v>
      </c>
      <c r="AC195" s="30">
        <f t="shared" si="101"/>
        <v>11.102799999999998</v>
      </c>
    </row>
    <row r="196" spans="1:29" x14ac:dyDescent="0.25">
      <c r="A196">
        <v>2</v>
      </c>
      <c r="B196" t="s">
        <v>16</v>
      </c>
      <c r="C196">
        <v>14560</v>
      </c>
      <c r="D196">
        <v>224</v>
      </c>
      <c r="E196">
        <v>1</v>
      </c>
      <c r="F196">
        <v>4</v>
      </c>
      <c r="G196">
        <v>200.18</v>
      </c>
      <c r="H196" s="139">
        <v>10.281000000000001</v>
      </c>
      <c r="I196" s="33">
        <v>45608</v>
      </c>
      <c r="J196" s="37">
        <v>0.4647337962962963</v>
      </c>
      <c r="K196">
        <v>0</v>
      </c>
      <c r="L196">
        <v>0</v>
      </c>
      <c r="M196">
        <v>0</v>
      </c>
      <c r="N196" s="30">
        <f t="shared" si="100"/>
        <v>10.2576</v>
      </c>
      <c r="P196">
        <v>2</v>
      </c>
      <c r="Q196" t="s">
        <v>16</v>
      </c>
      <c r="R196">
        <v>14560</v>
      </c>
      <c r="S196">
        <v>224</v>
      </c>
      <c r="T196">
        <v>1</v>
      </c>
      <c r="U196">
        <v>4</v>
      </c>
      <c r="V196">
        <v>185.5</v>
      </c>
      <c r="W196" s="139">
        <v>11.095000000000001</v>
      </c>
      <c r="X196" s="33">
        <v>45608</v>
      </c>
      <c r="Y196" s="37">
        <v>0.48223379629629631</v>
      </c>
      <c r="Z196">
        <v>0</v>
      </c>
      <c r="AA196">
        <v>0</v>
      </c>
      <c r="AB196">
        <v>0</v>
      </c>
      <c r="AC196" s="30">
        <f t="shared" si="101"/>
        <v>11.102799999999998</v>
      </c>
    </row>
    <row r="197" spans="1:29" x14ac:dyDescent="0.25">
      <c r="A197">
        <v>3</v>
      </c>
      <c r="B197" t="s">
        <v>16</v>
      </c>
      <c r="C197">
        <v>14560</v>
      </c>
      <c r="D197">
        <v>224</v>
      </c>
      <c r="E197">
        <v>1</v>
      </c>
      <c r="F197">
        <v>4</v>
      </c>
      <c r="G197">
        <v>200.08</v>
      </c>
      <c r="H197" s="139">
        <v>10.286</v>
      </c>
      <c r="I197" s="33">
        <v>45608</v>
      </c>
      <c r="J197" s="37">
        <v>0.56785879629629632</v>
      </c>
      <c r="K197">
        <v>0</v>
      </c>
      <c r="L197">
        <v>0</v>
      </c>
      <c r="M197">
        <v>0</v>
      </c>
      <c r="N197" s="30">
        <f t="shared" si="100"/>
        <v>10.2576</v>
      </c>
      <c r="P197">
        <v>3</v>
      </c>
      <c r="Q197" t="s">
        <v>16</v>
      </c>
      <c r="R197">
        <v>14560</v>
      </c>
      <c r="S197">
        <v>224</v>
      </c>
      <c r="T197">
        <v>1</v>
      </c>
      <c r="U197">
        <v>4</v>
      </c>
      <c r="V197">
        <v>185.27</v>
      </c>
      <c r="W197" s="139">
        <v>11.109</v>
      </c>
      <c r="X197" s="33">
        <v>45608</v>
      </c>
      <c r="Y197" s="37">
        <v>0.5924652777777778</v>
      </c>
      <c r="Z197">
        <v>0</v>
      </c>
      <c r="AA197">
        <v>0</v>
      </c>
      <c r="AB197">
        <v>0</v>
      </c>
      <c r="AC197" s="30">
        <f t="shared" si="101"/>
        <v>11.102799999999998</v>
      </c>
    </row>
    <row r="198" spans="1:29" x14ac:dyDescent="0.25">
      <c r="A198">
        <v>4</v>
      </c>
      <c r="B198" t="s">
        <v>16</v>
      </c>
      <c r="C198">
        <v>14560</v>
      </c>
      <c r="D198">
        <v>224</v>
      </c>
      <c r="E198">
        <v>1</v>
      </c>
      <c r="F198">
        <v>4</v>
      </c>
      <c r="G198">
        <v>200.15</v>
      </c>
      <c r="H198" s="139">
        <v>10.282</v>
      </c>
      <c r="I198" s="33">
        <v>45608</v>
      </c>
      <c r="J198" s="37">
        <v>0.62282407407407403</v>
      </c>
      <c r="K198">
        <v>0</v>
      </c>
      <c r="L198">
        <v>0</v>
      </c>
      <c r="M198">
        <v>0</v>
      </c>
      <c r="N198" s="30">
        <f t="shared" si="100"/>
        <v>10.2576</v>
      </c>
      <c r="P198">
        <v>4</v>
      </c>
      <c r="Q198" t="s">
        <v>16</v>
      </c>
      <c r="R198">
        <v>14560</v>
      </c>
      <c r="S198">
        <v>224</v>
      </c>
      <c r="T198">
        <v>1</v>
      </c>
      <c r="U198">
        <v>4</v>
      </c>
      <c r="V198">
        <v>185.47</v>
      </c>
      <c r="W198" s="139">
        <v>11.096</v>
      </c>
      <c r="X198" s="33">
        <v>45608</v>
      </c>
      <c r="Y198" s="37">
        <v>0.65317129629629633</v>
      </c>
      <c r="Z198">
        <v>0</v>
      </c>
      <c r="AA198">
        <v>0</v>
      </c>
      <c r="AB198">
        <v>0</v>
      </c>
      <c r="AC198" s="30">
        <f t="shared" si="101"/>
        <v>11.102799999999998</v>
      </c>
    </row>
    <row r="199" spans="1:29" x14ac:dyDescent="0.25">
      <c r="A199">
        <v>0</v>
      </c>
      <c r="B199" t="s">
        <v>16</v>
      </c>
      <c r="C199">
        <v>12992</v>
      </c>
      <c r="D199">
        <v>224</v>
      </c>
      <c r="E199">
        <v>2</v>
      </c>
      <c r="F199">
        <v>2</v>
      </c>
      <c r="G199">
        <v>140.91999999999999</v>
      </c>
      <c r="H199" s="139">
        <v>10.375999999999999</v>
      </c>
      <c r="I199" s="33">
        <v>45608</v>
      </c>
      <c r="J199" s="37">
        <v>0.3187962962962963</v>
      </c>
      <c r="K199">
        <v>0</v>
      </c>
      <c r="L199">
        <v>0</v>
      </c>
      <c r="M199">
        <v>0</v>
      </c>
      <c r="N199" s="30">
        <f t="shared" si="98"/>
        <v>10.378799999999998</v>
      </c>
      <c r="P199">
        <v>0</v>
      </c>
      <c r="Q199" t="s">
        <v>16</v>
      </c>
      <c r="R199">
        <v>12992</v>
      </c>
      <c r="S199">
        <v>224</v>
      </c>
      <c r="T199">
        <v>2</v>
      </c>
      <c r="U199">
        <v>2</v>
      </c>
      <c r="V199">
        <v>133.46</v>
      </c>
      <c r="W199" s="139">
        <v>10.956</v>
      </c>
      <c r="X199" s="33">
        <v>45608</v>
      </c>
      <c r="Y199" s="37">
        <v>0.32174768518518521</v>
      </c>
      <c r="Z199">
        <v>0</v>
      </c>
      <c r="AA199">
        <v>0</v>
      </c>
      <c r="AB199">
        <v>0</v>
      </c>
      <c r="AC199" s="30">
        <f t="shared" si="99"/>
        <v>11.0138</v>
      </c>
    </row>
    <row r="200" spans="1:29" x14ac:dyDescent="0.25">
      <c r="A200">
        <v>1</v>
      </c>
      <c r="B200" t="s">
        <v>16</v>
      </c>
      <c r="C200">
        <v>12992</v>
      </c>
      <c r="D200">
        <v>224</v>
      </c>
      <c r="E200">
        <v>2</v>
      </c>
      <c r="F200">
        <v>2</v>
      </c>
      <c r="G200">
        <v>140.85</v>
      </c>
      <c r="H200" s="139">
        <v>10.381</v>
      </c>
      <c r="I200" s="33">
        <v>45608</v>
      </c>
      <c r="J200" s="37">
        <v>0.37385416666666665</v>
      </c>
      <c r="K200">
        <v>0</v>
      </c>
      <c r="L200">
        <v>0</v>
      </c>
      <c r="M200">
        <v>0</v>
      </c>
      <c r="N200" s="30">
        <f t="shared" si="100"/>
        <v>10.378799999999998</v>
      </c>
      <c r="P200">
        <v>1</v>
      </c>
      <c r="Q200" t="s">
        <v>16</v>
      </c>
      <c r="R200">
        <v>12992</v>
      </c>
      <c r="S200">
        <v>224</v>
      </c>
      <c r="T200">
        <v>2</v>
      </c>
      <c r="U200">
        <v>2</v>
      </c>
      <c r="V200">
        <v>132.54</v>
      </c>
      <c r="W200" s="139">
        <v>11.032999999999999</v>
      </c>
      <c r="X200" s="33">
        <v>45608</v>
      </c>
      <c r="Y200" s="37">
        <v>0.38241898148148146</v>
      </c>
      <c r="Z200">
        <v>0</v>
      </c>
      <c r="AA200">
        <v>0</v>
      </c>
      <c r="AB200">
        <v>0</v>
      </c>
      <c r="AC200" s="30">
        <f t="shared" si="101"/>
        <v>11.0138</v>
      </c>
    </row>
    <row r="201" spans="1:29" x14ac:dyDescent="0.25">
      <c r="A201">
        <v>2</v>
      </c>
      <c r="B201" t="s">
        <v>16</v>
      </c>
      <c r="C201">
        <v>12992</v>
      </c>
      <c r="D201">
        <v>224</v>
      </c>
      <c r="E201">
        <v>2</v>
      </c>
      <c r="F201">
        <v>2</v>
      </c>
      <c r="G201">
        <v>140.85</v>
      </c>
      <c r="H201" s="139">
        <v>10.382</v>
      </c>
      <c r="I201" s="33">
        <v>45608</v>
      </c>
      <c r="J201" s="37">
        <v>0.42884259259259261</v>
      </c>
      <c r="K201">
        <v>0</v>
      </c>
      <c r="L201">
        <v>0</v>
      </c>
      <c r="M201">
        <v>0</v>
      </c>
      <c r="N201" s="30">
        <f t="shared" si="100"/>
        <v>10.378799999999998</v>
      </c>
      <c r="P201">
        <v>2</v>
      </c>
      <c r="Q201" t="s">
        <v>16</v>
      </c>
      <c r="R201">
        <v>12992</v>
      </c>
      <c r="S201">
        <v>224</v>
      </c>
      <c r="T201">
        <v>2</v>
      </c>
      <c r="U201">
        <v>2</v>
      </c>
      <c r="V201">
        <v>132.52000000000001</v>
      </c>
      <c r="W201" s="139">
        <v>11.034000000000001</v>
      </c>
      <c r="X201" s="33">
        <v>45608</v>
      </c>
      <c r="Y201" s="37">
        <v>0.44310185185185186</v>
      </c>
      <c r="Z201">
        <v>0</v>
      </c>
      <c r="AA201">
        <v>0</v>
      </c>
      <c r="AB201">
        <v>0</v>
      </c>
      <c r="AC201" s="30">
        <f t="shared" si="101"/>
        <v>11.0138</v>
      </c>
    </row>
    <row r="202" spans="1:29" x14ac:dyDescent="0.25">
      <c r="A202">
        <v>3</v>
      </c>
      <c r="B202" t="s">
        <v>16</v>
      </c>
      <c r="C202">
        <v>12992</v>
      </c>
      <c r="D202">
        <v>224</v>
      </c>
      <c r="E202">
        <v>2</v>
      </c>
      <c r="F202">
        <v>2</v>
      </c>
      <c r="G202">
        <v>140.88</v>
      </c>
      <c r="H202" s="139">
        <v>10.379</v>
      </c>
      <c r="I202" s="33">
        <v>45608</v>
      </c>
      <c r="J202" s="37">
        <v>0.4838425925925926</v>
      </c>
      <c r="K202">
        <v>0</v>
      </c>
      <c r="L202">
        <v>0</v>
      </c>
      <c r="M202">
        <v>0</v>
      </c>
      <c r="N202" s="30">
        <f t="shared" si="100"/>
        <v>10.378799999999998</v>
      </c>
      <c r="P202">
        <v>3</v>
      </c>
      <c r="Q202" t="s">
        <v>16</v>
      </c>
      <c r="R202">
        <v>12992</v>
      </c>
      <c r="S202">
        <v>224</v>
      </c>
      <c r="T202">
        <v>2</v>
      </c>
      <c r="U202">
        <v>2</v>
      </c>
      <c r="V202">
        <v>132.29</v>
      </c>
      <c r="W202" s="139">
        <v>11.053000000000001</v>
      </c>
      <c r="X202" s="33">
        <v>45608</v>
      </c>
      <c r="Y202" s="37">
        <v>0.50376157407407407</v>
      </c>
      <c r="Z202">
        <v>0</v>
      </c>
      <c r="AA202">
        <v>0</v>
      </c>
      <c r="AB202">
        <v>0</v>
      </c>
      <c r="AC202" s="30">
        <f t="shared" si="101"/>
        <v>11.0138</v>
      </c>
    </row>
    <row r="203" spans="1:29" x14ac:dyDescent="0.25">
      <c r="A203">
        <v>4</v>
      </c>
      <c r="B203" t="s">
        <v>16</v>
      </c>
      <c r="C203">
        <v>12992</v>
      </c>
      <c r="D203">
        <v>224</v>
      </c>
      <c r="E203">
        <v>2</v>
      </c>
      <c r="F203">
        <v>2</v>
      </c>
      <c r="G203">
        <v>140.91999999999999</v>
      </c>
      <c r="H203" s="139">
        <v>10.375999999999999</v>
      </c>
      <c r="I203" s="33">
        <v>45608</v>
      </c>
      <c r="J203" s="37">
        <v>0.58694444444444449</v>
      </c>
      <c r="K203">
        <v>0</v>
      </c>
      <c r="L203">
        <v>0</v>
      </c>
      <c r="M203">
        <v>0</v>
      </c>
      <c r="N203" s="30">
        <f t="shared" si="100"/>
        <v>10.378799999999998</v>
      </c>
      <c r="P203">
        <v>4</v>
      </c>
      <c r="Q203" t="s">
        <v>16</v>
      </c>
      <c r="R203">
        <v>12992</v>
      </c>
      <c r="S203">
        <v>224</v>
      </c>
      <c r="T203">
        <v>2</v>
      </c>
      <c r="U203">
        <v>2</v>
      </c>
      <c r="V203">
        <v>133.01</v>
      </c>
      <c r="W203" s="139">
        <v>10.993</v>
      </c>
      <c r="X203" s="33">
        <v>45608</v>
      </c>
      <c r="Y203" s="37">
        <v>0.61400462962962965</v>
      </c>
      <c r="Z203">
        <v>0</v>
      </c>
      <c r="AA203">
        <v>0</v>
      </c>
      <c r="AB203">
        <v>0</v>
      </c>
      <c r="AC203" s="30">
        <f t="shared" si="101"/>
        <v>11.0138</v>
      </c>
    </row>
    <row r="204" spans="1:29" x14ac:dyDescent="0.25">
      <c r="A204">
        <v>0</v>
      </c>
      <c r="B204" t="s">
        <v>16</v>
      </c>
      <c r="C204">
        <v>13664</v>
      </c>
      <c r="D204">
        <v>224</v>
      </c>
      <c r="E204">
        <v>2</v>
      </c>
      <c r="F204">
        <v>2</v>
      </c>
      <c r="G204">
        <v>162.79</v>
      </c>
      <c r="H204" s="139">
        <v>10.449</v>
      </c>
      <c r="I204" s="33">
        <v>45608</v>
      </c>
      <c r="J204" s="37">
        <v>0.33664351851851854</v>
      </c>
      <c r="K204">
        <v>0</v>
      </c>
      <c r="L204">
        <v>0</v>
      </c>
      <c r="M204">
        <v>0</v>
      </c>
      <c r="N204" s="30">
        <f t="shared" si="98"/>
        <v>10.4474</v>
      </c>
      <c r="P204">
        <v>0</v>
      </c>
      <c r="Q204" t="s">
        <v>16</v>
      </c>
      <c r="R204">
        <v>13664</v>
      </c>
      <c r="S204">
        <v>224</v>
      </c>
      <c r="T204">
        <v>2</v>
      </c>
      <c r="U204">
        <v>2</v>
      </c>
      <c r="V204">
        <v>152.62</v>
      </c>
      <c r="W204" s="139">
        <v>11.146000000000001</v>
      </c>
      <c r="X204" s="33">
        <v>45608</v>
      </c>
      <c r="Y204" s="37">
        <v>0.34121527777777777</v>
      </c>
      <c r="Z204">
        <v>0</v>
      </c>
      <c r="AA204">
        <v>0</v>
      </c>
      <c r="AB204">
        <v>0</v>
      </c>
      <c r="AC204" s="30">
        <f t="shared" si="99"/>
        <v>11.142799999999998</v>
      </c>
    </row>
    <row r="205" spans="1:29" x14ac:dyDescent="0.25">
      <c r="A205">
        <v>1</v>
      </c>
      <c r="B205" t="s">
        <v>16</v>
      </c>
      <c r="C205">
        <v>13664</v>
      </c>
      <c r="D205">
        <v>224</v>
      </c>
      <c r="E205">
        <v>2</v>
      </c>
      <c r="F205">
        <v>2</v>
      </c>
      <c r="G205">
        <v>162.91999999999999</v>
      </c>
      <c r="H205" s="139">
        <v>10.441000000000001</v>
      </c>
      <c r="I205" s="33">
        <v>45608</v>
      </c>
      <c r="J205" s="37">
        <v>0.39170138888888889</v>
      </c>
      <c r="K205">
        <v>0</v>
      </c>
      <c r="L205">
        <v>0</v>
      </c>
      <c r="M205">
        <v>0</v>
      </c>
      <c r="N205" s="30">
        <f t="shared" si="100"/>
        <v>10.4474</v>
      </c>
      <c r="P205">
        <v>1</v>
      </c>
      <c r="Q205" t="s">
        <v>16</v>
      </c>
      <c r="R205">
        <v>13664</v>
      </c>
      <c r="S205">
        <v>224</v>
      </c>
      <c r="T205">
        <v>2</v>
      </c>
      <c r="U205">
        <v>2</v>
      </c>
      <c r="V205">
        <v>152.6</v>
      </c>
      <c r="W205" s="139">
        <v>11.147</v>
      </c>
      <c r="X205" s="33">
        <v>45608</v>
      </c>
      <c r="Y205" s="37">
        <v>0.40189814814814817</v>
      </c>
      <c r="Z205">
        <v>0</v>
      </c>
      <c r="AA205">
        <v>0</v>
      </c>
      <c r="AB205">
        <v>0</v>
      </c>
      <c r="AC205" s="30">
        <f t="shared" si="101"/>
        <v>11.142799999999998</v>
      </c>
    </row>
    <row r="206" spans="1:29" x14ac:dyDescent="0.25">
      <c r="A206">
        <v>2</v>
      </c>
      <c r="B206" t="s">
        <v>16</v>
      </c>
      <c r="C206">
        <v>13664</v>
      </c>
      <c r="D206">
        <v>224</v>
      </c>
      <c r="E206">
        <v>2</v>
      </c>
      <c r="F206">
        <v>2</v>
      </c>
      <c r="G206">
        <v>162.84</v>
      </c>
      <c r="H206" s="139">
        <v>10.446</v>
      </c>
      <c r="I206" s="33">
        <v>45608</v>
      </c>
      <c r="J206" s="37">
        <v>0.44670138888888888</v>
      </c>
      <c r="K206">
        <v>0</v>
      </c>
      <c r="L206">
        <v>0</v>
      </c>
      <c r="M206">
        <v>0</v>
      </c>
      <c r="N206" s="30">
        <f t="shared" si="100"/>
        <v>10.4474</v>
      </c>
      <c r="P206">
        <v>2</v>
      </c>
      <c r="Q206" t="s">
        <v>16</v>
      </c>
      <c r="R206">
        <v>13664</v>
      </c>
      <c r="S206">
        <v>224</v>
      </c>
      <c r="T206">
        <v>2</v>
      </c>
      <c r="U206">
        <v>2</v>
      </c>
      <c r="V206">
        <v>152.85</v>
      </c>
      <c r="W206" s="139">
        <v>11.129</v>
      </c>
      <c r="X206" s="33">
        <v>45608</v>
      </c>
      <c r="Y206" s="37">
        <v>0.46256944444444442</v>
      </c>
      <c r="Z206">
        <v>0</v>
      </c>
      <c r="AA206">
        <v>0</v>
      </c>
      <c r="AB206">
        <v>0</v>
      </c>
      <c r="AC206" s="30">
        <f t="shared" si="101"/>
        <v>11.142799999999998</v>
      </c>
    </row>
    <row r="207" spans="1:29" x14ac:dyDescent="0.25">
      <c r="A207">
        <v>3</v>
      </c>
      <c r="B207" t="s">
        <v>16</v>
      </c>
      <c r="C207">
        <v>13664</v>
      </c>
      <c r="D207">
        <v>224</v>
      </c>
      <c r="E207">
        <v>2</v>
      </c>
      <c r="F207">
        <v>2</v>
      </c>
      <c r="G207">
        <v>162.78</v>
      </c>
      <c r="H207" s="139">
        <v>10.45</v>
      </c>
      <c r="I207" s="33">
        <v>45608</v>
      </c>
      <c r="J207" s="37">
        <v>0.50168981481481478</v>
      </c>
      <c r="K207">
        <v>0</v>
      </c>
      <c r="L207">
        <v>0</v>
      </c>
      <c r="M207">
        <v>0</v>
      </c>
      <c r="N207" s="30">
        <f t="shared" si="100"/>
        <v>10.4474</v>
      </c>
      <c r="P207">
        <v>3</v>
      </c>
      <c r="Q207" t="s">
        <v>16</v>
      </c>
      <c r="R207">
        <v>13664</v>
      </c>
      <c r="S207">
        <v>224</v>
      </c>
      <c r="T207">
        <v>2</v>
      </c>
      <c r="U207">
        <v>2</v>
      </c>
      <c r="V207">
        <v>152.62</v>
      </c>
      <c r="W207" s="139">
        <v>11.145</v>
      </c>
      <c r="X207" s="33">
        <v>45608</v>
      </c>
      <c r="Y207" s="37">
        <v>0.57276620370370368</v>
      </c>
      <c r="Z207">
        <v>0</v>
      </c>
      <c r="AA207">
        <v>0</v>
      </c>
      <c r="AB207">
        <v>0</v>
      </c>
      <c r="AC207" s="30">
        <f t="shared" si="101"/>
        <v>11.142799999999998</v>
      </c>
    </row>
    <row r="208" spans="1:29" x14ac:dyDescent="0.25">
      <c r="A208">
        <v>4</v>
      </c>
      <c r="B208" t="s">
        <v>16</v>
      </c>
      <c r="C208">
        <v>13664</v>
      </c>
      <c r="D208">
        <v>224</v>
      </c>
      <c r="E208">
        <v>2</v>
      </c>
      <c r="F208">
        <v>2</v>
      </c>
      <c r="G208">
        <v>162.76</v>
      </c>
      <c r="H208" s="139">
        <v>10.451000000000001</v>
      </c>
      <c r="I208" s="33">
        <v>45608</v>
      </c>
      <c r="J208" s="37">
        <v>0.60480324074074077</v>
      </c>
      <c r="K208">
        <v>0</v>
      </c>
      <c r="L208">
        <v>0</v>
      </c>
      <c r="M208">
        <v>0</v>
      </c>
      <c r="N208" s="30">
        <f t="shared" si="100"/>
        <v>10.4474</v>
      </c>
      <c r="P208">
        <v>4</v>
      </c>
      <c r="Q208" t="s">
        <v>16</v>
      </c>
      <c r="R208">
        <v>13664</v>
      </c>
      <c r="S208">
        <v>224</v>
      </c>
      <c r="T208">
        <v>2</v>
      </c>
      <c r="U208">
        <v>2</v>
      </c>
      <c r="V208">
        <v>152.6</v>
      </c>
      <c r="W208" s="139">
        <v>11.147</v>
      </c>
      <c r="X208" s="33">
        <v>45608</v>
      </c>
      <c r="Y208" s="37">
        <v>0.63347222222222221</v>
      </c>
      <c r="Z208">
        <v>0</v>
      </c>
      <c r="AA208">
        <v>0</v>
      </c>
      <c r="AB208">
        <v>0</v>
      </c>
      <c r="AC208" s="30">
        <f t="shared" si="101"/>
        <v>11.142799999999998</v>
      </c>
    </row>
    <row r="209" spans="1:29" x14ac:dyDescent="0.25">
      <c r="A209">
        <v>0</v>
      </c>
      <c r="B209" t="s">
        <v>16</v>
      </c>
      <c r="C209">
        <v>14560</v>
      </c>
      <c r="D209">
        <v>224</v>
      </c>
      <c r="E209">
        <v>2</v>
      </c>
      <c r="F209">
        <v>2</v>
      </c>
      <c r="G209">
        <v>198.59</v>
      </c>
      <c r="H209" s="139">
        <v>10.363</v>
      </c>
      <c r="I209" s="33">
        <v>45608</v>
      </c>
      <c r="J209" s="37">
        <v>0.35718749999999999</v>
      </c>
      <c r="K209">
        <v>0</v>
      </c>
      <c r="L209">
        <v>0</v>
      </c>
      <c r="M209">
        <v>0</v>
      </c>
      <c r="N209" s="30">
        <f t="shared" si="98"/>
        <v>10.456399999999999</v>
      </c>
      <c r="P209">
        <v>0</v>
      </c>
      <c r="Q209" t="s">
        <v>16</v>
      </c>
      <c r="R209">
        <v>14560</v>
      </c>
      <c r="S209">
        <v>224</v>
      </c>
      <c r="T209">
        <v>2</v>
      </c>
      <c r="U209">
        <v>2</v>
      </c>
      <c r="V209">
        <v>183.61</v>
      </c>
      <c r="W209" s="139">
        <v>11.209</v>
      </c>
      <c r="X209" s="33">
        <v>45608</v>
      </c>
      <c r="Y209" s="37">
        <v>0.3637037037037037</v>
      </c>
      <c r="Z209">
        <v>0</v>
      </c>
      <c r="AA209">
        <v>0</v>
      </c>
      <c r="AB209">
        <v>0</v>
      </c>
      <c r="AC209" s="30">
        <f t="shared" si="99"/>
        <v>11.181999999999999</v>
      </c>
    </row>
    <row r="210" spans="1:29" x14ac:dyDescent="0.25">
      <c r="A210">
        <v>1</v>
      </c>
      <c r="B210" t="s">
        <v>16</v>
      </c>
      <c r="C210">
        <v>14560</v>
      </c>
      <c r="D210">
        <v>224</v>
      </c>
      <c r="E210">
        <v>2</v>
      </c>
      <c r="F210">
        <v>2</v>
      </c>
      <c r="G210">
        <v>196.44</v>
      </c>
      <c r="H210" s="139">
        <v>10.477</v>
      </c>
      <c r="I210" s="33">
        <v>45608</v>
      </c>
      <c r="J210" s="37">
        <v>0.41221064814814817</v>
      </c>
      <c r="K210">
        <v>0</v>
      </c>
      <c r="L210">
        <v>0</v>
      </c>
      <c r="M210">
        <v>0</v>
      </c>
      <c r="N210" s="30">
        <f t="shared" si="100"/>
        <v>10.456399999999999</v>
      </c>
      <c r="P210">
        <v>1</v>
      </c>
      <c r="Q210" t="s">
        <v>16</v>
      </c>
      <c r="R210">
        <v>14560</v>
      </c>
      <c r="S210">
        <v>224</v>
      </c>
      <c r="T210">
        <v>2</v>
      </c>
      <c r="U210">
        <v>2</v>
      </c>
      <c r="V210">
        <v>183.62</v>
      </c>
      <c r="W210" s="139">
        <v>11.208</v>
      </c>
      <c r="X210" s="33">
        <v>45608</v>
      </c>
      <c r="Y210" s="37">
        <v>0.4243865740740741</v>
      </c>
      <c r="Z210">
        <v>0</v>
      </c>
      <c r="AA210">
        <v>0</v>
      </c>
      <c r="AB210">
        <v>0</v>
      </c>
      <c r="AC210" s="30">
        <f t="shared" si="101"/>
        <v>11.181999999999999</v>
      </c>
    </row>
    <row r="211" spans="1:29" x14ac:dyDescent="0.25">
      <c r="A211">
        <v>2</v>
      </c>
      <c r="B211" t="s">
        <v>16</v>
      </c>
      <c r="C211">
        <v>14560</v>
      </c>
      <c r="D211">
        <v>224</v>
      </c>
      <c r="E211">
        <v>2</v>
      </c>
      <c r="F211">
        <v>2</v>
      </c>
      <c r="G211">
        <v>196.26</v>
      </c>
      <c r="H211" s="139">
        <v>10.486000000000001</v>
      </c>
      <c r="I211" s="33">
        <v>45608</v>
      </c>
      <c r="J211" s="37">
        <v>0.46718749999999998</v>
      </c>
      <c r="K211">
        <v>0</v>
      </c>
      <c r="L211">
        <v>0</v>
      </c>
      <c r="M211">
        <v>0</v>
      </c>
      <c r="N211" s="30">
        <f t="shared" si="100"/>
        <v>10.456399999999999</v>
      </c>
      <c r="P211">
        <v>2</v>
      </c>
      <c r="Q211" t="s">
        <v>16</v>
      </c>
      <c r="R211">
        <v>14560</v>
      </c>
      <c r="S211">
        <v>224</v>
      </c>
      <c r="T211">
        <v>2</v>
      </c>
      <c r="U211">
        <v>2</v>
      </c>
      <c r="V211">
        <v>184.76</v>
      </c>
      <c r="W211" s="139">
        <v>11.138999999999999</v>
      </c>
      <c r="X211" s="33">
        <v>45608</v>
      </c>
      <c r="Y211" s="37">
        <v>0.48506944444444444</v>
      </c>
      <c r="Z211">
        <v>0</v>
      </c>
      <c r="AA211">
        <v>0</v>
      </c>
      <c r="AB211">
        <v>0</v>
      </c>
      <c r="AC211" s="30">
        <f t="shared" si="101"/>
        <v>11.181999999999999</v>
      </c>
    </row>
    <row r="212" spans="1:29" x14ac:dyDescent="0.25">
      <c r="A212">
        <v>3</v>
      </c>
      <c r="B212" t="s">
        <v>16</v>
      </c>
      <c r="C212">
        <v>14560</v>
      </c>
      <c r="D212">
        <v>224</v>
      </c>
      <c r="E212">
        <v>2</v>
      </c>
      <c r="F212">
        <v>2</v>
      </c>
      <c r="G212">
        <v>196.45</v>
      </c>
      <c r="H212" s="139">
        <v>10.476000000000001</v>
      </c>
      <c r="I212" s="33">
        <v>45608</v>
      </c>
      <c r="J212" s="37">
        <v>0.57032407407407404</v>
      </c>
      <c r="K212">
        <v>0</v>
      </c>
      <c r="L212">
        <v>0</v>
      </c>
      <c r="M212">
        <v>0</v>
      </c>
      <c r="N212" s="30">
        <f t="shared" si="100"/>
        <v>10.456399999999999</v>
      </c>
      <c r="P212">
        <v>3</v>
      </c>
      <c r="Q212" t="s">
        <v>16</v>
      </c>
      <c r="R212">
        <v>14560</v>
      </c>
      <c r="S212">
        <v>224</v>
      </c>
      <c r="T212">
        <v>2</v>
      </c>
      <c r="U212">
        <v>2</v>
      </c>
      <c r="V212">
        <v>184</v>
      </c>
      <c r="W212" s="139">
        <v>11.185</v>
      </c>
      <c r="X212" s="33">
        <v>45608</v>
      </c>
      <c r="Y212" s="37">
        <v>0.59528935185185183</v>
      </c>
      <c r="Z212">
        <v>0</v>
      </c>
      <c r="AA212">
        <v>0</v>
      </c>
      <c r="AB212">
        <v>0</v>
      </c>
      <c r="AC212" s="30">
        <f t="shared" si="101"/>
        <v>11.181999999999999</v>
      </c>
    </row>
    <row r="213" spans="1:29" x14ac:dyDescent="0.25">
      <c r="A213">
        <v>4</v>
      </c>
      <c r="B213" t="s">
        <v>16</v>
      </c>
      <c r="C213">
        <v>14560</v>
      </c>
      <c r="D213">
        <v>224</v>
      </c>
      <c r="E213">
        <v>2</v>
      </c>
      <c r="F213">
        <v>2</v>
      </c>
      <c r="G213">
        <v>196.38</v>
      </c>
      <c r="H213" s="139">
        <v>10.48</v>
      </c>
      <c r="I213" s="33">
        <v>45608</v>
      </c>
      <c r="J213" s="37">
        <v>0.62527777777777782</v>
      </c>
      <c r="K213">
        <v>0</v>
      </c>
      <c r="L213">
        <v>0</v>
      </c>
      <c r="M213">
        <v>0</v>
      </c>
      <c r="N213" s="30">
        <f t="shared" si="100"/>
        <v>10.456399999999999</v>
      </c>
      <c r="P213">
        <v>4</v>
      </c>
      <c r="Q213" t="s">
        <v>16</v>
      </c>
      <c r="R213">
        <v>14560</v>
      </c>
      <c r="S213">
        <v>224</v>
      </c>
      <c r="T213">
        <v>2</v>
      </c>
      <c r="U213">
        <v>2</v>
      </c>
      <c r="V213">
        <v>184.26</v>
      </c>
      <c r="W213" s="139">
        <v>11.169</v>
      </c>
      <c r="X213" s="33">
        <v>45608</v>
      </c>
      <c r="Y213" s="37">
        <v>0.65599537037037037</v>
      </c>
      <c r="Z213">
        <v>0</v>
      </c>
      <c r="AA213">
        <v>0</v>
      </c>
      <c r="AB213">
        <v>0</v>
      </c>
      <c r="AC213" s="30">
        <f t="shared" si="101"/>
        <v>11.181999999999999</v>
      </c>
    </row>
    <row r="214" spans="1:29" x14ac:dyDescent="0.25">
      <c r="A214">
        <v>0</v>
      </c>
      <c r="B214" t="s">
        <v>16</v>
      </c>
      <c r="C214">
        <v>13056</v>
      </c>
      <c r="D214">
        <v>256</v>
      </c>
      <c r="E214">
        <v>1</v>
      </c>
      <c r="F214">
        <v>4</v>
      </c>
      <c r="G214">
        <v>148.22</v>
      </c>
      <c r="H214" s="139">
        <v>10.012</v>
      </c>
      <c r="I214" s="33">
        <v>45608</v>
      </c>
      <c r="J214" s="37">
        <v>0.32065972222222222</v>
      </c>
      <c r="K214">
        <v>0</v>
      </c>
      <c r="L214">
        <v>0</v>
      </c>
      <c r="M214">
        <v>0</v>
      </c>
      <c r="N214" s="30">
        <f t="shared" si="98"/>
        <v>10.012199999999998</v>
      </c>
      <c r="P214">
        <v>0</v>
      </c>
      <c r="Q214" t="s">
        <v>16</v>
      </c>
      <c r="R214">
        <v>13056</v>
      </c>
      <c r="S214">
        <v>256</v>
      </c>
      <c r="T214">
        <v>1</v>
      </c>
      <c r="U214">
        <v>4</v>
      </c>
      <c r="V214">
        <v>139.75</v>
      </c>
      <c r="W214" s="139">
        <v>10.619</v>
      </c>
      <c r="X214" s="33">
        <v>45608</v>
      </c>
      <c r="Y214" s="37">
        <v>0.32391203703703703</v>
      </c>
      <c r="Z214">
        <v>0</v>
      </c>
      <c r="AA214">
        <v>0</v>
      </c>
      <c r="AB214">
        <v>0</v>
      </c>
      <c r="AC214" s="30">
        <f t="shared" si="99"/>
        <v>10.608599999999999</v>
      </c>
    </row>
    <row r="215" spans="1:29" x14ac:dyDescent="0.25">
      <c r="A215">
        <v>1</v>
      </c>
      <c r="B215" t="s">
        <v>16</v>
      </c>
      <c r="C215">
        <v>13056</v>
      </c>
      <c r="D215">
        <v>256</v>
      </c>
      <c r="E215">
        <v>1</v>
      </c>
      <c r="F215">
        <v>4</v>
      </c>
      <c r="G215">
        <v>148.15</v>
      </c>
      <c r="H215" s="139">
        <v>10.016</v>
      </c>
      <c r="I215" s="33">
        <v>45608</v>
      </c>
      <c r="J215" s="37">
        <v>0.37571759259259258</v>
      </c>
      <c r="K215">
        <v>0</v>
      </c>
      <c r="L215">
        <v>0</v>
      </c>
      <c r="M215">
        <v>0</v>
      </c>
      <c r="N215" s="30">
        <f t="shared" si="100"/>
        <v>10.012199999999998</v>
      </c>
      <c r="P215">
        <v>1</v>
      </c>
      <c r="Q215" t="s">
        <v>16</v>
      </c>
      <c r="R215">
        <v>13056</v>
      </c>
      <c r="S215">
        <v>256</v>
      </c>
      <c r="T215">
        <v>1</v>
      </c>
      <c r="U215">
        <v>4</v>
      </c>
      <c r="V215">
        <v>139.85</v>
      </c>
      <c r="W215" s="139">
        <v>10.611000000000001</v>
      </c>
      <c r="X215" s="33">
        <v>45608</v>
      </c>
      <c r="Y215" s="37">
        <v>0.38459490740740743</v>
      </c>
      <c r="Z215">
        <v>0</v>
      </c>
      <c r="AA215">
        <v>0</v>
      </c>
      <c r="AB215">
        <v>0</v>
      </c>
      <c r="AC215" s="30">
        <f t="shared" si="101"/>
        <v>10.608599999999999</v>
      </c>
    </row>
    <row r="216" spans="1:29" x14ac:dyDescent="0.25">
      <c r="A216">
        <v>2</v>
      </c>
      <c r="B216" t="s">
        <v>16</v>
      </c>
      <c r="C216">
        <v>13056</v>
      </c>
      <c r="D216">
        <v>256</v>
      </c>
      <c r="E216">
        <v>1</v>
      </c>
      <c r="F216">
        <v>4</v>
      </c>
      <c r="G216">
        <v>148.18</v>
      </c>
      <c r="H216" s="139">
        <v>10.015000000000001</v>
      </c>
      <c r="I216" s="33">
        <v>45608</v>
      </c>
      <c r="J216" s="37">
        <v>0.43070601851851853</v>
      </c>
      <c r="K216">
        <v>0</v>
      </c>
      <c r="L216">
        <v>0</v>
      </c>
      <c r="M216">
        <v>0</v>
      </c>
      <c r="N216" s="30">
        <f t="shared" si="100"/>
        <v>10.012199999999998</v>
      </c>
      <c r="P216">
        <v>2</v>
      </c>
      <c r="Q216" t="s">
        <v>16</v>
      </c>
      <c r="R216">
        <v>13056</v>
      </c>
      <c r="S216">
        <v>256</v>
      </c>
      <c r="T216">
        <v>1</v>
      </c>
      <c r="U216">
        <v>4</v>
      </c>
      <c r="V216">
        <v>139.88</v>
      </c>
      <c r="W216" s="139">
        <v>10.609</v>
      </c>
      <c r="X216" s="33">
        <v>45608</v>
      </c>
      <c r="Y216" s="37">
        <v>0.44527777777777777</v>
      </c>
      <c r="Z216">
        <v>0</v>
      </c>
      <c r="AA216">
        <v>0</v>
      </c>
      <c r="AB216">
        <v>0</v>
      </c>
      <c r="AC216" s="30">
        <f t="shared" si="101"/>
        <v>10.608599999999999</v>
      </c>
    </row>
    <row r="217" spans="1:29" x14ac:dyDescent="0.25">
      <c r="A217">
        <v>3</v>
      </c>
      <c r="B217" t="s">
        <v>16</v>
      </c>
      <c r="C217">
        <v>13056</v>
      </c>
      <c r="D217">
        <v>256</v>
      </c>
      <c r="E217">
        <v>1</v>
      </c>
      <c r="F217">
        <v>4</v>
      </c>
      <c r="G217">
        <v>148.24</v>
      </c>
      <c r="H217" s="139">
        <v>10.01</v>
      </c>
      <c r="I217" s="33">
        <v>45608</v>
      </c>
      <c r="J217" s="37">
        <v>0.48570601851851852</v>
      </c>
      <c r="K217">
        <v>0</v>
      </c>
      <c r="L217">
        <v>0</v>
      </c>
      <c r="M217">
        <v>0</v>
      </c>
      <c r="N217" s="30">
        <f t="shared" si="100"/>
        <v>10.012199999999998</v>
      </c>
      <c r="P217">
        <v>3</v>
      </c>
      <c r="Q217" t="s">
        <v>16</v>
      </c>
      <c r="R217">
        <v>13056</v>
      </c>
      <c r="S217">
        <v>256</v>
      </c>
      <c r="T217">
        <v>1</v>
      </c>
      <c r="U217">
        <v>4</v>
      </c>
      <c r="V217">
        <v>139.94</v>
      </c>
      <c r="W217" s="139">
        <v>10.603999999999999</v>
      </c>
      <c r="X217" s="33">
        <v>45608</v>
      </c>
      <c r="Y217" s="37">
        <v>0.50593750000000004</v>
      </c>
      <c r="Z217">
        <v>0</v>
      </c>
      <c r="AA217">
        <v>0</v>
      </c>
      <c r="AB217">
        <v>0</v>
      </c>
      <c r="AC217" s="30">
        <f t="shared" si="101"/>
        <v>10.608599999999999</v>
      </c>
    </row>
    <row r="218" spans="1:29" x14ac:dyDescent="0.25">
      <c r="A218">
        <v>4</v>
      </c>
      <c r="B218" t="s">
        <v>16</v>
      </c>
      <c r="C218">
        <v>13056</v>
      </c>
      <c r="D218">
        <v>256</v>
      </c>
      <c r="E218">
        <v>1</v>
      </c>
      <c r="F218">
        <v>4</v>
      </c>
      <c r="G218">
        <v>148.27000000000001</v>
      </c>
      <c r="H218" s="139">
        <v>10.007999999999999</v>
      </c>
      <c r="I218" s="33">
        <v>45608</v>
      </c>
      <c r="J218" s="37">
        <v>0.58880787037037041</v>
      </c>
      <c r="K218">
        <v>0</v>
      </c>
      <c r="L218">
        <v>0</v>
      </c>
      <c r="M218">
        <v>0</v>
      </c>
      <c r="N218" s="30">
        <f t="shared" si="100"/>
        <v>10.012199999999998</v>
      </c>
      <c r="P218">
        <v>4</v>
      </c>
      <c r="Q218" t="s">
        <v>16</v>
      </c>
      <c r="R218">
        <v>13056</v>
      </c>
      <c r="S218">
        <v>256</v>
      </c>
      <c r="T218">
        <v>1</v>
      </c>
      <c r="U218">
        <v>4</v>
      </c>
      <c r="V218">
        <v>139.99</v>
      </c>
      <c r="W218" s="139">
        <v>10.6</v>
      </c>
      <c r="X218" s="33">
        <v>45608</v>
      </c>
      <c r="Y218" s="37">
        <v>0.61618055555555551</v>
      </c>
      <c r="Z218">
        <v>0</v>
      </c>
      <c r="AA218">
        <v>0</v>
      </c>
      <c r="AB218">
        <v>0</v>
      </c>
      <c r="AC218" s="30">
        <f t="shared" si="101"/>
        <v>10.608599999999999</v>
      </c>
    </row>
    <row r="219" spans="1:29" x14ac:dyDescent="0.25">
      <c r="A219">
        <v>0</v>
      </c>
      <c r="B219" t="s">
        <v>16</v>
      </c>
      <c r="C219">
        <v>13824</v>
      </c>
      <c r="D219">
        <v>256</v>
      </c>
      <c r="E219">
        <v>1</v>
      </c>
      <c r="F219">
        <v>4</v>
      </c>
      <c r="G219">
        <v>190.24</v>
      </c>
      <c r="H219" s="139">
        <v>9.2594999999999992</v>
      </c>
      <c r="I219" s="33">
        <v>45608</v>
      </c>
      <c r="J219" s="37">
        <v>0.33901620370370372</v>
      </c>
      <c r="K219">
        <v>0</v>
      </c>
      <c r="L219">
        <v>0</v>
      </c>
      <c r="M219">
        <v>0</v>
      </c>
      <c r="N219" s="30">
        <f t="shared" si="98"/>
        <v>9.2552400000000006</v>
      </c>
      <c r="P219">
        <v>0</v>
      </c>
      <c r="Q219" t="s">
        <v>16</v>
      </c>
      <c r="R219">
        <v>13824</v>
      </c>
      <c r="S219">
        <v>256</v>
      </c>
      <c r="T219">
        <v>1</v>
      </c>
      <c r="U219">
        <v>4</v>
      </c>
      <c r="V219">
        <v>171.4</v>
      </c>
      <c r="W219" s="139">
        <v>10.276999999999999</v>
      </c>
      <c r="X219" s="33">
        <v>45608</v>
      </c>
      <c r="Y219" s="37">
        <v>0.34383101851851849</v>
      </c>
      <c r="Z219">
        <v>0</v>
      </c>
      <c r="AA219">
        <v>0</v>
      </c>
      <c r="AB219">
        <v>0</v>
      </c>
      <c r="AC219" s="30">
        <f t="shared" si="99"/>
        <v>10.273400000000001</v>
      </c>
    </row>
    <row r="220" spans="1:29" x14ac:dyDescent="0.25">
      <c r="A220">
        <v>1</v>
      </c>
      <c r="B220" t="s">
        <v>16</v>
      </c>
      <c r="C220">
        <v>13824</v>
      </c>
      <c r="D220">
        <v>256</v>
      </c>
      <c r="E220">
        <v>1</v>
      </c>
      <c r="F220">
        <v>4</v>
      </c>
      <c r="G220">
        <v>191.4</v>
      </c>
      <c r="H220" s="139">
        <v>9.2033000000000005</v>
      </c>
      <c r="I220" s="33">
        <v>45608</v>
      </c>
      <c r="J220" s="37">
        <v>0.39408564814814817</v>
      </c>
      <c r="K220">
        <v>0</v>
      </c>
      <c r="L220">
        <v>0</v>
      </c>
      <c r="M220">
        <v>0</v>
      </c>
      <c r="N220" s="30">
        <f t="shared" si="100"/>
        <v>9.2552400000000006</v>
      </c>
      <c r="P220">
        <v>1</v>
      </c>
      <c r="Q220" t="s">
        <v>16</v>
      </c>
      <c r="R220">
        <v>13824</v>
      </c>
      <c r="S220">
        <v>256</v>
      </c>
      <c r="T220">
        <v>1</v>
      </c>
      <c r="U220">
        <v>4</v>
      </c>
      <c r="V220">
        <v>171.65</v>
      </c>
      <c r="W220" s="139">
        <v>10.262</v>
      </c>
      <c r="X220" s="33">
        <v>45608</v>
      </c>
      <c r="Y220" s="37">
        <v>0.40452546296296299</v>
      </c>
      <c r="Z220">
        <v>0</v>
      </c>
      <c r="AA220">
        <v>0</v>
      </c>
      <c r="AB220">
        <v>0</v>
      </c>
      <c r="AC220" s="30">
        <f t="shared" si="101"/>
        <v>10.273400000000001</v>
      </c>
    </row>
    <row r="221" spans="1:29" x14ac:dyDescent="0.25">
      <c r="A221">
        <v>2</v>
      </c>
      <c r="B221" t="s">
        <v>16</v>
      </c>
      <c r="C221">
        <v>13824</v>
      </c>
      <c r="D221">
        <v>256</v>
      </c>
      <c r="E221">
        <v>1</v>
      </c>
      <c r="F221">
        <v>4</v>
      </c>
      <c r="G221">
        <v>189.8</v>
      </c>
      <c r="H221" s="139">
        <v>9.2805</v>
      </c>
      <c r="I221" s="33">
        <v>45608</v>
      </c>
      <c r="J221" s="37">
        <v>0.44906249999999998</v>
      </c>
      <c r="K221">
        <v>0</v>
      </c>
      <c r="L221">
        <v>0</v>
      </c>
      <c r="M221">
        <v>0</v>
      </c>
      <c r="N221" s="30">
        <f t="shared" si="100"/>
        <v>9.2552400000000006</v>
      </c>
      <c r="P221">
        <v>2</v>
      </c>
      <c r="Q221" t="s">
        <v>16</v>
      </c>
      <c r="R221">
        <v>13824</v>
      </c>
      <c r="S221">
        <v>256</v>
      </c>
      <c r="T221">
        <v>1</v>
      </c>
      <c r="U221">
        <v>4</v>
      </c>
      <c r="V221">
        <v>171.52</v>
      </c>
      <c r="W221" s="139">
        <v>10.27</v>
      </c>
      <c r="X221" s="33">
        <v>45608</v>
      </c>
      <c r="Y221" s="37">
        <v>0.4651851851851852</v>
      </c>
      <c r="Z221">
        <v>0</v>
      </c>
      <c r="AA221">
        <v>0</v>
      </c>
      <c r="AB221">
        <v>0</v>
      </c>
      <c r="AC221" s="30">
        <f t="shared" si="101"/>
        <v>10.273400000000001</v>
      </c>
    </row>
    <row r="222" spans="1:29" x14ac:dyDescent="0.25">
      <c r="A222">
        <v>3</v>
      </c>
      <c r="B222" t="s">
        <v>16</v>
      </c>
      <c r="C222">
        <v>13824</v>
      </c>
      <c r="D222">
        <v>256</v>
      </c>
      <c r="E222">
        <v>1</v>
      </c>
      <c r="F222">
        <v>4</v>
      </c>
      <c r="G222">
        <v>190.04</v>
      </c>
      <c r="H222" s="139">
        <v>9.2689000000000004</v>
      </c>
      <c r="I222" s="33">
        <v>45608</v>
      </c>
      <c r="J222" s="37">
        <v>0.50406249999999997</v>
      </c>
      <c r="K222">
        <v>0</v>
      </c>
      <c r="L222">
        <v>0</v>
      </c>
      <c r="M222">
        <v>0</v>
      </c>
      <c r="N222" s="30">
        <f t="shared" si="100"/>
        <v>9.2552400000000006</v>
      </c>
      <c r="P222">
        <v>3</v>
      </c>
      <c r="Q222" t="s">
        <v>16</v>
      </c>
      <c r="R222">
        <v>13824</v>
      </c>
      <c r="S222">
        <v>256</v>
      </c>
      <c r="T222">
        <v>1</v>
      </c>
      <c r="U222">
        <v>4</v>
      </c>
      <c r="V222">
        <v>171.31</v>
      </c>
      <c r="W222" s="139">
        <v>10.282</v>
      </c>
      <c r="X222" s="33">
        <v>45608</v>
      </c>
      <c r="Y222" s="37">
        <v>0.57538194444444446</v>
      </c>
      <c r="Z222">
        <v>0</v>
      </c>
      <c r="AA222">
        <v>0</v>
      </c>
      <c r="AB222">
        <v>0</v>
      </c>
      <c r="AC222" s="30">
        <f t="shared" si="101"/>
        <v>10.273400000000001</v>
      </c>
    </row>
    <row r="223" spans="1:29" x14ac:dyDescent="0.25">
      <c r="A223">
        <v>4</v>
      </c>
      <c r="B223" t="s">
        <v>16</v>
      </c>
      <c r="C223">
        <v>13824</v>
      </c>
      <c r="D223">
        <v>256</v>
      </c>
      <c r="E223">
        <v>1</v>
      </c>
      <c r="F223">
        <v>4</v>
      </c>
      <c r="G223">
        <v>190.14</v>
      </c>
      <c r="H223" s="139">
        <v>9.2639999999999993</v>
      </c>
      <c r="I223" s="33">
        <v>45608</v>
      </c>
      <c r="J223" s="37">
        <v>0.6071643518518518</v>
      </c>
      <c r="K223">
        <v>0</v>
      </c>
      <c r="L223">
        <v>0</v>
      </c>
      <c r="M223">
        <v>0</v>
      </c>
      <c r="N223" s="30">
        <f t="shared" si="100"/>
        <v>9.2552400000000006</v>
      </c>
      <c r="P223">
        <v>4</v>
      </c>
      <c r="Q223" t="s">
        <v>16</v>
      </c>
      <c r="R223">
        <v>13824</v>
      </c>
      <c r="S223">
        <v>256</v>
      </c>
      <c r="T223">
        <v>1</v>
      </c>
      <c r="U223">
        <v>4</v>
      </c>
      <c r="V223">
        <v>171.42</v>
      </c>
      <c r="W223" s="139">
        <v>10.276</v>
      </c>
      <c r="X223" s="33">
        <v>45608</v>
      </c>
      <c r="Y223" s="37">
        <v>0.63609953703703703</v>
      </c>
      <c r="Z223">
        <v>0</v>
      </c>
      <c r="AA223">
        <v>0</v>
      </c>
      <c r="AB223">
        <v>0</v>
      </c>
      <c r="AC223" s="30">
        <f t="shared" si="101"/>
        <v>10.273400000000001</v>
      </c>
    </row>
    <row r="224" spans="1:29" x14ac:dyDescent="0.25">
      <c r="A224">
        <v>0</v>
      </c>
      <c r="B224" t="s">
        <v>16</v>
      </c>
      <c r="C224">
        <v>14592</v>
      </c>
      <c r="D224">
        <v>256</v>
      </c>
      <c r="E224">
        <v>1</v>
      </c>
      <c r="F224">
        <v>4</v>
      </c>
      <c r="G224">
        <v>202.11</v>
      </c>
      <c r="H224" s="139">
        <v>10.25</v>
      </c>
      <c r="I224" s="33">
        <v>45608</v>
      </c>
      <c r="J224" s="37">
        <v>0.35971064814814813</v>
      </c>
      <c r="K224">
        <v>0</v>
      </c>
      <c r="L224">
        <v>0</v>
      </c>
      <c r="M224">
        <v>0</v>
      </c>
      <c r="N224" s="30">
        <f t="shared" si="98"/>
        <v>10.247200000000001</v>
      </c>
      <c r="P224">
        <v>0</v>
      </c>
      <c r="Q224" t="s">
        <v>16</v>
      </c>
      <c r="R224">
        <v>14592</v>
      </c>
      <c r="S224">
        <v>256</v>
      </c>
      <c r="T224">
        <v>1</v>
      </c>
      <c r="U224">
        <v>4</v>
      </c>
      <c r="V224">
        <v>192.09</v>
      </c>
      <c r="W224" s="139">
        <v>10.785</v>
      </c>
      <c r="X224" s="33">
        <v>45608</v>
      </c>
      <c r="Y224" s="37">
        <v>0.36664351851851851</v>
      </c>
      <c r="Z224">
        <v>0</v>
      </c>
      <c r="AA224">
        <v>0</v>
      </c>
      <c r="AB224">
        <v>0</v>
      </c>
      <c r="AC224" s="30">
        <f t="shared" si="99"/>
        <v>10.793600000000001</v>
      </c>
    </row>
    <row r="225" spans="1:29" x14ac:dyDescent="0.25">
      <c r="A225">
        <v>1</v>
      </c>
      <c r="B225" t="s">
        <v>16</v>
      </c>
      <c r="C225">
        <v>14592</v>
      </c>
      <c r="D225">
        <v>256</v>
      </c>
      <c r="E225">
        <v>1</v>
      </c>
      <c r="F225">
        <v>4</v>
      </c>
      <c r="G225">
        <v>202</v>
      </c>
      <c r="H225" s="139">
        <v>10.256</v>
      </c>
      <c r="I225" s="33">
        <v>45608</v>
      </c>
      <c r="J225" s="37">
        <v>0.41473379629629631</v>
      </c>
      <c r="K225">
        <v>0</v>
      </c>
      <c r="L225">
        <v>0</v>
      </c>
      <c r="M225">
        <v>0</v>
      </c>
      <c r="N225" s="30">
        <f t="shared" si="100"/>
        <v>10.247200000000001</v>
      </c>
      <c r="P225">
        <v>1</v>
      </c>
      <c r="Q225" t="s">
        <v>16</v>
      </c>
      <c r="R225">
        <v>14592</v>
      </c>
      <c r="S225">
        <v>256</v>
      </c>
      <c r="T225">
        <v>1</v>
      </c>
      <c r="U225">
        <v>4</v>
      </c>
      <c r="V225">
        <v>191.93</v>
      </c>
      <c r="W225" s="139">
        <v>10.794</v>
      </c>
      <c r="X225" s="33">
        <v>45608</v>
      </c>
      <c r="Y225" s="37">
        <v>0.42732638888888891</v>
      </c>
      <c r="Z225">
        <v>0</v>
      </c>
      <c r="AA225">
        <v>0</v>
      </c>
      <c r="AB225">
        <v>0</v>
      </c>
      <c r="AC225" s="30">
        <f t="shared" si="101"/>
        <v>10.793600000000001</v>
      </c>
    </row>
    <row r="226" spans="1:29" x14ac:dyDescent="0.25">
      <c r="A226">
        <v>2</v>
      </c>
      <c r="B226" t="s">
        <v>16</v>
      </c>
      <c r="C226">
        <v>14592</v>
      </c>
      <c r="D226">
        <v>256</v>
      </c>
      <c r="E226">
        <v>1</v>
      </c>
      <c r="F226">
        <v>4</v>
      </c>
      <c r="G226">
        <v>202.64</v>
      </c>
      <c r="H226" s="139">
        <v>10.224</v>
      </c>
      <c r="I226" s="33">
        <v>45608</v>
      </c>
      <c r="J226" s="37">
        <v>0.46972222222222221</v>
      </c>
      <c r="K226">
        <v>0</v>
      </c>
      <c r="L226">
        <v>0</v>
      </c>
      <c r="M226">
        <v>0</v>
      </c>
      <c r="N226" s="30">
        <f t="shared" si="100"/>
        <v>10.247200000000001</v>
      </c>
      <c r="P226">
        <v>2</v>
      </c>
      <c r="Q226" t="s">
        <v>16</v>
      </c>
      <c r="R226">
        <v>14592</v>
      </c>
      <c r="S226">
        <v>256</v>
      </c>
      <c r="T226">
        <v>1</v>
      </c>
      <c r="U226">
        <v>4</v>
      </c>
      <c r="V226">
        <v>191.97</v>
      </c>
      <c r="W226" s="139">
        <v>10.792</v>
      </c>
      <c r="X226" s="33">
        <v>45608</v>
      </c>
      <c r="Y226" s="37">
        <v>0.48800925925925925</v>
      </c>
      <c r="Z226">
        <v>0</v>
      </c>
      <c r="AA226">
        <v>0</v>
      </c>
      <c r="AB226">
        <v>0</v>
      </c>
      <c r="AC226" s="30">
        <f t="shared" si="101"/>
        <v>10.793600000000001</v>
      </c>
    </row>
    <row r="227" spans="1:29" x14ac:dyDescent="0.25">
      <c r="A227">
        <v>3</v>
      </c>
      <c r="B227" t="s">
        <v>16</v>
      </c>
      <c r="C227">
        <v>14592</v>
      </c>
      <c r="D227">
        <v>256</v>
      </c>
      <c r="E227">
        <v>1</v>
      </c>
      <c r="F227">
        <v>4</v>
      </c>
      <c r="G227">
        <v>202.03</v>
      </c>
      <c r="H227" s="139">
        <v>10.254</v>
      </c>
      <c r="I227" s="33">
        <v>45608</v>
      </c>
      <c r="J227" s="37">
        <v>0.57283564814814814</v>
      </c>
      <c r="K227">
        <v>0</v>
      </c>
      <c r="L227">
        <v>0</v>
      </c>
      <c r="M227">
        <v>0</v>
      </c>
      <c r="N227" s="30">
        <f t="shared" si="100"/>
        <v>10.247200000000001</v>
      </c>
      <c r="P227">
        <v>3</v>
      </c>
      <c r="Q227" t="s">
        <v>16</v>
      </c>
      <c r="R227">
        <v>14592</v>
      </c>
      <c r="S227">
        <v>256</v>
      </c>
      <c r="T227">
        <v>1</v>
      </c>
      <c r="U227">
        <v>4</v>
      </c>
      <c r="V227">
        <v>191.86</v>
      </c>
      <c r="W227" s="139">
        <v>10.798</v>
      </c>
      <c r="X227" s="33">
        <v>45608</v>
      </c>
      <c r="Y227" s="37">
        <v>0.5982291666666667</v>
      </c>
      <c r="Z227">
        <v>0</v>
      </c>
      <c r="AA227">
        <v>0</v>
      </c>
      <c r="AB227">
        <v>0</v>
      </c>
      <c r="AC227" s="30">
        <f t="shared" si="101"/>
        <v>10.793600000000001</v>
      </c>
    </row>
    <row r="228" spans="1:29" x14ac:dyDescent="0.25">
      <c r="A228">
        <v>4</v>
      </c>
      <c r="B228" t="s">
        <v>16</v>
      </c>
      <c r="C228">
        <v>14592</v>
      </c>
      <c r="D228">
        <v>256</v>
      </c>
      <c r="E228">
        <v>1</v>
      </c>
      <c r="F228">
        <v>4</v>
      </c>
      <c r="G228">
        <v>202.07</v>
      </c>
      <c r="H228" s="139">
        <v>10.252000000000001</v>
      </c>
      <c r="I228" s="33">
        <v>45608</v>
      </c>
      <c r="J228" s="37">
        <v>0.62780092592592596</v>
      </c>
      <c r="K228">
        <v>0</v>
      </c>
      <c r="L228">
        <v>0</v>
      </c>
      <c r="M228">
        <v>0</v>
      </c>
      <c r="N228" s="30">
        <f t="shared" si="100"/>
        <v>10.247200000000001</v>
      </c>
      <c r="P228">
        <v>4</v>
      </c>
      <c r="Q228" t="s">
        <v>16</v>
      </c>
      <c r="R228">
        <v>14592</v>
      </c>
      <c r="S228">
        <v>256</v>
      </c>
      <c r="T228">
        <v>1</v>
      </c>
      <c r="U228">
        <v>4</v>
      </c>
      <c r="V228">
        <v>191.84</v>
      </c>
      <c r="W228" s="139">
        <v>10.798999999999999</v>
      </c>
      <c r="X228" s="33">
        <v>45608</v>
      </c>
      <c r="Y228" s="37">
        <v>0.65893518518518523</v>
      </c>
      <c r="Z228">
        <v>0</v>
      </c>
      <c r="AA228">
        <v>0</v>
      </c>
      <c r="AB228">
        <v>0</v>
      </c>
      <c r="AC228" s="30">
        <f t="shared" si="101"/>
        <v>10.793600000000001</v>
      </c>
    </row>
    <row r="229" spans="1:29" x14ac:dyDescent="0.25">
      <c r="A229">
        <v>0</v>
      </c>
      <c r="B229" t="s">
        <v>16</v>
      </c>
      <c r="C229">
        <v>13056</v>
      </c>
      <c r="D229">
        <v>256</v>
      </c>
      <c r="E229">
        <v>2</v>
      </c>
      <c r="F229">
        <v>2</v>
      </c>
      <c r="G229">
        <v>146.02000000000001</v>
      </c>
      <c r="H229" s="139">
        <v>10.162000000000001</v>
      </c>
      <c r="I229" s="33">
        <v>45608</v>
      </c>
      <c r="J229" s="37">
        <v>0.32250000000000001</v>
      </c>
      <c r="K229">
        <v>0</v>
      </c>
      <c r="L229">
        <v>0</v>
      </c>
      <c r="M229">
        <v>0</v>
      </c>
      <c r="N229" s="30">
        <f t="shared" si="98"/>
        <v>10.1546</v>
      </c>
      <c r="P229">
        <v>0</v>
      </c>
      <c r="Q229" t="s">
        <v>16</v>
      </c>
      <c r="R229">
        <v>13056</v>
      </c>
      <c r="S229">
        <v>256</v>
      </c>
      <c r="T229">
        <v>2</v>
      </c>
      <c r="U229">
        <v>2</v>
      </c>
      <c r="V229">
        <v>137.61000000000001</v>
      </c>
      <c r="W229" s="139">
        <v>10.782999999999999</v>
      </c>
      <c r="X229" s="33">
        <v>45608</v>
      </c>
      <c r="Y229" s="37">
        <v>0.3260763888888889</v>
      </c>
      <c r="Z229">
        <v>0</v>
      </c>
      <c r="AA229">
        <v>0</v>
      </c>
      <c r="AB229">
        <v>0</v>
      </c>
      <c r="AC229" s="30">
        <f t="shared" si="99"/>
        <v>10.786000000000001</v>
      </c>
    </row>
    <row r="230" spans="1:29" x14ac:dyDescent="0.25">
      <c r="A230">
        <v>1</v>
      </c>
      <c r="B230" t="s">
        <v>16</v>
      </c>
      <c r="C230">
        <v>13056</v>
      </c>
      <c r="D230">
        <v>256</v>
      </c>
      <c r="E230">
        <v>2</v>
      </c>
      <c r="F230">
        <v>2</v>
      </c>
      <c r="G230">
        <v>146.11000000000001</v>
      </c>
      <c r="H230" s="139">
        <v>10.156000000000001</v>
      </c>
      <c r="I230" s="33">
        <v>45608</v>
      </c>
      <c r="J230" s="37">
        <v>0.37755787037037036</v>
      </c>
      <c r="K230">
        <v>0</v>
      </c>
      <c r="L230">
        <v>0</v>
      </c>
      <c r="M230">
        <v>0</v>
      </c>
      <c r="N230" s="30">
        <f t="shared" si="100"/>
        <v>10.1546</v>
      </c>
      <c r="P230">
        <v>1</v>
      </c>
      <c r="Q230" t="s">
        <v>16</v>
      </c>
      <c r="R230">
        <v>13056</v>
      </c>
      <c r="S230">
        <v>256</v>
      </c>
      <c r="T230">
        <v>2</v>
      </c>
      <c r="U230">
        <v>2</v>
      </c>
      <c r="V230">
        <v>137.52000000000001</v>
      </c>
      <c r="W230" s="139">
        <v>10.79</v>
      </c>
      <c r="X230" s="33">
        <v>45608</v>
      </c>
      <c r="Y230" s="37">
        <v>0.38674768518518521</v>
      </c>
      <c r="Z230">
        <v>0</v>
      </c>
      <c r="AA230">
        <v>0</v>
      </c>
      <c r="AB230">
        <v>0</v>
      </c>
      <c r="AC230" s="30">
        <f t="shared" si="101"/>
        <v>10.786000000000001</v>
      </c>
    </row>
    <row r="231" spans="1:29" x14ac:dyDescent="0.25">
      <c r="A231">
        <v>2</v>
      </c>
      <c r="B231" t="s">
        <v>16</v>
      </c>
      <c r="C231">
        <v>13056</v>
      </c>
      <c r="D231">
        <v>256</v>
      </c>
      <c r="E231">
        <v>2</v>
      </c>
      <c r="F231">
        <v>2</v>
      </c>
      <c r="G231">
        <v>146.29</v>
      </c>
      <c r="H231" s="139">
        <v>10.144</v>
      </c>
      <c r="I231" s="33">
        <v>45608</v>
      </c>
      <c r="J231" s="37">
        <v>0.43255787037037036</v>
      </c>
      <c r="K231">
        <v>0</v>
      </c>
      <c r="L231">
        <v>0</v>
      </c>
      <c r="M231">
        <v>0</v>
      </c>
      <c r="N231" s="30">
        <f t="shared" si="100"/>
        <v>10.1546</v>
      </c>
      <c r="P231">
        <v>2</v>
      </c>
      <c r="Q231" t="s">
        <v>16</v>
      </c>
      <c r="R231">
        <v>13056</v>
      </c>
      <c r="S231">
        <v>256</v>
      </c>
      <c r="T231">
        <v>2</v>
      </c>
      <c r="U231">
        <v>2</v>
      </c>
      <c r="V231">
        <v>137.47999999999999</v>
      </c>
      <c r="W231" s="139">
        <v>10.794</v>
      </c>
      <c r="X231" s="33">
        <v>45608</v>
      </c>
      <c r="Y231" s="37">
        <v>0.44743055555555555</v>
      </c>
      <c r="Z231">
        <v>0</v>
      </c>
      <c r="AA231">
        <v>0</v>
      </c>
      <c r="AB231">
        <v>0</v>
      </c>
      <c r="AC231" s="30">
        <f t="shared" si="101"/>
        <v>10.786000000000001</v>
      </c>
    </row>
    <row r="232" spans="1:29" x14ac:dyDescent="0.25">
      <c r="A232">
        <v>3</v>
      </c>
      <c r="B232" t="s">
        <v>16</v>
      </c>
      <c r="C232">
        <v>13056</v>
      </c>
      <c r="D232">
        <v>256</v>
      </c>
      <c r="E232">
        <v>2</v>
      </c>
      <c r="F232">
        <v>2</v>
      </c>
      <c r="G232">
        <v>146.19999999999999</v>
      </c>
      <c r="H232" s="139">
        <v>10.15</v>
      </c>
      <c r="I232" s="33">
        <v>45608</v>
      </c>
      <c r="J232" s="37">
        <v>0.48754629629629631</v>
      </c>
      <c r="K232">
        <v>0</v>
      </c>
      <c r="L232">
        <v>0</v>
      </c>
      <c r="M232">
        <v>0</v>
      </c>
      <c r="N232" s="30">
        <f t="shared" si="100"/>
        <v>10.1546</v>
      </c>
      <c r="P232">
        <v>3</v>
      </c>
      <c r="Q232" t="s">
        <v>16</v>
      </c>
      <c r="R232">
        <v>13056</v>
      </c>
      <c r="S232">
        <v>256</v>
      </c>
      <c r="T232">
        <v>2</v>
      </c>
      <c r="U232">
        <v>2</v>
      </c>
      <c r="V232">
        <v>137.78</v>
      </c>
      <c r="W232" s="139">
        <v>10.771000000000001</v>
      </c>
      <c r="X232" s="33">
        <v>45608</v>
      </c>
      <c r="Y232" s="37">
        <v>0.50810185185185186</v>
      </c>
      <c r="Z232">
        <v>0</v>
      </c>
      <c r="AA232">
        <v>0</v>
      </c>
      <c r="AB232">
        <v>0</v>
      </c>
      <c r="AC232" s="30">
        <f t="shared" si="101"/>
        <v>10.786000000000001</v>
      </c>
    </row>
    <row r="233" spans="1:29" x14ac:dyDescent="0.25">
      <c r="A233">
        <v>4</v>
      </c>
      <c r="B233" t="s">
        <v>16</v>
      </c>
      <c r="C233">
        <v>13056</v>
      </c>
      <c r="D233">
        <v>256</v>
      </c>
      <c r="E233">
        <v>2</v>
      </c>
      <c r="F233">
        <v>2</v>
      </c>
      <c r="G233">
        <v>146.05000000000001</v>
      </c>
      <c r="H233" s="139">
        <v>10.161</v>
      </c>
      <c r="I233" s="33">
        <v>45608</v>
      </c>
      <c r="J233" s="37">
        <v>0.59064814814814814</v>
      </c>
      <c r="K233">
        <v>0</v>
      </c>
      <c r="L233">
        <v>0</v>
      </c>
      <c r="M233">
        <v>0</v>
      </c>
      <c r="N233" s="30">
        <f t="shared" si="100"/>
        <v>10.1546</v>
      </c>
      <c r="P233">
        <v>4</v>
      </c>
      <c r="Q233" t="s">
        <v>16</v>
      </c>
      <c r="R233">
        <v>13056</v>
      </c>
      <c r="S233">
        <v>256</v>
      </c>
      <c r="T233">
        <v>2</v>
      </c>
      <c r="U233">
        <v>2</v>
      </c>
      <c r="V233">
        <v>137.5</v>
      </c>
      <c r="W233" s="139">
        <v>10.792</v>
      </c>
      <c r="X233" s="33">
        <v>45608</v>
      </c>
      <c r="Y233" s="37">
        <v>0.61833333333333329</v>
      </c>
      <c r="Z233">
        <v>0</v>
      </c>
      <c r="AA233">
        <v>0</v>
      </c>
      <c r="AB233">
        <v>0</v>
      </c>
      <c r="AC233" s="30">
        <f t="shared" si="101"/>
        <v>10.786000000000001</v>
      </c>
    </row>
    <row r="234" spans="1:29" x14ac:dyDescent="0.25">
      <c r="A234">
        <v>0</v>
      </c>
      <c r="B234" t="s">
        <v>16</v>
      </c>
      <c r="C234">
        <v>13824</v>
      </c>
      <c r="D234">
        <v>256</v>
      </c>
      <c r="E234">
        <v>2</v>
      </c>
      <c r="F234">
        <v>2</v>
      </c>
      <c r="G234">
        <v>174.1</v>
      </c>
      <c r="H234" s="139">
        <v>10.118</v>
      </c>
      <c r="I234" s="33">
        <v>45608</v>
      </c>
      <c r="J234" s="37">
        <v>0.34119212962962964</v>
      </c>
      <c r="K234">
        <v>0</v>
      </c>
      <c r="L234">
        <v>0</v>
      </c>
      <c r="M234">
        <v>0</v>
      </c>
      <c r="N234" s="30">
        <f t="shared" si="98"/>
        <v>10.130599999999998</v>
      </c>
      <c r="P234">
        <v>0</v>
      </c>
      <c r="Q234" t="s">
        <v>16</v>
      </c>
      <c r="R234">
        <v>13824</v>
      </c>
      <c r="S234">
        <v>256</v>
      </c>
      <c r="T234">
        <v>2</v>
      </c>
      <c r="U234">
        <v>2</v>
      </c>
      <c r="V234">
        <v>163.63</v>
      </c>
      <c r="W234" s="139">
        <v>10.765000000000001</v>
      </c>
      <c r="X234" s="33">
        <v>45608</v>
      </c>
      <c r="Y234" s="37">
        <v>0.34634259259259259</v>
      </c>
      <c r="Z234">
        <v>0</v>
      </c>
      <c r="AA234">
        <v>0</v>
      </c>
      <c r="AB234">
        <v>0</v>
      </c>
      <c r="AC234" s="30">
        <f t="shared" si="99"/>
        <v>10.764200000000001</v>
      </c>
    </row>
    <row r="235" spans="1:29" x14ac:dyDescent="0.25">
      <c r="A235">
        <v>1</v>
      </c>
      <c r="B235" t="s">
        <v>16</v>
      </c>
      <c r="C235">
        <v>13824</v>
      </c>
      <c r="D235">
        <v>256</v>
      </c>
      <c r="E235">
        <v>2</v>
      </c>
      <c r="F235">
        <v>2</v>
      </c>
      <c r="G235">
        <v>173.91</v>
      </c>
      <c r="H235" s="139">
        <v>10.129</v>
      </c>
      <c r="I235" s="33">
        <v>45608</v>
      </c>
      <c r="J235" s="37">
        <v>0.39624999999999999</v>
      </c>
      <c r="K235">
        <v>0</v>
      </c>
      <c r="L235">
        <v>0</v>
      </c>
      <c r="M235">
        <v>0</v>
      </c>
      <c r="N235" s="30">
        <f t="shared" si="100"/>
        <v>10.130599999999998</v>
      </c>
      <c r="P235">
        <v>1</v>
      </c>
      <c r="Q235" t="s">
        <v>16</v>
      </c>
      <c r="R235">
        <v>13824</v>
      </c>
      <c r="S235">
        <v>256</v>
      </c>
      <c r="T235">
        <v>2</v>
      </c>
      <c r="U235">
        <v>2</v>
      </c>
      <c r="V235">
        <v>163.49</v>
      </c>
      <c r="W235" s="139">
        <v>10.773999999999999</v>
      </c>
      <c r="X235" s="33">
        <v>45608</v>
      </c>
      <c r="Y235" s="37">
        <v>0.40702546296296294</v>
      </c>
      <c r="Z235">
        <v>0</v>
      </c>
      <c r="AA235">
        <v>0</v>
      </c>
      <c r="AB235">
        <v>0</v>
      </c>
      <c r="AC235" s="30">
        <f t="shared" si="101"/>
        <v>10.764200000000001</v>
      </c>
    </row>
    <row r="236" spans="1:29" x14ac:dyDescent="0.25">
      <c r="A236">
        <v>2</v>
      </c>
      <c r="B236" t="s">
        <v>16</v>
      </c>
      <c r="C236">
        <v>13824</v>
      </c>
      <c r="D236">
        <v>256</v>
      </c>
      <c r="E236">
        <v>2</v>
      </c>
      <c r="F236">
        <v>2</v>
      </c>
      <c r="G236">
        <v>173.79</v>
      </c>
      <c r="H236" s="139">
        <v>10.135999999999999</v>
      </c>
      <c r="I236" s="33">
        <v>45608</v>
      </c>
      <c r="J236" s="37">
        <v>0.45123842592592595</v>
      </c>
      <c r="K236">
        <v>0</v>
      </c>
      <c r="L236">
        <v>0</v>
      </c>
      <c r="M236">
        <v>0</v>
      </c>
      <c r="N236" s="30">
        <f t="shared" si="100"/>
        <v>10.130599999999998</v>
      </c>
      <c r="P236">
        <v>2</v>
      </c>
      <c r="Q236" t="s">
        <v>16</v>
      </c>
      <c r="R236">
        <v>13824</v>
      </c>
      <c r="S236">
        <v>256</v>
      </c>
      <c r="T236">
        <v>2</v>
      </c>
      <c r="U236">
        <v>2</v>
      </c>
      <c r="V236">
        <v>163.44999999999999</v>
      </c>
      <c r="W236" s="139">
        <v>10.776999999999999</v>
      </c>
      <c r="X236" s="33">
        <v>45608</v>
      </c>
      <c r="Y236" s="37">
        <v>0.46769675925925924</v>
      </c>
      <c r="Z236">
        <v>0</v>
      </c>
      <c r="AA236">
        <v>0</v>
      </c>
      <c r="AB236">
        <v>0</v>
      </c>
      <c r="AC236" s="30">
        <f t="shared" si="101"/>
        <v>10.764200000000001</v>
      </c>
    </row>
    <row r="237" spans="1:29" x14ac:dyDescent="0.25">
      <c r="A237">
        <v>3</v>
      </c>
      <c r="B237" t="s">
        <v>16</v>
      </c>
      <c r="C237">
        <v>13824</v>
      </c>
      <c r="D237">
        <v>256</v>
      </c>
      <c r="E237">
        <v>2</v>
      </c>
      <c r="F237">
        <v>2</v>
      </c>
      <c r="G237">
        <v>173.83</v>
      </c>
      <c r="H237" s="139">
        <v>10.134</v>
      </c>
      <c r="I237" s="33">
        <v>45608</v>
      </c>
      <c r="J237" s="37">
        <v>0.50623842592592594</v>
      </c>
      <c r="K237">
        <v>0</v>
      </c>
      <c r="L237">
        <v>0</v>
      </c>
      <c r="M237">
        <v>0</v>
      </c>
      <c r="N237" s="30">
        <f t="shared" si="100"/>
        <v>10.130599999999998</v>
      </c>
      <c r="P237">
        <v>3</v>
      </c>
      <c r="Q237" t="s">
        <v>16</v>
      </c>
      <c r="R237">
        <v>13824</v>
      </c>
      <c r="S237">
        <v>256</v>
      </c>
      <c r="T237">
        <v>2</v>
      </c>
      <c r="U237">
        <v>2</v>
      </c>
      <c r="V237">
        <v>164.12</v>
      </c>
      <c r="W237" s="139">
        <v>10.733000000000001</v>
      </c>
      <c r="X237" s="33">
        <v>45608</v>
      </c>
      <c r="Y237" s="37">
        <v>0.57789351851851856</v>
      </c>
      <c r="Z237">
        <v>0</v>
      </c>
      <c r="AA237">
        <v>0</v>
      </c>
      <c r="AB237">
        <v>0</v>
      </c>
      <c r="AC237" s="30">
        <f t="shared" si="101"/>
        <v>10.764200000000001</v>
      </c>
    </row>
    <row r="238" spans="1:29" x14ac:dyDescent="0.25">
      <c r="A238">
        <v>4</v>
      </c>
      <c r="B238" t="s">
        <v>16</v>
      </c>
      <c r="C238">
        <v>13824</v>
      </c>
      <c r="D238">
        <v>256</v>
      </c>
      <c r="E238">
        <v>2</v>
      </c>
      <c r="F238">
        <v>2</v>
      </c>
      <c r="G238">
        <v>173.79</v>
      </c>
      <c r="H238" s="139">
        <v>10.135999999999999</v>
      </c>
      <c r="I238" s="33">
        <v>45608</v>
      </c>
      <c r="J238" s="37">
        <v>0.60934027777777777</v>
      </c>
      <c r="K238">
        <v>0</v>
      </c>
      <c r="L238">
        <v>0</v>
      </c>
      <c r="M238">
        <v>0</v>
      </c>
      <c r="N238" s="30">
        <f t="shared" si="100"/>
        <v>10.130599999999998</v>
      </c>
      <c r="P238">
        <v>4</v>
      </c>
      <c r="Q238" t="s">
        <v>16</v>
      </c>
      <c r="R238">
        <v>13824</v>
      </c>
      <c r="S238">
        <v>256</v>
      </c>
      <c r="T238">
        <v>2</v>
      </c>
      <c r="U238">
        <v>2</v>
      </c>
      <c r="V238">
        <v>163.53</v>
      </c>
      <c r="W238" s="139">
        <v>10.772</v>
      </c>
      <c r="X238" s="33">
        <v>45608</v>
      </c>
      <c r="Y238" s="37">
        <v>0.63859953703703709</v>
      </c>
      <c r="Z238">
        <v>0</v>
      </c>
      <c r="AA238">
        <v>0</v>
      </c>
      <c r="AB238">
        <v>0</v>
      </c>
      <c r="AC238" s="30">
        <f t="shared" si="101"/>
        <v>10.764200000000001</v>
      </c>
    </row>
    <row r="239" spans="1:29" x14ac:dyDescent="0.25">
      <c r="A239">
        <v>0</v>
      </c>
      <c r="B239" t="s">
        <v>16</v>
      </c>
      <c r="C239">
        <v>14592</v>
      </c>
      <c r="D239">
        <v>256</v>
      </c>
      <c r="E239">
        <v>2</v>
      </c>
      <c r="F239">
        <v>2</v>
      </c>
      <c r="G239">
        <v>201.86</v>
      </c>
      <c r="H239" s="139">
        <v>10.263</v>
      </c>
      <c r="I239" s="33">
        <v>45608</v>
      </c>
      <c r="J239" s="37">
        <v>0.36223379629629632</v>
      </c>
      <c r="K239">
        <v>0</v>
      </c>
      <c r="L239">
        <v>0</v>
      </c>
      <c r="M239">
        <v>0</v>
      </c>
      <c r="N239" s="30">
        <f t="shared" si="98"/>
        <v>10.326600000000001</v>
      </c>
      <c r="P239">
        <v>0</v>
      </c>
      <c r="Q239" t="s">
        <v>16</v>
      </c>
      <c r="R239">
        <v>14592</v>
      </c>
      <c r="S239">
        <v>256</v>
      </c>
      <c r="T239">
        <v>2</v>
      </c>
      <c r="U239">
        <v>2</v>
      </c>
      <c r="V239">
        <v>189.54</v>
      </c>
      <c r="W239" s="139">
        <v>10.93</v>
      </c>
      <c r="X239" s="33">
        <v>45608</v>
      </c>
      <c r="Y239" s="37">
        <v>0.36953703703703705</v>
      </c>
      <c r="Z239">
        <v>0</v>
      </c>
      <c r="AA239">
        <v>0</v>
      </c>
      <c r="AB239">
        <v>0</v>
      </c>
      <c r="AC239" s="30">
        <f t="shared" si="99"/>
        <v>10.9552</v>
      </c>
    </row>
    <row r="240" spans="1:29" x14ac:dyDescent="0.25">
      <c r="A240">
        <v>1</v>
      </c>
      <c r="B240" t="s">
        <v>16</v>
      </c>
      <c r="C240">
        <v>14592</v>
      </c>
      <c r="D240">
        <v>256</v>
      </c>
      <c r="E240">
        <v>2</v>
      </c>
      <c r="F240">
        <v>2</v>
      </c>
      <c r="G240">
        <v>199.93</v>
      </c>
      <c r="H240" s="139">
        <v>10.362</v>
      </c>
      <c r="I240" s="33">
        <v>45608</v>
      </c>
      <c r="J240" s="37">
        <v>0.41723379629629631</v>
      </c>
      <c r="K240">
        <v>0</v>
      </c>
      <c r="L240">
        <v>0</v>
      </c>
      <c r="M240">
        <v>0</v>
      </c>
      <c r="N240" s="30">
        <f t="shared" si="100"/>
        <v>10.326600000000001</v>
      </c>
      <c r="P240">
        <v>1</v>
      </c>
      <c r="Q240" t="s">
        <v>16</v>
      </c>
      <c r="R240">
        <v>14592</v>
      </c>
      <c r="S240">
        <v>256</v>
      </c>
      <c r="T240">
        <v>2</v>
      </c>
      <c r="U240">
        <v>2</v>
      </c>
      <c r="V240">
        <v>189.1</v>
      </c>
      <c r="W240" s="139">
        <v>10.955</v>
      </c>
      <c r="X240" s="33">
        <v>45608</v>
      </c>
      <c r="Y240" s="37">
        <v>0.4302199074074074</v>
      </c>
      <c r="Z240">
        <v>0</v>
      </c>
      <c r="AA240">
        <v>0</v>
      </c>
      <c r="AB240">
        <v>0</v>
      </c>
      <c r="AC240" s="30">
        <f t="shared" si="101"/>
        <v>10.9552</v>
      </c>
    </row>
    <row r="241" spans="1:29" x14ac:dyDescent="0.25">
      <c r="A241">
        <v>2</v>
      </c>
      <c r="B241" t="s">
        <v>16</v>
      </c>
      <c r="C241">
        <v>14592</v>
      </c>
      <c r="D241">
        <v>256</v>
      </c>
      <c r="E241">
        <v>2</v>
      </c>
      <c r="F241">
        <v>2</v>
      </c>
      <c r="G241">
        <v>201.2</v>
      </c>
      <c r="H241" s="139">
        <v>10.297000000000001</v>
      </c>
      <c r="I241" s="33">
        <v>45608</v>
      </c>
      <c r="J241" s="37">
        <v>0.4722337962962963</v>
      </c>
      <c r="K241">
        <v>0</v>
      </c>
      <c r="L241">
        <v>0</v>
      </c>
      <c r="M241">
        <v>0</v>
      </c>
      <c r="N241" s="30">
        <f t="shared" si="100"/>
        <v>10.326600000000001</v>
      </c>
      <c r="P241">
        <v>2</v>
      </c>
      <c r="Q241" t="s">
        <v>16</v>
      </c>
      <c r="R241">
        <v>14592</v>
      </c>
      <c r="S241">
        <v>256</v>
      </c>
      <c r="T241">
        <v>2</v>
      </c>
      <c r="U241">
        <v>2</v>
      </c>
      <c r="V241">
        <v>189.48</v>
      </c>
      <c r="W241" s="139">
        <v>10.933</v>
      </c>
      <c r="X241" s="33">
        <v>45608</v>
      </c>
      <c r="Y241" s="37">
        <v>0.4909027777777778</v>
      </c>
      <c r="Z241">
        <v>0</v>
      </c>
      <c r="AA241">
        <v>0</v>
      </c>
      <c r="AB241">
        <v>0</v>
      </c>
      <c r="AC241" s="30">
        <f t="shared" si="101"/>
        <v>10.9552</v>
      </c>
    </row>
    <row r="242" spans="1:29" x14ac:dyDescent="0.25">
      <c r="A242">
        <v>3</v>
      </c>
      <c r="B242" t="s">
        <v>16</v>
      </c>
      <c r="C242">
        <v>14592</v>
      </c>
      <c r="D242">
        <v>256</v>
      </c>
      <c r="E242">
        <v>2</v>
      </c>
      <c r="F242">
        <v>2</v>
      </c>
      <c r="G242">
        <v>200.15</v>
      </c>
      <c r="H242" s="139">
        <v>10.351000000000001</v>
      </c>
      <c r="I242" s="33">
        <v>45608</v>
      </c>
      <c r="J242" s="37">
        <v>0.57533564814814819</v>
      </c>
      <c r="K242">
        <v>0</v>
      </c>
      <c r="L242">
        <v>0</v>
      </c>
      <c r="M242">
        <v>0</v>
      </c>
      <c r="N242" s="30">
        <f t="shared" si="100"/>
        <v>10.326600000000001</v>
      </c>
      <c r="P242">
        <v>3</v>
      </c>
      <c r="Q242" t="s">
        <v>16</v>
      </c>
      <c r="R242">
        <v>14592</v>
      </c>
      <c r="S242">
        <v>256</v>
      </c>
      <c r="T242">
        <v>2</v>
      </c>
      <c r="U242">
        <v>2</v>
      </c>
      <c r="V242">
        <v>188.6</v>
      </c>
      <c r="W242" s="139">
        <v>10.984</v>
      </c>
      <c r="X242" s="33">
        <v>45608</v>
      </c>
      <c r="Y242" s="37">
        <v>0.60111111111111115</v>
      </c>
      <c r="Z242">
        <v>0</v>
      </c>
      <c r="AA242">
        <v>0</v>
      </c>
      <c r="AB242">
        <v>0</v>
      </c>
      <c r="AC242" s="30">
        <f t="shared" si="101"/>
        <v>10.9552</v>
      </c>
    </row>
    <row r="243" spans="1:29" x14ac:dyDescent="0.25">
      <c r="A243">
        <v>4</v>
      </c>
      <c r="B243" t="s">
        <v>16</v>
      </c>
      <c r="C243">
        <v>14592</v>
      </c>
      <c r="D243">
        <v>256</v>
      </c>
      <c r="E243">
        <v>2</v>
      </c>
      <c r="F243">
        <v>2</v>
      </c>
      <c r="G243">
        <v>199.96</v>
      </c>
      <c r="H243" s="139">
        <v>10.36</v>
      </c>
      <c r="I243" s="33">
        <v>45608</v>
      </c>
      <c r="J243" s="37">
        <v>0.6303009259259259</v>
      </c>
      <c r="K243">
        <v>0</v>
      </c>
      <c r="L243">
        <v>0</v>
      </c>
      <c r="M243">
        <v>0</v>
      </c>
      <c r="N243" s="30">
        <f t="shared" si="100"/>
        <v>10.326600000000001</v>
      </c>
      <c r="P243">
        <v>4</v>
      </c>
      <c r="Q243" t="s">
        <v>16</v>
      </c>
      <c r="R243">
        <v>14592</v>
      </c>
      <c r="S243">
        <v>256</v>
      </c>
      <c r="T243">
        <v>2</v>
      </c>
      <c r="U243">
        <v>2</v>
      </c>
      <c r="V243">
        <v>188.77</v>
      </c>
      <c r="W243" s="139">
        <v>10.974</v>
      </c>
      <c r="X243" s="33">
        <v>45608</v>
      </c>
      <c r="Y243" s="37">
        <v>0.66182870370370372</v>
      </c>
      <c r="Z243">
        <v>0</v>
      </c>
      <c r="AA243">
        <v>0</v>
      </c>
      <c r="AB243">
        <v>0</v>
      </c>
      <c r="AC243" s="30">
        <f t="shared" si="101"/>
        <v>10.9552</v>
      </c>
    </row>
    <row r="244" spans="1:29" x14ac:dyDescent="0.25">
      <c r="A244">
        <v>0</v>
      </c>
      <c r="B244" t="s">
        <v>16</v>
      </c>
      <c r="C244">
        <v>14592</v>
      </c>
      <c r="D244">
        <v>152</v>
      </c>
      <c r="E244">
        <v>2</v>
      </c>
      <c r="F244">
        <v>2</v>
      </c>
      <c r="G244">
        <v>202.1</v>
      </c>
      <c r="H244" s="17">
        <v>10.250999999999999</v>
      </c>
      <c r="I244" s="33">
        <v>45411</v>
      </c>
      <c r="J244" s="37">
        <v>0.95400462962962962</v>
      </c>
      <c r="K244">
        <v>0</v>
      </c>
      <c r="L244">
        <v>0</v>
      </c>
      <c r="M244">
        <v>0</v>
      </c>
      <c r="N244" s="30">
        <f t="shared" ref="N244" si="102">AVERAGE(H244:H248)</f>
        <v>10.398199999999999</v>
      </c>
      <c r="P244">
        <v>0</v>
      </c>
      <c r="Q244" t="s">
        <v>16</v>
      </c>
      <c r="R244">
        <v>14544</v>
      </c>
      <c r="S244">
        <v>144</v>
      </c>
      <c r="T244">
        <v>2</v>
      </c>
      <c r="U244">
        <v>2</v>
      </c>
      <c r="V244">
        <v>181.96</v>
      </c>
      <c r="W244" s="17">
        <v>11.273</v>
      </c>
      <c r="X244" s="33">
        <v>45413</v>
      </c>
      <c r="Y244" s="37">
        <v>0.16216435185185185</v>
      </c>
      <c r="Z244">
        <v>0</v>
      </c>
      <c r="AA244">
        <v>0</v>
      </c>
      <c r="AB244">
        <v>0</v>
      </c>
      <c r="AC244" s="30">
        <f t="shared" ref="AC244" si="103">AVERAGE(W244:W248)</f>
        <v>11.258599999999999</v>
      </c>
    </row>
    <row r="245" spans="1:29" x14ac:dyDescent="0.25">
      <c r="A245">
        <v>0</v>
      </c>
      <c r="B245" t="s">
        <v>16</v>
      </c>
      <c r="C245">
        <v>14616</v>
      </c>
      <c r="D245">
        <v>168</v>
      </c>
      <c r="E245">
        <v>2</v>
      </c>
      <c r="F245">
        <v>2</v>
      </c>
      <c r="G245">
        <v>200.47</v>
      </c>
      <c r="H245" s="17">
        <v>10.385</v>
      </c>
      <c r="I245" s="33">
        <v>45411</v>
      </c>
      <c r="J245" s="37">
        <v>0.95651620370370372</v>
      </c>
      <c r="K245">
        <v>0</v>
      </c>
      <c r="L245">
        <v>0</v>
      </c>
      <c r="M245">
        <v>0</v>
      </c>
      <c r="N245" s="30">
        <f t="shared" ref="N245" si="104">N244</f>
        <v>10.398199999999999</v>
      </c>
      <c r="P245">
        <v>1</v>
      </c>
      <c r="Q245" t="s">
        <v>16</v>
      </c>
      <c r="R245">
        <v>14544</v>
      </c>
      <c r="S245">
        <v>144</v>
      </c>
      <c r="T245">
        <v>2</v>
      </c>
      <c r="U245">
        <v>2</v>
      </c>
      <c r="V245">
        <v>182.29</v>
      </c>
      <c r="W245" s="17">
        <v>11.253</v>
      </c>
      <c r="X245" s="33">
        <v>45413</v>
      </c>
      <c r="Y245" s="37">
        <v>0.18471064814814814</v>
      </c>
      <c r="Z245">
        <v>0</v>
      </c>
      <c r="AA245">
        <v>0</v>
      </c>
      <c r="AB245">
        <v>0</v>
      </c>
      <c r="AC245" s="30">
        <f t="shared" ref="AC245" si="105">AC244</f>
        <v>11.258599999999999</v>
      </c>
    </row>
    <row r="246" spans="1:29" x14ac:dyDescent="0.25">
      <c r="A246">
        <v>0</v>
      </c>
      <c r="B246" t="s">
        <v>16</v>
      </c>
      <c r="C246">
        <v>14544</v>
      </c>
      <c r="D246">
        <v>144</v>
      </c>
      <c r="E246">
        <v>2</v>
      </c>
      <c r="F246">
        <v>2</v>
      </c>
      <c r="G246">
        <v>195.97</v>
      </c>
      <c r="H246" s="17">
        <v>10.468</v>
      </c>
      <c r="I246" s="33">
        <v>45411</v>
      </c>
      <c r="J246" s="37">
        <v>0.95895833333333336</v>
      </c>
      <c r="K246">
        <v>0</v>
      </c>
      <c r="L246">
        <v>0</v>
      </c>
      <c r="M246">
        <v>0</v>
      </c>
      <c r="N246" s="30">
        <f>N245</f>
        <v>10.398199999999999</v>
      </c>
      <c r="P246">
        <v>2</v>
      </c>
      <c r="Q246" t="s">
        <v>16</v>
      </c>
      <c r="R246">
        <v>14544</v>
      </c>
      <c r="S246">
        <v>144</v>
      </c>
      <c r="T246">
        <v>2</v>
      </c>
      <c r="U246">
        <v>2</v>
      </c>
      <c r="V246">
        <v>182.27</v>
      </c>
      <c r="W246" s="17">
        <v>11.254</v>
      </c>
      <c r="X246" s="33">
        <v>45413</v>
      </c>
      <c r="Y246" s="37">
        <v>0.19871527777777778</v>
      </c>
      <c r="Z246">
        <v>0</v>
      </c>
      <c r="AA246">
        <v>0</v>
      </c>
      <c r="AB246">
        <v>0</v>
      </c>
      <c r="AC246" s="30">
        <f>AC245</f>
        <v>11.258599999999999</v>
      </c>
    </row>
    <row r="247" spans="1:29" x14ac:dyDescent="0.25">
      <c r="A247">
        <v>0</v>
      </c>
      <c r="B247" t="s">
        <v>16</v>
      </c>
      <c r="C247">
        <v>14608</v>
      </c>
      <c r="D247">
        <v>176</v>
      </c>
      <c r="E247">
        <v>2</v>
      </c>
      <c r="F247">
        <v>2</v>
      </c>
      <c r="G247">
        <v>198.34</v>
      </c>
      <c r="H247" s="17">
        <v>10.478999999999999</v>
      </c>
      <c r="I247" s="33">
        <v>45411</v>
      </c>
      <c r="J247" s="37">
        <v>0.96142361111111108</v>
      </c>
      <c r="K247">
        <v>0</v>
      </c>
      <c r="L247">
        <v>0</v>
      </c>
      <c r="M247">
        <v>0</v>
      </c>
      <c r="N247" s="30">
        <f>N246</f>
        <v>10.398199999999999</v>
      </c>
      <c r="P247">
        <v>3</v>
      </c>
      <c r="Q247" t="s">
        <v>16</v>
      </c>
      <c r="R247">
        <v>14544</v>
      </c>
      <c r="S247">
        <v>144</v>
      </c>
      <c r="T247">
        <v>2</v>
      </c>
      <c r="U247">
        <v>2</v>
      </c>
      <c r="V247">
        <v>182.08</v>
      </c>
      <c r="W247" s="17">
        <v>11.266</v>
      </c>
      <c r="X247" s="33">
        <v>45413</v>
      </c>
      <c r="Y247" s="37">
        <v>0.22125</v>
      </c>
      <c r="Z247">
        <v>0</v>
      </c>
      <c r="AA247">
        <v>0</v>
      </c>
      <c r="AB247">
        <v>0</v>
      </c>
      <c r="AC247" s="30">
        <f>AC246</f>
        <v>11.258599999999999</v>
      </c>
    </row>
    <row r="248" spans="1:29" x14ac:dyDescent="0.25">
      <c r="A248">
        <v>0</v>
      </c>
      <c r="B248" t="s">
        <v>16</v>
      </c>
      <c r="C248">
        <v>14560</v>
      </c>
      <c r="D248">
        <v>224</v>
      </c>
      <c r="E248">
        <v>2</v>
      </c>
      <c r="F248">
        <v>2</v>
      </c>
      <c r="G248">
        <v>197.73</v>
      </c>
      <c r="H248" s="17">
        <v>10.407999999999999</v>
      </c>
      <c r="I248" s="33">
        <v>45411</v>
      </c>
      <c r="J248" s="37">
        <v>0.96388888888888891</v>
      </c>
      <c r="K248">
        <v>0</v>
      </c>
      <c r="L248">
        <v>0</v>
      </c>
      <c r="M248">
        <v>0</v>
      </c>
      <c r="N248" s="30">
        <f>N247</f>
        <v>10.398199999999999</v>
      </c>
      <c r="P248">
        <v>4</v>
      </c>
      <c r="Q248" t="s">
        <v>16</v>
      </c>
      <c r="R248">
        <v>14544</v>
      </c>
      <c r="S248">
        <v>144</v>
      </c>
      <c r="T248">
        <v>2</v>
      </c>
      <c r="U248">
        <v>2</v>
      </c>
      <c r="V248">
        <v>182.39</v>
      </c>
      <c r="W248" s="17">
        <v>11.247</v>
      </c>
      <c r="X248" s="33">
        <v>45413</v>
      </c>
      <c r="Y248" s="37">
        <v>0.23260416666666667</v>
      </c>
      <c r="Z248">
        <v>0</v>
      </c>
      <c r="AA248">
        <v>0</v>
      </c>
      <c r="AB248">
        <v>0</v>
      </c>
      <c r="AC248" s="30">
        <f>AC247</f>
        <v>11.258599999999999</v>
      </c>
    </row>
    <row r="249" spans="1:29" x14ac:dyDescent="0.25">
      <c r="A249">
        <v>1</v>
      </c>
      <c r="B249" t="s">
        <v>16</v>
      </c>
      <c r="C249">
        <v>14592</v>
      </c>
      <c r="D249">
        <v>152</v>
      </c>
      <c r="E249">
        <v>2</v>
      </c>
      <c r="F249">
        <v>2</v>
      </c>
      <c r="G249">
        <v>198.36</v>
      </c>
      <c r="H249" s="17">
        <v>10.444000000000001</v>
      </c>
      <c r="I249" s="33">
        <v>45411</v>
      </c>
      <c r="J249" s="37">
        <v>0.96636574074074078</v>
      </c>
      <c r="K249">
        <v>0</v>
      </c>
      <c r="L249">
        <v>0</v>
      </c>
      <c r="M249">
        <v>0</v>
      </c>
      <c r="N249" s="30">
        <f t="shared" ref="N249" si="106">AVERAGE(H249:H253)</f>
        <v>10.4688</v>
      </c>
      <c r="P249">
        <v>0</v>
      </c>
      <c r="Q249" t="s">
        <v>16</v>
      </c>
      <c r="R249">
        <v>14592</v>
      </c>
      <c r="S249">
        <v>152</v>
      </c>
      <c r="T249">
        <v>2</v>
      </c>
      <c r="U249">
        <v>2</v>
      </c>
      <c r="V249">
        <v>186.61</v>
      </c>
      <c r="W249" s="17">
        <v>11.101000000000001</v>
      </c>
      <c r="X249" s="33">
        <v>45413</v>
      </c>
      <c r="Y249" s="37">
        <v>0.16501157407407407</v>
      </c>
      <c r="Z249">
        <v>0</v>
      </c>
      <c r="AA249">
        <v>0</v>
      </c>
      <c r="AB249">
        <v>0</v>
      </c>
      <c r="AC249" s="30">
        <f t="shared" ref="AC249" si="107">AVERAGE(W249:W253)</f>
        <v>11.118199999999998</v>
      </c>
    </row>
    <row r="250" spans="1:29" x14ac:dyDescent="0.25">
      <c r="A250">
        <v>1</v>
      </c>
      <c r="B250" t="s">
        <v>16</v>
      </c>
      <c r="C250">
        <v>14616</v>
      </c>
      <c r="D250">
        <v>168</v>
      </c>
      <c r="E250">
        <v>2</v>
      </c>
      <c r="F250">
        <v>2</v>
      </c>
      <c r="G250">
        <v>198.42</v>
      </c>
      <c r="H250" s="17">
        <v>10.492000000000001</v>
      </c>
      <c r="I250" s="33">
        <v>45411</v>
      </c>
      <c r="J250" s="37">
        <v>0.96884259259259264</v>
      </c>
      <c r="K250">
        <v>0</v>
      </c>
      <c r="L250">
        <v>0</v>
      </c>
      <c r="M250">
        <v>0</v>
      </c>
      <c r="N250" s="30">
        <f t="shared" ref="N250" si="108">N249</f>
        <v>10.4688</v>
      </c>
      <c r="P250">
        <v>1</v>
      </c>
      <c r="Q250" t="s">
        <v>16</v>
      </c>
      <c r="R250">
        <v>14592</v>
      </c>
      <c r="S250">
        <v>152</v>
      </c>
      <c r="T250">
        <v>2</v>
      </c>
      <c r="U250">
        <v>2</v>
      </c>
      <c r="V250">
        <v>186.36</v>
      </c>
      <c r="W250" s="17">
        <v>11.116</v>
      </c>
      <c r="X250" s="33">
        <v>45412</v>
      </c>
      <c r="Y250" s="37">
        <v>4.1354166666666664E-2</v>
      </c>
      <c r="Z250">
        <v>0</v>
      </c>
      <c r="AA250">
        <v>0</v>
      </c>
      <c r="AB250">
        <v>173</v>
      </c>
      <c r="AC250" s="30">
        <f t="shared" ref="AC250" si="109">AC249</f>
        <v>11.118199999999998</v>
      </c>
    </row>
    <row r="251" spans="1:29" x14ac:dyDescent="0.25">
      <c r="A251">
        <v>1</v>
      </c>
      <c r="B251" t="s">
        <v>16</v>
      </c>
      <c r="C251">
        <v>14544</v>
      </c>
      <c r="D251">
        <v>144</v>
      </c>
      <c r="E251">
        <v>2</v>
      </c>
      <c r="F251">
        <v>2</v>
      </c>
      <c r="G251">
        <v>195.83</v>
      </c>
      <c r="H251" s="17">
        <v>10.475</v>
      </c>
      <c r="I251" s="33">
        <v>45411</v>
      </c>
      <c r="J251" s="37">
        <v>0.97128472222222217</v>
      </c>
      <c r="K251">
        <v>0</v>
      </c>
      <c r="L251">
        <v>0</v>
      </c>
      <c r="M251">
        <v>0</v>
      </c>
      <c r="N251" s="30">
        <f>N250</f>
        <v>10.4688</v>
      </c>
      <c r="P251">
        <v>2</v>
      </c>
      <c r="Q251" t="s">
        <v>16</v>
      </c>
      <c r="R251">
        <v>14592</v>
      </c>
      <c r="S251">
        <v>152</v>
      </c>
      <c r="T251">
        <v>2</v>
      </c>
      <c r="U251">
        <v>2</v>
      </c>
      <c r="V251">
        <v>186.27</v>
      </c>
      <c r="W251" s="17">
        <v>11.122</v>
      </c>
      <c r="X251" s="33">
        <v>45413</v>
      </c>
      <c r="Y251" s="37">
        <v>0.20155092592592594</v>
      </c>
      <c r="Z251">
        <v>0</v>
      </c>
      <c r="AA251">
        <v>0</v>
      </c>
      <c r="AB251">
        <v>0</v>
      </c>
      <c r="AC251" s="30">
        <f>AC250</f>
        <v>11.118199999999998</v>
      </c>
    </row>
    <row r="252" spans="1:29" x14ac:dyDescent="0.25">
      <c r="A252">
        <v>1</v>
      </c>
      <c r="B252" t="s">
        <v>16</v>
      </c>
      <c r="C252">
        <v>14608</v>
      </c>
      <c r="D252">
        <v>176</v>
      </c>
      <c r="E252">
        <v>2</v>
      </c>
      <c r="F252">
        <v>2</v>
      </c>
      <c r="G252">
        <v>198.19</v>
      </c>
      <c r="H252" s="17">
        <v>10.487</v>
      </c>
      <c r="I252" s="33">
        <v>45411</v>
      </c>
      <c r="J252" s="37">
        <v>0.97375</v>
      </c>
      <c r="K252">
        <v>0</v>
      </c>
      <c r="L252">
        <v>0</v>
      </c>
      <c r="M252">
        <v>0</v>
      </c>
      <c r="N252" s="30">
        <f>N251</f>
        <v>10.4688</v>
      </c>
      <c r="P252">
        <v>3</v>
      </c>
      <c r="Q252" t="s">
        <v>16</v>
      </c>
      <c r="R252">
        <v>14592</v>
      </c>
      <c r="S252">
        <v>152</v>
      </c>
      <c r="T252">
        <v>2</v>
      </c>
      <c r="U252">
        <v>2</v>
      </c>
      <c r="V252">
        <v>186.08</v>
      </c>
      <c r="W252" s="17">
        <v>11.132999999999999</v>
      </c>
      <c r="X252" s="33">
        <v>45413</v>
      </c>
      <c r="Y252" s="37">
        <v>0.22408564814814816</v>
      </c>
      <c r="Z252">
        <v>0</v>
      </c>
      <c r="AA252">
        <v>0</v>
      </c>
      <c r="AB252">
        <v>0</v>
      </c>
      <c r="AC252" s="30">
        <f>AC251</f>
        <v>11.118199999999998</v>
      </c>
    </row>
    <row r="253" spans="1:29" x14ac:dyDescent="0.25">
      <c r="A253">
        <v>1</v>
      </c>
      <c r="B253" t="s">
        <v>16</v>
      </c>
      <c r="C253">
        <v>14560</v>
      </c>
      <c r="D253">
        <v>224</v>
      </c>
      <c r="E253">
        <v>2</v>
      </c>
      <c r="F253">
        <v>2</v>
      </c>
      <c r="G253">
        <v>197.03</v>
      </c>
      <c r="H253" s="17">
        <v>10.446</v>
      </c>
      <c r="I253" s="33">
        <v>45411</v>
      </c>
      <c r="J253" s="37">
        <v>0.97620370370370368</v>
      </c>
      <c r="K253">
        <v>0</v>
      </c>
      <c r="L253">
        <v>0</v>
      </c>
      <c r="M253">
        <v>0</v>
      </c>
      <c r="N253" s="30">
        <f>N252</f>
        <v>10.4688</v>
      </c>
      <c r="P253">
        <v>4</v>
      </c>
      <c r="Q253" t="s">
        <v>16</v>
      </c>
      <c r="R253">
        <v>14592</v>
      </c>
      <c r="S253">
        <v>152</v>
      </c>
      <c r="T253">
        <v>2</v>
      </c>
      <c r="U253">
        <v>2</v>
      </c>
      <c r="V253">
        <v>186.32</v>
      </c>
      <c r="W253" s="17">
        <v>11.119</v>
      </c>
      <c r="X253" s="33">
        <v>45412</v>
      </c>
      <c r="Y253" s="37">
        <v>0.10905092592592593</v>
      </c>
      <c r="Z253">
        <v>0</v>
      </c>
      <c r="AA253">
        <v>0</v>
      </c>
      <c r="AB253">
        <v>0</v>
      </c>
      <c r="AC253" s="30">
        <f>AC252</f>
        <v>11.118199999999998</v>
      </c>
    </row>
    <row r="254" spans="1:29" x14ac:dyDescent="0.25">
      <c r="A254">
        <v>2</v>
      </c>
      <c r="B254" t="s">
        <v>16</v>
      </c>
      <c r="C254">
        <v>14592</v>
      </c>
      <c r="D254">
        <v>152</v>
      </c>
      <c r="E254">
        <v>2</v>
      </c>
      <c r="F254">
        <v>2</v>
      </c>
      <c r="G254">
        <v>198.44</v>
      </c>
      <c r="H254" s="17">
        <v>10.44</v>
      </c>
      <c r="I254" s="33">
        <v>45411</v>
      </c>
      <c r="J254" s="37">
        <v>0.97868055555555555</v>
      </c>
      <c r="K254">
        <v>0</v>
      </c>
      <c r="L254">
        <v>0</v>
      </c>
      <c r="M254">
        <v>0</v>
      </c>
      <c r="N254" s="30">
        <f t="shared" ref="N254" si="110">AVERAGE(H254:H258)</f>
        <v>10.473800000000001</v>
      </c>
      <c r="P254">
        <v>0</v>
      </c>
      <c r="Q254" t="s">
        <v>16</v>
      </c>
      <c r="R254">
        <v>14616</v>
      </c>
      <c r="S254">
        <v>168</v>
      </c>
      <c r="T254">
        <v>2</v>
      </c>
      <c r="U254">
        <v>2</v>
      </c>
      <c r="V254">
        <v>186.61</v>
      </c>
      <c r="W254" s="17">
        <v>11.157</v>
      </c>
      <c r="X254" s="33">
        <v>45413</v>
      </c>
      <c r="Y254" s="37">
        <v>0.16787037037037036</v>
      </c>
      <c r="Z254">
        <v>0</v>
      </c>
      <c r="AA254">
        <v>0</v>
      </c>
      <c r="AB254">
        <v>0</v>
      </c>
      <c r="AC254" s="30">
        <f t="shared" ref="AC254" si="111">AVERAGE(W254:W258)</f>
        <v>11.161199999999999</v>
      </c>
    </row>
    <row r="255" spans="1:29" x14ac:dyDescent="0.25">
      <c r="A255">
        <v>2</v>
      </c>
      <c r="B255" t="s">
        <v>16</v>
      </c>
      <c r="C255">
        <v>14616</v>
      </c>
      <c r="D255">
        <v>168</v>
      </c>
      <c r="E255">
        <v>2</v>
      </c>
      <c r="F255">
        <v>2</v>
      </c>
      <c r="G255">
        <v>198.39</v>
      </c>
      <c r="H255" s="17">
        <v>10.494</v>
      </c>
      <c r="I255" s="33">
        <v>45411</v>
      </c>
      <c r="J255" s="37">
        <v>0.98115740740740742</v>
      </c>
      <c r="K255">
        <v>0</v>
      </c>
      <c r="L255">
        <v>0</v>
      </c>
      <c r="M255">
        <v>0</v>
      </c>
      <c r="N255" s="30">
        <f t="shared" ref="N255" si="112">N254</f>
        <v>10.473800000000001</v>
      </c>
      <c r="P255">
        <v>1</v>
      </c>
      <c r="Q255" t="s">
        <v>16</v>
      </c>
      <c r="R255">
        <v>14616</v>
      </c>
      <c r="S255">
        <v>168</v>
      </c>
      <c r="T255">
        <v>2</v>
      </c>
      <c r="U255">
        <v>2</v>
      </c>
      <c r="V255">
        <v>186.43</v>
      </c>
      <c r="W255" s="17">
        <v>11.167</v>
      </c>
      <c r="X255" s="33">
        <v>45412</v>
      </c>
      <c r="Y255" s="37">
        <v>4.4212962962962961E-2</v>
      </c>
      <c r="Z255">
        <v>0</v>
      </c>
      <c r="AA255">
        <v>0</v>
      </c>
      <c r="AB255">
        <v>0</v>
      </c>
      <c r="AC255" s="30">
        <f t="shared" ref="AC255" si="113">AC254</f>
        <v>11.161199999999999</v>
      </c>
    </row>
    <row r="256" spans="1:29" x14ac:dyDescent="0.25">
      <c r="A256">
        <v>2</v>
      </c>
      <c r="B256" t="s">
        <v>16</v>
      </c>
      <c r="C256">
        <v>14544</v>
      </c>
      <c r="D256">
        <v>144</v>
      </c>
      <c r="E256">
        <v>2</v>
      </c>
      <c r="F256">
        <v>2</v>
      </c>
      <c r="G256">
        <v>195.83</v>
      </c>
      <c r="H256" s="17">
        <v>10.475</v>
      </c>
      <c r="I256" s="33">
        <v>45411</v>
      </c>
      <c r="J256" s="37">
        <v>0.98359953703703706</v>
      </c>
      <c r="K256">
        <v>0</v>
      </c>
      <c r="L256">
        <v>0</v>
      </c>
      <c r="M256">
        <v>0</v>
      </c>
      <c r="N256" s="30">
        <f>N255</f>
        <v>10.473800000000001</v>
      </c>
      <c r="P256">
        <v>2</v>
      </c>
      <c r="Q256" t="s">
        <v>16</v>
      </c>
      <c r="R256">
        <v>14616</v>
      </c>
      <c r="S256">
        <v>168</v>
      </c>
      <c r="T256">
        <v>2</v>
      </c>
      <c r="U256">
        <v>2</v>
      </c>
      <c r="V256">
        <v>186.43</v>
      </c>
      <c r="W256" s="17">
        <v>11.167</v>
      </c>
      <c r="X256" s="33">
        <v>45413</v>
      </c>
      <c r="Y256" s="37">
        <v>0.20440972222222223</v>
      </c>
      <c r="Z256">
        <v>0</v>
      </c>
      <c r="AA256">
        <v>0</v>
      </c>
      <c r="AB256">
        <v>0</v>
      </c>
      <c r="AC256" s="30">
        <f>AC255</f>
        <v>11.161199999999999</v>
      </c>
    </row>
    <row r="257" spans="1:29" x14ac:dyDescent="0.25">
      <c r="A257">
        <v>2</v>
      </c>
      <c r="B257" t="s">
        <v>16</v>
      </c>
      <c r="C257">
        <v>14608</v>
      </c>
      <c r="D257">
        <v>176</v>
      </c>
      <c r="E257">
        <v>2</v>
      </c>
      <c r="F257">
        <v>2</v>
      </c>
      <c r="G257">
        <v>197.99</v>
      </c>
      <c r="H257" s="17">
        <v>10.497999999999999</v>
      </c>
      <c r="I257" s="33">
        <v>45411</v>
      </c>
      <c r="J257" s="37">
        <v>0.98606481481481478</v>
      </c>
      <c r="K257">
        <v>0</v>
      </c>
      <c r="L257">
        <v>0</v>
      </c>
      <c r="M257">
        <v>0</v>
      </c>
      <c r="N257" s="30">
        <f>N256</f>
        <v>10.473800000000001</v>
      </c>
      <c r="P257">
        <v>3</v>
      </c>
      <c r="Q257" t="s">
        <v>16</v>
      </c>
      <c r="R257">
        <v>14616</v>
      </c>
      <c r="S257">
        <v>168</v>
      </c>
      <c r="T257">
        <v>2</v>
      </c>
      <c r="U257">
        <v>2</v>
      </c>
      <c r="V257">
        <v>186.79</v>
      </c>
      <c r="W257" s="17">
        <v>11.146000000000001</v>
      </c>
      <c r="X257" s="33">
        <v>45413</v>
      </c>
      <c r="Y257" s="37">
        <v>0.22695601851851852</v>
      </c>
      <c r="Z257">
        <v>0</v>
      </c>
      <c r="AA257">
        <v>0</v>
      </c>
      <c r="AB257">
        <v>0</v>
      </c>
      <c r="AC257" s="30">
        <f>AC256</f>
        <v>11.161199999999999</v>
      </c>
    </row>
    <row r="258" spans="1:29" x14ac:dyDescent="0.25">
      <c r="A258">
        <v>2</v>
      </c>
      <c r="B258" t="s">
        <v>16</v>
      </c>
      <c r="C258">
        <v>14560</v>
      </c>
      <c r="D258">
        <v>224</v>
      </c>
      <c r="E258">
        <v>2</v>
      </c>
      <c r="F258">
        <v>2</v>
      </c>
      <c r="G258">
        <v>196.72</v>
      </c>
      <c r="H258" s="17">
        <v>10.462</v>
      </c>
      <c r="I258" s="33">
        <v>45411</v>
      </c>
      <c r="J258" s="37">
        <v>0.98851851851851846</v>
      </c>
      <c r="K258">
        <v>0</v>
      </c>
      <c r="L258">
        <v>0</v>
      </c>
      <c r="M258">
        <v>0</v>
      </c>
      <c r="N258" s="30">
        <f>N257</f>
        <v>10.473800000000001</v>
      </c>
      <c r="P258">
        <v>4</v>
      </c>
      <c r="Q258" t="s">
        <v>16</v>
      </c>
      <c r="R258">
        <v>14616</v>
      </c>
      <c r="S258">
        <v>168</v>
      </c>
      <c r="T258">
        <v>2</v>
      </c>
      <c r="U258">
        <v>2</v>
      </c>
      <c r="V258">
        <v>186.4</v>
      </c>
      <c r="W258" s="17">
        <v>11.169</v>
      </c>
      <c r="X258" s="33">
        <v>45412</v>
      </c>
      <c r="Y258" s="37">
        <v>0.11190972222222222</v>
      </c>
      <c r="Z258">
        <v>0</v>
      </c>
      <c r="AA258">
        <v>0</v>
      </c>
      <c r="AB258">
        <v>0</v>
      </c>
      <c r="AC258" s="30">
        <f>AC257</f>
        <v>11.161199999999999</v>
      </c>
    </row>
    <row r="259" spans="1:29" x14ac:dyDescent="0.25">
      <c r="A259">
        <v>3</v>
      </c>
      <c r="B259" t="s">
        <v>16</v>
      </c>
      <c r="C259">
        <v>14592</v>
      </c>
      <c r="D259">
        <v>152</v>
      </c>
      <c r="E259">
        <v>2</v>
      </c>
      <c r="F259">
        <v>2</v>
      </c>
      <c r="G259">
        <v>198.48</v>
      </c>
      <c r="H259" s="17">
        <v>10.438000000000001</v>
      </c>
      <c r="I259" s="33">
        <v>45411</v>
      </c>
      <c r="J259" s="37">
        <v>0.99099537037037033</v>
      </c>
      <c r="K259">
        <v>0</v>
      </c>
      <c r="L259">
        <v>0</v>
      </c>
      <c r="M259">
        <v>0</v>
      </c>
      <c r="N259" s="30">
        <f t="shared" ref="N259" si="114">AVERAGE(H259:H263)</f>
        <v>10.475200000000001</v>
      </c>
      <c r="P259">
        <v>0</v>
      </c>
      <c r="Q259" t="s">
        <v>16</v>
      </c>
      <c r="R259">
        <v>14608</v>
      </c>
      <c r="S259">
        <v>176</v>
      </c>
      <c r="T259">
        <v>2</v>
      </c>
      <c r="U259">
        <v>2</v>
      </c>
      <c r="V259">
        <v>184.78</v>
      </c>
      <c r="W259" s="17">
        <v>11.249000000000001</v>
      </c>
      <c r="X259" s="33">
        <v>45413</v>
      </c>
      <c r="Y259" s="37">
        <v>0.17070601851851852</v>
      </c>
      <c r="Z259">
        <v>0</v>
      </c>
      <c r="AA259">
        <v>0</v>
      </c>
      <c r="AB259">
        <v>0</v>
      </c>
      <c r="AC259" s="30">
        <f t="shared" ref="AC259" si="115">AVERAGE(W259:W263)</f>
        <v>11.237</v>
      </c>
    </row>
    <row r="260" spans="1:29" x14ac:dyDescent="0.25">
      <c r="A260">
        <v>3</v>
      </c>
      <c r="B260" t="s">
        <v>16</v>
      </c>
      <c r="C260">
        <v>14616</v>
      </c>
      <c r="D260">
        <v>168</v>
      </c>
      <c r="E260">
        <v>2</v>
      </c>
      <c r="F260">
        <v>2</v>
      </c>
      <c r="G260">
        <v>198.53</v>
      </c>
      <c r="H260" s="17">
        <v>10.487</v>
      </c>
      <c r="I260" s="33">
        <v>45411</v>
      </c>
      <c r="J260" s="37">
        <v>0.9934722222222222</v>
      </c>
      <c r="K260">
        <v>0</v>
      </c>
      <c r="L260">
        <v>0</v>
      </c>
      <c r="M260">
        <v>0</v>
      </c>
      <c r="N260" s="30">
        <f t="shared" ref="N260:N268" si="116">N259</f>
        <v>10.475200000000001</v>
      </c>
      <c r="P260">
        <v>1</v>
      </c>
      <c r="Q260" t="s">
        <v>16</v>
      </c>
      <c r="R260">
        <v>14608</v>
      </c>
      <c r="S260">
        <v>176</v>
      </c>
      <c r="T260">
        <v>2</v>
      </c>
      <c r="U260">
        <v>2</v>
      </c>
      <c r="V260">
        <v>184.78</v>
      </c>
      <c r="W260" s="17">
        <v>11.247999999999999</v>
      </c>
      <c r="X260" s="33">
        <v>45412</v>
      </c>
      <c r="Y260" s="37">
        <v>4.704861111111111E-2</v>
      </c>
      <c r="Z260">
        <v>0</v>
      </c>
      <c r="AA260">
        <v>0</v>
      </c>
      <c r="AB260">
        <v>0</v>
      </c>
      <c r="AC260" s="30">
        <f t="shared" ref="AC260" si="117">AC259</f>
        <v>11.237</v>
      </c>
    </row>
    <row r="261" spans="1:29" x14ac:dyDescent="0.25">
      <c r="A261">
        <v>3</v>
      </c>
      <c r="B261" t="s">
        <v>16</v>
      </c>
      <c r="C261">
        <v>14544</v>
      </c>
      <c r="D261">
        <v>144</v>
      </c>
      <c r="E261">
        <v>2</v>
      </c>
      <c r="F261">
        <v>2</v>
      </c>
      <c r="G261">
        <v>195.89</v>
      </c>
      <c r="H261" s="17">
        <v>10.472</v>
      </c>
      <c r="I261" s="33">
        <v>45411</v>
      </c>
      <c r="J261" s="37">
        <v>0.99591435185185184</v>
      </c>
      <c r="K261">
        <v>0</v>
      </c>
      <c r="L261">
        <v>0</v>
      </c>
      <c r="M261">
        <v>0</v>
      </c>
      <c r="N261" s="30">
        <f t="shared" si="116"/>
        <v>10.475200000000001</v>
      </c>
      <c r="P261">
        <v>2</v>
      </c>
      <c r="Q261" t="s">
        <v>16</v>
      </c>
      <c r="R261">
        <v>14608</v>
      </c>
      <c r="S261">
        <v>176</v>
      </c>
      <c r="T261">
        <v>2</v>
      </c>
      <c r="U261">
        <v>2</v>
      </c>
      <c r="V261">
        <v>185.24</v>
      </c>
      <c r="W261" s="17">
        <v>11.22</v>
      </c>
      <c r="X261" s="33">
        <v>45413</v>
      </c>
      <c r="Y261" s="37">
        <v>0.20725694444444445</v>
      </c>
      <c r="Z261">
        <v>0</v>
      </c>
      <c r="AA261">
        <v>0</v>
      </c>
      <c r="AB261">
        <v>0</v>
      </c>
      <c r="AC261" s="30">
        <f>AC260</f>
        <v>11.237</v>
      </c>
    </row>
    <row r="262" spans="1:29" x14ac:dyDescent="0.25">
      <c r="A262">
        <v>3</v>
      </c>
      <c r="B262" t="s">
        <v>16</v>
      </c>
      <c r="C262">
        <v>14608</v>
      </c>
      <c r="D262">
        <v>176</v>
      </c>
      <c r="E262">
        <v>2</v>
      </c>
      <c r="F262">
        <v>2</v>
      </c>
      <c r="G262">
        <v>197.86</v>
      </c>
      <c r="H262" s="17">
        <v>10.505000000000001</v>
      </c>
      <c r="I262" s="33">
        <v>45411</v>
      </c>
      <c r="J262" s="37">
        <v>0.99837962962962967</v>
      </c>
      <c r="K262">
        <v>0</v>
      </c>
      <c r="L262">
        <v>0</v>
      </c>
      <c r="M262">
        <v>0</v>
      </c>
      <c r="N262" s="30">
        <f t="shared" si="116"/>
        <v>10.475200000000001</v>
      </c>
      <c r="P262">
        <v>3</v>
      </c>
      <c r="Q262" t="s">
        <v>16</v>
      </c>
      <c r="R262">
        <v>14608</v>
      </c>
      <c r="S262">
        <v>176</v>
      </c>
      <c r="T262">
        <v>2</v>
      </c>
      <c r="U262">
        <v>2</v>
      </c>
      <c r="V262">
        <v>185.05</v>
      </c>
      <c r="W262" s="17">
        <v>11.231999999999999</v>
      </c>
      <c r="X262" s="33">
        <v>45413</v>
      </c>
      <c r="Y262" s="37">
        <v>0.22979166666666667</v>
      </c>
      <c r="Z262">
        <v>0</v>
      </c>
      <c r="AA262">
        <v>0</v>
      </c>
      <c r="AB262">
        <v>0</v>
      </c>
      <c r="AC262" s="30">
        <f>AC261</f>
        <v>11.237</v>
      </c>
    </row>
    <row r="263" spans="1:29" x14ac:dyDescent="0.25">
      <c r="A263">
        <v>3</v>
      </c>
      <c r="B263" t="s">
        <v>16</v>
      </c>
      <c r="C263">
        <v>14560</v>
      </c>
      <c r="D263">
        <v>224</v>
      </c>
      <c r="E263">
        <v>2</v>
      </c>
      <c r="F263">
        <v>2</v>
      </c>
      <c r="G263">
        <v>196.49</v>
      </c>
      <c r="H263" s="17">
        <v>10.474</v>
      </c>
      <c r="I263" s="33">
        <v>45412</v>
      </c>
      <c r="J263" s="37">
        <v>8.3333333333333339E-4</v>
      </c>
      <c r="K263">
        <v>0</v>
      </c>
      <c r="L263">
        <v>0</v>
      </c>
      <c r="M263">
        <v>0</v>
      </c>
      <c r="N263" s="30">
        <f t="shared" si="116"/>
        <v>10.475200000000001</v>
      </c>
      <c r="P263">
        <v>4</v>
      </c>
      <c r="Q263" t="s">
        <v>16</v>
      </c>
      <c r="R263">
        <v>14608</v>
      </c>
      <c r="S263">
        <v>176</v>
      </c>
      <c r="T263">
        <v>2</v>
      </c>
      <c r="U263">
        <v>2</v>
      </c>
      <c r="V263">
        <v>184.98</v>
      </c>
      <c r="W263" s="17">
        <v>11.236000000000001</v>
      </c>
      <c r="X263" s="33">
        <v>45412</v>
      </c>
      <c r="Y263" s="37">
        <v>0.11474537037037037</v>
      </c>
      <c r="Z263">
        <v>0</v>
      </c>
      <c r="AA263">
        <v>0</v>
      </c>
      <c r="AB263">
        <v>0</v>
      </c>
      <c r="AC263" s="30">
        <f>AC262</f>
        <v>11.237</v>
      </c>
    </row>
    <row r="264" spans="1:29" x14ac:dyDescent="0.25">
      <c r="A264">
        <v>4</v>
      </c>
      <c r="B264" t="s">
        <v>16</v>
      </c>
      <c r="C264">
        <v>14592</v>
      </c>
      <c r="D264">
        <v>152</v>
      </c>
      <c r="E264">
        <v>2</v>
      </c>
      <c r="F264">
        <v>2</v>
      </c>
      <c r="G264">
        <v>198.4</v>
      </c>
      <c r="H264" s="17">
        <v>10.442</v>
      </c>
      <c r="I264" s="33">
        <v>45412</v>
      </c>
      <c r="J264" s="37">
        <v>3.2986111111111111E-3</v>
      </c>
      <c r="K264">
        <v>0</v>
      </c>
      <c r="L264">
        <v>0</v>
      </c>
      <c r="M264">
        <v>0</v>
      </c>
      <c r="N264" s="30">
        <f t="shared" ref="N264" si="118">AVERAGE(H264:H268)</f>
        <v>10.475800000000001</v>
      </c>
      <c r="P264">
        <v>0</v>
      </c>
      <c r="Q264" t="s">
        <v>16</v>
      </c>
      <c r="R264">
        <v>14536</v>
      </c>
      <c r="S264">
        <v>184</v>
      </c>
      <c r="T264">
        <v>2</v>
      </c>
      <c r="U264">
        <v>2</v>
      </c>
      <c r="V264">
        <v>182.23</v>
      </c>
      <c r="W264" s="17">
        <v>11.238</v>
      </c>
      <c r="X264" s="33">
        <v>45413</v>
      </c>
      <c r="Y264" s="37">
        <v>0.17350694444444445</v>
      </c>
      <c r="Z264">
        <v>0</v>
      </c>
      <c r="AA264">
        <v>0</v>
      </c>
      <c r="AB264">
        <v>0</v>
      </c>
      <c r="AC264" s="30">
        <f t="shared" ref="AC264" si="119">AVERAGE(W264:W268)</f>
        <v>11.2362</v>
      </c>
    </row>
    <row r="265" spans="1:29" x14ac:dyDescent="0.25">
      <c r="A265">
        <v>4</v>
      </c>
      <c r="B265" t="s">
        <v>16</v>
      </c>
      <c r="C265">
        <v>14616</v>
      </c>
      <c r="D265">
        <v>168</v>
      </c>
      <c r="E265">
        <v>2</v>
      </c>
      <c r="F265">
        <v>2</v>
      </c>
      <c r="G265">
        <v>198.4</v>
      </c>
      <c r="H265" s="17">
        <v>10.494</v>
      </c>
      <c r="I265" s="33">
        <v>45412</v>
      </c>
      <c r="J265" s="37">
        <v>5.7754629629629631E-3</v>
      </c>
      <c r="K265">
        <v>0</v>
      </c>
      <c r="L265">
        <v>0</v>
      </c>
      <c r="M265">
        <v>0</v>
      </c>
      <c r="N265" s="30">
        <f t="shared" ref="N265" si="120">N264</f>
        <v>10.475800000000001</v>
      </c>
      <c r="P265">
        <v>1</v>
      </c>
      <c r="Q265" t="s">
        <v>16</v>
      </c>
      <c r="R265">
        <v>14536</v>
      </c>
      <c r="S265">
        <v>184</v>
      </c>
      <c r="T265">
        <v>2</v>
      </c>
      <c r="U265">
        <v>2</v>
      </c>
      <c r="V265">
        <v>182.11</v>
      </c>
      <c r="W265" s="17">
        <v>11.244999999999999</v>
      </c>
      <c r="X265" s="33">
        <v>45413</v>
      </c>
      <c r="Y265" s="37">
        <v>0.18752314814814816</v>
      </c>
      <c r="Z265">
        <v>0</v>
      </c>
      <c r="AA265">
        <v>0</v>
      </c>
      <c r="AB265">
        <v>0</v>
      </c>
      <c r="AC265" s="30">
        <f t="shared" ref="AC265" si="121">AC264</f>
        <v>11.2362</v>
      </c>
    </row>
    <row r="266" spans="1:29" x14ac:dyDescent="0.25">
      <c r="A266">
        <v>4</v>
      </c>
      <c r="B266" t="s">
        <v>16</v>
      </c>
      <c r="C266">
        <v>14544</v>
      </c>
      <c r="D266">
        <v>144</v>
      </c>
      <c r="E266">
        <v>2</v>
      </c>
      <c r="F266">
        <v>2</v>
      </c>
      <c r="G266">
        <v>195.83</v>
      </c>
      <c r="H266" s="17">
        <v>10.475</v>
      </c>
      <c r="I266" s="33">
        <v>45412</v>
      </c>
      <c r="J266" s="37">
        <v>8.2175925925925923E-3</v>
      </c>
      <c r="K266">
        <v>0</v>
      </c>
      <c r="L266">
        <v>0</v>
      </c>
      <c r="M266">
        <v>0</v>
      </c>
      <c r="N266" s="30">
        <f t="shared" si="116"/>
        <v>10.475800000000001</v>
      </c>
      <c r="P266">
        <v>2</v>
      </c>
      <c r="Q266" t="s">
        <v>16</v>
      </c>
      <c r="R266">
        <v>14536</v>
      </c>
      <c r="S266">
        <v>184</v>
      </c>
      <c r="T266">
        <v>2</v>
      </c>
      <c r="U266">
        <v>2</v>
      </c>
      <c r="V266">
        <v>182.28</v>
      </c>
      <c r="W266" s="17">
        <v>11.234999999999999</v>
      </c>
      <c r="X266" s="33">
        <v>45413</v>
      </c>
      <c r="Y266" s="37">
        <v>0.21005787037037038</v>
      </c>
      <c r="Z266">
        <v>0</v>
      </c>
      <c r="AA266">
        <v>0</v>
      </c>
      <c r="AB266">
        <v>0</v>
      </c>
      <c r="AC266" s="30">
        <f>AC265</f>
        <v>11.2362</v>
      </c>
    </row>
    <row r="267" spans="1:29" x14ac:dyDescent="0.25">
      <c r="A267">
        <v>4</v>
      </c>
      <c r="B267" t="s">
        <v>16</v>
      </c>
      <c r="C267">
        <v>14608</v>
      </c>
      <c r="D267">
        <v>176</v>
      </c>
      <c r="E267">
        <v>2</v>
      </c>
      <c r="F267">
        <v>2</v>
      </c>
      <c r="G267">
        <v>198.2</v>
      </c>
      <c r="H267" s="17">
        <v>10.487</v>
      </c>
      <c r="I267" s="33">
        <v>45412</v>
      </c>
      <c r="J267" s="37">
        <v>1.0694444444444444E-2</v>
      </c>
      <c r="K267">
        <v>0</v>
      </c>
      <c r="L267">
        <v>0</v>
      </c>
      <c r="M267">
        <v>0</v>
      </c>
      <c r="N267" s="30">
        <f t="shared" si="116"/>
        <v>10.475800000000001</v>
      </c>
      <c r="P267">
        <v>3</v>
      </c>
      <c r="Q267" t="s">
        <v>16</v>
      </c>
      <c r="R267">
        <v>14536</v>
      </c>
      <c r="S267">
        <v>184</v>
      </c>
      <c r="T267">
        <v>2</v>
      </c>
      <c r="U267">
        <v>2</v>
      </c>
      <c r="V267">
        <v>182.3</v>
      </c>
      <c r="W267" s="17">
        <v>11.234</v>
      </c>
      <c r="X267" s="33">
        <v>45412</v>
      </c>
      <c r="Y267" s="37">
        <v>9.5000000000000001E-2</v>
      </c>
      <c r="Z267">
        <v>0</v>
      </c>
      <c r="AA267">
        <v>0</v>
      </c>
      <c r="AB267">
        <v>0</v>
      </c>
      <c r="AC267" s="30">
        <f>AC266</f>
        <v>11.2362</v>
      </c>
    </row>
    <row r="268" spans="1:29" x14ac:dyDescent="0.25">
      <c r="A268">
        <v>4</v>
      </c>
      <c r="B268" t="s">
        <v>16</v>
      </c>
      <c r="C268">
        <v>14560</v>
      </c>
      <c r="D268">
        <v>224</v>
      </c>
      <c r="E268">
        <v>2</v>
      </c>
      <c r="F268">
        <v>2</v>
      </c>
      <c r="G268">
        <v>196.37</v>
      </c>
      <c r="H268" s="17">
        <v>10.481</v>
      </c>
      <c r="I268" s="33">
        <v>45412</v>
      </c>
      <c r="J268" s="37">
        <v>1.3136574074074075E-2</v>
      </c>
      <c r="K268">
        <v>0</v>
      </c>
      <c r="L268">
        <v>0</v>
      </c>
      <c r="M268">
        <v>0</v>
      </c>
      <c r="N268" s="30">
        <f t="shared" si="116"/>
        <v>10.475800000000001</v>
      </c>
      <c r="P268">
        <v>4</v>
      </c>
      <c r="Q268" t="s">
        <v>16</v>
      </c>
      <c r="R268">
        <v>14536</v>
      </c>
      <c r="S268">
        <v>184</v>
      </c>
      <c r="T268">
        <v>2</v>
      </c>
      <c r="U268">
        <v>2</v>
      </c>
      <c r="V268">
        <v>182.38</v>
      </c>
      <c r="W268" s="17">
        <v>11.228999999999999</v>
      </c>
      <c r="X268" s="33">
        <v>45412</v>
      </c>
      <c r="Y268" s="37">
        <v>0.11755787037037037</v>
      </c>
      <c r="Z268">
        <v>0</v>
      </c>
      <c r="AA268">
        <v>0</v>
      </c>
      <c r="AB268">
        <v>0</v>
      </c>
      <c r="AC268" s="30">
        <f>AC267</f>
        <v>11.2362</v>
      </c>
    </row>
    <row r="269" spans="1:29" x14ac:dyDescent="0.25">
      <c r="P269">
        <v>0</v>
      </c>
      <c r="Q269" t="s">
        <v>16</v>
      </c>
      <c r="R269">
        <v>14560</v>
      </c>
      <c r="S269">
        <v>208</v>
      </c>
      <c r="T269">
        <v>2</v>
      </c>
      <c r="U269">
        <v>2</v>
      </c>
      <c r="V269">
        <v>183.21</v>
      </c>
      <c r="W269" s="17">
        <v>11.233000000000001</v>
      </c>
      <c r="X269" s="33">
        <v>45413</v>
      </c>
      <c r="Y269" s="37">
        <v>0.17630787037037038</v>
      </c>
      <c r="Z269">
        <v>0</v>
      </c>
      <c r="AA269">
        <v>0</v>
      </c>
      <c r="AB269">
        <v>0</v>
      </c>
      <c r="AC269" s="30">
        <f t="shared" ref="AC269" si="122">AVERAGE(W269:W273)</f>
        <v>11.245799999999999</v>
      </c>
    </row>
    <row r="270" spans="1:29" x14ac:dyDescent="0.25">
      <c r="P270">
        <v>1</v>
      </c>
      <c r="Q270" t="s">
        <v>16</v>
      </c>
      <c r="R270">
        <v>14560</v>
      </c>
      <c r="S270">
        <v>208</v>
      </c>
      <c r="T270">
        <v>2</v>
      </c>
      <c r="U270">
        <v>2</v>
      </c>
      <c r="V270">
        <v>182.68</v>
      </c>
      <c r="W270" s="17">
        <v>11.266</v>
      </c>
      <c r="X270" s="33">
        <v>45413</v>
      </c>
      <c r="Y270" s="37">
        <v>0.1903125</v>
      </c>
      <c r="Z270">
        <v>0</v>
      </c>
      <c r="AA270">
        <v>0</v>
      </c>
      <c r="AB270">
        <v>0</v>
      </c>
      <c r="AC270" s="30">
        <f t="shared" ref="AC270" si="123">AC269</f>
        <v>11.245799999999999</v>
      </c>
    </row>
    <row r="271" spans="1:29" x14ac:dyDescent="0.25">
      <c r="P271">
        <v>2</v>
      </c>
      <c r="Q271" t="s">
        <v>16</v>
      </c>
      <c r="R271">
        <v>14560</v>
      </c>
      <c r="S271">
        <v>208</v>
      </c>
      <c r="T271">
        <v>2</v>
      </c>
      <c r="U271">
        <v>2</v>
      </c>
      <c r="V271">
        <v>183.14</v>
      </c>
      <c r="W271" s="17">
        <v>11.238</v>
      </c>
      <c r="X271" s="33">
        <v>45413</v>
      </c>
      <c r="Y271" s="37">
        <v>0.21285879629629631</v>
      </c>
      <c r="Z271">
        <v>0</v>
      </c>
      <c r="AA271">
        <v>0</v>
      </c>
      <c r="AB271">
        <v>0</v>
      </c>
      <c r="AC271" s="30">
        <f>AC270</f>
        <v>11.245799999999999</v>
      </c>
    </row>
    <row r="272" spans="1:29" x14ac:dyDescent="0.25">
      <c r="P272">
        <v>3</v>
      </c>
      <c r="Q272" t="s">
        <v>16</v>
      </c>
      <c r="R272">
        <v>14560</v>
      </c>
      <c r="S272">
        <v>208</v>
      </c>
      <c r="T272">
        <v>2</v>
      </c>
      <c r="U272">
        <v>2</v>
      </c>
      <c r="V272">
        <v>183.09</v>
      </c>
      <c r="W272" s="17">
        <v>11.241</v>
      </c>
      <c r="X272" s="33">
        <v>45412</v>
      </c>
      <c r="Y272" s="37">
        <v>9.778935185185185E-2</v>
      </c>
      <c r="Z272">
        <v>0</v>
      </c>
      <c r="AA272">
        <v>0</v>
      </c>
      <c r="AB272">
        <v>0</v>
      </c>
      <c r="AC272" s="30">
        <f>AC271</f>
        <v>11.245799999999999</v>
      </c>
    </row>
    <row r="273" spans="16:29" x14ac:dyDescent="0.25">
      <c r="P273">
        <v>4</v>
      </c>
      <c r="Q273" t="s">
        <v>16</v>
      </c>
      <c r="R273">
        <v>14560</v>
      </c>
      <c r="S273">
        <v>208</v>
      </c>
      <c r="T273">
        <v>2</v>
      </c>
      <c r="U273">
        <v>2</v>
      </c>
      <c r="V273">
        <v>182.93</v>
      </c>
      <c r="W273" s="17">
        <v>11.250999999999999</v>
      </c>
      <c r="X273" s="33">
        <v>45412</v>
      </c>
      <c r="Y273" s="37">
        <v>0.1203587962962963</v>
      </c>
      <c r="Z273">
        <v>0</v>
      </c>
      <c r="AA273">
        <v>0</v>
      </c>
      <c r="AB273">
        <v>0</v>
      </c>
      <c r="AC273" s="30">
        <f>AC272</f>
        <v>11.245799999999999</v>
      </c>
    </row>
    <row r="274" spans="16:29" x14ac:dyDescent="0.25">
      <c r="P274">
        <v>0</v>
      </c>
      <c r="Q274" t="s">
        <v>16</v>
      </c>
      <c r="R274">
        <v>14472</v>
      </c>
      <c r="S274">
        <v>216</v>
      </c>
      <c r="T274">
        <v>2</v>
      </c>
      <c r="U274">
        <v>2</v>
      </c>
      <c r="V274">
        <v>180.29</v>
      </c>
      <c r="W274" s="17">
        <v>11.209</v>
      </c>
      <c r="X274" s="33">
        <v>45413</v>
      </c>
      <c r="Y274" s="37">
        <v>0.17908564814814815</v>
      </c>
      <c r="Z274">
        <v>0</v>
      </c>
      <c r="AA274">
        <v>0</v>
      </c>
      <c r="AB274">
        <v>0</v>
      </c>
      <c r="AC274" s="30">
        <f t="shared" ref="AC274" si="124">AVERAGE(W274:W278)</f>
        <v>11.2118</v>
      </c>
    </row>
    <row r="275" spans="16:29" x14ac:dyDescent="0.25">
      <c r="P275">
        <v>1</v>
      </c>
      <c r="Q275" t="s">
        <v>16</v>
      </c>
      <c r="R275">
        <v>14472</v>
      </c>
      <c r="S275">
        <v>216</v>
      </c>
      <c r="T275">
        <v>2</v>
      </c>
      <c r="U275">
        <v>2</v>
      </c>
      <c r="V275">
        <v>180.23</v>
      </c>
      <c r="W275" s="17">
        <v>11.212999999999999</v>
      </c>
      <c r="X275" s="33">
        <v>45413</v>
      </c>
      <c r="Y275" s="37">
        <v>0.19309027777777779</v>
      </c>
      <c r="Z275">
        <v>0</v>
      </c>
      <c r="AA275">
        <v>0</v>
      </c>
      <c r="AB275">
        <v>0</v>
      </c>
      <c r="AC275" s="30">
        <f t="shared" ref="AC275:AC278" si="125">AC274</f>
        <v>11.2118</v>
      </c>
    </row>
    <row r="276" spans="16:29" x14ac:dyDescent="0.25">
      <c r="P276">
        <v>2</v>
      </c>
      <c r="Q276" t="s">
        <v>16</v>
      </c>
      <c r="R276">
        <v>14472</v>
      </c>
      <c r="S276">
        <v>216</v>
      </c>
      <c r="T276">
        <v>2</v>
      </c>
      <c r="U276">
        <v>2</v>
      </c>
      <c r="V276">
        <v>180.35</v>
      </c>
      <c r="W276" s="17">
        <v>11.206</v>
      </c>
      <c r="X276" s="33">
        <v>45413</v>
      </c>
      <c r="Y276" s="37">
        <v>0.21563657407407408</v>
      </c>
      <c r="Z276">
        <v>0</v>
      </c>
      <c r="AA276">
        <v>0</v>
      </c>
      <c r="AB276">
        <v>0</v>
      </c>
      <c r="AC276" s="30">
        <f t="shared" si="125"/>
        <v>11.2118</v>
      </c>
    </row>
    <row r="277" spans="16:29" x14ac:dyDescent="0.25">
      <c r="P277">
        <v>3</v>
      </c>
      <c r="Q277" t="s">
        <v>16</v>
      </c>
      <c r="R277">
        <v>14472</v>
      </c>
      <c r="S277">
        <v>216</v>
      </c>
      <c r="T277">
        <v>2</v>
      </c>
      <c r="U277">
        <v>2</v>
      </c>
      <c r="V277">
        <v>180.51</v>
      </c>
      <c r="W277" s="17">
        <v>11.196</v>
      </c>
      <c r="X277" s="33">
        <v>45412</v>
      </c>
      <c r="Y277" s="37">
        <v>0.1005787037037037</v>
      </c>
      <c r="Z277">
        <v>0</v>
      </c>
      <c r="AA277">
        <v>0</v>
      </c>
      <c r="AB277">
        <v>0</v>
      </c>
      <c r="AC277" s="30">
        <f t="shared" si="125"/>
        <v>11.2118</v>
      </c>
    </row>
    <row r="278" spans="16:29" x14ac:dyDescent="0.25">
      <c r="P278">
        <v>4</v>
      </c>
      <c r="Q278" t="s">
        <v>16</v>
      </c>
      <c r="R278">
        <v>14472</v>
      </c>
      <c r="S278">
        <v>216</v>
      </c>
      <c r="T278">
        <v>2</v>
      </c>
      <c r="U278">
        <v>2</v>
      </c>
      <c r="V278">
        <v>179.88</v>
      </c>
      <c r="W278" s="17">
        <v>11.234999999999999</v>
      </c>
      <c r="X278" s="33">
        <v>45412</v>
      </c>
      <c r="Y278" s="37">
        <v>0.123125</v>
      </c>
      <c r="Z278">
        <v>0</v>
      </c>
      <c r="AA278">
        <v>0</v>
      </c>
      <c r="AB278">
        <v>0</v>
      </c>
      <c r="AC278" s="30">
        <f t="shared" si="125"/>
        <v>11.2118</v>
      </c>
    </row>
    <row r="279" spans="16:29" x14ac:dyDescent="0.25">
      <c r="P279">
        <v>0</v>
      </c>
      <c r="Q279" t="s">
        <v>16</v>
      </c>
      <c r="R279">
        <v>14560</v>
      </c>
      <c r="S279">
        <v>224</v>
      </c>
      <c r="T279">
        <v>2</v>
      </c>
      <c r="U279">
        <v>2</v>
      </c>
      <c r="V279">
        <v>183.33</v>
      </c>
      <c r="W279" s="17">
        <v>11.226000000000001</v>
      </c>
      <c r="X279" s="33">
        <v>45413</v>
      </c>
      <c r="Y279" s="37">
        <v>0.18190972222222221</v>
      </c>
      <c r="Z279">
        <v>0</v>
      </c>
      <c r="AA279">
        <v>0</v>
      </c>
      <c r="AB279">
        <v>0</v>
      </c>
      <c r="AC279" s="30">
        <f t="shared" ref="AC279" si="126">AVERAGE(W279:W283)</f>
        <v>11.222999999999999</v>
      </c>
    </row>
    <row r="280" spans="16:29" x14ac:dyDescent="0.25">
      <c r="P280">
        <v>1</v>
      </c>
      <c r="Q280" t="s">
        <v>16</v>
      </c>
      <c r="R280">
        <v>14560</v>
      </c>
      <c r="S280">
        <v>224</v>
      </c>
      <c r="T280">
        <v>2</v>
      </c>
      <c r="U280">
        <v>2</v>
      </c>
      <c r="V280">
        <v>183.03</v>
      </c>
      <c r="W280" s="17">
        <v>11.244</v>
      </c>
      <c r="X280" s="33">
        <v>45413</v>
      </c>
      <c r="Y280" s="37">
        <v>0.19591435185185185</v>
      </c>
      <c r="Z280">
        <v>0</v>
      </c>
      <c r="AA280">
        <v>0</v>
      </c>
      <c r="AB280">
        <v>0</v>
      </c>
      <c r="AC280" s="30">
        <f t="shared" ref="AC280:AC283" si="127">AC279</f>
        <v>11.222999999999999</v>
      </c>
    </row>
    <row r="281" spans="16:29" x14ac:dyDescent="0.25">
      <c r="P281">
        <v>2</v>
      </c>
      <c r="Q281" t="s">
        <v>16</v>
      </c>
      <c r="R281">
        <v>14560</v>
      </c>
      <c r="S281">
        <v>224</v>
      </c>
      <c r="T281">
        <v>2</v>
      </c>
      <c r="U281">
        <v>2</v>
      </c>
      <c r="V281">
        <v>182.85</v>
      </c>
      <c r="W281" s="17">
        <v>11.256</v>
      </c>
      <c r="X281" s="33">
        <v>45413</v>
      </c>
      <c r="Y281" s="37">
        <v>0.21844907407407407</v>
      </c>
      <c r="Z281">
        <v>0</v>
      </c>
      <c r="AA281">
        <v>0</v>
      </c>
      <c r="AB281">
        <v>0</v>
      </c>
      <c r="AC281" s="30">
        <f t="shared" si="127"/>
        <v>11.222999999999999</v>
      </c>
    </row>
    <row r="282" spans="16:29" x14ac:dyDescent="0.25">
      <c r="P282">
        <v>3</v>
      </c>
      <c r="Q282" t="s">
        <v>16</v>
      </c>
      <c r="R282">
        <v>14560</v>
      </c>
      <c r="S282">
        <v>224</v>
      </c>
      <c r="T282">
        <v>2</v>
      </c>
      <c r="U282">
        <v>2</v>
      </c>
      <c r="V282">
        <v>184.09</v>
      </c>
      <c r="W282" s="17">
        <v>11.18</v>
      </c>
      <c r="X282" s="33">
        <v>45412</v>
      </c>
      <c r="Y282" s="37">
        <v>0.10340277777777777</v>
      </c>
      <c r="Z282">
        <v>0</v>
      </c>
      <c r="AA282">
        <v>0</v>
      </c>
      <c r="AB282">
        <v>0</v>
      </c>
      <c r="AC282" s="30">
        <f t="shared" si="127"/>
        <v>11.222999999999999</v>
      </c>
    </row>
    <row r="283" spans="16:29" x14ac:dyDescent="0.25">
      <c r="P283">
        <v>4</v>
      </c>
      <c r="Q283" t="s">
        <v>16</v>
      </c>
      <c r="R283">
        <v>14560</v>
      </c>
      <c r="S283">
        <v>224</v>
      </c>
      <c r="T283">
        <v>2</v>
      </c>
      <c r="U283">
        <v>2</v>
      </c>
      <c r="V283">
        <v>183.61</v>
      </c>
      <c r="W283" s="17">
        <v>11.209</v>
      </c>
      <c r="X283" s="33">
        <v>45412</v>
      </c>
      <c r="Y283" s="37">
        <v>0.12594907407407407</v>
      </c>
      <c r="Z283">
        <v>0</v>
      </c>
      <c r="AA283">
        <v>0</v>
      </c>
      <c r="AB283">
        <v>0</v>
      </c>
      <c r="AC283" s="30">
        <f t="shared" si="127"/>
        <v>11.222999999999999</v>
      </c>
    </row>
  </sheetData>
  <sortState xmlns:xlrd2="http://schemas.microsoft.com/office/spreadsheetml/2017/richdata2" ref="P4:AB243">
    <sortCondition ref="S4:S243"/>
    <sortCondition ref="T4:T243"/>
    <sortCondition ref="R4:R243"/>
    <sortCondition ref="P4:P243"/>
  </sortState>
  <mergeCells count="4">
    <mergeCell ref="P1:AC1"/>
    <mergeCell ref="A1:N1"/>
    <mergeCell ref="Z2:AB2"/>
    <mergeCell ref="K2:M2"/>
  </mergeCells>
  <conditionalFormatting sqref="AC4:AC283 N4:N268">
    <cfRule type="colorScale" priority="43">
      <colorScale>
        <cfvo type="min"/>
        <cfvo type="percentile" val="50"/>
        <cfvo type="max"/>
        <color rgb="FFF8696B"/>
        <color rgb="FFFFEB84"/>
        <color rgb="FF63BE7B"/>
      </colorScale>
    </cfRule>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BFBBF-7866-4828-B3C2-5AC346353D43}">
  <dimension ref="A1:AH403"/>
  <sheetViews>
    <sheetView zoomScaleNormal="100" workbookViewId="0">
      <selection activeCell="O24" sqref="O24"/>
    </sheetView>
  </sheetViews>
  <sheetFormatPr defaultRowHeight="15" x14ac:dyDescent="0.25"/>
  <cols>
    <col min="2" max="2" width="9.5703125" style="16" bestFit="1" customWidth="1"/>
    <col min="3" max="5" width="9.28515625" style="16" bestFit="1" customWidth="1"/>
    <col min="6" max="6" width="9.140625" style="30"/>
    <col min="9" max="9" width="15" style="16" bestFit="1" customWidth="1"/>
    <col min="10" max="12" width="9.140625" style="16"/>
    <col min="13" max="13" width="9.140625" style="30"/>
    <col min="17" max="17" width="9.140625" style="30"/>
    <col min="33" max="33" width="9.140625" style="30"/>
    <col min="34" max="34" width="9.140625" style="17"/>
  </cols>
  <sheetData>
    <row r="1" spans="1:13" x14ac:dyDescent="0.25">
      <c r="B1" s="160" t="s">
        <v>339</v>
      </c>
      <c r="C1" s="160"/>
      <c r="D1" s="160"/>
      <c r="E1" s="160"/>
      <c r="F1" s="160"/>
      <c r="I1" s="160" t="s">
        <v>338</v>
      </c>
      <c r="J1" s="160"/>
      <c r="K1" s="160"/>
      <c r="L1" s="160"/>
      <c r="M1" s="160"/>
    </row>
    <row r="2" spans="1:13" x14ac:dyDescent="0.25">
      <c r="B2" s="135">
        <f>INDEX(B4:B500,MATCH(MAX(F4:F500),F4:F500,0))</f>
        <v>14560</v>
      </c>
      <c r="C2" s="135">
        <f>INDEX(C4:C500,MATCH(MAX(F4:F500),F4:F500,0))</f>
        <v>160</v>
      </c>
      <c r="D2" s="135">
        <f>INDEX(D4:D500,MATCH(MAX(F4:F500),F4:F500,0))</f>
        <v>2</v>
      </c>
      <c r="E2" s="135">
        <f>INDEX(E4:E500,MATCH(MAX(F4:F500),F4:F500,0))</f>
        <v>2</v>
      </c>
      <c r="F2" s="136">
        <f>MAX(F4:F500)</f>
        <v>10.793400000000002</v>
      </c>
      <c r="I2" s="135">
        <f>INDEX(I4:I500,MATCH(MAX(M4:M500),M4:M500,0))</f>
        <v>14592</v>
      </c>
      <c r="J2" s="135">
        <f>INDEX(J4:J500,MATCH(MAX(M4:M500),M4:M500,0))</f>
        <v>96</v>
      </c>
      <c r="K2" s="135">
        <f>INDEX(K4:K500,MATCH(MAX(M4:M500),M4:M500,0))</f>
        <v>1</v>
      </c>
      <c r="L2" s="135">
        <f>INDEX(L4:L500,MATCH(MAX(M4:M500),M4:M500,0))</f>
        <v>4</v>
      </c>
      <c r="M2" s="136">
        <f>MAX(M4:M500)</f>
        <v>11.337399999999999</v>
      </c>
    </row>
    <row r="3" spans="1:13" x14ac:dyDescent="0.25">
      <c r="A3" t="s">
        <v>351</v>
      </c>
      <c r="B3" s="135" t="s">
        <v>5</v>
      </c>
      <c r="C3" s="135" t="s">
        <v>6</v>
      </c>
      <c r="D3" s="135" t="s">
        <v>7</v>
      </c>
      <c r="E3" s="135" t="s">
        <v>8</v>
      </c>
      <c r="F3" s="137" t="s">
        <v>333</v>
      </c>
      <c r="H3" t="s">
        <v>351</v>
      </c>
      <c r="I3" s="135" t="s">
        <v>5</v>
      </c>
      <c r="J3" s="135" t="s">
        <v>6</v>
      </c>
      <c r="K3" s="135" t="s">
        <v>7</v>
      </c>
      <c r="L3" s="135" t="s">
        <v>8</v>
      </c>
      <c r="M3" s="137" t="s">
        <v>333</v>
      </c>
    </row>
    <row r="4" spans="1:13" x14ac:dyDescent="0.25">
      <c r="A4">
        <f>CHOOSE(IF(ABS(B4-13056)&lt;=ABS(B4-13824),IF(ABS(B4-13056)&lt;=ABS(B4-14592),1,3),IF(ABS(B4-13824)&lt;=ABS(B4-14592),2,3)),13056,13824,14592)</f>
        <v>13056</v>
      </c>
      <c r="B4" s="16" cm="1">
        <f t="array" ref="B4:F308">_xlfn.CHOOSECOLS(_xlfn._xlws.FILTER('1 node, 933, params, RAW'!A4:N500,'1 node, 933, params, RAW'!A4:A500=0),3,4,5,6,14)</f>
        <v>13056</v>
      </c>
      <c r="C4" s="16">
        <v>32</v>
      </c>
      <c r="D4" s="16">
        <v>1</v>
      </c>
      <c r="E4" s="16">
        <v>4</v>
      </c>
      <c r="F4" s="30">
        <v>8.9505400000000002</v>
      </c>
      <c r="H4">
        <f>CHOOSE(IF(ABS(I4-13056)&lt;=ABS(I4-13824),IF(ABS(I4-13056)&lt;=ABS(I4-14592),1,3),IF(ABS(I4-13824)&lt;=ABS(I4-14592),2,3)),13056,13824,14592)</f>
        <v>13056</v>
      </c>
      <c r="I4" s="16" cm="1">
        <f t="array" ref="I4:M276">_xlfn.CHOOSECOLS(_xlfn._xlws.FILTER('1 node, 825, params, RAW'!P4:AC500,'1 node, 825, params, RAW'!P4:P500=0),3,4,5,6,14)</f>
        <v>13056</v>
      </c>
      <c r="J4" s="16">
        <v>32</v>
      </c>
      <c r="K4" s="16">
        <v>1</v>
      </c>
      <c r="L4" s="16">
        <v>4</v>
      </c>
      <c r="M4" s="30">
        <v>10.04074</v>
      </c>
    </row>
    <row r="5" spans="1:13" x14ac:dyDescent="0.25">
      <c r="A5">
        <f t="shared" ref="A5:A68" si="0">CHOOSE(IF(ABS(B5-13056)&lt;=ABS(B5-13824),IF(ABS(B5-13056)&lt;=ABS(B5-14592),1,3),IF(ABS(B5-13824)&lt;=ABS(B5-14592),2,3)),13056,13824,14592)</f>
        <v>13824</v>
      </c>
      <c r="B5" s="16">
        <v>13824</v>
      </c>
      <c r="C5" s="16">
        <v>32</v>
      </c>
      <c r="D5" s="16">
        <v>1</v>
      </c>
      <c r="E5" s="16">
        <v>4</v>
      </c>
      <c r="F5" s="30">
        <v>8.0471600000000016</v>
      </c>
      <c r="H5">
        <f t="shared" ref="H5:H68" si="1">CHOOSE(IF(ABS(I5-13056)&lt;=ABS(I5-13824),IF(ABS(I5-13056)&lt;=ABS(I5-14592),1,3),IF(ABS(I5-13824)&lt;=ABS(I5-14592),2,3)),13056,13824,14592)</f>
        <v>13824</v>
      </c>
      <c r="I5" s="16">
        <v>13824</v>
      </c>
      <c r="J5" s="16">
        <v>32</v>
      </c>
      <c r="K5" s="16">
        <v>1</v>
      </c>
      <c r="L5" s="16">
        <v>4</v>
      </c>
      <c r="M5" s="30">
        <v>9.3977600000000017</v>
      </c>
    </row>
    <row r="6" spans="1:13" x14ac:dyDescent="0.25">
      <c r="A6">
        <f t="shared" si="0"/>
        <v>14592</v>
      </c>
      <c r="B6" s="16">
        <v>14592</v>
      </c>
      <c r="C6" s="16">
        <v>32</v>
      </c>
      <c r="D6" s="16">
        <v>1</v>
      </c>
      <c r="E6" s="16">
        <v>4</v>
      </c>
      <c r="F6" s="30">
        <v>9.0534400000000002</v>
      </c>
      <c r="H6">
        <f t="shared" si="1"/>
        <v>14592</v>
      </c>
      <c r="I6" s="16">
        <v>14592</v>
      </c>
      <c r="J6" s="16">
        <v>32</v>
      </c>
      <c r="K6" s="16">
        <v>1</v>
      </c>
      <c r="L6" s="16">
        <v>4</v>
      </c>
      <c r="M6" s="30">
        <v>10.138400000000001</v>
      </c>
    </row>
    <row r="7" spans="1:13" x14ac:dyDescent="0.25">
      <c r="A7">
        <f t="shared" si="0"/>
        <v>13056</v>
      </c>
      <c r="B7" s="16">
        <v>13056</v>
      </c>
      <c r="C7" s="16">
        <v>32</v>
      </c>
      <c r="D7" s="16">
        <v>2</v>
      </c>
      <c r="E7" s="16">
        <v>2</v>
      </c>
      <c r="F7" s="30">
        <v>8.9427199999999996</v>
      </c>
      <c r="H7">
        <f t="shared" si="1"/>
        <v>13056</v>
      </c>
      <c r="I7" s="16">
        <v>13056</v>
      </c>
      <c r="J7" s="16">
        <v>32</v>
      </c>
      <c r="K7" s="16">
        <v>2</v>
      </c>
      <c r="L7" s="16">
        <v>2</v>
      </c>
      <c r="M7" s="30">
        <v>10.178000000000001</v>
      </c>
    </row>
    <row r="8" spans="1:13" x14ac:dyDescent="0.25">
      <c r="A8">
        <f t="shared" si="0"/>
        <v>13824</v>
      </c>
      <c r="B8" s="16">
        <v>13824</v>
      </c>
      <c r="C8" s="16">
        <v>32</v>
      </c>
      <c r="D8" s="16">
        <v>2</v>
      </c>
      <c r="E8" s="16">
        <v>2</v>
      </c>
      <c r="F8" s="30">
        <v>8.9078799999999987</v>
      </c>
      <c r="H8">
        <f t="shared" si="1"/>
        <v>13824</v>
      </c>
      <c r="I8" s="16">
        <v>13824</v>
      </c>
      <c r="J8" s="16">
        <v>32</v>
      </c>
      <c r="K8" s="16">
        <v>2</v>
      </c>
      <c r="L8" s="16">
        <v>2</v>
      </c>
      <c r="M8" s="30">
        <v>10.1792</v>
      </c>
    </row>
    <row r="9" spans="1:13" x14ac:dyDescent="0.25">
      <c r="A9">
        <f t="shared" si="0"/>
        <v>14592</v>
      </c>
      <c r="B9" s="16">
        <v>14592</v>
      </c>
      <c r="C9" s="16">
        <v>32</v>
      </c>
      <c r="D9" s="16">
        <v>2</v>
      </c>
      <c r="E9" s="16">
        <v>2</v>
      </c>
      <c r="F9" s="30">
        <v>9.0344999999999995</v>
      </c>
      <c r="H9">
        <f t="shared" si="1"/>
        <v>14592</v>
      </c>
      <c r="I9" s="16">
        <v>14592</v>
      </c>
      <c r="J9" s="16">
        <v>32</v>
      </c>
      <c r="K9" s="16">
        <v>2</v>
      </c>
      <c r="L9" s="16">
        <v>2</v>
      </c>
      <c r="M9" s="30">
        <v>10.296199999999999</v>
      </c>
    </row>
    <row r="10" spans="1:13" x14ac:dyDescent="0.25">
      <c r="A10">
        <f t="shared" si="0"/>
        <v>13056</v>
      </c>
      <c r="B10" s="16">
        <v>13056</v>
      </c>
      <c r="C10" s="16">
        <v>64</v>
      </c>
      <c r="D10" s="16">
        <v>1</v>
      </c>
      <c r="E10" s="16">
        <v>4</v>
      </c>
      <c r="F10" s="30">
        <v>9.965819999999999</v>
      </c>
      <c r="H10">
        <f t="shared" si="1"/>
        <v>13056</v>
      </c>
      <c r="I10" s="16">
        <v>13056</v>
      </c>
      <c r="J10" s="16">
        <v>64</v>
      </c>
      <c r="K10" s="16">
        <v>1</v>
      </c>
      <c r="L10" s="16">
        <v>4</v>
      </c>
      <c r="M10" s="30">
        <v>10.945599999999999</v>
      </c>
    </row>
    <row r="11" spans="1:13" x14ac:dyDescent="0.25">
      <c r="A11">
        <f t="shared" si="0"/>
        <v>13824</v>
      </c>
      <c r="B11" s="16">
        <v>13824</v>
      </c>
      <c r="C11" s="16">
        <v>64</v>
      </c>
      <c r="D11" s="16">
        <v>1</v>
      </c>
      <c r="E11" s="16">
        <v>4</v>
      </c>
      <c r="F11" s="30">
        <v>9.0016999999999996</v>
      </c>
      <c r="H11">
        <f t="shared" si="1"/>
        <v>13824</v>
      </c>
      <c r="I11" s="16">
        <v>13824</v>
      </c>
      <c r="J11" s="16">
        <v>64</v>
      </c>
      <c r="K11" s="16">
        <v>1</v>
      </c>
      <c r="L11" s="16">
        <v>4</v>
      </c>
      <c r="M11" s="30">
        <v>10.378400000000001</v>
      </c>
    </row>
    <row r="12" spans="1:13" x14ac:dyDescent="0.25">
      <c r="A12">
        <f t="shared" si="0"/>
        <v>14592</v>
      </c>
      <c r="B12" s="16">
        <v>14592</v>
      </c>
      <c r="C12" s="16">
        <v>64</v>
      </c>
      <c r="D12" s="16">
        <v>1</v>
      </c>
      <c r="E12" s="16">
        <v>4</v>
      </c>
      <c r="F12" s="30">
        <v>10.071940000000001</v>
      </c>
      <c r="H12">
        <f t="shared" si="1"/>
        <v>14592</v>
      </c>
      <c r="I12" s="16">
        <v>14592</v>
      </c>
      <c r="J12" s="16">
        <v>64</v>
      </c>
      <c r="K12" s="16">
        <v>1</v>
      </c>
      <c r="L12" s="16">
        <v>4</v>
      </c>
      <c r="M12" s="30">
        <v>11.042400000000001</v>
      </c>
    </row>
    <row r="13" spans="1:13" x14ac:dyDescent="0.25">
      <c r="A13">
        <f t="shared" si="0"/>
        <v>13056</v>
      </c>
      <c r="B13" s="16">
        <v>13056</v>
      </c>
      <c r="C13" s="16">
        <v>64</v>
      </c>
      <c r="D13" s="16">
        <v>2</v>
      </c>
      <c r="E13" s="16">
        <v>2</v>
      </c>
      <c r="F13" s="30">
        <v>10.0122</v>
      </c>
      <c r="H13">
        <f t="shared" si="1"/>
        <v>13056</v>
      </c>
      <c r="I13" s="16">
        <v>13056</v>
      </c>
      <c r="J13" s="16">
        <v>64</v>
      </c>
      <c r="K13" s="16">
        <v>2</v>
      </c>
      <c r="L13" s="16">
        <v>2</v>
      </c>
      <c r="M13" s="30">
        <v>10.889600000000002</v>
      </c>
    </row>
    <row r="14" spans="1:13" x14ac:dyDescent="0.25">
      <c r="A14">
        <f t="shared" si="0"/>
        <v>13824</v>
      </c>
      <c r="B14" s="16">
        <v>13824</v>
      </c>
      <c r="C14" s="16">
        <v>64</v>
      </c>
      <c r="D14" s="16">
        <v>2</v>
      </c>
      <c r="E14" s="16">
        <v>2</v>
      </c>
      <c r="F14" s="30">
        <v>9.8649400000000007</v>
      </c>
      <c r="H14">
        <f t="shared" si="1"/>
        <v>13824</v>
      </c>
      <c r="I14" s="16">
        <v>13824</v>
      </c>
      <c r="J14" s="16">
        <v>64</v>
      </c>
      <c r="K14" s="16">
        <v>2</v>
      </c>
      <c r="L14" s="16">
        <v>2</v>
      </c>
      <c r="M14" s="30">
        <v>10.911</v>
      </c>
    </row>
    <row r="15" spans="1:13" x14ac:dyDescent="0.25">
      <c r="A15">
        <f t="shared" si="0"/>
        <v>14592</v>
      </c>
      <c r="B15" s="16">
        <v>14592</v>
      </c>
      <c r="C15" s="16">
        <v>64</v>
      </c>
      <c r="D15" s="16">
        <v>2</v>
      </c>
      <c r="E15" s="16">
        <v>2</v>
      </c>
      <c r="F15" s="30">
        <v>10.1334</v>
      </c>
      <c r="H15">
        <f t="shared" si="1"/>
        <v>14592</v>
      </c>
      <c r="I15" s="16">
        <v>14592</v>
      </c>
      <c r="J15" s="16">
        <v>64</v>
      </c>
      <c r="K15" s="16">
        <v>2</v>
      </c>
      <c r="L15" s="16">
        <v>2</v>
      </c>
      <c r="M15" s="30">
        <v>11.0258</v>
      </c>
    </row>
    <row r="16" spans="1:13" x14ac:dyDescent="0.25">
      <c r="A16">
        <f t="shared" si="0"/>
        <v>13056</v>
      </c>
      <c r="B16" s="16">
        <v>13056</v>
      </c>
      <c r="C16" s="16">
        <v>96</v>
      </c>
      <c r="D16" s="16">
        <v>1</v>
      </c>
      <c r="E16" s="16">
        <v>4</v>
      </c>
      <c r="F16" s="30">
        <v>9.9669200000000018</v>
      </c>
      <c r="H16">
        <f t="shared" si="1"/>
        <v>13056</v>
      </c>
      <c r="I16" s="16">
        <v>13056</v>
      </c>
      <c r="J16" s="16">
        <v>96</v>
      </c>
      <c r="K16" s="16">
        <v>1</v>
      </c>
      <c r="L16" s="16">
        <v>4</v>
      </c>
      <c r="M16" s="30">
        <v>11.2166</v>
      </c>
    </row>
    <row r="17" spans="1:13" x14ac:dyDescent="0.25">
      <c r="A17">
        <f t="shared" si="0"/>
        <v>13824</v>
      </c>
      <c r="B17" s="16">
        <v>13824</v>
      </c>
      <c r="C17" s="16">
        <v>96</v>
      </c>
      <c r="D17" s="16">
        <v>1</v>
      </c>
      <c r="E17" s="16">
        <v>4</v>
      </c>
      <c r="F17" s="30">
        <v>8.9986999999999995</v>
      </c>
      <c r="H17">
        <f t="shared" si="1"/>
        <v>13824</v>
      </c>
      <c r="I17" s="16">
        <v>13824</v>
      </c>
      <c r="J17" s="16">
        <v>96</v>
      </c>
      <c r="K17" s="16">
        <v>1</v>
      </c>
      <c r="L17" s="16">
        <v>4</v>
      </c>
      <c r="M17" s="30">
        <v>10.9412</v>
      </c>
    </row>
    <row r="18" spans="1:13" x14ac:dyDescent="0.25">
      <c r="A18">
        <f t="shared" si="0"/>
        <v>14592</v>
      </c>
      <c r="B18" s="16">
        <v>14592</v>
      </c>
      <c r="C18" s="16">
        <v>96</v>
      </c>
      <c r="D18" s="16">
        <v>1</v>
      </c>
      <c r="E18" s="16">
        <v>4</v>
      </c>
      <c r="F18" s="30">
        <v>10.1142</v>
      </c>
      <c r="H18">
        <f t="shared" si="1"/>
        <v>14592</v>
      </c>
      <c r="I18" s="16">
        <v>14592</v>
      </c>
      <c r="J18" s="16">
        <v>96</v>
      </c>
      <c r="K18" s="16">
        <v>1</v>
      </c>
      <c r="L18" s="16">
        <v>4</v>
      </c>
      <c r="M18" s="30">
        <v>11.337399999999999</v>
      </c>
    </row>
    <row r="19" spans="1:13" x14ac:dyDescent="0.25">
      <c r="A19">
        <f t="shared" si="0"/>
        <v>13056</v>
      </c>
      <c r="B19" s="16">
        <v>13056</v>
      </c>
      <c r="C19" s="16">
        <v>96</v>
      </c>
      <c r="D19" s="16">
        <v>2</v>
      </c>
      <c r="E19" s="16">
        <v>2</v>
      </c>
      <c r="F19" s="30">
        <v>10.223800000000001</v>
      </c>
      <c r="H19">
        <f t="shared" si="1"/>
        <v>13056</v>
      </c>
      <c r="I19" s="16">
        <v>13056</v>
      </c>
      <c r="J19" s="16">
        <v>96</v>
      </c>
      <c r="K19" s="16">
        <v>2</v>
      </c>
      <c r="L19" s="16">
        <v>2</v>
      </c>
      <c r="M19" s="30">
        <v>11.1762</v>
      </c>
    </row>
    <row r="20" spans="1:13" x14ac:dyDescent="0.25">
      <c r="A20">
        <f t="shared" si="0"/>
        <v>13824</v>
      </c>
      <c r="B20" s="16">
        <v>13824</v>
      </c>
      <c r="C20" s="16">
        <v>96</v>
      </c>
      <c r="D20" s="16">
        <v>2</v>
      </c>
      <c r="E20" s="16">
        <v>2</v>
      </c>
      <c r="F20" s="30">
        <v>10.0684</v>
      </c>
      <c r="H20">
        <f t="shared" si="1"/>
        <v>13824</v>
      </c>
      <c r="I20" s="16">
        <v>13824</v>
      </c>
      <c r="J20" s="16">
        <v>96</v>
      </c>
      <c r="K20" s="16">
        <v>2</v>
      </c>
      <c r="L20" s="16">
        <v>2</v>
      </c>
      <c r="M20" s="30">
        <v>11.195199999999998</v>
      </c>
    </row>
    <row r="21" spans="1:13" x14ac:dyDescent="0.25">
      <c r="A21">
        <f t="shared" si="0"/>
        <v>14592</v>
      </c>
      <c r="B21" s="16">
        <v>14592</v>
      </c>
      <c r="C21" s="16">
        <v>96</v>
      </c>
      <c r="D21" s="16">
        <v>2</v>
      </c>
      <c r="E21" s="16">
        <v>2</v>
      </c>
      <c r="F21" s="30">
        <v>10.352600000000001</v>
      </c>
      <c r="H21">
        <f t="shared" si="1"/>
        <v>14592</v>
      </c>
      <c r="I21" s="16">
        <v>14592</v>
      </c>
      <c r="J21" s="16">
        <v>96</v>
      </c>
      <c r="K21" s="16">
        <v>2</v>
      </c>
      <c r="L21" s="16">
        <v>2</v>
      </c>
      <c r="M21" s="30">
        <v>11.309800000000001</v>
      </c>
    </row>
    <row r="22" spans="1:13" x14ac:dyDescent="0.25">
      <c r="A22">
        <f t="shared" si="0"/>
        <v>13056</v>
      </c>
      <c r="B22" s="16">
        <v>13056</v>
      </c>
      <c r="C22" s="16">
        <v>128</v>
      </c>
      <c r="D22" s="16">
        <v>1</v>
      </c>
      <c r="E22" s="16">
        <v>4</v>
      </c>
      <c r="F22" s="30">
        <v>10.1876</v>
      </c>
      <c r="H22">
        <f t="shared" si="1"/>
        <v>13056</v>
      </c>
      <c r="I22" s="16">
        <v>13056</v>
      </c>
      <c r="J22" s="16">
        <v>128</v>
      </c>
      <c r="K22" s="16">
        <v>1</v>
      </c>
      <c r="L22" s="16">
        <v>4</v>
      </c>
      <c r="M22" s="30">
        <v>10.886199999999999</v>
      </c>
    </row>
    <row r="23" spans="1:13" x14ac:dyDescent="0.25">
      <c r="A23">
        <f t="shared" si="0"/>
        <v>13824</v>
      </c>
      <c r="B23" s="16">
        <v>13824</v>
      </c>
      <c r="C23" s="16">
        <v>128</v>
      </c>
      <c r="D23" s="16">
        <v>1</v>
      </c>
      <c r="E23" s="16">
        <v>4</v>
      </c>
      <c r="F23" s="30">
        <v>9.2961600000000004</v>
      </c>
      <c r="H23">
        <f t="shared" si="1"/>
        <v>13824</v>
      </c>
      <c r="I23" s="16">
        <v>13824</v>
      </c>
      <c r="J23" s="16">
        <v>128</v>
      </c>
      <c r="K23" s="16">
        <v>1</v>
      </c>
      <c r="L23" s="16">
        <v>4</v>
      </c>
      <c r="M23" s="30">
        <v>10.328799999999999</v>
      </c>
    </row>
    <row r="24" spans="1:13" x14ac:dyDescent="0.25">
      <c r="A24">
        <f t="shared" si="0"/>
        <v>14592</v>
      </c>
      <c r="B24" s="16">
        <v>14592</v>
      </c>
      <c r="C24" s="16">
        <v>128</v>
      </c>
      <c r="D24" s="16">
        <v>1</v>
      </c>
      <c r="E24" s="16">
        <v>4</v>
      </c>
      <c r="F24" s="30">
        <v>10.334199999999999</v>
      </c>
      <c r="H24">
        <f t="shared" si="1"/>
        <v>14592</v>
      </c>
      <c r="I24" s="16">
        <v>14592</v>
      </c>
      <c r="J24" s="16">
        <v>128</v>
      </c>
      <c r="K24" s="16">
        <v>1</v>
      </c>
      <c r="L24" s="16">
        <v>4</v>
      </c>
      <c r="M24" s="30">
        <v>10.9862</v>
      </c>
    </row>
    <row r="25" spans="1:13" x14ac:dyDescent="0.25">
      <c r="A25">
        <f t="shared" si="0"/>
        <v>13056</v>
      </c>
      <c r="B25" s="16">
        <v>13056</v>
      </c>
      <c r="C25" s="16">
        <v>128</v>
      </c>
      <c r="D25" s="16">
        <v>2</v>
      </c>
      <c r="E25" s="16">
        <v>2</v>
      </c>
      <c r="F25" s="30">
        <v>10.4034</v>
      </c>
      <c r="H25">
        <f t="shared" si="1"/>
        <v>13056</v>
      </c>
      <c r="I25" s="16">
        <v>13056</v>
      </c>
      <c r="J25" s="16">
        <v>128</v>
      </c>
      <c r="K25" s="16">
        <v>2</v>
      </c>
      <c r="L25" s="16">
        <v>2</v>
      </c>
      <c r="M25" s="30">
        <v>10.9</v>
      </c>
    </row>
    <row r="26" spans="1:13" x14ac:dyDescent="0.25">
      <c r="A26">
        <f t="shared" si="0"/>
        <v>13824</v>
      </c>
      <c r="B26" s="16">
        <v>13824</v>
      </c>
      <c r="C26" s="16">
        <v>128</v>
      </c>
      <c r="D26" s="16">
        <v>2</v>
      </c>
      <c r="E26" s="16">
        <v>2</v>
      </c>
      <c r="F26" s="30">
        <v>10.2494</v>
      </c>
      <c r="H26">
        <f t="shared" si="1"/>
        <v>13824</v>
      </c>
      <c r="I26" s="16">
        <v>13824</v>
      </c>
      <c r="J26" s="16">
        <v>128</v>
      </c>
      <c r="K26" s="16">
        <v>2</v>
      </c>
      <c r="L26" s="16">
        <v>2</v>
      </c>
      <c r="M26" s="30">
        <v>10.905200000000001</v>
      </c>
    </row>
    <row r="27" spans="1:13" x14ac:dyDescent="0.25">
      <c r="A27">
        <f t="shared" si="0"/>
        <v>14592</v>
      </c>
      <c r="B27" s="16">
        <v>14592</v>
      </c>
      <c r="C27" s="16">
        <v>128</v>
      </c>
      <c r="D27" s="16">
        <v>2</v>
      </c>
      <c r="E27" s="16">
        <v>2</v>
      </c>
      <c r="F27" s="30">
        <v>10.5212</v>
      </c>
      <c r="H27">
        <f t="shared" si="1"/>
        <v>14592</v>
      </c>
      <c r="I27" s="16">
        <v>14592</v>
      </c>
      <c r="J27" s="16">
        <v>128</v>
      </c>
      <c r="K27" s="16">
        <v>2</v>
      </c>
      <c r="L27" s="16">
        <v>2</v>
      </c>
      <c r="M27" s="30">
        <v>11.033600000000002</v>
      </c>
    </row>
    <row r="28" spans="1:13" x14ac:dyDescent="0.25">
      <c r="A28">
        <f t="shared" si="0"/>
        <v>13056</v>
      </c>
      <c r="B28" s="16">
        <v>12960</v>
      </c>
      <c r="C28" s="16">
        <v>160</v>
      </c>
      <c r="D28" s="16">
        <v>1</v>
      </c>
      <c r="E28" s="16">
        <v>4</v>
      </c>
      <c r="F28" s="30">
        <v>10.572199999999999</v>
      </c>
      <c r="H28">
        <f t="shared" si="1"/>
        <v>13056</v>
      </c>
      <c r="I28" s="16">
        <v>12960</v>
      </c>
      <c r="J28" s="16">
        <v>160</v>
      </c>
      <c r="K28" s="16">
        <v>1</v>
      </c>
      <c r="L28" s="16">
        <v>4</v>
      </c>
      <c r="M28" s="30">
        <v>11.001999999999999</v>
      </c>
    </row>
    <row r="29" spans="1:13" x14ac:dyDescent="0.25">
      <c r="A29">
        <f t="shared" si="0"/>
        <v>13824</v>
      </c>
      <c r="B29" s="16">
        <v>13760</v>
      </c>
      <c r="C29" s="16">
        <v>160</v>
      </c>
      <c r="D29" s="16">
        <v>1</v>
      </c>
      <c r="E29" s="16">
        <v>4</v>
      </c>
      <c r="F29" s="30">
        <v>10.6022</v>
      </c>
      <c r="H29">
        <f t="shared" si="1"/>
        <v>13824</v>
      </c>
      <c r="I29" s="16">
        <v>13760</v>
      </c>
      <c r="J29" s="16">
        <v>160</v>
      </c>
      <c r="K29" s="16">
        <v>1</v>
      </c>
      <c r="L29" s="16">
        <v>4</v>
      </c>
      <c r="M29" s="30">
        <v>11.050800000000001</v>
      </c>
    </row>
    <row r="30" spans="1:13" x14ac:dyDescent="0.25">
      <c r="A30">
        <f t="shared" si="0"/>
        <v>14592</v>
      </c>
      <c r="B30" s="16">
        <v>14560</v>
      </c>
      <c r="C30" s="16">
        <v>160</v>
      </c>
      <c r="D30" s="16">
        <v>1</v>
      </c>
      <c r="E30" s="16">
        <v>4</v>
      </c>
      <c r="F30" s="30">
        <v>10.5938</v>
      </c>
      <c r="H30">
        <f t="shared" si="1"/>
        <v>14592</v>
      </c>
      <c r="I30" s="16">
        <v>14560</v>
      </c>
      <c r="J30" s="16">
        <v>160</v>
      </c>
      <c r="K30" s="16">
        <v>1</v>
      </c>
      <c r="L30" s="16">
        <v>4</v>
      </c>
      <c r="M30" s="30">
        <v>11.106800000000002</v>
      </c>
    </row>
    <row r="31" spans="1:13" x14ac:dyDescent="0.25">
      <c r="A31">
        <f t="shared" si="0"/>
        <v>13056</v>
      </c>
      <c r="B31" s="16">
        <v>12960</v>
      </c>
      <c r="C31" s="16">
        <v>160</v>
      </c>
      <c r="D31" s="16">
        <v>2</v>
      </c>
      <c r="E31" s="16">
        <v>2</v>
      </c>
      <c r="F31" s="30">
        <v>10.601800000000001</v>
      </c>
      <c r="H31">
        <f t="shared" si="1"/>
        <v>13056</v>
      </c>
      <c r="I31" s="16">
        <v>12960</v>
      </c>
      <c r="J31" s="16">
        <v>160</v>
      </c>
      <c r="K31" s="16">
        <v>2</v>
      </c>
      <c r="L31" s="16">
        <v>2</v>
      </c>
      <c r="M31" s="30">
        <v>11.020399999999999</v>
      </c>
    </row>
    <row r="32" spans="1:13" x14ac:dyDescent="0.25">
      <c r="A32">
        <f t="shared" si="0"/>
        <v>13824</v>
      </c>
      <c r="B32" s="16">
        <v>13760</v>
      </c>
      <c r="C32" s="16">
        <v>160</v>
      </c>
      <c r="D32" s="16">
        <v>2</v>
      </c>
      <c r="E32" s="16">
        <v>2</v>
      </c>
      <c r="F32" s="30">
        <v>10.719999999999999</v>
      </c>
      <c r="H32">
        <f t="shared" si="1"/>
        <v>13824</v>
      </c>
      <c r="I32" s="16">
        <v>13760</v>
      </c>
      <c r="J32" s="16">
        <v>160</v>
      </c>
      <c r="K32" s="16">
        <v>2</v>
      </c>
      <c r="L32" s="16">
        <v>2</v>
      </c>
      <c r="M32" s="30">
        <v>11.105799999999999</v>
      </c>
    </row>
    <row r="33" spans="1:13" x14ac:dyDescent="0.25">
      <c r="A33">
        <f t="shared" si="0"/>
        <v>14592</v>
      </c>
      <c r="B33" s="16">
        <v>14560</v>
      </c>
      <c r="C33" s="16">
        <v>160</v>
      </c>
      <c r="D33" s="16">
        <v>2</v>
      </c>
      <c r="E33" s="16">
        <v>2</v>
      </c>
      <c r="F33" s="30">
        <v>10.793400000000002</v>
      </c>
      <c r="H33">
        <f t="shared" si="1"/>
        <v>14592</v>
      </c>
      <c r="I33" s="16">
        <v>14560</v>
      </c>
      <c r="J33" s="16">
        <v>160</v>
      </c>
      <c r="K33" s="16">
        <v>2</v>
      </c>
      <c r="L33" s="16">
        <v>2</v>
      </c>
      <c r="M33" s="30">
        <v>11.197800000000001</v>
      </c>
    </row>
    <row r="34" spans="1:13" x14ac:dyDescent="0.25">
      <c r="A34">
        <f t="shared" si="0"/>
        <v>13056</v>
      </c>
      <c r="B34" s="16">
        <v>13056</v>
      </c>
      <c r="C34" s="16">
        <v>192</v>
      </c>
      <c r="D34" s="16">
        <v>1</v>
      </c>
      <c r="E34" s="16">
        <v>4</v>
      </c>
      <c r="F34" s="30">
        <v>10.377799999999999</v>
      </c>
      <c r="H34">
        <f t="shared" si="1"/>
        <v>13056</v>
      </c>
      <c r="I34" s="16">
        <v>13056</v>
      </c>
      <c r="J34" s="16">
        <v>192</v>
      </c>
      <c r="K34" s="16">
        <v>1</v>
      </c>
      <c r="L34" s="16">
        <v>4</v>
      </c>
      <c r="M34" s="30">
        <v>10.989999999999998</v>
      </c>
    </row>
    <row r="35" spans="1:13" x14ac:dyDescent="0.25">
      <c r="A35">
        <f t="shared" si="0"/>
        <v>13824</v>
      </c>
      <c r="B35" s="16">
        <v>13824</v>
      </c>
      <c r="C35" s="16">
        <v>192</v>
      </c>
      <c r="D35" s="16">
        <v>1</v>
      </c>
      <c r="E35" s="16">
        <v>4</v>
      </c>
      <c r="F35" s="30">
        <v>9.5838600000000014</v>
      </c>
      <c r="H35">
        <f t="shared" si="1"/>
        <v>13824</v>
      </c>
      <c r="I35" s="16">
        <v>13824</v>
      </c>
      <c r="J35" s="16">
        <v>192</v>
      </c>
      <c r="K35" s="16">
        <v>1</v>
      </c>
      <c r="L35" s="16">
        <v>4</v>
      </c>
      <c r="M35" s="30">
        <v>10.734</v>
      </c>
    </row>
    <row r="36" spans="1:13" x14ac:dyDescent="0.25">
      <c r="A36">
        <f t="shared" si="0"/>
        <v>14592</v>
      </c>
      <c r="B36" s="16">
        <v>14592</v>
      </c>
      <c r="C36" s="16">
        <v>192</v>
      </c>
      <c r="D36" s="16">
        <v>1</v>
      </c>
      <c r="E36" s="16">
        <v>4</v>
      </c>
      <c r="F36" s="30">
        <v>10.571200000000001</v>
      </c>
      <c r="H36">
        <f t="shared" si="1"/>
        <v>14592</v>
      </c>
      <c r="I36" s="16">
        <v>14592</v>
      </c>
      <c r="J36" s="16">
        <v>192</v>
      </c>
      <c r="K36" s="16">
        <v>1</v>
      </c>
      <c r="L36" s="16">
        <v>4</v>
      </c>
      <c r="M36" s="30">
        <v>11.1576</v>
      </c>
    </row>
    <row r="37" spans="1:13" x14ac:dyDescent="0.25">
      <c r="A37">
        <f t="shared" si="0"/>
        <v>13056</v>
      </c>
      <c r="B37" s="16">
        <v>13056</v>
      </c>
      <c r="C37" s="16">
        <v>192</v>
      </c>
      <c r="D37" s="16">
        <v>2</v>
      </c>
      <c r="E37" s="16">
        <v>2</v>
      </c>
      <c r="F37" s="30">
        <v>10.526199999999999</v>
      </c>
      <c r="H37">
        <f t="shared" si="1"/>
        <v>13056</v>
      </c>
      <c r="I37" s="16">
        <v>13056</v>
      </c>
      <c r="J37" s="16">
        <v>192</v>
      </c>
      <c r="K37" s="16">
        <v>2</v>
      </c>
      <c r="L37" s="16">
        <v>2</v>
      </c>
      <c r="M37" s="30">
        <v>11.038</v>
      </c>
    </row>
    <row r="38" spans="1:13" x14ac:dyDescent="0.25">
      <c r="A38">
        <f t="shared" si="0"/>
        <v>13824</v>
      </c>
      <c r="B38" s="16">
        <v>13824</v>
      </c>
      <c r="C38" s="16">
        <v>192</v>
      </c>
      <c r="D38" s="16">
        <v>2</v>
      </c>
      <c r="E38" s="16">
        <v>2</v>
      </c>
      <c r="F38" s="30">
        <v>10.400600000000001</v>
      </c>
      <c r="H38">
        <f t="shared" si="1"/>
        <v>13824</v>
      </c>
      <c r="I38" s="16">
        <v>13824</v>
      </c>
      <c r="J38" s="16">
        <v>192</v>
      </c>
      <c r="K38" s="16">
        <v>2</v>
      </c>
      <c r="L38" s="16">
        <v>2</v>
      </c>
      <c r="M38" s="30">
        <v>11.076599999999999</v>
      </c>
    </row>
    <row r="39" spans="1:13" x14ac:dyDescent="0.25">
      <c r="A39">
        <f t="shared" si="0"/>
        <v>14592</v>
      </c>
      <c r="B39" s="16">
        <v>14592</v>
      </c>
      <c r="C39" s="16">
        <v>192</v>
      </c>
      <c r="D39" s="16">
        <v>2</v>
      </c>
      <c r="E39" s="16">
        <v>2</v>
      </c>
      <c r="F39" s="30">
        <v>10.659599999999999</v>
      </c>
      <c r="H39">
        <f t="shared" si="1"/>
        <v>14592</v>
      </c>
      <c r="I39" s="16">
        <v>14592</v>
      </c>
      <c r="J39" s="16">
        <v>192</v>
      </c>
      <c r="K39" s="16">
        <v>2</v>
      </c>
      <c r="L39" s="16">
        <v>2</v>
      </c>
      <c r="M39" s="30">
        <v>11.215799999999998</v>
      </c>
    </row>
    <row r="40" spans="1:13" x14ac:dyDescent="0.25">
      <c r="A40">
        <f t="shared" si="0"/>
        <v>13056</v>
      </c>
      <c r="B40" s="16">
        <v>12992</v>
      </c>
      <c r="C40" s="16">
        <v>224</v>
      </c>
      <c r="D40" s="16">
        <v>1</v>
      </c>
      <c r="E40" s="16">
        <v>4</v>
      </c>
      <c r="F40" s="30">
        <v>10.417400000000001</v>
      </c>
      <c r="H40">
        <f t="shared" si="1"/>
        <v>13056</v>
      </c>
      <c r="I40" s="16">
        <v>12992</v>
      </c>
      <c r="J40" s="16">
        <v>224</v>
      </c>
      <c r="K40" s="16">
        <v>1</v>
      </c>
      <c r="L40" s="16">
        <v>4</v>
      </c>
      <c r="M40" s="30">
        <v>10.962400000000001</v>
      </c>
    </row>
    <row r="41" spans="1:13" x14ac:dyDescent="0.25">
      <c r="A41">
        <f t="shared" si="0"/>
        <v>13824</v>
      </c>
      <c r="B41" s="16">
        <v>13664</v>
      </c>
      <c r="C41" s="16">
        <v>224</v>
      </c>
      <c r="D41" s="16">
        <v>1</v>
      </c>
      <c r="E41" s="16">
        <v>4</v>
      </c>
      <c r="F41" s="30">
        <v>10.4962</v>
      </c>
      <c r="H41">
        <f t="shared" si="1"/>
        <v>13824</v>
      </c>
      <c r="I41" s="16">
        <v>13664</v>
      </c>
      <c r="J41" s="16">
        <v>224</v>
      </c>
      <c r="K41" s="16">
        <v>1</v>
      </c>
      <c r="L41" s="16">
        <v>4</v>
      </c>
      <c r="M41" s="30">
        <v>11.0358</v>
      </c>
    </row>
    <row r="42" spans="1:13" x14ac:dyDescent="0.25">
      <c r="A42">
        <f t="shared" si="0"/>
        <v>14592</v>
      </c>
      <c r="B42" s="16">
        <v>14560</v>
      </c>
      <c r="C42" s="16">
        <v>224</v>
      </c>
      <c r="D42" s="16">
        <v>1</v>
      </c>
      <c r="E42" s="16">
        <v>4</v>
      </c>
      <c r="F42" s="30">
        <v>10.4696</v>
      </c>
      <c r="H42">
        <f t="shared" si="1"/>
        <v>14592</v>
      </c>
      <c r="I42" s="16">
        <v>14560</v>
      </c>
      <c r="J42" s="16">
        <v>224</v>
      </c>
      <c r="K42" s="16">
        <v>1</v>
      </c>
      <c r="L42" s="16">
        <v>4</v>
      </c>
      <c r="M42" s="30">
        <v>11.102799999999998</v>
      </c>
    </row>
    <row r="43" spans="1:13" x14ac:dyDescent="0.25">
      <c r="A43">
        <f t="shared" si="0"/>
        <v>13056</v>
      </c>
      <c r="B43" s="16">
        <v>12992</v>
      </c>
      <c r="C43" s="16">
        <v>224</v>
      </c>
      <c r="D43" s="16">
        <v>2</v>
      </c>
      <c r="E43" s="16">
        <v>2</v>
      </c>
      <c r="F43" s="30">
        <v>10.5868</v>
      </c>
      <c r="H43">
        <f t="shared" si="1"/>
        <v>13056</v>
      </c>
      <c r="I43" s="16">
        <v>12992</v>
      </c>
      <c r="J43" s="16">
        <v>224</v>
      </c>
      <c r="K43" s="16">
        <v>2</v>
      </c>
      <c r="L43" s="16">
        <v>2</v>
      </c>
      <c r="M43" s="30">
        <v>11.0138</v>
      </c>
    </row>
    <row r="44" spans="1:13" x14ac:dyDescent="0.25">
      <c r="A44">
        <f t="shared" si="0"/>
        <v>13824</v>
      </c>
      <c r="B44" s="16">
        <v>13664</v>
      </c>
      <c r="C44" s="16">
        <v>224</v>
      </c>
      <c r="D44" s="16">
        <v>2</v>
      </c>
      <c r="E44" s="16">
        <v>2</v>
      </c>
      <c r="F44" s="30">
        <v>10.655800000000001</v>
      </c>
      <c r="H44">
        <f t="shared" si="1"/>
        <v>13824</v>
      </c>
      <c r="I44" s="16">
        <v>13664</v>
      </c>
      <c r="J44" s="16">
        <v>224</v>
      </c>
      <c r="K44" s="16">
        <v>2</v>
      </c>
      <c r="L44" s="16">
        <v>2</v>
      </c>
      <c r="M44" s="30">
        <v>11.142799999999998</v>
      </c>
    </row>
    <row r="45" spans="1:13" x14ac:dyDescent="0.25">
      <c r="A45">
        <f t="shared" si="0"/>
        <v>14592</v>
      </c>
      <c r="B45" s="16">
        <v>14560</v>
      </c>
      <c r="C45" s="16">
        <v>224</v>
      </c>
      <c r="D45" s="16">
        <v>2</v>
      </c>
      <c r="E45" s="16">
        <v>2</v>
      </c>
      <c r="F45" s="30">
        <v>10.662599999999999</v>
      </c>
      <c r="H45">
        <f t="shared" si="1"/>
        <v>14592</v>
      </c>
      <c r="I45" s="16">
        <v>14560</v>
      </c>
      <c r="J45" s="16">
        <v>224</v>
      </c>
      <c r="K45" s="16">
        <v>2</v>
      </c>
      <c r="L45" s="16">
        <v>2</v>
      </c>
      <c r="M45" s="30">
        <v>11.181999999999999</v>
      </c>
    </row>
    <row r="46" spans="1:13" x14ac:dyDescent="0.25">
      <c r="A46">
        <f t="shared" si="0"/>
        <v>13056</v>
      </c>
      <c r="B46" s="16">
        <v>13056</v>
      </c>
      <c r="C46" s="16">
        <v>256</v>
      </c>
      <c r="D46" s="16">
        <v>1</v>
      </c>
      <c r="E46" s="16">
        <v>4</v>
      </c>
      <c r="F46" s="30">
        <v>10.209</v>
      </c>
      <c r="H46">
        <f t="shared" si="1"/>
        <v>13056</v>
      </c>
      <c r="I46" s="16">
        <v>13056</v>
      </c>
      <c r="J46" s="16">
        <v>256</v>
      </c>
      <c r="K46" s="16">
        <v>1</v>
      </c>
      <c r="L46" s="16">
        <v>4</v>
      </c>
      <c r="M46" s="30">
        <v>10.608599999999999</v>
      </c>
    </row>
    <row r="47" spans="1:13" x14ac:dyDescent="0.25">
      <c r="A47">
        <f t="shared" si="0"/>
        <v>13824</v>
      </c>
      <c r="B47" s="16">
        <v>13824</v>
      </c>
      <c r="C47" s="16">
        <v>256</v>
      </c>
      <c r="D47" s="16">
        <v>1</v>
      </c>
      <c r="E47" s="16">
        <v>4</v>
      </c>
      <c r="F47" s="30">
        <v>9.44754</v>
      </c>
      <c r="H47">
        <f t="shared" si="1"/>
        <v>13824</v>
      </c>
      <c r="I47" s="16">
        <v>13824</v>
      </c>
      <c r="J47" s="16">
        <v>256</v>
      </c>
      <c r="K47" s="16">
        <v>1</v>
      </c>
      <c r="L47" s="16">
        <v>4</v>
      </c>
      <c r="M47" s="30">
        <v>10.273400000000001</v>
      </c>
    </row>
    <row r="48" spans="1:13" x14ac:dyDescent="0.25">
      <c r="A48">
        <f t="shared" si="0"/>
        <v>14592</v>
      </c>
      <c r="B48" s="16">
        <v>14592</v>
      </c>
      <c r="C48" s="16">
        <v>256</v>
      </c>
      <c r="D48" s="16">
        <v>1</v>
      </c>
      <c r="E48" s="16">
        <v>4</v>
      </c>
      <c r="F48" s="30">
        <v>10.452</v>
      </c>
      <c r="H48">
        <f t="shared" si="1"/>
        <v>14592</v>
      </c>
      <c r="I48" s="16">
        <v>14592</v>
      </c>
      <c r="J48" s="16">
        <v>256</v>
      </c>
      <c r="K48" s="16">
        <v>1</v>
      </c>
      <c r="L48" s="16">
        <v>4</v>
      </c>
      <c r="M48" s="30">
        <v>10.793600000000001</v>
      </c>
    </row>
    <row r="49" spans="1:13" x14ac:dyDescent="0.25">
      <c r="A49">
        <f t="shared" si="0"/>
        <v>13056</v>
      </c>
      <c r="B49" s="16">
        <v>13056</v>
      </c>
      <c r="C49" s="16">
        <v>256</v>
      </c>
      <c r="D49" s="16">
        <v>2</v>
      </c>
      <c r="E49" s="16">
        <v>2</v>
      </c>
      <c r="F49" s="30">
        <v>10.358599999999999</v>
      </c>
      <c r="H49">
        <f t="shared" si="1"/>
        <v>13056</v>
      </c>
      <c r="I49" s="16">
        <v>13056</v>
      </c>
      <c r="J49" s="16">
        <v>256</v>
      </c>
      <c r="K49" s="16">
        <v>2</v>
      </c>
      <c r="L49" s="16">
        <v>2</v>
      </c>
      <c r="M49" s="30">
        <v>10.786000000000001</v>
      </c>
    </row>
    <row r="50" spans="1:13" x14ac:dyDescent="0.25">
      <c r="A50">
        <f t="shared" si="0"/>
        <v>13824</v>
      </c>
      <c r="B50" s="16">
        <v>13824</v>
      </c>
      <c r="C50" s="16">
        <v>256</v>
      </c>
      <c r="D50" s="16">
        <v>2</v>
      </c>
      <c r="E50" s="16">
        <v>2</v>
      </c>
      <c r="F50" s="30">
        <v>10.335599999999999</v>
      </c>
      <c r="H50">
        <f t="shared" si="1"/>
        <v>13824</v>
      </c>
      <c r="I50" s="16">
        <v>13824</v>
      </c>
      <c r="J50" s="16">
        <v>256</v>
      </c>
      <c r="K50" s="16">
        <v>2</v>
      </c>
      <c r="L50" s="16">
        <v>2</v>
      </c>
      <c r="M50" s="30">
        <v>10.764200000000001</v>
      </c>
    </row>
    <row r="51" spans="1:13" x14ac:dyDescent="0.25">
      <c r="A51">
        <f t="shared" si="0"/>
        <v>14592</v>
      </c>
      <c r="B51" s="16">
        <v>14592</v>
      </c>
      <c r="C51" s="16">
        <v>256</v>
      </c>
      <c r="D51" s="16">
        <v>2</v>
      </c>
      <c r="E51" s="16">
        <v>2</v>
      </c>
      <c r="F51" s="30">
        <v>10.537399999999998</v>
      </c>
      <c r="H51">
        <f t="shared" si="1"/>
        <v>14592</v>
      </c>
      <c r="I51" s="16">
        <v>14592</v>
      </c>
      <c r="J51" s="16">
        <v>256</v>
      </c>
      <c r="K51" s="16">
        <v>2</v>
      </c>
      <c r="L51" s="16">
        <v>2</v>
      </c>
      <c r="M51" s="30">
        <v>10.9552</v>
      </c>
    </row>
    <row r="52" spans="1:13" x14ac:dyDescent="0.25">
      <c r="A52">
        <f t="shared" si="0"/>
        <v>13056</v>
      </c>
      <c r="B52" s="16">
        <v>0</v>
      </c>
      <c r="C52" s="16">
        <v>0</v>
      </c>
      <c r="D52" s="16">
        <v>0</v>
      </c>
      <c r="E52" s="16">
        <v>0</v>
      </c>
      <c r="F52" s="30">
        <v>0</v>
      </c>
      <c r="H52">
        <f t="shared" si="1"/>
        <v>14592</v>
      </c>
      <c r="I52" s="16">
        <v>14544</v>
      </c>
      <c r="J52" s="16">
        <v>144</v>
      </c>
      <c r="K52" s="16">
        <v>2</v>
      </c>
      <c r="L52" s="16">
        <v>2</v>
      </c>
      <c r="M52" s="30">
        <v>11.258599999999999</v>
      </c>
    </row>
    <row r="53" spans="1:13" x14ac:dyDescent="0.25">
      <c r="A53">
        <f t="shared" si="0"/>
        <v>13056</v>
      </c>
      <c r="B53" s="16">
        <v>0</v>
      </c>
      <c r="C53" s="16">
        <v>0</v>
      </c>
      <c r="D53" s="16">
        <v>0</v>
      </c>
      <c r="E53" s="16">
        <v>0</v>
      </c>
      <c r="F53" s="30">
        <v>0</v>
      </c>
      <c r="H53">
        <f t="shared" si="1"/>
        <v>14592</v>
      </c>
      <c r="I53" s="16">
        <v>14592</v>
      </c>
      <c r="J53" s="16">
        <v>152</v>
      </c>
      <c r="K53" s="16">
        <v>2</v>
      </c>
      <c r="L53" s="16">
        <v>2</v>
      </c>
      <c r="M53" s="30">
        <v>11.118199999999998</v>
      </c>
    </row>
    <row r="54" spans="1:13" x14ac:dyDescent="0.25">
      <c r="A54">
        <f t="shared" si="0"/>
        <v>13056</v>
      </c>
      <c r="B54" s="16">
        <v>0</v>
      </c>
      <c r="C54" s="16">
        <v>0</v>
      </c>
      <c r="D54" s="16">
        <v>0</v>
      </c>
      <c r="E54" s="16">
        <v>0</v>
      </c>
      <c r="F54" s="30">
        <v>0</v>
      </c>
      <c r="H54">
        <f t="shared" si="1"/>
        <v>14592</v>
      </c>
      <c r="I54" s="16">
        <v>14616</v>
      </c>
      <c r="J54" s="16">
        <v>168</v>
      </c>
      <c r="K54" s="16">
        <v>2</v>
      </c>
      <c r="L54" s="16">
        <v>2</v>
      </c>
      <c r="M54" s="30">
        <v>11.161199999999999</v>
      </c>
    </row>
    <row r="55" spans="1:13" x14ac:dyDescent="0.25">
      <c r="A55">
        <f t="shared" si="0"/>
        <v>13056</v>
      </c>
      <c r="B55" s="16">
        <v>0</v>
      </c>
      <c r="C55" s="16">
        <v>0</v>
      </c>
      <c r="D55" s="16">
        <v>0</v>
      </c>
      <c r="E55" s="16">
        <v>0</v>
      </c>
      <c r="F55" s="30">
        <v>0</v>
      </c>
      <c r="H55">
        <f t="shared" si="1"/>
        <v>14592</v>
      </c>
      <c r="I55" s="16">
        <v>14608</v>
      </c>
      <c r="J55" s="16">
        <v>176</v>
      </c>
      <c r="K55" s="16">
        <v>2</v>
      </c>
      <c r="L55" s="16">
        <v>2</v>
      </c>
      <c r="M55" s="30">
        <v>11.237</v>
      </c>
    </row>
    <row r="56" spans="1:13" x14ac:dyDescent="0.25">
      <c r="A56">
        <f t="shared" si="0"/>
        <v>13056</v>
      </c>
      <c r="B56" s="16">
        <v>0</v>
      </c>
      <c r="C56" s="16">
        <v>0</v>
      </c>
      <c r="D56" s="16">
        <v>0</v>
      </c>
      <c r="E56" s="16">
        <v>0</v>
      </c>
      <c r="F56" s="30">
        <v>0</v>
      </c>
      <c r="H56">
        <f t="shared" si="1"/>
        <v>14592</v>
      </c>
      <c r="I56" s="16">
        <v>14536</v>
      </c>
      <c r="J56" s="16">
        <v>184</v>
      </c>
      <c r="K56" s="16">
        <v>2</v>
      </c>
      <c r="L56" s="16">
        <v>2</v>
      </c>
      <c r="M56" s="30">
        <v>11.2362</v>
      </c>
    </row>
    <row r="57" spans="1:13" x14ac:dyDescent="0.25">
      <c r="A57">
        <f t="shared" si="0"/>
        <v>13056</v>
      </c>
      <c r="B57" s="16">
        <v>0</v>
      </c>
      <c r="C57" s="16">
        <v>0</v>
      </c>
      <c r="D57" s="16">
        <v>0</v>
      </c>
      <c r="E57" s="16">
        <v>0</v>
      </c>
      <c r="F57" s="30">
        <v>0</v>
      </c>
      <c r="H57">
        <f t="shared" si="1"/>
        <v>14592</v>
      </c>
      <c r="I57" s="16">
        <v>14560</v>
      </c>
      <c r="J57" s="16">
        <v>208</v>
      </c>
      <c r="K57" s="16">
        <v>2</v>
      </c>
      <c r="L57" s="16">
        <v>2</v>
      </c>
      <c r="M57" s="30">
        <v>11.245799999999999</v>
      </c>
    </row>
    <row r="58" spans="1:13" x14ac:dyDescent="0.25">
      <c r="A58">
        <f t="shared" si="0"/>
        <v>13056</v>
      </c>
      <c r="B58" s="16">
        <v>0</v>
      </c>
      <c r="C58" s="16">
        <v>0</v>
      </c>
      <c r="D58" s="16">
        <v>0</v>
      </c>
      <c r="E58" s="16">
        <v>0</v>
      </c>
      <c r="F58" s="30">
        <v>0</v>
      </c>
      <c r="H58">
        <f t="shared" si="1"/>
        <v>14592</v>
      </c>
      <c r="I58" s="16">
        <v>14472</v>
      </c>
      <c r="J58" s="16">
        <v>216</v>
      </c>
      <c r="K58" s="16">
        <v>2</v>
      </c>
      <c r="L58" s="16">
        <v>2</v>
      </c>
      <c r="M58" s="30">
        <v>11.2118</v>
      </c>
    </row>
    <row r="59" spans="1:13" x14ac:dyDescent="0.25">
      <c r="A59">
        <f t="shared" si="0"/>
        <v>13056</v>
      </c>
      <c r="B59" s="16">
        <v>0</v>
      </c>
      <c r="C59" s="16">
        <v>0</v>
      </c>
      <c r="D59" s="16">
        <v>0</v>
      </c>
      <c r="E59" s="16">
        <v>0</v>
      </c>
      <c r="F59" s="30">
        <v>0</v>
      </c>
      <c r="H59">
        <f t="shared" si="1"/>
        <v>14592</v>
      </c>
      <c r="I59" s="16">
        <v>14560</v>
      </c>
      <c r="J59" s="16">
        <v>224</v>
      </c>
      <c r="K59" s="16">
        <v>2</v>
      </c>
      <c r="L59" s="16">
        <v>2</v>
      </c>
      <c r="M59" s="30">
        <v>11.222999999999999</v>
      </c>
    </row>
    <row r="60" spans="1:13" x14ac:dyDescent="0.25">
      <c r="A60">
        <f t="shared" si="0"/>
        <v>13056</v>
      </c>
      <c r="B60" s="16">
        <v>0</v>
      </c>
      <c r="C60" s="16">
        <v>0</v>
      </c>
      <c r="D60" s="16">
        <v>0</v>
      </c>
      <c r="E60" s="16">
        <v>0</v>
      </c>
      <c r="F60" s="30">
        <v>0</v>
      </c>
      <c r="H60">
        <f t="shared" si="1"/>
        <v>13056</v>
      </c>
      <c r="I60" s="16">
        <v>0</v>
      </c>
      <c r="J60" s="16">
        <v>0</v>
      </c>
      <c r="K60" s="16">
        <v>0</v>
      </c>
      <c r="L60" s="16">
        <v>0</v>
      </c>
      <c r="M60" s="30">
        <v>0</v>
      </c>
    </row>
    <row r="61" spans="1:13" x14ac:dyDescent="0.25">
      <c r="A61">
        <f t="shared" si="0"/>
        <v>13056</v>
      </c>
      <c r="B61" s="16">
        <v>0</v>
      </c>
      <c r="C61" s="16">
        <v>0</v>
      </c>
      <c r="D61" s="16">
        <v>0</v>
      </c>
      <c r="E61" s="16">
        <v>0</v>
      </c>
      <c r="F61" s="30">
        <v>0</v>
      </c>
      <c r="H61">
        <f t="shared" si="1"/>
        <v>13056</v>
      </c>
      <c r="I61" s="16">
        <v>0</v>
      </c>
      <c r="J61" s="16">
        <v>0</v>
      </c>
      <c r="K61" s="16">
        <v>0</v>
      </c>
      <c r="L61" s="16">
        <v>0</v>
      </c>
      <c r="M61" s="30">
        <v>0</v>
      </c>
    </row>
    <row r="62" spans="1:13" x14ac:dyDescent="0.25">
      <c r="A62">
        <f t="shared" si="0"/>
        <v>13056</v>
      </c>
      <c r="B62" s="16">
        <v>0</v>
      </c>
      <c r="C62" s="16">
        <v>0</v>
      </c>
      <c r="D62" s="16">
        <v>0</v>
      </c>
      <c r="E62" s="16">
        <v>0</v>
      </c>
      <c r="F62" s="30">
        <v>0</v>
      </c>
      <c r="H62">
        <f t="shared" si="1"/>
        <v>13056</v>
      </c>
      <c r="I62" s="16">
        <v>0</v>
      </c>
      <c r="J62" s="16">
        <v>0</v>
      </c>
      <c r="K62" s="16">
        <v>0</v>
      </c>
      <c r="L62" s="16">
        <v>0</v>
      </c>
      <c r="M62" s="30">
        <v>0</v>
      </c>
    </row>
    <row r="63" spans="1:13" x14ac:dyDescent="0.25">
      <c r="A63">
        <f t="shared" si="0"/>
        <v>13056</v>
      </c>
      <c r="B63" s="16">
        <v>0</v>
      </c>
      <c r="C63" s="16">
        <v>0</v>
      </c>
      <c r="D63" s="16">
        <v>0</v>
      </c>
      <c r="E63" s="16">
        <v>0</v>
      </c>
      <c r="F63" s="30">
        <v>0</v>
      </c>
      <c r="H63">
        <f t="shared" si="1"/>
        <v>13056</v>
      </c>
      <c r="I63" s="16">
        <v>0</v>
      </c>
      <c r="J63" s="16">
        <v>0</v>
      </c>
      <c r="K63" s="16">
        <v>0</v>
      </c>
      <c r="L63" s="16">
        <v>0</v>
      </c>
      <c r="M63" s="30">
        <v>0</v>
      </c>
    </row>
    <row r="64" spans="1:13" x14ac:dyDescent="0.25">
      <c r="A64">
        <f t="shared" si="0"/>
        <v>13056</v>
      </c>
      <c r="B64" s="16">
        <v>0</v>
      </c>
      <c r="C64" s="16">
        <v>0</v>
      </c>
      <c r="D64" s="16">
        <v>0</v>
      </c>
      <c r="E64" s="16">
        <v>0</v>
      </c>
      <c r="F64" s="30">
        <v>0</v>
      </c>
      <c r="H64">
        <f t="shared" si="1"/>
        <v>13056</v>
      </c>
      <c r="I64" s="16">
        <v>0</v>
      </c>
      <c r="J64" s="16">
        <v>0</v>
      </c>
      <c r="K64" s="16">
        <v>0</v>
      </c>
      <c r="L64" s="16">
        <v>0</v>
      </c>
      <c r="M64" s="30">
        <v>0</v>
      </c>
    </row>
    <row r="65" spans="1:13" x14ac:dyDescent="0.25">
      <c r="A65">
        <f t="shared" si="0"/>
        <v>13056</v>
      </c>
      <c r="B65" s="16">
        <v>0</v>
      </c>
      <c r="C65" s="16">
        <v>0</v>
      </c>
      <c r="D65" s="16">
        <v>0</v>
      </c>
      <c r="E65" s="16">
        <v>0</v>
      </c>
      <c r="F65" s="30">
        <v>0</v>
      </c>
      <c r="H65">
        <f t="shared" si="1"/>
        <v>13056</v>
      </c>
      <c r="I65" s="16">
        <v>0</v>
      </c>
      <c r="J65" s="16">
        <v>0</v>
      </c>
      <c r="K65" s="16">
        <v>0</v>
      </c>
      <c r="L65" s="16">
        <v>0</v>
      </c>
      <c r="M65" s="30">
        <v>0</v>
      </c>
    </row>
    <row r="66" spans="1:13" x14ac:dyDescent="0.25">
      <c r="A66">
        <f t="shared" si="0"/>
        <v>13056</v>
      </c>
      <c r="B66" s="16">
        <v>0</v>
      </c>
      <c r="C66" s="16">
        <v>0</v>
      </c>
      <c r="D66" s="16">
        <v>0</v>
      </c>
      <c r="E66" s="16">
        <v>0</v>
      </c>
      <c r="F66" s="30">
        <v>0</v>
      </c>
      <c r="H66">
        <f t="shared" si="1"/>
        <v>13056</v>
      </c>
      <c r="I66" s="16">
        <v>0</v>
      </c>
      <c r="J66" s="16">
        <v>0</v>
      </c>
      <c r="K66" s="16">
        <v>0</v>
      </c>
      <c r="L66" s="16">
        <v>0</v>
      </c>
      <c r="M66" s="30">
        <v>0</v>
      </c>
    </row>
    <row r="67" spans="1:13" x14ac:dyDescent="0.25">
      <c r="A67">
        <f t="shared" si="0"/>
        <v>13056</v>
      </c>
      <c r="B67" s="16">
        <v>0</v>
      </c>
      <c r="C67" s="16">
        <v>0</v>
      </c>
      <c r="D67" s="16">
        <v>0</v>
      </c>
      <c r="E67" s="16">
        <v>0</v>
      </c>
      <c r="F67" s="30">
        <v>0</v>
      </c>
      <c r="H67">
        <f t="shared" si="1"/>
        <v>13056</v>
      </c>
      <c r="I67" s="16">
        <v>0</v>
      </c>
      <c r="J67" s="16">
        <v>0</v>
      </c>
      <c r="K67" s="16">
        <v>0</v>
      </c>
      <c r="L67" s="16">
        <v>0</v>
      </c>
      <c r="M67" s="30">
        <v>0</v>
      </c>
    </row>
    <row r="68" spans="1:13" x14ac:dyDescent="0.25">
      <c r="A68">
        <f t="shared" si="0"/>
        <v>13056</v>
      </c>
      <c r="B68" s="16">
        <v>0</v>
      </c>
      <c r="C68" s="16">
        <v>0</v>
      </c>
      <c r="D68" s="16">
        <v>0</v>
      </c>
      <c r="E68" s="16">
        <v>0</v>
      </c>
      <c r="F68" s="30">
        <v>0</v>
      </c>
      <c r="H68">
        <f t="shared" si="1"/>
        <v>13056</v>
      </c>
      <c r="I68" s="16">
        <v>0</v>
      </c>
      <c r="J68" s="16">
        <v>0</v>
      </c>
      <c r="K68" s="16">
        <v>0</v>
      </c>
      <c r="L68" s="16">
        <v>0</v>
      </c>
      <c r="M68" s="30">
        <v>0</v>
      </c>
    </row>
    <row r="69" spans="1:13" x14ac:dyDescent="0.25">
      <c r="A69">
        <f t="shared" ref="A69:A132" si="2">CHOOSE(IF(ABS(B69-13056)&lt;=ABS(B69-13824),IF(ABS(B69-13056)&lt;=ABS(B69-14592),1,3),IF(ABS(B69-13824)&lt;=ABS(B69-14592),2,3)),13056,13824,14592)</f>
        <v>13056</v>
      </c>
      <c r="B69" s="16">
        <v>0</v>
      </c>
      <c r="C69" s="16">
        <v>0</v>
      </c>
      <c r="D69" s="16">
        <v>0</v>
      </c>
      <c r="E69" s="16">
        <v>0</v>
      </c>
      <c r="F69" s="30">
        <v>0</v>
      </c>
      <c r="H69">
        <f t="shared" ref="H69:H132" si="3">CHOOSE(IF(ABS(I69-13056)&lt;=ABS(I69-13824),IF(ABS(I69-13056)&lt;=ABS(I69-14592),1,3),IF(ABS(I69-13824)&lt;=ABS(I69-14592),2,3)),13056,13824,14592)</f>
        <v>13056</v>
      </c>
      <c r="I69" s="16">
        <v>0</v>
      </c>
      <c r="J69" s="16">
        <v>0</v>
      </c>
      <c r="K69" s="16">
        <v>0</v>
      </c>
      <c r="L69" s="16">
        <v>0</v>
      </c>
      <c r="M69" s="30">
        <v>0</v>
      </c>
    </row>
    <row r="70" spans="1:13" x14ac:dyDescent="0.25">
      <c r="A70">
        <f t="shared" si="2"/>
        <v>13056</v>
      </c>
      <c r="B70" s="16">
        <v>0</v>
      </c>
      <c r="C70" s="16">
        <v>0</v>
      </c>
      <c r="D70" s="16">
        <v>0</v>
      </c>
      <c r="E70" s="16">
        <v>0</v>
      </c>
      <c r="F70" s="30">
        <v>0</v>
      </c>
      <c r="H70">
        <f t="shared" si="3"/>
        <v>13056</v>
      </c>
      <c r="I70" s="16">
        <v>0</v>
      </c>
      <c r="J70" s="16">
        <v>0</v>
      </c>
      <c r="K70" s="16">
        <v>0</v>
      </c>
      <c r="L70" s="16">
        <v>0</v>
      </c>
      <c r="M70" s="30">
        <v>0</v>
      </c>
    </row>
    <row r="71" spans="1:13" x14ac:dyDescent="0.25">
      <c r="A71">
        <f t="shared" si="2"/>
        <v>13056</v>
      </c>
      <c r="B71" s="16">
        <v>0</v>
      </c>
      <c r="C71" s="16">
        <v>0</v>
      </c>
      <c r="D71" s="16">
        <v>0</v>
      </c>
      <c r="E71" s="16">
        <v>0</v>
      </c>
      <c r="F71" s="30">
        <v>0</v>
      </c>
      <c r="H71">
        <f t="shared" si="3"/>
        <v>13056</v>
      </c>
      <c r="I71" s="16">
        <v>0</v>
      </c>
      <c r="J71" s="16">
        <v>0</v>
      </c>
      <c r="K71" s="16">
        <v>0</v>
      </c>
      <c r="L71" s="16">
        <v>0</v>
      </c>
      <c r="M71" s="30">
        <v>0</v>
      </c>
    </row>
    <row r="72" spans="1:13" x14ac:dyDescent="0.25">
      <c r="A72">
        <f t="shared" si="2"/>
        <v>13056</v>
      </c>
      <c r="B72" s="16">
        <v>0</v>
      </c>
      <c r="C72" s="16">
        <v>0</v>
      </c>
      <c r="D72" s="16">
        <v>0</v>
      </c>
      <c r="E72" s="16">
        <v>0</v>
      </c>
      <c r="F72" s="30">
        <v>0</v>
      </c>
      <c r="H72">
        <f t="shared" si="3"/>
        <v>13056</v>
      </c>
      <c r="I72" s="16">
        <v>0</v>
      </c>
      <c r="J72" s="16">
        <v>0</v>
      </c>
      <c r="K72" s="16">
        <v>0</v>
      </c>
      <c r="L72" s="16">
        <v>0</v>
      </c>
      <c r="M72" s="30">
        <v>0</v>
      </c>
    </row>
    <row r="73" spans="1:13" x14ac:dyDescent="0.25">
      <c r="A73">
        <f t="shared" si="2"/>
        <v>13056</v>
      </c>
      <c r="B73" s="16">
        <v>0</v>
      </c>
      <c r="C73" s="16">
        <v>0</v>
      </c>
      <c r="D73" s="16">
        <v>0</v>
      </c>
      <c r="E73" s="16">
        <v>0</v>
      </c>
      <c r="F73" s="30">
        <v>0</v>
      </c>
      <c r="H73">
        <f t="shared" si="3"/>
        <v>13056</v>
      </c>
      <c r="I73" s="16">
        <v>0</v>
      </c>
      <c r="J73" s="16">
        <v>0</v>
      </c>
      <c r="K73" s="16">
        <v>0</v>
      </c>
      <c r="L73" s="16">
        <v>0</v>
      </c>
      <c r="M73" s="30">
        <v>0</v>
      </c>
    </row>
    <row r="74" spans="1:13" x14ac:dyDescent="0.25">
      <c r="A74">
        <f t="shared" si="2"/>
        <v>13056</v>
      </c>
      <c r="B74" s="16">
        <v>0</v>
      </c>
      <c r="C74" s="16">
        <v>0</v>
      </c>
      <c r="D74" s="16">
        <v>0</v>
      </c>
      <c r="E74" s="16">
        <v>0</v>
      </c>
      <c r="F74" s="30">
        <v>0</v>
      </c>
      <c r="H74">
        <f t="shared" si="3"/>
        <v>13056</v>
      </c>
      <c r="I74" s="16">
        <v>0</v>
      </c>
      <c r="J74" s="16">
        <v>0</v>
      </c>
      <c r="K74" s="16">
        <v>0</v>
      </c>
      <c r="L74" s="16">
        <v>0</v>
      </c>
      <c r="M74" s="30">
        <v>0</v>
      </c>
    </row>
    <row r="75" spans="1:13" x14ac:dyDescent="0.25">
      <c r="A75">
        <f t="shared" si="2"/>
        <v>13056</v>
      </c>
      <c r="B75" s="16">
        <v>0</v>
      </c>
      <c r="C75" s="16">
        <v>0</v>
      </c>
      <c r="D75" s="16">
        <v>0</v>
      </c>
      <c r="E75" s="16">
        <v>0</v>
      </c>
      <c r="F75" s="30">
        <v>0</v>
      </c>
      <c r="H75">
        <f t="shared" si="3"/>
        <v>13056</v>
      </c>
      <c r="I75" s="16">
        <v>0</v>
      </c>
      <c r="J75" s="16">
        <v>0</v>
      </c>
      <c r="K75" s="16">
        <v>0</v>
      </c>
      <c r="L75" s="16">
        <v>0</v>
      </c>
      <c r="M75" s="30">
        <v>0</v>
      </c>
    </row>
    <row r="76" spans="1:13" x14ac:dyDescent="0.25">
      <c r="A76">
        <f t="shared" si="2"/>
        <v>13056</v>
      </c>
      <c r="B76" s="16">
        <v>0</v>
      </c>
      <c r="C76" s="16">
        <v>0</v>
      </c>
      <c r="D76" s="16">
        <v>0</v>
      </c>
      <c r="E76" s="16">
        <v>0</v>
      </c>
      <c r="F76" s="30">
        <v>0</v>
      </c>
      <c r="H76">
        <f t="shared" si="3"/>
        <v>13056</v>
      </c>
      <c r="I76" s="16">
        <v>0</v>
      </c>
      <c r="J76" s="16">
        <v>0</v>
      </c>
      <c r="K76" s="16">
        <v>0</v>
      </c>
      <c r="L76" s="16">
        <v>0</v>
      </c>
      <c r="M76" s="30">
        <v>0</v>
      </c>
    </row>
    <row r="77" spans="1:13" x14ac:dyDescent="0.25">
      <c r="A77">
        <f t="shared" si="2"/>
        <v>13056</v>
      </c>
      <c r="B77" s="16">
        <v>0</v>
      </c>
      <c r="C77" s="16">
        <v>0</v>
      </c>
      <c r="D77" s="16">
        <v>0</v>
      </c>
      <c r="E77" s="16">
        <v>0</v>
      </c>
      <c r="F77" s="30">
        <v>0</v>
      </c>
      <c r="H77">
        <f t="shared" si="3"/>
        <v>13056</v>
      </c>
      <c r="I77" s="16">
        <v>0</v>
      </c>
      <c r="J77" s="16">
        <v>0</v>
      </c>
      <c r="K77" s="16">
        <v>0</v>
      </c>
      <c r="L77" s="16">
        <v>0</v>
      </c>
      <c r="M77" s="30">
        <v>0</v>
      </c>
    </row>
    <row r="78" spans="1:13" x14ac:dyDescent="0.25">
      <c r="A78">
        <f t="shared" si="2"/>
        <v>13056</v>
      </c>
      <c r="B78" s="16">
        <v>0</v>
      </c>
      <c r="C78" s="16">
        <v>0</v>
      </c>
      <c r="D78" s="16">
        <v>0</v>
      </c>
      <c r="E78" s="16">
        <v>0</v>
      </c>
      <c r="F78" s="30">
        <v>0</v>
      </c>
      <c r="H78">
        <f t="shared" si="3"/>
        <v>13056</v>
      </c>
      <c r="I78" s="16">
        <v>0</v>
      </c>
      <c r="J78" s="16">
        <v>0</v>
      </c>
      <c r="K78" s="16">
        <v>0</v>
      </c>
      <c r="L78" s="16">
        <v>0</v>
      </c>
      <c r="M78" s="30">
        <v>0</v>
      </c>
    </row>
    <row r="79" spans="1:13" x14ac:dyDescent="0.25">
      <c r="A79">
        <f t="shared" si="2"/>
        <v>13056</v>
      </c>
      <c r="B79" s="16">
        <v>0</v>
      </c>
      <c r="C79" s="16">
        <v>0</v>
      </c>
      <c r="D79" s="16">
        <v>0</v>
      </c>
      <c r="E79" s="16">
        <v>0</v>
      </c>
      <c r="F79" s="30">
        <v>0</v>
      </c>
      <c r="H79">
        <f t="shared" si="3"/>
        <v>13056</v>
      </c>
      <c r="I79" s="16">
        <v>0</v>
      </c>
      <c r="J79" s="16">
        <v>0</v>
      </c>
      <c r="K79" s="16">
        <v>0</v>
      </c>
      <c r="L79" s="16">
        <v>0</v>
      </c>
      <c r="M79" s="30">
        <v>0</v>
      </c>
    </row>
    <row r="80" spans="1:13" x14ac:dyDescent="0.25">
      <c r="A80">
        <f t="shared" si="2"/>
        <v>13056</v>
      </c>
      <c r="B80" s="16">
        <v>0</v>
      </c>
      <c r="C80" s="16">
        <v>0</v>
      </c>
      <c r="D80" s="16">
        <v>0</v>
      </c>
      <c r="E80" s="16">
        <v>0</v>
      </c>
      <c r="F80" s="30">
        <v>0</v>
      </c>
      <c r="H80">
        <f t="shared" si="3"/>
        <v>13056</v>
      </c>
      <c r="I80" s="16">
        <v>0</v>
      </c>
      <c r="J80" s="16">
        <v>0</v>
      </c>
      <c r="K80" s="16">
        <v>0</v>
      </c>
      <c r="L80" s="16">
        <v>0</v>
      </c>
      <c r="M80" s="30">
        <v>0</v>
      </c>
    </row>
    <row r="81" spans="1:13" x14ac:dyDescent="0.25">
      <c r="A81">
        <f t="shared" si="2"/>
        <v>13056</v>
      </c>
      <c r="B81" s="16">
        <v>0</v>
      </c>
      <c r="C81" s="16">
        <v>0</v>
      </c>
      <c r="D81" s="16">
        <v>0</v>
      </c>
      <c r="E81" s="16">
        <v>0</v>
      </c>
      <c r="F81" s="30">
        <v>0</v>
      </c>
      <c r="H81">
        <f t="shared" si="3"/>
        <v>13056</v>
      </c>
      <c r="I81" s="16">
        <v>0</v>
      </c>
      <c r="J81" s="16">
        <v>0</v>
      </c>
      <c r="K81" s="16">
        <v>0</v>
      </c>
      <c r="L81" s="16">
        <v>0</v>
      </c>
      <c r="M81" s="30">
        <v>0</v>
      </c>
    </row>
    <row r="82" spans="1:13" x14ac:dyDescent="0.25">
      <c r="A82">
        <f t="shared" si="2"/>
        <v>13056</v>
      </c>
      <c r="B82" s="16">
        <v>0</v>
      </c>
      <c r="C82" s="16">
        <v>0</v>
      </c>
      <c r="D82" s="16">
        <v>0</v>
      </c>
      <c r="E82" s="16">
        <v>0</v>
      </c>
      <c r="F82" s="30">
        <v>0</v>
      </c>
      <c r="H82">
        <f t="shared" si="3"/>
        <v>13056</v>
      </c>
      <c r="I82" s="16">
        <v>0</v>
      </c>
      <c r="J82" s="16">
        <v>0</v>
      </c>
      <c r="K82" s="16">
        <v>0</v>
      </c>
      <c r="L82" s="16">
        <v>0</v>
      </c>
      <c r="M82" s="30">
        <v>0</v>
      </c>
    </row>
    <row r="83" spans="1:13" x14ac:dyDescent="0.25">
      <c r="A83">
        <f t="shared" si="2"/>
        <v>13056</v>
      </c>
      <c r="B83" s="16">
        <v>0</v>
      </c>
      <c r="C83" s="16">
        <v>0</v>
      </c>
      <c r="D83" s="16">
        <v>0</v>
      </c>
      <c r="E83" s="16">
        <v>0</v>
      </c>
      <c r="F83" s="30">
        <v>0</v>
      </c>
      <c r="H83">
        <f t="shared" si="3"/>
        <v>13056</v>
      </c>
      <c r="I83" s="16">
        <v>0</v>
      </c>
      <c r="J83" s="16">
        <v>0</v>
      </c>
      <c r="K83" s="16">
        <v>0</v>
      </c>
      <c r="L83" s="16">
        <v>0</v>
      </c>
      <c r="M83" s="30">
        <v>0</v>
      </c>
    </row>
    <row r="84" spans="1:13" x14ac:dyDescent="0.25">
      <c r="A84">
        <f t="shared" si="2"/>
        <v>13056</v>
      </c>
      <c r="B84" s="16">
        <v>0</v>
      </c>
      <c r="C84" s="16">
        <v>0</v>
      </c>
      <c r="D84" s="16">
        <v>0</v>
      </c>
      <c r="E84" s="16">
        <v>0</v>
      </c>
      <c r="F84" s="30">
        <v>0</v>
      </c>
      <c r="H84">
        <f t="shared" si="3"/>
        <v>13056</v>
      </c>
      <c r="I84" s="16">
        <v>0</v>
      </c>
      <c r="J84" s="16">
        <v>0</v>
      </c>
      <c r="K84" s="16">
        <v>0</v>
      </c>
      <c r="L84" s="16">
        <v>0</v>
      </c>
      <c r="M84" s="30">
        <v>0</v>
      </c>
    </row>
    <row r="85" spans="1:13" x14ac:dyDescent="0.25">
      <c r="A85">
        <f t="shared" si="2"/>
        <v>13056</v>
      </c>
      <c r="B85" s="16">
        <v>0</v>
      </c>
      <c r="C85" s="16">
        <v>0</v>
      </c>
      <c r="D85" s="16">
        <v>0</v>
      </c>
      <c r="E85" s="16">
        <v>0</v>
      </c>
      <c r="F85" s="30">
        <v>0</v>
      </c>
      <c r="H85">
        <f t="shared" si="3"/>
        <v>13056</v>
      </c>
      <c r="I85" s="16">
        <v>0</v>
      </c>
      <c r="J85" s="16">
        <v>0</v>
      </c>
      <c r="K85" s="16">
        <v>0</v>
      </c>
      <c r="L85" s="16">
        <v>0</v>
      </c>
      <c r="M85" s="30">
        <v>0</v>
      </c>
    </row>
    <row r="86" spans="1:13" x14ac:dyDescent="0.25">
      <c r="A86">
        <f t="shared" si="2"/>
        <v>13056</v>
      </c>
      <c r="B86" s="16">
        <v>0</v>
      </c>
      <c r="C86" s="16">
        <v>0</v>
      </c>
      <c r="D86" s="16">
        <v>0</v>
      </c>
      <c r="E86" s="16">
        <v>0</v>
      </c>
      <c r="F86" s="30">
        <v>0</v>
      </c>
      <c r="H86">
        <f t="shared" si="3"/>
        <v>13056</v>
      </c>
      <c r="I86" s="16">
        <v>0</v>
      </c>
      <c r="J86" s="16">
        <v>0</v>
      </c>
      <c r="K86" s="16">
        <v>0</v>
      </c>
      <c r="L86" s="16">
        <v>0</v>
      </c>
      <c r="M86" s="30">
        <v>0</v>
      </c>
    </row>
    <row r="87" spans="1:13" x14ac:dyDescent="0.25">
      <c r="A87">
        <f t="shared" si="2"/>
        <v>13056</v>
      </c>
      <c r="B87" s="16">
        <v>0</v>
      </c>
      <c r="C87" s="16">
        <v>0</v>
      </c>
      <c r="D87" s="16">
        <v>0</v>
      </c>
      <c r="E87" s="16">
        <v>0</v>
      </c>
      <c r="F87" s="30">
        <v>0</v>
      </c>
      <c r="H87">
        <f t="shared" si="3"/>
        <v>13056</v>
      </c>
      <c r="I87" s="16">
        <v>0</v>
      </c>
      <c r="J87" s="16">
        <v>0</v>
      </c>
      <c r="K87" s="16">
        <v>0</v>
      </c>
      <c r="L87" s="16">
        <v>0</v>
      </c>
      <c r="M87" s="30">
        <v>0</v>
      </c>
    </row>
    <row r="88" spans="1:13" x14ac:dyDescent="0.25">
      <c r="A88">
        <f t="shared" si="2"/>
        <v>13056</v>
      </c>
      <c r="B88" s="16">
        <v>0</v>
      </c>
      <c r="C88" s="16">
        <v>0</v>
      </c>
      <c r="D88" s="16">
        <v>0</v>
      </c>
      <c r="E88" s="16">
        <v>0</v>
      </c>
      <c r="F88" s="30">
        <v>0</v>
      </c>
      <c r="H88">
        <f t="shared" si="3"/>
        <v>13056</v>
      </c>
      <c r="I88" s="16">
        <v>0</v>
      </c>
      <c r="J88" s="16">
        <v>0</v>
      </c>
      <c r="K88" s="16">
        <v>0</v>
      </c>
      <c r="L88" s="16">
        <v>0</v>
      </c>
      <c r="M88" s="30">
        <v>0</v>
      </c>
    </row>
    <row r="89" spans="1:13" x14ac:dyDescent="0.25">
      <c r="A89">
        <f t="shared" si="2"/>
        <v>13056</v>
      </c>
      <c r="B89" s="16">
        <v>0</v>
      </c>
      <c r="C89" s="16">
        <v>0</v>
      </c>
      <c r="D89" s="16">
        <v>0</v>
      </c>
      <c r="E89" s="16">
        <v>0</v>
      </c>
      <c r="F89" s="30">
        <v>0</v>
      </c>
      <c r="H89">
        <f t="shared" si="3"/>
        <v>13056</v>
      </c>
      <c r="I89" s="16">
        <v>0</v>
      </c>
      <c r="J89" s="16">
        <v>0</v>
      </c>
      <c r="K89" s="16">
        <v>0</v>
      </c>
      <c r="L89" s="16">
        <v>0</v>
      </c>
      <c r="M89" s="30">
        <v>0</v>
      </c>
    </row>
    <row r="90" spans="1:13" x14ac:dyDescent="0.25">
      <c r="A90">
        <f t="shared" si="2"/>
        <v>13056</v>
      </c>
      <c r="B90" s="16">
        <v>0</v>
      </c>
      <c r="C90" s="16">
        <v>0</v>
      </c>
      <c r="D90" s="16">
        <v>0</v>
      </c>
      <c r="E90" s="16">
        <v>0</v>
      </c>
      <c r="F90" s="30">
        <v>0</v>
      </c>
      <c r="H90">
        <f t="shared" si="3"/>
        <v>13056</v>
      </c>
      <c r="I90" s="16">
        <v>0</v>
      </c>
      <c r="J90" s="16">
        <v>0</v>
      </c>
      <c r="K90" s="16">
        <v>0</v>
      </c>
      <c r="L90" s="16">
        <v>0</v>
      </c>
      <c r="M90" s="30">
        <v>0</v>
      </c>
    </row>
    <row r="91" spans="1:13" x14ac:dyDescent="0.25">
      <c r="A91">
        <f t="shared" si="2"/>
        <v>13056</v>
      </c>
      <c r="B91" s="16">
        <v>0</v>
      </c>
      <c r="C91" s="16">
        <v>0</v>
      </c>
      <c r="D91" s="16">
        <v>0</v>
      </c>
      <c r="E91" s="16">
        <v>0</v>
      </c>
      <c r="F91" s="30">
        <v>0</v>
      </c>
      <c r="H91">
        <f t="shared" si="3"/>
        <v>13056</v>
      </c>
      <c r="I91" s="16">
        <v>0</v>
      </c>
      <c r="J91" s="16">
        <v>0</v>
      </c>
      <c r="K91" s="16">
        <v>0</v>
      </c>
      <c r="L91" s="16">
        <v>0</v>
      </c>
      <c r="M91" s="30">
        <v>0</v>
      </c>
    </row>
    <row r="92" spans="1:13" x14ac:dyDescent="0.25">
      <c r="A92">
        <f t="shared" si="2"/>
        <v>13056</v>
      </c>
      <c r="B92" s="16">
        <v>0</v>
      </c>
      <c r="C92" s="16">
        <v>0</v>
      </c>
      <c r="D92" s="16">
        <v>0</v>
      </c>
      <c r="E92" s="16">
        <v>0</v>
      </c>
      <c r="F92" s="30">
        <v>0</v>
      </c>
      <c r="H92">
        <f t="shared" si="3"/>
        <v>13056</v>
      </c>
      <c r="I92" s="16">
        <v>0</v>
      </c>
      <c r="J92" s="16">
        <v>0</v>
      </c>
      <c r="K92" s="16">
        <v>0</v>
      </c>
      <c r="L92" s="16">
        <v>0</v>
      </c>
      <c r="M92" s="30">
        <v>0</v>
      </c>
    </row>
    <row r="93" spans="1:13" x14ac:dyDescent="0.25">
      <c r="A93">
        <f t="shared" si="2"/>
        <v>13056</v>
      </c>
      <c r="B93" s="16">
        <v>0</v>
      </c>
      <c r="C93" s="16">
        <v>0</v>
      </c>
      <c r="D93" s="16">
        <v>0</v>
      </c>
      <c r="E93" s="16">
        <v>0</v>
      </c>
      <c r="F93" s="30">
        <v>0</v>
      </c>
      <c r="H93">
        <f t="shared" si="3"/>
        <v>13056</v>
      </c>
      <c r="I93" s="16">
        <v>0</v>
      </c>
      <c r="J93" s="16">
        <v>0</v>
      </c>
      <c r="K93" s="16">
        <v>0</v>
      </c>
      <c r="L93" s="16">
        <v>0</v>
      </c>
      <c r="M93" s="30">
        <v>0</v>
      </c>
    </row>
    <row r="94" spans="1:13" x14ac:dyDescent="0.25">
      <c r="A94">
        <f t="shared" si="2"/>
        <v>13056</v>
      </c>
      <c r="B94" s="16">
        <v>0</v>
      </c>
      <c r="C94" s="16">
        <v>0</v>
      </c>
      <c r="D94" s="16">
        <v>0</v>
      </c>
      <c r="E94" s="16">
        <v>0</v>
      </c>
      <c r="F94" s="30">
        <v>0</v>
      </c>
      <c r="H94">
        <f t="shared" si="3"/>
        <v>13056</v>
      </c>
      <c r="I94" s="16">
        <v>0</v>
      </c>
      <c r="J94" s="16">
        <v>0</v>
      </c>
      <c r="K94" s="16">
        <v>0</v>
      </c>
      <c r="L94" s="16">
        <v>0</v>
      </c>
      <c r="M94" s="30">
        <v>0</v>
      </c>
    </row>
    <row r="95" spans="1:13" x14ac:dyDescent="0.25">
      <c r="A95">
        <f t="shared" si="2"/>
        <v>13056</v>
      </c>
      <c r="B95" s="16">
        <v>0</v>
      </c>
      <c r="C95" s="16">
        <v>0</v>
      </c>
      <c r="D95" s="16">
        <v>0</v>
      </c>
      <c r="E95" s="16">
        <v>0</v>
      </c>
      <c r="F95" s="30">
        <v>0</v>
      </c>
      <c r="H95">
        <f t="shared" si="3"/>
        <v>13056</v>
      </c>
      <c r="I95" s="16">
        <v>0</v>
      </c>
      <c r="J95" s="16">
        <v>0</v>
      </c>
      <c r="K95" s="16">
        <v>0</v>
      </c>
      <c r="L95" s="16">
        <v>0</v>
      </c>
      <c r="M95" s="30">
        <v>0</v>
      </c>
    </row>
    <row r="96" spans="1:13" x14ac:dyDescent="0.25">
      <c r="A96">
        <f t="shared" si="2"/>
        <v>13056</v>
      </c>
      <c r="B96" s="16">
        <v>0</v>
      </c>
      <c r="C96" s="16">
        <v>0</v>
      </c>
      <c r="D96" s="16">
        <v>0</v>
      </c>
      <c r="E96" s="16">
        <v>0</v>
      </c>
      <c r="F96" s="30">
        <v>0</v>
      </c>
      <c r="H96">
        <f t="shared" si="3"/>
        <v>13056</v>
      </c>
      <c r="I96" s="16">
        <v>0</v>
      </c>
      <c r="J96" s="16">
        <v>0</v>
      </c>
      <c r="K96" s="16">
        <v>0</v>
      </c>
      <c r="L96" s="16">
        <v>0</v>
      </c>
      <c r="M96" s="30">
        <v>0</v>
      </c>
    </row>
    <row r="97" spans="1:13" x14ac:dyDescent="0.25">
      <c r="A97">
        <f t="shared" si="2"/>
        <v>13056</v>
      </c>
      <c r="B97" s="16">
        <v>0</v>
      </c>
      <c r="C97" s="16">
        <v>0</v>
      </c>
      <c r="D97" s="16">
        <v>0</v>
      </c>
      <c r="E97" s="16">
        <v>0</v>
      </c>
      <c r="F97" s="30">
        <v>0</v>
      </c>
      <c r="H97">
        <f t="shared" si="3"/>
        <v>13056</v>
      </c>
      <c r="I97" s="16">
        <v>0</v>
      </c>
      <c r="J97" s="16">
        <v>0</v>
      </c>
      <c r="K97" s="16">
        <v>0</v>
      </c>
      <c r="L97" s="16">
        <v>0</v>
      </c>
      <c r="M97" s="30">
        <v>0</v>
      </c>
    </row>
    <row r="98" spans="1:13" x14ac:dyDescent="0.25">
      <c r="A98">
        <f t="shared" si="2"/>
        <v>13056</v>
      </c>
      <c r="B98" s="16">
        <v>0</v>
      </c>
      <c r="C98" s="16">
        <v>0</v>
      </c>
      <c r="D98" s="16">
        <v>0</v>
      </c>
      <c r="E98" s="16">
        <v>0</v>
      </c>
      <c r="F98" s="30">
        <v>0</v>
      </c>
      <c r="H98">
        <f t="shared" si="3"/>
        <v>13056</v>
      </c>
      <c r="I98" s="16">
        <v>0</v>
      </c>
      <c r="J98" s="16">
        <v>0</v>
      </c>
      <c r="K98" s="16">
        <v>0</v>
      </c>
      <c r="L98" s="16">
        <v>0</v>
      </c>
      <c r="M98" s="30">
        <v>0</v>
      </c>
    </row>
    <row r="99" spans="1:13" x14ac:dyDescent="0.25">
      <c r="A99">
        <f t="shared" si="2"/>
        <v>13056</v>
      </c>
      <c r="B99" s="16">
        <v>0</v>
      </c>
      <c r="C99" s="16">
        <v>0</v>
      </c>
      <c r="D99" s="16">
        <v>0</v>
      </c>
      <c r="E99" s="16">
        <v>0</v>
      </c>
      <c r="F99" s="30">
        <v>0</v>
      </c>
      <c r="H99">
        <f t="shared" si="3"/>
        <v>13056</v>
      </c>
      <c r="I99" s="16">
        <v>0</v>
      </c>
      <c r="J99" s="16">
        <v>0</v>
      </c>
      <c r="K99" s="16">
        <v>0</v>
      </c>
      <c r="L99" s="16">
        <v>0</v>
      </c>
      <c r="M99" s="30">
        <v>0</v>
      </c>
    </row>
    <row r="100" spans="1:13" x14ac:dyDescent="0.25">
      <c r="A100">
        <f t="shared" si="2"/>
        <v>13056</v>
      </c>
      <c r="B100" s="16">
        <v>0</v>
      </c>
      <c r="C100" s="16">
        <v>0</v>
      </c>
      <c r="D100" s="16">
        <v>0</v>
      </c>
      <c r="E100" s="16">
        <v>0</v>
      </c>
      <c r="F100" s="30">
        <v>0</v>
      </c>
      <c r="H100">
        <f t="shared" si="3"/>
        <v>13056</v>
      </c>
      <c r="I100" s="16">
        <v>0</v>
      </c>
      <c r="J100" s="16">
        <v>0</v>
      </c>
      <c r="K100" s="16">
        <v>0</v>
      </c>
      <c r="L100" s="16">
        <v>0</v>
      </c>
      <c r="M100" s="30">
        <v>0</v>
      </c>
    </row>
    <row r="101" spans="1:13" x14ac:dyDescent="0.25">
      <c r="A101">
        <f t="shared" si="2"/>
        <v>13056</v>
      </c>
      <c r="B101" s="16">
        <v>0</v>
      </c>
      <c r="C101" s="16">
        <v>0</v>
      </c>
      <c r="D101" s="16">
        <v>0</v>
      </c>
      <c r="E101" s="16">
        <v>0</v>
      </c>
      <c r="F101" s="30">
        <v>0</v>
      </c>
      <c r="H101">
        <f t="shared" si="3"/>
        <v>13056</v>
      </c>
      <c r="I101" s="16">
        <v>0</v>
      </c>
      <c r="J101" s="16">
        <v>0</v>
      </c>
      <c r="K101" s="16">
        <v>0</v>
      </c>
      <c r="L101" s="16">
        <v>0</v>
      </c>
      <c r="M101" s="30">
        <v>0</v>
      </c>
    </row>
    <row r="102" spans="1:13" x14ac:dyDescent="0.25">
      <c r="A102">
        <f t="shared" si="2"/>
        <v>13056</v>
      </c>
      <c r="B102" s="16">
        <v>0</v>
      </c>
      <c r="C102" s="16">
        <v>0</v>
      </c>
      <c r="D102" s="16">
        <v>0</v>
      </c>
      <c r="E102" s="16">
        <v>0</v>
      </c>
      <c r="F102" s="30">
        <v>0</v>
      </c>
      <c r="H102">
        <f t="shared" si="3"/>
        <v>13056</v>
      </c>
      <c r="I102" s="16">
        <v>0</v>
      </c>
      <c r="J102" s="16">
        <v>0</v>
      </c>
      <c r="K102" s="16">
        <v>0</v>
      </c>
      <c r="L102" s="16">
        <v>0</v>
      </c>
      <c r="M102" s="30">
        <v>0</v>
      </c>
    </row>
    <row r="103" spans="1:13" x14ac:dyDescent="0.25">
      <c r="A103">
        <f t="shared" si="2"/>
        <v>13056</v>
      </c>
      <c r="B103" s="16">
        <v>0</v>
      </c>
      <c r="C103" s="16">
        <v>0</v>
      </c>
      <c r="D103" s="16">
        <v>0</v>
      </c>
      <c r="E103" s="16">
        <v>0</v>
      </c>
      <c r="F103" s="30">
        <v>0</v>
      </c>
      <c r="H103">
        <f t="shared" si="3"/>
        <v>13056</v>
      </c>
      <c r="I103" s="16">
        <v>0</v>
      </c>
      <c r="J103" s="16">
        <v>0</v>
      </c>
      <c r="K103" s="16">
        <v>0</v>
      </c>
      <c r="L103" s="16">
        <v>0</v>
      </c>
      <c r="M103" s="30">
        <v>0</v>
      </c>
    </row>
    <row r="104" spans="1:13" x14ac:dyDescent="0.25">
      <c r="A104">
        <f t="shared" si="2"/>
        <v>13056</v>
      </c>
      <c r="B104" s="16">
        <v>0</v>
      </c>
      <c r="C104" s="16">
        <v>0</v>
      </c>
      <c r="D104" s="16">
        <v>0</v>
      </c>
      <c r="E104" s="16">
        <v>0</v>
      </c>
      <c r="F104" s="30">
        <v>0</v>
      </c>
      <c r="H104">
        <f t="shared" si="3"/>
        <v>13056</v>
      </c>
      <c r="I104" s="16">
        <v>0</v>
      </c>
      <c r="J104" s="16">
        <v>0</v>
      </c>
      <c r="K104" s="16">
        <v>0</v>
      </c>
      <c r="L104" s="16">
        <v>0</v>
      </c>
      <c r="M104" s="30">
        <v>0</v>
      </c>
    </row>
    <row r="105" spans="1:13" x14ac:dyDescent="0.25">
      <c r="A105">
        <f t="shared" si="2"/>
        <v>13056</v>
      </c>
      <c r="B105" s="16">
        <v>0</v>
      </c>
      <c r="C105" s="16">
        <v>0</v>
      </c>
      <c r="D105" s="16">
        <v>0</v>
      </c>
      <c r="E105" s="16">
        <v>0</v>
      </c>
      <c r="F105" s="30">
        <v>0</v>
      </c>
      <c r="H105">
        <f t="shared" si="3"/>
        <v>13056</v>
      </c>
      <c r="I105" s="16">
        <v>0</v>
      </c>
      <c r="J105" s="16">
        <v>0</v>
      </c>
      <c r="K105" s="16">
        <v>0</v>
      </c>
      <c r="L105" s="16">
        <v>0</v>
      </c>
      <c r="M105" s="30">
        <v>0</v>
      </c>
    </row>
    <row r="106" spans="1:13" x14ac:dyDescent="0.25">
      <c r="A106">
        <f t="shared" si="2"/>
        <v>13056</v>
      </c>
      <c r="B106" s="16">
        <v>0</v>
      </c>
      <c r="C106" s="16">
        <v>0</v>
      </c>
      <c r="D106" s="16">
        <v>0</v>
      </c>
      <c r="E106" s="16">
        <v>0</v>
      </c>
      <c r="F106" s="30">
        <v>0</v>
      </c>
      <c r="H106">
        <f t="shared" si="3"/>
        <v>13056</v>
      </c>
      <c r="I106" s="16">
        <v>0</v>
      </c>
      <c r="J106" s="16">
        <v>0</v>
      </c>
      <c r="K106" s="16">
        <v>0</v>
      </c>
      <c r="L106" s="16">
        <v>0</v>
      </c>
      <c r="M106" s="30">
        <v>0</v>
      </c>
    </row>
    <row r="107" spans="1:13" x14ac:dyDescent="0.25">
      <c r="A107">
        <f t="shared" si="2"/>
        <v>13056</v>
      </c>
      <c r="B107" s="16">
        <v>0</v>
      </c>
      <c r="C107" s="16">
        <v>0</v>
      </c>
      <c r="D107" s="16">
        <v>0</v>
      </c>
      <c r="E107" s="16">
        <v>0</v>
      </c>
      <c r="F107" s="30">
        <v>0</v>
      </c>
      <c r="H107">
        <f t="shared" si="3"/>
        <v>13056</v>
      </c>
      <c r="I107" s="16">
        <v>0</v>
      </c>
      <c r="J107" s="16">
        <v>0</v>
      </c>
      <c r="K107" s="16">
        <v>0</v>
      </c>
      <c r="L107" s="16">
        <v>0</v>
      </c>
      <c r="M107" s="30">
        <v>0</v>
      </c>
    </row>
    <row r="108" spans="1:13" x14ac:dyDescent="0.25">
      <c r="A108">
        <f t="shared" si="2"/>
        <v>13056</v>
      </c>
      <c r="B108" s="16">
        <v>0</v>
      </c>
      <c r="C108" s="16">
        <v>0</v>
      </c>
      <c r="D108" s="16">
        <v>0</v>
      </c>
      <c r="E108" s="16">
        <v>0</v>
      </c>
      <c r="F108" s="30">
        <v>0</v>
      </c>
      <c r="H108">
        <f t="shared" si="3"/>
        <v>13056</v>
      </c>
      <c r="I108" s="16">
        <v>0</v>
      </c>
      <c r="J108" s="16">
        <v>0</v>
      </c>
      <c r="K108" s="16">
        <v>0</v>
      </c>
      <c r="L108" s="16">
        <v>0</v>
      </c>
      <c r="M108" s="30">
        <v>0</v>
      </c>
    </row>
    <row r="109" spans="1:13" x14ac:dyDescent="0.25">
      <c r="A109">
        <f t="shared" si="2"/>
        <v>13056</v>
      </c>
      <c r="B109" s="16">
        <v>0</v>
      </c>
      <c r="C109" s="16">
        <v>0</v>
      </c>
      <c r="D109" s="16">
        <v>0</v>
      </c>
      <c r="E109" s="16">
        <v>0</v>
      </c>
      <c r="F109" s="30">
        <v>0</v>
      </c>
      <c r="H109">
        <f t="shared" si="3"/>
        <v>13056</v>
      </c>
      <c r="I109" s="16">
        <v>0</v>
      </c>
      <c r="J109" s="16">
        <v>0</v>
      </c>
      <c r="K109" s="16">
        <v>0</v>
      </c>
      <c r="L109" s="16">
        <v>0</v>
      </c>
      <c r="M109" s="30">
        <v>0</v>
      </c>
    </row>
    <row r="110" spans="1:13" x14ac:dyDescent="0.25">
      <c r="A110">
        <f t="shared" si="2"/>
        <v>13056</v>
      </c>
      <c r="B110" s="16">
        <v>0</v>
      </c>
      <c r="C110" s="16">
        <v>0</v>
      </c>
      <c r="D110" s="16">
        <v>0</v>
      </c>
      <c r="E110" s="16">
        <v>0</v>
      </c>
      <c r="F110" s="30">
        <v>0</v>
      </c>
      <c r="H110">
        <f t="shared" si="3"/>
        <v>13056</v>
      </c>
      <c r="I110" s="16">
        <v>0</v>
      </c>
      <c r="J110" s="16">
        <v>0</v>
      </c>
      <c r="K110" s="16">
        <v>0</v>
      </c>
      <c r="L110" s="16">
        <v>0</v>
      </c>
      <c r="M110" s="30">
        <v>0</v>
      </c>
    </row>
    <row r="111" spans="1:13" x14ac:dyDescent="0.25">
      <c r="A111">
        <f t="shared" si="2"/>
        <v>13056</v>
      </c>
      <c r="B111" s="16">
        <v>0</v>
      </c>
      <c r="C111" s="16">
        <v>0</v>
      </c>
      <c r="D111" s="16">
        <v>0</v>
      </c>
      <c r="E111" s="16">
        <v>0</v>
      </c>
      <c r="F111" s="30">
        <v>0</v>
      </c>
      <c r="H111">
        <f t="shared" si="3"/>
        <v>13056</v>
      </c>
      <c r="I111" s="16">
        <v>0</v>
      </c>
      <c r="J111" s="16">
        <v>0</v>
      </c>
      <c r="K111" s="16">
        <v>0</v>
      </c>
      <c r="L111" s="16">
        <v>0</v>
      </c>
      <c r="M111" s="30">
        <v>0</v>
      </c>
    </row>
    <row r="112" spans="1:13" x14ac:dyDescent="0.25">
      <c r="A112">
        <f t="shared" si="2"/>
        <v>13056</v>
      </c>
      <c r="B112" s="16">
        <v>0</v>
      </c>
      <c r="C112" s="16">
        <v>0</v>
      </c>
      <c r="D112" s="16">
        <v>0</v>
      </c>
      <c r="E112" s="16">
        <v>0</v>
      </c>
      <c r="F112" s="30">
        <v>0</v>
      </c>
      <c r="H112">
        <f t="shared" si="3"/>
        <v>13056</v>
      </c>
      <c r="I112" s="16">
        <v>0</v>
      </c>
      <c r="J112" s="16">
        <v>0</v>
      </c>
      <c r="K112" s="16">
        <v>0</v>
      </c>
      <c r="L112" s="16">
        <v>0</v>
      </c>
      <c r="M112" s="30">
        <v>0</v>
      </c>
    </row>
    <row r="113" spans="1:13" x14ac:dyDescent="0.25">
      <c r="A113">
        <f t="shared" si="2"/>
        <v>13056</v>
      </c>
      <c r="B113" s="16">
        <v>0</v>
      </c>
      <c r="C113" s="16">
        <v>0</v>
      </c>
      <c r="D113" s="16">
        <v>0</v>
      </c>
      <c r="E113" s="16">
        <v>0</v>
      </c>
      <c r="F113" s="30">
        <v>0</v>
      </c>
      <c r="H113">
        <f t="shared" si="3"/>
        <v>13056</v>
      </c>
      <c r="I113" s="16">
        <v>0</v>
      </c>
      <c r="J113" s="16">
        <v>0</v>
      </c>
      <c r="K113" s="16">
        <v>0</v>
      </c>
      <c r="L113" s="16">
        <v>0</v>
      </c>
      <c r="M113" s="30">
        <v>0</v>
      </c>
    </row>
    <row r="114" spans="1:13" x14ac:dyDescent="0.25">
      <c r="A114">
        <f t="shared" si="2"/>
        <v>13056</v>
      </c>
      <c r="B114" s="16">
        <v>0</v>
      </c>
      <c r="C114" s="16">
        <v>0</v>
      </c>
      <c r="D114" s="16">
        <v>0</v>
      </c>
      <c r="E114" s="16">
        <v>0</v>
      </c>
      <c r="F114" s="30">
        <v>0</v>
      </c>
      <c r="H114">
        <f t="shared" si="3"/>
        <v>13056</v>
      </c>
      <c r="I114" s="16">
        <v>0</v>
      </c>
      <c r="J114" s="16">
        <v>0</v>
      </c>
      <c r="K114" s="16">
        <v>0</v>
      </c>
      <c r="L114" s="16">
        <v>0</v>
      </c>
      <c r="M114" s="30">
        <v>0</v>
      </c>
    </row>
    <row r="115" spans="1:13" x14ac:dyDescent="0.25">
      <c r="A115">
        <f t="shared" si="2"/>
        <v>13056</v>
      </c>
      <c r="B115" s="16">
        <v>0</v>
      </c>
      <c r="C115" s="16">
        <v>0</v>
      </c>
      <c r="D115" s="16">
        <v>0</v>
      </c>
      <c r="E115" s="16">
        <v>0</v>
      </c>
      <c r="F115" s="30">
        <v>0</v>
      </c>
      <c r="H115">
        <f t="shared" si="3"/>
        <v>13056</v>
      </c>
      <c r="I115" s="16">
        <v>0</v>
      </c>
      <c r="J115" s="16">
        <v>0</v>
      </c>
      <c r="K115" s="16">
        <v>0</v>
      </c>
      <c r="L115" s="16">
        <v>0</v>
      </c>
      <c r="M115" s="30">
        <v>0</v>
      </c>
    </row>
    <row r="116" spans="1:13" x14ac:dyDescent="0.25">
      <c r="A116">
        <f t="shared" si="2"/>
        <v>13056</v>
      </c>
      <c r="B116" s="16">
        <v>0</v>
      </c>
      <c r="C116" s="16">
        <v>0</v>
      </c>
      <c r="D116" s="16">
        <v>0</v>
      </c>
      <c r="E116" s="16">
        <v>0</v>
      </c>
      <c r="F116" s="30">
        <v>0</v>
      </c>
      <c r="H116">
        <f t="shared" si="3"/>
        <v>13056</v>
      </c>
      <c r="I116" s="16">
        <v>0</v>
      </c>
      <c r="J116" s="16">
        <v>0</v>
      </c>
      <c r="K116" s="16">
        <v>0</v>
      </c>
      <c r="L116" s="16">
        <v>0</v>
      </c>
      <c r="M116" s="30">
        <v>0</v>
      </c>
    </row>
    <row r="117" spans="1:13" x14ac:dyDescent="0.25">
      <c r="A117">
        <f t="shared" si="2"/>
        <v>13056</v>
      </c>
      <c r="B117" s="16">
        <v>0</v>
      </c>
      <c r="C117" s="16">
        <v>0</v>
      </c>
      <c r="D117" s="16">
        <v>0</v>
      </c>
      <c r="E117" s="16">
        <v>0</v>
      </c>
      <c r="F117" s="30">
        <v>0</v>
      </c>
      <c r="H117">
        <f t="shared" si="3"/>
        <v>13056</v>
      </c>
      <c r="I117" s="16">
        <v>0</v>
      </c>
      <c r="J117" s="16">
        <v>0</v>
      </c>
      <c r="K117" s="16">
        <v>0</v>
      </c>
      <c r="L117" s="16">
        <v>0</v>
      </c>
      <c r="M117" s="30">
        <v>0</v>
      </c>
    </row>
    <row r="118" spans="1:13" x14ac:dyDescent="0.25">
      <c r="A118">
        <f t="shared" si="2"/>
        <v>13056</v>
      </c>
      <c r="B118" s="16">
        <v>0</v>
      </c>
      <c r="C118" s="16">
        <v>0</v>
      </c>
      <c r="D118" s="16">
        <v>0</v>
      </c>
      <c r="E118" s="16">
        <v>0</v>
      </c>
      <c r="F118" s="30">
        <v>0</v>
      </c>
      <c r="H118">
        <f t="shared" si="3"/>
        <v>13056</v>
      </c>
      <c r="I118" s="16">
        <v>0</v>
      </c>
      <c r="J118" s="16">
        <v>0</v>
      </c>
      <c r="K118" s="16">
        <v>0</v>
      </c>
      <c r="L118" s="16">
        <v>0</v>
      </c>
      <c r="M118" s="30">
        <v>0</v>
      </c>
    </row>
    <row r="119" spans="1:13" x14ac:dyDescent="0.25">
      <c r="A119">
        <f t="shared" si="2"/>
        <v>13056</v>
      </c>
      <c r="B119" s="16">
        <v>0</v>
      </c>
      <c r="C119" s="16">
        <v>0</v>
      </c>
      <c r="D119" s="16">
        <v>0</v>
      </c>
      <c r="E119" s="16">
        <v>0</v>
      </c>
      <c r="F119" s="30">
        <v>0</v>
      </c>
      <c r="H119">
        <f t="shared" si="3"/>
        <v>13056</v>
      </c>
      <c r="I119" s="16">
        <v>0</v>
      </c>
      <c r="J119" s="16">
        <v>0</v>
      </c>
      <c r="K119" s="16">
        <v>0</v>
      </c>
      <c r="L119" s="16">
        <v>0</v>
      </c>
      <c r="M119" s="30">
        <v>0</v>
      </c>
    </row>
    <row r="120" spans="1:13" x14ac:dyDescent="0.25">
      <c r="A120">
        <f t="shared" si="2"/>
        <v>13056</v>
      </c>
      <c r="B120" s="16">
        <v>0</v>
      </c>
      <c r="C120" s="16">
        <v>0</v>
      </c>
      <c r="D120" s="16">
        <v>0</v>
      </c>
      <c r="E120" s="16">
        <v>0</v>
      </c>
      <c r="F120" s="30">
        <v>0</v>
      </c>
      <c r="H120">
        <f t="shared" si="3"/>
        <v>13056</v>
      </c>
      <c r="I120" s="16">
        <v>0</v>
      </c>
      <c r="J120" s="16">
        <v>0</v>
      </c>
      <c r="K120" s="16">
        <v>0</v>
      </c>
      <c r="L120" s="16">
        <v>0</v>
      </c>
      <c r="M120" s="30">
        <v>0</v>
      </c>
    </row>
    <row r="121" spans="1:13" x14ac:dyDescent="0.25">
      <c r="A121">
        <f t="shared" si="2"/>
        <v>13056</v>
      </c>
      <c r="B121" s="16">
        <v>0</v>
      </c>
      <c r="C121" s="16">
        <v>0</v>
      </c>
      <c r="D121" s="16">
        <v>0</v>
      </c>
      <c r="E121" s="16">
        <v>0</v>
      </c>
      <c r="F121" s="30">
        <v>0</v>
      </c>
      <c r="H121">
        <f t="shared" si="3"/>
        <v>13056</v>
      </c>
      <c r="I121" s="16">
        <v>0</v>
      </c>
      <c r="J121" s="16">
        <v>0</v>
      </c>
      <c r="K121" s="16">
        <v>0</v>
      </c>
      <c r="L121" s="16">
        <v>0</v>
      </c>
      <c r="M121" s="30">
        <v>0</v>
      </c>
    </row>
    <row r="122" spans="1:13" x14ac:dyDescent="0.25">
      <c r="A122">
        <f t="shared" si="2"/>
        <v>13056</v>
      </c>
      <c r="B122" s="16">
        <v>0</v>
      </c>
      <c r="C122" s="16">
        <v>0</v>
      </c>
      <c r="D122" s="16">
        <v>0</v>
      </c>
      <c r="E122" s="16">
        <v>0</v>
      </c>
      <c r="F122" s="30">
        <v>0</v>
      </c>
      <c r="H122">
        <f t="shared" si="3"/>
        <v>13056</v>
      </c>
      <c r="I122" s="16">
        <v>0</v>
      </c>
      <c r="J122" s="16">
        <v>0</v>
      </c>
      <c r="K122" s="16">
        <v>0</v>
      </c>
      <c r="L122" s="16">
        <v>0</v>
      </c>
      <c r="M122" s="30">
        <v>0</v>
      </c>
    </row>
    <row r="123" spans="1:13" x14ac:dyDescent="0.25">
      <c r="A123">
        <f t="shared" si="2"/>
        <v>13056</v>
      </c>
      <c r="B123" s="16">
        <v>0</v>
      </c>
      <c r="C123" s="16">
        <v>0</v>
      </c>
      <c r="D123" s="16">
        <v>0</v>
      </c>
      <c r="E123" s="16">
        <v>0</v>
      </c>
      <c r="F123" s="30">
        <v>0</v>
      </c>
      <c r="H123">
        <f t="shared" si="3"/>
        <v>13056</v>
      </c>
      <c r="I123" s="16">
        <v>0</v>
      </c>
      <c r="J123" s="16">
        <v>0</v>
      </c>
      <c r="K123" s="16">
        <v>0</v>
      </c>
      <c r="L123" s="16">
        <v>0</v>
      </c>
      <c r="M123" s="30">
        <v>0</v>
      </c>
    </row>
    <row r="124" spans="1:13" x14ac:dyDescent="0.25">
      <c r="A124">
        <f t="shared" si="2"/>
        <v>13056</v>
      </c>
      <c r="B124" s="16">
        <v>0</v>
      </c>
      <c r="C124" s="16">
        <v>0</v>
      </c>
      <c r="D124" s="16">
        <v>0</v>
      </c>
      <c r="E124" s="16">
        <v>0</v>
      </c>
      <c r="F124" s="30">
        <v>0</v>
      </c>
      <c r="H124">
        <f t="shared" si="3"/>
        <v>13056</v>
      </c>
      <c r="I124" s="16">
        <v>0</v>
      </c>
      <c r="J124" s="16">
        <v>0</v>
      </c>
      <c r="K124" s="16">
        <v>0</v>
      </c>
      <c r="L124" s="16">
        <v>0</v>
      </c>
      <c r="M124" s="30">
        <v>0</v>
      </c>
    </row>
    <row r="125" spans="1:13" x14ac:dyDescent="0.25">
      <c r="A125">
        <f t="shared" si="2"/>
        <v>13056</v>
      </c>
      <c r="B125" s="16">
        <v>0</v>
      </c>
      <c r="C125" s="16">
        <v>0</v>
      </c>
      <c r="D125" s="16">
        <v>0</v>
      </c>
      <c r="E125" s="16">
        <v>0</v>
      </c>
      <c r="F125" s="30">
        <v>0</v>
      </c>
      <c r="H125">
        <f t="shared" si="3"/>
        <v>13056</v>
      </c>
      <c r="I125" s="16">
        <v>0</v>
      </c>
      <c r="J125" s="16">
        <v>0</v>
      </c>
      <c r="K125" s="16">
        <v>0</v>
      </c>
      <c r="L125" s="16">
        <v>0</v>
      </c>
      <c r="M125" s="30">
        <v>0</v>
      </c>
    </row>
    <row r="126" spans="1:13" x14ac:dyDescent="0.25">
      <c r="A126">
        <f t="shared" si="2"/>
        <v>13056</v>
      </c>
      <c r="B126" s="16">
        <v>0</v>
      </c>
      <c r="C126" s="16">
        <v>0</v>
      </c>
      <c r="D126" s="16">
        <v>0</v>
      </c>
      <c r="E126" s="16">
        <v>0</v>
      </c>
      <c r="F126" s="30">
        <v>0</v>
      </c>
      <c r="H126">
        <f t="shared" si="3"/>
        <v>13056</v>
      </c>
      <c r="I126" s="16">
        <v>0</v>
      </c>
      <c r="J126" s="16">
        <v>0</v>
      </c>
      <c r="K126" s="16">
        <v>0</v>
      </c>
      <c r="L126" s="16">
        <v>0</v>
      </c>
      <c r="M126" s="30">
        <v>0</v>
      </c>
    </row>
    <row r="127" spans="1:13" x14ac:dyDescent="0.25">
      <c r="A127">
        <f t="shared" si="2"/>
        <v>13056</v>
      </c>
      <c r="B127" s="16">
        <v>0</v>
      </c>
      <c r="C127" s="16">
        <v>0</v>
      </c>
      <c r="D127" s="16">
        <v>0</v>
      </c>
      <c r="E127" s="16">
        <v>0</v>
      </c>
      <c r="F127" s="30">
        <v>0</v>
      </c>
      <c r="H127">
        <f t="shared" si="3"/>
        <v>13056</v>
      </c>
      <c r="I127" s="16">
        <v>0</v>
      </c>
      <c r="J127" s="16">
        <v>0</v>
      </c>
      <c r="K127" s="16">
        <v>0</v>
      </c>
      <c r="L127" s="16">
        <v>0</v>
      </c>
      <c r="M127" s="30">
        <v>0</v>
      </c>
    </row>
    <row r="128" spans="1:13" x14ac:dyDescent="0.25">
      <c r="A128">
        <f t="shared" si="2"/>
        <v>13056</v>
      </c>
      <c r="B128" s="16">
        <v>0</v>
      </c>
      <c r="C128" s="16">
        <v>0</v>
      </c>
      <c r="D128" s="16">
        <v>0</v>
      </c>
      <c r="E128" s="16">
        <v>0</v>
      </c>
      <c r="F128" s="30">
        <v>0</v>
      </c>
      <c r="H128">
        <f t="shared" si="3"/>
        <v>13056</v>
      </c>
      <c r="I128" s="16">
        <v>0</v>
      </c>
      <c r="J128" s="16">
        <v>0</v>
      </c>
      <c r="K128" s="16">
        <v>0</v>
      </c>
      <c r="L128" s="16">
        <v>0</v>
      </c>
      <c r="M128" s="30">
        <v>0</v>
      </c>
    </row>
    <row r="129" spans="1:13" x14ac:dyDescent="0.25">
      <c r="A129">
        <f t="shared" si="2"/>
        <v>13056</v>
      </c>
      <c r="B129" s="16">
        <v>0</v>
      </c>
      <c r="C129" s="16">
        <v>0</v>
      </c>
      <c r="D129" s="16">
        <v>0</v>
      </c>
      <c r="E129" s="16">
        <v>0</v>
      </c>
      <c r="F129" s="30">
        <v>0</v>
      </c>
      <c r="H129">
        <f t="shared" si="3"/>
        <v>13056</v>
      </c>
      <c r="I129" s="16">
        <v>0</v>
      </c>
      <c r="J129" s="16">
        <v>0</v>
      </c>
      <c r="K129" s="16">
        <v>0</v>
      </c>
      <c r="L129" s="16">
        <v>0</v>
      </c>
      <c r="M129" s="30">
        <v>0</v>
      </c>
    </row>
    <row r="130" spans="1:13" x14ac:dyDescent="0.25">
      <c r="A130">
        <f t="shared" si="2"/>
        <v>13056</v>
      </c>
      <c r="B130" s="16">
        <v>0</v>
      </c>
      <c r="C130" s="16">
        <v>0</v>
      </c>
      <c r="D130" s="16">
        <v>0</v>
      </c>
      <c r="E130" s="16">
        <v>0</v>
      </c>
      <c r="F130" s="30">
        <v>0</v>
      </c>
      <c r="H130">
        <f t="shared" si="3"/>
        <v>13056</v>
      </c>
      <c r="I130" s="16">
        <v>0</v>
      </c>
      <c r="J130" s="16">
        <v>0</v>
      </c>
      <c r="K130" s="16">
        <v>0</v>
      </c>
      <c r="L130" s="16">
        <v>0</v>
      </c>
      <c r="M130" s="30">
        <v>0</v>
      </c>
    </row>
    <row r="131" spans="1:13" x14ac:dyDescent="0.25">
      <c r="A131">
        <f t="shared" si="2"/>
        <v>13056</v>
      </c>
      <c r="B131" s="16">
        <v>0</v>
      </c>
      <c r="C131" s="16">
        <v>0</v>
      </c>
      <c r="D131" s="16">
        <v>0</v>
      </c>
      <c r="E131" s="16">
        <v>0</v>
      </c>
      <c r="F131" s="30">
        <v>0</v>
      </c>
      <c r="H131">
        <f t="shared" si="3"/>
        <v>13056</v>
      </c>
      <c r="I131" s="16">
        <v>0</v>
      </c>
      <c r="J131" s="16">
        <v>0</v>
      </c>
      <c r="K131" s="16">
        <v>0</v>
      </c>
      <c r="L131" s="16">
        <v>0</v>
      </c>
      <c r="M131" s="30">
        <v>0</v>
      </c>
    </row>
    <row r="132" spans="1:13" x14ac:dyDescent="0.25">
      <c r="A132">
        <f t="shared" si="2"/>
        <v>13056</v>
      </c>
      <c r="B132" s="16">
        <v>0</v>
      </c>
      <c r="C132" s="16">
        <v>0</v>
      </c>
      <c r="D132" s="16">
        <v>0</v>
      </c>
      <c r="E132" s="16">
        <v>0</v>
      </c>
      <c r="F132" s="30">
        <v>0</v>
      </c>
      <c r="H132">
        <f t="shared" si="3"/>
        <v>13056</v>
      </c>
      <c r="I132" s="16">
        <v>0</v>
      </c>
      <c r="J132" s="16">
        <v>0</v>
      </c>
      <c r="K132" s="16">
        <v>0</v>
      </c>
      <c r="L132" s="16">
        <v>0</v>
      </c>
      <c r="M132" s="30">
        <v>0</v>
      </c>
    </row>
    <row r="133" spans="1:13" x14ac:dyDescent="0.25">
      <c r="A133">
        <f t="shared" ref="A133:A196" si="4">CHOOSE(IF(ABS(B133-13056)&lt;=ABS(B133-13824),IF(ABS(B133-13056)&lt;=ABS(B133-14592),1,3),IF(ABS(B133-13824)&lt;=ABS(B133-14592),2,3)),13056,13824,14592)</f>
        <v>13056</v>
      </c>
      <c r="B133" s="16">
        <v>0</v>
      </c>
      <c r="C133" s="16">
        <v>0</v>
      </c>
      <c r="D133" s="16">
        <v>0</v>
      </c>
      <c r="E133" s="16">
        <v>0</v>
      </c>
      <c r="F133" s="30">
        <v>0</v>
      </c>
      <c r="H133">
        <f t="shared" ref="H133:H196" si="5">CHOOSE(IF(ABS(I133-13056)&lt;=ABS(I133-13824),IF(ABS(I133-13056)&lt;=ABS(I133-14592),1,3),IF(ABS(I133-13824)&lt;=ABS(I133-14592),2,3)),13056,13824,14592)</f>
        <v>13056</v>
      </c>
      <c r="I133" s="16">
        <v>0</v>
      </c>
      <c r="J133" s="16">
        <v>0</v>
      </c>
      <c r="K133" s="16">
        <v>0</v>
      </c>
      <c r="L133" s="16">
        <v>0</v>
      </c>
      <c r="M133" s="30">
        <v>0</v>
      </c>
    </row>
    <row r="134" spans="1:13" x14ac:dyDescent="0.25">
      <c r="A134">
        <f t="shared" si="4"/>
        <v>13056</v>
      </c>
      <c r="B134" s="16">
        <v>0</v>
      </c>
      <c r="C134" s="16">
        <v>0</v>
      </c>
      <c r="D134" s="16">
        <v>0</v>
      </c>
      <c r="E134" s="16">
        <v>0</v>
      </c>
      <c r="F134" s="30">
        <v>0</v>
      </c>
      <c r="H134">
        <f t="shared" si="5"/>
        <v>13056</v>
      </c>
      <c r="I134" s="16">
        <v>0</v>
      </c>
      <c r="J134" s="16">
        <v>0</v>
      </c>
      <c r="K134" s="16">
        <v>0</v>
      </c>
      <c r="L134" s="16">
        <v>0</v>
      </c>
      <c r="M134" s="30">
        <v>0</v>
      </c>
    </row>
    <row r="135" spans="1:13" x14ac:dyDescent="0.25">
      <c r="A135">
        <f t="shared" si="4"/>
        <v>13056</v>
      </c>
      <c r="B135" s="16">
        <v>0</v>
      </c>
      <c r="C135" s="16">
        <v>0</v>
      </c>
      <c r="D135" s="16">
        <v>0</v>
      </c>
      <c r="E135" s="16">
        <v>0</v>
      </c>
      <c r="F135" s="30">
        <v>0</v>
      </c>
      <c r="H135">
        <f t="shared" si="5"/>
        <v>13056</v>
      </c>
      <c r="I135" s="16">
        <v>0</v>
      </c>
      <c r="J135" s="16">
        <v>0</v>
      </c>
      <c r="K135" s="16">
        <v>0</v>
      </c>
      <c r="L135" s="16">
        <v>0</v>
      </c>
      <c r="M135" s="30">
        <v>0</v>
      </c>
    </row>
    <row r="136" spans="1:13" x14ac:dyDescent="0.25">
      <c r="A136">
        <f t="shared" si="4"/>
        <v>13056</v>
      </c>
      <c r="B136" s="16">
        <v>0</v>
      </c>
      <c r="C136" s="16">
        <v>0</v>
      </c>
      <c r="D136" s="16">
        <v>0</v>
      </c>
      <c r="E136" s="16">
        <v>0</v>
      </c>
      <c r="F136" s="30">
        <v>0</v>
      </c>
      <c r="H136">
        <f t="shared" si="5"/>
        <v>13056</v>
      </c>
      <c r="I136" s="16">
        <v>0</v>
      </c>
      <c r="J136" s="16">
        <v>0</v>
      </c>
      <c r="K136" s="16">
        <v>0</v>
      </c>
      <c r="L136" s="16">
        <v>0</v>
      </c>
      <c r="M136" s="30">
        <v>0</v>
      </c>
    </row>
    <row r="137" spans="1:13" x14ac:dyDescent="0.25">
      <c r="A137">
        <f t="shared" si="4"/>
        <v>13056</v>
      </c>
      <c r="B137" s="16">
        <v>0</v>
      </c>
      <c r="C137" s="16">
        <v>0</v>
      </c>
      <c r="D137" s="16">
        <v>0</v>
      </c>
      <c r="E137" s="16">
        <v>0</v>
      </c>
      <c r="F137" s="30">
        <v>0</v>
      </c>
      <c r="H137">
        <f t="shared" si="5"/>
        <v>13056</v>
      </c>
      <c r="I137" s="16">
        <v>0</v>
      </c>
      <c r="J137" s="16">
        <v>0</v>
      </c>
      <c r="K137" s="16">
        <v>0</v>
      </c>
      <c r="L137" s="16">
        <v>0</v>
      </c>
      <c r="M137" s="30">
        <v>0</v>
      </c>
    </row>
    <row r="138" spans="1:13" x14ac:dyDescent="0.25">
      <c r="A138">
        <f t="shared" si="4"/>
        <v>13056</v>
      </c>
      <c r="B138" s="16">
        <v>0</v>
      </c>
      <c r="C138" s="16">
        <v>0</v>
      </c>
      <c r="D138" s="16">
        <v>0</v>
      </c>
      <c r="E138" s="16">
        <v>0</v>
      </c>
      <c r="F138" s="30">
        <v>0</v>
      </c>
      <c r="H138">
        <f t="shared" si="5"/>
        <v>13056</v>
      </c>
      <c r="I138" s="16">
        <v>0</v>
      </c>
      <c r="J138" s="16">
        <v>0</v>
      </c>
      <c r="K138" s="16">
        <v>0</v>
      </c>
      <c r="L138" s="16">
        <v>0</v>
      </c>
      <c r="M138" s="30">
        <v>0</v>
      </c>
    </row>
    <row r="139" spans="1:13" x14ac:dyDescent="0.25">
      <c r="A139">
        <f t="shared" si="4"/>
        <v>13056</v>
      </c>
      <c r="B139" s="16">
        <v>0</v>
      </c>
      <c r="C139" s="16">
        <v>0</v>
      </c>
      <c r="D139" s="16">
        <v>0</v>
      </c>
      <c r="E139" s="16">
        <v>0</v>
      </c>
      <c r="F139" s="30">
        <v>0</v>
      </c>
      <c r="H139">
        <f t="shared" si="5"/>
        <v>13056</v>
      </c>
      <c r="I139" s="16">
        <v>0</v>
      </c>
      <c r="J139" s="16">
        <v>0</v>
      </c>
      <c r="K139" s="16">
        <v>0</v>
      </c>
      <c r="L139" s="16">
        <v>0</v>
      </c>
      <c r="M139" s="30">
        <v>0</v>
      </c>
    </row>
    <row r="140" spans="1:13" x14ac:dyDescent="0.25">
      <c r="A140">
        <f t="shared" si="4"/>
        <v>13056</v>
      </c>
      <c r="B140" s="16">
        <v>0</v>
      </c>
      <c r="C140" s="16">
        <v>0</v>
      </c>
      <c r="D140" s="16">
        <v>0</v>
      </c>
      <c r="E140" s="16">
        <v>0</v>
      </c>
      <c r="F140" s="30">
        <v>0</v>
      </c>
      <c r="H140">
        <f t="shared" si="5"/>
        <v>13056</v>
      </c>
      <c r="I140" s="16">
        <v>0</v>
      </c>
      <c r="J140" s="16">
        <v>0</v>
      </c>
      <c r="K140" s="16">
        <v>0</v>
      </c>
      <c r="L140" s="16">
        <v>0</v>
      </c>
      <c r="M140" s="30">
        <v>0</v>
      </c>
    </row>
    <row r="141" spans="1:13" x14ac:dyDescent="0.25">
      <c r="A141">
        <f t="shared" si="4"/>
        <v>13056</v>
      </c>
      <c r="B141" s="16">
        <v>0</v>
      </c>
      <c r="C141" s="16">
        <v>0</v>
      </c>
      <c r="D141" s="16">
        <v>0</v>
      </c>
      <c r="E141" s="16">
        <v>0</v>
      </c>
      <c r="F141" s="30">
        <v>0</v>
      </c>
      <c r="H141">
        <f t="shared" si="5"/>
        <v>13056</v>
      </c>
      <c r="I141" s="16">
        <v>0</v>
      </c>
      <c r="J141" s="16">
        <v>0</v>
      </c>
      <c r="K141" s="16">
        <v>0</v>
      </c>
      <c r="L141" s="16">
        <v>0</v>
      </c>
      <c r="M141" s="30">
        <v>0</v>
      </c>
    </row>
    <row r="142" spans="1:13" x14ac:dyDescent="0.25">
      <c r="A142">
        <f t="shared" si="4"/>
        <v>13056</v>
      </c>
      <c r="B142" s="16">
        <v>0</v>
      </c>
      <c r="C142" s="16">
        <v>0</v>
      </c>
      <c r="D142" s="16">
        <v>0</v>
      </c>
      <c r="E142" s="16">
        <v>0</v>
      </c>
      <c r="F142" s="30">
        <v>0</v>
      </c>
      <c r="H142">
        <f t="shared" si="5"/>
        <v>13056</v>
      </c>
      <c r="I142" s="16">
        <v>0</v>
      </c>
      <c r="J142" s="16">
        <v>0</v>
      </c>
      <c r="K142" s="16">
        <v>0</v>
      </c>
      <c r="L142" s="16">
        <v>0</v>
      </c>
      <c r="M142" s="30">
        <v>0</v>
      </c>
    </row>
    <row r="143" spans="1:13" x14ac:dyDescent="0.25">
      <c r="A143">
        <f t="shared" si="4"/>
        <v>13056</v>
      </c>
      <c r="B143" s="16">
        <v>0</v>
      </c>
      <c r="C143" s="16">
        <v>0</v>
      </c>
      <c r="D143" s="16">
        <v>0</v>
      </c>
      <c r="E143" s="16">
        <v>0</v>
      </c>
      <c r="F143" s="30">
        <v>0</v>
      </c>
      <c r="H143">
        <f t="shared" si="5"/>
        <v>13056</v>
      </c>
      <c r="I143" s="16">
        <v>0</v>
      </c>
      <c r="J143" s="16">
        <v>0</v>
      </c>
      <c r="K143" s="16">
        <v>0</v>
      </c>
      <c r="L143" s="16">
        <v>0</v>
      </c>
      <c r="M143" s="30">
        <v>0</v>
      </c>
    </row>
    <row r="144" spans="1:13" x14ac:dyDescent="0.25">
      <c r="A144">
        <f t="shared" si="4"/>
        <v>13056</v>
      </c>
      <c r="B144" s="16">
        <v>0</v>
      </c>
      <c r="C144" s="16">
        <v>0</v>
      </c>
      <c r="D144" s="16">
        <v>0</v>
      </c>
      <c r="E144" s="16">
        <v>0</v>
      </c>
      <c r="F144" s="30">
        <v>0</v>
      </c>
      <c r="H144">
        <f t="shared" si="5"/>
        <v>13056</v>
      </c>
      <c r="I144" s="16">
        <v>0</v>
      </c>
      <c r="J144" s="16">
        <v>0</v>
      </c>
      <c r="K144" s="16">
        <v>0</v>
      </c>
      <c r="L144" s="16">
        <v>0</v>
      </c>
      <c r="M144" s="30">
        <v>0</v>
      </c>
    </row>
    <row r="145" spans="1:13" x14ac:dyDescent="0.25">
      <c r="A145">
        <f t="shared" si="4"/>
        <v>13056</v>
      </c>
      <c r="B145" s="16">
        <v>0</v>
      </c>
      <c r="C145" s="16">
        <v>0</v>
      </c>
      <c r="D145" s="16">
        <v>0</v>
      </c>
      <c r="E145" s="16">
        <v>0</v>
      </c>
      <c r="F145" s="30">
        <v>0</v>
      </c>
      <c r="H145">
        <f t="shared" si="5"/>
        <v>13056</v>
      </c>
      <c r="I145" s="16">
        <v>0</v>
      </c>
      <c r="J145" s="16">
        <v>0</v>
      </c>
      <c r="K145" s="16">
        <v>0</v>
      </c>
      <c r="L145" s="16">
        <v>0</v>
      </c>
      <c r="M145" s="30">
        <v>0</v>
      </c>
    </row>
    <row r="146" spans="1:13" x14ac:dyDescent="0.25">
      <c r="A146">
        <f t="shared" si="4"/>
        <v>13056</v>
      </c>
      <c r="B146" s="16">
        <v>0</v>
      </c>
      <c r="C146" s="16">
        <v>0</v>
      </c>
      <c r="D146" s="16">
        <v>0</v>
      </c>
      <c r="E146" s="16">
        <v>0</v>
      </c>
      <c r="F146" s="30">
        <v>0</v>
      </c>
      <c r="H146">
        <f t="shared" si="5"/>
        <v>13056</v>
      </c>
      <c r="I146" s="16">
        <v>0</v>
      </c>
      <c r="J146" s="16">
        <v>0</v>
      </c>
      <c r="K146" s="16">
        <v>0</v>
      </c>
      <c r="L146" s="16">
        <v>0</v>
      </c>
      <c r="M146" s="30">
        <v>0</v>
      </c>
    </row>
    <row r="147" spans="1:13" x14ac:dyDescent="0.25">
      <c r="A147">
        <f t="shared" si="4"/>
        <v>13056</v>
      </c>
      <c r="B147" s="16">
        <v>0</v>
      </c>
      <c r="C147" s="16">
        <v>0</v>
      </c>
      <c r="D147" s="16">
        <v>0</v>
      </c>
      <c r="E147" s="16">
        <v>0</v>
      </c>
      <c r="F147" s="30">
        <v>0</v>
      </c>
      <c r="H147">
        <f t="shared" si="5"/>
        <v>13056</v>
      </c>
      <c r="I147" s="16">
        <v>0</v>
      </c>
      <c r="J147" s="16">
        <v>0</v>
      </c>
      <c r="K147" s="16">
        <v>0</v>
      </c>
      <c r="L147" s="16">
        <v>0</v>
      </c>
      <c r="M147" s="30">
        <v>0</v>
      </c>
    </row>
    <row r="148" spans="1:13" x14ac:dyDescent="0.25">
      <c r="A148">
        <f t="shared" si="4"/>
        <v>13056</v>
      </c>
      <c r="B148" s="16">
        <v>0</v>
      </c>
      <c r="C148" s="16">
        <v>0</v>
      </c>
      <c r="D148" s="16">
        <v>0</v>
      </c>
      <c r="E148" s="16">
        <v>0</v>
      </c>
      <c r="F148" s="30">
        <v>0</v>
      </c>
      <c r="H148">
        <f t="shared" si="5"/>
        <v>13056</v>
      </c>
      <c r="I148" s="16">
        <v>0</v>
      </c>
      <c r="J148" s="16">
        <v>0</v>
      </c>
      <c r="K148" s="16">
        <v>0</v>
      </c>
      <c r="L148" s="16">
        <v>0</v>
      </c>
      <c r="M148" s="30">
        <v>0</v>
      </c>
    </row>
    <row r="149" spans="1:13" x14ac:dyDescent="0.25">
      <c r="A149">
        <f t="shared" si="4"/>
        <v>13056</v>
      </c>
      <c r="B149" s="16">
        <v>0</v>
      </c>
      <c r="C149" s="16">
        <v>0</v>
      </c>
      <c r="D149" s="16">
        <v>0</v>
      </c>
      <c r="E149" s="16">
        <v>0</v>
      </c>
      <c r="F149" s="30">
        <v>0</v>
      </c>
      <c r="H149">
        <f t="shared" si="5"/>
        <v>13056</v>
      </c>
      <c r="I149" s="16">
        <v>0</v>
      </c>
      <c r="J149" s="16">
        <v>0</v>
      </c>
      <c r="K149" s="16">
        <v>0</v>
      </c>
      <c r="L149" s="16">
        <v>0</v>
      </c>
      <c r="M149" s="30">
        <v>0</v>
      </c>
    </row>
    <row r="150" spans="1:13" x14ac:dyDescent="0.25">
      <c r="A150">
        <f t="shared" si="4"/>
        <v>13056</v>
      </c>
      <c r="B150" s="16">
        <v>0</v>
      </c>
      <c r="C150" s="16">
        <v>0</v>
      </c>
      <c r="D150" s="16">
        <v>0</v>
      </c>
      <c r="E150" s="16">
        <v>0</v>
      </c>
      <c r="F150" s="30">
        <v>0</v>
      </c>
      <c r="H150">
        <f t="shared" si="5"/>
        <v>13056</v>
      </c>
      <c r="I150" s="16">
        <v>0</v>
      </c>
      <c r="J150" s="16">
        <v>0</v>
      </c>
      <c r="K150" s="16">
        <v>0</v>
      </c>
      <c r="L150" s="16">
        <v>0</v>
      </c>
      <c r="M150" s="30">
        <v>0</v>
      </c>
    </row>
    <row r="151" spans="1:13" x14ac:dyDescent="0.25">
      <c r="A151">
        <f t="shared" si="4"/>
        <v>13056</v>
      </c>
      <c r="B151" s="16">
        <v>0</v>
      </c>
      <c r="C151" s="16">
        <v>0</v>
      </c>
      <c r="D151" s="16">
        <v>0</v>
      </c>
      <c r="E151" s="16">
        <v>0</v>
      </c>
      <c r="F151" s="30">
        <v>0</v>
      </c>
      <c r="H151">
        <f t="shared" si="5"/>
        <v>13056</v>
      </c>
      <c r="I151" s="16">
        <v>0</v>
      </c>
      <c r="J151" s="16">
        <v>0</v>
      </c>
      <c r="K151" s="16">
        <v>0</v>
      </c>
      <c r="L151" s="16">
        <v>0</v>
      </c>
      <c r="M151" s="30">
        <v>0</v>
      </c>
    </row>
    <row r="152" spans="1:13" x14ac:dyDescent="0.25">
      <c r="A152">
        <f t="shared" si="4"/>
        <v>13056</v>
      </c>
      <c r="B152" s="16">
        <v>0</v>
      </c>
      <c r="C152" s="16">
        <v>0</v>
      </c>
      <c r="D152" s="16">
        <v>0</v>
      </c>
      <c r="E152" s="16">
        <v>0</v>
      </c>
      <c r="F152" s="30">
        <v>0</v>
      </c>
      <c r="H152">
        <f t="shared" si="5"/>
        <v>13056</v>
      </c>
      <c r="I152" s="16">
        <v>0</v>
      </c>
      <c r="J152" s="16">
        <v>0</v>
      </c>
      <c r="K152" s="16">
        <v>0</v>
      </c>
      <c r="L152" s="16">
        <v>0</v>
      </c>
      <c r="M152" s="30">
        <v>0</v>
      </c>
    </row>
    <row r="153" spans="1:13" x14ac:dyDescent="0.25">
      <c r="A153">
        <f t="shared" si="4"/>
        <v>13056</v>
      </c>
      <c r="B153" s="16">
        <v>0</v>
      </c>
      <c r="C153" s="16">
        <v>0</v>
      </c>
      <c r="D153" s="16">
        <v>0</v>
      </c>
      <c r="E153" s="16">
        <v>0</v>
      </c>
      <c r="F153" s="30">
        <v>0</v>
      </c>
      <c r="H153">
        <f t="shared" si="5"/>
        <v>13056</v>
      </c>
      <c r="I153" s="16">
        <v>0</v>
      </c>
      <c r="J153" s="16">
        <v>0</v>
      </c>
      <c r="K153" s="16">
        <v>0</v>
      </c>
      <c r="L153" s="16">
        <v>0</v>
      </c>
      <c r="M153" s="30">
        <v>0</v>
      </c>
    </row>
    <row r="154" spans="1:13" x14ac:dyDescent="0.25">
      <c r="A154">
        <f t="shared" si="4"/>
        <v>13056</v>
      </c>
      <c r="B154" s="16">
        <v>0</v>
      </c>
      <c r="C154" s="16">
        <v>0</v>
      </c>
      <c r="D154" s="16">
        <v>0</v>
      </c>
      <c r="E154" s="16">
        <v>0</v>
      </c>
      <c r="F154" s="30">
        <v>0</v>
      </c>
      <c r="H154">
        <f t="shared" si="5"/>
        <v>13056</v>
      </c>
      <c r="I154" s="16">
        <v>0</v>
      </c>
      <c r="J154" s="16">
        <v>0</v>
      </c>
      <c r="K154" s="16">
        <v>0</v>
      </c>
      <c r="L154" s="16">
        <v>0</v>
      </c>
      <c r="M154" s="30">
        <v>0</v>
      </c>
    </row>
    <row r="155" spans="1:13" x14ac:dyDescent="0.25">
      <c r="A155">
        <f t="shared" si="4"/>
        <v>13056</v>
      </c>
      <c r="B155" s="16">
        <v>0</v>
      </c>
      <c r="C155" s="16">
        <v>0</v>
      </c>
      <c r="D155" s="16">
        <v>0</v>
      </c>
      <c r="E155" s="16">
        <v>0</v>
      </c>
      <c r="F155" s="30">
        <v>0</v>
      </c>
      <c r="H155">
        <f t="shared" si="5"/>
        <v>13056</v>
      </c>
      <c r="I155" s="16">
        <v>0</v>
      </c>
      <c r="J155" s="16">
        <v>0</v>
      </c>
      <c r="K155" s="16">
        <v>0</v>
      </c>
      <c r="L155" s="16">
        <v>0</v>
      </c>
      <c r="M155" s="30">
        <v>0</v>
      </c>
    </row>
    <row r="156" spans="1:13" x14ac:dyDescent="0.25">
      <c r="A156">
        <f t="shared" si="4"/>
        <v>13056</v>
      </c>
      <c r="B156" s="16">
        <v>0</v>
      </c>
      <c r="C156" s="16">
        <v>0</v>
      </c>
      <c r="D156" s="16">
        <v>0</v>
      </c>
      <c r="E156" s="16">
        <v>0</v>
      </c>
      <c r="F156" s="30">
        <v>0</v>
      </c>
      <c r="H156">
        <f t="shared" si="5"/>
        <v>13056</v>
      </c>
      <c r="I156" s="16">
        <v>0</v>
      </c>
      <c r="J156" s="16">
        <v>0</v>
      </c>
      <c r="K156" s="16">
        <v>0</v>
      </c>
      <c r="L156" s="16">
        <v>0</v>
      </c>
      <c r="M156" s="30">
        <v>0</v>
      </c>
    </row>
    <row r="157" spans="1:13" x14ac:dyDescent="0.25">
      <c r="A157">
        <f t="shared" si="4"/>
        <v>13056</v>
      </c>
      <c r="B157" s="16">
        <v>0</v>
      </c>
      <c r="C157" s="16">
        <v>0</v>
      </c>
      <c r="D157" s="16">
        <v>0</v>
      </c>
      <c r="E157" s="16">
        <v>0</v>
      </c>
      <c r="F157" s="30">
        <v>0</v>
      </c>
      <c r="H157">
        <f t="shared" si="5"/>
        <v>13056</v>
      </c>
      <c r="I157" s="16">
        <v>0</v>
      </c>
      <c r="J157" s="16">
        <v>0</v>
      </c>
      <c r="K157" s="16">
        <v>0</v>
      </c>
      <c r="L157" s="16">
        <v>0</v>
      </c>
      <c r="M157" s="30">
        <v>0</v>
      </c>
    </row>
    <row r="158" spans="1:13" x14ac:dyDescent="0.25">
      <c r="A158">
        <f t="shared" si="4"/>
        <v>13056</v>
      </c>
      <c r="B158" s="16">
        <v>0</v>
      </c>
      <c r="C158" s="16">
        <v>0</v>
      </c>
      <c r="D158" s="16">
        <v>0</v>
      </c>
      <c r="E158" s="16">
        <v>0</v>
      </c>
      <c r="F158" s="30">
        <v>0</v>
      </c>
      <c r="H158">
        <f t="shared" si="5"/>
        <v>13056</v>
      </c>
      <c r="I158" s="16">
        <v>0</v>
      </c>
      <c r="J158" s="16">
        <v>0</v>
      </c>
      <c r="K158" s="16">
        <v>0</v>
      </c>
      <c r="L158" s="16">
        <v>0</v>
      </c>
      <c r="M158" s="30">
        <v>0</v>
      </c>
    </row>
    <row r="159" spans="1:13" x14ac:dyDescent="0.25">
      <c r="A159">
        <f t="shared" si="4"/>
        <v>13056</v>
      </c>
      <c r="B159" s="16">
        <v>0</v>
      </c>
      <c r="C159" s="16">
        <v>0</v>
      </c>
      <c r="D159" s="16">
        <v>0</v>
      </c>
      <c r="E159" s="16">
        <v>0</v>
      </c>
      <c r="F159" s="30">
        <v>0</v>
      </c>
      <c r="H159">
        <f t="shared" si="5"/>
        <v>13056</v>
      </c>
      <c r="I159" s="16">
        <v>0</v>
      </c>
      <c r="J159" s="16">
        <v>0</v>
      </c>
      <c r="K159" s="16">
        <v>0</v>
      </c>
      <c r="L159" s="16">
        <v>0</v>
      </c>
      <c r="M159" s="30">
        <v>0</v>
      </c>
    </row>
    <row r="160" spans="1:13" x14ac:dyDescent="0.25">
      <c r="A160">
        <f t="shared" si="4"/>
        <v>13056</v>
      </c>
      <c r="B160" s="16">
        <v>0</v>
      </c>
      <c r="C160" s="16">
        <v>0</v>
      </c>
      <c r="D160" s="16">
        <v>0</v>
      </c>
      <c r="E160" s="16">
        <v>0</v>
      </c>
      <c r="F160" s="30">
        <v>0</v>
      </c>
      <c r="H160">
        <f t="shared" si="5"/>
        <v>13056</v>
      </c>
      <c r="I160" s="16">
        <v>0</v>
      </c>
      <c r="J160" s="16">
        <v>0</v>
      </c>
      <c r="K160" s="16">
        <v>0</v>
      </c>
      <c r="L160" s="16">
        <v>0</v>
      </c>
      <c r="M160" s="30">
        <v>0</v>
      </c>
    </row>
    <row r="161" spans="1:13" x14ac:dyDescent="0.25">
      <c r="A161">
        <f t="shared" si="4"/>
        <v>13056</v>
      </c>
      <c r="B161" s="16">
        <v>0</v>
      </c>
      <c r="C161" s="16">
        <v>0</v>
      </c>
      <c r="D161" s="16">
        <v>0</v>
      </c>
      <c r="E161" s="16">
        <v>0</v>
      </c>
      <c r="F161" s="30">
        <v>0</v>
      </c>
      <c r="H161">
        <f t="shared" si="5"/>
        <v>13056</v>
      </c>
      <c r="I161" s="16">
        <v>0</v>
      </c>
      <c r="J161" s="16">
        <v>0</v>
      </c>
      <c r="K161" s="16">
        <v>0</v>
      </c>
      <c r="L161" s="16">
        <v>0</v>
      </c>
      <c r="M161" s="30">
        <v>0</v>
      </c>
    </row>
    <row r="162" spans="1:13" x14ac:dyDescent="0.25">
      <c r="A162">
        <f t="shared" si="4"/>
        <v>13056</v>
      </c>
      <c r="B162" s="16">
        <v>0</v>
      </c>
      <c r="C162" s="16">
        <v>0</v>
      </c>
      <c r="D162" s="16">
        <v>0</v>
      </c>
      <c r="E162" s="16">
        <v>0</v>
      </c>
      <c r="F162" s="30">
        <v>0</v>
      </c>
      <c r="H162">
        <f t="shared" si="5"/>
        <v>13056</v>
      </c>
      <c r="I162" s="16">
        <v>0</v>
      </c>
      <c r="J162" s="16">
        <v>0</v>
      </c>
      <c r="K162" s="16">
        <v>0</v>
      </c>
      <c r="L162" s="16">
        <v>0</v>
      </c>
      <c r="M162" s="30">
        <v>0</v>
      </c>
    </row>
    <row r="163" spans="1:13" x14ac:dyDescent="0.25">
      <c r="A163">
        <f t="shared" si="4"/>
        <v>13056</v>
      </c>
      <c r="B163" s="16">
        <v>0</v>
      </c>
      <c r="C163" s="16">
        <v>0</v>
      </c>
      <c r="D163" s="16">
        <v>0</v>
      </c>
      <c r="E163" s="16">
        <v>0</v>
      </c>
      <c r="F163" s="30">
        <v>0</v>
      </c>
      <c r="H163">
        <f t="shared" si="5"/>
        <v>13056</v>
      </c>
      <c r="I163" s="16">
        <v>0</v>
      </c>
      <c r="J163" s="16">
        <v>0</v>
      </c>
      <c r="K163" s="16">
        <v>0</v>
      </c>
      <c r="L163" s="16">
        <v>0</v>
      </c>
      <c r="M163" s="30">
        <v>0</v>
      </c>
    </row>
    <row r="164" spans="1:13" x14ac:dyDescent="0.25">
      <c r="A164">
        <f t="shared" si="4"/>
        <v>13056</v>
      </c>
      <c r="B164" s="16">
        <v>0</v>
      </c>
      <c r="C164" s="16">
        <v>0</v>
      </c>
      <c r="D164" s="16">
        <v>0</v>
      </c>
      <c r="E164" s="16">
        <v>0</v>
      </c>
      <c r="F164" s="30">
        <v>0</v>
      </c>
      <c r="H164">
        <f t="shared" si="5"/>
        <v>13056</v>
      </c>
      <c r="I164" s="16">
        <v>0</v>
      </c>
      <c r="J164" s="16">
        <v>0</v>
      </c>
      <c r="K164" s="16">
        <v>0</v>
      </c>
      <c r="L164" s="16">
        <v>0</v>
      </c>
      <c r="M164" s="30">
        <v>0</v>
      </c>
    </row>
    <row r="165" spans="1:13" x14ac:dyDescent="0.25">
      <c r="A165">
        <f t="shared" si="4"/>
        <v>13056</v>
      </c>
      <c r="B165" s="16">
        <v>0</v>
      </c>
      <c r="C165" s="16">
        <v>0</v>
      </c>
      <c r="D165" s="16">
        <v>0</v>
      </c>
      <c r="E165" s="16">
        <v>0</v>
      </c>
      <c r="F165" s="30">
        <v>0</v>
      </c>
      <c r="H165">
        <f t="shared" si="5"/>
        <v>13056</v>
      </c>
      <c r="I165" s="16">
        <v>0</v>
      </c>
      <c r="J165" s="16">
        <v>0</v>
      </c>
      <c r="K165" s="16">
        <v>0</v>
      </c>
      <c r="L165" s="16">
        <v>0</v>
      </c>
      <c r="M165" s="30">
        <v>0</v>
      </c>
    </row>
    <row r="166" spans="1:13" x14ac:dyDescent="0.25">
      <c r="A166">
        <f t="shared" si="4"/>
        <v>13056</v>
      </c>
      <c r="B166" s="16">
        <v>0</v>
      </c>
      <c r="C166" s="16">
        <v>0</v>
      </c>
      <c r="D166" s="16">
        <v>0</v>
      </c>
      <c r="E166" s="16">
        <v>0</v>
      </c>
      <c r="F166" s="30">
        <v>0</v>
      </c>
      <c r="H166">
        <f t="shared" si="5"/>
        <v>13056</v>
      </c>
      <c r="I166" s="16">
        <v>0</v>
      </c>
      <c r="J166" s="16">
        <v>0</v>
      </c>
      <c r="K166" s="16">
        <v>0</v>
      </c>
      <c r="L166" s="16">
        <v>0</v>
      </c>
      <c r="M166" s="30">
        <v>0</v>
      </c>
    </row>
    <row r="167" spans="1:13" x14ac:dyDescent="0.25">
      <c r="A167">
        <f t="shared" si="4"/>
        <v>13056</v>
      </c>
      <c r="B167" s="16">
        <v>0</v>
      </c>
      <c r="C167" s="16">
        <v>0</v>
      </c>
      <c r="D167" s="16">
        <v>0</v>
      </c>
      <c r="E167" s="16">
        <v>0</v>
      </c>
      <c r="F167" s="30">
        <v>0</v>
      </c>
      <c r="H167">
        <f t="shared" si="5"/>
        <v>13056</v>
      </c>
      <c r="I167" s="16">
        <v>0</v>
      </c>
      <c r="J167" s="16">
        <v>0</v>
      </c>
      <c r="K167" s="16">
        <v>0</v>
      </c>
      <c r="L167" s="16">
        <v>0</v>
      </c>
      <c r="M167" s="30">
        <v>0</v>
      </c>
    </row>
    <row r="168" spans="1:13" x14ac:dyDescent="0.25">
      <c r="A168">
        <f t="shared" si="4"/>
        <v>13056</v>
      </c>
      <c r="B168" s="16">
        <v>0</v>
      </c>
      <c r="C168" s="16">
        <v>0</v>
      </c>
      <c r="D168" s="16">
        <v>0</v>
      </c>
      <c r="E168" s="16">
        <v>0</v>
      </c>
      <c r="F168" s="30">
        <v>0</v>
      </c>
      <c r="H168">
        <f t="shared" si="5"/>
        <v>13056</v>
      </c>
      <c r="I168" s="16">
        <v>0</v>
      </c>
      <c r="J168" s="16">
        <v>0</v>
      </c>
      <c r="K168" s="16">
        <v>0</v>
      </c>
      <c r="L168" s="16">
        <v>0</v>
      </c>
      <c r="M168" s="30">
        <v>0</v>
      </c>
    </row>
    <row r="169" spans="1:13" x14ac:dyDescent="0.25">
      <c r="A169">
        <f t="shared" si="4"/>
        <v>13056</v>
      </c>
      <c r="B169" s="16">
        <v>0</v>
      </c>
      <c r="C169" s="16">
        <v>0</v>
      </c>
      <c r="D169" s="16">
        <v>0</v>
      </c>
      <c r="E169" s="16">
        <v>0</v>
      </c>
      <c r="F169" s="30">
        <v>0</v>
      </c>
      <c r="H169">
        <f t="shared" si="5"/>
        <v>13056</v>
      </c>
      <c r="I169" s="16">
        <v>0</v>
      </c>
      <c r="J169" s="16">
        <v>0</v>
      </c>
      <c r="K169" s="16">
        <v>0</v>
      </c>
      <c r="L169" s="16">
        <v>0</v>
      </c>
      <c r="M169" s="30">
        <v>0</v>
      </c>
    </row>
    <row r="170" spans="1:13" x14ac:dyDescent="0.25">
      <c r="A170">
        <f t="shared" si="4"/>
        <v>13056</v>
      </c>
      <c r="B170" s="16">
        <v>0</v>
      </c>
      <c r="C170" s="16">
        <v>0</v>
      </c>
      <c r="D170" s="16">
        <v>0</v>
      </c>
      <c r="E170" s="16">
        <v>0</v>
      </c>
      <c r="F170" s="30">
        <v>0</v>
      </c>
      <c r="H170">
        <f t="shared" si="5"/>
        <v>13056</v>
      </c>
      <c r="I170" s="16">
        <v>0</v>
      </c>
      <c r="J170" s="16">
        <v>0</v>
      </c>
      <c r="K170" s="16">
        <v>0</v>
      </c>
      <c r="L170" s="16">
        <v>0</v>
      </c>
      <c r="M170" s="30">
        <v>0</v>
      </c>
    </row>
    <row r="171" spans="1:13" x14ac:dyDescent="0.25">
      <c r="A171">
        <f t="shared" si="4"/>
        <v>13056</v>
      </c>
      <c r="B171" s="16">
        <v>0</v>
      </c>
      <c r="C171" s="16">
        <v>0</v>
      </c>
      <c r="D171" s="16">
        <v>0</v>
      </c>
      <c r="E171" s="16">
        <v>0</v>
      </c>
      <c r="F171" s="30">
        <v>0</v>
      </c>
      <c r="H171">
        <f t="shared" si="5"/>
        <v>13056</v>
      </c>
      <c r="I171" s="16">
        <v>0</v>
      </c>
      <c r="J171" s="16">
        <v>0</v>
      </c>
      <c r="K171" s="16">
        <v>0</v>
      </c>
      <c r="L171" s="16">
        <v>0</v>
      </c>
      <c r="M171" s="30">
        <v>0</v>
      </c>
    </row>
    <row r="172" spans="1:13" x14ac:dyDescent="0.25">
      <c r="A172">
        <f t="shared" si="4"/>
        <v>13056</v>
      </c>
      <c r="B172" s="16">
        <v>0</v>
      </c>
      <c r="C172" s="16">
        <v>0</v>
      </c>
      <c r="D172" s="16">
        <v>0</v>
      </c>
      <c r="E172" s="16">
        <v>0</v>
      </c>
      <c r="F172" s="30">
        <v>0</v>
      </c>
      <c r="H172">
        <f t="shared" si="5"/>
        <v>13056</v>
      </c>
      <c r="I172" s="16">
        <v>0</v>
      </c>
      <c r="J172" s="16">
        <v>0</v>
      </c>
      <c r="K172" s="16">
        <v>0</v>
      </c>
      <c r="L172" s="16">
        <v>0</v>
      </c>
      <c r="M172" s="30">
        <v>0</v>
      </c>
    </row>
    <row r="173" spans="1:13" x14ac:dyDescent="0.25">
      <c r="A173">
        <f t="shared" si="4"/>
        <v>13056</v>
      </c>
      <c r="B173" s="16">
        <v>0</v>
      </c>
      <c r="C173" s="16">
        <v>0</v>
      </c>
      <c r="D173" s="16">
        <v>0</v>
      </c>
      <c r="E173" s="16">
        <v>0</v>
      </c>
      <c r="F173" s="30">
        <v>0</v>
      </c>
      <c r="H173">
        <f t="shared" si="5"/>
        <v>13056</v>
      </c>
      <c r="I173" s="16">
        <v>0</v>
      </c>
      <c r="J173" s="16">
        <v>0</v>
      </c>
      <c r="K173" s="16">
        <v>0</v>
      </c>
      <c r="L173" s="16">
        <v>0</v>
      </c>
      <c r="M173" s="30">
        <v>0</v>
      </c>
    </row>
    <row r="174" spans="1:13" x14ac:dyDescent="0.25">
      <c r="A174">
        <f t="shared" si="4"/>
        <v>13056</v>
      </c>
      <c r="B174" s="16">
        <v>0</v>
      </c>
      <c r="C174" s="16">
        <v>0</v>
      </c>
      <c r="D174" s="16">
        <v>0</v>
      </c>
      <c r="E174" s="16">
        <v>0</v>
      </c>
      <c r="F174" s="30">
        <v>0</v>
      </c>
      <c r="H174">
        <f t="shared" si="5"/>
        <v>13056</v>
      </c>
      <c r="I174" s="16">
        <v>0</v>
      </c>
      <c r="J174" s="16">
        <v>0</v>
      </c>
      <c r="K174" s="16">
        <v>0</v>
      </c>
      <c r="L174" s="16">
        <v>0</v>
      </c>
      <c r="M174" s="30">
        <v>0</v>
      </c>
    </row>
    <row r="175" spans="1:13" x14ac:dyDescent="0.25">
      <c r="A175">
        <f t="shared" si="4"/>
        <v>13056</v>
      </c>
      <c r="B175" s="16">
        <v>0</v>
      </c>
      <c r="C175" s="16">
        <v>0</v>
      </c>
      <c r="D175" s="16">
        <v>0</v>
      </c>
      <c r="E175" s="16">
        <v>0</v>
      </c>
      <c r="F175" s="30">
        <v>0</v>
      </c>
      <c r="H175">
        <f t="shared" si="5"/>
        <v>13056</v>
      </c>
      <c r="I175" s="16">
        <v>0</v>
      </c>
      <c r="J175" s="16">
        <v>0</v>
      </c>
      <c r="K175" s="16">
        <v>0</v>
      </c>
      <c r="L175" s="16">
        <v>0</v>
      </c>
      <c r="M175" s="30">
        <v>0</v>
      </c>
    </row>
    <row r="176" spans="1:13" x14ac:dyDescent="0.25">
      <c r="A176">
        <f t="shared" si="4"/>
        <v>13056</v>
      </c>
      <c r="B176" s="16">
        <v>0</v>
      </c>
      <c r="C176" s="16">
        <v>0</v>
      </c>
      <c r="D176" s="16">
        <v>0</v>
      </c>
      <c r="E176" s="16">
        <v>0</v>
      </c>
      <c r="F176" s="30">
        <v>0</v>
      </c>
      <c r="H176">
        <f t="shared" si="5"/>
        <v>13056</v>
      </c>
      <c r="I176" s="16">
        <v>0</v>
      </c>
      <c r="J176" s="16">
        <v>0</v>
      </c>
      <c r="K176" s="16">
        <v>0</v>
      </c>
      <c r="L176" s="16">
        <v>0</v>
      </c>
      <c r="M176" s="30">
        <v>0</v>
      </c>
    </row>
    <row r="177" spans="1:13" x14ac:dyDescent="0.25">
      <c r="A177">
        <f t="shared" si="4"/>
        <v>13056</v>
      </c>
      <c r="B177" s="16">
        <v>0</v>
      </c>
      <c r="C177" s="16">
        <v>0</v>
      </c>
      <c r="D177" s="16">
        <v>0</v>
      </c>
      <c r="E177" s="16">
        <v>0</v>
      </c>
      <c r="F177" s="30">
        <v>0</v>
      </c>
      <c r="H177">
        <f t="shared" si="5"/>
        <v>13056</v>
      </c>
      <c r="I177" s="16">
        <v>0</v>
      </c>
      <c r="J177" s="16">
        <v>0</v>
      </c>
      <c r="K177" s="16">
        <v>0</v>
      </c>
      <c r="L177" s="16">
        <v>0</v>
      </c>
      <c r="M177" s="30">
        <v>0</v>
      </c>
    </row>
    <row r="178" spans="1:13" x14ac:dyDescent="0.25">
      <c r="A178">
        <f t="shared" si="4"/>
        <v>13056</v>
      </c>
      <c r="B178" s="16">
        <v>0</v>
      </c>
      <c r="C178" s="16">
        <v>0</v>
      </c>
      <c r="D178" s="16">
        <v>0</v>
      </c>
      <c r="E178" s="16">
        <v>0</v>
      </c>
      <c r="F178" s="30">
        <v>0</v>
      </c>
      <c r="H178">
        <f t="shared" si="5"/>
        <v>13056</v>
      </c>
      <c r="I178" s="16">
        <v>0</v>
      </c>
      <c r="J178" s="16">
        <v>0</v>
      </c>
      <c r="K178" s="16">
        <v>0</v>
      </c>
      <c r="L178" s="16">
        <v>0</v>
      </c>
      <c r="M178" s="30">
        <v>0</v>
      </c>
    </row>
    <row r="179" spans="1:13" x14ac:dyDescent="0.25">
      <c r="A179">
        <f t="shared" si="4"/>
        <v>13056</v>
      </c>
      <c r="B179" s="16">
        <v>0</v>
      </c>
      <c r="C179" s="16">
        <v>0</v>
      </c>
      <c r="D179" s="16">
        <v>0</v>
      </c>
      <c r="E179" s="16">
        <v>0</v>
      </c>
      <c r="F179" s="30">
        <v>0</v>
      </c>
      <c r="H179">
        <f t="shared" si="5"/>
        <v>13056</v>
      </c>
      <c r="I179" s="16">
        <v>0</v>
      </c>
      <c r="J179" s="16">
        <v>0</v>
      </c>
      <c r="K179" s="16">
        <v>0</v>
      </c>
      <c r="L179" s="16">
        <v>0</v>
      </c>
      <c r="M179" s="30">
        <v>0</v>
      </c>
    </row>
    <row r="180" spans="1:13" x14ac:dyDescent="0.25">
      <c r="A180">
        <f t="shared" si="4"/>
        <v>13056</v>
      </c>
      <c r="B180" s="16">
        <v>0</v>
      </c>
      <c r="C180" s="16">
        <v>0</v>
      </c>
      <c r="D180" s="16">
        <v>0</v>
      </c>
      <c r="E180" s="16">
        <v>0</v>
      </c>
      <c r="F180" s="30">
        <v>0</v>
      </c>
      <c r="H180">
        <f t="shared" si="5"/>
        <v>13056</v>
      </c>
      <c r="I180" s="16">
        <v>0</v>
      </c>
      <c r="J180" s="16">
        <v>0</v>
      </c>
      <c r="K180" s="16">
        <v>0</v>
      </c>
      <c r="L180" s="16">
        <v>0</v>
      </c>
      <c r="M180" s="30">
        <v>0</v>
      </c>
    </row>
    <row r="181" spans="1:13" x14ac:dyDescent="0.25">
      <c r="A181">
        <f t="shared" si="4"/>
        <v>13056</v>
      </c>
      <c r="B181" s="16">
        <v>0</v>
      </c>
      <c r="C181" s="16">
        <v>0</v>
      </c>
      <c r="D181" s="16">
        <v>0</v>
      </c>
      <c r="E181" s="16">
        <v>0</v>
      </c>
      <c r="F181" s="30">
        <v>0</v>
      </c>
      <c r="H181">
        <f t="shared" si="5"/>
        <v>13056</v>
      </c>
      <c r="I181" s="16">
        <v>0</v>
      </c>
      <c r="J181" s="16">
        <v>0</v>
      </c>
      <c r="K181" s="16">
        <v>0</v>
      </c>
      <c r="L181" s="16">
        <v>0</v>
      </c>
      <c r="M181" s="30">
        <v>0</v>
      </c>
    </row>
    <row r="182" spans="1:13" x14ac:dyDescent="0.25">
      <c r="A182">
        <f t="shared" si="4"/>
        <v>13056</v>
      </c>
      <c r="B182" s="16">
        <v>0</v>
      </c>
      <c r="C182" s="16">
        <v>0</v>
      </c>
      <c r="D182" s="16">
        <v>0</v>
      </c>
      <c r="E182" s="16">
        <v>0</v>
      </c>
      <c r="F182" s="30">
        <v>0</v>
      </c>
      <c r="H182">
        <f t="shared" si="5"/>
        <v>13056</v>
      </c>
      <c r="I182" s="16">
        <v>0</v>
      </c>
      <c r="J182" s="16">
        <v>0</v>
      </c>
      <c r="K182" s="16">
        <v>0</v>
      </c>
      <c r="L182" s="16">
        <v>0</v>
      </c>
      <c r="M182" s="30">
        <v>0</v>
      </c>
    </row>
    <row r="183" spans="1:13" x14ac:dyDescent="0.25">
      <c r="A183">
        <f t="shared" si="4"/>
        <v>13056</v>
      </c>
      <c r="B183" s="16">
        <v>0</v>
      </c>
      <c r="C183" s="16">
        <v>0</v>
      </c>
      <c r="D183" s="16">
        <v>0</v>
      </c>
      <c r="E183" s="16">
        <v>0</v>
      </c>
      <c r="F183" s="30">
        <v>0</v>
      </c>
      <c r="H183">
        <f t="shared" si="5"/>
        <v>13056</v>
      </c>
      <c r="I183" s="16">
        <v>0</v>
      </c>
      <c r="J183" s="16">
        <v>0</v>
      </c>
      <c r="K183" s="16">
        <v>0</v>
      </c>
      <c r="L183" s="16">
        <v>0</v>
      </c>
      <c r="M183" s="30">
        <v>0</v>
      </c>
    </row>
    <row r="184" spans="1:13" x14ac:dyDescent="0.25">
      <c r="A184">
        <f t="shared" si="4"/>
        <v>13056</v>
      </c>
      <c r="B184" s="16">
        <v>0</v>
      </c>
      <c r="C184" s="16">
        <v>0</v>
      </c>
      <c r="D184" s="16">
        <v>0</v>
      </c>
      <c r="E184" s="16">
        <v>0</v>
      </c>
      <c r="F184" s="30">
        <v>0</v>
      </c>
      <c r="H184">
        <f t="shared" si="5"/>
        <v>13056</v>
      </c>
      <c r="I184" s="16">
        <v>0</v>
      </c>
      <c r="J184" s="16">
        <v>0</v>
      </c>
      <c r="K184" s="16">
        <v>0</v>
      </c>
      <c r="L184" s="16">
        <v>0</v>
      </c>
      <c r="M184" s="30">
        <v>0</v>
      </c>
    </row>
    <row r="185" spans="1:13" x14ac:dyDescent="0.25">
      <c r="A185">
        <f t="shared" si="4"/>
        <v>13056</v>
      </c>
      <c r="B185" s="16">
        <v>0</v>
      </c>
      <c r="C185" s="16">
        <v>0</v>
      </c>
      <c r="D185" s="16">
        <v>0</v>
      </c>
      <c r="E185" s="16">
        <v>0</v>
      </c>
      <c r="F185" s="30">
        <v>0</v>
      </c>
      <c r="H185">
        <f t="shared" si="5"/>
        <v>13056</v>
      </c>
      <c r="I185" s="16">
        <v>0</v>
      </c>
      <c r="J185" s="16">
        <v>0</v>
      </c>
      <c r="K185" s="16">
        <v>0</v>
      </c>
      <c r="L185" s="16">
        <v>0</v>
      </c>
      <c r="M185" s="30">
        <v>0</v>
      </c>
    </row>
    <row r="186" spans="1:13" x14ac:dyDescent="0.25">
      <c r="A186">
        <f t="shared" si="4"/>
        <v>13056</v>
      </c>
      <c r="B186" s="16">
        <v>0</v>
      </c>
      <c r="C186" s="16">
        <v>0</v>
      </c>
      <c r="D186" s="16">
        <v>0</v>
      </c>
      <c r="E186" s="16">
        <v>0</v>
      </c>
      <c r="F186" s="30">
        <v>0</v>
      </c>
      <c r="H186">
        <f t="shared" si="5"/>
        <v>13056</v>
      </c>
      <c r="I186" s="16">
        <v>0</v>
      </c>
      <c r="J186" s="16">
        <v>0</v>
      </c>
      <c r="K186" s="16">
        <v>0</v>
      </c>
      <c r="L186" s="16">
        <v>0</v>
      </c>
      <c r="M186" s="30">
        <v>0</v>
      </c>
    </row>
    <row r="187" spans="1:13" x14ac:dyDescent="0.25">
      <c r="A187">
        <f t="shared" si="4"/>
        <v>13056</v>
      </c>
      <c r="B187" s="16">
        <v>0</v>
      </c>
      <c r="C187" s="16">
        <v>0</v>
      </c>
      <c r="D187" s="16">
        <v>0</v>
      </c>
      <c r="E187" s="16">
        <v>0</v>
      </c>
      <c r="F187" s="30">
        <v>0</v>
      </c>
      <c r="H187">
        <f t="shared" si="5"/>
        <v>13056</v>
      </c>
      <c r="I187" s="16">
        <v>0</v>
      </c>
      <c r="J187" s="16">
        <v>0</v>
      </c>
      <c r="K187" s="16">
        <v>0</v>
      </c>
      <c r="L187" s="16">
        <v>0</v>
      </c>
      <c r="M187" s="30">
        <v>0</v>
      </c>
    </row>
    <row r="188" spans="1:13" x14ac:dyDescent="0.25">
      <c r="A188">
        <f t="shared" si="4"/>
        <v>13056</v>
      </c>
      <c r="B188" s="16">
        <v>0</v>
      </c>
      <c r="C188" s="16">
        <v>0</v>
      </c>
      <c r="D188" s="16">
        <v>0</v>
      </c>
      <c r="E188" s="16">
        <v>0</v>
      </c>
      <c r="F188" s="30">
        <v>0</v>
      </c>
      <c r="H188">
        <f t="shared" si="5"/>
        <v>13056</v>
      </c>
      <c r="I188" s="16">
        <v>0</v>
      </c>
      <c r="J188" s="16">
        <v>0</v>
      </c>
      <c r="K188" s="16">
        <v>0</v>
      </c>
      <c r="L188" s="16">
        <v>0</v>
      </c>
      <c r="M188" s="30">
        <v>0</v>
      </c>
    </row>
    <row r="189" spans="1:13" x14ac:dyDescent="0.25">
      <c r="A189">
        <f t="shared" si="4"/>
        <v>13056</v>
      </c>
      <c r="B189" s="16">
        <v>0</v>
      </c>
      <c r="C189" s="16">
        <v>0</v>
      </c>
      <c r="D189" s="16">
        <v>0</v>
      </c>
      <c r="E189" s="16">
        <v>0</v>
      </c>
      <c r="F189" s="30">
        <v>0</v>
      </c>
      <c r="H189">
        <f t="shared" si="5"/>
        <v>13056</v>
      </c>
      <c r="I189" s="16">
        <v>0</v>
      </c>
      <c r="J189" s="16">
        <v>0</v>
      </c>
      <c r="K189" s="16">
        <v>0</v>
      </c>
      <c r="L189" s="16">
        <v>0</v>
      </c>
      <c r="M189" s="30">
        <v>0</v>
      </c>
    </row>
    <row r="190" spans="1:13" x14ac:dyDescent="0.25">
      <c r="A190">
        <f t="shared" si="4"/>
        <v>13056</v>
      </c>
      <c r="B190" s="16">
        <v>0</v>
      </c>
      <c r="C190" s="16">
        <v>0</v>
      </c>
      <c r="D190" s="16">
        <v>0</v>
      </c>
      <c r="E190" s="16">
        <v>0</v>
      </c>
      <c r="F190" s="30">
        <v>0</v>
      </c>
      <c r="H190">
        <f t="shared" si="5"/>
        <v>13056</v>
      </c>
      <c r="I190" s="16">
        <v>0</v>
      </c>
      <c r="J190" s="16">
        <v>0</v>
      </c>
      <c r="K190" s="16">
        <v>0</v>
      </c>
      <c r="L190" s="16">
        <v>0</v>
      </c>
      <c r="M190" s="30">
        <v>0</v>
      </c>
    </row>
    <row r="191" spans="1:13" x14ac:dyDescent="0.25">
      <c r="A191">
        <f t="shared" si="4"/>
        <v>13056</v>
      </c>
      <c r="B191" s="16">
        <v>0</v>
      </c>
      <c r="C191" s="16">
        <v>0</v>
      </c>
      <c r="D191" s="16">
        <v>0</v>
      </c>
      <c r="E191" s="16">
        <v>0</v>
      </c>
      <c r="F191" s="30">
        <v>0</v>
      </c>
      <c r="H191">
        <f t="shared" si="5"/>
        <v>13056</v>
      </c>
      <c r="I191" s="16">
        <v>0</v>
      </c>
      <c r="J191" s="16">
        <v>0</v>
      </c>
      <c r="K191" s="16">
        <v>0</v>
      </c>
      <c r="L191" s="16">
        <v>0</v>
      </c>
      <c r="M191" s="30">
        <v>0</v>
      </c>
    </row>
    <row r="192" spans="1:13" x14ac:dyDescent="0.25">
      <c r="A192">
        <f t="shared" si="4"/>
        <v>13056</v>
      </c>
      <c r="B192" s="16">
        <v>0</v>
      </c>
      <c r="C192" s="16">
        <v>0</v>
      </c>
      <c r="D192" s="16">
        <v>0</v>
      </c>
      <c r="E192" s="16">
        <v>0</v>
      </c>
      <c r="F192" s="30">
        <v>0</v>
      </c>
      <c r="H192">
        <f t="shared" si="5"/>
        <v>13056</v>
      </c>
      <c r="I192" s="16">
        <v>0</v>
      </c>
      <c r="J192" s="16">
        <v>0</v>
      </c>
      <c r="K192" s="16">
        <v>0</v>
      </c>
      <c r="L192" s="16">
        <v>0</v>
      </c>
      <c r="M192" s="30">
        <v>0</v>
      </c>
    </row>
    <row r="193" spans="1:13" x14ac:dyDescent="0.25">
      <c r="A193">
        <f t="shared" si="4"/>
        <v>13056</v>
      </c>
      <c r="B193" s="16">
        <v>0</v>
      </c>
      <c r="C193" s="16">
        <v>0</v>
      </c>
      <c r="D193" s="16">
        <v>0</v>
      </c>
      <c r="E193" s="16">
        <v>0</v>
      </c>
      <c r="F193" s="30">
        <v>0</v>
      </c>
      <c r="H193">
        <f t="shared" si="5"/>
        <v>13056</v>
      </c>
      <c r="I193" s="16">
        <v>0</v>
      </c>
      <c r="J193" s="16">
        <v>0</v>
      </c>
      <c r="K193" s="16">
        <v>0</v>
      </c>
      <c r="L193" s="16">
        <v>0</v>
      </c>
      <c r="M193" s="30">
        <v>0</v>
      </c>
    </row>
    <row r="194" spans="1:13" x14ac:dyDescent="0.25">
      <c r="A194">
        <f t="shared" si="4"/>
        <v>13056</v>
      </c>
      <c r="B194" s="16">
        <v>0</v>
      </c>
      <c r="C194" s="16">
        <v>0</v>
      </c>
      <c r="D194" s="16">
        <v>0</v>
      </c>
      <c r="E194" s="16">
        <v>0</v>
      </c>
      <c r="F194" s="30">
        <v>0</v>
      </c>
      <c r="H194">
        <f t="shared" si="5"/>
        <v>13056</v>
      </c>
      <c r="I194" s="16">
        <v>0</v>
      </c>
      <c r="J194" s="16">
        <v>0</v>
      </c>
      <c r="K194" s="16">
        <v>0</v>
      </c>
      <c r="L194" s="16">
        <v>0</v>
      </c>
      <c r="M194" s="30">
        <v>0</v>
      </c>
    </row>
    <row r="195" spans="1:13" x14ac:dyDescent="0.25">
      <c r="A195">
        <f t="shared" si="4"/>
        <v>13056</v>
      </c>
      <c r="B195" s="16">
        <v>0</v>
      </c>
      <c r="C195" s="16">
        <v>0</v>
      </c>
      <c r="D195" s="16">
        <v>0</v>
      </c>
      <c r="E195" s="16">
        <v>0</v>
      </c>
      <c r="F195" s="30">
        <v>0</v>
      </c>
      <c r="H195">
        <f t="shared" si="5"/>
        <v>13056</v>
      </c>
      <c r="I195" s="16">
        <v>0</v>
      </c>
      <c r="J195" s="16">
        <v>0</v>
      </c>
      <c r="K195" s="16">
        <v>0</v>
      </c>
      <c r="L195" s="16">
        <v>0</v>
      </c>
      <c r="M195" s="30">
        <v>0</v>
      </c>
    </row>
    <row r="196" spans="1:13" x14ac:dyDescent="0.25">
      <c r="A196">
        <f t="shared" si="4"/>
        <v>13056</v>
      </c>
      <c r="B196" s="16">
        <v>0</v>
      </c>
      <c r="C196" s="16">
        <v>0</v>
      </c>
      <c r="D196" s="16">
        <v>0</v>
      </c>
      <c r="E196" s="16">
        <v>0</v>
      </c>
      <c r="F196" s="30">
        <v>0</v>
      </c>
      <c r="H196">
        <f t="shared" si="5"/>
        <v>13056</v>
      </c>
      <c r="I196" s="16">
        <v>0</v>
      </c>
      <c r="J196" s="16">
        <v>0</v>
      </c>
      <c r="K196" s="16">
        <v>0</v>
      </c>
      <c r="L196" s="16">
        <v>0</v>
      </c>
      <c r="M196" s="30">
        <v>0</v>
      </c>
    </row>
    <row r="197" spans="1:13" x14ac:dyDescent="0.25">
      <c r="A197">
        <f t="shared" ref="A197:A260" si="6">CHOOSE(IF(ABS(B197-13056)&lt;=ABS(B197-13824),IF(ABS(B197-13056)&lt;=ABS(B197-14592),1,3),IF(ABS(B197-13824)&lt;=ABS(B197-14592),2,3)),13056,13824,14592)</f>
        <v>13056</v>
      </c>
      <c r="B197" s="16">
        <v>0</v>
      </c>
      <c r="C197" s="16">
        <v>0</v>
      </c>
      <c r="D197" s="16">
        <v>0</v>
      </c>
      <c r="E197" s="16">
        <v>0</v>
      </c>
      <c r="F197" s="30">
        <v>0</v>
      </c>
      <c r="H197">
        <f t="shared" ref="H197:H260" si="7">CHOOSE(IF(ABS(I197-13056)&lt;=ABS(I197-13824),IF(ABS(I197-13056)&lt;=ABS(I197-14592),1,3),IF(ABS(I197-13824)&lt;=ABS(I197-14592),2,3)),13056,13824,14592)</f>
        <v>13056</v>
      </c>
      <c r="I197" s="16">
        <v>0</v>
      </c>
      <c r="J197" s="16">
        <v>0</v>
      </c>
      <c r="K197" s="16">
        <v>0</v>
      </c>
      <c r="L197" s="16">
        <v>0</v>
      </c>
      <c r="M197" s="30">
        <v>0</v>
      </c>
    </row>
    <row r="198" spans="1:13" x14ac:dyDescent="0.25">
      <c r="A198">
        <f t="shared" si="6"/>
        <v>13056</v>
      </c>
      <c r="B198" s="16">
        <v>0</v>
      </c>
      <c r="C198" s="16">
        <v>0</v>
      </c>
      <c r="D198" s="16">
        <v>0</v>
      </c>
      <c r="E198" s="16">
        <v>0</v>
      </c>
      <c r="F198" s="30">
        <v>0</v>
      </c>
      <c r="H198">
        <f t="shared" si="7"/>
        <v>13056</v>
      </c>
      <c r="I198" s="16">
        <v>0</v>
      </c>
      <c r="J198" s="16">
        <v>0</v>
      </c>
      <c r="K198" s="16">
        <v>0</v>
      </c>
      <c r="L198" s="16">
        <v>0</v>
      </c>
      <c r="M198" s="30">
        <v>0</v>
      </c>
    </row>
    <row r="199" spans="1:13" x14ac:dyDescent="0.25">
      <c r="A199">
        <f t="shared" si="6"/>
        <v>13056</v>
      </c>
      <c r="B199" s="16">
        <v>0</v>
      </c>
      <c r="C199" s="16">
        <v>0</v>
      </c>
      <c r="D199" s="16">
        <v>0</v>
      </c>
      <c r="E199" s="16">
        <v>0</v>
      </c>
      <c r="F199" s="30">
        <v>0</v>
      </c>
      <c r="H199">
        <f t="shared" si="7"/>
        <v>13056</v>
      </c>
      <c r="I199" s="16">
        <v>0</v>
      </c>
      <c r="J199" s="16">
        <v>0</v>
      </c>
      <c r="K199" s="16">
        <v>0</v>
      </c>
      <c r="L199" s="16">
        <v>0</v>
      </c>
      <c r="M199" s="30">
        <v>0</v>
      </c>
    </row>
    <row r="200" spans="1:13" x14ac:dyDescent="0.25">
      <c r="A200">
        <f t="shared" si="6"/>
        <v>13056</v>
      </c>
      <c r="B200" s="16">
        <v>0</v>
      </c>
      <c r="C200" s="16">
        <v>0</v>
      </c>
      <c r="D200" s="16">
        <v>0</v>
      </c>
      <c r="E200" s="16">
        <v>0</v>
      </c>
      <c r="F200" s="30">
        <v>0</v>
      </c>
      <c r="H200">
        <f t="shared" si="7"/>
        <v>13056</v>
      </c>
      <c r="I200" s="16">
        <v>0</v>
      </c>
      <c r="J200" s="16">
        <v>0</v>
      </c>
      <c r="K200" s="16">
        <v>0</v>
      </c>
      <c r="L200" s="16">
        <v>0</v>
      </c>
      <c r="M200" s="30">
        <v>0</v>
      </c>
    </row>
    <row r="201" spans="1:13" x14ac:dyDescent="0.25">
      <c r="A201">
        <f t="shared" si="6"/>
        <v>13056</v>
      </c>
      <c r="B201" s="16">
        <v>0</v>
      </c>
      <c r="C201" s="16">
        <v>0</v>
      </c>
      <c r="D201" s="16">
        <v>0</v>
      </c>
      <c r="E201" s="16">
        <v>0</v>
      </c>
      <c r="F201" s="30">
        <v>0</v>
      </c>
      <c r="H201">
        <f t="shared" si="7"/>
        <v>13056</v>
      </c>
      <c r="I201" s="16">
        <v>0</v>
      </c>
      <c r="J201" s="16">
        <v>0</v>
      </c>
      <c r="K201" s="16">
        <v>0</v>
      </c>
      <c r="L201" s="16">
        <v>0</v>
      </c>
      <c r="M201" s="30">
        <v>0</v>
      </c>
    </row>
    <row r="202" spans="1:13" x14ac:dyDescent="0.25">
      <c r="A202">
        <f t="shared" si="6"/>
        <v>13056</v>
      </c>
      <c r="B202" s="16">
        <v>0</v>
      </c>
      <c r="C202" s="16">
        <v>0</v>
      </c>
      <c r="D202" s="16">
        <v>0</v>
      </c>
      <c r="E202" s="16">
        <v>0</v>
      </c>
      <c r="F202" s="30">
        <v>0</v>
      </c>
      <c r="H202">
        <f t="shared" si="7"/>
        <v>13056</v>
      </c>
      <c r="I202" s="16">
        <v>0</v>
      </c>
      <c r="J202" s="16">
        <v>0</v>
      </c>
      <c r="K202" s="16">
        <v>0</v>
      </c>
      <c r="L202" s="16">
        <v>0</v>
      </c>
      <c r="M202" s="30">
        <v>0</v>
      </c>
    </row>
    <row r="203" spans="1:13" x14ac:dyDescent="0.25">
      <c r="A203">
        <f t="shared" si="6"/>
        <v>13056</v>
      </c>
      <c r="B203" s="16">
        <v>0</v>
      </c>
      <c r="C203" s="16">
        <v>0</v>
      </c>
      <c r="D203" s="16">
        <v>0</v>
      </c>
      <c r="E203" s="16">
        <v>0</v>
      </c>
      <c r="F203" s="30">
        <v>0</v>
      </c>
      <c r="H203">
        <f t="shared" si="7"/>
        <v>13056</v>
      </c>
      <c r="I203" s="16">
        <v>0</v>
      </c>
      <c r="J203" s="16">
        <v>0</v>
      </c>
      <c r="K203" s="16">
        <v>0</v>
      </c>
      <c r="L203" s="16">
        <v>0</v>
      </c>
      <c r="M203" s="30">
        <v>0</v>
      </c>
    </row>
    <row r="204" spans="1:13" x14ac:dyDescent="0.25">
      <c r="A204">
        <f t="shared" si="6"/>
        <v>13056</v>
      </c>
      <c r="B204" s="16">
        <v>0</v>
      </c>
      <c r="C204" s="16">
        <v>0</v>
      </c>
      <c r="D204" s="16">
        <v>0</v>
      </c>
      <c r="E204" s="16">
        <v>0</v>
      </c>
      <c r="F204" s="30">
        <v>0</v>
      </c>
      <c r="H204">
        <f t="shared" si="7"/>
        <v>13056</v>
      </c>
      <c r="I204" s="16">
        <v>0</v>
      </c>
      <c r="J204" s="16">
        <v>0</v>
      </c>
      <c r="K204" s="16">
        <v>0</v>
      </c>
      <c r="L204" s="16">
        <v>0</v>
      </c>
      <c r="M204" s="30">
        <v>0</v>
      </c>
    </row>
    <row r="205" spans="1:13" x14ac:dyDescent="0.25">
      <c r="A205">
        <f t="shared" si="6"/>
        <v>13056</v>
      </c>
      <c r="B205" s="16">
        <v>0</v>
      </c>
      <c r="C205" s="16">
        <v>0</v>
      </c>
      <c r="D205" s="16">
        <v>0</v>
      </c>
      <c r="E205" s="16">
        <v>0</v>
      </c>
      <c r="F205" s="30">
        <v>0</v>
      </c>
      <c r="H205">
        <f t="shared" si="7"/>
        <v>13056</v>
      </c>
      <c r="I205" s="16">
        <v>0</v>
      </c>
      <c r="J205" s="16">
        <v>0</v>
      </c>
      <c r="K205" s="16">
        <v>0</v>
      </c>
      <c r="L205" s="16">
        <v>0</v>
      </c>
      <c r="M205" s="30">
        <v>0</v>
      </c>
    </row>
    <row r="206" spans="1:13" x14ac:dyDescent="0.25">
      <c r="A206">
        <f t="shared" si="6"/>
        <v>13056</v>
      </c>
      <c r="B206" s="16">
        <v>0</v>
      </c>
      <c r="C206" s="16">
        <v>0</v>
      </c>
      <c r="D206" s="16">
        <v>0</v>
      </c>
      <c r="E206" s="16">
        <v>0</v>
      </c>
      <c r="F206" s="30">
        <v>0</v>
      </c>
      <c r="H206">
        <f t="shared" si="7"/>
        <v>13056</v>
      </c>
      <c r="I206" s="16">
        <v>0</v>
      </c>
      <c r="J206" s="16">
        <v>0</v>
      </c>
      <c r="K206" s="16">
        <v>0</v>
      </c>
      <c r="L206" s="16">
        <v>0</v>
      </c>
      <c r="M206" s="30">
        <v>0</v>
      </c>
    </row>
    <row r="207" spans="1:13" x14ac:dyDescent="0.25">
      <c r="A207">
        <f t="shared" si="6"/>
        <v>13056</v>
      </c>
      <c r="B207" s="16">
        <v>0</v>
      </c>
      <c r="C207" s="16">
        <v>0</v>
      </c>
      <c r="D207" s="16">
        <v>0</v>
      </c>
      <c r="E207" s="16">
        <v>0</v>
      </c>
      <c r="F207" s="30">
        <v>0</v>
      </c>
      <c r="H207">
        <f t="shared" si="7"/>
        <v>13056</v>
      </c>
      <c r="I207" s="16">
        <v>0</v>
      </c>
      <c r="J207" s="16">
        <v>0</v>
      </c>
      <c r="K207" s="16">
        <v>0</v>
      </c>
      <c r="L207" s="16">
        <v>0</v>
      </c>
      <c r="M207" s="30">
        <v>0</v>
      </c>
    </row>
    <row r="208" spans="1:13" x14ac:dyDescent="0.25">
      <c r="A208">
        <f t="shared" si="6"/>
        <v>13056</v>
      </c>
      <c r="B208" s="16">
        <v>0</v>
      </c>
      <c r="C208" s="16">
        <v>0</v>
      </c>
      <c r="D208" s="16">
        <v>0</v>
      </c>
      <c r="E208" s="16">
        <v>0</v>
      </c>
      <c r="F208" s="30">
        <v>0</v>
      </c>
      <c r="H208">
        <f t="shared" si="7"/>
        <v>13056</v>
      </c>
      <c r="I208" s="16">
        <v>0</v>
      </c>
      <c r="J208" s="16">
        <v>0</v>
      </c>
      <c r="K208" s="16">
        <v>0</v>
      </c>
      <c r="L208" s="16">
        <v>0</v>
      </c>
      <c r="M208" s="30">
        <v>0</v>
      </c>
    </row>
    <row r="209" spans="1:13" x14ac:dyDescent="0.25">
      <c r="A209">
        <f t="shared" si="6"/>
        <v>13056</v>
      </c>
      <c r="B209" s="16">
        <v>0</v>
      </c>
      <c r="C209" s="16">
        <v>0</v>
      </c>
      <c r="D209" s="16">
        <v>0</v>
      </c>
      <c r="E209" s="16">
        <v>0</v>
      </c>
      <c r="F209" s="30">
        <v>0</v>
      </c>
      <c r="H209">
        <f t="shared" si="7"/>
        <v>13056</v>
      </c>
      <c r="I209" s="16">
        <v>0</v>
      </c>
      <c r="J209" s="16">
        <v>0</v>
      </c>
      <c r="K209" s="16">
        <v>0</v>
      </c>
      <c r="L209" s="16">
        <v>0</v>
      </c>
      <c r="M209" s="30">
        <v>0</v>
      </c>
    </row>
    <row r="210" spans="1:13" x14ac:dyDescent="0.25">
      <c r="A210">
        <f t="shared" si="6"/>
        <v>13056</v>
      </c>
      <c r="B210" s="16">
        <v>0</v>
      </c>
      <c r="C210" s="16">
        <v>0</v>
      </c>
      <c r="D210" s="16">
        <v>0</v>
      </c>
      <c r="E210" s="16">
        <v>0</v>
      </c>
      <c r="F210" s="30">
        <v>0</v>
      </c>
      <c r="H210">
        <f t="shared" si="7"/>
        <v>13056</v>
      </c>
      <c r="I210" s="16">
        <v>0</v>
      </c>
      <c r="J210" s="16">
        <v>0</v>
      </c>
      <c r="K210" s="16">
        <v>0</v>
      </c>
      <c r="L210" s="16">
        <v>0</v>
      </c>
      <c r="M210" s="30">
        <v>0</v>
      </c>
    </row>
    <row r="211" spans="1:13" x14ac:dyDescent="0.25">
      <c r="A211">
        <f t="shared" si="6"/>
        <v>13056</v>
      </c>
      <c r="B211" s="16">
        <v>0</v>
      </c>
      <c r="C211" s="16">
        <v>0</v>
      </c>
      <c r="D211" s="16">
        <v>0</v>
      </c>
      <c r="E211" s="16">
        <v>0</v>
      </c>
      <c r="F211" s="30">
        <v>0</v>
      </c>
      <c r="H211">
        <f t="shared" si="7"/>
        <v>13056</v>
      </c>
      <c r="I211" s="16">
        <v>0</v>
      </c>
      <c r="J211" s="16">
        <v>0</v>
      </c>
      <c r="K211" s="16">
        <v>0</v>
      </c>
      <c r="L211" s="16">
        <v>0</v>
      </c>
      <c r="M211" s="30">
        <v>0</v>
      </c>
    </row>
    <row r="212" spans="1:13" x14ac:dyDescent="0.25">
      <c r="A212">
        <f t="shared" si="6"/>
        <v>13056</v>
      </c>
      <c r="B212" s="16">
        <v>0</v>
      </c>
      <c r="C212" s="16">
        <v>0</v>
      </c>
      <c r="D212" s="16">
        <v>0</v>
      </c>
      <c r="E212" s="16">
        <v>0</v>
      </c>
      <c r="F212" s="30">
        <v>0</v>
      </c>
      <c r="H212">
        <f t="shared" si="7"/>
        <v>13056</v>
      </c>
      <c r="I212" s="16">
        <v>0</v>
      </c>
      <c r="J212" s="16">
        <v>0</v>
      </c>
      <c r="K212" s="16">
        <v>0</v>
      </c>
      <c r="L212" s="16">
        <v>0</v>
      </c>
      <c r="M212" s="30">
        <v>0</v>
      </c>
    </row>
    <row r="213" spans="1:13" x14ac:dyDescent="0.25">
      <c r="A213">
        <f t="shared" si="6"/>
        <v>13056</v>
      </c>
      <c r="B213" s="16">
        <v>0</v>
      </c>
      <c r="C213" s="16">
        <v>0</v>
      </c>
      <c r="D213" s="16">
        <v>0</v>
      </c>
      <c r="E213" s="16">
        <v>0</v>
      </c>
      <c r="F213" s="30">
        <v>0</v>
      </c>
      <c r="H213">
        <f t="shared" si="7"/>
        <v>13056</v>
      </c>
      <c r="I213" s="16">
        <v>0</v>
      </c>
      <c r="J213" s="16">
        <v>0</v>
      </c>
      <c r="K213" s="16">
        <v>0</v>
      </c>
      <c r="L213" s="16">
        <v>0</v>
      </c>
      <c r="M213" s="30">
        <v>0</v>
      </c>
    </row>
    <row r="214" spans="1:13" x14ac:dyDescent="0.25">
      <c r="A214">
        <f t="shared" si="6"/>
        <v>13056</v>
      </c>
      <c r="B214" s="16">
        <v>0</v>
      </c>
      <c r="C214" s="16">
        <v>0</v>
      </c>
      <c r="D214" s="16">
        <v>0</v>
      </c>
      <c r="E214" s="16">
        <v>0</v>
      </c>
      <c r="F214" s="30">
        <v>0</v>
      </c>
      <c r="H214">
        <f t="shared" si="7"/>
        <v>13056</v>
      </c>
      <c r="I214" s="16">
        <v>0</v>
      </c>
      <c r="J214" s="16">
        <v>0</v>
      </c>
      <c r="K214" s="16">
        <v>0</v>
      </c>
      <c r="L214" s="16">
        <v>0</v>
      </c>
      <c r="M214" s="30">
        <v>0</v>
      </c>
    </row>
    <row r="215" spans="1:13" x14ac:dyDescent="0.25">
      <c r="A215">
        <f t="shared" si="6"/>
        <v>13056</v>
      </c>
      <c r="B215" s="16">
        <v>0</v>
      </c>
      <c r="C215" s="16">
        <v>0</v>
      </c>
      <c r="D215" s="16">
        <v>0</v>
      </c>
      <c r="E215" s="16">
        <v>0</v>
      </c>
      <c r="F215" s="30">
        <v>0</v>
      </c>
      <c r="H215">
        <f t="shared" si="7"/>
        <v>13056</v>
      </c>
      <c r="I215" s="16">
        <v>0</v>
      </c>
      <c r="J215" s="16">
        <v>0</v>
      </c>
      <c r="K215" s="16">
        <v>0</v>
      </c>
      <c r="L215" s="16">
        <v>0</v>
      </c>
      <c r="M215" s="30">
        <v>0</v>
      </c>
    </row>
    <row r="216" spans="1:13" x14ac:dyDescent="0.25">
      <c r="A216">
        <f t="shared" si="6"/>
        <v>13056</v>
      </c>
      <c r="B216" s="16">
        <v>0</v>
      </c>
      <c r="C216" s="16">
        <v>0</v>
      </c>
      <c r="D216" s="16">
        <v>0</v>
      </c>
      <c r="E216" s="16">
        <v>0</v>
      </c>
      <c r="F216" s="30">
        <v>0</v>
      </c>
      <c r="H216">
        <f t="shared" si="7"/>
        <v>13056</v>
      </c>
      <c r="I216" s="16">
        <v>0</v>
      </c>
      <c r="J216" s="16">
        <v>0</v>
      </c>
      <c r="K216" s="16">
        <v>0</v>
      </c>
      <c r="L216" s="16">
        <v>0</v>
      </c>
      <c r="M216" s="30">
        <v>0</v>
      </c>
    </row>
    <row r="217" spans="1:13" x14ac:dyDescent="0.25">
      <c r="A217">
        <f t="shared" si="6"/>
        <v>13056</v>
      </c>
      <c r="B217" s="16">
        <v>0</v>
      </c>
      <c r="C217" s="16">
        <v>0</v>
      </c>
      <c r="D217" s="16">
        <v>0</v>
      </c>
      <c r="E217" s="16">
        <v>0</v>
      </c>
      <c r="F217" s="30">
        <v>0</v>
      </c>
      <c r="H217">
        <f t="shared" si="7"/>
        <v>13056</v>
      </c>
      <c r="I217" s="16">
        <v>0</v>
      </c>
      <c r="J217" s="16">
        <v>0</v>
      </c>
      <c r="K217" s="16">
        <v>0</v>
      </c>
      <c r="L217" s="16">
        <v>0</v>
      </c>
      <c r="M217" s="30">
        <v>0</v>
      </c>
    </row>
    <row r="218" spans="1:13" x14ac:dyDescent="0.25">
      <c r="A218">
        <f t="shared" si="6"/>
        <v>13056</v>
      </c>
      <c r="B218" s="16">
        <v>0</v>
      </c>
      <c r="C218" s="16">
        <v>0</v>
      </c>
      <c r="D218" s="16">
        <v>0</v>
      </c>
      <c r="E218" s="16">
        <v>0</v>
      </c>
      <c r="F218" s="30">
        <v>0</v>
      </c>
      <c r="H218">
        <f t="shared" si="7"/>
        <v>13056</v>
      </c>
      <c r="I218" s="16">
        <v>0</v>
      </c>
      <c r="J218" s="16">
        <v>0</v>
      </c>
      <c r="K218" s="16">
        <v>0</v>
      </c>
      <c r="L218" s="16">
        <v>0</v>
      </c>
      <c r="M218" s="30">
        <v>0</v>
      </c>
    </row>
    <row r="219" spans="1:13" x14ac:dyDescent="0.25">
      <c r="A219">
        <f t="shared" si="6"/>
        <v>13056</v>
      </c>
      <c r="B219" s="16">
        <v>0</v>
      </c>
      <c r="C219" s="16">
        <v>0</v>
      </c>
      <c r="D219" s="16">
        <v>0</v>
      </c>
      <c r="E219" s="16">
        <v>0</v>
      </c>
      <c r="F219" s="30">
        <v>0</v>
      </c>
      <c r="H219">
        <f t="shared" si="7"/>
        <v>13056</v>
      </c>
      <c r="I219" s="16">
        <v>0</v>
      </c>
      <c r="J219" s="16">
        <v>0</v>
      </c>
      <c r="K219" s="16">
        <v>0</v>
      </c>
      <c r="L219" s="16">
        <v>0</v>
      </c>
      <c r="M219" s="30">
        <v>0</v>
      </c>
    </row>
    <row r="220" spans="1:13" x14ac:dyDescent="0.25">
      <c r="A220">
        <f t="shared" si="6"/>
        <v>13056</v>
      </c>
      <c r="B220" s="16">
        <v>0</v>
      </c>
      <c r="C220" s="16">
        <v>0</v>
      </c>
      <c r="D220" s="16">
        <v>0</v>
      </c>
      <c r="E220" s="16">
        <v>0</v>
      </c>
      <c r="F220" s="30">
        <v>0</v>
      </c>
      <c r="H220">
        <f t="shared" si="7"/>
        <v>13056</v>
      </c>
      <c r="I220" s="16">
        <v>0</v>
      </c>
      <c r="J220" s="16">
        <v>0</v>
      </c>
      <c r="K220" s="16">
        <v>0</v>
      </c>
      <c r="L220" s="16">
        <v>0</v>
      </c>
      <c r="M220" s="30">
        <v>0</v>
      </c>
    </row>
    <row r="221" spans="1:13" x14ac:dyDescent="0.25">
      <c r="A221">
        <f t="shared" si="6"/>
        <v>13056</v>
      </c>
      <c r="B221" s="16">
        <v>0</v>
      </c>
      <c r="C221" s="16">
        <v>0</v>
      </c>
      <c r="D221" s="16">
        <v>0</v>
      </c>
      <c r="E221" s="16">
        <v>0</v>
      </c>
      <c r="F221" s="30">
        <v>0</v>
      </c>
      <c r="H221">
        <f t="shared" si="7"/>
        <v>13056</v>
      </c>
      <c r="I221" s="16">
        <v>0</v>
      </c>
      <c r="J221" s="16">
        <v>0</v>
      </c>
      <c r="K221" s="16">
        <v>0</v>
      </c>
      <c r="L221" s="16">
        <v>0</v>
      </c>
      <c r="M221" s="30">
        <v>0</v>
      </c>
    </row>
    <row r="222" spans="1:13" x14ac:dyDescent="0.25">
      <c r="A222">
        <f t="shared" si="6"/>
        <v>13056</v>
      </c>
      <c r="B222" s="16">
        <v>0</v>
      </c>
      <c r="C222" s="16">
        <v>0</v>
      </c>
      <c r="D222" s="16">
        <v>0</v>
      </c>
      <c r="E222" s="16">
        <v>0</v>
      </c>
      <c r="F222" s="30">
        <v>0</v>
      </c>
      <c r="H222">
        <f t="shared" si="7"/>
        <v>13056</v>
      </c>
      <c r="I222" s="16">
        <v>0</v>
      </c>
      <c r="J222" s="16">
        <v>0</v>
      </c>
      <c r="K222" s="16">
        <v>0</v>
      </c>
      <c r="L222" s="16">
        <v>0</v>
      </c>
      <c r="M222" s="30">
        <v>0</v>
      </c>
    </row>
    <row r="223" spans="1:13" x14ac:dyDescent="0.25">
      <c r="A223">
        <f t="shared" si="6"/>
        <v>13056</v>
      </c>
      <c r="B223" s="16">
        <v>0</v>
      </c>
      <c r="C223" s="16">
        <v>0</v>
      </c>
      <c r="D223" s="16">
        <v>0</v>
      </c>
      <c r="E223" s="16">
        <v>0</v>
      </c>
      <c r="F223" s="30">
        <v>0</v>
      </c>
      <c r="H223">
        <f t="shared" si="7"/>
        <v>13056</v>
      </c>
      <c r="I223" s="16">
        <v>0</v>
      </c>
      <c r="J223" s="16">
        <v>0</v>
      </c>
      <c r="K223" s="16">
        <v>0</v>
      </c>
      <c r="L223" s="16">
        <v>0</v>
      </c>
      <c r="M223" s="30">
        <v>0</v>
      </c>
    </row>
    <row r="224" spans="1:13" x14ac:dyDescent="0.25">
      <c r="A224">
        <f t="shared" si="6"/>
        <v>13056</v>
      </c>
      <c r="B224" s="16">
        <v>0</v>
      </c>
      <c r="C224" s="16">
        <v>0</v>
      </c>
      <c r="D224" s="16">
        <v>0</v>
      </c>
      <c r="E224" s="16">
        <v>0</v>
      </c>
      <c r="F224" s="30">
        <v>0</v>
      </c>
      <c r="H224">
        <f t="shared" si="7"/>
        <v>13056</v>
      </c>
      <c r="I224" s="16">
        <v>0</v>
      </c>
      <c r="J224" s="16">
        <v>0</v>
      </c>
      <c r="K224" s="16">
        <v>0</v>
      </c>
      <c r="L224" s="16">
        <v>0</v>
      </c>
      <c r="M224" s="30">
        <v>0</v>
      </c>
    </row>
    <row r="225" spans="1:13" x14ac:dyDescent="0.25">
      <c r="A225">
        <f t="shared" si="6"/>
        <v>13056</v>
      </c>
      <c r="B225" s="16">
        <v>0</v>
      </c>
      <c r="C225" s="16">
        <v>0</v>
      </c>
      <c r="D225" s="16">
        <v>0</v>
      </c>
      <c r="E225" s="16">
        <v>0</v>
      </c>
      <c r="F225" s="30">
        <v>0</v>
      </c>
      <c r="H225">
        <f t="shared" si="7"/>
        <v>13056</v>
      </c>
      <c r="I225" s="16">
        <v>0</v>
      </c>
      <c r="J225" s="16">
        <v>0</v>
      </c>
      <c r="K225" s="16">
        <v>0</v>
      </c>
      <c r="L225" s="16">
        <v>0</v>
      </c>
      <c r="M225" s="30">
        <v>0</v>
      </c>
    </row>
    <row r="226" spans="1:13" x14ac:dyDescent="0.25">
      <c r="A226">
        <f t="shared" si="6"/>
        <v>13056</v>
      </c>
      <c r="B226" s="16">
        <v>0</v>
      </c>
      <c r="C226" s="16">
        <v>0</v>
      </c>
      <c r="D226" s="16">
        <v>0</v>
      </c>
      <c r="E226" s="16">
        <v>0</v>
      </c>
      <c r="F226" s="30">
        <v>0</v>
      </c>
      <c r="H226">
        <f t="shared" si="7"/>
        <v>13056</v>
      </c>
      <c r="I226" s="16">
        <v>0</v>
      </c>
      <c r="J226" s="16">
        <v>0</v>
      </c>
      <c r="K226" s="16">
        <v>0</v>
      </c>
      <c r="L226" s="16">
        <v>0</v>
      </c>
      <c r="M226" s="30">
        <v>0</v>
      </c>
    </row>
    <row r="227" spans="1:13" x14ac:dyDescent="0.25">
      <c r="A227">
        <f t="shared" si="6"/>
        <v>13056</v>
      </c>
      <c r="B227" s="16">
        <v>0</v>
      </c>
      <c r="C227" s="16">
        <v>0</v>
      </c>
      <c r="D227" s="16">
        <v>0</v>
      </c>
      <c r="E227" s="16">
        <v>0</v>
      </c>
      <c r="F227" s="30">
        <v>0</v>
      </c>
      <c r="H227">
        <f t="shared" si="7"/>
        <v>13056</v>
      </c>
      <c r="I227" s="16">
        <v>0</v>
      </c>
      <c r="J227" s="16">
        <v>0</v>
      </c>
      <c r="K227" s="16">
        <v>0</v>
      </c>
      <c r="L227" s="16">
        <v>0</v>
      </c>
      <c r="M227" s="30">
        <v>0</v>
      </c>
    </row>
    <row r="228" spans="1:13" x14ac:dyDescent="0.25">
      <c r="A228">
        <f t="shared" si="6"/>
        <v>13056</v>
      </c>
      <c r="B228" s="16">
        <v>0</v>
      </c>
      <c r="C228" s="16">
        <v>0</v>
      </c>
      <c r="D228" s="16">
        <v>0</v>
      </c>
      <c r="E228" s="16">
        <v>0</v>
      </c>
      <c r="F228" s="30">
        <v>0</v>
      </c>
      <c r="H228">
        <f t="shared" si="7"/>
        <v>13056</v>
      </c>
      <c r="I228" s="16">
        <v>0</v>
      </c>
      <c r="J228" s="16">
        <v>0</v>
      </c>
      <c r="K228" s="16">
        <v>0</v>
      </c>
      <c r="L228" s="16">
        <v>0</v>
      </c>
      <c r="M228" s="30">
        <v>0</v>
      </c>
    </row>
    <row r="229" spans="1:13" x14ac:dyDescent="0.25">
      <c r="A229">
        <f t="shared" si="6"/>
        <v>13056</v>
      </c>
      <c r="B229" s="16">
        <v>0</v>
      </c>
      <c r="C229" s="16">
        <v>0</v>
      </c>
      <c r="D229" s="16">
        <v>0</v>
      </c>
      <c r="E229" s="16">
        <v>0</v>
      </c>
      <c r="F229" s="30">
        <v>0</v>
      </c>
      <c r="H229">
        <f t="shared" si="7"/>
        <v>13056</v>
      </c>
      <c r="I229" s="16">
        <v>0</v>
      </c>
      <c r="J229" s="16">
        <v>0</v>
      </c>
      <c r="K229" s="16">
        <v>0</v>
      </c>
      <c r="L229" s="16">
        <v>0</v>
      </c>
      <c r="M229" s="30">
        <v>0</v>
      </c>
    </row>
    <row r="230" spans="1:13" x14ac:dyDescent="0.25">
      <c r="A230">
        <f t="shared" si="6"/>
        <v>13056</v>
      </c>
      <c r="B230" s="16">
        <v>0</v>
      </c>
      <c r="C230" s="16">
        <v>0</v>
      </c>
      <c r="D230" s="16">
        <v>0</v>
      </c>
      <c r="E230" s="16">
        <v>0</v>
      </c>
      <c r="F230" s="30">
        <v>0</v>
      </c>
      <c r="H230">
        <f t="shared" si="7"/>
        <v>13056</v>
      </c>
      <c r="I230" s="16">
        <v>0</v>
      </c>
      <c r="J230" s="16">
        <v>0</v>
      </c>
      <c r="K230" s="16">
        <v>0</v>
      </c>
      <c r="L230" s="16">
        <v>0</v>
      </c>
      <c r="M230" s="30">
        <v>0</v>
      </c>
    </row>
    <row r="231" spans="1:13" x14ac:dyDescent="0.25">
      <c r="A231">
        <f t="shared" si="6"/>
        <v>13056</v>
      </c>
      <c r="B231" s="16">
        <v>0</v>
      </c>
      <c r="C231" s="16">
        <v>0</v>
      </c>
      <c r="D231" s="16">
        <v>0</v>
      </c>
      <c r="E231" s="16">
        <v>0</v>
      </c>
      <c r="F231" s="30">
        <v>0</v>
      </c>
      <c r="H231">
        <f t="shared" si="7"/>
        <v>13056</v>
      </c>
      <c r="I231" s="16">
        <v>0</v>
      </c>
      <c r="J231" s="16">
        <v>0</v>
      </c>
      <c r="K231" s="16">
        <v>0</v>
      </c>
      <c r="L231" s="16">
        <v>0</v>
      </c>
      <c r="M231" s="30">
        <v>0</v>
      </c>
    </row>
    <row r="232" spans="1:13" x14ac:dyDescent="0.25">
      <c r="A232">
        <f t="shared" si="6"/>
        <v>13056</v>
      </c>
      <c r="B232" s="16">
        <v>0</v>
      </c>
      <c r="C232" s="16">
        <v>0</v>
      </c>
      <c r="D232" s="16">
        <v>0</v>
      </c>
      <c r="E232" s="16">
        <v>0</v>
      </c>
      <c r="F232" s="30">
        <v>0</v>
      </c>
      <c r="H232">
        <f t="shared" si="7"/>
        <v>13056</v>
      </c>
      <c r="I232" s="16">
        <v>0</v>
      </c>
      <c r="J232" s="16">
        <v>0</v>
      </c>
      <c r="K232" s="16">
        <v>0</v>
      </c>
      <c r="L232" s="16">
        <v>0</v>
      </c>
      <c r="M232" s="30">
        <v>0</v>
      </c>
    </row>
    <row r="233" spans="1:13" x14ac:dyDescent="0.25">
      <c r="A233">
        <f t="shared" si="6"/>
        <v>13056</v>
      </c>
      <c r="B233" s="16">
        <v>0</v>
      </c>
      <c r="C233" s="16">
        <v>0</v>
      </c>
      <c r="D233" s="16">
        <v>0</v>
      </c>
      <c r="E233" s="16">
        <v>0</v>
      </c>
      <c r="F233" s="30">
        <v>0</v>
      </c>
      <c r="H233">
        <f t="shared" si="7"/>
        <v>13056</v>
      </c>
      <c r="I233" s="16">
        <v>0</v>
      </c>
      <c r="J233" s="16">
        <v>0</v>
      </c>
      <c r="K233" s="16">
        <v>0</v>
      </c>
      <c r="L233" s="16">
        <v>0</v>
      </c>
      <c r="M233" s="30">
        <v>0</v>
      </c>
    </row>
    <row r="234" spans="1:13" x14ac:dyDescent="0.25">
      <c r="A234">
        <f t="shared" si="6"/>
        <v>13056</v>
      </c>
      <c r="B234" s="16">
        <v>0</v>
      </c>
      <c r="C234" s="16">
        <v>0</v>
      </c>
      <c r="D234" s="16">
        <v>0</v>
      </c>
      <c r="E234" s="16">
        <v>0</v>
      </c>
      <c r="F234" s="30">
        <v>0</v>
      </c>
      <c r="H234">
        <f t="shared" si="7"/>
        <v>13056</v>
      </c>
      <c r="I234" s="16">
        <v>0</v>
      </c>
      <c r="J234" s="16">
        <v>0</v>
      </c>
      <c r="K234" s="16">
        <v>0</v>
      </c>
      <c r="L234" s="16">
        <v>0</v>
      </c>
      <c r="M234" s="30">
        <v>0</v>
      </c>
    </row>
    <row r="235" spans="1:13" x14ac:dyDescent="0.25">
      <c r="A235">
        <f t="shared" si="6"/>
        <v>13056</v>
      </c>
      <c r="B235" s="16">
        <v>0</v>
      </c>
      <c r="C235" s="16">
        <v>0</v>
      </c>
      <c r="D235" s="16">
        <v>0</v>
      </c>
      <c r="E235" s="16">
        <v>0</v>
      </c>
      <c r="F235" s="30">
        <v>0</v>
      </c>
      <c r="H235">
        <f t="shared" si="7"/>
        <v>13056</v>
      </c>
      <c r="I235" s="16">
        <v>0</v>
      </c>
      <c r="J235" s="16">
        <v>0</v>
      </c>
      <c r="K235" s="16">
        <v>0</v>
      </c>
      <c r="L235" s="16">
        <v>0</v>
      </c>
      <c r="M235" s="30">
        <v>0</v>
      </c>
    </row>
    <row r="236" spans="1:13" x14ac:dyDescent="0.25">
      <c r="A236">
        <f t="shared" si="6"/>
        <v>13056</v>
      </c>
      <c r="B236" s="16">
        <v>0</v>
      </c>
      <c r="C236" s="16">
        <v>0</v>
      </c>
      <c r="D236" s="16">
        <v>0</v>
      </c>
      <c r="E236" s="16">
        <v>0</v>
      </c>
      <c r="F236" s="30">
        <v>0</v>
      </c>
      <c r="H236">
        <f t="shared" si="7"/>
        <v>13056</v>
      </c>
      <c r="I236" s="16">
        <v>0</v>
      </c>
      <c r="J236" s="16">
        <v>0</v>
      </c>
      <c r="K236" s="16">
        <v>0</v>
      </c>
      <c r="L236" s="16">
        <v>0</v>
      </c>
      <c r="M236" s="30">
        <v>0</v>
      </c>
    </row>
    <row r="237" spans="1:13" x14ac:dyDescent="0.25">
      <c r="A237">
        <f t="shared" si="6"/>
        <v>13056</v>
      </c>
      <c r="B237" s="16">
        <v>0</v>
      </c>
      <c r="C237" s="16">
        <v>0</v>
      </c>
      <c r="D237" s="16">
        <v>0</v>
      </c>
      <c r="E237" s="16">
        <v>0</v>
      </c>
      <c r="F237" s="30">
        <v>0</v>
      </c>
      <c r="H237">
        <f t="shared" si="7"/>
        <v>13056</v>
      </c>
      <c r="I237" s="16">
        <v>0</v>
      </c>
      <c r="J237" s="16">
        <v>0</v>
      </c>
      <c r="K237" s="16">
        <v>0</v>
      </c>
      <c r="L237" s="16">
        <v>0</v>
      </c>
      <c r="M237" s="30">
        <v>0</v>
      </c>
    </row>
    <row r="238" spans="1:13" x14ac:dyDescent="0.25">
      <c r="A238">
        <f t="shared" si="6"/>
        <v>13056</v>
      </c>
      <c r="B238" s="16">
        <v>0</v>
      </c>
      <c r="C238" s="16">
        <v>0</v>
      </c>
      <c r="D238" s="16">
        <v>0</v>
      </c>
      <c r="E238" s="16">
        <v>0</v>
      </c>
      <c r="F238" s="30">
        <v>0</v>
      </c>
      <c r="H238">
        <f t="shared" si="7"/>
        <v>13056</v>
      </c>
      <c r="I238" s="16">
        <v>0</v>
      </c>
      <c r="J238" s="16">
        <v>0</v>
      </c>
      <c r="K238" s="16">
        <v>0</v>
      </c>
      <c r="L238" s="16">
        <v>0</v>
      </c>
      <c r="M238" s="30">
        <v>0</v>
      </c>
    </row>
    <row r="239" spans="1:13" x14ac:dyDescent="0.25">
      <c r="A239">
        <f t="shared" si="6"/>
        <v>13056</v>
      </c>
      <c r="B239" s="16">
        <v>0</v>
      </c>
      <c r="C239" s="16">
        <v>0</v>
      </c>
      <c r="D239" s="16">
        <v>0</v>
      </c>
      <c r="E239" s="16">
        <v>0</v>
      </c>
      <c r="F239" s="30">
        <v>0</v>
      </c>
      <c r="H239">
        <f t="shared" si="7"/>
        <v>13056</v>
      </c>
      <c r="I239" s="16">
        <v>0</v>
      </c>
      <c r="J239" s="16">
        <v>0</v>
      </c>
      <c r="K239" s="16">
        <v>0</v>
      </c>
      <c r="L239" s="16">
        <v>0</v>
      </c>
      <c r="M239" s="30">
        <v>0</v>
      </c>
    </row>
    <row r="240" spans="1:13" x14ac:dyDescent="0.25">
      <c r="A240">
        <f t="shared" si="6"/>
        <v>13056</v>
      </c>
      <c r="B240" s="16">
        <v>0</v>
      </c>
      <c r="C240" s="16">
        <v>0</v>
      </c>
      <c r="D240" s="16">
        <v>0</v>
      </c>
      <c r="E240" s="16">
        <v>0</v>
      </c>
      <c r="F240" s="30">
        <v>0</v>
      </c>
      <c r="H240">
        <f t="shared" si="7"/>
        <v>13056</v>
      </c>
      <c r="I240" s="16">
        <v>0</v>
      </c>
      <c r="J240" s="16">
        <v>0</v>
      </c>
      <c r="K240" s="16">
        <v>0</v>
      </c>
      <c r="L240" s="16">
        <v>0</v>
      </c>
      <c r="M240" s="30">
        <v>0</v>
      </c>
    </row>
    <row r="241" spans="1:13" x14ac:dyDescent="0.25">
      <c r="A241">
        <f t="shared" si="6"/>
        <v>13056</v>
      </c>
      <c r="B241" s="16">
        <v>0</v>
      </c>
      <c r="C241" s="16">
        <v>0</v>
      </c>
      <c r="D241" s="16">
        <v>0</v>
      </c>
      <c r="E241" s="16">
        <v>0</v>
      </c>
      <c r="F241" s="30">
        <v>0</v>
      </c>
      <c r="H241">
        <f t="shared" si="7"/>
        <v>13056</v>
      </c>
      <c r="I241" s="16">
        <v>0</v>
      </c>
      <c r="J241" s="16">
        <v>0</v>
      </c>
      <c r="K241" s="16">
        <v>0</v>
      </c>
      <c r="L241" s="16">
        <v>0</v>
      </c>
      <c r="M241" s="30">
        <v>0</v>
      </c>
    </row>
    <row r="242" spans="1:13" x14ac:dyDescent="0.25">
      <c r="A242">
        <f t="shared" si="6"/>
        <v>13056</v>
      </c>
      <c r="B242" s="16">
        <v>0</v>
      </c>
      <c r="C242" s="16">
        <v>0</v>
      </c>
      <c r="D242" s="16">
        <v>0</v>
      </c>
      <c r="E242" s="16">
        <v>0</v>
      </c>
      <c r="F242" s="30">
        <v>0</v>
      </c>
      <c r="H242">
        <f t="shared" si="7"/>
        <v>13056</v>
      </c>
      <c r="I242" s="16">
        <v>0</v>
      </c>
      <c r="J242" s="16">
        <v>0</v>
      </c>
      <c r="K242" s="16">
        <v>0</v>
      </c>
      <c r="L242" s="16">
        <v>0</v>
      </c>
      <c r="M242" s="30">
        <v>0</v>
      </c>
    </row>
    <row r="243" spans="1:13" x14ac:dyDescent="0.25">
      <c r="A243">
        <f t="shared" si="6"/>
        <v>13056</v>
      </c>
      <c r="B243" s="16">
        <v>0</v>
      </c>
      <c r="C243" s="16">
        <v>0</v>
      </c>
      <c r="D243" s="16">
        <v>0</v>
      </c>
      <c r="E243" s="16">
        <v>0</v>
      </c>
      <c r="F243" s="30">
        <v>0</v>
      </c>
      <c r="H243">
        <f t="shared" si="7"/>
        <v>13056</v>
      </c>
      <c r="I243" s="16">
        <v>0</v>
      </c>
      <c r="J243" s="16">
        <v>0</v>
      </c>
      <c r="K243" s="16">
        <v>0</v>
      </c>
      <c r="L243" s="16">
        <v>0</v>
      </c>
      <c r="M243" s="30">
        <v>0</v>
      </c>
    </row>
    <row r="244" spans="1:13" x14ac:dyDescent="0.25">
      <c r="A244">
        <f t="shared" si="6"/>
        <v>13056</v>
      </c>
      <c r="B244" s="16">
        <v>0</v>
      </c>
      <c r="C244" s="16">
        <v>0</v>
      </c>
      <c r="D244" s="16">
        <v>0</v>
      </c>
      <c r="E244" s="16">
        <v>0</v>
      </c>
      <c r="F244" s="30">
        <v>0</v>
      </c>
      <c r="H244">
        <f t="shared" si="7"/>
        <v>13056</v>
      </c>
      <c r="I244" s="16">
        <v>0</v>
      </c>
      <c r="J244" s="16">
        <v>0</v>
      </c>
      <c r="K244" s="16">
        <v>0</v>
      </c>
      <c r="L244" s="16">
        <v>0</v>
      </c>
      <c r="M244" s="30">
        <v>0</v>
      </c>
    </row>
    <row r="245" spans="1:13" x14ac:dyDescent="0.25">
      <c r="A245">
        <f t="shared" si="6"/>
        <v>13056</v>
      </c>
      <c r="B245" s="16">
        <v>0</v>
      </c>
      <c r="C245" s="16">
        <v>0</v>
      </c>
      <c r="D245" s="16">
        <v>0</v>
      </c>
      <c r="E245" s="16">
        <v>0</v>
      </c>
      <c r="F245" s="30">
        <v>0</v>
      </c>
      <c r="H245">
        <f t="shared" si="7"/>
        <v>13056</v>
      </c>
      <c r="I245" s="16">
        <v>0</v>
      </c>
      <c r="J245" s="16">
        <v>0</v>
      </c>
      <c r="K245" s="16">
        <v>0</v>
      </c>
      <c r="L245" s="16">
        <v>0</v>
      </c>
      <c r="M245" s="30">
        <v>0</v>
      </c>
    </row>
    <row r="246" spans="1:13" x14ac:dyDescent="0.25">
      <c r="A246">
        <f t="shared" si="6"/>
        <v>13056</v>
      </c>
      <c r="B246" s="16">
        <v>0</v>
      </c>
      <c r="C246" s="16">
        <v>0</v>
      </c>
      <c r="D246" s="16">
        <v>0</v>
      </c>
      <c r="E246" s="16">
        <v>0</v>
      </c>
      <c r="F246" s="30">
        <v>0</v>
      </c>
      <c r="H246">
        <f t="shared" si="7"/>
        <v>13056</v>
      </c>
      <c r="I246" s="16">
        <v>0</v>
      </c>
      <c r="J246" s="16">
        <v>0</v>
      </c>
      <c r="K246" s="16">
        <v>0</v>
      </c>
      <c r="L246" s="16">
        <v>0</v>
      </c>
      <c r="M246" s="30">
        <v>0</v>
      </c>
    </row>
    <row r="247" spans="1:13" x14ac:dyDescent="0.25">
      <c r="A247">
        <f t="shared" si="6"/>
        <v>13056</v>
      </c>
      <c r="B247" s="16">
        <v>0</v>
      </c>
      <c r="C247" s="16">
        <v>0</v>
      </c>
      <c r="D247" s="16">
        <v>0</v>
      </c>
      <c r="E247" s="16">
        <v>0</v>
      </c>
      <c r="F247" s="30">
        <v>0</v>
      </c>
      <c r="H247">
        <f t="shared" si="7"/>
        <v>13056</v>
      </c>
      <c r="I247" s="16">
        <v>0</v>
      </c>
      <c r="J247" s="16">
        <v>0</v>
      </c>
      <c r="K247" s="16">
        <v>0</v>
      </c>
      <c r="L247" s="16">
        <v>0</v>
      </c>
      <c r="M247" s="30">
        <v>0</v>
      </c>
    </row>
    <row r="248" spans="1:13" x14ac:dyDescent="0.25">
      <c r="A248">
        <f t="shared" si="6"/>
        <v>13056</v>
      </c>
      <c r="B248" s="16">
        <v>0</v>
      </c>
      <c r="C248" s="16">
        <v>0</v>
      </c>
      <c r="D248" s="16">
        <v>0</v>
      </c>
      <c r="E248" s="16">
        <v>0</v>
      </c>
      <c r="F248" s="30">
        <v>0</v>
      </c>
      <c r="H248">
        <f t="shared" si="7"/>
        <v>13056</v>
      </c>
      <c r="I248" s="16">
        <v>0</v>
      </c>
      <c r="J248" s="16">
        <v>0</v>
      </c>
      <c r="K248" s="16">
        <v>0</v>
      </c>
      <c r="L248" s="16">
        <v>0</v>
      </c>
      <c r="M248" s="30">
        <v>0</v>
      </c>
    </row>
    <row r="249" spans="1:13" x14ac:dyDescent="0.25">
      <c r="A249">
        <f t="shared" si="6"/>
        <v>13056</v>
      </c>
      <c r="B249" s="16">
        <v>0</v>
      </c>
      <c r="C249" s="16">
        <v>0</v>
      </c>
      <c r="D249" s="16">
        <v>0</v>
      </c>
      <c r="E249" s="16">
        <v>0</v>
      </c>
      <c r="F249" s="30">
        <v>0</v>
      </c>
      <c r="H249">
        <f t="shared" si="7"/>
        <v>13056</v>
      </c>
      <c r="I249" s="16">
        <v>0</v>
      </c>
      <c r="J249" s="16">
        <v>0</v>
      </c>
      <c r="K249" s="16">
        <v>0</v>
      </c>
      <c r="L249" s="16">
        <v>0</v>
      </c>
      <c r="M249" s="30">
        <v>0</v>
      </c>
    </row>
    <row r="250" spans="1:13" x14ac:dyDescent="0.25">
      <c r="A250">
        <f t="shared" si="6"/>
        <v>13056</v>
      </c>
      <c r="B250" s="16">
        <v>0</v>
      </c>
      <c r="C250" s="16">
        <v>0</v>
      </c>
      <c r="D250" s="16">
        <v>0</v>
      </c>
      <c r="E250" s="16">
        <v>0</v>
      </c>
      <c r="F250" s="30">
        <v>0</v>
      </c>
      <c r="H250">
        <f t="shared" si="7"/>
        <v>13056</v>
      </c>
      <c r="I250" s="16">
        <v>0</v>
      </c>
      <c r="J250" s="16">
        <v>0</v>
      </c>
      <c r="K250" s="16">
        <v>0</v>
      </c>
      <c r="L250" s="16">
        <v>0</v>
      </c>
      <c r="M250" s="30">
        <v>0</v>
      </c>
    </row>
    <row r="251" spans="1:13" x14ac:dyDescent="0.25">
      <c r="A251">
        <f t="shared" si="6"/>
        <v>13056</v>
      </c>
      <c r="B251" s="16">
        <v>0</v>
      </c>
      <c r="C251" s="16">
        <v>0</v>
      </c>
      <c r="D251" s="16">
        <v>0</v>
      </c>
      <c r="E251" s="16">
        <v>0</v>
      </c>
      <c r="F251" s="30">
        <v>0</v>
      </c>
      <c r="H251">
        <f t="shared" si="7"/>
        <v>13056</v>
      </c>
      <c r="I251" s="16">
        <v>0</v>
      </c>
      <c r="J251" s="16">
        <v>0</v>
      </c>
      <c r="K251" s="16">
        <v>0</v>
      </c>
      <c r="L251" s="16">
        <v>0</v>
      </c>
      <c r="M251" s="30">
        <v>0</v>
      </c>
    </row>
    <row r="252" spans="1:13" x14ac:dyDescent="0.25">
      <c r="A252">
        <f t="shared" si="6"/>
        <v>13056</v>
      </c>
      <c r="B252" s="16">
        <v>0</v>
      </c>
      <c r="C252" s="16">
        <v>0</v>
      </c>
      <c r="D252" s="16">
        <v>0</v>
      </c>
      <c r="E252" s="16">
        <v>0</v>
      </c>
      <c r="F252" s="30">
        <v>0</v>
      </c>
      <c r="H252">
        <f t="shared" si="7"/>
        <v>13056</v>
      </c>
      <c r="I252" s="16">
        <v>0</v>
      </c>
      <c r="J252" s="16">
        <v>0</v>
      </c>
      <c r="K252" s="16">
        <v>0</v>
      </c>
      <c r="L252" s="16">
        <v>0</v>
      </c>
      <c r="M252" s="30">
        <v>0</v>
      </c>
    </row>
    <row r="253" spans="1:13" x14ac:dyDescent="0.25">
      <c r="A253">
        <f t="shared" si="6"/>
        <v>13056</v>
      </c>
      <c r="B253" s="16">
        <v>0</v>
      </c>
      <c r="C253" s="16">
        <v>0</v>
      </c>
      <c r="D253" s="16">
        <v>0</v>
      </c>
      <c r="E253" s="16">
        <v>0</v>
      </c>
      <c r="F253" s="30">
        <v>0</v>
      </c>
      <c r="H253">
        <f t="shared" si="7"/>
        <v>13056</v>
      </c>
      <c r="I253" s="16">
        <v>0</v>
      </c>
      <c r="J253" s="16">
        <v>0</v>
      </c>
      <c r="K253" s="16">
        <v>0</v>
      </c>
      <c r="L253" s="16">
        <v>0</v>
      </c>
      <c r="M253" s="30">
        <v>0</v>
      </c>
    </row>
    <row r="254" spans="1:13" x14ac:dyDescent="0.25">
      <c r="A254">
        <f t="shared" si="6"/>
        <v>13056</v>
      </c>
      <c r="B254" s="16">
        <v>0</v>
      </c>
      <c r="C254" s="16">
        <v>0</v>
      </c>
      <c r="D254" s="16">
        <v>0</v>
      </c>
      <c r="E254" s="16">
        <v>0</v>
      </c>
      <c r="F254" s="30">
        <v>0</v>
      </c>
      <c r="H254">
        <f t="shared" si="7"/>
        <v>13056</v>
      </c>
      <c r="I254" s="16">
        <v>0</v>
      </c>
      <c r="J254" s="16">
        <v>0</v>
      </c>
      <c r="K254" s="16">
        <v>0</v>
      </c>
      <c r="L254" s="16">
        <v>0</v>
      </c>
      <c r="M254" s="30">
        <v>0</v>
      </c>
    </row>
    <row r="255" spans="1:13" x14ac:dyDescent="0.25">
      <c r="A255">
        <f t="shared" si="6"/>
        <v>13056</v>
      </c>
      <c r="B255" s="16">
        <v>0</v>
      </c>
      <c r="C255" s="16">
        <v>0</v>
      </c>
      <c r="D255" s="16">
        <v>0</v>
      </c>
      <c r="E255" s="16">
        <v>0</v>
      </c>
      <c r="F255" s="30">
        <v>0</v>
      </c>
      <c r="H255">
        <f t="shared" si="7"/>
        <v>13056</v>
      </c>
      <c r="I255" s="16">
        <v>0</v>
      </c>
      <c r="J255" s="16">
        <v>0</v>
      </c>
      <c r="K255" s="16">
        <v>0</v>
      </c>
      <c r="L255" s="16">
        <v>0</v>
      </c>
      <c r="M255" s="30">
        <v>0</v>
      </c>
    </row>
    <row r="256" spans="1:13" x14ac:dyDescent="0.25">
      <c r="A256">
        <f t="shared" si="6"/>
        <v>13056</v>
      </c>
      <c r="B256" s="16">
        <v>0</v>
      </c>
      <c r="C256" s="16">
        <v>0</v>
      </c>
      <c r="D256" s="16">
        <v>0</v>
      </c>
      <c r="E256" s="16">
        <v>0</v>
      </c>
      <c r="F256" s="30">
        <v>0</v>
      </c>
      <c r="H256">
        <f t="shared" si="7"/>
        <v>13056</v>
      </c>
      <c r="I256" s="16">
        <v>0</v>
      </c>
      <c r="J256" s="16">
        <v>0</v>
      </c>
      <c r="K256" s="16">
        <v>0</v>
      </c>
      <c r="L256" s="16">
        <v>0</v>
      </c>
      <c r="M256" s="30">
        <v>0</v>
      </c>
    </row>
    <row r="257" spans="1:13" x14ac:dyDescent="0.25">
      <c r="A257">
        <f t="shared" si="6"/>
        <v>13056</v>
      </c>
      <c r="B257" s="16">
        <v>0</v>
      </c>
      <c r="C257" s="16">
        <v>0</v>
      </c>
      <c r="D257" s="16">
        <v>0</v>
      </c>
      <c r="E257" s="16">
        <v>0</v>
      </c>
      <c r="F257" s="30">
        <v>0</v>
      </c>
      <c r="H257">
        <f t="shared" si="7"/>
        <v>13056</v>
      </c>
      <c r="I257" s="16">
        <v>0</v>
      </c>
      <c r="J257" s="16">
        <v>0</v>
      </c>
      <c r="K257" s="16">
        <v>0</v>
      </c>
      <c r="L257" s="16">
        <v>0</v>
      </c>
      <c r="M257" s="30">
        <v>0</v>
      </c>
    </row>
    <row r="258" spans="1:13" x14ac:dyDescent="0.25">
      <c r="A258">
        <f t="shared" si="6"/>
        <v>13056</v>
      </c>
      <c r="B258" s="16">
        <v>0</v>
      </c>
      <c r="C258" s="16">
        <v>0</v>
      </c>
      <c r="D258" s="16">
        <v>0</v>
      </c>
      <c r="E258" s="16">
        <v>0</v>
      </c>
      <c r="F258" s="30">
        <v>0</v>
      </c>
      <c r="H258">
        <f t="shared" si="7"/>
        <v>13056</v>
      </c>
      <c r="I258" s="16">
        <v>0</v>
      </c>
      <c r="J258" s="16">
        <v>0</v>
      </c>
      <c r="K258" s="16">
        <v>0</v>
      </c>
      <c r="L258" s="16">
        <v>0</v>
      </c>
      <c r="M258" s="30">
        <v>0</v>
      </c>
    </row>
    <row r="259" spans="1:13" x14ac:dyDescent="0.25">
      <c r="A259">
        <f t="shared" si="6"/>
        <v>13056</v>
      </c>
      <c r="B259" s="16">
        <v>0</v>
      </c>
      <c r="C259" s="16">
        <v>0</v>
      </c>
      <c r="D259" s="16">
        <v>0</v>
      </c>
      <c r="E259" s="16">
        <v>0</v>
      </c>
      <c r="F259" s="30">
        <v>0</v>
      </c>
      <c r="H259">
        <f t="shared" si="7"/>
        <v>13056</v>
      </c>
      <c r="I259" s="16">
        <v>0</v>
      </c>
      <c r="J259" s="16">
        <v>0</v>
      </c>
      <c r="K259" s="16">
        <v>0</v>
      </c>
      <c r="L259" s="16">
        <v>0</v>
      </c>
      <c r="M259" s="30">
        <v>0</v>
      </c>
    </row>
    <row r="260" spans="1:13" x14ac:dyDescent="0.25">
      <c r="A260">
        <f t="shared" si="6"/>
        <v>13056</v>
      </c>
      <c r="B260" s="16">
        <v>0</v>
      </c>
      <c r="C260" s="16">
        <v>0</v>
      </c>
      <c r="D260" s="16">
        <v>0</v>
      </c>
      <c r="E260" s="16">
        <v>0</v>
      </c>
      <c r="F260" s="30">
        <v>0</v>
      </c>
      <c r="H260">
        <f t="shared" si="7"/>
        <v>13056</v>
      </c>
      <c r="I260" s="16">
        <v>0</v>
      </c>
      <c r="J260" s="16">
        <v>0</v>
      </c>
      <c r="K260" s="16">
        <v>0</v>
      </c>
      <c r="L260" s="16">
        <v>0</v>
      </c>
      <c r="M260" s="30">
        <v>0</v>
      </c>
    </row>
    <row r="261" spans="1:13" x14ac:dyDescent="0.25">
      <c r="A261">
        <f t="shared" ref="A261:A308" si="8">CHOOSE(IF(ABS(B261-13056)&lt;=ABS(B261-13824),IF(ABS(B261-13056)&lt;=ABS(B261-14592),1,3),IF(ABS(B261-13824)&lt;=ABS(B261-14592),2,3)),13056,13824,14592)</f>
        <v>13056</v>
      </c>
      <c r="B261" s="16">
        <v>0</v>
      </c>
      <c r="C261" s="16">
        <v>0</v>
      </c>
      <c r="D261" s="16">
        <v>0</v>
      </c>
      <c r="E261" s="16">
        <v>0</v>
      </c>
      <c r="F261" s="30">
        <v>0</v>
      </c>
      <c r="H261">
        <f t="shared" ref="H261:H276" si="9">CHOOSE(IF(ABS(I261-13056)&lt;=ABS(I261-13824),IF(ABS(I261-13056)&lt;=ABS(I261-14592),1,3),IF(ABS(I261-13824)&lt;=ABS(I261-14592),2,3)),13056,13824,14592)</f>
        <v>13056</v>
      </c>
      <c r="I261" s="16">
        <v>0</v>
      </c>
      <c r="J261" s="16">
        <v>0</v>
      </c>
      <c r="K261" s="16">
        <v>0</v>
      </c>
      <c r="L261" s="16">
        <v>0</v>
      </c>
      <c r="M261" s="30">
        <v>0</v>
      </c>
    </row>
    <row r="262" spans="1:13" x14ac:dyDescent="0.25">
      <c r="A262">
        <f t="shared" si="8"/>
        <v>13056</v>
      </c>
      <c r="B262" s="16">
        <v>0</v>
      </c>
      <c r="C262" s="16">
        <v>0</v>
      </c>
      <c r="D262" s="16">
        <v>0</v>
      </c>
      <c r="E262" s="16">
        <v>0</v>
      </c>
      <c r="F262" s="30">
        <v>0</v>
      </c>
      <c r="H262">
        <f t="shared" si="9"/>
        <v>13056</v>
      </c>
      <c r="I262" s="16">
        <v>0</v>
      </c>
      <c r="J262" s="16">
        <v>0</v>
      </c>
      <c r="K262" s="16">
        <v>0</v>
      </c>
      <c r="L262" s="16">
        <v>0</v>
      </c>
      <c r="M262" s="30">
        <v>0</v>
      </c>
    </row>
    <row r="263" spans="1:13" x14ac:dyDescent="0.25">
      <c r="A263">
        <f t="shared" si="8"/>
        <v>13056</v>
      </c>
      <c r="B263" s="16">
        <v>0</v>
      </c>
      <c r="C263" s="16">
        <v>0</v>
      </c>
      <c r="D263" s="16">
        <v>0</v>
      </c>
      <c r="E263" s="16">
        <v>0</v>
      </c>
      <c r="F263" s="30">
        <v>0</v>
      </c>
      <c r="H263">
        <f t="shared" si="9"/>
        <v>13056</v>
      </c>
      <c r="I263" s="16">
        <v>0</v>
      </c>
      <c r="J263" s="16">
        <v>0</v>
      </c>
      <c r="K263" s="16">
        <v>0</v>
      </c>
      <c r="L263" s="16">
        <v>0</v>
      </c>
      <c r="M263" s="30">
        <v>0</v>
      </c>
    </row>
    <row r="264" spans="1:13" x14ac:dyDescent="0.25">
      <c r="A264">
        <f t="shared" si="8"/>
        <v>13056</v>
      </c>
      <c r="B264" s="16">
        <v>0</v>
      </c>
      <c r="C264" s="16">
        <v>0</v>
      </c>
      <c r="D264" s="16">
        <v>0</v>
      </c>
      <c r="E264" s="16">
        <v>0</v>
      </c>
      <c r="F264" s="30">
        <v>0</v>
      </c>
      <c r="H264">
        <f t="shared" si="9"/>
        <v>13056</v>
      </c>
      <c r="I264" s="16">
        <v>0</v>
      </c>
      <c r="J264" s="16">
        <v>0</v>
      </c>
      <c r="K264" s="16">
        <v>0</v>
      </c>
      <c r="L264" s="16">
        <v>0</v>
      </c>
      <c r="M264" s="30">
        <v>0</v>
      </c>
    </row>
    <row r="265" spans="1:13" x14ac:dyDescent="0.25">
      <c r="A265">
        <f t="shared" si="8"/>
        <v>13056</v>
      </c>
      <c r="B265" s="16">
        <v>0</v>
      </c>
      <c r="C265" s="16">
        <v>0</v>
      </c>
      <c r="D265" s="16">
        <v>0</v>
      </c>
      <c r="E265" s="16">
        <v>0</v>
      </c>
      <c r="F265" s="30">
        <v>0</v>
      </c>
      <c r="H265">
        <f t="shared" si="9"/>
        <v>13056</v>
      </c>
      <c r="I265" s="16">
        <v>0</v>
      </c>
      <c r="J265" s="16">
        <v>0</v>
      </c>
      <c r="K265" s="16">
        <v>0</v>
      </c>
      <c r="L265" s="16">
        <v>0</v>
      </c>
      <c r="M265" s="30">
        <v>0</v>
      </c>
    </row>
    <row r="266" spans="1:13" x14ac:dyDescent="0.25">
      <c r="A266">
        <f t="shared" si="8"/>
        <v>13056</v>
      </c>
      <c r="B266" s="16">
        <v>0</v>
      </c>
      <c r="C266" s="16">
        <v>0</v>
      </c>
      <c r="D266" s="16">
        <v>0</v>
      </c>
      <c r="E266" s="16">
        <v>0</v>
      </c>
      <c r="F266" s="30">
        <v>0</v>
      </c>
      <c r="H266">
        <f t="shared" si="9"/>
        <v>13056</v>
      </c>
      <c r="I266" s="16">
        <v>0</v>
      </c>
      <c r="J266" s="16">
        <v>0</v>
      </c>
      <c r="K266" s="16">
        <v>0</v>
      </c>
      <c r="L266" s="16">
        <v>0</v>
      </c>
      <c r="M266" s="30">
        <v>0</v>
      </c>
    </row>
    <row r="267" spans="1:13" x14ac:dyDescent="0.25">
      <c r="A267">
        <f t="shared" si="8"/>
        <v>13056</v>
      </c>
      <c r="B267" s="16">
        <v>0</v>
      </c>
      <c r="C267" s="16">
        <v>0</v>
      </c>
      <c r="D267" s="16">
        <v>0</v>
      </c>
      <c r="E267" s="16">
        <v>0</v>
      </c>
      <c r="F267" s="30">
        <v>0</v>
      </c>
      <c r="H267">
        <f t="shared" si="9"/>
        <v>13056</v>
      </c>
      <c r="I267" s="16">
        <v>0</v>
      </c>
      <c r="J267" s="16">
        <v>0</v>
      </c>
      <c r="K267" s="16">
        <v>0</v>
      </c>
      <c r="L267" s="16">
        <v>0</v>
      </c>
      <c r="M267" s="30">
        <v>0</v>
      </c>
    </row>
    <row r="268" spans="1:13" x14ac:dyDescent="0.25">
      <c r="A268">
        <f t="shared" si="8"/>
        <v>13056</v>
      </c>
      <c r="B268" s="16">
        <v>0</v>
      </c>
      <c r="C268" s="16">
        <v>0</v>
      </c>
      <c r="D268" s="16">
        <v>0</v>
      </c>
      <c r="E268" s="16">
        <v>0</v>
      </c>
      <c r="F268" s="30">
        <v>0</v>
      </c>
      <c r="H268">
        <f t="shared" si="9"/>
        <v>13056</v>
      </c>
      <c r="I268" s="16">
        <v>0</v>
      </c>
      <c r="J268" s="16">
        <v>0</v>
      </c>
      <c r="K268" s="16">
        <v>0</v>
      </c>
      <c r="L268" s="16">
        <v>0</v>
      </c>
      <c r="M268" s="30">
        <v>0</v>
      </c>
    </row>
    <row r="269" spans="1:13" x14ac:dyDescent="0.25">
      <c r="A269">
        <f t="shared" si="8"/>
        <v>13056</v>
      </c>
      <c r="B269" s="16">
        <v>0</v>
      </c>
      <c r="C269" s="16">
        <v>0</v>
      </c>
      <c r="D269" s="16">
        <v>0</v>
      </c>
      <c r="E269" s="16">
        <v>0</v>
      </c>
      <c r="F269" s="30">
        <v>0</v>
      </c>
      <c r="H269">
        <f t="shared" si="9"/>
        <v>13056</v>
      </c>
      <c r="I269" s="16">
        <v>0</v>
      </c>
      <c r="J269" s="16">
        <v>0</v>
      </c>
      <c r="K269" s="16">
        <v>0</v>
      </c>
      <c r="L269" s="16">
        <v>0</v>
      </c>
      <c r="M269" s="30">
        <v>0</v>
      </c>
    </row>
    <row r="270" spans="1:13" x14ac:dyDescent="0.25">
      <c r="A270">
        <f t="shared" si="8"/>
        <v>13056</v>
      </c>
      <c r="B270" s="16">
        <v>0</v>
      </c>
      <c r="C270" s="16">
        <v>0</v>
      </c>
      <c r="D270" s="16">
        <v>0</v>
      </c>
      <c r="E270" s="16">
        <v>0</v>
      </c>
      <c r="F270" s="30">
        <v>0</v>
      </c>
      <c r="H270">
        <f t="shared" si="9"/>
        <v>13056</v>
      </c>
      <c r="I270" s="16">
        <v>0</v>
      </c>
      <c r="J270" s="16">
        <v>0</v>
      </c>
      <c r="K270" s="16">
        <v>0</v>
      </c>
      <c r="L270" s="16">
        <v>0</v>
      </c>
      <c r="M270" s="30">
        <v>0</v>
      </c>
    </row>
    <row r="271" spans="1:13" x14ac:dyDescent="0.25">
      <c r="A271">
        <f t="shared" si="8"/>
        <v>13056</v>
      </c>
      <c r="B271" s="16">
        <v>0</v>
      </c>
      <c r="C271" s="16">
        <v>0</v>
      </c>
      <c r="D271" s="16">
        <v>0</v>
      </c>
      <c r="E271" s="16">
        <v>0</v>
      </c>
      <c r="F271" s="30">
        <v>0</v>
      </c>
      <c r="H271">
        <f t="shared" si="9"/>
        <v>13056</v>
      </c>
      <c r="I271" s="16">
        <v>0</v>
      </c>
      <c r="J271" s="16">
        <v>0</v>
      </c>
      <c r="K271" s="16">
        <v>0</v>
      </c>
      <c r="L271" s="16">
        <v>0</v>
      </c>
      <c r="M271" s="30">
        <v>0</v>
      </c>
    </row>
    <row r="272" spans="1:13" x14ac:dyDescent="0.25">
      <c r="A272">
        <f t="shared" si="8"/>
        <v>13056</v>
      </c>
      <c r="B272" s="16">
        <v>0</v>
      </c>
      <c r="C272" s="16">
        <v>0</v>
      </c>
      <c r="D272" s="16">
        <v>0</v>
      </c>
      <c r="E272" s="16">
        <v>0</v>
      </c>
      <c r="F272" s="30">
        <v>0</v>
      </c>
      <c r="H272">
        <f t="shared" si="9"/>
        <v>13056</v>
      </c>
      <c r="I272" s="16">
        <v>0</v>
      </c>
      <c r="J272" s="16">
        <v>0</v>
      </c>
      <c r="K272" s="16">
        <v>0</v>
      </c>
      <c r="L272" s="16">
        <v>0</v>
      </c>
      <c r="M272" s="30">
        <v>0</v>
      </c>
    </row>
    <row r="273" spans="1:13" x14ac:dyDescent="0.25">
      <c r="A273">
        <f t="shared" si="8"/>
        <v>13056</v>
      </c>
      <c r="B273" s="16">
        <v>0</v>
      </c>
      <c r="C273" s="16">
        <v>0</v>
      </c>
      <c r="D273" s="16">
        <v>0</v>
      </c>
      <c r="E273" s="16">
        <v>0</v>
      </c>
      <c r="F273" s="30">
        <v>0</v>
      </c>
      <c r="H273">
        <f t="shared" si="9"/>
        <v>13056</v>
      </c>
      <c r="I273" s="16">
        <v>0</v>
      </c>
      <c r="J273" s="16">
        <v>0</v>
      </c>
      <c r="K273" s="16">
        <v>0</v>
      </c>
      <c r="L273" s="16">
        <v>0</v>
      </c>
      <c r="M273" s="30">
        <v>0</v>
      </c>
    </row>
    <row r="274" spans="1:13" x14ac:dyDescent="0.25">
      <c r="A274">
        <f t="shared" si="8"/>
        <v>13056</v>
      </c>
      <c r="B274" s="16">
        <v>0</v>
      </c>
      <c r="C274" s="16">
        <v>0</v>
      </c>
      <c r="D274" s="16">
        <v>0</v>
      </c>
      <c r="E274" s="16">
        <v>0</v>
      </c>
      <c r="F274" s="30">
        <v>0</v>
      </c>
      <c r="H274">
        <f t="shared" si="9"/>
        <v>13056</v>
      </c>
      <c r="I274" s="16">
        <v>0</v>
      </c>
      <c r="J274" s="16">
        <v>0</v>
      </c>
      <c r="K274" s="16">
        <v>0</v>
      </c>
      <c r="L274" s="16">
        <v>0</v>
      </c>
      <c r="M274" s="30">
        <v>0</v>
      </c>
    </row>
    <row r="275" spans="1:13" x14ac:dyDescent="0.25">
      <c r="A275">
        <f t="shared" si="8"/>
        <v>13056</v>
      </c>
      <c r="B275" s="16">
        <v>0</v>
      </c>
      <c r="C275" s="16">
        <v>0</v>
      </c>
      <c r="D275" s="16">
        <v>0</v>
      </c>
      <c r="E275" s="16">
        <v>0</v>
      </c>
      <c r="F275" s="30">
        <v>0</v>
      </c>
      <c r="H275">
        <f t="shared" si="9"/>
        <v>13056</v>
      </c>
      <c r="I275" s="16">
        <v>0</v>
      </c>
      <c r="J275" s="16">
        <v>0</v>
      </c>
      <c r="K275" s="16">
        <v>0</v>
      </c>
      <c r="L275" s="16">
        <v>0</v>
      </c>
      <c r="M275" s="30">
        <v>0</v>
      </c>
    </row>
    <row r="276" spans="1:13" x14ac:dyDescent="0.25">
      <c r="A276">
        <f t="shared" si="8"/>
        <v>13056</v>
      </c>
      <c r="B276" s="16">
        <v>0</v>
      </c>
      <c r="C276" s="16">
        <v>0</v>
      </c>
      <c r="D276" s="16">
        <v>0</v>
      </c>
      <c r="E276" s="16">
        <v>0</v>
      </c>
      <c r="F276" s="30">
        <v>0</v>
      </c>
      <c r="H276">
        <f t="shared" si="9"/>
        <v>13056</v>
      </c>
      <c r="I276" s="16">
        <v>0</v>
      </c>
      <c r="J276" s="16">
        <v>0</v>
      </c>
      <c r="K276" s="16">
        <v>0</v>
      </c>
      <c r="L276" s="16">
        <v>0</v>
      </c>
      <c r="M276" s="30">
        <v>0</v>
      </c>
    </row>
    <row r="277" spans="1:13" x14ac:dyDescent="0.25">
      <c r="A277">
        <f t="shared" si="8"/>
        <v>13056</v>
      </c>
      <c r="B277" s="16">
        <v>0</v>
      </c>
      <c r="C277" s="16">
        <v>0</v>
      </c>
      <c r="D277" s="16">
        <v>0</v>
      </c>
      <c r="E277" s="16">
        <v>0</v>
      </c>
      <c r="F277" s="30">
        <v>0</v>
      </c>
    </row>
    <row r="278" spans="1:13" x14ac:dyDescent="0.25">
      <c r="A278">
        <f t="shared" si="8"/>
        <v>13056</v>
      </c>
      <c r="B278" s="16">
        <v>0</v>
      </c>
      <c r="C278" s="16">
        <v>0</v>
      </c>
      <c r="D278" s="16">
        <v>0</v>
      </c>
      <c r="E278" s="16">
        <v>0</v>
      </c>
      <c r="F278" s="30">
        <v>0</v>
      </c>
    </row>
    <row r="279" spans="1:13" x14ac:dyDescent="0.25">
      <c r="A279">
        <f t="shared" si="8"/>
        <v>13056</v>
      </c>
      <c r="B279" s="16">
        <v>0</v>
      </c>
      <c r="C279" s="16">
        <v>0</v>
      </c>
      <c r="D279" s="16">
        <v>0</v>
      </c>
      <c r="E279" s="16">
        <v>0</v>
      </c>
      <c r="F279" s="30">
        <v>0</v>
      </c>
    </row>
    <row r="280" spans="1:13" x14ac:dyDescent="0.25">
      <c r="A280">
        <f t="shared" si="8"/>
        <v>13056</v>
      </c>
      <c r="B280" s="16">
        <v>0</v>
      </c>
      <c r="C280" s="16">
        <v>0</v>
      </c>
      <c r="D280" s="16">
        <v>0</v>
      </c>
      <c r="E280" s="16">
        <v>0</v>
      </c>
      <c r="F280" s="30">
        <v>0</v>
      </c>
    </row>
    <row r="281" spans="1:13" x14ac:dyDescent="0.25">
      <c r="A281">
        <f t="shared" si="8"/>
        <v>13056</v>
      </c>
      <c r="B281" s="16">
        <v>0</v>
      </c>
      <c r="C281" s="16">
        <v>0</v>
      </c>
      <c r="D281" s="16">
        <v>0</v>
      </c>
      <c r="E281" s="16">
        <v>0</v>
      </c>
      <c r="F281" s="30">
        <v>0</v>
      </c>
    </row>
    <row r="282" spans="1:13" x14ac:dyDescent="0.25">
      <c r="A282">
        <f t="shared" si="8"/>
        <v>13056</v>
      </c>
      <c r="B282" s="16">
        <v>0</v>
      </c>
      <c r="C282" s="16">
        <v>0</v>
      </c>
      <c r="D282" s="16">
        <v>0</v>
      </c>
      <c r="E282" s="16">
        <v>0</v>
      </c>
      <c r="F282" s="30">
        <v>0</v>
      </c>
    </row>
    <row r="283" spans="1:13" x14ac:dyDescent="0.25">
      <c r="A283">
        <f t="shared" si="8"/>
        <v>13056</v>
      </c>
      <c r="B283" s="16">
        <v>0</v>
      </c>
      <c r="C283" s="16">
        <v>0</v>
      </c>
      <c r="D283" s="16">
        <v>0</v>
      </c>
      <c r="E283" s="16">
        <v>0</v>
      </c>
      <c r="F283" s="30">
        <v>0</v>
      </c>
    </row>
    <row r="284" spans="1:13" x14ac:dyDescent="0.25">
      <c r="A284">
        <f t="shared" si="8"/>
        <v>13056</v>
      </c>
      <c r="B284" s="16">
        <v>0</v>
      </c>
      <c r="C284" s="16">
        <v>0</v>
      </c>
      <c r="D284" s="16">
        <v>0</v>
      </c>
      <c r="E284" s="16">
        <v>0</v>
      </c>
      <c r="F284" s="30">
        <v>0</v>
      </c>
    </row>
    <row r="285" spans="1:13" x14ac:dyDescent="0.25">
      <c r="A285">
        <f t="shared" si="8"/>
        <v>13056</v>
      </c>
      <c r="B285" s="16">
        <v>0</v>
      </c>
      <c r="C285" s="16">
        <v>0</v>
      </c>
      <c r="D285" s="16">
        <v>0</v>
      </c>
      <c r="E285" s="16">
        <v>0</v>
      </c>
      <c r="F285" s="30">
        <v>0</v>
      </c>
    </row>
    <row r="286" spans="1:13" x14ac:dyDescent="0.25">
      <c r="A286">
        <f t="shared" si="8"/>
        <v>13056</v>
      </c>
      <c r="B286" s="16">
        <v>0</v>
      </c>
      <c r="C286" s="16">
        <v>0</v>
      </c>
      <c r="D286" s="16">
        <v>0</v>
      </c>
      <c r="E286" s="16">
        <v>0</v>
      </c>
      <c r="F286" s="30">
        <v>0</v>
      </c>
    </row>
    <row r="287" spans="1:13" x14ac:dyDescent="0.25">
      <c r="A287">
        <f t="shared" si="8"/>
        <v>13056</v>
      </c>
      <c r="B287" s="16">
        <v>0</v>
      </c>
      <c r="C287" s="16">
        <v>0</v>
      </c>
      <c r="D287" s="16">
        <v>0</v>
      </c>
      <c r="E287" s="16">
        <v>0</v>
      </c>
      <c r="F287" s="30">
        <v>0</v>
      </c>
    </row>
    <row r="288" spans="1:13" x14ac:dyDescent="0.25">
      <c r="A288">
        <f t="shared" si="8"/>
        <v>13056</v>
      </c>
      <c r="B288" s="16">
        <v>0</v>
      </c>
      <c r="C288" s="16">
        <v>0</v>
      </c>
      <c r="D288" s="16">
        <v>0</v>
      </c>
      <c r="E288" s="16">
        <v>0</v>
      </c>
      <c r="F288" s="30">
        <v>0</v>
      </c>
    </row>
    <row r="289" spans="1:6" x14ac:dyDescent="0.25">
      <c r="A289">
        <f t="shared" si="8"/>
        <v>13056</v>
      </c>
      <c r="B289" s="16">
        <v>0</v>
      </c>
      <c r="C289" s="16">
        <v>0</v>
      </c>
      <c r="D289" s="16">
        <v>0</v>
      </c>
      <c r="E289" s="16">
        <v>0</v>
      </c>
      <c r="F289" s="30">
        <v>0</v>
      </c>
    </row>
    <row r="290" spans="1:6" x14ac:dyDescent="0.25">
      <c r="A290">
        <f t="shared" si="8"/>
        <v>13056</v>
      </c>
      <c r="B290" s="16">
        <v>0</v>
      </c>
      <c r="C290" s="16">
        <v>0</v>
      </c>
      <c r="D290" s="16">
        <v>0</v>
      </c>
      <c r="E290" s="16">
        <v>0</v>
      </c>
      <c r="F290" s="30">
        <v>0</v>
      </c>
    </row>
    <row r="291" spans="1:6" x14ac:dyDescent="0.25">
      <c r="A291">
        <f t="shared" si="8"/>
        <v>13056</v>
      </c>
      <c r="B291" s="16">
        <v>0</v>
      </c>
      <c r="C291" s="16">
        <v>0</v>
      </c>
      <c r="D291" s="16">
        <v>0</v>
      </c>
      <c r="E291" s="16">
        <v>0</v>
      </c>
      <c r="F291" s="30">
        <v>0</v>
      </c>
    </row>
    <row r="292" spans="1:6" x14ac:dyDescent="0.25">
      <c r="A292">
        <f t="shared" si="8"/>
        <v>13056</v>
      </c>
      <c r="B292" s="16">
        <v>0</v>
      </c>
      <c r="C292" s="16">
        <v>0</v>
      </c>
      <c r="D292" s="16">
        <v>0</v>
      </c>
      <c r="E292" s="16">
        <v>0</v>
      </c>
      <c r="F292" s="30">
        <v>0</v>
      </c>
    </row>
    <row r="293" spans="1:6" x14ac:dyDescent="0.25">
      <c r="A293">
        <f t="shared" si="8"/>
        <v>13056</v>
      </c>
      <c r="B293" s="16">
        <v>0</v>
      </c>
      <c r="C293" s="16">
        <v>0</v>
      </c>
      <c r="D293" s="16">
        <v>0</v>
      </c>
      <c r="E293" s="16">
        <v>0</v>
      </c>
      <c r="F293" s="30">
        <v>0</v>
      </c>
    </row>
    <row r="294" spans="1:6" x14ac:dyDescent="0.25">
      <c r="A294">
        <f t="shared" si="8"/>
        <v>13056</v>
      </c>
      <c r="B294" s="16">
        <v>0</v>
      </c>
      <c r="C294" s="16">
        <v>0</v>
      </c>
      <c r="D294" s="16">
        <v>0</v>
      </c>
      <c r="E294" s="16">
        <v>0</v>
      </c>
      <c r="F294" s="30">
        <v>0</v>
      </c>
    </row>
    <row r="295" spans="1:6" x14ac:dyDescent="0.25">
      <c r="A295">
        <f t="shared" si="8"/>
        <v>13056</v>
      </c>
      <c r="B295" s="16">
        <v>0</v>
      </c>
      <c r="C295" s="16">
        <v>0</v>
      </c>
      <c r="D295" s="16">
        <v>0</v>
      </c>
      <c r="E295" s="16">
        <v>0</v>
      </c>
      <c r="F295" s="30">
        <v>0</v>
      </c>
    </row>
    <row r="296" spans="1:6" x14ac:dyDescent="0.25">
      <c r="A296">
        <f t="shared" si="8"/>
        <v>13056</v>
      </c>
      <c r="B296" s="16">
        <v>0</v>
      </c>
      <c r="C296" s="16">
        <v>0</v>
      </c>
      <c r="D296" s="16">
        <v>0</v>
      </c>
      <c r="E296" s="16">
        <v>0</v>
      </c>
      <c r="F296" s="30">
        <v>0</v>
      </c>
    </row>
    <row r="297" spans="1:6" x14ac:dyDescent="0.25">
      <c r="A297">
        <f t="shared" si="8"/>
        <v>13056</v>
      </c>
      <c r="B297" s="16">
        <v>0</v>
      </c>
      <c r="C297" s="16">
        <v>0</v>
      </c>
      <c r="D297" s="16">
        <v>0</v>
      </c>
      <c r="E297" s="16">
        <v>0</v>
      </c>
      <c r="F297" s="30">
        <v>0</v>
      </c>
    </row>
    <row r="298" spans="1:6" x14ac:dyDescent="0.25">
      <c r="A298">
        <f t="shared" si="8"/>
        <v>13056</v>
      </c>
      <c r="B298" s="16">
        <v>0</v>
      </c>
      <c r="C298" s="16">
        <v>0</v>
      </c>
      <c r="D298" s="16">
        <v>0</v>
      </c>
      <c r="E298" s="16">
        <v>0</v>
      </c>
      <c r="F298" s="30">
        <v>0</v>
      </c>
    </row>
    <row r="299" spans="1:6" x14ac:dyDescent="0.25">
      <c r="A299">
        <f t="shared" si="8"/>
        <v>13056</v>
      </c>
      <c r="B299" s="16">
        <v>0</v>
      </c>
      <c r="C299" s="16">
        <v>0</v>
      </c>
      <c r="D299" s="16">
        <v>0</v>
      </c>
      <c r="E299" s="16">
        <v>0</v>
      </c>
      <c r="F299" s="30">
        <v>0</v>
      </c>
    </row>
    <row r="300" spans="1:6" x14ac:dyDescent="0.25">
      <c r="A300">
        <f t="shared" si="8"/>
        <v>13056</v>
      </c>
      <c r="B300" s="16">
        <v>0</v>
      </c>
      <c r="C300" s="16">
        <v>0</v>
      </c>
      <c r="D300" s="16">
        <v>0</v>
      </c>
      <c r="E300" s="16">
        <v>0</v>
      </c>
      <c r="F300" s="30">
        <v>0</v>
      </c>
    </row>
    <row r="301" spans="1:6" x14ac:dyDescent="0.25">
      <c r="A301">
        <f t="shared" si="8"/>
        <v>13056</v>
      </c>
      <c r="B301" s="16">
        <v>0</v>
      </c>
      <c r="C301" s="16">
        <v>0</v>
      </c>
      <c r="D301" s="16">
        <v>0</v>
      </c>
      <c r="E301" s="16">
        <v>0</v>
      </c>
      <c r="F301" s="30">
        <v>0</v>
      </c>
    </row>
    <row r="302" spans="1:6" x14ac:dyDescent="0.25">
      <c r="A302">
        <f t="shared" si="8"/>
        <v>13056</v>
      </c>
      <c r="B302" s="16">
        <v>0</v>
      </c>
      <c r="C302" s="16">
        <v>0</v>
      </c>
      <c r="D302" s="16">
        <v>0</v>
      </c>
      <c r="E302" s="16">
        <v>0</v>
      </c>
      <c r="F302" s="30">
        <v>0</v>
      </c>
    </row>
    <row r="303" spans="1:6" x14ac:dyDescent="0.25">
      <c r="A303">
        <f t="shared" si="8"/>
        <v>13056</v>
      </c>
      <c r="B303" s="16">
        <v>0</v>
      </c>
      <c r="C303" s="16">
        <v>0</v>
      </c>
      <c r="D303" s="16">
        <v>0</v>
      </c>
      <c r="E303" s="16">
        <v>0</v>
      </c>
      <c r="F303" s="30">
        <v>0</v>
      </c>
    </row>
    <row r="304" spans="1:6" x14ac:dyDescent="0.25">
      <c r="A304">
        <f t="shared" si="8"/>
        <v>13056</v>
      </c>
      <c r="B304" s="16">
        <v>0</v>
      </c>
      <c r="C304" s="16">
        <v>0</v>
      </c>
      <c r="D304" s="16">
        <v>0</v>
      </c>
      <c r="E304" s="16">
        <v>0</v>
      </c>
      <c r="F304" s="30">
        <v>0</v>
      </c>
    </row>
    <row r="305" spans="1:6" x14ac:dyDescent="0.25">
      <c r="A305">
        <f t="shared" si="8"/>
        <v>13056</v>
      </c>
      <c r="B305" s="16">
        <v>0</v>
      </c>
      <c r="C305" s="16">
        <v>0</v>
      </c>
      <c r="D305" s="16">
        <v>0</v>
      </c>
      <c r="E305" s="16">
        <v>0</v>
      </c>
      <c r="F305" s="30">
        <v>0</v>
      </c>
    </row>
    <row r="306" spans="1:6" x14ac:dyDescent="0.25">
      <c r="A306">
        <f t="shared" si="8"/>
        <v>13056</v>
      </c>
      <c r="B306" s="16">
        <v>0</v>
      </c>
      <c r="C306" s="16">
        <v>0</v>
      </c>
      <c r="D306" s="16">
        <v>0</v>
      </c>
      <c r="E306" s="16">
        <v>0</v>
      </c>
      <c r="F306" s="30">
        <v>0</v>
      </c>
    </row>
    <row r="307" spans="1:6" x14ac:dyDescent="0.25">
      <c r="A307">
        <f t="shared" si="8"/>
        <v>13056</v>
      </c>
      <c r="B307" s="16">
        <v>0</v>
      </c>
      <c r="C307" s="16">
        <v>0</v>
      </c>
      <c r="D307" s="16">
        <v>0</v>
      </c>
      <c r="E307" s="16">
        <v>0</v>
      </c>
      <c r="F307" s="30">
        <v>0</v>
      </c>
    </row>
    <row r="308" spans="1:6" x14ac:dyDescent="0.25">
      <c r="A308">
        <f t="shared" si="8"/>
        <v>13056</v>
      </c>
      <c r="B308" s="16">
        <v>0</v>
      </c>
      <c r="C308" s="16">
        <v>0</v>
      </c>
      <c r="D308" s="16">
        <v>0</v>
      </c>
      <c r="E308" s="16">
        <v>0</v>
      </c>
      <c r="F308" s="30">
        <v>0</v>
      </c>
    </row>
    <row r="373" spans="9:13" x14ac:dyDescent="0.25">
      <c r="I373" s="16">
        <v>0</v>
      </c>
      <c r="J373" s="16">
        <v>0</v>
      </c>
      <c r="K373" s="16">
        <v>0</v>
      </c>
      <c r="L373" s="16">
        <v>0</v>
      </c>
      <c r="M373" s="30">
        <v>0</v>
      </c>
    </row>
    <row r="374" spans="9:13" x14ac:dyDescent="0.25">
      <c r="I374" s="16">
        <v>0</v>
      </c>
      <c r="J374" s="16">
        <v>0</v>
      </c>
      <c r="K374" s="16">
        <v>0</v>
      </c>
      <c r="L374" s="16">
        <v>0</v>
      </c>
      <c r="M374" s="30">
        <v>0</v>
      </c>
    </row>
    <row r="375" spans="9:13" x14ac:dyDescent="0.25">
      <c r="I375" s="16">
        <v>0</v>
      </c>
      <c r="J375" s="16">
        <v>0</v>
      </c>
      <c r="K375" s="16">
        <v>0</v>
      </c>
      <c r="L375" s="16">
        <v>0</v>
      </c>
      <c r="M375" s="30">
        <v>0</v>
      </c>
    </row>
    <row r="376" spans="9:13" x14ac:dyDescent="0.25">
      <c r="I376" s="16">
        <v>0</v>
      </c>
      <c r="J376" s="16">
        <v>0</v>
      </c>
      <c r="K376" s="16">
        <v>0</v>
      </c>
      <c r="L376" s="16">
        <v>0</v>
      </c>
      <c r="M376" s="30">
        <v>0</v>
      </c>
    </row>
    <row r="377" spans="9:13" x14ac:dyDescent="0.25">
      <c r="I377" s="16">
        <v>0</v>
      </c>
      <c r="J377" s="16">
        <v>0</v>
      </c>
      <c r="K377" s="16">
        <v>0</v>
      </c>
      <c r="L377" s="16">
        <v>0</v>
      </c>
      <c r="M377" s="30">
        <v>0</v>
      </c>
    </row>
    <row r="378" spans="9:13" x14ac:dyDescent="0.25">
      <c r="I378" s="16">
        <v>0</v>
      </c>
      <c r="J378" s="16">
        <v>0</v>
      </c>
      <c r="K378" s="16">
        <v>0</v>
      </c>
      <c r="L378" s="16">
        <v>0</v>
      </c>
      <c r="M378" s="30">
        <v>0</v>
      </c>
    </row>
    <row r="379" spans="9:13" x14ac:dyDescent="0.25">
      <c r="I379" s="16">
        <v>0</v>
      </c>
      <c r="J379" s="16">
        <v>0</v>
      </c>
      <c r="K379" s="16">
        <v>0</v>
      </c>
      <c r="L379" s="16">
        <v>0</v>
      </c>
      <c r="M379" s="30">
        <v>0</v>
      </c>
    </row>
    <row r="380" spans="9:13" x14ac:dyDescent="0.25">
      <c r="I380" s="16">
        <v>0</v>
      </c>
      <c r="J380" s="16">
        <v>0</v>
      </c>
      <c r="K380" s="16">
        <v>0</v>
      </c>
      <c r="L380" s="16">
        <v>0</v>
      </c>
      <c r="M380" s="30">
        <v>0</v>
      </c>
    </row>
    <row r="381" spans="9:13" x14ac:dyDescent="0.25">
      <c r="I381" s="16">
        <v>0</v>
      </c>
      <c r="J381" s="16">
        <v>0</v>
      </c>
      <c r="K381" s="16">
        <v>0</v>
      </c>
      <c r="L381" s="16">
        <v>0</v>
      </c>
      <c r="M381" s="30">
        <v>0</v>
      </c>
    </row>
    <row r="382" spans="9:13" x14ac:dyDescent="0.25">
      <c r="I382" s="16">
        <v>0</v>
      </c>
      <c r="J382" s="16">
        <v>0</v>
      </c>
      <c r="K382" s="16">
        <v>0</v>
      </c>
      <c r="L382" s="16">
        <v>0</v>
      </c>
      <c r="M382" s="30">
        <v>0</v>
      </c>
    </row>
    <row r="383" spans="9:13" x14ac:dyDescent="0.25">
      <c r="I383" s="16">
        <v>0</v>
      </c>
      <c r="J383" s="16">
        <v>0</v>
      </c>
      <c r="K383" s="16">
        <v>0</v>
      </c>
      <c r="L383" s="16">
        <v>0</v>
      </c>
      <c r="M383" s="30">
        <v>0</v>
      </c>
    </row>
    <row r="384" spans="9:13" x14ac:dyDescent="0.25">
      <c r="I384" s="16">
        <v>0</v>
      </c>
      <c r="J384" s="16">
        <v>0</v>
      </c>
      <c r="K384" s="16">
        <v>0</v>
      </c>
      <c r="L384" s="16">
        <v>0</v>
      </c>
      <c r="M384" s="30">
        <v>0</v>
      </c>
    </row>
    <row r="385" spans="9:13" x14ac:dyDescent="0.25">
      <c r="I385" s="16">
        <v>0</v>
      </c>
      <c r="J385" s="16">
        <v>0</v>
      </c>
      <c r="K385" s="16">
        <v>0</v>
      </c>
      <c r="L385" s="16">
        <v>0</v>
      </c>
      <c r="M385" s="30">
        <v>0</v>
      </c>
    </row>
    <row r="386" spans="9:13" x14ac:dyDescent="0.25">
      <c r="I386" s="16">
        <v>0</v>
      </c>
      <c r="J386" s="16">
        <v>0</v>
      </c>
      <c r="K386" s="16">
        <v>0</v>
      </c>
      <c r="L386" s="16">
        <v>0</v>
      </c>
      <c r="M386" s="30">
        <v>0</v>
      </c>
    </row>
    <row r="387" spans="9:13" x14ac:dyDescent="0.25">
      <c r="I387" s="16">
        <v>0</v>
      </c>
      <c r="J387" s="16">
        <v>0</v>
      </c>
      <c r="K387" s="16">
        <v>0</v>
      </c>
      <c r="L387" s="16">
        <v>0</v>
      </c>
      <c r="M387" s="30">
        <v>0</v>
      </c>
    </row>
    <row r="388" spans="9:13" x14ac:dyDescent="0.25">
      <c r="I388" s="16">
        <v>0</v>
      </c>
      <c r="J388" s="16">
        <v>0</v>
      </c>
      <c r="K388" s="16">
        <v>0</v>
      </c>
      <c r="L388" s="16">
        <v>0</v>
      </c>
      <c r="M388" s="30">
        <v>0</v>
      </c>
    </row>
    <row r="389" spans="9:13" x14ac:dyDescent="0.25">
      <c r="I389" s="16">
        <v>0</v>
      </c>
      <c r="J389" s="16">
        <v>0</v>
      </c>
      <c r="K389" s="16">
        <v>0</v>
      </c>
      <c r="L389" s="16">
        <v>0</v>
      </c>
      <c r="M389" s="30">
        <v>0</v>
      </c>
    </row>
    <row r="390" spans="9:13" x14ac:dyDescent="0.25">
      <c r="I390" s="16">
        <v>0</v>
      </c>
      <c r="J390" s="16">
        <v>0</v>
      </c>
      <c r="K390" s="16">
        <v>0</v>
      </c>
      <c r="L390" s="16">
        <v>0</v>
      </c>
      <c r="M390" s="30">
        <v>0</v>
      </c>
    </row>
    <row r="391" spans="9:13" x14ac:dyDescent="0.25">
      <c r="I391" s="16">
        <v>0</v>
      </c>
      <c r="J391" s="16">
        <v>0</v>
      </c>
      <c r="K391" s="16">
        <v>0</v>
      </c>
      <c r="L391" s="16">
        <v>0</v>
      </c>
      <c r="M391" s="30">
        <v>0</v>
      </c>
    </row>
    <row r="392" spans="9:13" x14ac:dyDescent="0.25">
      <c r="I392" s="16">
        <v>0</v>
      </c>
      <c r="J392" s="16">
        <v>0</v>
      </c>
      <c r="K392" s="16">
        <v>0</v>
      </c>
      <c r="L392" s="16">
        <v>0</v>
      </c>
      <c r="M392" s="30">
        <v>0</v>
      </c>
    </row>
    <row r="393" spans="9:13" x14ac:dyDescent="0.25">
      <c r="I393" s="16">
        <v>0</v>
      </c>
      <c r="J393" s="16">
        <v>0</v>
      </c>
      <c r="K393" s="16">
        <v>0</v>
      </c>
      <c r="L393" s="16">
        <v>0</v>
      </c>
      <c r="M393" s="30">
        <v>0</v>
      </c>
    </row>
    <row r="394" spans="9:13" x14ac:dyDescent="0.25">
      <c r="I394" s="16">
        <v>0</v>
      </c>
      <c r="J394" s="16">
        <v>0</v>
      </c>
      <c r="K394" s="16">
        <v>0</v>
      </c>
      <c r="L394" s="16">
        <v>0</v>
      </c>
      <c r="M394" s="30">
        <v>0</v>
      </c>
    </row>
    <row r="395" spans="9:13" x14ac:dyDescent="0.25">
      <c r="I395" s="16">
        <v>0</v>
      </c>
      <c r="J395" s="16">
        <v>0</v>
      </c>
      <c r="K395" s="16">
        <v>0</v>
      </c>
      <c r="L395" s="16">
        <v>0</v>
      </c>
      <c r="M395" s="30">
        <v>0</v>
      </c>
    </row>
    <row r="396" spans="9:13" x14ac:dyDescent="0.25">
      <c r="I396" s="16">
        <v>0</v>
      </c>
      <c r="J396" s="16">
        <v>0</v>
      </c>
      <c r="K396" s="16">
        <v>0</v>
      </c>
      <c r="L396" s="16">
        <v>0</v>
      </c>
      <c r="M396" s="30">
        <v>0</v>
      </c>
    </row>
    <row r="397" spans="9:13" x14ac:dyDescent="0.25">
      <c r="I397" s="16">
        <v>0</v>
      </c>
      <c r="J397" s="16">
        <v>0</v>
      </c>
      <c r="K397" s="16">
        <v>0</v>
      </c>
      <c r="L397" s="16">
        <v>0</v>
      </c>
      <c r="M397" s="30">
        <v>0</v>
      </c>
    </row>
    <row r="398" spans="9:13" x14ac:dyDescent="0.25">
      <c r="I398" s="16">
        <v>0</v>
      </c>
      <c r="J398" s="16">
        <v>0</v>
      </c>
      <c r="K398" s="16">
        <v>0</v>
      </c>
      <c r="L398" s="16">
        <v>0</v>
      </c>
      <c r="M398" s="30">
        <v>0</v>
      </c>
    </row>
    <row r="399" spans="9:13" x14ac:dyDescent="0.25">
      <c r="I399" s="16">
        <v>0</v>
      </c>
      <c r="J399" s="16">
        <v>0</v>
      </c>
      <c r="K399" s="16">
        <v>0</v>
      </c>
      <c r="L399" s="16">
        <v>0</v>
      </c>
      <c r="M399" s="30">
        <v>0</v>
      </c>
    </row>
    <row r="400" spans="9:13" x14ac:dyDescent="0.25">
      <c r="I400" s="16">
        <v>0</v>
      </c>
      <c r="J400" s="16">
        <v>0</v>
      </c>
      <c r="K400" s="16">
        <v>0</v>
      </c>
      <c r="L400" s="16">
        <v>0</v>
      </c>
      <c r="M400" s="30">
        <v>0</v>
      </c>
    </row>
    <row r="401" spans="9:13" x14ac:dyDescent="0.25">
      <c r="I401" s="16">
        <v>0</v>
      </c>
      <c r="J401" s="16">
        <v>0</v>
      </c>
      <c r="K401" s="16">
        <v>0</v>
      </c>
      <c r="L401" s="16">
        <v>0</v>
      </c>
      <c r="M401" s="30">
        <v>0</v>
      </c>
    </row>
    <row r="402" spans="9:13" x14ac:dyDescent="0.25">
      <c r="I402" s="16">
        <v>0</v>
      </c>
      <c r="J402" s="16">
        <v>0</v>
      </c>
      <c r="K402" s="16">
        <v>0</v>
      </c>
      <c r="L402" s="16">
        <v>0</v>
      </c>
      <c r="M402" s="30">
        <v>0</v>
      </c>
    </row>
    <row r="403" spans="9:13" x14ac:dyDescent="0.25">
      <c r="I403" s="16">
        <v>0</v>
      </c>
      <c r="J403" s="16">
        <v>0</v>
      </c>
      <c r="K403" s="16">
        <v>0</v>
      </c>
      <c r="L403" s="16">
        <v>0</v>
      </c>
      <c r="M403" s="30">
        <v>0</v>
      </c>
    </row>
  </sheetData>
  <mergeCells count="2">
    <mergeCell ref="B1:F1"/>
    <mergeCell ref="I1:M1"/>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6B31C-9504-4A5E-B975-7362141B1CCA}">
  <dimension ref="A1:BI303"/>
  <sheetViews>
    <sheetView zoomScaleNormal="100" workbookViewId="0">
      <selection activeCell="N119" sqref="N119:N243"/>
    </sheetView>
  </sheetViews>
  <sheetFormatPr defaultRowHeight="15" x14ac:dyDescent="0.25"/>
  <cols>
    <col min="8" max="8" width="9.140625" style="17"/>
    <col min="9" max="9" width="10.140625" bestFit="1" customWidth="1"/>
    <col min="10" max="10" width="9.140625" style="37"/>
    <col min="11" max="13" width="15.28515625" customWidth="1"/>
    <col min="14" max="14" width="15.7109375" style="30" bestFit="1" customWidth="1"/>
    <col min="15" max="15" width="15.7109375" style="17" customWidth="1"/>
    <col min="23" max="23" width="9.140625" style="17"/>
    <col min="24" max="24" width="10.140625" bestFit="1" customWidth="1"/>
    <col min="25" max="25" width="9.140625" style="37"/>
    <col min="26" max="28" width="15" customWidth="1"/>
    <col min="29" max="29" width="15.7109375" style="30" bestFit="1" customWidth="1"/>
    <col min="31" max="31" width="9.140625" style="125"/>
    <col min="32" max="39" width="9.28515625" style="125" bestFit="1" customWidth="1"/>
    <col min="40" max="40" width="9.85546875" style="125" bestFit="1" customWidth="1"/>
    <col min="41" max="45" width="9.28515625" style="125" bestFit="1" customWidth="1"/>
    <col min="46" max="47" width="9.140625" style="125"/>
    <col min="48" max="55" width="9.28515625" style="125" bestFit="1" customWidth="1"/>
    <col min="56" max="56" width="9.85546875" style="125" bestFit="1" customWidth="1"/>
    <col min="57" max="61" width="9.28515625" style="125" bestFit="1" customWidth="1"/>
  </cols>
  <sheetData>
    <row r="1" spans="1:61" s="42" customFormat="1" ht="15.75" x14ac:dyDescent="0.25">
      <c r="A1" s="140"/>
      <c r="B1" s="140"/>
      <c r="C1" s="140"/>
      <c r="D1" s="140"/>
      <c r="E1" s="140"/>
      <c r="F1" s="140"/>
      <c r="G1" s="140"/>
      <c r="H1" s="140"/>
      <c r="I1" s="140"/>
      <c r="J1" s="140"/>
      <c r="K1" s="140"/>
      <c r="L1" s="140"/>
      <c r="M1" s="140"/>
      <c r="N1" s="140"/>
      <c r="O1" s="41"/>
      <c r="P1" s="140"/>
      <c r="Q1" s="140"/>
      <c r="R1" s="140"/>
      <c r="S1" s="140"/>
      <c r="T1" s="140"/>
      <c r="U1" s="140"/>
      <c r="V1" s="140"/>
      <c r="W1" s="140"/>
      <c r="X1" s="140"/>
      <c r="Y1" s="140"/>
      <c r="Z1" s="140"/>
      <c r="AA1" s="140"/>
      <c r="AB1" s="140"/>
      <c r="AC1" s="140"/>
      <c r="AE1" s="161" t="s">
        <v>275</v>
      </c>
      <c r="AF1" s="161"/>
      <c r="AG1" s="161"/>
      <c r="AH1" s="161"/>
      <c r="AI1" s="161"/>
      <c r="AJ1" s="161"/>
      <c r="AK1" s="161"/>
      <c r="AL1" s="161"/>
      <c r="AM1" s="161"/>
      <c r="AN1" s="161"/>
      <c r="AO1" s="161"/>
      <c r="AP1" s="161"/>
      <c r="AQ1" s="161"/>
      <c r="AR1" s="161"/>
      <c r="AS1" s="161"/>
      <c r="AT1" s="124"/>
      <c r="AU1" s="161" t="s">
        <v>276</v>
      </c>
      <c r="AV1" s="161"/>
      <c r="AW1" s="161"/>
      <c r="AX1" s="161"/>
      <c r="AY1" s="161"/>
      <c r="AZ1" s="161"/>
      <c r="BA1" s="161"/>
      <c r="BB1" s="161"/>
      <c r="BC1" s="161"/>
      <c r="BD1" s="161"/>
      <c r="BE1" s="161"/>
      <c r="BF1" s="161"/>
      <c r="BG1" s="161"/>
      <c r="BH1" s="161"/>
      <c r="BI1" s="161"/>
    </row>
    <row r="2" spans="1:61" s="42" customFormat="1" ht="15.75" x14ac:dyDescent="0.25">
      <c r="A2" s="116" t="s">
        <v>327</v>
      </c>
      <c r="B2" s="117">
        <f>MAX(N4:N499)</f>
        <v>10.793400000000002</v>
      </c>
      <c r="C2" s="118">
        <f>INDEX(C:C,MATCH(MAX($N:$N),$N:$N,0))</f>
        <v>14560</v>
      </c>
      <c r="D2" s="118">
        <f t="shared" ref="D2:F2" si="0">INDEX(D:D,MATCH(MAX($N:$N),$N:$N,0))</f>
        <v>160</v>
      </c>
      <c r="E2" s="118">
        <f t="shared" si="0"/>
        <v>2</v>
      </c>
      <c r="F2" s="118">
        <f t="shared" si="0"/>
        <v>2</v>
      </c>
      <c r="H2" s="41"/>
      <c r="J2" s="43"/>
      <c r="K2" s="140" t="s">
        <v>1</v>
      </c>
      <c r="L2" s="140"/>
      <c r="M2" s="140"/>
      <c r="N2" s="121"/>
      <c r="O2" s="41"/>
      <c r="P2" s="116" t="s">
        <v>327</v>
      </c>
      <c r="Q2" s="117">
        <f>MAX(AC4:AC498)</f>
        <v>11.5314</v>
      </c>
      <c r="R2" s="118">
        <f>INDEX(R:R,MATCH(MAX($AC:$AC),$AC:$AC,0))</f>
        <v>14592</v>
      </c>
      <c r="S2" s="118">
        <f>INDEX(S:S,MATCH(MAX($AC:$AC),$AC:$AC,0))</f>
        <v>96</v>
      </c>
      <c r="T2" s="118">
        <f>INDEX(T:T,MATCH(MAX($AC:$AC),$AC:$AC,0))</f>
        <v>1</v>
      </c>
      <c r="U2" s="118">
        <f>INDEX(U:U,MATCH(MAX($AC:$AC),$AC:$AC,0))</f>
        <v>4</v>
      </c>
      <c r="W2" s="41"/>
      <c r="Y2" s="43"/>
      <c r="Z2" s="140" t="s">
        <v>2</v>
      </c>
      <c r="AA2" s="140"/>
      <c r="AB2" s="140"/>
      <c r="AC2" s="121"/>
      <c r="AE2" s="125"/>
      <c r="AF2" s="126" t="s">
        <v>327</v>
      </c>
      <c r="AG2" s="127">
        <f>MAX(AS4:AS499)</f>
        <v>10.783999999999999</v>
      </c>
      <c r="AH2" s="128">
        <f>INDEX(AH:AH,MATCH(MAX($AS:$AS),$AS:$AS,0))</f>
        <v>14560</v>
      </c>
      <c r="AI2" s="128">
        <f t="shared" ref="AI2:AK2" si="1">INDEX(AI:AI,MATCH(MAX($AS:$AS),$AS:$AS,0))</f>
        <v>160</v>
      </c>
      <c r="AJ2" s="128">
        <f t="shared" si="1"/>
        <v>2</v>
      </c>
      <c r="AK2" s="128">
        <f t="shared" si="1"/>
        <v>2</v>
      </c>
      <c r="AL2" s="125"/>
      <c r="AM2" s="124"/>
      <c r="AN2" s="125"/>
      <c r="AO2" s="129"/>
      <c r="AP2" s="161" t="s">
        <v>1</v>
      </c>
      <c r="AQ2" s="161"/>
      <c r="AR2" s="161"/>
      <c r="AS2" s="124"/>
      <c r="AT2" s="124"/>
      <c r="AU2" s="125"/>
      <c r="AV2" s="126" t="s">
        <v>327</v>
      </c>
      <c r="AW2" s="127">
        <f>MAX(BI4:BI499)</f>
        <v>11.420999999999999</v>
      </c>
      <c r="AX2" s="128">
        <f>INDEX(AX:AX,MATCH(MAX($BI:$BI),$BI:$BI,0))</f>
        <v>14592</v>
      </c>
      <c r="AY2" s="128">
        <f t="shared" ref="AY2:BA2" si="2">INDEX(AY:AY,MATCH(MAX($BI:$BI),$BI:$BI,0))</f>
        <v>192</v>
      </c>
      <c r="AZ2" s="128">
        <f t="shared" si="2"/>
        <v>2</v>
      </c>
      <c r="BA2" s="128">
        <f t="shared" si="2"/>
        <v>2</v>
      </c>
      <c r="BB2" s="125"/>
      <c r="BC2" s="124"/>
      <c r="BD2" s="125"/>
      <c r="BE2" s="129"/>
      <c r="BF2" s="161" t="s">
        <v>2</v>
      </c>
      <c r="BG2" s="161"/>
      <c r="BH2" s="161"/>
      <c r="BI2" s="124"/>
    </row>
    <row r="3" spans="1:61" s="42" customFormat="1" ht="15" customHeight="1" x14ac:dyDescent="0.25">
      <c r="A3" s="40" t="s">
        <v>3</v>
      </c>
      <c r="B3" s="40" t="s">
        <v>4</v>
      </c>
      <c r="C3" s="40" t="s">
        <v>5</v>
      </c>
      <c r="D3" s="40" t="s">
        <v>6</v>
      </c>
      <c r="E3" s="40" t="s">
        <v>7</v>
      </c>
      <c r="F3" s="40" t="s">
        <v>8</v>
      </c>
      <c r="G3" s="40" t="s">
        <v>9</v>
      </c>
      <c r="H3" s="44" t="s">
        <v>10</v>
      </c>
      <c r="I3" s="40" t="s">
        <v>11</v>
      </c>
      <c r="J3" s="45" t="s">
        <v>9</v>
      </c>
      <c r="K3" s="40" t="s">
        <v>12</v>
      </c>
      <c r="L3" s="40" t="s">
        <v>13</v>
      </c>
      <c r="M3" s="40" t="s">
        <v>14</v>
      </c>
      <c r="N3" s="122" t="s">
        <v>15</v>
      </c>
      <c r="O3" s="44"/>
      <c r="P3" s="40" t="s">
        <v>3</v>
      </c>
      <c r="Q3" s="40" t="s">
        <v>4</v>
      </c>
      <c r="R3" s="40" t="s">
        <v>5</v>
      </c>
      <c r="S3" s="40" t="s">
        <v>6</v>
      </c>
      <c r="T3" s="40" t="s">
        <v>7</v>
      </c>
      <c r="U3" s="40" t="s">
        <v>8</v>
      </c>
      <c r="V3" s="40" t="s">
        <v>9</v>
      </c>
      <c r="W3" s="44" t="s">
        <v>10</v>
      </c>
      <c r="X3" s="40" t="s">
        <v>11</v>
      </c>
      <c r="Y3" s="45" t="s">
        <v>9</v>
      </c>
      <c r="Z3" s="40" t="s">
        <v>12</v>
      </c>
      <c r="AA3" s="40" t="s">
        <v>13</v>
      </c>
      <c r="AB3" s="40" t="s">
        <v>14</v>
      </c>
      <c r="AC3" s="122" t="s">
        <v>15</v>
      </c>
      <c r="AE3" s="123" t="s">
        <v>0</v>
      </c>
      <c r="AF3" s="123" t="s">
        <v>3</v>
      </c>
      <c r="AG3" s="123" t="s">
        <v>4</v>
      </c>
      <c r="AH3" s="123" t="s">
        <v>5</v>
      </c>
      <c r="AI3" s="123" t="s">
        <v>6</v>
      </c>
      <c r="AJ3" s="123" t="s">
        <v>7</v>
      </c>
      <c r="AK3" s="123" t="s">
        <v>8</v>
      </c>
      <c r="AL3" s="123" t="s">
        <v>9</v>
      </c>
      <c r="AM3" s="130" t="s">
        <v>10</v>
      </c>
      <c r="AN3" s="123" t="s">
        <v>11</v>
      </c>
      <c r="AO3" s="131" t="s">
        <v>9</v>
      </c>
      <c r="AP3" s="123" t="s">
        <v>12</v>
      </c>
      <c r="AQ3" s="123" t="s">
        <v>13</v>
      </c>
      <c r="AR3" s="123" t="s">
        <v>14</v>
      </c>
      <c r="AS3" s="130" t="s">
        <v>15</v>
      </c>
      <c r="AT3" s="130"/>
      <c r="AU3" s="123" t="s">
        <v>0</v>
      </c>
      <c r="AV3" s="123" t="s">
        <v>3</v>
      </c>
      <c r="AW3" s="123" t="s">
        <v>4</v>
      </c>
      <c r="AX3" s="123" t="s">
        <v>5</v>
      </c>
      <c r="AY3" s="123" t="s">
        <v>6</v>
      </c>
      <c r="AZ3" s="123" t="s">
        <v>7</v>
      </c>
      <c r="BA3" s="123" t="s">
        <v>8</v>
      </c>
      <c r="BB3" s="123" t="s">
        <v>9</v>
      </c>
      <c r="BC3" s="130" t="s">
        <v>10</v>
      </c>
      <c r="BD3" s="123" t="s">
        <v>11</v>
      </c>
      <c r="BE3" s="131" t="s">
        <v>9</v>
      </c>
      <c r="BF3" s="123" t="s">
        <v>12</v>
      </c>
      <c r="BG3" s="123" t="s">
        <v>13</v>
      </c>
      <c r="BH3" s="123" t="s">
        <v>14</v>
      </c>
      <c r="BI3" s="130" t="s">
        <v>15</v>
      </c>
    </row>
    <row r="4" spans="1:61" x14ac:dyDescent="0.25">
      <c r="A4">
        <v>0</v>
      </c>
      <c r="B4" t="s">
        <v>16</v>
      </c>
      <c r="C4">
        <v>13056</v>
      </c>
      <c r="D4">
        <v>32</v>
      </c>
      <c r="E4">
        <v>1</v>
      </c>
      <c r="F4">
        <v>4</v>
      </c>
      <c r="G4">
        <v>165.78</v>
      </c>
      <c r="H4" s="139">
        <v>8.9512999999999998</v>
      </c>
      <c r="I4" s="33">
        <v>45608</v>
      </c>
      <c r="J4" s="37">
        <v>0.30876157407407406</v>
      </c>
      <c r="K4">
        <v>0</v>
      </c>
      <c r="L4">
        <v>0</v>
      </c>
      <c r="M4">
        <v>0</v>
      </c>
      <c r="N4" s="30">
        <f>AVERAGE(H4:H8)</f>
        <v>8.9505400000000002</v>
      </c>
      <c r="P4">
        <v>0</v>
      </c>
      <c r="Q4" t="s">
        <v>16</v>
      </c>
      <c r="R4">
        <v>13056</v>
      </c>
      <c r="S4">
        <v>32</v>
      </c>
      <c r="T4">
        <v>1</v>
      </c>
      <c r="U4">
        <v>4</v>
      </c>
      <c r="V4">
        <v>143.22</v>
      </c>
      <c r="W4" s="139">
        <v>10.361000000000001</v>
      </c>
      <c r="X4" s="33">
        <v>45608</v>
      </c>
      <c r="Y4" s="37">
        <v>0.30922453703703706</v>
      </c>
      <c r="Z4">
        <v>0</v>
      </c>
      <c r="AA4">
        <v>0</v>
      </c>
      <c r="AB4">
        <v>0</v>
      </c>
      <c r="AC4" s="30">
        <f>AVERAGE(W4:W8)</f>
        <v>10.349599999999999</v>
      </c>
      <c r="AD4" s="17"/>
      <c r="AF4" s="125">
        <v>0</v>
      </c>
      <c r="AG4" s="125" t="s">
        <v>16</v>
      </c>
      <c r="AH4" s="125">
        <v>13056</v>
      </c>
      <c r="AI4" s="125">
        <v>64</v>
      </c>
      <c r="AJ4" s="125">
        <v>1</v>
      </c>
      <c r="AK4" s="125">
        <v>4</v>
      </c>
      <c r="AL4" s="125">
        <v>149.04</v>
      </c>
      <c r="AM4" s="124">
        <v>9.9565000000000001</v>
      </c>
      <c r="AN4" s="132">
        <v>45313</v>
      </c>
      <c r="AO4" s="129">
        <v>0.74716435185185182</v>
      </c>
      <c r="AP4" s="125">
        <v>0</v>
      </c>
      <c r="AQ4" s="125">
        <v>0</v>
      </c>
      <c r="AR4" s="125">
        <v>0</v>
      </c>
      <c r="AS4" s="134">
        <f>AVERAGE(AM4:AM8)</f>
        <v>9.9540199999999999</v>
      </c>
      <c r="AT4" s="130"/>
      <c r="AV4" s="125">
        <v>0</v>
      </c>
      <c r="AW4" s="125" t="s">
        <v>16</v>
      </c>
      <c r="AX4" s="125">
        <v>13056</v>
      </c>
      <c r="AY4" s="125">
        <v>64</v>
      </c>
      <c r="AZ4" s="125">
        <v>1</v>
      </c>
      <c r="BA4" s="125">
        <v>4</v>
      </c>
      <c r="BB4" s="125">
        <v>132.83000000000001</v>
      </c>
      <c r="BC4" s="124">
        <v>11.170999999999999</v>
      </c>
      <c r="BD4" s="132">
        <v>45313</v>
      </c>
      <c r="BE4" s="129">
        <v>0.74952546296296296</v>
      </c>
      <c r="BF4" s="125">
        <v>0</v>
      </c>
      <c r="BG4" s="125">
        <v>0</v>
      </c>
      <c r="BH4" s="125">
        <v>0</v>
      </c>
      <c r="BI4" s="133">
        <f>AVERAGE(BC4:BC8)</f>
        <v>11.182200000000002</v>
      </c>
    </row>
    <row r="5" spans="1:61" x14ac:dyDescent="0.25">
      <c r="A5">
        <v>1</v>
      </c>
      <c r="B5" t="s">
        <v>16</v>
      </c>
      <c r="C5">
        <v>13056</v>
      </c>
      <c r="D5">
        <v>32</v>
      </c>
      <c r="E5">
        <v>1</v>
      </c>
      <c r="F5">
        <v>4</v>
      </c>
      <c r="G5">
        <v>165.66</v>
      </c>
      <c r="H5" s="139">
        <v>8.9579000000000004</v>
      </c>
      <c r="I5" s="33">
        <v>45608</v>
      </c>
      <c r="J5" s="37">
        <v>0.36251157407407408</v>
      </c>
      <c r="K5">
        <v>0</v>
      </c>
      <c r="L5">
        <v>0</v>
      </c>
      <c r="M5">
        <v>0</v>
      </c>
      <c r="N5" s="30">
        <f>N4</f>
        <v>8.9505400000000002</v>
      </c>
      <c r="P5">
        <v>1</v>
      </c>
      <c r="Q5" t="s">
        <v>16</v>
      </c>
      <c r="R5">
        <v>13056</v>
      </c>
      <c r="S5">
        <v>32</v>
      </c>
      <c r="T5">
        <v>1</v>
      </c>
      <c r="U5">
        <v>4</v>
      </c>
      <c r="V5">
        <v>142.97999999999999</v>
      </c>
      <c r="W5" s="139">
        <v>10.378</v>
      </c>
      <c r="X5" s="33">
        <v>45608</v>
      </c>
      <c r="Y5" s="37">
        <v>0.39630787037037035</v>
      </c>
      <c r="Z5">
        <v>0</v>
      </c>
      <c r="AA5">
        <v>0</v>
      </c>
      <c r="AB5">
        <v>0</v>
      </c>
      <c r="AC5" s="30">
        <f>AC4</f>
        <v>10.349599999999999</v>
      </c>
      <c r="AD5" s="17"/>
      <c r="AF5" s="125">
        <v>1</v>
      </c>
      <c r="AG5" s="125" t="s">
        <v>16</v>
      </c>
      <c r="AH5" s="125">
        <v>13056</v>
      </c>
      <c r="AI5" s="125">
        <v>64</v>
      </c>
      <c r="AJ5" s="125">
        <v>1</v>
      </c>
      <c r="AK5" s="125">
        <v>4</v>
      </c>
      <c r="AL5" s="125">
        <v>149.07</v>
      </c>
      <c r="AM5" s="124">
        <v>9.9542999999999999</v>
      </c>
      <c r="AN5" s="132">
        <v>45313</v>
      </c>
      <c r="AO5" s="129">
        <v>0.79891203703703706</v>
      </c>
      <c r="AP5" s="125">
        <v>0</v>
      </c>
      <c r="AQ5" s="125">
        <v>0</v>
      </c>
      <c r="AR5" s="125">
        <v>0</v>
      </c>
      <c r="AS5" s="134">
        <f>AS4</f>
        <v>9.9540199999999999</v>
      </c>
      <c r="AT5" s="123"/>
      <c r="AV5" s="125">
        <v>1</v>
      </c>
      <c r="AW5" s="125" t="s">
        <v>16</v>
      </c>
      <c r="AX5" s="125">
        <v>13056</v>
      </c>
      <c r="AY5" s="125">
        <v>64</v>
      </c>
      <c r="AZ5" s="125">
        <v>1</v>
      </c>
      <c r="BA5" s="125">
        <v>4</v>
      </c>
      <c r="BB5" s="125">
        <v>132.74</v>
      </c>
      <c r="BC5" s="124">
        <v>11.179</v>
      </c>
      <c r="BD5" s="132">
        <v>45313</v>
      </c>
      <c r="BE5" s="129">
        <v>0.80825231481481474</v>
      </c>
      <c r="BF5" s="125">
        <v>0</v>
      </c>
      <c r="BG5" s="125">
        <v>0</v>
      </c>
      <c r="BH5" s="125">
        <v>0</v>
      </c>
      <c r="BI5" s="133">
        <f>BI4</f>
        <v>11.182200000000002</v>
      </c>
    </row>
    <row r="6" spans="1:61" x14ac:dyDescent="0.25">
      <c r="A6">
        <v>2</v>
      </c>
      <c r="B6" t="s">
        <v>16</v>
      </c>
      <c r="C6">
        <v>13056</v>
      </c>
      <c r="D6">
        <v>32</v>
      </c>
      <c r="E6">
        <v>1</v>
      </c>
      <c r="F6">
        <v>4</v>
      </c>
      <c r="G6">
        <v>165.81</v>
      </c>
      <c r="H6" s="139">
        <v>8.9497</v>
      </c>
      <c r="I6" s="33">
        <v>45608</v>
      </c>
      <c r="J6" s="37">
        <v>0.41622685185185188</v>
      </c>
      <c r="K6">
        <v>0</v>
      </c>
      <c r="L6">
        <v>0</v>
      </c>
      <c r="M6">
        <v>0</v>
      </c>
      <c r="N6" s="30">
        <f t="shared" ref="N6:N8" si="3">N5</f>
        <v>8.9505400000000002</v>
      </c>
      <c r="P6">
        <v>2</v>
      </c>
      <c r="Q6" t="s">
        <v>16</v>
      </c>
      <c r="R6">
        <v>13056</v>
      </c>
      <c r="S6">
        <v>32</v>
      </c>
      <c r="T6">
        <v>1</v>
      </c>
      <c r="U6">
        <v>4</v>
      </c>
      <c r="V6">
        <v>143.5</v>
      </c>
      <c r="W6" s="139">
        <v>10.340999999999999</v>
      </c>
      <c r="X6" s="33">
        <v>45608</v>
      </c>
      <c r="Y6" s="37">
        <v>0.45611111111111113</v>
      </c>
      <c r="Z6">
        <v>0</v>
      </c>
      <c r="AA6">
        <v>0</v>
      </c>
      <c r="AB6">
        <v>0</v>
      </c>
      <c r="AC6" s="30">
        <f t="shared" ref="AC6:AC8" si="4">AC5</f>
        <v>10.349599999999999</v>
      </c>
      <c r="AD6" s="17"/>
      <c r="AF6" s="125">
        <v>2</v>
      </c>
      <c r="AG6" s="125" t="s">
        <v>16</v>
      </c>
      <c r="AH6" s="125">
        <v>13056</v>
      </c>
      <c r="AI6" s="125">
        <v>64</v>
      </c>
      <c r="AJ6" s="125">
        <v>1</v>
      </c>
      <c r="AK6" s="125">
        <v>4</v>
      </c>
      <c r="AL6" s="125">
        <v>149.08000000000001</v>
      </c>
      <c r="AM6" s="124">
        <v>9.9537999999999993</v>
      </c>
      <c r="AN6" s="132">
        <v>45313</v>
      </c>
      <c r="AO6" s="129">
        <v>0.85063657407407411</v>
      </c>
      <c r="AP6" s="125">
        <v>0</v>
      </c>
      <c r="AQ6" s="125">
        <v>0</v>
      </c>
      <c r="AR6" s="125">
        <v>0</v>
      </c>
      <c r="AS6" s="134">
        <f t="shared" ref="AS6:AS8" si="5">AS5</f>
        <v>9.9540199999999999</v>
      </c>
      <c r="AT6" s="123"/>
      <c r="AV6" s="125">
        <v>2</v>
      </c>
      <c r="AW6" s="125" t="s">
        <v>16</v>
      </c>
      <c r="AX6" s="125">
        <v>13056</v>
      </c>
      <c r="AY6" s="125">
        <v>64</v>
      </c>
      <c r="AZ6" s="125">
        <v>1</v>
      </c>
      <c r="BA6" s="125">
        <v>4</v>
      </c>
      <c r="BB6" s="125">
        <v>132.76</v>
      </c>
      <c r="BC6" s="124">
        <v>11.178000000000001</v>
      </c>
      <c r="BD6" s="132">
        <v>45313</v>
      </c>
      <c r="BE6" s="129">
        <v>0.8669675925925926</v>
      </c>
      <c r="BF6" s="125">
        <v>0</v>
      </c>
      <c r="BG6" s="125">
        <v>0</v>
      </c>
      <c r="BH6" s="125">
        <v>0</v>
      </c>
      <c r="BI6" s="133">
        <f t="shared" ref="BI6:BI8" si="6">BI5</f>
        <v>11.182200000000002</v>
      </c>
    </row>
    <row r="7" spans="1:61" x14ac:dyDescent="0.25">
      <c r="A7">
        <v>3</v>
      </c>
      <c r="B7" t="s">
        <v>16</v>
      </c>
      <c r="C7">
        <v>13056</v>
      </c>
      <c r="D7">
        <v>32</v>
      </c>
      <c r="E7">
        <v>1</v>
      </c>
      <c r="F7">
        <v>4</v>
      </c>
      <c r="G7">
        <v>165.71</v>
      </c>
      <c r="H7" s="139">
        <v>8.9552999999999994</v>
      </c>
      <c r="I7" s="33">
        <v>45608</v>
      </c>
      <c r="J7" s="37">
        <v>0.46994212962962961</v>
      </c>
      <c r="K7">
        <v>0</v>
      </c>
      <c r="L7">
        <v>0</v>
      </c>
      <c r="M7">
        <v>0</v>
      </c>
      <c r="N7" s="30">
        <f t="shared" si="3"/>
        <v>8.9505400000000002</v>
      </c>
      <c r="P7">
        <v>3</v>
      </c>
      <c r="Q7" t="s">
        <v>16</v>
      </c>
      <c r="R7">
        <v>13056</v>
      </c>
      <c r="S7">
        <v>32</v>
      </c>
      <c r="T7">
        <v>1</v>
      </c>
      <c r="U7">
        <v>4</v>
      </c>
      <c r="V7">
        <v>143.57</v>
      </c>
      <c r="W7" s="139">
        <v>10.336</v>
      </c>
      <c r="X7" s="33">
        <v>45608</v>
      </c>
      <c r="Y7" s="37">
        <v>0.56495370370370368</v>
      </c>
      <c r="Z7">
        <v>0</v>
      </c>
      <c r="AA7">
        <v>0</v>
      </c>
      <c r="AB7">
        <v>0</v>
      </c>
      <c r="AC7" s="30">
        <f t="shared" si="4"/>
        <v>10.349599999999999</v>
      </c>
      <c r="AD7" s="17"/>
      <c r="AF7" s="125">
        <v>3</v>
      </c>
      <c r="AG7" s="125" t="s">
        <v>16</v>
      </c>
      <c r="AH7" s="125">
        <v>13056</v>
      </c>
      <c r="AI7" s="125">
        <v>64</v>
      </c>
      <c r="AJ7" s="125">
        <v>1</v>
      </c>
      <c r="AK7" s="125">
        <v>4</v>
      </c>
      <c r="AL7" s="125">
        <v>149.13999999999999</v>
      </c>
      <c r="AM7" s="124">
        <v>9.9497</v>
      </c>
      <c r="AN7" s="132">
        <v>45313</v>
      </c>
      <c r="AO7" s="129">
        <v>0.90236111111111106</v>
      </c>
      <c r="AP7" s="125">
        <v>0</v>
      </c>
      <c r="AQ7" s="125">
        <v>0</v>
      </c>
      <c r="AR7" s="125">
        <v>0</v>
      </c>
      <c r="AS7" s="134">
        <f t="shared" si="5"/>
        <v>9.9540199999999999</v>
      </c>
      <c r="AT7" s="123"/>
      <c r="AV7" s="125">
        <v>3</v>
      </c>
      <c r="AW7" s="125" t="s">
        <v>16</v>
      </c>
      <c r="AX7" s="125">
        <v>13056</v>
      </c>
      <c r="AY7" s="125">
        <v>64</v>
      </c>
      <c r="AZ7" s="125">
        <v>1</v>
      </c>
      <c r="BA7" s="125">
        <v>4</v>
      </c>
      <c r="BB7" s="125">
        <v>132.52000000000001</v>
      </c>
      <c r="BC7" s="124">
        <v>11.198</v>
      </c>
      <c r="BD7" s="132">
        <v>45313</v>
      </c>
      <c r="BE7" s="129">
        <v>0.92568287037037045</v>
      </c>
      <c r="BF7" s="125">
        <v>0</v>
      </c>
      <c r="BG7" s="125">
        <v>0</v>
      </c>
      <c r="BH7" s="125">
        <v>0</v>
      </c>
      <c r="BI7" s="133">
        <f t="shared" si="6"/>
        <v>11.182200000000002</v>
      </c>
    </row>
    <row r="8" spans="1:61" x14ac:dyDescent="0.25">
      <c r="A8">
        <v>4</v>
      </c>
      <c r="B8" t="s">
        <v>16</v>
      </c>
      <c r="C8">
        <v>13056</v>
      </c>
      <c r="D8">
        <v>32</v>
      </c>
      <c r="E8">
        <v>1</v>
      </c>
      <c r="F8">
        <v>4</v>
      </c>
      <c r="G8">
        <v>166.02</v>
      </c>
      <c r="H8" s="139">
        <v>8.9384999999999994</v>
      </c>
      <c r="I8" s="33">
        <v>45608</v>
      </c>
      <c r="J8" s="37">
        <v>0.57208333333333339</v>
      </c>
      <c r="K8">
        <v>0</v>
      </c>
      <c r="L8">
        <v>0</v>
      </c>
      <c r="M8">
        <v>0</v>
      </c>
      <c r="N8" s="30">
        <f t="shared" si="3"/>
        <v>8.9505400000000002</v>
      </c>
      <c r="P8">
        <v>4</v>
      </c>
      <c r="Q8" t="s">
        <v>16</v>
      </c>
      <c r="R8">
        <v>13056</v>
      </c>
      <c r="S8">
        <v>32</v>
      </c>
      <c r="T8">
        <v>1</v>
      </c>
      <c r="U8">
        <v>4</v>
      </c>
      <c r="V8">
        <v>143.63</v>
      </c>
      <c r="W8" s="139">
        <v>10.332000000000001</v>
      </c>
      <c r="X8" s="33">
        <v>45608</v>
      </c>
      <c r="Y8" s="37">
        <v>0.62480324074074078</v>
      </c>
      <c r="Z8">
        <v>0</v>
      </c>
      <c r="AA8">
        <v>0</v>
      </c>
      <c r="AB8">
        <v>0</v>
      </c>
      <c r="AC8" s="30">
        <f t="shared" si="4"/>
        <v>10.349599999999999</v>
      </c>
      <c r="AD8" s="17"/>
      <c r="AF8" s="125">
        <v>4</v>
      </c>
      <c r="AG8" s="125" t="s">
        <v>16</v>
      </c>
      <c r="AH8" s="125">
        <v>13056</v>
      </c>
      <c r="AI8" s="125">
        <v>64</v>
      </c>
      <c r="AJ8" s="125">
        <v>1</v>
      </c>
      <c r="AK8" s="125">
        <v>4</v>
      </c>
      <c r="AL8" s="125">
        <v>149.05000000000001</v>
      </c>
      <c r="AM8" s="124">
        <v>9.9558</v>
      </c>
      <c r="AN8" s="132">
        <v>45313</v>
      </c>
      <c r="AO8" s="129">
        <v>0.95409722222222226</v>
      </c>
      <c r="AP8" s="125">
        <v>0</v>
      </c>
      <c r="AQ8" s="125">
        <v>0</v>
      </c>
      <c r="AR8" s="125">
        <v>0</v>
      </c>
      <c r="AS8" s="134">
        <f t="shared" si="5"/>
        <v>9.9540199999999999</v>
      </c>
      <c r="AT8" s="123"/>
      <c r="AV8" s="125">
        <v>4</v>
      </c>
      <c r="AW8" s="125" t="s">
        <v>16</v>
      </c>
      <c r="AX8" s="125">
        <v>13056</v>
      </c>
      <c r="AY8" s="125">
        <v>64</v>
      </c>
      <c r="AZ8" s="125">
        <v>1</v>
      </c>
      <c r="BA8" s="125">
        <v>4</v>
      </c>
      <c r="BB8" s="125">
        <v>132.66999999999999</v>
      </c>
      <c r="BC8" s="124">
        <v>11.185</v>
      </c>
      <c r="BD8" s="132">
        <v>45313</v>
      </c>
      <c r="BE8" s="129">
        <v>0.98440972222222223</v>
      </c>
      <c r="BF8" s="125">
        <v>0</v>
      </c>
      <c r="BG8" s="125">
        <v>0</v>
      </c>
      <c r="BH8" s="125">
        <v>0</v>
      </c>
      <c r="BI8" s="133">
        <f t="shared" si="6"/>
        <v>11.182200000000002</v>
      </c>
    </row>
    <row r="9" spans="1:61" x14ac:dyDescent="0.25">
      <c r="A9">
        <v>0</v>
      </c>
      <c r="B9" t="s">
        <v>16</v>
      </c>
      <c r="C9">
        <v>13824</v>
      </c>
      <c r="D9">
        <v>32</v>
      </c>
      <c r="E9">
        <v>1</v>
      </c>
      <c r="F9">
        <v>4</v>
      </c>
      <c r="G9">
        <v>218.81</v>
      </c>
      <c r="H9" s="139">
        <v>8.0503</v>
      </c>
      <c r="I9" s="33">
        <v>45608</v>
      </c>
      <c r="J9" s="37">
        <v>0.32436342592592593</v>
      </c>
      <c r="K9">
        <v>0</v>
      </c>
      <c r="L9">
        <v>0</v>
      </c>
      <c r="M9">
        <v>0</v>
      </c>
      <c r="N9" s="30">
        <f>AVERAGE(H9:H13)</f>
        <v>8.0471600000000016</v>
      </c>
      <c r="P9">
        <v>0</v>
      </c>
      <c r="Q9" t="s">
        <v>16</v>
      </c>
      <c r="R9">
        <v>13824</v>
      </c>
      <c r="S9">
        <v>32</v>
      </c>
      <c r="T9">
        <v>1</v>
      </c>
      <c r="U9">
        <v>4</v>
      </c>
      <c r="V9">
        <v>182.88</v>
      </c>
      <c r="W9" s="139">
        <v>9.6318999999999999</v>
      </c>
      <c r="X9" s="33">
        <v>45608</v>
      </c>
      <c r="Y9" s="37">
        <v>0.35401620370370368</v>
      </c>
      <c r="Z9">
        <v>0</v>
      </c>
      <c r="AA9">
        <v>0</v>
      </c>
      <c r="AB9">
        <v>0</v>
      </c>
      <c r="AC9" s="30">
        <f>AVERAGE(W9:W13)</f>
        <v>9.6231600000000004</v>
      </c>
      <c r="AD9" s="17"/>
      <c r="AF9" s="125">
        <v>0</v>
      </c>
      <c r="AG9" s="125" t="s">
        <v>16</v>
      </c>
      <c r="AH9" s="125">
        <v>13824</v>
      </c>
      <c r="AI9" s="125">
        <v>64</v>
      </c>
      <c r="AJ9" s="125">
        <v>1</v>
      </c>
      <c r="AK9" s="125">
        <v>4</v>
      </c>
      <c r="AL9" s="125">
        <v>195.75</v>
      </c>
      <c r="AM9" s="124">
        <v>8.9985999999999997</v>
      </c>
      <c r="AN9" s="132">
        <v>45313</v>
      </c>
      <c r="AO9" s="129">
        <v>0.76209490740740737</v>
      </c>
      <c r="AP9" s="125">
        <v>0</v>
      </c>
      <c r="AQ9" s="125">
        <v>0</v>
      </c>
      <c r="AR9" s="125">
        <v>0</v>
      </c>
      <c r="AS9" s="134">
        <f>AVERAGE(AM9:AM13)</f>
        <v>8.9902200000000008</v>
      </c>
      <c r="AT9" s="130"/>
      <c r="AV9" s="125">
        <v>0</v>
      </c>
      <c r="AW9" s="125" t="s">
        <v>16</v>
      </c>
      <c r="AX9" s="125">
        <v>13824</v>
      </c>
      <c r="AY9" s="125">
        <v>64</v>
      </c>
      <c r="AZ9" s="125">
        <v>1</v>
      </c>
      <c r="BA9" s="125">
        <v>4</v>
      </c>
      <c r="BB9" s="125">
        <v>167.08</v>
      </c>
      <c r="BC9" s="124">
        <v>10.542999999999999</v>
      </c>
      <c r="BD9" s="132">
        <v>45313</v>
      </c>
      <c r="BE9" s="129">
        <v>0.76662037037037034</v>
      </c>
      <c r="BF9" s="125">
        <v>0</v>
      </c>
      <c r="BG9" s="125">
        <v>0</v>
      </c>
      <c r="BH9" s="125">
        <v>0</v>
      </c>
      <c r="BI9" s="133">
        <f t="shared" ref="BI9" si="7">AVERAGE(BC9:BC13)</f>
        <v>10.568200000000001</v>
      </c>
    </row>
    <row r="10" spans="1:61" x14ac:dyDescent="0.25">
      <c r="A10">
        <v>1</v>
      </c>
      <c r="B10" t="s">
        <v>16</v>
      </c>
      <c r="C10">
        <v>13824</v>
      </c>
      <c r="D10">
        <v>32</v>
      </c>
      <c r="E10">
        <v>1</v>
      </c>
      <c r="F10">
        <v>4</v>
      </c>
      <c r="G10">
        <v>218.91</v>
      </c>
      <c r="H10" s="139">
        <v>8.0465</v>
      </c>
      <c r="I10" s="33">
        <v>45608</v>
      </c>
      <c r="J10" s="37">
        <v>0.37812499999999999</v>
      </c>
      <c r="K10">
        <v>0</v>
      </c>
      <c r="L10">
        <v>0</v>
      </c>
      <c r="M10">
        <v>0</v>
      </c>
      <c r="N10" s="30">
        <f>N9</f>
        <v>8.0471600000000016</v>
      </c>
      <c r="P10">
        <v>1</v>
      </c>
      <c r="Q10" t="s">
        <v>16</v>
      </c>
      <c r="R10">
        <v>13824</v>
      </c>
      <c r="S10">
        <v>32</v>
      </c>
      <c r="T10">
        <v>1</v>
      </c>
      <c r="U10">
        <v>4</v>
      </c>
      <c r="V10">
        <v>183.98</v>
      </c>
      <c r="W10" s="139">
        <v>9.5744000000000007</v>
      </c>
      <c r="X10" s="33">
        <v>45608</v>
      </c>
      <c r="Y10" s="37">
        <v>0.41379629629629627</v>
      </c>
      <c r="Z10">
        <v>0</v>
      </c>
      <c r="AA10">
        <v>0</v>
      </c>
      <c r="AB10">
        <v>0</v>
      </c>
      <c r="AC10" s="30">
        <f>AC9</f>
        <v>9.6231600000000004</v>
      </c>
      <c r="AD10" s="17"/>
      <c r="AF10" s="125">
        <v>1</v>
      </c>
      <c r="AG10" s="125" t="s">
        <v>16</v>
      </c>
      <c r="AH10" s="125">
        <v>13824</v>
      </c>
      <c r="AI10" s="125">
        <v>64</v>
      </c>
      <c r="AJ10" s="125">
        <v>1</v>
      </c>
      <c r="AK10" s="125">
        <v>4</v>
      </c>
      <c r="AL10" s="125">
        <v>195.7</v>
      </c>
      <c r="AM10" s="124">
        <v>9.0012000000000008</v>
      </c>
      <c r="AN10" s="132">
        <v>45313</v>
      </c>
      <c r="AO10" s="129">
        <v>0.81384259259259262</v>
      </c>
      <c r="AP10" s="125">
        <v>0</v>
      </c>
      <c r="AQ10" s="125">
        <v>0</v>
      </c>
      <c r="AR10" s="125">
        <v>0</v>
      </c>
      <c r="AS10" s="134">
        <f>AS9</f>
        <v>8.9902200000000008</v>
      </c>
      <c r="AT10" s="123"/>
      <c r="AV10" s="125">
        <v>1</v>
      </c>
      <c r="AW10" s="125" t="s">
        <v>16</v>
      </c>
      <c r="AX10" s="125">
        <v>13824</v>
      </c>
      <c r="AY10" s="125">
        <v>64</v>
      </c>
      <c r="AZ10" s="125">
        <v>1</v>
      </c>
      <c r="BA10" s="125">
        <v>4</v>
      </c>
      <c r="BB10" s="125">
        <v>165.94</v>
      </c>
      <c r="BC10" s="124">
        <v>10.615</v>
      </c>
      <c r="BD10" s="132">
        <v>45313</v>
      </c>
      <c r="BE10" s="129">
        <v>0.82533564814814808</v>
      </c>
      <c r="BF10" s="125">
        <v>0</v>
      </c>
      <c r="BG10" s="125">
        <v>0</v>
      </c>
      <c r="BH10" s="125">
        <v>0</v>
      </c>
      <c r="BI10" s="133">
        <f t="shared" ref="BI10:BI73" si="8">BI9</f>
        <v>10.568200000000001</v>
      </c>
    </row>
    <row r="11" spans="1:61" x14ac:dyDescent="0.25">
      <c r="A11">
        <v>2</v>
      </c>
      <c r="B11" t="s">
        <v>16</v>
      </c>
      <c r="C11">
        <v>13824</v>
      </c>
      <c r="D11">
        <v>32</v>
      </c>
      <c r="E11">
        <v>1</v>
      </c>
      <c r="F11">
        <v>4</v>
      </c>
      <c r="G11">
        <v>218.82</v>
      </c>
      <c r="H11" s="139">
        <v>8.0497999999999994</v>
      </c>
      <c r="I11" s="33">
        <v>45608</v>
      </c>
      <c r="J11" s="37">
        <v>0.43181712962962965</v>
      </c>
      <c r="K11">
        <v>0</v>
      </c>
      <c r="L11">
        <v>0</v>
      </c>
      <c r="M11">
        <v>0</v>
      </c>
      <c r="N11" s="30">
        <f t="shared" ref="N11:N13" si="9">N10</f>
        <v>8.0471600000000016</v>
      </c>
      <c r="P11">
        <v>2</v>
      </c>
      <c r="Q11" t="s">
        <v>16</v>
      </c>
      <c r="R11">
        <v>13824</v>
      </c>
      <c r="S11">
        <v>32</v>
      </c>
      <c r="T11">
        <v>1</v>
      </c>
      <c r="U11">
        <v>4</v>
      </c>
      <c r="V11">
        <v>182.61</v>
      </c>
      <c r="W11" s="139">
        <v>9.6461000000000006</v>
      </c>
      <c r="X11" s="33">
        <v>45608</v>
      </c>
      <c r="Y11" s="37">
        <v>0.47359953703703705</v>
      </c>
      <c r="Z11">
        <v>0</v>
      </c>
      <c r="AA11">
        <v>0</v>
      </c>
      <c r="AB11">
        <v>0</v>
      </c>
      <c r="AC11" s="30">
        <f t="shared" ref="AC11:AC13" si="10">AC10</f>
        <v>9.6231600000000004</v>
      </c>
      <c r="AD11" s="17"/>
      <c r="AF11" s="125">
        <v>2</v>
      </c>
      <c r="AG11" s="125" t="s">
        <v>16</v>
      </c>
      <c r="AH11" s="125">
        <v>13824</v>
      </c>
      <c r="AI11" s="125">
        <v>64</v>
      </c>
      <c r="AJ11" s="125">
        <v>1</v>
      </c>
      <c r="AK11" s="125">
        <v>4</v>
      </c>
      <c r="AL11" s="125">
        <v>196.16</v>
      </c>
      <c r="AM11" s="124">
        <v>8.98</v>
      </c>
      <c r="AN11" s="132">
        <v>45313</v>
      </c>
      <c r="AO11" s="129">
        <v>0.8655787037037036</v>
      </c>
      <c r="AP11" s="125">
        <v>0</v>
      </c>
      <c r="AQ11" s="125">
        <v>0</v>
      </c>
      <c r="AR11" s="125">
        <v>0</v>
      </c>
      <c r="AS11" s="134">
        <f t="shared" ref="AS11:AS13" si="11">AS10</f>
        <v>8.9902200000000008</v>
      </c>
      <c r="AT11" s="123"/>
      <c r="AV11" s="125">
        <v>2</v>
      </c>
      <c r="AW11" s="125" t="s">
        <v>16</v>
      </c>
      <c r="AX11" s="125">
        <v>13824</v>
      </c>
      <c r="AY11" s="125">
        <v>64</v>
      </c>
      <c r="AZ11" s="125">
        <v>1</v>
      </c>
      <c r="BA11" s="125">
        <v>4</v>
      </c>
      <c r="BB11" s="125">
        <v>166.31</v>
      </c>
      <c r="BC11" s="124">
        <v>10.592000000000001</v>
      </c>
      <c r="BD11" s="132">
        <v>45313</v>
      </c>
      <c r="BE11" s="129">
        <v>0.88405092592592593</v>
      </c>
      <c r="BF11" s="125">
        <v>0</v>
      </c>
      <c r="BG11" s="125">
        <v>0</v>
      </c>
      <c r="BH11" s="125">
        <v>0</v>
      </c>
      <c r="BI11" s="133">
        <f t="shared" si="8"/>
        <v>10.568200000000001</v>
      </c>
    </row>
    <row r="12" spans="1:61" x14ac:dyDescent="0.25">
      <c r="A12">
        <v>3</v>
      </c>
      <c r="B12" t="s">
        <v>16</v>
      </c>
      <c r="C12">
        <v>13824</v>
      </c>
      <c r="D12">
        <v>32</v>
      </c>
      <c r="E12">
        <v>1</v>
      </c>
      <c r="F12">
        <v>4</v>
      </c>
      <c r="G12">
        <v>218.94</v>
      </c>
      <c r="H12" s="139">
        <v>8.0457000000000001</v>
      </c>
      <c r="I12" s="33">
        <v>45608</v>
      </c>
      <c r="J12" s="37">
        <v>0.48553240740740738</v>
      </c>
      <c r="K12">
        <v>0</v>
      </c>
      <c r="L12">
        <v>0</v>
      </c>
      <c r="M12">
        <v>0</v>
      </c>
      <c r="N12" s="30">
        <f t="shared" si="9"/>
        <v>8.0471600000000016</v>
      </c>
      <c r="P12">
        <v>3</v>
      </c>
      <c r="Q12" t="s">
        <v>16</v>
      </c>
      <c r="R12">
        <v>13824</v>
      </c>
      <c r="S12">
        <v>32</v>
      </c>
      <c r="T12">
        <v>1</v>
      </c>
      <c r="U12">
        <v>4</v>
      </c>
      <c r="V12">
        <v>183.02</v>
      </c>
      <c r="W12" s="139">
        <v>9.6244999999999994</v>
      </c>
      <c r="X12" s="33">
        <v>45608</v>
      </c>
      <c r="Y12" s="37">
        <v>0.58243055555555556</v>
      </c>
      <c r="Z12">
        <v>0</v>
      </c>
      <c r="AA12">
        <v>0</v>
      </c>
      <c r="AB12">
        <v>0</v>
      </c>
      <c r="AC12" s="30">
        <f t="shared" si="10"/>
        <v>9.6231600000000004</v>
      </c>
      <c r="AD12" s="17"/>
      <c r="AF12" s="125">
        <v>3</v>
      </c>
      <c r="AG12" s="125" t="s">
        <v>16</v>
      </c>
      <c r="AH12" s="125">
        <v>13824</v>
      </c>
      <c r="AI12" s="125">
        <v>64</v>
      </c>
      <c r="AJ12" s="125">
        <v>1</v>
      </c>
      <c r="AK12" s="125">
        <v>4</v>
      </c>
      <c r="AL12" s="125">
        <v>196.15</v>
      </c>
      <c r="AM12" s="124">
        <v>8.9804999999999993</v>
      </c>
      <c r="AN12" s="132">
        <v>45313</v>
      </c>
      <c r="AO12" s="129">
        <v>0.91730324074074077</v>
      </c>
      <c r="AP12" s="125">
        <v>0</v>
      </c>
      <c r="AQ12" s="125">
        <v>0</v>
      </c>
      <c r="AR12" s="125">
        <v>0</v>
      </c>
      <c r="AS12" s="134">
        <f t="shared" si="11"/>
        <v>8.9902200000000008</v>
      </c>
      <c r="AT12" s="123"/>
      <c r="AV12" s="125">
        <v>3</v>
      </c>
      <c r="AW12" s="125" t="s">
        <v>16</v>
      </c>
      <c r="AX12" s="125">
        <v>13824</v>
      </c>
      <c r="AY12" s="125">
        <v>64</v>
      </c>
      <c r="AZ12" s="125">
        <v>1</v>
      </c>
      <c r="BA12" s="125">
        <v>4</v>
      </c>
      <c r="BB12" s="125">
        <v>167.38</v>
      </c>
      <c r="BC12" s="124">
        <v>10.523999999999999</v>
      </c>
      <c r="BD12" s="132">
        <v>45313</v>
      </c>
      <c r="BE12" s="129">
        <v>0.94277777777777771</v>
      </c>
      <c r="BF12" s="125">
        <v>0</v>
      </c>
      <c r="BG12" s="125">
        <v>0</v>
      </c>
      <c r="BH12" s="125">
        <v>0</v>
      </c>
      <c r="BI12" s="133">
        <f t="shared" si="8"/>
        <v>10.568200000000001</v>
      </c>
    </row>
    <row r="13" spans="1:61" x14ac:dyDescent="0.25">
      <c r="A13">
        <v>4</v>
      </c>
      <c r="B13" t="s">
        <v>16</v>
      </c>
      <c r="C13">
        <v>13824</v>
      </c>
      <c r="D13">
        <v>32</v>
      </c>
      <c r="E13">
        <v>1</v>
      </c>
      <c r="F13">
        <v>4</v>
      </c>
      <c r="G13">
        <v>219</v>
      </c>
      <c r="H13" s="139">
        <v>8.0434999999999999</v>
      </c>
      <c r="I13" s="33">
        <v>45608</v>
      </c>
      <c r="J13" s="37">
        <v>0.58769675925925924</v>
      </c>
      <c r="K13">
        <v>0</v>
      </c>
      <c r="L13">
        <v>0</v>
      </c>
      <c r="M13">
        <v>0</v>
      </c>
      <c r="N13" s="30">
        <f t="shared" si="9"/>
        <v>8.0471600000000016</v>
      </c>
      <c r="P13">
        <v>4</v>
      </c>
      <c r="Q13" t="s">
        <v>16</v>
      </c>
      <c r="R13">
        <v>13824</v>
      </c>
      <c r="S13">
        <v>32</v>
      </c>
      <c r="T13">
        <v>1</v>
      </c>
      <c r="U13">
        <v>4</v>
      </c>
      <c r="V13">
        <v>182.75</v>
      </c>
      <c r="W13" s="139">
        <v>9.6388999999999996</v>
      </c>
      <c r="X13" s="33">
        <v>45608</v>
      </c>
      <c r="Y13" s="37">
        <v>0.64228009259259256</v>
      </c>
      <c r="Z13">
        <v>0</v>
      </c>
      <c r="AA13">
        <v>0</v>
      </c>
      <c r="AB13">
        <v>0</v>
      </c>
      <c r="AC13" s="30">
        <f t="shared" si="10"/>
        <v>9.6231600000000004</v>
      </c>
      <c r="AD13" s="17"/>
      <c r="AF13" s="125">
        <v>4</v>
      </c>
      <c r="AG13" s="125" t="s">
        <v>16</v>
      </c>
      <c r="AH13" s="125">
        <v>13824</v>
      </c>
      <c r="AI13" s="125">
        <v>64</v>
      </c>
      <c r="AJ13" s="125">
        <v>1</v>
      </c>
      <c r="AK13" s="125">
        <v>4</v>
      </c>
      <c r="AL13" s="125">
        <v>195.92</v>
      </c>
      <c r="AM13" s="124">
        <v>8.9908000000000001</v>
      </c>
      <c r="AN13" s="132">
        <v>45313</v>
      </c>
      <c r="AO13" s="129">
        <v>0.96902777777777782</v>
      </c>
      <c r="AP13" s="125">
        <v>0</v>
      </c>
      <c r="AQ13" s="125">
        <v>0</v>
      </c>
      <c r="AR13" s="125">
        <v>0</v>
      </c>
      <c r="AS13" s="134">
        <f t="shared" si="11"/>
        <v>8.9902200000000008</v>
      </c>
      <c r="AT13" s="123"/>
      <c r="AV13" s="125">
        <v>4</v>
      </c>
      <c r="AW13" s="125" t="s">
        <v>16</v>
      </c>
      <c r="AX13" s="125">
        <v>13824</v>
      </c>
      <c r="AY13" s="125">
        <v>64</v>
      </c>
      <c r="AZ13" s="125">
        <v>1</v>
      </c>
      <c r="BA13" s="125">
        <v>4</v>
      </c>
      <c r="BB13" s="125">
        <v>166.69</v>
      </c>
      <c r="BC13" s="124">
        <v>10.567</v>
      </c>
      <c r="BD13" s="132">
        <v>45314</v>
      </c>
      <c r="BE13" s="129">
        <v>1.4930555555555556E-3</v>
      </c>
      <c r="BF13" s="125">
        <v>0</v>
      </c>
      <c r="BG13" s="125">
        <v>0</v>
      </c>
      <c r="BH13" s="125">
        <v>0</v>
      </c>
      <c r="BI13" s="133">
        <f t="shared" si="8"/>
        <v>10.568200000000001</v>
      </c>
    </row>
    <row r="14" spans="1:61" x14ac:dyDescent="0.25">
      <c r="A14">
        <v>0</v>
      </c>
      <c r="B14" t="s">
        <v>16</v>
      </c>
      <c r="C14">
        <v>14592</v>
      </c>
      <c r="D14">
        <v>32</v>
      </c>
      <c r="E14">
        <v>1</v>
      </c>
      <c r="F14">
        <v>4</v>
      </c>
      <c r="G14">
        <v>228.93</v>
      </c>
      <c r="H14" s="139">
        <v>9.0494000000000003</v>
      </c>
      <c r="I14" s="33">
        <v>45608</v>
      </c>
      <c r="J14" s="37">
        <v>0.34274305555555556</v>
      </c>
      <c r="K14">
        <v>0</v>
      </c>
      <c r="L14">
        <v>0</v>
      </c>
      <c r="M14">
        <v>0</v>
      </c>
      <c r="N14" s="30">
        <f t="shared" ref="N14" si="12">AVERAGE(H14:H18)</f>
        <v>9.0534400000000002</v>
      </c>
      <c r="P14">
        <v>0</v>
      </c>
      <c r="Q14" t="s">
        <v>16</v>
      </c>
      <c r="R14">
        <v>14592</v>
      </c>
      <c r="S14">
        <v>32</v>
      </c>
      <c r="T14">
        <v>1</v>
      </c>
      <c r="U14">
        <v>4</v>
      </c>
      <c r="V14">
        <v>198.57</v>
      </c>
      <c r="W14" s="139">
        <v>10.433</v>
      </c>
      <c r="X14" s="33">
        <v>45608</v>
      </c>
      <c r="Y14" s="37">
        <v>0.3742476851851852</v>
      </c>
      <c r="Z14">
        <v>0</v>
      </c>
      <c r="AA14">
        <v>0</v>
      </c>
      <c r="AB14">
        <v>0</v>
      </c>
      <c r="AC14" s="30">
        <f t="shared" ref="AC14" si="13">AVERAGE(W14:W18)</f>
        <v>10.3848</v>
      </c>
      <c r="AD14" s="17"/>
      <c r="AF14" s="125">
        <v>0</v>
      </c>
      <c r="AG14" s="125" t="s">
        <v>16</v>
      </c>
      <c r="AH14" s="125">
        <v>14592</v>
      </c>
      <c r="AI14" s="125">
        <v>64</v>
      </c>
      <c r="AJ14" s="125">
        <v>1</v>
      </c>
      <c r="AK14" s="125">
        <v>4</v>
      </c>
      <c r="AL14" s="125">
        <v>205.17</v>
      </c>
      <c r="AM14" s="124">
        <v>10.097</v>
      </c>
      <c r="AN14" s="132">
        <v>45313</v>
      </c>
      <c r="AO14" s="129">
        <v>0.77986111111111101</v>
      </c>
      <c r="AP14" s="125">
        <v>0</v>
      </c>
      <c r="AQ14" s="125">
        <v>0</v>
      </c>
      <c r="AR14" s="125">
        <v>0</v>
      </c>
      <c r="AS14" s="134">
        <f t="shared" ref="AS14" si="14">AVERAGE(AM14:AM18)</f>
        <v>10.097200000000001</v>
      </c>
      <c r="AT14" s="130"/>
      <c r="AV14" s="125">
        <v>0</v>
      </c>
      <c r="AW14" s="125" t="s">
        <v>16</v>
      </c>
      <c r="AX14" s="125">
        <v>14592</v>
      </c>
      <c r="AY14" s="125">
        <v>64</v>
      </c>
      <c r="AZ14" s="125">
        <v>1</v>
      </c>
      <c r="BA14" s="125">
        <v>4</v>
      </c>
      <c r="BB14" s="125">
        <v>184.15</v>
      </c>
      <c r="BC14" s="124">
        <v>11.25</v>
      </c>
      <c r="BD14" s="132">
        <v>45313</v>
      </c>
      <c r="BE14" s="129">
        <v>0.78656250000000005</v>
      </c>
      <c r="BF14" s="125">
        <v>0</v>
      </c>
      <c r="BG14" s="125">
        <v>0</v>
      </c>
      <c r="BH14" s="125">
        <v>0</v>
      </c>
      <c r="BI14" s="133">
        <f t="shared" ref="BI14" si="15">AVERAGE(BC14:BC18)</f>
        <v>11.276199999999999</v>
      </c>
    </row>
    <row r="15" spans="1:61" x14ac:dyDescent="0.25">
      <c r="A15">
        <v>1</v>
      </c>
      <c r="B15" t="s">
        <v>16</v>
      </c>
      <c r="C15">
        <v>14592</v>
      </c>
      <c r="D15">
        <v>32</v>
      </c>
      <c r="E15">
        <v>1</v>
      </c>
      <c r="F15">
        <v>4</v>
      </c>
      <c r="G15">
        <v>228.64</v>
      </c>
      <c r="H15" s="139">
        <v>9.0608000000000004</v>
      </c>
      <c r="I15" s="33">
        <v>45608</v>
      </c>
      <c r="J15" s="37">
        <v>0.39650462962962962</v>
      </c>
      <c r="K15">
        <v>0</v>
      </c>
      <c r="L15">
        <v>0</v>
      </c>
      <c r="M15">
        <v>0</v>
      </c>
      <c r="N15" s="30">
        <f t="shared" ref="N15:N78" si="16">N14</f>
        <v>9.0534400000000002</v>
      </c>
      <c r="P15">
        <v>1</v>
      </c>
      <c r="Q15" t="s">
        <v>16</v>
      </c>
      <c r="R15">
        <v>14592</v>
      </c>
      <c r="S15">
        <v>32</v>
      </c>
      <c r="T15">
        <v>1</v>
      </c>
      <c r="U15">
        <v>4</v>
      </c>
      <c r="V15">
        <v>200.07</v>
      </c>
      <c r="W15" s="139">
        <v>10.355</v>
      </c>
      <c r="X15" s="33">
        <v>45608</v>
      </c>
      <c r="Y15" s="37">
        <v>0.43405092592592592</v>
      </c>
      <c r="Z15">
        <v>0</v>
      </c>
      <c r="AA15">
        <v>0</v>
      </c>
      <c r="AB15">
        <v>0</v>
      </c>
      <c r="AC15" s="30">
        <f t="shared" ref="AC15:AC78" si="17">AC14</f>
        <v>10.3848</v>
      </c>
      <c r="AD15" s="17"/>
      <c r="AF15" s="125">
        <v>1</v>
      </c>
      <c r="AG15" s="125" t="s">
        <v>16</v>
      </c>
      <c r="AH15" s="125">
        <v>14592</v>
      </c>
      <c r="AI15" s="125">
        <v>64</v>
      </c>
      <c r="AJ15" s="125">
        <v>1</v>
      </c>
      <c r="AK15" s="125">
        <v>4</v>
      </c>
      <c r="AL15" s="125">
        <v>205.09</v>
      </c>
      <c r="AM15" s="124">
        <v>10.101000000000001</v>
      </c>
      <c r="AN15" s="132">
        <v>45313</v>
      </c>
      <c r="AO15" s="129">
        <v>0.83160879629629625</v>
      </c>
      <c r="AP15" s="125">
        <v>0</v>
      </c>
      <c r="AQ15" s="125">
        <v>0</v>
      </c>
      <c r="AR15" s="125">
        <v>0</v>
      </c>
      <c r="AS15" s="134">
        <f t="shared" ref="AS15:AS78" si="18">AS14</f>
        <v>10.097200000000001</v>
      </c>
      <c r="AT15" s="123"/>
      <c r="AV15" s="125">
        <v>1</v>
      </c>
      <c r="AW15" s="125" t="s">
        <v>16</v>
      </c>
      <c r="AX15" s="125">
        <v>14592</v>
      </c>
      <c r="AY15" s="125">
        <v>64</v>
      </c>
      <c r="AZ15" s="125">
        <v>1</v>
      </c>
      <c r="BA15" s="125">
        <v>4</v>
      </c>
      <c r="BB15" s="125">
        <v>183.85</v>
      </c>
      <c r="BC15" s="124">
        <v>11.268000000000001</v>
      </c>
      <c r="BD15" s="132">
        <v>45313</v>
      </c>
      <c r="BE15" s="129">
        <v>0.84527777777777768</v>
      </c>
      <c r="BF15" s="125">
        <v>0</v>
      </c>
      <c r="BG15" s="125">
        <v>0</v>
      </c>
      <c r="BH15" s="125">
        <v>0</v>
      </c>
      <c r="BI15" s="133">
        <f t="shared" ref="BI15" si="19">BI14</f>
        <v>11.276199999999999</v>
      </c>
    </row>
    <row r="16" spans="1:61" x14ac:dyDescent="0.25">
      <c r="A16">
        <v>2</v>
      </c>
      <c r="B16" t="s">
        <v>16</v>
      </c>
      <c r="C16">
        <v>14592</v>
      </c>
      <c r="D16">
        <v>32</v>
      </c>
      <c r="E16">
        <v>1</v>
      </c>
      <c r="F16">
        <v>4</v>
      </c>
      <c r="G16">
        <v>228.9</v>
      </c>
      <c r="H16" s="139">
        <v>9.0507000000000009</v>
      </c>
      <c r="I16" s="33">
        <v>45608</v>
      </c>
      <c r="J16" s="37">
        <v>0.45020833333333332</v>
      </c>
      <c r="K16">
        <v>0</v>
      </c>
      <c r="L16">
        <v>0</v>
      </c>
      <c r="M16">
        <v>0</v>
      </c>
      <c r="N16" s="30">
        <f t="shared" si="16"/>
        <v>9.0534400000000002</v>
      </c>
      <c r="P16">
        <v>2</v>
      </c>
      <c r="Q16" t="s">
        <v>16</v>
      </c>
      <c r="R16">
        <v>14592</v>
      </c>
      <c r="S16">
        <v>32</v>
      </c>
      <c r="T16">
        <v>1</v>
      </c>
      <c r="U16">
        <v>4</v>
      </c>
      <c r="V16">
        <v>200.6</v>
      </c>
      <c r="W16" s="139">
        <v>10.327</v>
      </c>
      <c r="X16" s="33">
        <v>45608</v>
      </c>
      <c r="Y16" s="37">
        <v>0.49384259259259261</v>
      </c>
      <c r="Z16">
        <v>0</v>
      </c>
      <c r="AA16">
        <v>0</v>
      </c>
      <c r="AB16">
        <v>0</v>
      </c>
      <c r="AC16" s="30">
        <f t="shared" si="17"/>
        <v>10.3848</v>
      </c>
      <c r="AD16" s="17"/>
      <c r="AF16" s="125">
        <v>2</v>
      </c>
      <c r="AG16" s="125" t="s">
        <v>16</v>
      </c>
      <c r="AH16" s="125">
        <v>14592</v>
      </c>
      <c r="AI16" s="125">
        <v>64</v>
      </c>
      <c r="AJ16" s="125">
        <v>1</v>
      </c>
      <c r="AK16" s="125">
        <v>4</v>
      </c>
      <c r="AL16" s="125">
        <v>205.07</v>
      </c>
      <c r="AM16" s="124">
        <v>10.102</v>
      </c>
      <c r="AN16" s="132">
        <v>45313</v>
      </c>
      <c r="AO16" s="129">
        <v>0.88334490740740745</v>
      </c>
      <c r="AP16" s="125">
        <v>0</v>
      </c>
      <c r="AQ16" s="125">
        <v>0</v>
      </c>
      <c r="AR16" s="125">
        <v>0</v>
      </c>
      <c r="AS16" s="134">
        <f t="shared" si="18"/>
        <v>10.097200000000001</v>
      </c>
      <c r="AT16" s="123"/>
      <c r="AV16" s="125">
        <v>2</v>
      </c>
      <c r="AW16" s="125" t="s">
        <v>16</v>
      </c>
      <c r="AX16" s="125">
        <v>14592</v>
      </c>
      <c r="AY16" s="125">
        <v>64</v>
      </c>
      <c r="AZ16" s="125">
        <v>1</v>
      </c>
      <c r="BA16" s="125">
        <v>4</v>
      </c>
      <c r="BB16" s="125">
        <v>183.49</v>
      </c>
      <c r="BC16" s="124">
        <v>11.29</v>
      </c>
      <c r="BD16" s="132">
        <v>45313</v>
      </c>
      <c r="BE16" s="129">
        <v>0.90399305555555554</v>
      </c>
      <c r="BF16" s="125">
        <v>0</v>
      </c>
      <c r="BG16" s="125">
        <v>0</v>
      </c>
      <c r="BH16" s="125">
        <v>0</v>
      </c>
      <c r="BI16" s="133">
        <f t="shared" si="8"/>
        <v>11.276199999999999</v>
      </c>
    </row>
    <row r="17" spans="1:61" x14ac:dyDescent="0.25">
      <c r="A17">
        <v>3</v>
      </c>
      <c r="B17" t="s">
        <v>16</v>
      </c>
      <c r="C17">
        <v>14592</v>
      </c>
      <c r="D17">
        <v>32</v>
      </c>
      <c r="E17">
        <v>1</v>
      </c>
      <c r="F17">
        <v>4</v>
      </c>
      <c r="G17">
        <v>228.87</v>
      </c>
      <c r="H17" s="139">
        <v>9.0518000000000001</v>
      </c>
      <c r="I17" s="33">
        <v>45608</v>
      </c>
      <c r="J17" s="37">
        <v>0.50392361111111106</v>
      </c>
      <c r="K17">
        <v>0</v>
      </c>
      <c r="L17">
        <v>0</v>
      </c>
      <c r="M17">
        <v>0</v>
      </c>
      <c r="N17" s="30">
        <f t="shared" si="16"/>
        <v>9.0534400000000002</v>
      </c>
      <c r="P17">
        <v>3</v>
      </c>
      <c r="Q17" t="s">
        <v>16</v>
      </c>
      <c r="R17">
        <v>14592</v>
      </c>
      <c r="S17">
        <v>32</v>
      </c>
      <c r="T17">
        <v>1</v>
      </c>
      <c r="U17">
        <v>4</v>
      </c>
      <c r="V17">
        <v>200.53</v>
      </c>
      <c r="W17" s="139">
        <v>10.331</v>
      </c>
      <c r="X17" s="33">
        <v>45608</v>
      </c>
      <c r="Y17" s="37">
        <v>0.60267361111111106</v>
      </c>
      <c r="Z17">
        <v>0</v>
      </c>
      <c r="AA17">
        <v>0</v>
      </c>
      <c r="AB17">
        <v>0</v>
      </c>
      <c r="AC17" s="30">
        <f t="shared" si="17"/>
        <v>10.3848</v>
      </c>
      <c r="AD17" s="17"/>
      <c r="AF17" s="125">
        <v>3</v>
      </c>
      <c r="AG17" s="125" t="s">
        <v>16</v>
      </c>
      <c r="AH17" s="125">
        <v>14592</v>
      </c>
      <c r="AI17" s="125">
        <v>64</v>
      </c>
      <c r="AJ17" s="125">
        <v>1</v>
      </c>
      <c r="AK17" s="125">
        <v>4</v>
      </c>
      <c r="AL17" s="125">
        <v>205.28</v>
      </c>
      <c r="AM17" s="124">
        <v>10.092000000000001</v>
      </c>
      <c r="AN17" s="132">
        <v>45313</v>
      </c>
      <c r="AO17" s="129">
        <v>0.9350694444444444</v>
      </c>
      <c r="AP17" s="125">
        <v>0</v>
      </c>
      <c r="AQ17" s="125">
        <v>0</v>
      </c>
      <c r="AR17" s="125">
        <v>0</v>
      </c>
      <c r="AS17" s="134">
        <f t="shared" si="18"/>
        <v>10.097200000000001</v>
      </c>
      <c r="AT17" s="123"/>
      <c r="AV17" s="125">
        <v>3</v>
      </c>
      <c r="AW17" s="125" t="s">
        <v>16</v>
      </c>
      <c r="AX17" s="125">
        <v>14592</v>
      </c>
      <c r="AY17" s="125">
        <v>64</v>
      </c>
      <c r="AZ17" s="125">
        <v>1</v>
      </c>
      <c r="BA17" s="125">
        <v>4</v>
      </c>
      <c r="BB17" s="125">
        <v>183.54</v>
      </c>
      <c r="BC17" s="124">
        <v>11.287000000000001</v>
      </c>
      <c r="BD17" s="132">
        <v>45313</v>
      </c>
      <c r="BE17" s="129">
        <v>0.96271990740740743</v>
      </c>
      <c r="BF17" s="125">
        <v>0</v>
      </c>
      <c r="BG17" s="125">
        <v>0</v>
      </c>
      <c r="BH17" s="125">
        <v>0</v>
      </c>
      <c r="BI17" s="133">
        <f t="shared" si="8"/>
        <v>11.276199999999999</v>
      </c>
    </row>
    <row r="18" spans="1:61" x14ac:dyDescent="0.25">
      <c r="A18">
        <v>4</v>
      </c>
      <c r="B18" t="s">
        <v>16</v>
      </c>
      <c r="C18">
        <v>14592</v>
      </c>
      <c r="D18">
        <v>32</v>
      </c>
      <c r="E18">
        <v>1</v>
      </c>
      <c r="F18">
        <v>4</v>
      </c>
      <c r="G18">
        <v>228.8</v>
      </c>
      <c r="H18" s="139">
        <v>9.0545000000000009</v>
      </c>
      <c r="I18" s="33">
        <v>45608</v>
      </c>
      <c r="J18" s="37">
        <v>0.60607638888888893</v>
      </c>
      <c r="K18">
        <v>0</v>
      </c>
      <c r="L18">
        <v>0</v>
      </c>
      <c r="M18">
        <v>0</v>
      </c>
      <c r="N18" s="30">
        <f t="shared" si="16"/>
        <v>9.0534400000000002</v>
      </c>
      <c r="P18">
        <v>4</v>
      </c>
      <c r="Q18" t="s">
        <v>16</v>
      </c>
      <c r="R18">
        <v>14592</v>
      </c>
      <c r="S18">
        <v>32</v>
      </c>
      <c r="T18">
        <v>1</v>
      </c>
      <c r="U18">
        <v>4</v>
      </c>
      <c r="V18">
        <v>197.72</v>
      </c>
      <c r="W18" s="139">
        <v>10.478</v>
      </c>
      <c r="X18" s="33">
        <v>45608</v>
      </c>
      <c r="Y18" s="37">
        <v>0.72310185185185183</v>
      </c>
      <c r="Z18">
        <v>0</v>
      </c>
      <c r="AA18">
        <v>0</v>
      </c>
      <c r="AB18">
        <v>0</v>
      </c>
      <c r="AC18" s="30">
        <f t="shared" si="17"/>
        <v>10.3848</v>
      </c>
      <c r="AD18" s="17"/>
      <c r="AF18" s="125">
        <v>4</v>
      </c>
      <c r="AG18" s="125" t="s">
        <v>16</v>
      </c>
      <c r="AH18" s="125">
        <v>14592</v>
      </c>
      <c r="AI18" s="125">
        <v>64</v>
      </c>
      <c r="AJ18" s="125">
        <v>1</v>
      </c>
      <c r="AK18" s="125">
        <v>4</v>
      </c>
      <c r="AL18" s="125">
        <v>205.24</v>
      </c>
      <c r="AM18" s="124">
        <v>10.093999999999999</v>
      </c>
      <c r="AN18" s="132">
        <v>45313</v>
      </c>
      <c r="AO18" s="129">
        <v>0.9868055555555556</v>
      </c>
      <c r="AP18" s="125">
        <v>0</v>
      </c>
      <c r="AQ18" s="125">
        <v>0</v>
      </c>
      <c r="AR18" s="125">
        <v>0</v>
      </c>
      <c r="AS18" s="134">
        <f t="shared" si="18"/>
        <v>10.097200000000001</v>
      </c>
      <c r="AT18" s="123"/>
      <c r="AV18" s="125">
        <v>4</v>
      </c>
      <c r="AW18" s="125" t="s">
        <v>16</v>
      </c>
      <c r="AX18" s="125">
        <v>14592</v>
      </c>
      <c r="AY18" s="125">
        <v>64</v>
      </c>
      <c r="AZ18" s="125">
        <v>1</v>
      </c>
      <c r="BA18" s="125">
        <v>4</v>
      </c>
      <c r="BB18" s="125">
        <v>183.56</v>
      </c>
      <c r="BC18" s="124">
        <v>11.286</v>
      </c>
      <c r="BD18" s="132">
        <v>45314</v>
      </c>
      <c r="BE18" s="129">
        <v>2.1423611111111112E-2</v>
      </c>
      <c r="BF18" s="125">
        <v>0</v>
      </c>
      <c r="BG18" s="125">
        <v>0</v>
      </c>
      <c r="BH18" s="125">
        <v>0</v>
      </c>
      <c r="BI18" s="133">
        <f t="shared" si="8"/>
        <v>11.276199999999999</v>
      </c>
    </row>
    <row r="19" spans="1:61" x14ac:dyDescent="0.25">
      <c r="A19">
        <v>0</v>
      </c>
      <c r="B19" t="s">
        <v>16</v>
      </c>
      <c r="C19">
        <v>13056</v>
      </c>
      <c r="D19">
        <v>32</v>
      </c>
      <c r="E19">
        <v>2</v>
      </c>
      <c r="F19">
        <v>2</v>
      </c>
      <c r="G19">
        <v>166.01</v>
      </c>
      <c r="H19" s="139">
        <v>8.9384999999999994</v>
      </c>
      <c r="I19" s="33">
        <v>45608</v>
      </c>
      <c r="J19" s="37">
        <v>0.31083333333333335</v>
      </c>
      <c r="K19">
        <v>0</v>
      </c>
      <c r="L19">
        <v>0</v>
      </c>
      <c r="M19">
        <v>0</v>
      </c>
      <c r="N19" s="30">
        <f t="shared" ref="N19" si="20">AVERAGE(H19:H23)</f>
        <v>8.9427199999999996</v>
      </c>
      <c r="P19">
        <v>0</v>
      </c>
      <c r="Q19" t="s">
        <v>16</v>
      </c>
      <c r="R19">
        <v>13056</v>
      </c>
      <c r="S19">
        <v>32</v>
      </c>
      <c r="T19">
        <v>2</v>
      </c>
      <c r="U19">
        <v>2</v>
      </c>
      <c r="V19">
        <v>142.01</v>
      </c>
      <c r="W19" s="139">
        <v>10.45</v>
      </c>
      <c r="X19" s="33">
        <v>45608</v>
      </c>
      <c r="Y19" s="37">
        <v>0.31142361111111111</v>
      </c>
      <c r="Z19">
        <v>0</v>
      </c>
      <c r="AA19">
        <v>0</v>
      </c>
      <c r="AB19">
        <v>0</v>
      </c>
      <c r="AC19" s="30">
        <f t="shared" ref="AC19" si="21">AVERAGE(W19:W23)</f>
        <v>10.448199999999998</v>
      </c>
      <c r="AD19" s="17"/>
      <c r="AF19" s="125">
        <v>0</v>
      </c>
      <c r="AG19" s="125" t="s">
        <v>16</v>
      </c>
      <c r="AH19" s="125">
        <v>13056</v>
      </c>
      <c r="AI19" s="125">
        <v>64</v>
      </c>
      <c r="AJ19" s="125">
        <v>2</v>
      </c>
      <c r="AK19" s="125">
        <v>2</v>
      </c>
      <c r="AL19" s="125">
        <v>148.47999999999999</v>
      </c>
      <c r="AM19" s="124">
        <v>9.9941999999999993</v>
      </c>
      <c r="AN19" s="132">
        <v>45313</v>
      </c>
      <c r="AO19" s="129">
        <v>0.74902777777777774</v>
      </c>
      <c r="AP19" s="125">
        <v>0</v>
      </c>
      <c r="AQ19" s="125">
        <v>0</v>
      </c>
      <c r="AR19" s="125">
        <v>0</v>
      </c>
      <c r="AS19" s="134">
        <f t="shared" ref="AS19" si="22">AVERAGE(AM19:AM23)</f>
        <v>10.001299999999999</v>
      </c>
      <c r="AT19" s="130"/>
      <c r="AV19" s="125">
        <v>0</v>
      </c>
      <c r="AW19" s="125" t="s">
        <v>16</v>
      </c>
      <c r="AX19" s="125">
        <v>13056</v>
      </c>
      <c r="AY19" s="125">
        <v>64</v>
      </c>
      <c r="AZ19" s="125">
        <v>2</v>
      </c>
      <c r="BA19" s="125">
        <v>2</v>
      </c>
      <c r="BB19" s="125">
        <v>133.34</v>
      </c>
      <c r="BC19" s="124">
        <v>11.129</v>
      </c>
      <c r="BD19" s="132">
        <v>45313</v>
      </c>
      <c r="BE19" s="129">
        <v>0.75162037037037033</v>
      </c>
      <c r="BF19" s="125">
        <v>0</v>
      </c>
      <c r="BG19" s="125">
        <v>0</v>
      </c>
      <c r="BH19" s="125">
        <v>0</v>
      </c>
      <c r="BI19" s="133">
        <f t="shared" ref="BI19" si="23">AVERAGE(BC19:BC23)</f>
        <v>11.121999999999998</v>
      </c>
    </row>
    <row r="20" spans="1:61" x14ac:dyDescent="0.25">
      <c r="A20">
        <v>1</v>
      </c>
      <c r="B20" t="s">
        <v>16</v>
      </c>
      <c r="C20">
        <v>13056</v>
      </c>
      <c r="D20">
        <v>32</v>
      </c>
      <c r="E20">
        <v>2</v>
      </c>
      <c r="F20">
        <v>2</v>
      </c>
      <c r="G20">
        <v>166.06</v>
      </c>
      <c r="H20" s="139">
        <v>8.9359000000000002</v>
      </c>
      <c r="I20" s="33">
        <v>45608</v>
      </c>
      <c r="J20" s="37">
        <v>0.36458333333333331</v>
      </c>
      <c r="K20">
        <v>0</v>
      </c>
      <c r="L20">
        <v>0</v>
      </c>
      <c r="M20">
        <v>0</v>
      </c>
      <c r="N20" s="30">
        <f t="shared" ref="N20:N83" si="24">N19</f>
        <v>8.9427199999999996</v>
      </c>
      <c r="P20">
        <v>1</v>
      </c>
      <c r="Q20" t="s">
        <v>16</v>
      </c>
      <c r="R20">
        <v>13056</v>
      </c>
      <c r="S20">
        <v>32</v>
      </c>
      <c r="T20">
        <v>2</v>
      </c>
      <c r="U20">
        <v>2</v>
      </c>
      <c r="V20">
        <v>141.46</v>
      </c>
      <c r="W20" s="139">
        <v>10.49</v>
      </c>
      <c r="X20" s="33">
        <v>45608</v>
      </c>
      <c r="Y20" s="37">
        <v>0.39850694444444446</v>
      </c>
      <c r="Z20">
        <v>0</v>
      </c>
      <c r="AA20">
        <v>0</v>
      </c>
      <c r="AB20">
        <v>0</v>
      </c>
      <c r="AC20" s="30">
        <f t="shared" ref="AC20:AC83" si="25">AC19</f>
        <v>10.448199999999998</v>
      </c>
      <c r="AD20" s="17"/>
      <c r="AF20" s="125">
        <v>1</v>
      </c>
      <c r="AG20" s="125" t="s">
        <v>16</v>
      </c>
      <c r="AH20" s="125">
        <v>13056</v>
      </c>
      <c r="AI20" s="125">
        <v>64</v>
      </c>
      <c r="AJ20" s="125">
        <v>2</v>
      </c>
      <c r="AK20" s="125">
        <v>2</v>
      </c>
      <c r="AL20" s="125">
        <v>148.19999999999999</v>
      </c>
      <c r="AM20" s="124">
        <v>10.013</v>
      </c>
      <c r="AN20" s="132">
        <v>45313</v>
      </c>
      <c r="AO20" s="129">
        <v>0.80077546296296298</v>
      </c>
      <c r="AP20" s="125">
        <v>0</v>
      </c>
      <c r="AQ20" s="125">
        <v>0</v>
      </c>
      <c r="AR20" s="125">
        <v>0</v>
      </c>
      <c r="AS20" s="134">
        <f t="shared" ref="AS20:AS83" si="26">AS19</f>
        <v>10.001299999999999</v>
      </c>
      <c r="AT20" s="123"/>
      <c r="AV20" s="125">
        <v>1</v>
      </c>
      <c r="AW20" s="125" t="s">
        <v>16</v>
      </c>
      <c r="AX20" s="125">
        <v>13056</v>
      </c>
      <c r="AY20" s="125">
        <v>64</v>
      </c>
      <c r="AZ20" s="125">
        <v>2</v>
      </c>
      <c r="BA20" s="125">
        <v>2</v>
      </c>
      <c r="BB20" s="125">
        <v>133.5</v>
      </c>
      <c r="BC20" s="124">
        <v>11.116</v>
      </c>
      <c r="BD20" s="132">
        <v>45313</v>
      </c>
      <c r="BE20" s="129">
        <v>0.81034722222222222</v>
      </c>
      <c r="BF20" s="125">
        <v>0</v>
      </c>
      <c r="BG20" s="125">
        <v>0</v>
      </c>
      <c r="BH20" s="125">
        <v>0</v>
      </c>
      <c r="BI20" s="133">
        <f t="shared" ref="BI20" si="27">BI19</f>
        <v>11.121999999999998</v>
      </c>
    </row>
    <row r="21" spans="1:61" x14ac:dyDescent="0.25">
      <c r="A21">
        <v>2</v>
      </c>
      <c r="B21" t="s">
        <v>16</v>
      </c>
      <c r="C21">
        <v>13056</v>
      </c>
      <c r="D21">
        <v>32</v>
      </c>
      <c r="E21">
        <v>2</v>
      </c>
      <c r="F21">
        <v>2</v>
      </c>
      <c r="G21">
        <v>165.71</v>
      </c>
      <c r="H21" s="139">
        <v>8.9550000000000001</v>
      </c>
      <c r="I21" s="33">
        <v>45608</v>
      </c>
      <c r="J21" s="37">
        <v>0.41828703703703701</v>
      </c>
      <c r="K21">
        <v>0</v>
      </c>
      <c r="L21">
        <v>0</v>
      </c>
      <c r="M21">
        <v>0</v>
      </c>
      <c r="N21" s="30">
        <f t="shared" si="24"/>
        <v>8.9427199999999996</v>
      </c>
      <c r="P21">
        <v>2</v>
      </c>
      <c r="Q21" t="s">
        <v>16</v>
      </c>
      <c r="R21">
        <v>13056</v>
      </c>
      <c r="S21">
        <v>32</v>
      </c>
      <c r="T21">
        <v>2</v>
      </c>
      <c r="U21">
        <v>2</v>
      </c>
      <c r="V21">
        <v>142.85</v>
      </c>
      <c r="W21" s="139">
        <v>10.388</v>
      </c>
      <c r="X21" s="33">
        <v>45608</v>
      </c>
      <c r="Y21" s="37">
        <v>0.45832175925925928</v>
      </c>
      <c r="Z21">
        <v>0</v>
      </c>
      <c r="AA21">
        <v>0</v>
      </c>
      <c r="AB21">
        <v>0</v>
      </c>
      <c r="AC21" s="30">
        <f t="shared" si="25"/>
        <v>10.448199999999998</v>
      </c>
      <c r="AD21" s="17"/>
      <c r="AF21" s="125">
        <v>2</v>
      </c>
      <c r="AG21" s="125" t="s">
        <v>16</v>
      </c>
      <c r="AH21" s="125">
        <v>13056</v>
      </c>
      <c r="AI21" s="125">
        <v>64</v>
      </c>
      <c r="AJ21" s="125">
        <v>2</v>
      </c>
      <c r="AK21" s="125">
        <v>2</v>
      </c>
      <c r="AL21" s="125">
        <v>148.33000000000001</v>
      </c>
      <c r="AM21" s="124">
        <v>10.004</v>
      </c>
      <c r="AN21" s="132">
        <v>45313</v>
      </c>
      <c r="AO21" s="129">
        <v>0.85250000000000004</v>
      </c>
      <c r="AP21" s="125">
        <v>0</v>
      </c>
      <c r="AQ21" s="125">
        <v>0</v>
      </c>
      <c r="AR21" s="125">
        <v>0</v>
      </c>
      <c r="AS21" s="134">
        <f t="shared" si="26"/>
        <v>10.001299999999999</v>
      </c>
      <c r="AT21" s="123"/>
      <c r="AV21" s="125">
        <v>2</v>
      </c>
      <c r="AW21" s="125" t="s">
        <v>16</v>
      </c>
      <c r="AX21" s="125">
        <v>13056</v>
      </c>
      <c r="AY21" s="125">
        <v>64</v>
      </c>
      <c r="AZ21" s="125">
        <v>2</v>
      </c>
      <c r="BA21" s="125">
        <v>2</v>
      </c>
      <c r="BB21" s="125">
        <v>133.41</v>
      </c>
      <c r="BC21" s="124">
        <v>11.122999999999999</v>
      </c>
      <c r="BD21" s="132">
        <v>45313</v>
      </c>
      <c r="BE21" s="129">
        <v>0.86906250000000007</v>
      </c>
      <c r="BF21" s="125">
        <v>0</v>
      </c>
      <c r="BG21" s="125">
        <v>0</v>
      </c>
      <c r="BH21" s="125">
        <v>0</v>
      </c>
      <c r="BI21" s="133">
        <f t="shared" si="8"/>
        <v>11.121999999999998</v>
      </c>
    </row>
    <row r="22" spans="1:61" x14ac:dyDescent="0.25">
      <c r="A22">
        <v>3</v>
      </c>
      <c r="B22" t="s">
        <v>16</v>
      </c>
      <c r="C22">
        <v>13056</v>
      </c>
      <c r="D22">
        <v>32</v>
      </c>
      <c r="E22">
        <v>2</v>
      </c>
      <c r="F22">
        <v>2</v>
      </c>
      <c r="G22">
        <v>165.79</v>
      </c>
      <c r="H22" s="139">
        <v>8.9506999999999994</v>
      </c>
      <c r="I22" s="33">
        <v>45608</v>
      </c>
      <c r="J22" s="37">
        <v>0.47200231481481481</v>
      </c>
      <c r="K22">
        <v>0</v>
      </c>
      <c r="L22">
        <v>0</v>
      </c>
      <c r="M22">
        <v>0</v>
      </c>
      <c r="N22" s="30">
        <f t="shared" si="24"/>
        <v>8.9427199999999996</v>
      </c>
      <c r="P22">
        <v>3</v>
      </c>
      <c r="Q22" t="s">
        <v>16</v>
      </c>
      <c r="R22">
        <v>13056</v>
      </c>
      <c r="S22">
        <v>32</v>
      </c>
      <c r="T22">
        <v>2</v>
      </c>
      <c r="U22">
        <v>2</v>
      </c>
      <c r="V22">
        <v>141.68</v>
      </c>
      <c r="W22" s="139">
        <v>10.474</v>
      </c>
      <c r="X22" s="33">
        <v>45608</v>
      </c>
      <c r="Y22" s="37">
        <v>0.56715277777777773</v>
      </c>
      <c r="Z22">
        <v>0</v>
      </c>
      <c r="AA22">
        <v>0</v>
      </c>
      <c r="AB22">
        <v>0</v>
      </c>
      <c r="AC22" s="30">
        <f t="shared" si="25"/>
        <v>10.448199999999998</v>
      </c>
      <c r="AD22" s="17"/>
      <c r="AF22" s="125">
        <v>3</v>
      </c>
      <c r="AG22" s="125" t="s">
        <v>16</v>
      </c>
      <c r="AH22" s="125">
        <v>13056</v>
      </c>
      <c r="AI22" s="125">
        <v>64</v>
      </c>
      <c r="AJ22" s="125">
        <v>2</v>
      </c>
      <c r="AK22" s="125">
        <v>2</v>
      </c>
      <c r="AL22" s="125">
        <v>148.49</v>
      </c>
      <c r="AM22" s="124">
        <v>9.9932999999999996</v>
      </c>
      <c r="AN22" s="132">
        <v>45313</v>
      </c>
      <c r="AO22" s="129">
        <v>0.90422453703703709</v>
      </c>
      <c r="AP22" s="125">
        <v>0</v>
      </c>
      <c r="AQ22" s="125">
        <v>0</v>
      </c>
      <c r="AR22" s="125">
        <v>0</v>
      </c>
      <c r="AS22" s="134">
        <f t="shared" si="26"/>
        <v>10.001299999999999</v>
      </c>
      <c r="AT22" s="123"/>
      <c r="AV22" s="125">
        <v>3</v>
      </c>
      <c r="AW22" s="125" t="s">
        <v>16</v>
      </c>
      <c r="AX22" s="125">
        <v>13056</v>
      </c>
      <c r="AY22" s="125">
        <v>64</v>
      </c>
      <c r="AZ22" s="125">
        <v>2</v>
      </c>
      <c r="BA22" s="125">
        <v>2</v>
      </c>
      <c r="BB22" s="125">
        <v>133.56</v>
      </c>
      <c r="BC22" s="124">
        <v>11.11</v>
      </c>
      <c r="BD22" s="132">
        <v>45313</v>
      </c>
      <c r="BE22" s="129">
        <v>0.9277777777777777</v>
      </c>
      <c r="BF22" s="125">
        <v>0</v>
      </c>
      <c r="BG22" s="125">
        <v>0</v>
      </c>
      <c r="BH22" s="125">
        <v>0</v>
      </c>
      <c r="BI22" s="133">
        <f t="shared" si="8"/>
        <v>11.121999999999998</v>
      </c>
    </row>
    <row r="23" spans="1:61" x14ac:dyDescent="0.25">
      <c r="A23">
        <v>4</v>
      </c>
      <c r="B23" t="s">
        <v>16</v>
      </c>
      <c r="C23">
        <v>13056</v>
      </c>
      <c r="D23">
        <v>32</v>
      </c>
      <c r="E23">
        <v>2</v>
      </c>
      <c r="F23">
        <v>2</v>
      </c>
      <c r="G23">
        <v>166.11</v>
      </c>
      <c r="H23" s="139">
        <v>8.9335000000000004</v>
      </c>
      <c r="I23" s="33">
        <v>45608</v>
      </c>
      <c r="J23" s="37">
        <v>0.57415509259259256</v>
      </c>
      <c r="K23">
        <v>0</v>
      </c>
      <c r="L23">
        <v>0</v>
      </c>
      <c r="M23">
        <v>0</v>
      </c>
      <c r="N23" s="30">
        <f t="shared" si="24"/>
        <v>8.9427199999999996</v>
      </c>
      <c r="P23">
        <v>4</v>
      </c>
      <c r="Q23" t="s">
        <v>16</v>
      </c>
      <c r="R23">
        <v>13056</v>
      </c>
      <c r="S23">
        <v>32</v>
      </c>
      <c r="T23">
        <v>2</v>
      </c>
      <c r="U23">
        <v>2</v>
      </c>
      <c r="V23">
        <v>142.15</v>
      </c>
      <c r="W23" s="139">
        <v>10.439</v>
      </c>
      <c r="X23" s="33">
        <v>45608</v>
      </c>
      <c r="Y23" s="37">
        <v>0.62701388888888887</v>
      </c>
      <c r="Z23">
        <v>0</v>
      </c>
      <c r="AA23">
        <v>0</v>
      </c>
      <c r="AB23">
        <v>0</v>
      </c>
      <c r="AC23" s="30">
        <f t="shared" si="25"/>
        <v>10.448199999999998</v>
      </c>
      <c r="AD23" s="17"/>
      <c r="AF23" s="125">
        <v>4</v>
      </c>
      <c r="AG23" s="125" t="s">
        <v>16</v>
      </c>
      <c r="AH23" s="125">
        <v>13056</v>
      </c>
      <c r="AI23" s="125">
        <v>64</v>
      </c>
      <c r="AJ23" s="125">
        <v>2</v>
      </c>
      <c r="AK23" s="125">
        <v>2</v>
      </c>
      <c r="AL23" s="125">
        <v>148.37</v>
      </c>
      <c r="AM23" s="124">
        <v>10.002000000000001</v>
      </c>
      <c r="AN23" s="132">
        <v>45313</v>
      </c>
      <c r="AO23" s="129">
        <v>0.95596064814814818</v>
      </c>
      <c r="AP23" s="125">
        <v>0</v>
      </c>
      <c r="AQ23" s="125">
        <v>0</v>
      </c>
      <c r="AR23" s="125">
        <v>0</v>
      </c>
      <c r="AS23" s="134">
        <f t="shared" si="26"/>
        <v>10.001299999999999</v>
      </c>
      <c r="AT23" s="123"/>
      <c r="AV23" s="125">
        <v>4</v>
      </c>
      <c r="AW23" s="125" t="s">
        <v>16</v>
      </c>
      <c r="AX23" s="125">
        <v>13056</v>
      </c>
      <c r="AY23" s="125">
        <v>64</v>
      </c>
      <c r="AZ23" s="125">
        <v>2</v>
      </c>
      <c r="BA23" s="125">
        <v>2</v>
      </c>
      <c r="BB23" s="125">
        <v>133.30000000000001</v>
      </c>
      <c r="BC23" s="124">
        <v>11.132</v>
      </c>
      <c r="BD23" s="132">
        <v>45313</v>
      </c>
      <c r="BE23" s="129">
        <v>0.9865046296296297</v>
      </c>
      <c r="BF23" s="125">
        <v>0</v>
      </c>
      <c r="BG23" s="125">
        <v>0</v>
      </c>
      <c r="BH23" s="125">
        <v>0</v>
      </c>
      <c r="BI23" s="133">
        <f t="shared" si="8"/>
        <v>11.121999999999998</v>
      </c>
    </row>
    <row r="24" spans="1:61" x14ac:dyDescent="0.25">
      <c r="A24">
        <v>0</v>
      </c>
      <c r="B24" t="s">
        <v>16</v>
      </c>
      <c r="C24">
        <v>13824</v>
      </c>
      <c r="D24">
        <v>32</v>
      </c>
      <c r="E24">
        <v>2</v>
      </c>
      <c r="F24">
        <v>2</v>
      </c>
      <c r="G24">
        <v>197.85</v>
      </c>
      <c r="H24" s="139">
        <v>8.9032999999999998</v>
      </c>
      <c r="I24" s="33">
        <v>45608</v>
      </c>
      <c r="J24" s="37">
        <v>0.32681712962962961</v>
      </c>
      <c r="K24">
        <v>0</v>
      </c>
      <c r="L24">
        <v>0</v>
      </c>
      <c r="M24">
        <v>0</v>
      </c>
      <c r="N24" s="30">
        <f t="shared" ref="N24" si="28">AVERAGE(H24:H28)</f>
        <v>8.9078799999999987</v>
      </c>
      <c r="P24">
        <v>0</v>
      </c>
      <c r="Q24" t="s">
        <v>16</v>
      </c>
      <c r="R24">
        <v>13824</v>
      </c>
      <c r="S24">
        <v>32</v>
      </c>
      <c r="T24">
        <v>2</v>
      </c>
      <c r="U24">
        <v>2</v>
      </c>
      <c r="V24">
        <v>168.78</v>
      </c>
      <c r="W24" s="139">
        <v>10.436999999999999</v>
      </c>
      <c r="X24" s="33">
        <v>45608</v>
      </c>
      <c r="Y24" s="37">
        <v>0.35659722222222223</v>
      </c>
      <c r="Z24">
        <v>0</v>
      </c>
      <c r="AA24">
        <v>0</v>
      </c>
      <c r="AB24">
        <v>0</v>
      </c>
      <c r="AC24" s="30">
        <f t="shared" ref="AC24" si="29">AVERAGE(W24:W28)</f>
        <v>10.4068</v>
      </c>
      <c r="AD24" s="17"/>
      <c r="AF24" s="125">
        <v>0</v>
      </c>
      <c r="AG24" s="125" t="s">
        <v>16</v>
      </c>
      <c r="AH24" s="125">
        <v>13824</v>
      </c>
      <c r="AI24" s="125">
        <v>64</v>
      </c>
      <c r="AJ24" s="125">
        <v>2</v>
      </c>
      <c r="AK24" s="125">
        <v>2</v>
      </c>
      <c r="AL24" s="125">
        <v>178.54</v>
      </c>
      <c r="AM24" s="124">
        <v>9.8660999999999994</v>
      </c>
      <c r="AN24" s="132">
        <v>45313</v>
      </c>
      <c r="AO24" s="129">
        <v>0.76432870370370365</v>
      </c>
      <c r="AP24" s="125">
        <v>0</v>
      </c>
      <c r="AQ24" s="125">
        <v>0</v>
      </c>
      <c r="AR24" s="125">
        <v>0</v>
      </c>
      <c r="AS24" s="134">
        <f t="shared" ref="AS24" si="30">AVERAGE(AM24:AM28)</f>
        <v>9.8521999999999998</v>
      </c>
      <c r="AT24" s="130"/>
      <c r="AV24" s="125">
        <v>0</v>
      </c>
      <c r="AW24" s="125" t="s">
        <v>16</v>
      </c>
      <c r="AX24" s="125">
        <v>13824</v>
      </c>
      <c r="AY24" s="125">
        <v>64</v>
      </c>
      <c r="AZ24" s="125">
        <v>2</v>
      </c>
      <c r="BA24" s="125">
        <v>2</v>
      </c>
      <c r="BB24" s="125">
        <v>158.44</v>
      </c>
      <c r="BC24" s="124">
        <v>11.118</v>
      </c>
      <c r="BD24" s="132">
        <v>45313</v>
      </c>
      <c r="BE24" s="129">
        <v>0.76906249999999998</v>
      </c>
      <c r="BF24" s="125">
        <v>0</v>
      </c>
      <c r="BG24" s="125">
        <v>0</v>
      </c>
      <c r="BH24" s="125">
        <v>0</v>
      </c>
      <c r="BI24" s="133">
        <f t="shared" ref="BI24" si="31">AVERAGE(BC24:BC28)</f>
        <v>11.121599999999999</v>
      </c>
    </row>
    <row r="25" spans="1:61" x14ac:dyDescent="0.25">
      <c r="A25">
        <v>1</v>
      </c>
      <c r="B25" t="s">
        <v>16</v>
      </c>
      <c r="C25">
        <v>13824</v>
      </c>
      <c r="D25">
        <v>32</v>
      </c>
      <c r="E25">
        <v>2</v>
      </c>
      <c r="F25">
        <v>2</v>
      </c>
      <c r="G25">
        <v>197.84</v>
      </c>
      <c r="H25" s="139">
        <v>8.9033999999999995</v>
      </c>
      <c r="I25" s="33">
        <v>45608</v>
      </c>
      <c r="J25" s="37">
        <v>0.38056712962962963</v>
      </c>
      <c r="K25">
        <v>0</v>
      </c>
      <c r="L25">
        <v>0</v>
      </c>
      <c r="M25">
        <v>0</v>
      </c>
      <c r="N25" s="30">
        <f t="shared" ref="N25" si="32">N24</f>
        <v>8.9078799999999987</v>
      </c>
      <c r="P25">
        <v>1</v>
      </c>
      <c r="Q25" t="s">
        <v>16</v>
      </c>
      <c r="R25">
        <v>13824</v>
      </c>
      <c r="S25">
        <v>32</v>
      </c>
      <c r="T25">
        <v>2</v>
      </c>
      <c r="U25">
        <v>2</v>
      </c>
      <c r="V25">
        <v>170.7</v>
      </c>
      <c r="W25" s="139">
        <v>10.319000000000001</v>
      </c>
      <c r="X25" s="33">
        <v>45608</v>
      </c>
      <c r="Y25" s="37">
        <v>0.41638888888888886</v>
      </c>
      <c r="Z25">
        <v>0</v>
      </c>
      <c r="AA25">
        <v>0</v>
      </c>
      <c r="AB25">
        <v>0</v>
      </c>
      <c r="AC25" s="30">
        <f t="shared" ref="AC25" si="33">AC24</f>
        <v>10.4068</v>
      </c>
      <c r="AD25" s="17"/>
      <c r="AF25" s="125">
        <v>1</v>
      </c>
      <c r="AG25" s="125" t="s">
        <v>16</v>
      </c>
      <c r="AH25" s="125">
        <v>13824</v>
      </c>
      <c r="AI25" s="125">
        <v>64</v>
      </c>
      <c r="AJ25" s="125">
        <v>2</v>
      </c>
      <c r="AK25" s="125">
        <v>2</v>
      </c>
      <c r="AL25" s="125">
        <v>178.89</v>
      </c>
      <c r="AM25" s="124">
        <v>9.8467000000000002</v>
      </c>
      <c r="AN25" s="132">
        <v>45313</v>
      </c>
      <c r="AO25" s="129">
        <v>0.81607638888888889</v>
      </c>
      <c r="AP25" s="125">
        <v>0</v>
      </c>
      <c r="AQ25" s="125">
        <v>0</v>
      </c>
      <c r="AR25" s="125">
        <v>0</v>
      </c>
      <c r="AS25" s="134">
        <f t="shared" ref="AS25" si="34">AS24</f>
        <v>9.8521999999999998</v>
      </c>
      <c r="AT25" s="123"/>
      <c r="AV25" s="125">
        <v>1</v>
      </c>
      <c r="AW25" s="125" t="s">
        <v>16</v>
      </c>
      <c r="AX25" s="125">
        <v>13824</v>
      </c>
      <c r="AY25" s="125">
        <v>64</v>
      </c>
      <c r="AZ25" s="125">
        <v>2</v>
      </c>
      <c r="BA25" s="125">
        <v>2</v>
      </c>
      <c r="BB25" s="125">
        <v>158.4</v>
      </c>
      <c r="BC25" s="124">
        <v>11.12</v>
      </c>
      <c r="BD25" s="132">
        <v>45313</v>
      </c>
      <c r="BE25" s="129">
        <v>0.82777777777777783</v>
      </c>
      <c r="BF25" s="125">
        <v>0</v>
      </c>
      <c r="BG25" s="125">
        <v>0</v>
      </c>
      <c r="BH25" s="125">
        <v>0</v>
      </c>
      <c r="BI25" s="133">
        <f t="shared" ref="BI25" si="35">BI24</f>
        <v>11.121599999999999</v>
      </c>
    </row>
    <row r="26" spans="1:61" x14ac:dyDescent="0.25">
      <c r="A26">
        <v>2</v>
      </c>
      <c r="B26" t="s">
        <v>16</v>
      </c>
      <c r="C26">
        <v>13824</v>
      </c>
      <c r="D26">
        <v>32</v>
      </c>
      <c r="E26">
        <v>2</v>
      </c>
      <c r="F26">
        <v>2</v>
      </c>
      <c r="G26">
        <v>197.59</v>
      </c>
      <c r="H26" s="139">
        <v>8.9147999999999996</v>
      </c>
      <c r="I26" s="33">
        <v>45608</v>
      </c>
      <c r="J26" s="37">
        <v>0.43427083333333333</v>
      </c>
      <c r="K26">
        <v>0</v>
      </c>
      <c r="L26">
        <v>0</v>
      </c>
      <c r="M26">
        <v>0</v>
      </c>
      <c r="N26" s="30">
        <f t="shared" si="16"/>
        <v>8.9078799999999987</v>
      </c>
      <c r="P26">
        <v>2</v>
      </c>
      <c r="Q26" t="s">
        <v>16</v>
      </c>
      <c r="R26">
        <v>13824</v>
      </c>
      <c r="S26">
        <v>32</v>
      </c>
      <c r="T26">
        <v>2</v>
      </c>
      <c r="U26">
        <v>2</v>
      </c>
      <c r="V26">
        <v>168.81</v>
      </c>
      <c r="W26" s="139">
        <v>10.435</v>
      </c>
      <c r="X26" s="33">
        <v>45608</v>
      </c>
      <c r="Y26" s="37">
        <v>0.47618055555555555</v>
      </c>
      <c r="Z26">
        <v>0</v>
      </c>
      <c r="AA26">
        <v>0</v>
      </c>
      <c r="AB26">
        <v>0</v>
      </c>
      <c r="AC26" s="30">
        <f t="shared" si="17"/>
        <v>10.4068</v>
      </c>
      <c r="AD26" s="17"/>
      <c r="AF26" s="125">
        <v>2</v>
      </c>
      <c r="AG26" s="125" t="s">
        <v>16</v>
      </c>
      <c r="AH26" s="125">
        <v>13824</v>
      </c>
      <c r="AI26" s="125">
        <v>64</v>
      </c>
      <c r="AJ26" s="125">
        <v>2</v>
      </c>
      <c r="AK26" s="125">
        <v>2</v>
      </c>
      <c r="AL26" s="125">
        <v>179</v>
      </c>
      <c r="AM26" s="124">
        <v>9.8407999999999998</v>
      </c>
      <c r="AN26" s="132">
        <v>45313</v>
      </c>
      <c r="AO26" s="129">
        <v>0.86780092592592595</v>
      </c>
      <c r="AP26" s="125">
        <v>0</v>
      </c>
      <c r="AQ26" s="125">
        <v>0</v>
      </c>
      <c r="AR26" s="125">
        <v>0</v>
      </c>
      <c r="AS26" s="134">
        <f t="shared" si="18"/>
        <v>9.8521999999999998</v>
      </c>
      <c r="AT26" s="123"/>
      <c r="AV26" s="125">
        <v>2</v>
      </c>
      <c r="AW26" s="125" t="s">
        <v>16</v>
      </c>
      <c r="AX26" s="125">
        <v>13824</v>
      </c>
      <c r="AY26" s="125">
        <v>64</v>
      </c>
      <c r="AZ26" s="125">
        <v>2</v>
      </c>
      <c r="BA26" s="125">
        <v>2</v>
      </c>
      <c r="BB26" s="125">
        <v>158.66999999999999</v>
      </c>
      <c r="BC26" s="124">
        <v>11.101000000000001</v>
      </c>
      <c r="BD26" s="132">
        <v>45313</v>
      </c>
      <c r="BE26" s="129">
        <v>0.88650462962962961</v>
      </c>
      <c r="BF26" s="125">
        <v>0</v>
      </c>
      <c r="BG26" s="125">
        <v>0</v>
      </c>
      <c r="BH26" s="125">
        <v>0</v>
      </c>
      <c r="BI26" s="133">
        <f t="shared" si="8"/>
        <v>11.121599999999999</v>
      </c>
    </row>
    <row r="27" spans="1:61" x14ac:dyDescent="0.25">
      <c r="A27">
        <v>3</v>
      </c>
      <c r="B27" t="s">
        <v>16</v>
      </c>
      <c r="C27">
        <v>13824</v>
      </c>
      <c r="D27">
        <v>32</v>
      </c>
      <c r="E27">
        <v>2</v>
      </c>
      <c r="F27">
        <v>2</v>
      </c>
      <c r="G27">
        <v>197.7</v>
      </c>
      <c r="H27" s="139">
        <v>8.9098000000000006</v>
      </c>
      <c r="I27" s="33">
        <v>45608</v>
      </c>
      <c r="J27" s="37">
        <v>0.48798611111111112</v>
      </c>
      <c r="K27">
        <v>0</v>
      </c>
      <c r="L27">
        <v>0</v>
      </c>
      <c r="M27">
        <v>0</v>
      </c>
      <c r="N27" s="30">
        <f t="shared" si="16"/>
        <v>8.9078799999999987</v>
      </c>
      <c r="P27">
        <v>3</v>
      </c>
      <c r="Q27" t="s">
        <v>16</v>
      </c>
      <c r="R27">
        <v>13824</v>
      </c>
      <c r="S27">
        <v>32</v>
      </c>
      <c r="T27">
        <v>2</v>
      </c>
      <c r="U27">
        <v>2</v>
      </c>
      <c r="V27">
        <v>168.91</v>
      </c>
      <c r="W27" s="139">
        <v>10.429</v>
      </c>
      <c r="X27" s="33">
        <v>45608</v>
      </c>
      <c r="Y27" s="37">
        <v>0.58501157407407411</v>
      </c>
      <c r="Z27">
        <v>0</v>
      </c>
      <c r="AA27">
        <v>0</v>
      </c>
      <c r="AB27">
        <v>0</v>
      </c>
      <c r="AC27" s="30">
        <f t="shared" si="17"/>
        <v>10.4068</v>
      </c>
      <c r="AD27" s="17"/>
      <c r="AF27" s="125">
        <v>3</v>
      </c>
      <c r="AG27" s="125" t="s">
        <v>16</v>
      </c>
      <c r="AH27" s="125">
        <v>13824</v>
      </c>
      <c r="AI27" s="125">
        <v>64</v>
      </c>
      <c r="AJ27" s="125">
        <v>2</v>
      </c>
      <c r="AK27" s="125">
        <v>2</v>
      </c>
      <c r="AL27" s="125">
        <v>178.84</v>
      </c>
      <c r="AM27" s="124">
        <v>9.8496000000000006</v>
      </c>
      <c r="AN27" s="132">
        <v>45313</v>
      </c>
      <c r="AO27" s="129">
        <v>0.91953703703703704</v>
      </c>
      <c r="AP27" s="125">
        <v>0</v>
      </c>
      <c r="AQ27" s="125">
        <v>0</v>
      </c>
      <c r="AR27" s="125">
        <v>0</v>
      </c>
      <c r="AS27" s="134">
        <f t="shared" si="18"/>
        <v>9.8521999999999998</v>
      </c>
      <c r="AT27" s="123"/>
      <c r="AV27" s="125">
        <v>3</v>
      </c>
      <c r="AW27" s="125" t="s">
        <v>16</v>
      </c>
      <c r="AX27" s="125">
        <v>13824</v>
      </c>
      <c r="AY27" s="125">
        <v>64</v>
      </c>
      <c r="AZ27" s="125">
        <v>2</v>
      </c>
      <c r="BA27" s="125">
        <v>2</v>
      </c>
      <c r="BB27" s="125">
        <v>158.12</v>
      </c>
      <c r="BC27" s="124">
        <v>11.14</v>
      </c>
      <c r="BD27" s="132">
        <v>45313</v>
      </c>
      <c r="BE27" s="129">
        <v>0.94523148148148151</v>
      </c>
      <c r="BF27" s="125">
        <v>0</v>
      </c>
      <c r="BG27" s="125">
        <v>0</v>
      </c>
      <c r="BH27" s="125">
        <v>0</v>
      </c>
      <c r="BI27" s="133">
        <f t="shared" si="8"/>
        <v>11.121599999999999</v>
      </c>
    </row>
    <row r="28" spans="1:61" x14ac:dyDescent="0.25">
      <c r="A28">
        <v>4</v>
      </c>
      <c r="B28" t="s">
        <v>16</v>
      </c>
      <c r="C28">
        <v>13824</v>
      </c>
      <c r="D28">
        <v>32</v>
      </c>
      <c r="E28">
        <v>2</v>
      </c>
      <c r="F28">
        <v>2</v>
      </c>
      <c r="G28">
        <v>197.74</v>
      </c>
      <c r="H28" s="139">
        <v>8.9080999999999992</v>
      </c>
      <c r="I28" s="33">
        <v>45608</v>
      </c>
      <c r="J28" s="37">
        <v>0.59015046296296292</v>
      </c>
      <c r="K28">
        <v>0</v>
      </c>
      <c r="L28">
        <v>0</v>
      </c>
      <c r="M28">
        <v>0</v>
      </c>
      <c r="N28" s="30">
        <f t="shared" si="16"/>
        <v>8.9078799999999987</v>
      </c>
      <c r="P28">
        <v>4</v>
      </c>
      <c r="Q28" t="s">
        <v>16</v>
      </c>
      <c r="R28">
        <v>13824</v>
      </c>
      <c r="S28">
        <v>32</v>
      </c>
      <c r="T28">
        <v>2</v>
      </c>
      <c r="U28">
        <v>2</v>
      </c>
      <c r="V28">
        <v>169.15</v>
      </c>
      <c r="W28" s="139">
        <v>10.414</v>
      </c>
      <c r="X28" s="33">
        <v>45608</v>
      </c>
      <c r="Y28" s="37">
        <v>0.64486111111111111</v>
      </c>
      <c r="Z28">
        <v>0</v>
      </c>
      <c r="AA28">
        <v>0</v>
      </c>
      <c r="AB28">
        <v>0</v>
      </c>
      <c r="AC28" s="30">
        <f t="shared" si="17"/>
        <v>10.4068</v>
      </c>
      <c r="AD28" s="17"/>
      <c r="AF28" s="125">
        <v>4</v>
      </c>
      <c r="AG28" s="125" t="s">
        <v>16</v>
      </c>
      <c r="AH28" s="125">
        <v>13824</v>
      </c>
      <c r="AI28" s="125">
        <v>64</v>
      </c>
      <c r="AJ28" s="125">
        <v>2</v>
      </c>
      <c r="AK28" s="125">
        <v>2</v>
      </c>
      <c r="AL28" s="125">
        <v>178.69</v>
      </c>
      <c r="AM28" s="124">
        <v>9.8577999999999992</v>
      </c>
      <c r="AN28" s="132">
        <v>45313</v>
      </c>
      <c r="AO28" s="129">
        <v>0.9712615740740741</v>
      </c>
      <c r="AP28" s="125">
        <v>0</v>
      </c>
      <c r="AQ28" s="125">
        <v>0</v>
      </c>
      <c r="AR28" s="125">
        <v>0</v>
      </c>
      <c r="AS28" s="134">
        <f t="shared" si="18"/>
        <v>9.8521999999999998</v>
      </c>
      <c r="AT28" s="123"/>
      <c r="AV28" s="125">
        <v>4</v>
      </c>
      <c r="AW28" s="125" t="s">
        <v>16</v>
      </c>
      <c r="AX28" s="125">
        <v>13824</v>
      </c>
      <c r="AY28" s="125">
        <v>64</v>
      </c>
      <c r="AZ28" s="125">
        <v>2</v>
      </c>
      <c r="BA28" s="125">
        <v>2</v>
      </c>
      <c r="BB28" s="125">
        <v>158.29</v>
      </c>
      <c r="BC28" s="124">
        <v>11.129</v>
      </c>
      <c r="BD28" s="132">
        <v>45314</v>
      </c>
      <c r="BE28" s="129">
        <v>3.9467592592592592E-3</v>
      </c>
      <c r="BF28" s="125">
        <v>0</v>
      </c>
      <c r="BG28" s="125">
        <v>0</v>
      </c>
      <c r="BH28" s="125">
        <v>0</v>
      </c>
      <c r="BI28" s="133">
        <f t="shared" si="8"/>
        <v>11.121599999999999</v>
      </c>
    </row>
    <row r="29" spans="1:61" x14ac:dyDescent="0.25">
      <c r="A29">
        <v>0</v>
      </c>
      <c r="B29" t="s">
        <v>16</v>
      </c>
      <c r="C29">
        <v>14592</v>
      </c>
      <c r="D29">
        <v>32</v>
      </c>
      <c r="E29">
        <v>2</v>
      </c>
      <c r="F29">
        <v>2</v>
      </c>
      <c r="G29">
        <v>229.34</v>
      </c>
      <c r="H29" s="139">
        <v>9.0332000000000008</v>
      </c>
      <c r="I29" s="33">
        <v>45608</v>
      </c>
      <c r="J29" s="37">
        <v>0.34557870370370369</v>
      </c>
      <c r="K29">
        <v>0</v>
      </c>
      <c r="L29">
        <v>0</v>
      </c>
      <c r="M29">
        <v>0</v>
      </c>
      <c r="N29" s="30">
        <f t="shared" ref="N29" si="36">AVERAGE(H29:H33)</f>
        <v>9.0344999999999995</v>
      </c>
      <c r="P29">
        <v>0</v>
      </c>
      <c r="Q29" t="s">
        <v>16</v>
      </c>
      <c r="R29">
        <v>14592</v>
      </c>
      <c r="S29">
        <v>32</v>
      </c>
      <c r="T29">
        <v>2</v>
      </c>
      <c r="U29">
        <v>2</v>
      </c>
      <c r="V29">
        <v>195.96</v>
      </c>
      <c r="W29" s="139">
        <v>10.571999999999999</v>
      </c>
      <c r="X29" s="33">
        <v>45608</v>
      </c>
      <c r="Y29" s="37">
        <v>0.37721064814814814</v>
      </c>
      <c r="Z29">
        <v>0</v>
      </c>
      <c r="AA29">
        <v>0</v>
      </c>
      <c r="AB29">
        <v>0</v>
      </c>
      <c r="AC29" s="30">
        <f t="shared" ref="AC29" si="37">AVERAGE(W29:W33)</f>
        <v>10.5428</v>
      </c>
      <c r="AD29" s="17"/>
      <c r="AF29" s="125">
        <v>0</v>
      </c>
      <c r="AG29" s="125" t="s">
        <v>16</v>
      </c>
      <c r="AH29" s="125">
        <v>14592</v>
      </c>
      <c r="AI29" s="125">
        <v>64</v>
      </c>
      <c r="AJ29" s="125">
        <v>2</v>
      </c>
      <c r="AK29" s="125">
        <v>2</v>
      </c>
      <c r="AL29" s="125">
        <v>204.56</v>
      </c>
      <c r="AM29" s="124">
        <v>10.127000000000001</v>
      </c>
      <c r="AN29" s="132">
        <v>45313</v>
      </c>
      <c r="AO29" s="129">
        <v>0.78240740740740744</v>
      </c>
      <c r="AP29" s="125">
        <v>0</v>
      </c>
      <c r="AQ29" s="125">
        <v>0</v>
      </c>
      <c r="AR29" s="125">
        <v>0</v>
      </c>
      <c r="AS29" s="134">
        <f t="shared" ref="AS29" si="38">AVERAGE(AM29:AM33)</f>
        <v>10.124000000000001</v>
      </c>
      <c r="AT29" s="130"/>
      <c r="AV29" s="125">
        <v>0</v>
      </c>
      <c r="AW29" s="125" t="s">
        <v>16</v>
      </c>
      <c r="AX29" s="125">
        <v>14592</v>
      </c>
      <c r="AY29" s="125">
        <v>64</v>
      </c>
      <c r="AZ29" s="125">
        <v>2</v>
      </c>
      <c r="BA29" s="125">
        <v>2</v>
      </c>
      <c r="BB29" s="125">
        <v>184.46</v>
      </c>
      <c r="BC29" s="124">
        <v>11.231</v>
      </c>
      <c r="BD29" s="132">
        <v>45313</v>
      </c>
      <c r="BE29" s="129">
        <v>0.78937500000000005</v>
      </c>
      <c r="BF29" s="125">
        <v>0</v>
      </c>
      <c r="BG29" s="125">
        <v>0</v>
      </c>
      <c r="BH29" s="125">
        <v>0</v>
      </c>
      <c r="BI29" s="133">
        <f t="shared" ref="BI29" si="39">AVERAGE(BC29:BC33)</f>
        <v>11.2464</v>
      </c>
    </row>
    <row r="30" spans="1:61" x14ac:dyDescent="0.25">
      <c r="A30">
        <v>1</v>
      </c>
      <c r="B30" t="s">
        <v>16</v>
      </c>
      <c r="C30">
        <v>14592</v>
      </c>
      <c r="D30">
        <v>32</v>
      </c>
      <c r="E30">
        <v>2</v>
      </c>
      <c r="F30">
        <v>2</v>
      </c>
      <c r="G30">
        <v>229.12</v>
      </c>
      <c r="H30" s="139">
        <v>9.0417000000000005</v>
      </c>
      <c r="I30" s="33">
        <v>45608</v>
      </c>
      <c r="J30" s="37">
        <v>0.39934027777777775</v>
      </c>
      <c r="K30">
        <v>0</v>
      </c>
      <c r="L30">
        <v>0</v>
      </c>
      <c r="M30">
        <v>0</v>
      </c>
      <c r="N30" s="30">
        <f t="shared" ref="N30" si="40">N29</f>
        <v>9.0344999999999995</v>
      </c>
      <c r="P30">
        <v>1</v>
      </c>
      <c r="Q30" t="s">
        <v>16</v>
      </c>
      <c r="R30">
        <v>14592</v>
      </c>
      <c r="S30">
        <v>32</v>
      </c>
      <c r="T30">
        <v>2</v>
      </c>
      <c r="U30">
        <v>2</v>
      </c>
      <c r="V30">
        <v>196.11</v>
      </c>
      <c r="W30" s="139">
        <v>10.564</v>
      </c>
      <c r="X30" s="33">
        <v>45608</v>
      </c>
      <c r="Y30" s="37">
        <v>0.43701388888888887</v>
      </c>
      <c r="Z30">
        <v>0</v>
      </c>
      <c r="AA30">
        <v>0</v>
      </c>
      <c r="AB30">
        <v>0</v>
      </c>
      <c r="AC30" s="30">
        <f t="shared" ref="AC30" si="41">AC29</f>
        <v>10.5428</v>
      </c>
      <c r="AD30" s="17"/>
      <c r="AF30" s="125">
        <v>1</v>
      </c>
      <c r="AG30" s="125" t="s">
        <v>16</v>
      </c>
      <c r="AH30" s="125">
        <v>14592</v>
      </c>
      <c r="AI30" s="125">
        <v>64</v>
      </c>
      <c r="AJ30" s="125">
        <v>2</v>
      </c>
      <c r="AK30" s="125">
        <v>2</v>
      </c>
      <c r="AL30" s="125">
        <v>204.58</v>
      </c>
      <c r="AM30" s="124">
        <v>10.125999999999999</v>
      </c>
      <c r="AN30" s="132">
        <v>45313</v>
      </c>
      <c r="AO30" s="129">
        <v>0.83415509259259257</v>
      </c>
      <c r="AP30" s="125">
        <v>0</v>
      </c>
      <c r="AQ30" s="125">
        <v>0</v>
      </c>
      <c r="AR30" s="125">
        <v>0</v>
      </c>
      <c r="AS30" s="134">
        <f t="shared" ref="AS30" si="42">AS29</f>
        <v>10.124000000000001</v>
      </c>
      <c r="AT30" s="123"/>
      <c r="AV30" s="125">
        <v>1</v>
      </c>
      <c r="AW30" s="125" t="s">
        <v>16</v>
      </c>
      <c r="AX30" s="125">
        <v>14592</v>
      </c>
      <c r="AY30" s="125">
        <v>64</v>
      </c>
      <c r="AZ30" s="125">
        <v>2</v>
      </c>
      <c r="BA30" s="125">
        <v>2</v>
      </c>
      <c r="BB30" s="125">
        <v>183.97</v>
      </c>
      <c r="BC30" s="124">
        <v>11.260999999999999</v>
      </c>
      <c r="BD30" s="132">
        <v>45313</v>
      </c>
      <c r="BE30" s="129">
        <v>0.84809027777777779</v>
      </c>
      <c r="BF30" s="125">
        <v>0</v>
      </c>
      <c r="BG30" s="125">
        <v>0</v>
      </c>
      <c r="BH30" s="125">
        <v>0</v>
      </c>
      <c r="BI30" s="133">
        <f t="shared" ref="BI30" si="43">BI29</f>
        <v>11.2464</v>
      </c>
    </row>
    <row r="31" spans="1:61" x14ac:dyDescent="0.25">
      <c r="A31">
        <v>2</v>
      </c>
      <c r="B31" t="s">
        <v>16</v>
      </c>
      <c r="C31">
        <v>14592</v>
      </c>
      <c r="D31">
        <v>32</v>
      </c>
      <c r="E31">
        <v>2</v>
      </c>
      <c r="F31">
        <v>2</v>
      </c>
      <c r="G31">
        <v>229.34</v>
      </c>
      <c r="H31" s="139">
        <v>9.0330999999999992</v>
      </c>
      <c r="I31" s="33">
        <v>45608</v>
      </c>
      <c r="J31" s="37">
        <v>0.45304398148148151</v>
      </c>
      <c r="K31">
        <v>0</v>
      </c>
      <c r="L31">
        <v>0</v>
      </c>
      <c r="M31">
        <v>0</v>
      </c>
      <c r="N31" s="30">
        <f t="shared" si="24"/>
        <v>9.0344999999999995</v>
      </c>
      <c r="P31">
        <v>2</v>
      </c>
      <c r="Q31" t="s">
        <v>16</v>
      </c>
      <c r="R31">
        <v>14592</v>
      </c>
      <c r="S31">
        <v>32</v>
      </c>
      <c r="T31">
        <v>2</v>
      </c>
      <c r="U31">
        <v>2</v>
      </c>
      <c r="V31">
        <v>196.46</v>
      </c>
      <c r="W31" s="139">
        <v>10.545</v>
      </c>
      <c r="X31" s="33">
        <v>45608</v>
      </c>
      <c r="Y31" s="37">
        <v>0.49681712962962965</v>
      </c>
      <c r="Z31">
        <v>0</v>
      </c>
      <c r="AA31">
        <v>0</v>
      </c>
      <c r="AB31">
        <v>0</v>
      </c>
      <c r="AC31" s="30">
        <f t="shared" si="25"/>
        <v>10.5428</v>
      </c>
      <c r="AD31" s="17"/>
      <c r="AF31" s="125">
        <v>2</v>
      </c>
      <c r="AG31" s="125" t="s">
        <v>16</v>
      </c>
      <c r="AH31" s="125">
        <v>14592</v>
      </c>
      <c r="AI31" s="125">
        <v>64</v>
      </c>
      <c r="AJ31" s="125">
        <v>2</v>
      </c>
      <c r="AK31" s="125">
        <v>2</v>
      </c>
      <c r="AL31" s="125">
        <v>204.5</v>
      </c>
      <c r="AM31" s="124">
        <v>10.131</v>
      </c>
      <c r="AN31" s="132">
        <v>45313</v>
      </c>
      <c r="AO31" s="129">
        <v>0.88589120370370367</v>
      </c>
      <c r="AP31" s="125">
        <v>0</v>
      </c>
      <c r="AQ31" s="125">
        <v>0</v>
      </c>
      <c r="AR31" s="125">
        <v>0</v>
      </c>
      <c r="AS31" s="134">
        <f t="shared" si="26"/>
        <v>10.124000000000001</v>
      </c>
      <c r="AT31" s="123"/>
      <c r="AV31" s="125">
        <v>2</v>
      </c>
      <c r="AW31" s="125" t="s">
        <v>16</v>
      </c>
      <c r="AX31" s="125">
        <v>14592</v>
      </c>
      <c r="AY31" s="125">
        <v>64</v>
      </c>
      <c r="AZ31" s="125">
        <v>2</v>
      </c>
      <c r="BA31" s="125">
        <v>2</v>
      </c>
      <c r="BB31" s="125">
        <v>184.2</v>
      </c>
      <c r="BC31" s="124">
        <v>11.247</v>
      </c>
      <c r="BD31" s="132">
        <v>45313</v>
      </c>
      <c r="BE31" s="129">
        <v>0.90680555555555553</v>
      </c>
      <c r="BF31" s="125">
        <v>0</v>
      </c>
      <c r="BG31" s="125">
        <v>0</v>
      </c>
      <c r="BH31" s="125">
        <v>0</v>
      </c>
      <c r="BI31" s="133">
        <f t="shared" si="8"/>
        <v>11.2464</v>
      </c>
    </row>
    <row r="32" spans="1:61" x14ac:dyDescent="0.25">
      <c r="A32">
        <v>3</v>
      </c>
      <c r="B32" t="s">
        <v>16</v>
      </c>
      <c r="C32">
        <v>14592</v>
      </c>
      <c r="D32">
        <v>32</v>
      </c>
      <c r="E32">
        <v>2</v>
      </c>
      <c r="F32">
        <v>2</v>
      </c>
      <c r="G32">
        <v>229.06</v>
      </c>
      <c r="H32" s="139">
        <v>9.0441000000000003</v>
      </c>
      <c r="I32" s="33">
        <v>45608</v>
      </c>
      <c r="J32" s="37">
        <v>0.50675925925925924</v>
      </c>
      <c r="K32">
        <v>0</v>
      </c>
      <c r="L32">
        <v>0</v>
      </c>
      <c r="M32">
        <v>0</v>
      </c>
      <c r="N32" s="30">
        <f t="shared" si="24"/>
        <v>9.0344999999999995</v>
      </c>
      <c r="P32">
        <v>3</v>
      </c>
      <c r="Q32" t="s">
        <v>16</v>
      </c>
      <c r="R32">
        <v>14592</v>
      </c>
      <c r="S32">
        <v>32</v>
      </c>
      <c r="T32">
        <v>2</v>
      </c>
      <c r="U32">
        <v>2</v>
      </c>
      <c r="V32">
        <v>197.57</v>
      </c>
      <c r="W32" s="139">
        <v>10.486000000000001</v>
      </c>
      <c r="X32" s="33">
        <v>45608</v>
      </c>
      <c r="Y32" s="37">
        <v>0.6056597222222222</v>
      </c>
      <c r="Z32">
        <v>0</v>
      </c>
      <c r="AA32">
        <v>0</v>
      </c>
      <c r="AB32">
        <v>0</v>
      </c>
      <c r="AC32" s="30">
        <f t="shared" si="25"/>
        <v>10.5428</v>
      </c>
      <c r="AD32" s="17"/>
      <c r="AF32" s="125">
        <v>3</v>
      </c>
      <c r="AG32" s="125" t="s">
        <v>16</v>
      </c>
      <c r="AH32" s="125">
        <v>14592</v>
      </c>
      <c r="AI32" s="125">
        <v>64</v>
      </c>
      <c r="AJ32" s="125">
        <v>2</v>
      </c>
      <c r="AK32" s="125">
        <v>2</v>
      </c>
      <c r="AL32" s="125">
        <v>204.74</v>
      </c>
      <c r="AM32" s="124">
        <v>10.119</v>
      </c>
      <c r="AN32" s="132">
        <v>45313</v>
      </c>
      <c r="AO32" s="129">
        <v>0.93761574074074072</v>
      </c>
      <c r="AP32" s="125">
        <v>0</v>
      </c>
      <c r="AQ32" s="125">
        <v>0</v>
      </c>
      <c r="AR32" s="125">
        <v>0</v>
      </c>
      <c r="AS32" s="134">
        <f t="shared" si="26"/>
        <v>10.124000000000001</v>
      </c>
      <c r="AT32" s="123"/>
      <c r="AV32" s="125">
        <v>3</v>
      </c>
      <c r="AW32" s="125" t="s">
        <v>16</v>
      </c>
      <c r="AX32" s="125">
        <v>14592</v>
      </c>
      <c r="AY32" s="125">
        <v>64</v>
      </c>
      <c r="AZ32" s="125">
        <v>2</v>
      </c>
      <c r="BA32" s="125">
        <v>2</v>
      </c>
      <c r="BB32" s="125">
        <v>184.31</v>
      </c>
      <c r="BC32" s="124">
        <v>11.24</v>
      </c>
      <c r="BD32" s="132">
        <v>45313</v>
      </c>
      <c r="BE32" s="129">
        <v>0.96553240740740742</v>
      </c>
      <c r="BF32" s="125">
        <v>0</v>
      </c>
      <c r="BG32" s="125">
        <v>0</v>
      </c>
      <c r="BH32" s="125">
        <v>0</v>
      </c>
      <c r="BI32" s="133">
        <f t="shared" si="8"/>
        <v>11.2464</v>
      </c>
    </row>
    <row r="33" spans="1:61" x14ac:dyDescent="0.25">
      <c r="A33">
        <v>4</v>
      </c>
      <c r="B33" t="s">
        <v>16</v>
      </c>
      <c r="C33">
        <v>14592</v>
      </c>
      <c r="D33">
        <v>32</v>
      </c>
      <c r="E33">
        <v>2</v>
      </c>
      <c r="F33">
        <v>2</v>
      </c>
      <c r="G33">
        <v>229.67</v>
      </c>
      <c r="H33" s="139">
        <v>9.0204000000000004</v>
      </c>
      <c r="I33" s="33">
        <v>45608</v>
      </c>
      <c r="J33" s="37">
        <v>0.60892361111111115</v>
      </c>
      <c r="K33">
        <v>0</v>
      </c>
      <c r="L33">
        <v>0</v>
      </c>
      <c r="M33">
        <v>0</v>
      </c>
      <c r="N33" s="30">
        <f t="shared" si="24"/>
        <v>9.0344999999999995</v>
      </c>
      <c r="P33">
        <v>4</v>
      </c>
      <c r="Q33" t="s">
        <v>16</v>
      </c>
      <c r="R33">
        <v>14592</v>
      </c>
      <c r="S33">
        <v>32</v>
      </c>
      <c r="T33">
        <v>2</v>
      </c>
      <c r="U33">
        <v>2</v>
      </c>
      <c r="V33">
        <v>196.43</v>
      </c>
      <c r="W33" s="139">
        <v>10.547000000000001</v>
      </c>
      <c r="X33" s="33">
        <v>45608</v>
      </c>
      <c r="Y33" s="37">
        <v>0.72606481481481477</v>
      </c>
      <c r="Z33">
        <v>0</v>
      </c>
      <c r="AA33">
        <v>0</v>
      </c>
      <c r="AB33">
        <v>0</v>
      </c>
      <c r="AC33" s="30">
        <f t="shared" si="25"/>
        <v>10.5428</v>
      </c>
      <c r="AD33" s="17"/>
      <c r="AF33" s="125">
        <v>4</v>
      </c>
      <c r="AG33" s="125" t="s">
        <v>16</v>
      </c>
      <c r="AH33" s="125">
        <v>14592</v>
      </c>
      <c r="AI33" s="125">
        <v>64</v>
      </c>
      <c r="AJ33" s="125">
        <v>2</v>
      </c>
      <c r="AK33" s="125">
        <v>2</v>
      </c>
      <c r="AL33" s="125">
        <v>204.77</v>
      </c>
      <c r="AM33" s="124">
        <v>10.117000000000001</v>
      </c>
      <c r="AN33" s="132">
        <v>45313</v>
      </c>
      <c r="AO33" s="129">
        <v>0.98935185185185182</v>
      </c>
      <c r="AP33" s="125">
        <v>0</v>
      </c>
      <c r="AQ33" s="125">
        <v>0</v>
      </c>
      <c r="AR33" s="125">
        <v>0</v>
      </c>
      <c r="AS33" s="134">
        <f t="shared" si="26"/>
        <v>10.124000000000001</v>
      </c>
      <c r="AT33" s="123"/>
      <c r="AV33" s="125">
        <v>4</v>
      </c>
      <c r="AW33" s="125" t="s">
        <v>16</v>
      </c>
      <c r="AX33" s="125">
        <v>14592</v>
      </c>
      <c r="AY33" s="125">
        <v>64</v>
      </c>
      <c r="AZ33" s="125">
        <v>2</v>
      </c>
      <c r="BA33" s="125">
        <v>2</v>
      </c>
      <c r="BB33" s="125">
        <v>184.09</v>
      </c>
      <c r="BC33" s="124">
        <v>11.253</v>
      </c>
      <c r="BD33" s="132">
        <v>45314</v>
      </c>
      <c r="BE33" s="129">
        <v>2.4236111111111111E-2</v>
      </c>
      <c r="BF33" s="125">
        <v>0</v>
      </c>
      <c r="BG33" s="125">
        <v>0</v>
      </c>
      <c r="BH33" s="125">
        <v>0</v>
      </c>
      <c r="BI33" s="133">
        <f t="shared" si="8"/>
        <v>11.2464</v>
      </c>
    </row>
    <row r="34" spans="1:61" x14ac:dyDescent="0.25">
      <c r="A34">
        <v>0</v>
      </c>
      <c r="B34" t="s">
        <v>16</v>
      </c>
      <c r="C34">
        <v>13056</v>
      </c>
      <c r="D34">
        <v>64</v>
      </c>
      <c r="E34">
        <v>1</v>
      </c>
      <c r="F34">
        <v>4</v>
      </c>
      <c r="G34">
        <v>148.88999999999999</v>
      </c>
      <c r="H34" s="17">
        <v>9.9663000000000004</v>
      </c>
      <c r="I34" s="33">
        <v>45313</v>
      </c>
      <c r="J34" s="37">
        <v>0.83884259259259253</v>
      </c>
      <c r="K34">
        <v>0</v>
      </c>
      <c r="L34">
        <v>0</v>
      </c>
      <c r="M34">
        <v>0</v>
      </c>
      <c r="N34" s="30">
        <f t="shared" ref="N34" si="44">AVERAGE(H34:H38)</f>
        <v>9.965819999999999</v>
      </c>
      <c r="P34">
        <v>0</v>
      </c>
      <c r="Q34" t="s">
        <v>16</v>
      </c>
      <c r="R34">
        <v>13056</v>
      </c>
      <c r="S34">
        <v>64</v>
      </c>
      <c r="T34">
        <v>1</v>
      </c>
      <c r="U34">
        <v>4</v>
      </c>
      <c r="V34">
        <v>132.96</v>
      </c>
      <c r="W34" s="17">
        <v>11.161</v>
      </c>
      <c r="X34" s="33">
        <v>45313</v>
      </c>
      <c r="Y34" s="37">
        <v>0.75658564814814822</v>
      </c>
      <c r="Z34">
        <v>0</v>
      </c>
      <c r="AA34">
        <v>0</v>
      </c>
      <c r="AB34">
        <v>0</v>
      </c>
      <c r="AC34" s="30">
        <f t="shared" ref="AC34" si="45">AVERAGE(W34:W38)</f>
        <v>11.176399999999997</v>
      </c>
      <c r="AD34" s="17"/>
      <c r="AF34" s="125">
        <v>0</v>
      </c>
      <c r="AG34" s="125" t="s">
        <v>16</v>
      </c>
      <c r="AH34" s="125">
        <v>13056</v>
      </c>
      <c r="AI34" s="125">
        <v>128</v>
      </c>
      <c r="AJ34" s="125">
        <v>1</v>
      </c>
      <c r="AK34" s="125">
        <v>4</v>
      </c>
      <c r="AL34" s="125">
        <v>145.83000000000001</v>
      </c>
      <c r="AM34" s="124">
        <v>10.176</v>
      </c>
      <c r="AN34" s="132">
        <v>45313</v>
      </c>
      <c r="AO34" s="129">
        <v>0.75085648148148154</v>
      </c>
      <c r="AP34" s="125">
        <v>0</v>
      </c>
      <c r="AQ34" s="125">
        <v>0</v>
      </c>
      <c r="AR34" s="125">
        <v>0</v>
      </c>
      <c r="AS34" s="134">
        <f t="shared" ref="AS34" si="46">AVERAGE(AM34:AM38)</f>
        <v>10.180199999999999</v>
      </c>
      <c r="AT34" s="130"/>
      <c r="AV34" s="125">
        <v>0</v>
      </c>
      <c r="AW34" s="125" t="s">
        <v>16</v>
      </c>
      <c r="AX34" s="125">
        <v>13056</v>
      </c>
      <c r="AY34" s="125">
        <v>128</v>
      </c>
      <c r="AZ34" s="125">
        <v>1</v>
      </c>
      <c r="BA34" s="125">
        <v>4</v>
      </c>
      <c r="BB34" s="125">
        <v>133.44</v>
      </c>
      <c r="BC34" s="124">
        <v>11.121</v>
      </c>
      <c r="BD34" s="132">
        <v>45313</v>
      </c>
      <c r="BE34" s="129">
        <v>0.75372685185185195</v>
      </c>
      <c r="BF34" s="125">
        <v>0</v>
      </c>
      <c r="BG34" s="125">
        <v>0</v>
      </c>
      <c r="BH34" s="125">
        <v>0</v>
      </c>
      <c r="BI34" s="133">
        <f t="shared" ref="BI34" si="47">AVERAGE(BC34:BC38)</f>
        <v>11.111000000000001</v>
      </c>
    </row>
    <row r="35" spans="1:61" x14ac:dyDescent="0.25">
      <c r="A35">
        <v>1</v>
      </c>
      <c r="B35" t="s">
        <v>16</v>
      </c>
      <c r="C35">
        <v>13056</v>
      </c>
      <c r="D35">
        <v>64</v>
      </c>
      <c r="E35">
        <v>1</v>
      </c>
      <c r="F35">
        <v>4</v>
      </c>
      <c r="G35">
        <v>148.80000000000001</v>
      </c>
      <c r="H35" s="17">
        <v>9.9727999999999994</v>
      </c>
      <c r="I35" s="33">
        <v>45313</v>
      </c>
      <c r="J35" s="37">
        <v>0.84070601851851856</v>
      </c>
      <c r="K35">
        <v>0</v>
      </c>
      <c r="L35">
        <v>0</v>
      </c>
      <c r="M35">
        <v>0</v>
      </c>
      <c r="N35" s="30">
        <f t="shared" ref="N35" si="48">N34</f>
        <v>9.965819999999999</v>
      </c>
      <c r="P35">
        <v>1</v>
      </c>
      <c r="Q35" t="s">
        <v>16</v>
      </c>
      <c r="R35">
        <v>13056</v>
      </c>
      <c r="S35">
        <v>64</v>
      </c>
      <c r="T35">
        <v>1</v>
      </c>
      <c r="U35">
        <v>4</v>
      </c>
      <c r="V35">
        <v>132.76</v>
      </c>
      <c r="W35" s="17">
        <v>11.178000000000001</v>
      </c>
      <c r="X35" s="33">
        <v>45313</v>
      </c>
      <c r="Y35" s="37">
        <v>0.78802083333333339</v>
      </c>
      <c r="Z35">
        <v>0</v>
      </c>
      <c r="AA35">
        <v>0</v>
      </c>
      <c r="AB35">
        <v>0</v>
      </c>
      <c r="AC35" s="30">
        <f t="shared" ref="AC35" si="49">AC34</f>
        <v>11.176399999999997</v>
      </c>
      <c r="AD35" s="17"/>
      <c r="AF35" s="125">
        <v>1</v>
      </c>
      <c r="AG35" s="125" t="s">
        <v>16</v>
      </c>
      <c r="AH35" s="125">
        <v>13056</v>
      </c>
      <c r="AI35" s="125">
        <v>128</v>
      </c>
      <c r="AJ35" s="125">
        <v>1</v>
      </c>
      <c r="AK35" s="125">
        <v>4</v>
      </c>
      <c r="AL35" s="125">
        <v>145.71</v>
      </c>
      <c r="AM35" s="124">
        <v>10.183999999999999</v>
      </c>
      <c r="AN35" s="132">
        <v>45313</v>
      </c>
      <c r="AO35" s="129">
        <v>0.80260416666666667</v>
      </c>
      <c r="AP35" s="125">
        <v>0</v>
      </c>
      <c r="AQ35" s="125">
        <v>0</v>
      </c>
      <c r="AR35" s="125">
        <v>0</v>
      </c>
      <c r="AS35" s="134">
        <f t="shared" ref="AS35" si="50">AS34</f>
        <v>10.180199999999999</v>
      </c>
      <c r="AT35" s="123"/>
      <c r="AV35" s="125">
        <v>1</v>
      </c>
      <c r="AW35" s="125" t="s">
        <v>16</v>
      </c>
      <c r="AX35" s="125">
        <v>13056</v>
      </c>
      <c r="AY35" s="125">
        <v>128</v>
      </c>
      <c r="AZ35" s="125">
        <v>1</v>
      </c>
      <c r="BA35" s="125">
        <v>4</v>
      </c>
      <c r="BB35" s="125">
        <v>133.55000000000001</v>
      </c>
      <c r="BC35" s="124">
        <v>11.112</v>
      </c>
      <c r="BD35" s="132">
        <v>45313</v>
      </c>
      <c r="BE35" s="129">
        <v>0.81245370370370373</v>
      </c>
      <c r="BF35" s="125">
        <v>0</v>
      </c>
      <c r="BG35" s="125">
        <v>0</v>
      </c>
      <c r="BH35" s="125">
        <v>0</v>
      </c>
      <c r="BI35" s="133">
        <f t="shared" ref="BI35" si="51">BI34</f>
        <v>11.111000000000001</v>
      </c>
    </row>
    <row r="36" spans="1:61" x14ac:dyDescent="0.25">
      <c r="A36">
        <v>2</v>
      </c>
      <c r="B36" t="s">
        <v>16</v>
      </c>
      <c r="C36">
        <v>13056</v>
      </c>
      <c r="D36">
        <v>64</v>
      </c>
      <c r="E36">
        <v>1</v>
      </c>
      <c r="F36">
        <v>4</v>
      </c>
      <c r="G36">
        <v>148.94999999999999</v>
      </c>
      <c r="H36" s="17">
        <v>9.9624000000000006</v>
      </c>
      <c r="I36" s="33">
        <v>45313</v>
      </c>
      <c r="J36" s="37">
        <v>0.86435185185185182</v>
      </c>
      <c r="K36">
        <v>0</v>
      </c>
      <c r="L36">
        <v>0</v>
      </c>
      <c r="M36">
        <v>0</v>
      </c>
      <c r="N36" s="30">
        <f t="shared" si="16"/>
        <v>9.965819999999999</v>
      </c>
      <c r="P36">
        <v>2</v>
      </c>
      <c r="Q36" t="s">
        <v>16</v>
      </c>
      <c r="R36">
        <v>13056</v>
      </c>
      <c r="S36">
        <v>64</v>
      </c>
      <c r="T36">
        <v>1</v>
      </c>
      <c r="U36">
        <v>4</v>
      </c>
      <c r="V36">
        <v>132.68</v>
      </c>
      <c r="W36" s="17">
        <v>11.183999999999999</v>
      </c>
      <c r="X36" s="33">
        <v>45313</v>
      </c>
      <c r="Y36" s="37">
        <v>0.84672453703703709</v>
      </c>
      <c r="Z36">
        <v>0</v>
      </c>
      <c r="AA36">
        <v>0</v>
      </c>
      <c r="AB36">
        <v>0</v>
      </c>
      <c r="AC36" s="30">
        <f t="shared" si="17"/>
        <v>11.176399999999997</v>
      </c>
      <c r="AD36" s="17"/>
      <c r="AF36" s="125">
        <v>2</v>
      </c>
      <c r="AG36" s="125" t="s">
        <v>16</v>
      </c>
      <c r="AH36" s="125">
        <v>13056</v>
      </c>
      <c r="AI36" s="125">
        <v>128</v>
      </c>
      <c r="AJ36" s="125">
        <v>1</v>
      </c>
      <c r="AK36" s="125">
        <v>4</v>
      </c>
      <c r="AL36" s="125">
        <v>145.72</v>
      </c>
      <c r="AM36" s="124">
        <v>10.183</v>
      </c>
      <c r="AN36" s="132">
        <v>45313</v>
      </c>
      <c r="AO36" s="129">
        <v>0.85432870370370362</v>
      </c>
      <c r="AP36" s="125">
        <v>0</v>
      </c>
      <c r="AQ36" s="125">
        <v>0</v>
      </c>
      <c r="AR36" s="125">
        <v>0</v>
      </c>
      <c r="AS36" s="134">
        <f t="shared" si="18"/>
        <v>10.180199999999999</v>
      </c>
      <c r="AT36" s="123"/>
      <c r="AV36" s="125">
        <v>2</v>
      </c>
      <c r="AW36" s="125" t="s">
        <v>16</v>
      </c>
      <c r="AX36" s="125">
        <v>13056</v>
      </c>
      <c r="AY36" s="125">
        <v>128</v>
      </c>
      <c r="AZ36" s="125">
        <v>1</v>
      </c>
      <c r="BA36" s="125">
        <v>4</v>
      </c>
      <c r="BB36" s="125">
        <v>133.5</v>
      </c>
      <c r="BC36" s="124">
        <v>11.115</v>
      </c>
      <c r="BD36" s="132">
        <v>45313</v>
      </c>
      <c r="BE36" s="129">
        <v>0.87116898148148147</v>
      </c>
      <c r="BF36" s="125">
        <v>0</v>
      </c>
      <c r="BG36" s="125">
        <v>0</v>
      </c>
      <c r="BH36" s="125">
        <v>0</v>
      </c>
      <c r="BI36" s="133">
        <f t="shared" si="8"/>
        <v>11.111000000000001</v>
      </c>
    </row>
    <row r="37" spans="1:61" x14ac:dyDescent="0.25">
      <c r="A37">
        <v>3</v>
      </c>
      <c r="B37" t="s">
        <v>16</v>
      </c>
      <c r="C37">
        <v>13056</v>
      </c>
      <c r="D37">
        <v>64</v>
      </c>
      <c r="E37">
        <v>1</v>
      </c>
      <c r="F37">
        <v>4</v>
      </c>
      <c r="G37">
        <v>148.97</v>
      </c>
      <c r="H37" s="17">
        <v>9.9612999999999996</v>
      </c>
      <c r="I37" s="33">
        <v>45313</v>
      </c>
      <c r="J37" s="37">
        <v>0.91596064814814815</v>
      </c>
      <c r="K37">
        <v>0</v>
      </c>
      <c r="L37">
        <v>0</v>
      </c>
      <c r="M37">
        <v>0</v>
      </c>
      <c r="N37" s="30">
        <f t="shared" si="16"/>
        <v>9.965819999999999</v>
      </c>
      <c r="P37">
        <v>3</v>
      </c>
      <c r="Q37" t="s">
        <v>16</v>
      </c>
      <c r="R37">
        <v>13056</v>
      </c>
      <c r="S37">
        <v>64</v>
      </c>
      <c r="T37">
        <v>1</v>
      </c>
      <c r="U37">
        <v>4</v>
      </c>
      <c r="V37">
        <v>132.75</v>
      </c>
      <c r="W37" s="17">
        <v>11.178000000000001</v>
      </c>
      <c r="X37" s="33">
        <v>45313</v>
      </c>
      <c r="Y37" s="37">
        <v>0.9054282407407408</v>
      </c>
      <c r="Z37">
        <v>0</v>
      </c>
      <c r="AA37">
        <v>0</v>
      </c>
      <c r="AB37">
        <v>0</v>
      </c>
      <c r="AC37" s="30">
        <f t="shared" si="17"/>
        <v>11.176399999999997</v>
      </c>
      <c r="AD37" s="17"/>
      <c r="AF37" s="125">
        <v>3</v>
      </c>
      <c r="AG37" s="125" t="s">
        <v>16</v>
      </c>
      <c r="AH37" s="125">
        <v>13056</v>
      </c>
      <c r="AI37" s="125">
        <v>128</v>
      </c>
      <c r="AJ37" s="125">
        <v>1</v>
      </c>
      <c r="AK37" s="125">
        <v>4</v>
      </c>
      <c r="AL37" s="125">
        <v>145.72</v>
      </c>
      <c r="AM37" s="124">
        <v>10.183</v>
      </c>
      <c r="AN37" s="132">
        <v>45313</v>
      </c>
      <c r="AO37" s="129">
        <v>0.90605324074074067</v>
      </c>
      <c r="AP37" s="125">
        <v>0</v>
      </c>
      <c r="AQ37" s="125">
        <v>0</v>
      </c>
      <c r="AR37" s="125">
        <v>0</v>
      </c>
      <c r="AS37" s="134">
        <f t="shared" si="18"/>
        <v>10.180199999999999</v>
      </c>
      <c r="AT37" s="123"/>
      <c r="AV37" s="125">
        <v>3</v>
      </c>
      <c r="AW37" s="125" t="s">
        <v>16</v>
      </c>
      <c r="AX37" s="125">
        <v>13056</v>
      </c>
      <c r="AY37" s="125">
        <v>128</v>
      </c>
      <c r="AZ37" s="125">
        <v>1</v>
      </c>
      <c r="BA37" s="125">
        <v>4</v>
      </c>
      <c r="BB37" s="125">
        <v>133.80000000000001</v>
      </c>
      <c r="BC37" s="124">
        <v>11.09</v>
      </c>
      <c r="BD37" s="132">
        <v>45313</v>
      </c>
      <c r="BE37" s="129">
        <v>0.92988425925925933</v>
      </c>
      <c r="BF37" s="125">
        <v>0</v>
      </c>
      <c r="BG37" s="125">
        <v>0</v>
      </c>
      <c r="BH37" s="125">
        <v>0</v>
      </c>
      <c r="BI37" s="133">
        <f t="shared" si="8"/>
        <v>11.111000000000001</v>
      </c>
    </row>
    <row r="38" spans="1:61" x14ac:dyDescent="0.25">
      <c r="A38">
        <v>4</v>
      </c>
      <c r="B38" t="s">
        <v>16</v>
      </c>
      <c r="C38">
        <v>13056</v>
      </c>
      <c r="D38">
        <v>64</v>
      </c>
      <c r="E38">
        <v>1</v>
      </c>
      <c r="F38">
        <v>4</v>
      </c>
      <c r="G38">
        <v>148.88999999999999</v>
      </c>
      <c r="H38" s="17">
        <v>9.9663000000000004</v>
      </c>
      <c r="I38" s="33">
        <v>45313</v>
      </c>
      <c r="J38" s="37">
        <v>0.96756944444444448</v>
      </c>
      <c r="K38">
        <v>0</v>
      </c>
      <c r="L38">
        <v>0</v>
      </c>
      <c r="M38">
        <v>0</v>
      </c>
      <c r="N38" s="30">
        <f t="shared" si="16"/>
        <v>9.965819999999999</v>
      </c>
      <c r="P38">
        <v>4</v>
      </c>
      <c r="Q38" t="s">
        <v>16</v>
      </c>
      <c r="R38">
        <v>13056</v>
      </c>
      <c r="S38">
        <v>64</v>
      </c>
      <c r="T38">
        <v>1</v>
      </c>
      <c r="U38">
        <v>4</v>
      </c>
      <c r="V38">
        <v>132.72</v>
      </c>
      <c r="W38" s="17">
        <v>11.180999999999999</v>
      </c>
      <c r="X38" s="33">
        <v>45313</v>
      </c>
      <c r="Y38" s="37">
        <v>0.96415509259259258</v>
      </c>
      <c r="Z38">
        <v>0</v>
      </c>
      <c r="AA38">
        <v>0</v>
      </c>
      <c r="AB38">
        <v>0</v>
      </c>
      <c r="AC38" s="30">
        <f t="shared" si="17"/>
        <v>11.176399999999997</v>
      </c>
      <c r="AD38" s="17"/>
      <c r="AF38" s="125">
        <v>4</v>
      </c>
      <c r="AG38" s="125" t="s">
        <v>16</v>
      </c>
      <c r="AH38" s="125">
        <v>13056</v>
      </c>
      <c r="AI38" s="125">
        <v>128</v>
      </c>
      <c r="AJ38" s="125">
        <v>1</v>
      </c>
      <c r="AK38" s="125">
        <v>4</v>
      </c>
      <c r="AL38" s="125">
        <v>145.85</v>
      </c>
      <c r="AM38" s="124">
        <v>10.175000000000001</v>
      </c>
      <c r="AN38" s="132">
        <v>45313</v>
      </c>
      <c r="AO38" s="129">
        <v>0.95778935185185177</v>
      </c>
      <c r="AP38" s="125">
        <v>0</v>
      </c>
      <c r="AQ38" s="125">
        <v>0</v>
      </c>
      <c r="AR38" s="125">
        <v>0</v>
      </c>
      <c r="AS38" s="134">
        <f t="shared" si="18"/>
        <v>10.180199999999999</v>
      </c>
      <c r="AT38" s="123"/>
      <c r="AV38" s="125">
        <v>4</v>
      </c>
      <c r="AW38" s="125" t="s">
        <v>16</v>
      </c>
      <c r="AX38" s="125">
        <v>13056</v>
      </c>
      <c r="AY38" s="125">
        <v>128</v>
      </c>
      <c r="AZ38" s="125">
        <v>1</v>
      </c>
      <c r="BA38" s="125">
        <v>4</v>
      </c>
      <c r="BB38" s="125">
        <v>133.47999999999999</v>
      </c>
      <c r="BC38" s="124">
        <v>11.117000000000001</v>
      </c>
      <c r="BD38" s="132">
        <v>45313</v>
      </c>
      <c r="BE38" s="129">
        <v>0.98859953703703696</v>
      </c>
      <c r="BF38" s="125">
        <v>0</v>
      </c>
      <c r="BG38" s="125">
        <v>0</v>
      </c>
      <c r="BH38" s="125">
        <v>0</v>
      </c>
      <c r="BI38" s="133">
        <f t="shared" si="8"/>
        <v>11.111000000000001</v>
      </c>
    </row>
    <row r="39" spans="1:61" x14ac:dyDescent="0.25">
      <c r="A39">
        <v>0</v>
      </c>
      <c r="B39" t="s">
        <v>16</v>
      </c>
      <c r="C39">
        <v>13824</v>
      </c>
      <c r="D39">
        <v>64</v>
      </c>
      <c r="E39">
        <v>1</v>
      </c>
      <c r="F39">
        <v>4</v>
      </c>
      <c r="G39">
        <v>195.4</v>
      </c>
      <c r="H39" s="17">
        <v>9.0147999999999993</v>
      </c>
      <c r="I39" s="33">
        <v>45313</v>
      </c>
      <c r="J39" s="37">
        <v>0.76851851851851849</v>
      </c>
      <c r="K39">
        <v>0</v>
      </c>
      <c r="L39">
        <v>0</v>
      </c>
      <c r="M39">
        <v>0</v>
      </c>
      <c r="N39" s="30">
        <f t="shared" ref="N39" si="52">AVERAGE(H39:H43)</f>
        <v>9.0016999999999996</v>
      </c>
      <c r="P39">
        <v>0</v>
      </c>
      <c r="Q39" t="s">
        <v>16</v>
      </c>
      <c r="R39">
        <v>13824</v>
      </c>
      <c r="S39">
        <v>64</v>
      </c>
      <c r="T39">
        <v>1</v>
      </c>
      <c r="U39">
        <v>4</v>
      </c>
      <c r="V39">
        <v>166.98</v>
      </c>
      <c r="W39" s="17">
        <v>10.548999999999999</v>
      </c>
      <c r="X39" s="33">
        <v>45313</v>
      </c>
      <c r="Y39" s="37">
        <v>0.74637731481481484</v>
      </c>
      <c r="Z39">
        <v>0</v>
      </c>
      <c r="AA39">
        <v>0</v>
      </c>
      <c r="AB39">
        <v>0</v>
      </c>
      <c r="AC39" s="30">
        <f t="shared" ref="AC39" si="53">AVERAGE(W39:W43)</f>
        <v>10.5632</v>
      </c>
      <c r="AD39" s="17"/>
      <c r="AF39" s="125">
        <v>0</v>
      </c>
      <c r="AG39" s="125" t="s">
        <v>16</v>
      </c>
      <c r="AH39" s="125">
        <v>13824</v>
      </c>
      <c r="AI39" s="125">
        <v>128</v>
      </c>
      <c r="AJ39" s="125">
        <v>1</v>
      </c>
      <c r="AK39" s="125">
        <v>4</v>
      </c>
      <c r="AL39" s="125">
        <v>189.86</v>
      </c>
      <c r="AM39" s="124">
        <v>9.2776999999999994</v>
      </c>
      <c r="AN39" s="132">
        <v>45313</v>
      </c>
      <c r="AO39" s="129">
        <v>0.76667824074074076</v>
      </c>
      <c r="AP39" s="125">
        <v>0</v>
      </c>
      <c r="AQ39" s="125">
        <v>0</v>
      </c>
      <c r="AR39" s="125">
        <v>0</v>
      </c>
      <c r="AS39" s="134">
        <f t="shared" ref="AS39" si="54">AVERAGE(AM39:AM43)</f>
        <v>9.2862599999999986</v>
      </c>
      <c r="AT39" s="130"/>
      <c r="AV39" s="125">
        <v>0</v>
      </c>
      <c r="AW39" s="125" t="s">
        <v>16</v>
      </c>
      <c r="AX39" s="125">
        <v>13824</v>
      </c>
      <c r="AY39" s="125">
        <v>128</v>
      </c>
      <c r="AZ39" s="125">
        <v>1</v>
      </c>
      <c r="BA39" s="125">
        <v>4</v>
      </c>
      <c r="BB39" s="125">
        <v>167.28</v>
      </c>
      <c r="BC39" s="124">
        <v>10.53</v>
      </c>
      <c r="BD39" s="132">
        <v>45313</v>
      </c>
      <c r="BE39" s="129">
        <v>0.77162037037037035</v>
      </c>
      <c r="BF39" s="125">
        <v>0</v>
      </c>
      <c r="BG39" s="125">
        <v>0</v>
      </c>
      <c r="BH39" s="125">
        <v>0</v>
      </c>
      <c r="BI39" s="133">
        <f t="shared" ref="BI39" si="55">AVERAGE(BC39:BC43)</f>
        <v>10.5298</v>
      </c>
    </row>
    <row r="40" spans="1:61" x14ac:dyDescent="0.25">
      <c r="A40">
        <v>1</v>
      </c>
      <c r="B40" t="s">
        <v>16</v>
      </c>
      <c r="C40">
        <v>13824</v>
      </c>
      <c r="D40">
        <v>64</v>
      </c>
      <c r="E40">
        <v>1</v>
      </c>
      <c r="F40">
        <v>4</v>
      </c>
      <c r="G40">
        <v>195.62</v>
      </c>
      <c r="H40" s="17">
        <v>9.0044000000000004</v>
      </c>
      <c r="I40" s="33">
        <v>45313</v>
      </c>
      <c r="J40" s="37">
        <v>0.82030092592592585</v>
      </c>
      <c r="K40">
        <v>0</v>
      </c>
      <c r="L40">
        <v>0</v>
      </c>
      <c r="M40">
        <v>0</v>
      </c>
      <c r="N40" s="30">
        <f t="shared" ref="N40" si="56">N39</f>
        <v>9.0016999999999996</v>
      </c>
      <c r="P40">
        <v>1</v>
      </c>
      <c r="Q40" t="s">
        <v>16</v>
      </c>
      <c r="R40">
        <v>13824</v>
      </c>
      <c r="S40">
        <v>64</v>
      </c>
      <c r="T40">
        <v>1</v>
      </c>
      <c r="U40">
        <v>4</v>
      </c>
      <c r="V40">
        <v>166.67</v>
      </c>
      <c r="W40" s="17">
        <v>10.569000000000001</v>
      </c>
      <c r="X40" s="33">
        <v>45313</v>
      </c>
      <c r="Y40" s="37">
        <v>0.80510416666666673</v>
      </c>
      <c r="Z40">
        <v>0</v>
      </c>
      <c r="AA40">
        <v>0</v>
      </c>
      <c r="AB40">
        <v>0</v>
      </c>
      <c r="AC40" s="30">
        <f t="shared" ref="AC40" si="57">AC39</f>
        <v>10.5632</v>
      </c>
      <c r="AD40" s="17"/>
      <c r="AF40" s="125">
        <v>1</v>
      </c>
      <c r="AG40" s="125" t="s">
        <v>16</v>
      </c>
      <c r="AH40" s="125">
        <v>13824</v>
      </c>
      <c r="AI40" s="125">
        <v>128</v>
      </c>
      <c r="AJ40" s="125">
        <v>1</v>
      </c>
      <c r="AK40" s="125">
        <v>4</v>
      </c>
      <c r="AL40" s="125">
        <v>189.81</v>
      </c>
      <c r="AM40" s="124">
        <v>9.2802000000000007</v>
      </c>
      <c r="AN40" s="132">
        <v>45313</v>
      </c>
      <c r="AO40" s="129">
        <v>0.818425925925926</v>
      </c>
      <c r="AP40" s="125">
        <v>0</v>
      </c>
      <c r="AQ40" s="125">
        <v>0</v>
      </c>
      <c r="AR40" s="125">
        <v>0</v>
      </c>
      <c r="AS40" s="134">
        <f t="shared" ref="AS40" si="58">AS39</f>
        <v>9.2862599999999986</v>
      </c>
      <c r="AT40" s="123"/>
      <c r="AV40" s="125">
        <v>1</v>
      </c>
      <c r="AW40" s="125" t="s">
        <v>16</v>
      </c>
      <c r="AX40" s="125">
        <v>13824</v>
      </c>
      <c r="AY40" s="125">
        <v>128</v>
      </c>
      <c r="AZ40" s="125">
        <v>1</v>
      </c>
      <c r="BA40" s="125">
        <v>4</v>
      </c>
      <c r="BB40" s="125">
        <v>167.4</v>
      </c>
      <c r="BC40" s="124">
        <v>10.523</v>
      </c>
      <c r="BD40" s="132">
        <v>45313</v>
      </c>
      <c r="BE40" s="129">
        <v>0.8303356481481482</v>
      </c>
      <c r="BF40" s="125">
        <v>0</v>
      </c>
      <c r="BG40" s="125">
        <v>0</v>
      </c>
      <c r="BH40" s="125">
        <v>0</v>
      </c>
      <c r="BI40" s="133">
        <f t="shared" ref="BI40" si="59">BI39</f>
        <v>10.5298</v>
      </c>
    </row>
    <row r="41" spans="1:61" x14ac:dyDescent="0.25">
      <c r="A41">
        <v>2</v>
      </c>
      <c r="B41" t="s">
        <v>16</v>
      </c>
      <c r="C41">
        <v>13824</v>
      </c>
      <c r="D41">
        <v>64</v>
      </c>
      <c r="E41">
        <v>1</v>
      </c>
      <c r="F41">
        <v>4</v>
      </c>
      <c r="G41">
        <v>195.93</v>
      </c>
      <c r="H41" s="17">
        <v>8.9901999999999997</v>
      </c>
      <c r="I41" s="33">
        <v>45313</v>
      </c>
      <c r="J41" s="37">
        <v>0.8792592592592593</v>
      </c>
      <c r="K41">
        <v>0</v>
      </c>
      <c r="L41">
        <v>0</v>
      </c>
      <c r="M41">
        <v>0</v>
      </c>
      <c r="N41" s="30">
        <f t="shared" si="24"/>
        <v>9.0016999999999996</v>
      </c>
      <c r="P41">
        <v>2</v>
      </c>
      <c r="Q41" t="s">
        <v>16</v>
      </c>
      <c r="R41">
        <v>13824</v>
      </c>
      <c r="S41">
        <v>64</v>
      </c>
      <c r="T41">
        <v>1</v>
      </c>
      <c r="U41">
        <v>4</v>
      </c>
      <c r="V41">
        <v>167.12</v>
      </c>
      <c r="W41" s="17">
        <v>10.54</v>
      </c>
      <c r="X41" s="33">
        <v>45313</v>
      </c>
      <c r="Y41" s="37">
        <v>0.86380787037037043</v>
      </c>
      <c r="Z41">
        <v>0</v>
      </c>
      <c r="AA41">
        <v>0</v>
      </c>
      <c r="AB41">
        <v>0</v>
      </c>
      <c r="AC41" s="30">
        <f t="shared" si="25"/>
        <v>10.5632</v>
      </c>
      <c r="AD41" s="17"/>
      <c r="AF41" s="125">
        <v>2</v>
      </c>
      <c r="AG41" s="125" t="s">
        <v>16</v>
      </c>
      <c r="AH41" s="125">
        <v>13824</v>
      </c>
      <c r="AI41" s="125">
        <v>128</v>
      </c>
      <c r="AJ41" s="125">
        <v>1</v>
      </c>
      <c r="AK41" s="125">
        <v>4</v>
      </c>
      <c r="AL41" s="125">
        <v>189.61</v>
      </c>
      <c r="AM41" s="124">
        <v>9.2903000000000002</v>
      </c>
      <c r="AN41" s="132">
        <v>45313</v>
      </c>
      <c r="AO41" s="129">
        <v>0.87016203703703709</v>
      </c>
      <c r="AP41" s="125">
        <v>0</v>
      </c>
      <c r="AQ41" s="125">
        <v>0</v>
      </c>
      <c r="AR41" s="125">
        <v>0</v>
      </c>
      <c r="AS41" s="134">
        <f t="shared" si="26"/>
        <v>9.2862599999999986</v>
      </c>
      <c r="AT41" s="123"/>
      <c r="AV41" s="125">
        <v>2</v>
      </c>
      <c r="AW41" s="125" t="s">
        <v>16</v>
      </c>
      <c r="AX41" s="125">
        <v>13824</v>
      </c>
      <c r="AY41" s="125">
        <v>128</v>
      </c>
      <c r="AZ41" s="125">
        <v>1</v>
      </c>
      <c r="BA41" s="125">
        <v>4</v>
      </c>
      <c r="BB41" s="125">
        <v>167.1</v>
      </c>
      <c r="BC41" s="124">
        <v>10.542</v>
      </c>
      <c r="BD41" s="132">
        <v>45313</v>
      </c>
      <c r="BE41" s="129">
        <v>0.88905092592592594</v>
      </c>
      <c r="BF41" s="125">
        <v>0</v>
      </c>
      <c r="BG41" s="125">
        <v>0</v>
      </c>
      <c r="BH41" s="125">
        <v>0</v>
      </c>
      <c r="BI41" s="133">
        <f t="shared" si="8"/>
        <v>10.5298</v>
      </c>
    </row>
    <row r="42" spans="1:61" x14ac:dyDescent="0.25">
      <c r="A42">
        <v>3</v>
      </c>
      <c r="B42" t="s">
        <v>16</v>
      </c>
      <c r="C42">
        <v>13824</v>
      </c>
      <c r="D42">
        <v>64</v>
      </c>
      <c r="E42">
        <v>1</v>
      </c>
      <c r="F42">
        <v>4</v>
      </c>
      <c r="G42">
        <v>195.71</v>
      </c>
      <c r="H42" s="17">
        <v>9.0006000000000004</v>
      </c>
      <c r="I42" s="33">
        <v>45313</v>
      </c>
      <c r="J42" s="37">
        <v>0.93085648148148159</v>
      </c>
      <c r="K42">
        <v>0</v>
      </c>
      <c r="L42">
        <v>0</v>
      </c>
      <c r="M42">
        <v>0</v>
      </c>
      <c r="N42" s="30">
        <f t="shared" si="24"/>
        <v>9.0016999999999996</v>
      </c>
      <c r="P42">
        <v>3</v>
      </c>
      <c r="Q42" t="s">
        <v>16</v>
      </c>
      <c r="R42">
        <v>13824</v>
      </c>
      <c r="S42">
        <v>64</v>
      </c>
      <c r="T42">
        <v>1</v>
      </c>
      <c r="U42">
        <v>4</v>
      </c>
      <c r="V42">
        <v>166.41</v>
      </c>
      <c r="W42" s="17">
        <v>10.585000000000001</v>
      </c>
      <c r="X42" s="33">
        <v>45313</v>
      </c>
      <c r="Y42" s="37">
        <v>0.92253472222222221</v>
      </c>
      <c r="Z42">
        <v>0</v>
      </c>
      <c r="AA42">
        <v>0</v>
      </c>
      <c r="AB42">
        <v>0</v>
      </c>
      <c r="AC42" s="30">
        <f t="shared" si="25"/>
        <v>10.5632</v>
      </c>
      <c r="AD42" s="17"/>
      <c r="AF42" s="125">
        <v>3</v>
      </c>
      <c r="AG42" s="125" t="s">
        <v>16</v>
      </c>
      <c r="AH42" s="125">
        <v>13824</v>
      </c>
      <c r="AI42" s="125">
        <v>128</v>
      </c>
      <c r="AJ42" s="125">
        <v>1</v>
      </c>
      <c r="AK42" s="125">
        <v>4</v>
      </c>
      <c r="AL42" s="125">
        <v>189.51</v>
      </c>
      <c r="AM42" s="124">
        <v>9.2949000000000002</v>
      </c>
      <c r="AN42" s="132">
        <v>45313</v>
      </c>
      <c r="AO42" s="129">
        <v>0.92188657407407415</v>
      </c>
      <c r="AP42" s="125">
        <v>0</v>
      </c>
      <c r="AQ42" s="125">
        <v>0</v>
      </c>
      <c r="AR42" s="125">
        <v>0</v>
      </c>
      <c r="AS42" s="134">
        <f t="shared" si="26"/>
        <v>9.2862599999999986</v>
      </c>
      <c r="AT42" s="123"/>
      <c r="AV42" s="125">
        <v>3</v>
      </c>
      <c r="AW42" s="125" t="s">
        <v>16</v>
      </c>
      <c r="AX42" s="125">
        <v>13824</v>
      </c>
      <c r="AY42" s="125">
        <v>128</v>
      </c>
      <c r="AZ42" s="125">
        <v>1</v>
      </c>
      <c r="BA42" s="125">
        <v>4</v>
      </c>
      <c r="BB42" s="125">
        <v>167.41</v>
      </c>
      <c r="BC42" s="124">
        <v>10.522</v>
      </c>
      <c r="BD42" s="132">
        <v>45313</v>
      </c>
      <c r="BE42" s="129">
        <v>0.94777777777777772</v>
      </c>
      <c r="BF42" s="125">
        <v>0</v>
      </c>
      <c r="BG42" s="125">
        <v>0</v>
      </c>
      <c r="BH42" s="125">
        <v>0</v>
      </c>
      <c r="BI42" s="133">
        <f t="shared" si="8"/>
        <v>10.5298</v>
      </c>
    </row>
    <row r="43" spans="1:61" x14ac:dyDescent="0.25">
      <c r="A43">
        <v>4</v>
      </c>
      <c r="B43" t="s">
        <v>16</v>
      </c>
      <c r="C43">
        <v>13824</v>
      </c>
      <c r="D43">
        <v>64</v>
      </c>
      <c r="E43">
        <v>1</v>
      </c>
      <c r="F43">
        <v>4</v>
      </c>
      <c r="G43">
        <v>195.75</v>
      </c>
      <c r="H43" s="17">
        <v>8.9984999999999999</v>
      </c>
      <c r="I43" s="33">
        <v>45313</v>
      </c>
      <c r="J43" s="37">
        <v>0.98247685185185185</v>
      </c>
      <c r="K43">
        <v>0</v>
      </c>
      <c r="L43">
        <v>0</v>
      </c>
      <c r="M43">
        <v>0</v>
      </c>
      <c r="N43" s="30">
        <f t="shared" si="24"/>
        <v>9.0016999999999996</v>
      </c>
      <c r="P43">
        <v>4</v>
      </c>
      <c r="Q43" t="s">
        <v>16</v>
      </c>
      <c r="R43">
        <v>13824</v>
      </c>
      <c r="S43">
        <v>64</v>
      </c>
      <c r="T43">
        <v>1</v>
      </c>
      <c r="U43">
        <v>4</v>
      </c>
      <c r="V43">
        <v>166.6</v>
      </c>
      <c r="W43" s="17">
        <v>10.573</v>
      </c>
      <c r="X43" s="33">
        <v>45313</v>
      </c>
      <c r="Y43" s="37">
        <v>0.98126157407407411</v>
      </c>
      <c r="Z43">
        <v>0</v>
      </c>
      <c r="AA43">
        <v>0</v>
      </c>
      <c r="AB43">
        <v>0</v>
      </c>
      <c r="AC43" s="30">
        <f t="shared" si="25"/>
        <v>10.5632</v>
      </c>
      <c r="AD43" s="17"/>
      <c r="AF43" s="125">
        <v>4</v>
      </c>
      <c r="AG43" s="125" t="s">
        <v>16</v>
      </c>
      <c r="AH43" s="125">
        <v>13824</v>
      </c>
      <c r="AI43" s="125">
        <v>128</v>
      </c>
      <c r="AJ43" s="125">
        <v>1</v>
      </c>
      <c r="AK43" s="125">
        <v>4</v>
      </c>
      <c r="AL43" s="125">
        <v>189.65</v>
      </c>
      <c r="AM43" s="124">
        <v>9.2881999999999998</v>
      </c>
      <c r="AN43" s="132">
        <v>45313</v>
      </c>
      <c r="AO43" s="129">
        <v>0.97361111111111109</v>
      </c>
      <c r="AP43" s="125">
        <v>0</v>
      </c>
      <c r="AQ43" s="125">
        <v>0</v>
      </c>
      <c r="AR43" s="125">
        <v>0</v>
      </c>
      <c r="AS43" s="134">
        <f t="shared" si="26"/>
        <v>9.2862599999999986</v>
      </c>
      <c r="AT43" s="123"/>
      <c r="AV43" s="125">
        <v>4</v>
      </c>
      <c r="AW43" s="125" t="s">
        <v>16</v>
      </c>
      <c r="AX43" s="125">
        <v>13824</v>
      </c>
      <c r="AY43" s="125">
        <v>128</v>
      </c>
      <c r="AZ43" s="125">
        <v>1</v>
      </c>
      <c r="BA43" s="125">
        <v>4</v>
      </c>
      <c r="BB43" s="125">
        <v>167.25</v>
      </c>
      <c r="BC43" s="124">
        <v>10.532</v>
      </c>
      <c r="BD43" s="132">
        <v>45314</v>
      </c>
      <c r="BE43" s="129">
        <v>6.4930555555555549E-3</v>
      </c>
      <c r="BF43" s="125">
        <v>0</v>
      </c>
      <c r="BG43" s="125">
        <v>0</v>
      </c>
      <c r="BH43" s="125">
        <v>0</v>
      </c>
      <c r="BI43" s="133">
        <f t="shared" si="8"/>
        <v>10.5298</v>
      </c>
    </row>
    <row r="44" spans="1:61" x14ac:dyDescent="0.25">
      <c r="A44">
        <v>0</v>
      </c>
      <c r="B44" t="s">
        <v>16</v>
      </c>
      <c r="C44">
        <v>14592</v>
      </c>
      <c r="D44">
        <v>64</v>
      </c>
      <c r="E44">
        <v>1</v>
      </c>
      <c r="F44">
        <v>4</v>
      </c>
      <c r="G44">
        <v>208.17</v>
      </c>
      <c r="H44" s="17">
        <v>9.9517000000000007</v>
      </c>
      <c r="I44" s="33">
        <v>45313</v>
      </c>
      <c r="J44" s="37">
        <v>0.78629629629629638</v>
      </c>
      <c r="K44">
        <v>0</v>
      </c>
      <c r="L44">
        <v>0</v>
      </c>
      <c r="M44">
        <v>0</v>
      </c>
      <c r="N44" s="30">
        <f t="shared" ref="N44" si="60">AVERAGE(H44:H48)</f>
        <v>10.071940000000001</v>
      </c>
      <c r="P44">
        <v>0</v>
      </c>
      <c r="Q44" t="s">
        <v>16</v>
      </c>
      <c r="R44">
        <v>14592</v>
      </c>
      <c r="S44">
        <v>64</v>
      </c>
      <c r="T44">
        <v>1</v>
      </c>
      <c r="U44">
        <v>4</v>
      </c>
      <c r="V44">
        <v>183.52</v>
      </c>
      <c r="W44" s="17">
        <v>11.289</v>
      </c>
      <c r="X44" s="33">
        <v>45313</v>
      </c>
      <c r="Y44" s="37">
        <v>0.7663078703703704</v>
      </c>
      <c r="Z44">
        <v>0</v>
      </c>
      <c r="AA44">
        <v>0</v>
      </c>
      <c r="AB44">
        <v>0</v>
      </c>
      <c r="AC44" s="30">
        <f t="shared" ref="AC44" si="61">AVERAGE(W44:W48)</f>
        <v>11.2852</v>
      </c>
      <c r="AD44" s="17"/>
      <c r="AF44" s="125">
        <v>0</v>
      </c>
      <c r="AG44" s="125" t="s">
        <v>16</v>
      </c>
      <c r="AH44" s="125">
        <v>14592</v>
      </c>
      <c r="AI44" s="125">
        <v>128</v>
      </c>
      <c r="AJ44" s="125">
        <v>1</v>
      </c>
      <c r="AK44" s="125">
        <v>4</v>
      </c>
      <c r="AL44" s="125">
        <v>200.21</v>
      </c>
      <c r="AM44" s="124">
        <v>10.348000000000001</v>
      </c>
      <c r="AN44" s="132">
        <v>45313</v>
      </c>
      <c r="AO44" s="129">
        <v>0.78489583333333324</v>
      </c>
      <c r="AP44" s="125">
        <v>0</v>
      </c>
      <c r="AQ44" s="125">
        <v>0</v>
      </c>
      <c r="AR44" s="125">
        <v>0</v>
      </c>
      <c r="AS44" s="134">
        <f t="shared" ref="AS44" si="62">AVERAGE(AM44:AM48)</f>
        <v>10.342000000000001</v>
      </c>
      <c r="AT44" s="130"/>
      <c r="AV44" s="125">
        <v>0</v>
      </c>
      <c r="AW44" s="125" t="s">
        <v>16</v>
      </c>
      <c r="AX44" s="125">
        <v>14592</v>
      </c>
      <c r="AY44" s="125">
        <v>128</v>
      </c>
      <c r="AZ44" s="125">
        <v>1</v>
      </c>
      <c r="BA44" s="125">
        <v>4</v>
      </c>
      <c r="BB44" s="125">
        <v>184.27</v>
      </c>
      <c r="BC44" s="124">
        <v>11.243</v>
      </c>
      <c r="BD44" s="132">
        <v>45313</v>
      </c>
      <c r="BE44" s="129">
        <v>0.79221064814814823</v>
      </c>
      <c r="BF44" s="125">
        <v>0</v>
      </c>
      <c r="BG44" s="125">
        <v>0</v>
      </c>
      <c r="BH44" s="125">
        <v>0</v>
      </c>
      <c r="BI44" s="133">
        <f t="shared" ref="BI44" si="63">AVERAGE(BC44:BC48)</f>
        <v>11.2356</v>
      </c>
    </row>
    <row r="45" spans="1:61" x14ac:dyDescent="0.25">
      <c r="A45">
        <v>1</v>
      </c>
      <c r="B45" t="s">
        <v>16</v>
      </c>
      <c r="C45">
        <v>14592</v>
      </c>
      <c r="D45">
        <v>64</v>
      </c>
      <c r="E45">
        <v>1</v>
      </c>
      <c r="F45">
        <v>4</v>
      </c>
      <c r="G45">
        <v>205.06</v>
      </c>
      <c r="H45" s="17">
        <v>10.103</v>
      </c>
      <c r="I45" s="33">
        <v>45313</v>
      </c>
      <c r="J45" s="37">
        <v>0.84537037037037033</v>
      </c>
      <c r="K45">
        <v>0</v>
      </c>
      <c r="L45">
        <v>0</v>
      </c>
      <c r="M45">
        <v>0</v>
      </c>
      <c r="N45" s="30">
        <f t="shared" ref="N45" si="64">N44</f>
        <v>10.071940000000001</v>
      </c>
      <c r="P45">
        <v>1</v>
      </c>
      <c r="Q45" t="s">
        <v>16</v>
      </c>
      <c r="R45">
        <v>14592</v>
      </c>
      <c r="S45">
        <v>64</v>
      </c>
      <c r="T45">
        <v>1</v>
      </c>
      <c r="U45">
        <v>4</v>
      </c>
      <c r="V45">
        <v>183.68</v>
      </c>
      <c r="W45" s="17">
        <v>11.279</v>
      </c>
      <c r="X45" s="33">
        <v>45313</v>
      </c>
      <c r="Y45" s="37">
        <v>0.82503472222222218</v>
      </c>
      <c r="Z45">
        <v>0</v>
      </c>
      <c r="AA45">
        <v>0</v>
      </c>
      <c r="AB45">
        <v>0</v>
      </c>
      <c r="AC45" s="30">
        <f t="shared" ref="AC45" si="65">AC44</f>
        <v>11.2852</v>
      </c>
      <c r="AD45" s="17"/>
      <c r="AF45" s="125">
        <v>1</v>
      </c>
      <c r="AG45" s="125" t="s">
        <v>16</v>
      </c>
      <c r="AH45" s="125">
        <v>14592</v>
      </c>
      <c r="AI45" s="125">
        <v>128</v>
      </c>
      <c r="AJ45" s="125">
        <v>1</v>
      </c>
      <c r="AK45" s="125">
        <v>4</v>
      </c>
      <c r="AL45" s="125">
        <v>200.43</v>
      </c>
      <c r="AM45" s="124">
        <v>10.336</v>
      </c>
      <c r="AN45" s="132">
        <v>45313</v>
      </c>
      <c r="AO45" s="129">
        <v>0.83665509259259263</v>
      </c>
      <c r="AP45" s="125">
        <v>0</v>
      </c>
      <c r="AQ45" s="125">
        <v>0</v>
      </c>
      <c r="AR45" s="125">
        <v>0</v>
      </c>
      <c r="AS45" s="134">
        <f t="shared" ref="AS45" si="66">AS44</f>
        <v>10.342000000000001</v>
      </c>
      <c r="AT45" s="123"/>
      <c r="AV45" s="125">
        <v>1</v>
      </c>
      <c r="AW45" s="125" t="s">
        <v>16</v>
      </c>
      <c r="AX45" s="125">
        <v>14592</v>
      </c>
      <c r="AY45" s="125">
        <v>128</v>
      </c>
      <c r="AZ45" s="125">
        <v>1</v>
      </c>
      <c r="BA45" s="125">
        <v>4</v>
      </c>
      <c r="BB45" s="125">
        <v>184.57</v>
      </c>
      <c r="BC45" s="124">
        <v>11.224</v>
      </c>
      <c r="BD45" s="132">
        <v>45313</v>
      </c>
      <c r="BE45" s="129">
        <v>0.85092592592592586</v>
      </c>
      <c r="BF45" s="125">
        <v>0</v>
      </c>
      <c r="BG45" s="125">
        <v>0</v>
      </c>
      <c r="BH45" s="125">
        <v>0</v>
      </c>
      <c r="BI45" s="133">
        <f t="shared" ref="BI45" si="67">BI44</f>
        <v>11.2356</v>
      </c>
    </row>
    <row r="46" spans="1:61" x14ac:dyDescent="0.25">
      <c r="A46">
        <v>2</v>
      </c>
      <c r="B46" t="s">
        <v>16</v>
      </c>
      <c r="C46">
        <v>14592</v>
      </c>
      <c r="D46">
        <v>64</v>
      </c>
      <c r="E46">
        <v>1</v>
      </c>
      <c r="F46">
        <v>4</v>
      </c>
      <c r="G46">
        <v>205.08</v>
      </c>
      <c r="H46" s="17">
        <v>10.102</v>
      </c>
      <c r="I46" s="33">
        <v>45313</v>
      </c>
      <c r="J46" s="37">
        <v>0.89697916666666666</v>
      </c>
      <c r="K46">
        <v>0</v>
      </c>
      <c r="L46">
        <v>0</v>
      </c>
      <c r="M46">
        <v>0</v>
      </c>
      <c r="N46" s="30">
        <f t="shared" si="16"/>
        <v>10.071940000000001</v>
      </c>
      <c r="P46">
        <v>2</v>
      </c>
      <c r="Q46" t="s">
        <v>16</v>
      </c>
      <c r="R46">
        <v>14592</v>
      </c>
      <c r="S46">
        <v>64</v>
      </c>
      <c r="T46">
        <v>1</v>
      </c>
      <c r="U46">
        <v>4</v>
      </c>
      <c r="V46">
        <v>183.71</v>
      </c>
      <c r="W46" s="17">
        <v>11.276999999999999</v>
      </c>
      <c r="X46" s="33">
        <v>45313</v>
      </c>
      <c r="Y46" s="37">
        <v>0.88375000000000004</v>
      </c>
      <c r="Z46">
        <v>0</v>
      </c>
      <c r="AA46">
        <v>0</v>
      </c>
      <c r="AB46">
        <v>0</v>
      </c>
      <c r="AC46" s="30">
        <f t="shared" si="17"/>
        <v>11.2852</v>
      </c>
      <c r="AD46" s="17"/>
      <c r="AF46" s="125">
        <v>2</v>
      </c>
      <c r="AG46" s="125" t="s">
        <v>16</v>
      </c>
      <c r="AH46" s="125">
        <v>14592</v>
      </c>
      <c r="AI46" s="125">
        <v>128</v>
      </c>
      <c r="AJ46" s="125">
        <v>1</v>
      </c>
      <c r="AK46" s="125">
        <v>4</v>
      </c>
      <c r="AL46" s="125">
        <v>200.17</v>
      </c>
      <c r="AM46" s="124">
        <v>10.35</v>
      </c>
      <c r="AN46" s="132">
        <v>45313</v>
      </c>
      <c r="AO46" s="129">
        <v>0.88837962962962969</v>
      </c>
      <c r="AP46" s="125">
        <v>0</v>
      </c>
      <c r="AQ46" s="125">
        <v>0</v>
      </c>
      <c r="AR46" s="125">
        <v>0</v>
      </c>
      <c r="AS46" s="134">
        <f t="shared" si="18"/>
        <v>10.342000000000001</v>
      </c>
      <c r="AT46" s="123"/>
      <c r="AV46" s="125">
        <v>2</v>
      </c>
      <c r="AW46" s="125" t="s">
        <v>16</v>
      </c>
      <c r="AX46" s="125">
        <v>14592</v>
      </c>
      <c r="AY46" s="125">
        <v>128</v>
      </c>
      <c r="AZ46" s="125">
        <v>1</v>
      </c>
      <c r="BA46" s="125">
        <v>4</v>
      </c>
      <c r="BB46" s="125">
        <v>184.25</v>
      </c>
      <c r="BC46" s="124">
        <v>11.244</v>
      </c>
      <c r="BD46" s="132">
        <v>45313</v>
      </c>
      <c r="BE46" s="129">
        <v>0.90964120370370372</v>
      </c>
      <c r="BF46" s="125">
        <v>0</v>
      </c>
      <c r="BG46" s="125">
        <v>0</v>
      </c>
      <c r="BH46" s="125">
        <v>0</v>
      </c>
      <c r="BI46" s="133">
        <f t="shared" si="8"/>
        <v>11.2356</v>
      </c>
    </row>
    <row r="47" spans="1:61" x14ac:dyDescent="0.25">
      <c r="A47">
        <v>3</v>
      </c>
      <c r="B47" t="s">
        <v>16</v>
      </c>
      <c r="C47">
        <v>14592</v>
      </c>
      <c r="D47">
        <v>64</v>
      </c>
      <c r="E47">
        <v>1</v>
      </c>
      <c r="F47">
        <v>4</v>
      </c>
      <c r="G47">
        <v>205.05</v>
      </c>
      <c r="H47" s="17">
        <v>10.103</v>
      </c>
      <c r="I47" s="33">
        <v>45313</v>
      </c>
      <c r="J47" s="37">
        <v>0.94858796296296299</v>
      </c>
      <c r="K47">
        <v>0</v>
      </c>
      <c r="L47">
        <v>0</v>
      </c>
      <c r="M47">
        <v>0</v>
      </c>
      <c r="N47" s="30">
        <f t="shared" si="16"/>
        <v>10.071940000000001</v>
      </c>
      <c r="P47">
        <v>3</v>
      </c>
      <c r="Q47" t="s">
        <v>16</v>
      </c>
      <c r="R47">
        <v>14592</v>
      </c>
      <c r="S47">
        <v>64</v>
      </c>
      <c r="T47">
        <v>1</v>
      </c>
      <c r="U47">
        <v>4</v>
      </c>
      <c r="V47">
        <v>183.55</v>
      </c>
      <c r="W47" s="17">
        <v>11.287000000000001</v>
      </c>
      <c r="X47" s="33">
        <v>45313</v>
      </c>
      <c r="Y47" s="37">
        <v>0.94247685185185182</v>
      </c>
      <c r="Z47">
        <v>0</v>
      </c>
      <c r="AA47">
        <v>0</v>
      </c>
      <c r="AB47">
        <v>0</v>
      </c>
      <c r="AC47" s="30">
        <f t="shared" si="17"/>
        <v>11.2852</v>
      </c>
      <c r="AD47" s="17"/>
      <c r="AF47" s="125">
        <v>3</v>
      </c>
      <c r="AG47" s="125" t="s">
        <v>16</v>
      </c>
      <c r="AH47" s="125">
        <v>14592</v>
      </c>
      <c r="AI47" s="125">
        <v>128</v>
      </c>
      <c r="AJ47" s="125">
        <v>1</v>
      </c>
      <c r="AK47" s="125">
        <v>4</v>
      </c>
      <c r="AL47" s="125">
        <v>200.34</v>
      </c>
      <c r="AM47" s="124">
        <v>10.340999999999999</v>
      </c>
      <c r="AN47" s="132">
        <v>45313</v>
      </c>
      <c r="AO47" s="129">
        <v>0.94010416666666663</v>
      </c>
      <c r="AP47" s="125">
        <v>0</v>
      </c>
      <c r="AQ47" s="125">
        <v>0</v>
      </c>
      <c r="AR47" s="125">
        <v>0</v>
      </c>
      <c r="AS47" s="134">
        <f t="shared" si="18"/>
        <v>10.342000000000001</v>
      </c>
      <c r="AT47" s="123"/>
      <c r="AV47" s="125">
        <v>3</v>
      </c>
      <c r="AW47" s="125" t="s">
        <v>16</v>
      </c>
      <c r="AX47" s="125">
        <v>14592</v>
      </c>
      <c r="AY47" s="125">
        <v>128</v>
      </c>
      <c r="AZ47" s="125">
        <v>1</v>
      </c>
      <c r="BA47" s="125">
        <v>4</v>
      </c>
      <c r="BB47" s="125">
        <v>184.4</v>
      </c>
      <c r="BC47" s="124">
        <v>11.234999999999999</v>
      </c>
      <c r="BD47" s="132">
        <v>45313</v>
      </c>
      <c r="BE47" s="129">
        <v>0.96836805555555561</v>
      </c>
      <c r="BF47" s="125">
        <v>0</v>
      </c>
      <c r="BG47" s="125">
        <v>0</v>
      </c>
      <c r="BH47" s="125">
        <v>0</v>
      </c>
      <c r="BI47" s="133">
        <f t="shared" si="8"/>
        <v>11.2356</v>
      </c>
    </row>
    <row r="48" spans="1:61" x14ac:dyDescent="0.25">
      <c r="A48">
        <v>4</v>
      </c>
      <c r="B48" t="s">
        <v>16</v>
      </c>
      <c r="C48">
        <v>14592</v>
      </c>
      <c r="D48">
        <v>64</v>
      </c>
      <c r="E48">
        <v>1</v>
      </c>
      <c r="F48">
        <v>4</v>
      </c>
      <c r="G48">
        <v>205.11</v>
      </c>
      <c r="H48" s="17">
        <v>10.1</v>
      </c>
      <c r="I48" s="33">
        <v>45314</v>
      </c>
      <c r="J48" s="37">
        <v>2.0833333333333335E-4</v>
      </c>
      <c r="K48">
        <v>0</v>
      </c>
      <c r="L48">
        <v>0</v>
      </c>
      <c r="M48">
        <v>0</v>
      </c>
      <c r="N48" s="30">
        <f t="shared" si="16"/>
        <v>10.071940000000001</v>
      </c>
      <c r="P48">
        <v>4</v>
      </c>
      <c r="Q48" t="s">
        <v>16</v>
      </c>
      <c r="R48">
        <v>14592</v>
      </c>
      <c r="S48">
        <v>64</v>
      </c>
      <c r="T48">
        <v>1</v>
      </c>
      <c r="U48">
        <v>4</v>
      </c>
      <c r="V48">
        <v>183.43</v>
      </c>
      <c r="W48" s="17">
        <v>11.294</v>
      </c>
      <c r="X48" s="33">
        <v>45314</v>
      </c>
      <c r="Y48" s="37">
        <v>1.1921296296296296E-3</v>
      </c>
      <c r="Z48">
        <v>0</v>
      </c>
      <c r="AA48">
        <v>0</v>
      </c>
      <c r="AB48">
        <v>0</v>
      </c>
      <c r="AC48" s="30">
        <f t="shared" si="17"/>
        <v>11.2852</v>
      </c>
      <c r="AD48" s="17"/>
      <c r="AF48" s="125">
        <v>4</v>
      </c>
      <c r="AG48" s="125" t="s">
        <v>16</v>
      </c>
      <c r="AH48" s="125">
        <v>14592</v>
      </c>
      <c r="AI48" s="125">
        <v>128</v>
      </c>
      <c r="AJ48" s="125">
        <v>1</v>
      </c>
      <c r="AK48" s="125">
        <v>4</v>
      </c>
      <c r="AL48" s="125">
        <v>200.46</v>
      </c>
      <c r="AM48" s="124">
        <v>10.335000000000001</v>
      </c>
      <c r="AN48" s="132">
        <v>45313</v>
      </c>
      <c r="AO48" s="129">
        <v>0.99184027777777783</v>
      </c>
      <c r="AP48" s="125">
        <v>0</v>
      </c>
      <c r="AQ48" s="125">
        <v>0</v>
      </c>
      <c r="AR48" s="125">
        <v>0</v>
      </c>
      <c r="AS48" s="134">
        <f t="shared" si="18"/>
        <v>10.342000000000001</v>
      </c>
      <c r="AT48" s="123"/>
      <c r="AV48" s="125">
        <v>4</v>
      </c>
      <c r="AW48" s="125" t="s">
        <v>16</v>
      </c>
      <c r="AX48" s="125">
        <v>14592</v>
      </c>
      <c r="AY48" s="125">
        <v>128</v>
      </c>
      <c r="AZ48" s="125">
        <v>1</v>
      </c>
      <c r="BA48" s="125">
        <v>4</v>
      </c>
      <c r="BB48" s="125">
        <v>184.44</v>
      </c>
      <c r="BC48" s="124">
        <v>11.231999999999999</v>
      </c>
      <c r="BD48" s="132">
        <v>45314</v>
      </c>
      <c r="BE48" s="129">
        <v>2.7071759259259257E-2</v>
      </c>
      <c r="BF48" s="125">
        <v>0</v>
      </c>
      <c r="BG48" s="125">
        <v>0</v>
      </c>
      <c r="BH48" s="125">
        <v>0</v>
      </c>
      <c r="BI48" s="133">
        <f t="shared" si="8"/>
        <v>11.2356</v>
      </c>
    </row>
    <row r="49" spans="1:61" x14ac:dyDescent="0.25">
      <c r="A49">
        <v>0</v>
      </c>
      <c r="B49" t="s">
        <v>16</v>
      </c>
      <c r="C49">
        <v>13056</v>
      </c>
      <c r="D49">
        <v>64</v>
      </c>
      <c r="E49">
        <v>2</v>
      </c>
      <c r="F49">
        <v>2</v>
      </c>
      <c r="G49">
        <v>148.28</v>
      </c>
      <c r="H49" s="17">
        <v>10.007999999999999</v>
      </c>
      <c r="I49" s="33">
        <v>45313</v>
      </c>
      <c r="J49" s="37">
        <v>0.75543981481481481</v>
      </c>
      <c r="K49">
        <v>0</v>
      </c>
      <c r="L49">
        <v>0</v>
      </c>
      <c r="M49">
        <v>0</v>
      </c>
      <c r="N49" s="30">
        <f t="shared" ref="N49" si="68">AVERAGE(H49:H53)</f>
        <v>10.0122</v>
      </c>
      <c r="P49">
        <v>0</v>
      </c>
      <c r="Q49" t="s">
        <v>16</v>
      </c>
      <c r="R49">
        <v>13056</v>
      </c>
      <c r="S49">
        <v>64</v>
      </c>
      <c r="T49">
        <v>2</v>
      </c>
      <c r="U49">
        <v>2</v>
      </c>
      <c r="V49">
        <v>133.22</v>
      </c>
      <c r="W49" s="17">
        <v>11.138999999999999</v>
      </c>
      <c r="X49" s="33">
        <v>45313</v>
      </c>
      <c r="Y49" s="37">
        <v>0.75868055555555547</v>
      </c>
      <c r="Z49">
        <v>0</v>
      </c>
      <c r="AA49">
        <v>0</v>
      </c>
      <c r="AB49">
        <v>0</v>
      </c>
      <c r="AC49" s="30">
        <f t="shared" ref="AC49" si="69">AVERAGE(W49:W53)</f>
        <v>11.123999999999999</v>
      </c>
      <c r="AD49" s="17"/>
      <c r="AF49" s="125">
        <v>0</v>
      </c>
      <c r="AG49" s="125" t="s">
        <v>16</v>
      </c>
      <c r="AH49" s="125">
        <v>13056</v>
      </c>
      <c r="AI49" s="125">
        <v>128</v>
      </c>
      <c r="AJ49" s="125">
        <v>2</v>
      </c>
      <c r="AK49" s="125">
        <v>2</v>
      </c>
      <c r="AL49" s="125">
        <v>142.62</v>
      </c>
      <c r="AM49" s="124">
        <v>10.404999999999999</v>
      </c>
      <c r="AN49" s="132">
        <v>45313</v>
      </c>
      <c r="AO49" s="129">
        <v>0.75265046296296301</v>
      </c>
      <c r="AP49" s="125">
        <v>0</v>
      </c>
      <c r="AQ49" s="125">
        <v>0</v>
      </c>
      <c r="AR49" s="125">
        <v>0</v>
      </c>
      <c r="AS49" s="134">
        <f t="shared" ref="AS49" si="70">AVERAGE(AM49:AM53)</f>
        <v>10.399600000000001</v>
      </c>
      <c r="AT49" s="130"/>
      <c r="AV49" s="125">
        <v>0</v>
      </c>
      <c r="AW49" s="125" t="s">
        <v>16</v>
      </c>
      <c r="AX49" s="125">
        <v>13056</v>
      </c>
      <c r="AY49" s="125">
        <v>128</v>
      </c>
      <c r="AZ49" s="125">
        <v>2</v>
      </c>
      <c r="BA49" s="125">
        <v>2</v>
      </c>
      <c r="BB49" s="125">
        <v>133.57</v>
      </c>
      <c r="BC49" s="124">
        <v>11.11</v>
      </c>
      <c r="BD49" s="132">
        <v>45313</v>
      </c>
      <c r="BE49" s="129">
        <v>0.75581018518518517</v>
      </c>
      <c r="BF49" s="125">
        <v>0</v>
      </c>
      <c r="BG49" s="125">
        <v>0</v>
      </c>
      <c r="BH49" s="125">
        <v>0</v>
      </c>
      <c r="BI49" s="133">
        <f t="shared" ref="BI49" si="71">AVERAGE(BC49:BC53)</f>
        <v>11.127999999999998</v>
      </c>
    </row>
    <row r="50" spans="1:61" x14ac:dyDescent="0.25">
      <c r="A50">
        <v>1</v>
      </c>
      <c r="B50" t="s">
        <v>16</v>
      </c>
      <c r="C50">
        <v>13056</v>
      </c>
      <c r="D50">
        <v>64</v>
      </c>
      <c r="E50">
        <v>2</v>
      </c>
      <c r="F50">
        <v>2</v>
      </c>
      <c r="G50">
        <v>148.24</v>
      </c>
      <c r="H50" s="17">
        <v>10.010999999999999</v>
      </c>
      <c r="I50" s="33">
        <v>45313</v>
      </c>
      <c r="J50" s="37">
        <v>0.80722222222222229</v>
      </c>
      <c r="K50">
        <v>0</v>
      </c>
      <c r="L50">
        <v>0</v>
      </c>
      <c r="M50">
        <v>0</v>
      </c>
      <c r="N50" s="30">
        <f t="shared" ref="N50" si="72">N49</f>
        <v>10.0122</v>
      </c>
      <c r="P50">
        <v>1</v>
      </c>
      <c r="Q50" t="s">
        <v>16</v>
      </c>
      <c r="R50">
        <v>13056</v>
      </c>
      <c r="S50">
        <v>64</v>
      </c>
      <c r="T50">
        <v>2</v>
      </c>
      <c r="U50">
        <v>2</v>
      </c>
      <c r="V50">
        <v>133.47</v>
      </c>
      <c r="W50" s="17">
        <v>11.118</v>
      </c>
      <c r="X50" s="33">
        <v>45313</v>
      </c>
      <c r="Y50" s="37">
        <v>0.79011574074074076</v>
      </c>
      <c r="Z50">
        <v>0</v>
      </c>
      <c r="AA50">
        <v>0</v>
      </c>
      <c r="AB50">
        <v>0</v>
      </c>
      <c r="AC50" s="30">
        <f t="shared" ref="AC50" si="73">AC49</f>
        <v>11.123999999999999</v>
      </c>
      <c r="AD50" s="17"/>
      <c r="AF50" s="125">
        <v>1</v>
      </c>
      <c r="AG50" s="125" t="s">
        <v>16</v>
      </c>
      <c r="AH50" s="125">
        <v>13056</v>
      </c>
      <c r="AI50" s="125">
        <v>128</v>
      </c>
      <c r="AJ50" s="125">
        <v>2</v>
      </c>
      <c r="AK50" s="125">
        <v>2</v>
      </c>
      <c r="AL50" s="125">
        <v>142.71</v>
      </c>
      <c r="AM50" s="124">
        <v>10.398999999999999</v>
      </c>
      <c r="AN50" s="132">
        <v>45313</v>
      </c>
      <c r="AO50" s="129">
        <v>0.80439814814814825</v>
      </c>
      <c r="AP50" s="125">
        <v>0</v>
      </c>
      <c r="AQ50" s="125">
        <v>0</v>
      </c>
      <c r="AR50" s="125">
        <v>0</v>
      </c>
      <c r="AS50" s="134">
        <f t="shared" ref="AS50" si="74">AS49</f>
        <v>10.399600000000001</v>
      </c>
      <c r="AT50" s="123"/>
      <c r="AV50" s="125">
        <v>1</v>
      </c>
      <c r="AW50" s="125" t="s">
        <v>16</v>
      </c>
      <c r="AX50" s="125">
        <v>13056</v>
      </c>
      <c r="AY50" s="125">
        <v>128</v>
      </c>
      <c r="AZ50" s="125">
        <v>2</v>
      </c>
      <c r="BA50" s="125">
        <v>2</v>
      </c>
      <c r="BB50" s="125">
        <v>133.27000000000001</v>
      </c>
      <c r="BC50" s="124">
        <v>11.135</v>
      </c>
      <c r="BD50" s="132">
        <v>45313</v>
      </c>
      <c r="BE50" s="129">
        <v>0.81454861111111121</v>
      </c>
      <c r="BF50" s="125">
        <v>0</v>
      </c>
      <c r="BG50" s="125">
        <v>0</v>
      </c>
      <c r="BH50" s="125">
        <v>0</v>
      </c>
      <c r="BI50" s="133">
        <f t="shared" ref="BI50" si="75">BI49</f>
        <v>11.127999999999998</v>
      </c>
    </row>
    <row r="51" spans="1:61" x14ac:dyDescent="0.25">
      <c r="A51">
        <v>2</v>
      </c>
      <c r="B51" t="s">
        <v>16</v>
      </c>
      <c r="C51">
        <v>13056</v>
      </c>
      <c r="D51">
        <v>64</v>
      </c>
      <c r="E51">
        <v>2</v>
      </c>
      <c r="F51">
        <v>2</v>
      </c>
      <c r="G51">
        <v>148.16999999999999</v>
      </c>
      <c r="H51" s="17">
        <v>10.015000000000001</v>
      </c>
      <c r="I51" s="33">
        <v>45313</v>
      </c>
      <c r="J51" s="37">
        <v>0.8662037037037037</v>
      </c>
      <c r="K51">
        <v>0</v>
      </c>
      <c r="L51">
        <v>0</v>
      </c>
      <c r="M51">
        <v>0</v>
      </c>
      <c r="N51" s="30">
        <f t="shared" si="24"/>
        <v>10.0122</v>
      </c>
      <c r="P51">
        <v>2</v>
      </c>
      <c r="Q51" t="s">
        <v>16</v>
      </c>
      <c r="R51">
        <v>13056</v>
      </c>
      <c r="S51">
        <v>64</v>
      </c>
      <c r="T51">
        <v>2</v>
      </c>
      <c r="U51">
        <v>2</v>
      </c>
      <c r="V51">
        <v>133.26</v>
      </c>
      <c r="W51" s="17">
        <v>11.135</v>
      </c>
      <c r="X51" s="33">
        <v>45313</v>
      </c>
      <c r="Y51" s="37">
        <v>0.84880787037037031</v>
      </c>
      <c r="Z51">
        <v>0</v>
      </c>
      <c r="AA51">
        <v>0</v>
      </c>
      <c r="AB51">
        <v>0</v>
      </c>
      <c r="AC51" s="30">
        <f t="shared" si="25"/>
        <v>11.123999999999999</v>
      </c>
      <c r="AD51" s="17"/>
      <c r="AF51" s="125">
        <v>2</v>
      </c>
      <c r="AG51" s="125" t="s">
        <v>16</v>
      </c>
      <c r="AH51" s="125">
        <v>13056</v>
      </c>
      <c r="AI51" s="125">
        <v>128</v>
      </c>
      <c r="AJ51" s="125">
        <v>2</v>
      </c>
      <c r="AK51" s="125">
        <v>2</v>
      </c>
      <c r="AL51" s="125">
        <v>142.63999999999999</v>
      </c>
      <c r="AM51" s="124">
        <v>10.403</v>
      </c>
      <c r="AN51" s="132">
        <v>45313</v>
      </c>
      <c r="AO51" s="129">
        <v>0.85611111111111116</v>
      </c>
      <c r="AP51" s="125">
        <v>0</v>
      </c>
      <c r="AQ51" s="125">
        <v>0</v>
      </c>
      <c r="AR51" s="125">
        <v>0</v>
      </c>
      <c r="AS51" s="134">
        <f t="shared" si="26"/>
        <v>10.399600000000001</v>
      </c>
      <c r="AT51" s="123"/>
      <c r="AV51" s="125">
        <v>2</v>
      </c>
      <c r="AW51" s="125" t="s">
        <v>16</v>
      </c>
      <c r="AX51" s="125">
        <v>13056</v>
      </c>
      <c r="AY51" s="125">
        <v>128</v>
      </c>
      <c r="AZ51" s="125">
        <v>2</v>
      </c>
      <c r="BA51" s="125">
        <v>2</v>
      </c>
      <c r="BB51" s="125">
        <v>133.38</v>
      </c>
      <c r="BC51" s="124">
        <v>11.125999999999999</v>
      </c>
      <c r="BD51" s="132">
        <v>45313</v>
      </c>
      <c r="BE51" s="129">
        <v>0.87326388888888884</v>
      </c>
      <c r="BF51" s="125">
        <v>0</v>
      </c>
      <c r="BG51" s="125">
        <v>0</v>
      </c>
      <c r="BH51" s="125">
        <v>0</v>
      </c>
      <c r="BI51" s="133">
        <f t="shared" si="8"/>
        <v>11.127999999999998</v>
      </c>
    </row>
    <row r="52" spans="1:61" x14ac:dyDescent="0.25">
      <c r="A52">
        <v>3</v>
      </c>
      <c r="B52" t="s">
        <v>16</v>
      </c>
      <c r="C52">
        <v>13056</v>
      </c>
      <c r="D52">
        <v>64</v>
      </c>
      <c r="E52">
        <v>2</v>
      </c>
      <c r="F52">
        <v>2</v>
      </c>
      <c r="G52">
        <v>148.22</v>
      </c>
      <c r="H52" s="17">
        <v>10.010999999999999</v>
      </c>
      <c r="I52" s="33">
        <v>45313</v>
      </c>
      <c r="J52" s="37">
        <v>0.91781250000000003</v>
      </c>
      <c r="K52">
        <v>0</v>
      </c>
      <c r="L52">
        <v>0</v>
      </c>
      <c r="M52">
        <v>0</v>
      </c>
      <c r="N52" s="30">
        <f t="shared" si="24"/>
        <v>10.0122</v>
      </c>
      <c r="P52">
        <v>3</v>
      </c>
      <c r="Q52" t="s">
        <v>16</v>
      </c>
      <c r="R52">
        <v>13056</v>
      </c>
      <c r="S52">
        <v>64</v>
      </c>
      <c r="T52">
        <v>2</v>
      </c>
      <c r="U52">
        <v>2</v>
      </c>
      <c r="V52">
        <v>133.61000000000001</v>
      </c>
      <c r="W52" s="17">
        <v>11.106</v>
      </c>
      <c r="X52" s="33">
        <v>45313</v>
      </c>
      <c r="Y52" s="37">
        <v>0.9075347222222222</v>
      </c>
      <c r="Z52">
        <v>0</v>
      </c>
      <c r="AA52">
        <v>0</v>
      </c>
      <c r="AB52">
        <v>0</v>
      </c>
      <c r="AC52" s="30">
        <f t="shared" si="25"/>
        <v>11.123999999999999</v>
      </c>
      <c r="AD52" s="17"/>
      <c r="AF52" s="125">
        <v>3</v>
      </c>
      <c r="AG52" s="125" t="s">
        <v>16</v>
      </c>
      <c r="AH52" s="125">
        <v>13056</v>
      </c>
      <c r="AI52" s="125">
        <v>128</v>
      </c>
      <c r="AJ52" s="125">
        <v>2</v>
      </c>
      <c r="AK52" s="125">
        <v>2</v>
      </c>
      <c r="AL52" s="125">
        <v>142.78</v>
      </c>
      <c r="AM52" s="124">
        <v>10.393000000000001</v>
      </c>
      <c r="AN52" s="132">
        <v>45313</v>
      </c>
      <c r="AO52" s="129">
        <v>0.90784722222222225</v>
      </c>
      <c r="AP52" s="125">
        <v>0</v>
      </c>
      <c r="AQ52" s="125">
        <v>0</v>
      </c>
      <c r="AR52" s="125">
        <v>0</v>
      </c>
      <c r="AS52" s="134">
        <f t="shared" si="26"/>
        <v>10.399600000000001</v>
      </c>
      <c r="AT52" s="123"/>
      <c r="AV52" s="125">
        <v>3</v>
      </c>
      <c r="AW52" s="125" t="s">
        <v>16</v>
      </c>
      <c r="AX52" s="125">
        <v>13056</v>
      </c>
      <c r="AY52" s="125">
        <v>128</v>
      </c>
      <c r="AZ52" s="125">
        <v>2</v>
      </c>
      <c r="BA52" s="125">
        <v>2</v>
      </c>
      <c r="BB52" s="125">
        <v>133.08000000000001</v>
      </c>
      <c r="BC52" s="124">
        <v>11.15</v>
      </c>
      <c r="BD52" s="132">
        <v>45313</v>
      </c>
      <c r="BE52" s="129">
        <v>0.93196759259259254</v>
      </c>
      <c r="BF52" s="125">
        <v>0</v>
      </c>
      <c r="BG52" s="125">
        <v>0</v>
      </c>
      <c r="BH52" s="125">
        <v>0</v>
      </c>
      <c r="BI52" s="133">
        <f t="shared" si="8"/>
        <v>11.127999999999998</v>
      </c>
    </row>
    <row r="53" spans="1:61" x14ac:dyDescent="0.25">
      <c r="A53">
        <v>4</v>
      </c>
      <c r="B53" t="s">
        <v>16</v>
      </c>
      <c r="C53">
        <v>13056</v>
      </c>
      <c r="D53">
        <v>64</v>
      </c>
      <c r="E53">
        <v>2</v>
      </c>
      <c r="F53">
        <v>2</v>
      </c>
      <c r="G53">
        <v>148.16</v>
      </c>
      <c r="H53" s="17">
        <v>10.016</v>
      </c>
      <c r="I53" s="33">
        <v>45313</v>
      </c>
      <c r="J53" s="37">
        <v>0.96942129629629636</v>
      </c>
      <c r="K53">
        <v>0</v>
      </c>
      <c r="L53">
        <v>0</v>
      </c>
      <c r="M53">
        <v>0</v>
      </c>
      <c r="N53" s="30">
        <f t="shared" si="24"/>
        <v>10.0122</v>
      </c>
      <c r="P53">
        <v>4</v>
      </c>
      <c r="Q53" t="s">
        <v>16</v>
      </c>
      <c r="R53">
        <v>13056</v>
      </c>
      <c r="S53">
        <v>64</v>
      </c>
      <c r="T53">
        <v>2</v>
      </c>
      <c r="U53">
        <v>2</v>
      </c>
      <c r="V53">
        <v>133.41999999999999</v>
      </c>
      <c r="W53" s="17">
        <v>11.122</v>
      </c>
      <c r="X53" s="33">
        <v>45313</v>
      </c>
      <c r="Y53" s="37">
        <v>0.96625000000000005</v>
      </c>
      <c r="Z53">
        <v>0</v>
      </c>
      <c r="AA53">
        <v>0</v>
      </c>
      <c r="AB53">
        <v>0</v>
      </c>
      <c r="AC53" s="30">
        <f t="shared" si="25"/>
        <v>11.123999999999999</v>
      </c>
      <c r="AD53" s="17"/>
      <c r="AF53" s="125">
        <v>4</v>
      </c>
      <c r="AG53" s="125" t="s">
        <v>16</v>
      </c>
      <c r="AH53" s="125">
        <v>13056</v>
      </c>
      <c r="AI53" s="125">
        <v>128</v>
      </c>
      <c r="AJ53" s="125">
        <v>2</v>
      </c>
      <c r="AK53" s="125">
        <v>2</v>
      </c>
      <c r="AL53" s="125">
        <v>142.72</v>
      </c>
      <c r="AM53" s="124">
        <v>10.398</v>
      </c>
      <c r="AN53" s="132">
        <v>45313</v>
      </c>
      <c r="AO53" s="129">
        <v>0.95958333333333334</v>
      </c>
      <c r="AP53" s="125">
        <v>0</v>
      </c>
      <c r="AQ53" s="125">
        <v>0</v>
      </c>
      <c r="AR53" s="125">
        <v>0</v>
      </c>
      <c r="AS53" s="134">
        <f t="shared" si="26"/>
        <v>10.399600000000001</v>
      </c>
      <c r="AT53" s="123"/>
      <c r="AV53" s="125">
        <v>4</v>
      </c>
      <c r="AW53" s="125" t="s">
        <v>16</v>
      </c>
      <c r="AX53" s="125">
        <v>13056</v>
      </c>
      <c r="AY53" s="125">
        <v>128</v>
      </c>
      <c r="AZ53" s="125">
        <v>2</v>
      </c>
      <c r="BA53" s="125">
        <v>2</v>
      </c>
      <c r="BB53" s="125">
        <v>133.44999999999999</v>
      </c>
      <c r="BC53" s="124">
        <v>11.119</v>
      </c>
      <c r="BD53" s="132">
        <v>45313</v>
      </c>
      <c r="BE53" s="129">
        <v>0.99069444444444443</v>
      </c>
      <c r="BF53" s="125">
        <v>0</v>
      </c>
      <c r="BG53" s="125">
        <v>0</v>
      </c>
      <c r="BH53" s="125">
        <v>0</v>
      </c>
      <c r="BI53" s="133">
        <f t="shared" si="8"/>
        <v>11.127999999999998</v>
      </c>
    </row>
    <row r="54" spans="1:61" x14ac:dyDescent="0.25">
      <c r="A54">
        <v>0</v>
      </c>
      <c r="B54" t="s">
        <v>16</v>
      </c>
      <c r="C54">
        <v>13824</v>
      </c>
      <c r="D54">
        <v>64</v>
      </c>
      <c r="E54">
        <v>2</v>
      </c>
      <c r="F54">
        <v>2</v>
      </c>
      <c r="G54">
        <v>178.5</v>
      </c>
      <c r="H54" s="17">
        <v>9.8681000000000001</v>
      </c>
      <c r="I54" s="33">
        <v>45313</v>
      </c>
      <c r="J54" s="37">
        <v>0.77074074074074073</v>
      </c>
      <c r="K54">
        <v>0</v>
      </c>
      <c r="L54">
        <v>0</v>
      </c>
      <c r="M54">
        <v>0</v>
      </c>
      <c r="N54" s="30">
        <f t="shared" ref="N54" si="76">AVERAGE(H54:H58)</f>
        <v>9.8649400000000007</v>
      </c>
      <c r="P54">
        <v>0</v>
      </c>
      <c r="Q54" t="s">
        <v>16</v>
      </c>
      <c r="R54">
        <v>13824</v>
      </c>
      <c r="S54">
        <v>64</v>
      </c>
      <c r="T54">
        <v>2</v>
      </c>
      <c r="U54">
        <v>2</v>
      </c>
      <c r="V54">
        <v>158.37</v>
      </c>
      <c r="W54" s="17">
        <v>11.122</v>
      </c>
      <c r="X54" s="33">
        <v>45313</v>
      </c>
      <c r="Y54" s="37">
        <v>0.74883101851851863</v>
      </c>
      <c r="Z54">
        <v>0</v>
      </c>
      <c r="AA54">
        <v>0</v>
      </c>
      <c r="AB54">
        <v>0</v>
      </c>
      <c r="AC54" s="30">
        <f t="shared" ref="AC54" si="77">AVERAGE(W54:W58)</f>
        <v>11.128399999999999</v>
      </c>
      <c r="AD54" s="17"/>
      <c r="AF54" s="125">
        <v>0</v>
      </c>
      <c r="AG54" s="125" t="s">
        <v>16</v>
      </c>
      <c r="AH54" s="125">
        <v>13824</v>
      </c>
      <c r="AI54" s="125">
        <v>128</v>
      </c>
      <c r="AJ54" s="125">
        <v>2</v>
      </c>
      <c r="AK54" s="125">
        <v>2</v>
      </c>
      <c r="AL54" s="125">
        <v>171.95</v>
      </c>
      <c r="AM54" s="124">
        <v>10.244</v>
      </c>
      <c r="AN54" s="132">
        <v>45313</v>
      </c>
      <c r="AO54" s="129">
        <v>0.76883101851851843</v>
      </c>
      <c r="AP54" s="125">
        <v>0</v>
      </c>
      <c r="AQ54" s="125">
        <v>0</v>
      </c>
      <c r="AR54" s="125">
        <v>0</v>
      </c>
      <c r="AS54" s="134">
        <f t="shared" ref="AS54" si="78">AVERAGE(AM54:AM58)</f>
        <v>10.2448</v>
      </c>
      <c r="AT54" s="130"/>
      <c r="AV54" s="125">
        <v>0</v>
      </c>
      <c r="AW54" s="125" t="s">
        <v>16</v>
      </c>
      <c r="AX54" s="125">
        <v>13824</v>
      </c>
      <c r="AY54" s="125">
        <v>128</v>
      </c>
      <c r="AZ54" s="125">
        <v>2</v>
      </c>
      <c r="BA54" s="125">
        <v>2</v>
      </c>
      <c r="BB54" s="125">
        <v>158.22</v>
      </c>
      <c r="BC54" s="124">
        <v>11.132999999999999</v>
      </c>
      <c r="BD54" s="132">
        <v>45313</v>
      </c>
      <c r="BE54" s="129">
        <v>0.77406249999999999</v>
      </c>
      <c r="BF54" s="125">
        <v>0</v>
      </c>
      <c r="BG54" s="125">
        <v>0</v>
      </c>
      <c r="BH54" s="125">
        <v>0</v>
      </c>
      <c r="BI54" s="133">
        <f t="shared" ref="BI54" si="79">AVERAGE(BC54:BC58)</f>
        <v>11.126200000000001</v>
      </c>
    </row>
    <row r="55" spans="1:61" x14ac:dyDescent="0.25">
      <c r="A55">
        <v>1</v>
      </c>
      <c r="B55" t="s">
        <v>16</v>
      </c>
      <c r="C55">
        <v>13824</v>
      </c>
      <c r="D55">
        <v>64</v>
      </c>
      <c r="E55">
        <v>2</v>
      </c>
      <c r="F55">
        <v>2</v>
      </c>
      <c r="G55">
        <v>178.58</v>
      </c>
      <c r="H55" s="17">
        <v>9.8641000000000005</v>
      </c>
      <c r="I55" s="33">
        <v>45313</v>
      </c>
      <c r="J55" s="37">
        <v>0.8225231481481482</v>
      </c>
      <c r="K55">
        <v>0</v>
      </c>
      <c r="L55">
        <v>0</v>
      </c>
      <c r="M55">
        <v>0</v>
      </c>
      <c r="N55" s="30">
        <f t="shared" ref="N55" si="80">N54</f>
        <v>9.8649400000000007</v>
      </c>
      <c r="P55">
        <v>1</v>
      </c>
      <c r="Q55" t="s">
        <v>16</v>
      </c>
      <c r="R55">
        <v>13824</v>
      </c>
      <c r="S55">
        <v>64</v>
      </c>
      <c r="T55">
        <v>2</v>
      </c>
      <c r="U55">
        <v>2</v>
      </c>
      <c r="V55">
        <v>158.08000000000001</v>
      </c>
      <c r="W55" s="17">
        <v>11.143000000000001</v>
      </c>
      <c r="X55" s="33">
        <v>45313</v>
      </c>
      <c r="Y55" s="37">
        <v>0.80755787037037041</v>
      </c>
      <c r="Z55">
        <v>0</v>
      </c>
      <c r="AA55">
        <v>0</v>
      </c>
      <c r="AB55">
        <v>0</v>
      </c>
      <c r="AC55" s="30">
        <f t="shared" ref="AC55" si="81">AC54</f>
        <v>11.128399999999999</v>
      </c>
      <c r="AD55" s="17"/>
      <c r="AF55" s="125">
        <v>1</v>
      </c>
      <c r="AG55" s="125" t="s">
        <v>16</v>
      </c>
      <c r="AH55" s="125">
        <v>13824</v>
      </c>
      <c r="AI55" s="125">
        <v>128</v>
      </c>
      <c r="AJ55" s="125">
        <v>2</v>
      </c>
      <c r="AK55" s="125">
        <v>2</v>
      </c>
      <c r="AL55" s="125">
        <v>171.97</v>
      </c>
      <c r="AM55" s="124">
        <v>10.243</v>
      </c>
      <c r="AN55" s="132">
        <v>45313</v>
      </c>
      <c r="AO55" s="129">
        <v>0.82057870370370367</v>
      </c>
      <c r="AP55" s="125">
        <v>0</v>
      </c>
      <c r="AQ55" s="125">
        <v>0</v>
      </c>
      <c r="AR55" s="125">
        <v>0</v>
      </c>
      <c r="AS55" s="134">
        <f t="shared" ref="AS55" si="82">AS54</f>
        <v>10.2448</v>
      </c>
      <c r="AT55" s="123"/>
      <c r="AV55" s="125">
        <v>1</v>
      </c>
      <c r="AW55" s="125" t="s">
        <v>16</v>
      </c>
      <c r="AX55" s="125">
        <v>13824</v>
      </c>
      <c r="AY55" s="125">
        <v>128</v>
      </c>
      <c r="AZ55" s="125">
        <v>2</v>
      </c>
      <c r="BA55" s="125">
        <v>2</v>
      </c>
      <c r="BB55" s="125">
        <v>158.33000000000001</v>
      </c>
      <c r="BC55" s="124">
        <v>11.125</v>
      </c>
      <c r="BD55" s="132">
        <v>45313</v>
      </c>
      <c r="BE55" s="129">
        <v>0.83277777777777784</v>
      </c>
      <c r="BF55" s="125">
        <v>0</v>
      </c>
      <c r="BG55" s="125">
        <v>0</v>
      </c>
      <c r="BH55" s="125">
        <v>0</v>
      </c>
      <c r="BI55" s="133">
        <f t="shared" ref="BI55" si="83">BI54</f>
        <v>11.126200000000001</v>
      </c>
    </row>
    <row r="56" spans="1:61" x14ac:dyDescent="0.25">
      <c r="A56">
        <v>2</v>
      </c>
      <c r="B56" t="s">
        <v>16</v>
      </c>
      <c r="C56">
        <v>13824</v>
      </c>
      <c r="D56">
        <v>64</v>
      </c>
      <c r="E56">
        <v>2</v>
      </c>
      <c r="F56">
        <v>2</v>
      </c>
      <c r="G56">
        <v>178.48</v>
      </c>
      <c r="H56" s="17">
        <v>9.8694000000000006</v>
      </c>
      <c r="I56" s="33">
        <v>45313</v>
      </c>
      <c r="J56" s="37">
        <v>0.88146990740740738</v>
      </c>
      <c r="K56">
        <v>0</v>
      </c>
      <c r="L56">
        <v>0</v>
      </c>
      <c r="M56">
        <v>0</v>
      </c>
      <c r="N56" s="30">
        <f t="shared" si="16"/>
        <v>9.8649400000000007</v>
      </c>
      <c r="P56">
        <v>2</v>
      </c>
      <c r="Q56" t="s">
        <v>16</v>
      </c>
      <c r="R56">
        <v>13824</v>
      </c>
      <c r="S56">
        <v>64</v>
      </c>
      <c r="T56">
        <v>2</v>
      </c>
      <c r="U56">
        <v>2</v>
      </c>
      <c r="V56">
        <v>158.28</v>
      </c>
      <c r="W56" s="17">
        <v>11.129</v>
      </c>
      <c r="X56" s="33">
        <v>45313</v>
      </c>
      <c r="Y56" s="37">
        <v>0.86626157407407411</v>
      </c>
      <c r="Z56">
        <v>0</v>
      </c>
      <c r="AA56">
        <v>0</v>
      </c>
      <c r="AB56">
        <v>0</v>
      </c>
      <c r="AC56" s="30">
        <f t="shared" si="17"/>
        <v>11.128399999999999</v>
      </c>
      <c r="AD56" s="17"/>
      <c r="AF56" s="125">
        <v>2</v>
      </c>
      <c r="AG56" s="125" t="s">
        <v>16</v>
      </c>
      <c r="AH56" s="125">
        <v>13824</v>
      </c>
      <c r="AI56" s="125">
        <v>128</v>
      </c>
      <c r="AJ56" s="125">
        <v>2</v>
      </c>
      <c r="AK56" s="125">
        <v>2</v>
      </c>
      <c r="AL56" s="125">
        <v>171.9</v>
      </c>
      <c r="AM56" s="124">
        <v>10.247</v>
      </c>
      <c r="AN56" s="132">
        <v>45313</v>
      </c>
      <c r="AO56" s="129">
        <v>0.87230324074074073</v>
      </c>
      <c r="AP56" s="125">
        <v>0</v>
      </c>
      <c r="AQ56" s="125">
        <v>0</v>
      </c>
      <c r="AR56" s="125">
        <v>0</v>
      </c>
      <c r="AS56" s="134">
        <f t="shared" si="18"/>
        <v>10.2448</v>
      </c>
      <c r="AT56" s="123"/>
      <c r="AV56" s="125">
        <v>2</v>
      </c>
      <c r="AW56" s="125" t="s">
        <v>16</v>
      </c>
      <c r="AX56" s="125">
        <v>13824</v>
      </c>
      <c r="AY56" s="125">
        <v>128</v>
      </c>
      <c r="AZ56" s="125">
        <v>2</v>
      </c>
      <c r="BA56" s="125">
        <v>2</v>
      </c>
      <c r="BB56" s="125">
        <v>158.38</v>
      </c>
      <c r="BC56" s="124">
        <v>11.122</v>
      </c>
      <c r="BD56" s="132">
        <v>45313</v>
      </c>
      <c r="BE56" s="129">
        <v>0.89149305555555547</v>
      </c>
      <c r="BF56" s="125">
        <v>0</v>
      </c>
      <c r="BG56" s="125">
        <v>0</v>
      </c>
      <c r="BH56" s="125">
        <v>0</v>
      </c>
      <c r="BI56" s="133">
        <f t="shared" si="8"/>
        <v>11.126200000000001</v>
      </c>
    </row>
    <row r="57" spans="1:61" x14ac:dyDescent="0.25">
      <c r="A57">
        <v>3</v>
      </c>
      <c r="B57" t="s">
        <v>16</v>
      </c>
      <c r="C57">
        <v>13824</v>
      </c>
      <c r="D57">
        <v>64</v>
      </c>
      <c r="E57">
        <v>2</v>
      </c>
      <c r="F57">
        <v>2</v>
      </c>
      <c r="G57">
        <v>178.48</v>
      </c>
      <c r="H57" s="17">
        <v>9.8693000000000008</v>
      </c>
      <c r="I57" s="33">
        <v>45313</v>
      </c>
      <c r="J57" s="37">
        <v>0.93307870370370372</v>
      </c>
      <c r="K57">
        <v>0</v>
      </c>
      <c r="L57">
        <v>0</v>
      </c>
      <c r="M57">
        <v>0</v>
      </c>
      <c r="N57" s="30">
        <f t="shared" si="16"/>
        <v>9.8649400000000007</v>
      </c>
      <c r="P57">
        <v>3</v>
      </c>
      <c r="Q57" t="s">
        <v>16</v>
      </c>
      <c r="R57">
        <v>13824</v>
      </c>
      <c r="S57">
        <v>64</v>
      </c>
      <c r="T57">
        <v>2</v>
      </c>
      <c r="U57">
        <v>2</v>
      </c>
      <c r="V57">
        <v>158.44999999999999</v>
      </c>
      <c r="W57" s="17">
        <v>11.117000000000001</v>
      </c>
      <c r="X57" s="33">
        <v>45313</v>
      </c>
      <c r="Y57" s="37">
        <v>0.92498842592592589</v>
      </c>
      <c r="Z57">
        <v>0</v>
      </c>
      <c r="AA57">
        <v>0</v>
      </c>
      <c r="AB57">
        <v>0</v>
      </c>
      <c r="AC57" s="30">
        <f t="shared" si="17"/>
        <v>11.128399999999999</v>
      </c>
      <c r="AD57" s="17"/>
      <c r="AF57" s="125">
        <v>3</v>
      </c>
      <c r="AG57" s="125" t="s">
        <v>16</v>
      </c>
      <c r="AH57" s="125">
        <v>13824</v>
      </c>
      <c r="AI57" s="125">
        <v>128</v>
      </c>
      <c r="AJ57" s="125">
        <v>2</v>
      </c>
      <c r="AK57" s="125">
        <v>2</v>
      </c>
      <c r="AL57" s="125">
        <v>171.94</v>
      </c>
      <c r="AM57" s="124">
        <v>10.244999999999999</v>
      </c>
      <c r="AN57" s="132">
        <v>45313</v>
      </c>
      <c r="AO57" s="129">
        <v>0.92402777777777778</v>
      </c>
      <c r="AP57" s="125">
        <v>0</v>
      </c>
      <c r="AQ57" s="125">
        <v>0</v>
      </c>
      <c r="AR57" s="125">
        <v>0</v>
      </c>
      <c r="AS57" s="134">
        <f t="shared" si="18"/>
        <v>10.2448</v>
      </c>
      <c r="AT57" s="123"/>
      <c r="AV57" s="125">
        <v>3</v>
      </c>
      <c r="AW57" s="125" t="s">
        <v>16</v>
      </c>
      <c r="AX57" s="125">
        <v>13824</v>
      </c>
      <c r="AY57" s="125">
        <v>128</v>
      </c>
      <c r="AZ57" s="125">
        <v>2</v>
      </c>
      <c r="BA57" s="125">
        <v>2</v>
      </c>
      <c r="BB57" s="125">
        <v>158.49</v>
      </c>
      <c r="BC57" s="124">
        <v>11.115</v>
      </c>
      <c r="BD57" s="132">
        <v>45313</v>
      </c>
      <c r="BE57" s="129">
        <v>0.95023148148148151</v>
      </c>
      <c r="BF57" s="125">
        <v>0</v>
      </c>
      <c r="BG57" s="125">
        <v>0</v>
      </c>
      <c r="BH57" s="125">
        <v>0</v>
      </c>
      <c r="BI57" s="133">
        <f t="shared" si="8"/>
        <v>11.126200000000001</v>
      </c>
    </row>
    <row r="58" spans="1:61" x14ac:dyDescent="0.25">
      <c r="A58">
        <v>4</v>
      </c>
      <c r="B58" t="s">
        <v>16</v>
      </c>
      <c r="C58">
        <v>13824</v>
      </c>
      <c r="D58">
        <v>64</v>
      </c>
      <c r="E58">
        <v>2</v>
      </c>
      <c r="F58">
        <v>2</v>
      </c>
      <c r="G58">
        <v>178.76</v>
      </c>
      <c r="H58" s="17">
        <v>9.8537999999999997</v>
      </c>
      <c r="I58" s="33">
        <v>45313</v>
      </c>
      <c r="J58" s="37">
        <v>0.98469907407407409</v>
      </c>
      <c r="K58">
        <v>0</v>
      </c>
      <c r="L58">
        <v>0</v>
      </c>
      <c r="M58">
        <v>0</v>
      </c>
      <c r="N58" s="30">
        <f t="shared" si="16"/>
        <v>9.8649400000000007</v>
      </c>
      <c r="P58">
        <v>4</v>
      </c>
      <c r="Q58" t="s">
        <v>16</v>
      </c>
      <c r="R58">
        <v>13824</v>
      </c>
      <c r="S58">
        <v>64</v>
      </c>
      <c r="T58">
        <v>2</v>
      </c>
      <c r="U58">
        <v>2</v>
      </c>
      <c r="V58">
        <v>158.25</v>
      </c>
      <c r="W58" s="17">
        <v>11.131</v>
      </c>
      <c r="X58" s="33">
        <v>45313</v>
      </c>
      <c r="Y58" s="37">
        <v>0.98370370370370364</v>
      </c>
      <c r="Z58">
        <v>0</v>
      </c>
      <c r="AA58">
        <v>0</v>
      </c>
      <c r="AB58">
        <v>0</v>
      </c>
      <c r="AC58" s="30">
        <f t="shared" si="17"/>
        <v>11.128399999999999</v>
      </c>
      <c r="AD58" s="17"/>
      <c r="AF58" s="125">
        <v>4</v>
      </c>
      <c r="AG58" s="125" t="s">
        <v>16</v>
      </c>
      <c r="AH58" s="125">
        <v>13824</v>
      </c>
      <c r="AI58" s="125">
        <v>128</v>
      </c>
      <c r="AJ58" s="125">
        <v>2</v>
      </c>
      <c r="AK58" s="125">
        <v>2</v>
      </c>
      <c r="AL58" s="125">
        <v>171.94</v>
      </c>
      <c r="AM58" s="124">
        <v>10.244999999999999</v>
      </c>
      <c r="AN58" s="132">
        <v>45313</v>
      </c>
      <c r="AO58" s="129">
        <v>0.97575231481481473</v>
      </c>
      <c r="AP58" s="125">
        <v>0</v>
      </c>
      <c r="AQ58" s="125">
        <v>0</v>
      </c>
      <c r="AR58" s="125">
        <v>0</v>
      </c>
      <c r="AS58" s="134">
        <f t="shared" si="18"/>
        <v>10.2448</v>
      </c>
      <c r="AT58" s="123"/>
      <c r="AV58" s="125">
        <v>4</v>
      </c>
      <c r="AW58" s="125" t="s">
        <v>16</v>
      </c>
      <c r="AX58" s="125">
        <v>13824</v>
      </c>
      <c r="AY58" s="125">
        <v>128</v>
      </c>
      <c r="AZ58" s="125">
        <v>2</v>
      </c>
      <c r="BA58" s="125">
        <v>2</v>
      </c>
      <c r="BB58" s="125">
        <v>158.18</v>
      </c>
      <c r="BC58" s="124">
        <v>11.135999999999999</v>
      </c>
      <c r="BD58" s="132">
        <v>45314</v>
      </c>
      <c r="BE58" s="129">
        <v>8.9351851851851866E-3</v>
      </c>
      <c r="BF58" s="125">
        <v>0</v>
      </c>
      <c r="BG58" s="125">
        <v>0</v>
      </c>
      <c r="BH58" s="125">
        <v>0</v>
      </c>
      <c r="BI58" s="133">
        <f t="shared" si="8"/>
        <v>11.126200000000001</v>
      </c>
    </row>
    <row r="59" spans="1:61" x14ac:dyDescent="0.25">
      <c r="A59">
        <v>0</v>
      </c>
      <c r="B59" t="s">
        <v>16</v>
      </c>
      <c r="C59">
        <v>14592</v>
      </c>
      <c r="D59">
        <v>64</v>
      </c>
      <c r="E59">
        <v>2</v>
      </c>
      <c r="F59">
        <v>2</v>
      </c>
      <c r="G59">
        <v>204.36</v>
      </c>
      <c r="H59" s="17">
        <v>10.137</v>
      </c>
      <c r="I59" s="33">
        <v>45313</v>
      </c>
      <c r="J59" s="37">
        <v>0.7888425925925926</v>
      </c>
      <c r="K59">
        <v>0</v>
      </c>
      <c r="L59">
        <v>0</v>
      </c>
      <c r="M59">
        <v>0</v>
      </c>
      <c r="N59" s="30">
        <f t="shared" ref="N59" si="84">AVERAGE(H59:H63)</f>
        <v>10.1334</v>
      </c>
      <c r="P59">
        <v>0</v>
      </c>
      <c r="Q59" t="s">
        <v>16</v>
      </c>
      <c r="R59">
        <v>14592</v>
      </c>
      <c r="S59">
        <v>64</v>
      </c>
      <c r="T59">
        <v>2</v>
      </c>
      <c r="U59">
        <v>2</v>
      </c>
      <c r="V59">
        <v>184.38</v>
      </c>
      <c r="W59" s="17">
        <v>11.236000000000001</v>
      </c>
      <c r="X59" s="33">
        <v>45313</v>
      </c>
      <c r="Y59" s="37">
        <v>0.76913194444444455</v>
      </c>
      <c r="Z59">
        <v>0</v>
      </c>
      <c r="AA59">
        <v>0</v>
      </c>
      <c r="AB59">
        <v>0</v>
      </c>
      <c r="AC59" s="30">
        <f t="shared" ref="AC59" si="85">AVERAGE(W59:W63)</f>
        <v>11.250200000000001</v>
      </c>
      <c r="AD59" s="17"/>
      <c r="AF59" s="125">
        <v>0</v>
      </c>
      <c r="AG59" s="125" t="s">
        <v>16</v>
      </c>
      <c r="AH59" s="125">
        <v>14592</v>
      </c>
      <c r="AI59" s="125">
        <v>128</v>
      </c>
      <c r="AJ59" s="125">
        <v>2</v>
      </c>
      <c r="AK59" s="125">
        <v>2</v>
      </c>
      <c r="AL59" s="125">
        <v>196.73</v>
      </c>
      <c r="AM59" s="124">
        <v>10.53</v>
      </c>
      <c r="AN59" s="132">
        <v>45313</v>
      </c>
      <c r="AO59" s="129">
        <v>0.78734953703703703</v>
      </c>
      <c r="AP59" s="125">
        <v>0</v>
      </c>
      <c r="AQ59" s="125">
        <v>0</v>
      </c>
      <c r="AR59" s="125">
        <v>0</v>
      </c>
      <c r="AS59" s="134">
        <f t="shared" ref="AS59" si="86">AVERAGE(AM59:AM63)</f>
        <v>10.5238</v>
      </c>
      <c r="AT59" s="130"/>
      <c r="AV59" s="125">
        <v>0</v>
      </c>
      <c r="AW59" s="125" t="s">
        <v>16</v>
      </c>
      <c r="AX59" s="125">
        <v>14592</v>
      </c>
      <c r="AY59" s="125">
        <v>128</v>
      </c>
      <c r="AZ59" s="125">
        <v>2</v>
      </c>
      <c r="BA59" s="125">
        <v>2</v>
      </c>
      <c r="BB59" s="125">
        <v>184.24</v>
      </c>
      <c r="BC59" s="124">
        <v>11.244</v>
      </c>
      <c r="BD59" s="132">
        <v>45313</v>
      </c>
      <c r="BE59" s="129">
        <v>0.79502314814814812</v>
      </c>
      <c r="BF59" s="125">
        <v>0</v>
      </c>
      <c r="BG59" s="125">
        <v>0</v>
      </c>
      <c r="BH59" s="125">
        <v>0</v>
      </c>
      <c r="BI59" s="133">
        <f t="shared" ref="BI59" si="87">AVERAGE(BC59:BC63)</f>
        <v>11.242000000000001</v>
      </c>
    </row>
    <row r="60" spans="1:61" x14ac:dyDescent="0.25">
      <c r="A60">
        <v>1</v>
      </c>
      <c r="B60" t="s">
        <v>16</v>
      </c>
      <c r="C60">
        <v>14592</v>
      </c>
      <c r="D60">
        <v>64</v>
      </c>
      <c r="E60">
        <v>2</v>
      </c>
      <c r="F60">
        <v>2</v>
      </c>
      <c r="G60">
        <v>204.51</v>
      </c>
      <c r="H60" s="17">
        <v>10.130000000000001</v>
      </c>
      <c r="I60" s="33">
        <v>45313</v>
      </c>
      <c r="J60" s="37">
        <v>0.84790509259259261</v>
      </c>
      <c r="K60">
        <v>0</v>
      </c>
      <c r="L60">
        <v>0</v>
      </c>
      <c r="M60">
        <v>0</v>
      </c>
      <c r="N60" s="30">
        <f t="shared" ref="N60" si="88">N59</f>
        <v>10.1334</v>
      </c>
      <c r="P60">
        <v>1</v>
      </c>
      <c r="Q60" t="s">
        <v>16</v>
      </c>
      <c r="R60">
        <v>14592</v>
      </c>
      <c r="S60">
        <v>64</v>
      </c>
      <c r="T60">
        <v>2</v>
      </c>
      <c r="U60">
        <v>2</v>
      </c>
      <c r="V60">
        <v>184.25</v>
      </c>
      <c r="W60" s="17">
        <v>11.244</v>
      </c>
      <c r="X60" s="33">
        <v>45313</v>
      </c>
      <c r="Y60" s="37">
        <v>0.82785879629629633</v>
      </c>
      <c r="Z60">
        <v>0</v>
      </c>
      <c r="AA60">
        <v>0</v>
      </c>
      <c r="AB60">
        <v>0</v>
      </c>
      <c r="AC60" s="30">
        <f t="shared" ref="AC60" si="89">AC59</f>
        <v>11.250200000000001</v>
      </c>
      <c r="AD60" s="17"/>
      <c r="AF60" s="125">
        <v>1</v>
      </c>
      <c r="AG60" s="125" t="s">
        <v>16</v>
      </c>
      <c r="AH60" s="125">
        <v>14592</v>
      </c>
      <c r="AI60" s="125">
        <v>128</v>
      </c>
      <c r="AJ60" s="125">
        <v>2</v>
      </c>
      <c r="AK60" s="125">
        <v>2</v>
      </c>
      <c r="AL60" s="125">
        <v>196.6</v>
      </c>
      <c r="AM60" s="124">
        <v>10.538</v>
      </c>
      <c r="AN60" s="132">
        <v>45313</v>
      </c>
      <c r="AO60" s="129">
        <v>0.83909722222222216</v>
      </c>
      <c r="AP60" s="125">
        <v>0</v>
      </c>
      <c r="AQ60" s="125">
        <v>0</v>
      </c>
      <c r="AR60" s="125">
        <v>0</v>
      </c>
      <c r="AS60" s="134">
        <f t="shared" ref="AS60" si="90">AS59</f>
        <v>10.5238</v>
      </c>
      <c r="AT60" s="123"/>
      <c r="AV60" s="125">
        <v>1</v>
      </c>
      <c r="AW60" s="125" t="s">
        <v>16</v>
      </c>
      <c r="AX60" s="125">
        <v>14592</v>
      </c>
      <c r="AY60" s="125">
        <v>128</v>
      </c>
      <c r="AZ60" s="125">
        <v>2</v>
      </c>
      <c r="BA60" s="125">
        <v>2</v>
      </c>
      <c r="BB60" s="125">
        <v>184.05</v>
      </c>
      <c r="BC60" s="124">
        <v>11.256</v>
      </c>
      <c r="BD60" s="132">
        <v>45313</v>
      </c>
      <c r="BE60" s="129">
        <v>0.85373842592592597</v>
      </c>
      <c r="BF60" s="125">
        <v>0</v>
      </c>
      <c r="BG60" s="125">
        <v>0</v>
      </c>
      <c r="BH60" s="125">
        <v>0</v>
      </c>
      <c r="BI60" s="133">
        <f t="shared" ref="BI60" si="91">BI59</f>
        <v>11.242000000000001</v>
      </c>
    </row>
    <row r="61" spans="1:61" x14ac:dyDescent="0.25">
      <c r="A61">
        <v>2</v>
      </c>
      <c r="B61" t="s">
        <v>16</v>
      </c>
      <c r="C61">
        <v>14592</v>
      </c>
      <c r="D61">
        <v>64</v>
      </c>
      <c r="E61">
        <v>2</v>
      </c>
      <c r="F61">
        <v>2</v>
      </c>
      <c r="G61">
        <v>204.43</v>
      </c>
      <c r="H61" s="17">
        <v>10.134</v>
      </c>
      <c r="I61" s="33">
        <v>45313</v>
      </c>
      <c r="J61" s="37">
        <v>0.89951388888888895</v>
      </c>
      <c r="K61">
        <v>0</v>
      </c>
      <c r="L61">
        <v>0</v>
      </c>
      <c r="M61">
        <v>0</v>
      </c>
      <c r="N61" s="30">
        <f t="shared" si="24"/>
        <v>10.1334</v>
      </c>
      <c r="P61">
        <v>2</v>
      </c>
      <c r="Q61" t="s">
        <v>16</v>
      </c>
      <c r="R61">
        <v>14592</v>
      </c>
      <c r="S61">
        <v>64</v>
      </c>
      <c r="T61">
        <v>2</v>
      </c>
      <c r="U61">
        <v>2</v>
      </c>
      <c r="V61">
        <v>183.87</v>
      </c>
      <c r="W61" s="17">
        <v>11.266999999999999</v>
      </c>
      <c r="X61" s="33">
        <v>45313</v>
      </c>
      <c r="Y61" s="37">
        <v>0.88656250000000003</v>
      </c>
      <c r="Z61">
        <v>0</v>
      </c>
      <c r="AA61">
        <v>0</v>
      </c>
      <c r="AB61">
        <v>0</v>
      </c>
      <c r="AC61" s="30">
        <f t="shared" si="25"/>
        <v>11.250200000000001</v>
      </c>
      <c r="AD61" s="17"/>
      <c r="AF61" s="125">
        <v>2</v>
      </c>
      <c r="AG61" s="125" t="s">
        <v>16</v>
      </c>
      <c r="AH61" s="125">
        <v>14592</v>
      </c>
      <c r="AI61" s="125">
        <v>128</v>
      </c>
      <c r="AJ61" s="125">
        <v>2</v>
      </c>
      <c r="AK61" s="125">
        <v>2</v>
      </c>
      <c r="AL61" s="125">
        <v>196.78</v>
      </c>
      <c r="AM61" s="124">
        <v>10.528</v>
      </c>
      <c r="AN61" s="132">
        <v>45313</v>
      </c>
      <c r="AO61" s="129">
        <v>0.89083333333333325</v>
      </c>
      <c r="AP61" s="125">
        <v>0</v>
      </c>
      <c r="AQ61" s="125">
        <v>0</v>
      </c>
      <c r="AR61" s="125">
        <v>0</v>
      </c>
      <c r="AS61" s="134">
        <f t="shared" si="26"/>
        <v>10.5238</v>
      </c>
      <c r="AT61" s="123"/>
      <c r="AV61" s="125">
        <v>2</v>
      </c>
      <c r="AW61" s="125" t="s">
        <v>16</v>
      </c>
      <c r="AX61" s="125">
        <v>14592</v>
      </c>
      <c r="AY61" s="125">
        <v>128</v>
      </c>
      <c r="AZ61" s="125">
        <v>2</v>
      </c>
      <c r="BA61" s="125">
        <v>2</v>
      </c>
      <c r="BB61" s="125">
        <v>184.27</v>
      </c>
      <c r="BC61" s="124">
        <v>11.243</v>
      </c>
      <c r="BD61" s="132">
        <v>45313</v>
      </c>
      <c r="BE61" s="129">
        <v>0.9124537037037036</v>
      </c>
      <c r="BF61" s="125">
        <v>0</v>
      </c>
      <c r="BG61" s="125">
        <v>0</v>
      </c>
      <c r="BH61" s="125">
        <v>0</v>
      </c>
      <c r="BI61" s="133">
        <f t="shared" si="8"/>
        <v>11.242000000000001</v>
      </c>
    </row>
    <row r="62" spans="1:61" x14ac:dyDescent="0.25">
      <c r="A62">
        <v>3</v>
      </c>
      <c r="B62" t="s">
        <v>16</v>
      </c>
      <c r="C62">
        <v>14592</v>
      </c>
      <c r="D62">
        <v>64</v>
      </c>
      <c r="E62">
        <v>2</v>
      </c>
      <c r="F62">
        <v>2</v>
      </c>
      <c r="G62">
        <v>204.5</v>
      </c>
      <c r="H62" s="17">
        <v>10.130000000000001</v>
      </c>
      <c r="I62" s="33">
        <v>45313</v>
      </c>
      <c r="J62" s="37">
        <v>0.95112268518518517</v>
      </c>
      <c r="K62">
        <v>0</v>
      </c>
      <c r="L62">
        <v>0</v>
      </c>
      <c r="M62">
        <v>0</v>
      </c>
      <c r="N62" s="30">
        <f t="shared" si="24"/>
        <v>10.1334</v>
      </c>
      <c r="P62">
        <v>3</v>
      </c>
      <c r="Q62" t="s">
        <v>16</v>
      </c>
      <c r="R62">
        <v>14592</v>
      </c>
      <c r="S62">
        <v>64</v>
      </c>
      <c r="T62">
        <v>2</v>
      </c>
      <c r="U62">
        <v>2</v>
      </c>
      <c r="V62">
        <v>184.07</v>
      </c>
      <c r="W62" s="17">
        <v>11.255000000000001</v>
      </c>
      <c r="X62" s="33">
        <v>45313</v>
      </c>
      <c r="Y62" s="37">
        <v>0.94528935185185192</v>
      </c>
      <c r="Z62">
        <v>0</v>
      </c>
      <c r="AA62">
        <v>0</v>
      </c>
      <c r="AB62">
        <v>0</v>
      </c>
      <c r="AC62" s="30">
        <f t="shared" si="25"/>
        <v>11.250200000000001</v>
      </c>
      <c r="AD62" s="17"/>
      <c r="AF62" s="125">
        <v>3</v>
      </c>
      <c r="AG62" s="125" t="s">
        <v>16</v>
      </c>
      <c r="AH62" s="125">
        <v>14592</v>
      </c>
      <c r="AI62" s="125">
        <v>128</v>
      </c>
      <c r="AJ62" s="125">
        <v>2</v>
      </c>
      <c r="AK62" s="125">
        <v>2</v>
      </c>
      <c r="AL62" s="125">
        <v>196.74</v>
      </c>
      <c r="AM62" s="124">
        <v>10.53</v>
      </c>
      <c r="AN62" s="132">
        <v>45313</v>
      </c>
      <c r="AO62" s="129">
        <v>0.94255787037037031</v>
      </c>
      <c r="AP62" s="125">
        <v>0</v>
      </c>
      <c r="AQ62" s="125">
        <v>0</v>
      </c>
      <c r="AR62" s="125">
        <v>0</v>
      </c>
      <c r="AS62" s="134">
        <f t="shared" si="26"/>
        <v>10.5238</v>
      </c>
      <c r="AT62" s="123"/>
      <c r="AV62" s="125">
        <v>3</v>
      </c>
      <c r="AW62" s="125" t="s">
        <v>16</v>
      </c>
      <c r="AX62" s="125">
        <v>14592</v>
      </c>
      <c r="AY62" s="125">
        <v>128</v>
      </c>
      <c r="AZ62" s="125">
        <v>2</v>
      </c>
      <c r="BA62" s="125">
        <v>2</v>
      </c>
      <c r="BB62" s="125">
        <v>184.18</v>
      </c>
      <c r="BC62" s="124">
        <v>11.247999999999999</v>
      </c>
      <c r="BD62" s="132">
        <v>45313</v>
      </c>
      <c r="BE62" s="129">
        <v>0.9711805555555556</v>
      </c>
      <c r="BF62" s="125">
        <v>0</v>
      </c>
      <c r="BG62" s="125">
        <v>0</v>
      </c>
      <c r="BH62" s="125">
        <v>0</v>
      </c>
      <c r="BI62" s="133">
        <f t="shared" si="8"/>
        <v>11.242000000000001</v>
      </c>
    </row>
    <row r="63" spans="1:61" x14ac:dyDescent="0.25">
      <c r="A63">
        <v>4</v>
      </c>
      <c r="B63" t="s">
        <v>16</v>
      </c>
      <c r="C63">
        <v>14592</v>
      </c>
      <c r="D63">
        <v>64</v>
      </c>
      <c r="E63">
        <v>2</v>
      </c>
      <c r="F63">
        <v>2</v>
      </c>
      <c r="G63">
        <v>204.39</v>
      </c>
      <c r="H63" s="17">
        <v>10.135999999999999</v>
      </c>
      <c r="I63" s="33">
        <v>45314</v>
      </c>
      <c r="J63" s="37">
        <v>2.7430555555555559E-3</v>
      </c>
      <c r="K63">
        <v>0</v>
      </c>
      <c r="L63">
        <v>0</v>
      </c>
      <c r="M63">
        <v>0</v>
      </c>
      <c r="N63" s="30">
        <f t="shared" si="24"/>
        <v>10.1334</v>
      </c>
      <c r="P63">
        <v>4</v>
      </c>
      <c r="Q63" t="s">
        <v>16</v>
      </c>
      <c r="R63">
        <v>14592</v>
      </c>
      <c r="S63">
        <v>64</v>
      </c>
      <c r="T63">
        <v>2</v>
      </c>
      <c r="U63">
        <v>2</v>
      </c>
      <c r="V63">
        <v>184.17</v>
      </c>
      <c r="W63" s="17">
        <v>11.249000000000001</v>
      </c>
      <c r="X63" s="33">
        <v>45314</v>
      </c>
      <c r="Y63" s="37">
        <v>4.0162037037037033E-3</v>
      </c>
      <c r="Z63">
        <v>0</v>
      </c>
      <c r="AA63">
        <v>0</v>
      </c>
      <c r="AB63">
        <v>0</v>
      </c>
      <c r="AC63" s="30">
        <f t="shared" si="25"/>
        <v>11.250200000000001</v>
      </c>
      <c r="AD63" s="17"/>
      <c r="AF63" s="125">
        <v>4</v>
      </c>
      <c r="AG63" s="125" t="s">
        <v>16</v>
      </c>
      <c r="AH63" s="125">
        <v>14592</v>
      </c>
      <c r="AI63" s="125">
        <v>128</v>
      </c>
      <c r="AJ63" s="125">
        <v>2</v>
      </c>
      <c r="AK63" s="125">
        <v>2</v>
      </c>
      <c r="AL63" s="125">
        <v>197.43</v>
      </c>
      <c r="AM63" s="124">
        <v>10.493</v>
      </c>
      <c r="AN63" s="132">
        <v>45313</v>
      </c>
      <c r="AO63" s="129">
        <v>0.99430555555555555</v>
      </c>
      <c r="AP63" s="125">
        <v>0</v>
      </c>
      <c r="AQ63" s="125">
        <v>0</v>
      </c>
      <c r="AR63" s="125">
        <v>0</v>
      </c>
      <c r="AS63" s="134">
        <f t="shared" si="26"/>
        <v>10.5238</v>
      </c>
      <c r="AT63" s="123"/>
      <c r="AV63" s="125">
        <v>4</v>
      </c>
      <c r="AW63" s="125" t="s">
        <v>16</v>
      </c>
      <c r="AX63" s="125">
        <v>14592</v>
      </c>
      <c r="AY63" s="125">
        <v>128</v>
      </c>
      <c r="AZ63" s="125">
        <v>2</v>
      </c>
      <c r="BA63" s="125">
        <v>2</v>
      </c>
      <c r="BB63" s="125">
        <v>184.65</v>
      </c>
      <c r="BC63" s="124">
        <v>11.218999999999999</v>
      </c>
      <c r="BD63" s="132">
        <v>45314</v>
      </c>
      <c r="BE63" s="129">
        <v>2.988425925925926E-2</v>
      </c>
      <c r="BF63" s="125">
        <v>0</v>
      </c>
      <c r="BG63" s="125">
        <v>0</v>
      </c>
      <c r="BH63" s="125">
        <v>0</v>
      </c>
      <c r="BI63" s="133">
        <f t="shared" si="8"/>
        <v>11.242000000000001</v>
      </c>
    </row>
    <row r="64" spans="1:61" x14ac:dyDescent="0.25">
      <c r="A64">
        <v>0</v>
      </c>
      <c r="B64" t="s">
        <v>16</v>
      </c>
      <c r="C64">
        <v>13056</v>
      </c>
      <c r="D64">
        <v>96</v>
      </c>
      <c r="E64">
        <v>1</v>
      </c>
      <c r="F64">
        <v>4</v>
      </c>
      <c r="G64">
        <v>148.83000000000001</v>
      </c>
      <c r="H64" s="139">
        <v>9.9710000000000001</v>
      </c>
      <c r="I64" s="33">
        <v>45608</v>
      </c>
      <c r="J64" s="37">
        <v>0.31269675925925927</v>
      </c>
      <c r="K64">
        <v>0</v>
      </c>
      <c r="L64">
        <v>0</v>
      </c>
      <c r="M64">
        <v>0</v>
      </c>
      <c r="N64" s="30">
        <f t="shared" ref="N64" si="92">AVERAGE(H64:H68)</f>
        <v>9.9669200000000018</v>
      </c>
      <c r="P64">
        <v>0</v>
      </c>
      <c r="Q64" t="s">
        <v>16</v>
      </c>
      <c r="R64">
        <v>13056</v>
      </c>
      <c r="S64">
        <v>96</v>
      </c>
      <c r="T64">
        <v>1</v>
      </c>
      <c r="U64">
        <v>4</v>
      </c>
      <c r="V64">
        <v>130.01</v>
      </c>
      <c r="W64" s="139">
        <v>11.414</v>
      </c>
      <c r="X64" s="33">
        <v>45608</v>
      </c>
      <c r="Y64" s="37">
        <v>0.3134837962962963</v>
      </c>
      <c r="Z64">
        <v>0</v>
      </c>
      <c r="AA64">
        <v>0</v>
      </c>
      <c r="AB64">
        <v>0</v>
      </c>
      <c r="AC64" s="30">
        <f t="shared" ref="AC64" si="93">AVERAGE(W64:W68)</f>
        <v>11.409600000000001</v>
      </c>
      <c r="AD64" s="17"/>
      <c r="AF64" s="125">
        <v>0</v>
      </c>
      <c r="AG64" s="125" t="s">
        <v>16</v>
      </c>
      <c r="AH64" s="125">
        <v>12960</v>
      </c>
      <c r="AI64" s="125">
        <v>160</v>
      </c>
      <c r="AJ64" s="125">
        <v>1</v>
      </c>
      <c r="AK64" s="125">
        <v>4</v>
      </c>
      <c r="AL64" s="125">
        <v>137.44999999999999</v>
      </c>
      <c r="AM64" s="124">
        <v>10.56</v>
      </c>
      <c r="AN64" s="132">
        <v>45313</v>
      </c>
      <c r="AO64" s="129">
        <v>0.75437500000000002</v>
      </c>
      <c r="AP64" s="125">
        <v>0</v>
      </c>
      <c r="AQ64" s="125">
        <v>0</v>
      </c>
      <c r="AR64" s="125">
        <v>0</v>
      </c>
      <c r="AS64" s="134">
        <f t="shared" ref="AS64" si="94">AVERAGE(AM64:AM68)</f>
        <v>10.562000000000001</v>
      </c>
      <c r="AT64" s="130"/>
      <c r="AV64" s="125">
        <v>0</v>
      </c>
      <c r="AW64" s="125" t="s">
        <v>16</v>
      </c>
      <c r="AX64" s="125">
        <v>12960</v>
      </c>
      <c r="AY64" s="125">
        <v>160</v>
      </c>
      <c r="AZ64" s="125">
        <v>1</v>
      </c>
      <c r="BA64" s="125">
        <v>4</v>
      </c>
      <c r="BB64" s="125">
        <v>129.44999999999999</v>
      </c>
      <c r="BC64" s="124">
        <v>11.212</v>
      </c>
      <c r="BD64" s="132">
        <v>45313</v>
      </c>
      <c r="BE64" s="129">
        <v>0.75787037037037042</v>
      </c>
      <c r="BF64" s="125">
        <v>0</v>
      </c>
      <c r="BG64" s="125">
        <v>0</v>
      </c>
      <c r="BH64" s="125">
        <v>0</v>
      </c>
      <c r="BI64" s="133">
        <f t="shared" ref="BI64" si="95">AVERAGE(BC64:BC68)</f>
        <v>11.2182</v>
      </c>
    </row>
    <row r="65" spans="1:61" x14ac:dyDescent="0.25">
      <c r="A65">
        <v>1</v>
      </c>
      <c r="B65" t="s">
        <v>16</v>
      </c>
      <c r="C65">
        <v>13056</v>
      </c>
      <c r="D65">
        <v>96</v>
      </c>
      <c r="E65">
        <v>1</v>
      </c>
      <c r="F65">
        <v>4</v>
      </c>
      <c r="G65">
        <v>148.94999999999999</v>
      </c>
      <c r="H65" s="139">
        <v>9.9623000000000008</v>
      </c>
      <c r="I65" s="33">
        <v>45608</v>
      </c>
      <c r="J65" s="37">
        <v>0.36645833333333333</v>
      </c>
      <c r="K65">
        <v>0</v>
      </c>
      <c r="L65">
        <v>0</v>
      </c>
      <c r="M65">
        <v>0</v>
      </c>
      <c r="N65" s="30">
        <f t="shared" ref="N65" si="96">N64</f>
        <v>9.9669200000000018</v>
      </c>
      <c r="P65">
        <v>1</v>
      </c>
      <c r="Q65" t="s">
        <v>16</v>
      </c>
      <c r="R65">
        <v>13056</v>
      </c>
      <c r="S65">
        <v>96</v>
      </c>
      <c r="T65">
        <v>1</v>
      </c>
      <c r="U65">
        <v>4</v>
      </c>
      <c r="V65">
        <v>129.87</v>
      </c>
      <c r="W65" s="139">
        <v>11.426</v>
      </c>
      <c r="X65" s="33">
        <v>45608</v>
      </c>
      <c r="Y65" s="37">
        <v>0.40055555555555555</v>
      </c>
      <c r="Z65">
        <v>0</v>
      </c>
      <c r="AA65">
        <v>0</v>
      </c>
      <c r="AB65">
        <v>0</v>
      </c>
      <c r="AC65" s="30">
        <f t="shared" ref="AC65" si="97">AC64</f>
        <v>11.409600000000001</v>
      </c>
      <c r="AD65" s="17"/>
      <c r="AF65" s="125">
        <v>1</v>
      </c>
      <c r="AG65" s="125" t="s">
        <v>16</v>
      </c>
      <c r="AH65" s="125">
        <v>12960</v>
      </c>
      <c r="AI65" s="125">
        <v>160</v>
      </c>
      <c r="AJ65" s="125">
        <v>1</v>
      </c>
      <c r="AK65" s="125">
        <v>4</v>
      </c>
      <c r="AL65" s="125">
        <v>137.35</v>
      </c>
      <c r="AM65" s="124">
        <v>10.567</v>
      </c>
      <c r="AN65" s="132">
        <v>45313</v>
      </c>
      <c r="AO65" s="129">
        <v>0.80612268518518515</v>
      </c>
      <c r="AP65" s="125">
        <v>0</v>
      </c>
      <c r="AQ65" s="125">
        <v>0</v>
      </c>
      <c r="AR65" s="125">
        <v>0</v>
      </c>
      <c r="AS65" s="134">
        <f t="shared" ref="AS65" si="98">AS64</f>
        <v>10.562000000000001</v>
      </c>
      <c r="AT65" s="123"/>
      <c r="AV65" s="125">
        <v>1</v>
      </c>
      <c r="AW65" s="125" t="s">
        <v>16</v>
      </c>
      <c r="AX65" s="125">
        <v>12960</v>
      </c>
      <c r="AY65" s="125">
        <v>160</v>
      </c>
      <c r="AZ65" s="125">
        <v>1</v>
      </c>
      <c r="BA65" s="125">
        <v>4</v>
      </c>
      <c r="BB65" s="125">
        <v>129.29</v>
      </c>
      <c r="BC65" s="124">
        <v>11.226000000000001</v>
      </c>
      <c r="BD65" s="132">
        <v>45313</v>
      </c>
      <c r="BE65" s="129">
        <v>0.8165972222222222</v>
      </c>
      <c r="BF65" s="125">
        <v>0</v>
      </c>
      <c r="BG65" s="125">
        <v>0</v>
      </c>
      <c r="BH65" s="125">
        <v>0</v>
      </c>
      <c r="BI65" s="133">
        <f t="shared" ref="BI65" si="99">BI64</f>
        <v>11.2182</v>
      </c>
    </row>
    <row r="66" spans="1:61" x14ac:dyDescent="0.25">
      <c r="A66">
        <v>2</v>
      </c>
      <c r="B66" t="s">
        <v>16</v>
      </c>
      <c r="C66">
        <v>13056</v>
      </c>
      <c r="D66">
        <v>96</v>
      </c>
      <c r="E66">
        <v>1</v>
      </c>
      <c r="F66">
        <v>4</v>
      </c>
      <c r="G66">
        <v>148.84</v>
      </c>
      <c r="H66" s="139">
        <v>9.9697999999999993</v>
      </c>
      <c r="I66" s="33">
        <v>45608</v>
      </c>
      <c r="J66" s="37">
        <v>0.42016203703703703</v>
      </c>
      <c r="K66">
        <v>0</v>
      </c>
      <c r="L66">
        <v>0</v>
      </c>
      <c r="M66">
        <v>0</v>
      </c>
      <c r="N66" s="30">
        <f t="shared" si="16"/>
        <v>9.9669200000000018</v>
      </c>
      <c r="P66">
        <v>2</v>
      </c>
      <c r="Q66" t="s">
        <v>16</v>
      </c>
      <c r="R66">
        <v>13056</v>
      </c>
      <c r="S66">
        <v>96</v>
      </c>
      <c r="T66">
        <v>1</v>
      </c>
      <c r="U66">
        <v>4</v>
      </c>
      <c r="V66">
        <v>130.13999999999999</v>
      </c>
      <c r="W66" s="139">
        <v>11.403</v>
      </c>
      <c r="X66" s="33">
        <v>45608</v>
      </c>
      <c r="Y66" s="37">
        <v>0.46038194444444447</v>
      </c>
      <c r="Z66">
        <v>0</v>
      </c>
      <c r="AA66">
        <v>0</v>
      </c>
      <c r="AB66">
        <v>0</v>
      </c>
      <c r="AC66" s="30">
        <f t="shared" si="17"/>
        <v>11.409600000000001</v>
      </c>
      <c r="AD66" s="17"/>
      <c r="AF66" s="125">
        <v>2</v>
      </c>
      <c r="AG66" s="125" t="s">
        <v>16</v>
      </c>
      <c r="AH66" s="125">
        <v>12960</v>
      </c>
      <c r="AI66" s="125">
        <v>160</v>
      </c>
      <c r="AJ66" s="125">
        <v>1</v>
      </c>
      <c r="AK66" s="125">
        <v>4</v>
      </c>
      <c r="AL66" s="125">
        <v>137.47</v>
      </c>
      <c r="AM66" s="124">
        <v>10.558</v>
      </c>
      <c r="AN66" s="132">
        <v>45313</v>
      </c>
      <c r="AO66" s="129">
        <v>0.85784722222222232</v>
      </c>
      <c r="AP66" s="125">
        <v>0</v>
      </c>
      <c r="AQ66" s="125">
        <v>0</v>
      </c>
      <c r="AR66" s="125">
        <v>0</v>
      </c>
      <c r="AS66" s="134">
        <f t="shared" si="18"/>
        <v>10.562000000000001</v>
      </c>
      <c r="AT66" s="123"/>
      <c r="AV66" s="125">
        <v>2</v>
      </c>
      <c r="AW66" s="125" t="s">
        <v>16</v>
      </c>
      <c r="AX66" s="125">
        <v>12960</v>
      </c>
      <c r="AY66" s="125">
        <v>160</v>
      </c>
      <c r="AZ66" s="125">
        <v>1</v>
      </c>
      <c r="BA66" s="125">
        <v>4</v>
      </c>
      <c r="BB66" s="125">
        <v>129.26</v>
      </c>
      <c r="BC66" s="124">
        <v>11.228999999999999</v>
      </c>
      <c r="BD66" s="132">
        <v>45313</v>
      </c>
      <c r="BE66" s="129">
        <v>0.87531250000000005</v>
      </c>
      <c r="BF66" s="125">
        <v>0</v>
      </c>
      <c r="BG66" s="125">
        <v>0</v>
      </c>
      <c r="BH66" s="125">
        <v>0</v>
      </c>
      <c r="BI66" s="133">
        <f t="shared" si="8"/>
        <v>11.2182</v>
      </c>
    </row>
    <row r="67" spans="1:61" x14ac:dyDescent="0.25">
      <c r="A67">
        <v>3</v>
      </c>
      <c r="B67" t="s">
        <v>16</v>
      </c>
      <c r="C67">
        <v>13056</v>
      </c>
      <c r="D67">
        <v>96</v>
      </c>
      <c r="E67">
        <v>1</v>
      </c>
      <c r="F67">
        <v>4</v>
      </c>
      <c r="G67">
        <v>148.94</v>
      </c>
      <c r="H67" s="139">
        <v>9.9631000000000007</v>
      </c>
      <c r="I67" s="33">
        <v>45608</v>
      </c>
      <c r="J67" s="37">
        <v>0.47386574074074073</v>
      </c>
      <c r="K67">
        <v>0</v>
      </c>
      <c r="L67">
        <v>0</v>
      </c>
      <c r="M67">
        <v>0</v>
      </c>
      <c r="N67" s="30">
        <f t="shared" si="16"/>
        <v>9.9669200000000018</v>
      </c>
      <c r="P67">
        <v>3</v>
      </c>
      <c r="Q67" t="s">
        <v>16</v>
      </c>
      <c r="R67">
        <v>13056</v>
      </c>
      <c r="S67">
        <v>96</v>
      </c>
      <c r="T67">
        <v>1</v>
      </c>
      <c r="U67">
        <v>4</v>
      </c>
      <c r="V67">
        <v>130.16999999999999</v>
      </c>
      <c r="W67" s="139">
        <v>11.4</v>
      </c>
      <c r="X67" s="33">
        <v>45608</v>
      </c>
      <c r="Y67" s="37">
        <v>0.56921296296296298</v>
      </c>
      <c r="Z67">
        <v>0</v>
      </c>
      <c r="AA67">
        <v>0</v>
      </c>
      <c r="AB67">
        <v>0</v>
      </c>
      <c r="AC67" s="30">
        <f t="shared" si="17"/>
        <v>11.409600000000001</v>
      </c>
      <c r="AD67" s="17"/>
      <c r="AF67" s="125">
        <v>3</v>
      </c>
      <c r="AG67" s="125" t="s">
        <v>16</v>
      </c>
      <c r="AH67" s="125">
        <v>12960</v>
      </c>
      <c r="AI67" s="125">
        <v>160</v>
      </c>
      <c r="AJ67" s="125">
        <v>1</v>
      </c>
      <c r="AK67" s="125">
        <v>4</v>
      </c>
      <c r="AL67" s="125">
        <v>137.43</v>
      </c>
      <c r="AM67" s="124">
        <v>10.561</v>
      </c>
      <c r="AN67" s="132">
        <v>45313</v>
      </c>
      <c r="AO67" s="129">
        <v>0.9095833333333333</v>
      </c>
      <c r="AP67" s="125">
        <v>0</v>
      </c>
      <c r="AQ67" s="125">
        <v>0</v>
      </c>
      <c r="AR67" s="125">
        <v>0</v>
      </c>
      <c r="AS67" s="134">
        <f t="shared" si="18"/>
        <v>10.562000000000001</v>
      </c>
      <c r="AT67" s="123"/>
      <c r="AV67" s="125">
        <v>3</v>
      </c>
      <c r="AW67" s="125" t="s">
        <v>16</v>
      </c>
      <c r="AX67" s="125">
        <v>12960</v>
      </c>
      <c r="AY67" s="125">
        <v>160</v>
      </c>
      <c r="AZ67" s="125">
        <v>1</v>
      </c>
      <c r="BA67" s="125">
        <v>4</v>
      </c>
      <c r="BB67" s="125">
        <v>129.44</v>
      </c>
      <c r="BC67" s="124">
        <v>11.212999999999999</v>
      </c>
      <c r="BD67" s="132">
        <v>45313</v>
      </c>
      <c r="BE67" s="129">
        <v>0.93402777777777779</v>
      </c>
      <c r="BF67" s="125">
        <v>0</v>
      </c>
      <c r="BG67" s="125">
        <v>0</v>
      </c>
      <c r="BH67" s="125">
        <v>0</v>
      </c>
      <c r="BI67" s="133">
        <f t="shared" si="8"/>
        <v>11.2182</v>
      </c>
    </row>
    <row r="68" spans="1:61" x14ac:dyDescent="0.25">
      <c r="A68">
        <v>4</v>
      </c>
      <c r="B68" t="s">
        <v>16</v>
      </c>
      <c r="C68">
        <v>13056</v>
      </c>
      <c r="D68">
        <v>96</v>
      </c>
      <c r="E68">
        <v>1</v>
      </c>
      <c r="F68">
        <v>4</v>
      </c>
      <c r="G68">
        <v>148.86000000000001</v>
      </c>
      <c r="H68" s="139">
        <v>9.9684000000000008</v>
      </c>
      <c r="I68" s="33">
        <v>45608</v>
      </c>
      <c r="J68" s="37">
        <v>0.57603009259259264</v>
      </c>
      <c r="K68">
        <v>0</v>
      </c>
      <c r="L68">
        <v>0</v>
      </c>
      <c r="M68">
        <v>0</v>
      </c>
      <c r="N68" s="30">
        <f t="shared" si="16"/>
        <v>9.9669200000000018</v>
      </c>
      <c r="P68">
        <v>4</v>
      </c>
      <c r="Q68" t="s">
        <v>16</v>
      </c>
      <c r="R68">
        <v>13056</v>
      </c>
      <c r="S68">
        <v>96</v>
      </c>
      <c r="T68">
        <v>1</v>
      </c>
      <c r="U68">
        <v>4</v>
      </c>
      <c r="V68">
        <v>130.11000000000001</v>
      </c>
      <c r="W68" s="139">
        <v>11.404999999999999</v>
      </c>
      <c r="X68" s="33">
        <v>45608</v>
      </c>
      <c r="Y68" s="37">
        <v>0.62907407407407412</v>
      </c>
      <c r="Z68">
        <v>0</v>
      </c>
      <c r="AA68">
        <v>0</v>
      </c>
      <c r="AB68">
        <v>0</v>
      </c>
      <c r="AC68" s="30">
        <f t="shared" si="17"/>
        <v>11.409600000000001</v>
      </c>
      <c r="AD68" s="17"/>
      <c r="AF68" s="125">
        <v>4</v>
      </c>
      <c r="AG68" s="125" t="s">
        <v>16</v>
      </c>
      <c r="AH68" s="125">
        <v>12960</v>
      </c>
      <c r="AI68" s="125">
        <v>160</v>
      </c>
      <c r="AJ68" s="125">
        <v>1</v>
      </c>
      <c r="AK68" s="125">
        <v>4</v>
      </c>
      <c r="AL68" s="125">
        <v>137.4</v>
      </c>
      <c r="AM68" s="124">
        <v>10.564</v>
      </c>
      <c r="AN68" s="132">
        <v>45313</v>
      </c>
      <c r="AO68" s="129">
        <v>0.96130787037037047</v>
      </c>
      <c r="AP68" s="125">
        <v>0</v>
      </c>
      <c r="AQ68" s="125">
        <v>0</v>
      </c>
      <c r="AR68" s="125">
        <v>0</v>
      </c>
      <c r="AS68" s="134">
        <f t="shared" si="18"/>
        <v>10.562000000000001</v>
      </c>
      <c r="AT68" s="123"/>
      <c r="AV68" s="125">
        <v>4</v>
      </c>
      <c r="AW68" s="125" t="s">
        <v>16</v>
      </c>
      <c r="AX68" s="125">
        <v>12960</v>
      </c>
      <c r="AY68" s="125">
        <v>160</v>
      </c>
      <c r="AZ68" s="125">
        <v>1</v>
      </c>
      <c r="BA68" s="125">
        <v>4</v>
      </c>
      <c r="BB68" s="125">
        <v>129.47</v>
      </c>
      <c r="BC68" s="124">
        <v>11.211</v>
      </c>
      <c r="BD68" s="132">
        <v>45313</v>
      </c>
      <c r="BE68" s="129">
        <v>0.99275462962962957</v>
      </c>
      <c r="BF68" s="125">
        <v>0</v>
      </c>
      <c r="BG68" s="125">
        <v>0</v>
      </c>
      <c r="BH68" s="125">
        <v>0</v>
      </c>
      <c r="BI68" s="133">
        <f t="shared" si="8"/>
        <v>11.2182</v>
      </c>
    </row>
    <row r="69" spans="1:61" x14ac:dyDescent="0.25">
      <c r="A69">
        <v>0</v>
      </c>
      <c r="B69" t="s">
        <v>16</v>
      </c>
      <c r="C69">
        <v>13824</v>
      </c>
      <c r="D69">
        <v>96</v>
      </c>
      <c r="E69">
        <v>1</v>
      </c>
      <c r="F69">
        <v>4</v>
      </c>
      <c r="G69">
        <v>195.48</v>
      </c>
      <c r="H69" s="139">
        <v>9.0109999999999992</v>
      </c>
      <c r="I69" s="33">
        <v>45608</v>
      </c>
      <c r="J69" s="37">
        <v>0.32923611111111112</v>
      </c>
      <c r="K69">
        <v>0</v>
      </c>
      <c r="L69">
        <v>0</v>
      </c>
      <c r="M69">
        <v>0</v>
      </c>
      <c r="N69" s="30">
        <f t="shared" ref="N69" si="100">AVERAGE(H69:H73)</f>
        <v>8.9986999999999995</v>
      </c>
      <c r="P69">
        <v>0</v>
      </c>
      <c r="Q69" t="s">
        <v>16</v>
      </c>
      <c r="R69">
        <v>13824</v>
      </c>
      <c r="S69">
        <v>96</v>
      </c>
      <c r="T69">
        <v>1</v>
      </c>
      <c r="U69">
        <v>4</v>
      </c>
      <c r="V69">
        <v>157.94999999999999</v>
      </c>
      <c r="W69" s="139">
        <v>11.153</v>
      </c>
      <c r="X69" s="33">
        <v>45608</v>
      </c>
      <c r="Y69" s="37">
        <v>0.35905092592592591</v>
      </c>
      <c r="Z69">
        <v>0</v>
      </c>
      <c r="AA69">
        <v>0</v>
      </c>
      <c r="AB69">
        <v>0</v>
      </c>
      <c r="AC69" s="30">
        <f t="shared" ref="AC69" si="101">AVERAGE(W69:W73)</f>
        <v>11.148399999999999</v>
      </c>
      <c r="AD69" s="17"/>
      <c r="AF69" s="125">
        <v>0</v>
      </c>
      <c r="AG69" s="125" t="s">
        <v>16</v>
      </c>
      <c r="AH69" s="125">
        <v>13760</v>
      </c>
      <c r="AI69" s="125">
        <v>160</v>
      </c>
      <c r="AJ69" s="125">
        <v>1</v>
      </c>
      <c r="AK69" s="125">
        <v>4</v>
      </c>
      <c r="AL69" s="125">
        <v>163.91</v>
      </c>
      <c r="AM69" s="124">
        <v>10.598000000000001</v>
      </c>
      <c r="AN69" s="132">
        <v>45313</v>
      </c>
      <c r="AO69" s="129">
        <v>0.77087962962962964</v>
      </c>
      <c r="AP69" s="125">
        <v>0</v>
      </c>
      <c r="AQ69" s="125">
        <v>0</v>
      </c>
      <c r="AR69" s="125">
        <v>0</v>
      </c>
      <c r="AS69" s="134">
        <f t="shared" ref="AS69" si="102">AVERAGE(AM69:AM73)</f>
        <v>10.593799999999998</v>
      </c>
      <c r="AT69" s="130"/>
      <c r="AV69" s="125">
        <v>0</v>
      </c>
      <c r="AW69" s="125" t="s">
        <v>16</v>
      </c>
      <c r="AX69" s="125">
        <v>13760</v>
      </c>
      <c r="AY69" s="125">
        <v>160</v>
      </c>
      <c r="AZ69" s="125">
        <v>1</v>
      </c>
      <c r="BA69" s="125">
        <v>4</v>
      </c>
      <c r="BB69" s="125">
        <v>154.1</v>
      </c>
      <c r="BC69" s="124">
        <v>11.273</v>
      </c>
      <c r="BD69" s="132">
        <v>45313</v>
      </c>
      <c r="BE69" s="129">
        <v>0.7764699074074074</v>
      </c>
      <c r="BF69" s="125">
        <v>0</v>
      </c>
      <c r="BG69" s="125">
        <v>0</v>
      </c>
      <c r="BH69" s="125">
        <v>0</v>
      </c>
      <c r="BI69" s="133">
        <f t="shared" ref="BI69" si="103">AVERAGE(BC69:BC73)</f>
        <v>11.279</v>
      </c>
    </row>
    <row r="70" spans="1:61" x14ac:dyDescent="0.25">
      <c r="A70">
        <v>1</v>
      </c>
      <c r="B70" t="s">
        <v>16</v>
      </c>
      <c r="C70">
        <v>13824</v>
      </c>
      <c r="D70">
        <v>96</v>
      </c>
      <c r="E70">
        <v>1</v>
      </c>
      <c r="F70">
        <v>4</v>
      </c>
      <c r="G70">
        <v>195.76</v>
      </c>
      <c r="H70" s="139">
        <v>8.9979999999999993</v>
      </c>
      <c r="I70" s="33">
        <v>45608</v>
      </c>
      <c r="J70" s="37">
        <v>0.38299768518518518</v>
      </c>
      <c r="K70">
        <v>0</v>
      </c>
      <c r="L70">
        <v>0</v>
      </c>
      <c r="M70">
        <v>0</v>
      </c>
      <c r="N70" s="30">
        <f t="shared" ref="N70" si="104">N69</f>
        <v>8.9986999999999995</v>
      </c>
      <c r="P70">
        <v>1</v>
      </c>
      <c r="Q70" t="s">
        <v>16</v>
      </c>
      <c r="R70">
        <v>13824</v>
      </c>
      <c r="S70">
        <v>96</v>
      </c>
      <c r="T70">
        <v>1</v>
      </c>
      <c r="U70">
        <v>4</v>
      </c>
      <c r="V70">
        <v>158</v>
      </c>
      <c r="W70" s="139">
        <v>11.148999999999999</v>
      </c>
      <c r="X70" s="33">
        <v>45608</v>
      </c>
      <c r="Y70" s="37">
        <v>0.4188425925925926</v>
      </c>
      <c r="Z70">
        <v>0</v>
      </c>
      <c r="AA70">
        <v>0</v>
      </c>
      <c r="AB70">
        <v>0</v>
      </c>
      <c r="AC70" s="30">
        <f t="shared" ref="AC70" si="105">AC69</f>
        <v>11.148399999999999</v>
      </c>
      <c r="AD70" s="17"/>
      <c r="AF70" s="125">
        <v>1</v>
      </c>
      <c r="AG70" s="125" t="s">
        <v>16</v>
      </c>
      <c r="AH70" s="125">
        <v>13760</v>
      </c>
      <c r="AI70" s="125">
        <v>160</v>
      </c>
      <c r="AJ70" s="125">
        <v>1</v>
      </c>
      <c r="AK70" s="125">
        <v>4</v>
      </c>
      <c r="AL70" s="125">
        <v>163.88</v>
      </c>
      <c r="AM70" s="124">
        <v>10.6</v>
      </c>
      <c r="AN70" s="132">
        <v>45313</v>
      </c>
      <c r="AO70" s="129">
        <v>0.82262731481481488</v>
      </c>
      <c r="AP70" s="125">
        <v>0</v>
      </c>
      <c r="AQ70" s="125">
        <v>0</v>
      </c>
      <c r="AR70" s="125">
        <v>0</v>
      </c>
      <c r="AS70" s="134">
        <f t="shared" ref="AS70" si="106">AS69</f>
        <v>10.593799999999998</v>
      </c>
      <c r="AT70" s="123"/>
      <c r="AV70" s="125">
        <v>1</v>
      </c>
      <c r="AW70" s="125" t="s">
        <v>16</v>
      </c>
      <c r="AX70" s="125">
        <v>13760</v>
      </c>
      <c r="AY70" s="125">
        <v>160</v>
      </c>
      <c r="AZ70" s="125">
        <v>1</v>
      </c>
      <c r="BA70" s="125">
        <v>4</v>
      </c>
      <c r="BB70" s="125">
        <v>153.88</v>
      </c>
      <c r="BC70" s="124">
        <v>11.289</v>
      </c>
      <c r="BD70" s="132">
        <v>45313</v>
      </c>
      <c r="BE70" s="129">
        <v>0.83518518518518514</v>
      </c>
      <c r="BF70" s="125">
        <v>0</v>
      </c>
      <c r="BG70" s="125">
        <v>0</v>
      </c>
      <c r="BH70" s="125">
        <v>0</v>
      </c>
      <c r="BI70" s="133">
        <f t="shared" ref="BI70" si="107">BI69</f>
        <v>11.279</v>
      </c>
    </row>
    <row r="71" spans="1:61" x14ac:dyDescent="0.25">
      <c r="A71">
        <v>2</v>
      </c>
      <c r="B71" t="s">
        <v>16</v>
      </c>
      <c r="C71">
        <v>13824</v>
      </c>
      <c r="D71">
        <v>96</v>
      </c>
      <c r="E71">
        <v>1</v>
      </c>
      <c r="F71">
        <v>4</v>
      </c>
      <c r="G71">
        <v>195.82</v>
      </c>
      <c r="H71" s="139">
        <v>8.9953000000000003</v>
      </c>
      <c r="I71" s="33">
        <v>45608</v>
      </c>
      <c r="J71" s="37">
        <v>0.43670138888888888</v>
      </c>
      <c r="K71">
        <v>0</v>
      </c>
      <c r="L71">
        <v>0</v>
      </c>
      <c r="M71">
        <v>0</v>
      </c>
      <c r="N71" s="30">
        <f t="shared" si="24"/>
        <v>8.9986999999999995</v>
      </c>
      <c r="P71">
        <v>2</v>
      </c>
      <c r="Q71" t="s">
        <v>16</v>
      </c>
      <c r="R71">
        <v>13824</v>
      </c>
      <c r="S71">
        <v>96</v>
      </c>
      <c r="T71">
        <v>1</v>
      </c>
      <c r="U71">
        <v>4</v>
      </c>
      <c r="V71">
        <v>157.97999999999999</v>
      </c>
      <c r="W71" s="139">
        <v>11.15</v>
      </c>
      <c r="X71" s="33">
        <v>45608</v>
      </c>
      <c r="Y71" s="37">
        <v>0.47862268518518519</v>
      </c>
      <c r="Z71">
        <v>0</v>
      </c>
      <c r="AA71">
        <v>0</v>
      </c>
      <c r="AB71">
        <v>0</v>
      </c>
      <c r="AC71" s="30">
        <f t="shared" si="25"/>
        <v>11.148399999999999</v>
      </c>
      <c r="AD71" s="17"/>
      <c r="AF71" s="125">
        <v>2</v>
      </c>
      <c r="AG71" s="125" t="s">
        <v>16</v>
      </c>
      <c r="AH71" s="125">
        <v>13760</v>
      </c>
      <c r="AI71" s="125">
        <v>160</v>
      </c>
      <c r="AJ71" s="125">
        <v>1</v>
      </c>
      <c r="AK71" s="125">
        <v>4</v>
      </c>
      <c r="AL71" s="125">
        <v>164</v>
      </c>
      <c r="AM71" s="124">
        <v>10.592000000000001</v>
      </c>
      <c r="AN71" s="132">
        <v>45313</v>
      </c>
      <c r="AO71" s="129">
        <v>0.87436342592592586</v>
      </c>
      <c r="AP71" s="125">
        <v>0</v>
      </c>
      <c r="AQ71" s="125">
        <v>0</v>
      </c>
      <c r="AR71" s="125">
        <v>0</v>
      </c>
      <c r="AS71" s="134">
        <f t="shared" si="26"/>
        <v>10.593799999999998</v>
      </c>
      <c r="AT71" s="123"/>
      <c r="AV71" s="125">
        <v>2</v>
      </c>
      <c r="AW71" s="125" t="s">
        <v>16</v>
      </c>
      <c r="AX71" s="125">
        <v>13760</v>
      </c>
      <c r="AY71" s="125">
        <v>160</v>
      </c>
      <c r="AZ71" s="125">
        <v>1</v>
      </c>
      <c r="BA71" s="125">
        <v>4</v>
      </c>
      <c r="BB71" s="125">
        <v>153.9</v>
      </c>
      <c r="BC71" s="124">
        <v>11.287000000000001</v>
      </c>
      <c r="BD71" s="132">
        <v>45313</v>
      </c>
      <c r="BE71" s="129">
        <v>0.89390046296296299</v>
      </c>
      <c r="BF71" s="125">
        <v>0</v>
      </c>
      <c r="BG71" s="125">
        <v>0</v>
      </c>
      <c r="BH71" s="125">
        <v>0</v>
      </c>
      <c r="BI71" s="133">
        <f t="shared" si="8"/>
        <v>11.279</v>
      </c>
    </row>
    <row r="72" spans="1:61" x14ac:dyDescent="0.25">
      <c r="A72">
        <v>3</v>
      </c>
      <c r="B72" t="s">
        <v>16</v>
      </c>
      <c r="C72">
        <v>13824</v>
      </c>
      <c r="D72">
        <v>96</v>
      </c>
      <c r="E72">
        <v>1</v>
      </c>
      <c r="F72">
        <v>4</v>
      </c>
      <c r="G72">
        <v>195.93</v>
      </c>
      <c r="H72" s="139">
        <v>8.9905000000000008</v>
      </c>
      <c r="I72" s="33">
        <v>45608</v>
      </c>
      <c r="J72" s="37">
        <v>0.49041666666666667</v>
      </c>
      <c r="K72">
        <v>0</v>
      </c>
      <c r="L72">
        <v>0</v>
      </c>
      <c r="M72">
        <v>0</v>
      </c>
      <c r="N72" s="30">
        <f t="shared" si="24"/>
        <v>8.9986999999999995</v>
      </c>
      <c r="P72">
        <v>3</v>
      </c>
      <c r="Q72" t="s">
        <v>16</v>
      </c>
      <c r="R72">
        <v>13824</v>
      </c>
      <c r="S72">
        <v>96</v>
      </c>
      <c r="T72">
        <v>1</v>
      </c>
      <c r="U72">
        <v>4</v>
      </c>
      <c r="V72">
        <v>158.08000000000001</v>
      </c>
      <c r="W72" s="139">
        <v>11.143000000000001</v>
      </c>
      <c r="X72" s="33">
        <v>45608</v>
      </c>
      <c r="Y72" s="37">
        <v>0.58745370370370376</v>
      </c>
      <c r="Z72">
        <v>0</v>
      </c>
      <c r="AA72">
        <v>0</v>
      </c>
      <c r="AB72">
        <v>0</v>
      </c>
      <c r="AC72" s="30">
        <f t="shared" si="25"/>
        <v>11.148399999999999</v>
      </c>
      <c r="AD72" s="17"/>
      <c r="AF72" s="125">
        <v>3</v>
      </c>
      <c r="AG72" s="125" t="s">
        <v>16</v>
      </c>
      <c r="AH72" s="125">
        <v>13760</v>
      </c>
      <c r="AI72" s="125">
        <v>160</v>
      </c>
      <c r="AJ72" s="125">
        <v>1</v>
      </c>
      <c r="AK72" s="125">
        <v>4</v>
      </c>
      <c r="AL72" s="125">
        <v>163.9</v>
      </c>
      <c r="AM72" s="124">
        <v>10.599</v>
      </c>
      <c r="AN72" s="132">
        <v>45313</v>
      </c>
      <c r="AO72" s="129">
        <v>0.92608796296296303</v>
      </c>
      <c r="AP72" s="125">
        <v>0</v>
      </c>
      <c r="AQ72" s="125">
        <v>0</v>
      </c>
      <c r="AR72" s="125">
        <v>0</v>
      </c>
      <c r="AS72" s="134">
        <f t="shared" si="26"/>
        <v>10.593799999999998</v>
      </c>
      <c r="AT72" s="123"/>
      <c r="AV72" s="125">
        <v>3</v>
      </c>
      <c r="AW72" s="125" t="s">
        <v>16</v>
      </c>
      <c r="AX72" s="125">
        <v>13760</v>
      </c>
      <c r="AY72" s="125">
        <v>160</v>
      </c>
      <c r="AZ72" s="125">
        <v>1</v>
      </c>
      <c r="BA72" s="125">
        <v>4</v>
      </c>
      <c r="BB72" s="125">
        <v>154.13999999999999</v>
      </c>
      <c r="BC72" s="124">
        <v>11.27</v>
      </c>
      <c r="BD72" s="132">
        <v>45313</v>
      </c>
      <c r="BE72" s="129">
        <v>0.95262731481481477</v>
      </c>
      <c r="BF72" s="125">
        <v>0</v>
      </c>
      <c r="BG72" s="125">
        <v>0</v>
      </c>
      <c r="BH72" s="125">
        <v>0</v>
      </c>
      <c r="BI72" s="133">
        <f t="shared" si="8"/>
        <v>11.279</v>
      </c>
    </row>
    <row r="73" spans="1:61" x14ac:dyDescent="0.25">
      <c r="A73">
        <v>4</v>
      </c>
      <c r="B73" t="s">
        <v>16</v>
      </c>
      <c r="C73">
        <v>13824</v>
      </c>
      <c r="D73">
        <v>96</v>
      </c>
      <c r="E73">
        <v>1</v>
      </c>
      <c r="F73">
        <v>4</v>
      </c>
      <c r="G73">
        <v>195.75</v>
      </c>
      <c r="H73" s="139">
        <v>8.9986999999999995</v>
      </c>
      <c r="I73" s="33">
        <v>45608</v>
      </c>
      <c r="J73" s="37">
        <v>0.59256944444444448</v>
      </c>
      <c r="K73">
        <v>0</v>
      </c>
      <c r="L73">
        <v>0</v>
      </c>
      <c r="M73">
        <v>0</v>
      </c>
      <c r="N73" s="30">
        <f t="shared" si="24"/>
        <v>8.9986999999999995</v>
      </c>
      <c r="P73">
        <v>4</v>
      </c>
      <c r="Q73" t="s">
        <v>16</v>
      </c>
      <c r="R73">
        <v>13824</v>
      </c>
      <c r="S73">
        <v>96</v>
      </c>
      <c r="T73">
        <v>1</v>
      </c>
      <c r="U73">
        <v>4</v>
      </c>
      <c r="V73">
        <v>158.03</v>
      </c>
      <c r="W73" s="139">
        <v>11.147</v>
      </c>
      <c r="X73" s="33">
        <v>45608</v>
      </c>
      <c r="Y73" s="37">
        <v>0.64730324074074075</v>
      </c>
      <c r="Z73">
        <v>0</v>
      </c>
      <c r="AA73">
        <v>0</v>
      </c>
      <c r="AB73">
        <v>0</v>
      </c>
      <c r="AC73" s="30">
        <f t="shared" si="25"/>
        <v>11.148399999999999</v>
      </c>
      <c r="AD73" s="17"/>
      <c r="AF73" s="125">
        <v>4</v>
      </c>
      <c r="AG73" s="125" t="s">
        <v>16</v>
      </c>
      <c r="AH73" s="125">
        <v>13760</v>
      </c>
      <c r="AI73" s="125">
        <v>160</v>
      </c>
      <c r="AJ73" s="125">
        <v>1</v>
      </c>
      <c r="AK73" s="125">
        <v>4</v>
      </c>
      <c r="AL73" s="125">
        <v>164.19</v>
      </c>
      <c r="AM73" s="124">
        <v>10.58</v>
      </c>
      <c r="AN73" s="132">
        <v>45313</v>
      </c>
      <c r="AO73" s="129">
        <v>0.97781250000000008</v>
      </c>
      <c r="AP73" s="125">
        <v>0</v>
      </c>
      <c r="AQ73" s="125">
        <v>0</v>
      </c>
      <c r="AR73" s="125">
        <v>0</v>
      </c>
      <c r="AS73" s="134">
        <f t="shared" si="26"/>
        <v>10.593799999999998</v>
      </c>
      <c r="AT73" s="123"/>
      <c r="AV73" s="125">
        <v>4</v>
      </c>
      <c r="AW73" s="125" t="s">
        <v>16</v>
      </c>
      <c r="AX73" s="125">
        <v>13760</v>
      </c>
      <c r="AY73" s="125">
        <v>160</v>
      </c>
      <c r="AZ73" s="125">
        <v>1</v>
      </c>
      <c r="BA73" s="125">
        <v>4</v>
      </c>
      <c r="BB73" s="125">
        <v>154.06</v>
      </c>
      <c r="BC73" s="124">
        <v>11.276</v>
      </c>
      <c r="BD73" s="132">
        <v>45314</v>
      </c>
      <c r="BE73" s="129">
        <v>1.1342592592592592E-2</v>
      </c>
      <c r="BF73" s="125">
        <v>0</v>
      </c>
      <c r="BG73" s="125">
        <v>0</v>
      </c>
      <c r="BH73" s="125">
        <v>0</v>
      </c>
      <c r="BI73" s="133">
        <f t="shared" si="8"/>
        <v>11.279</v>
      </c>
    </row>
    <row r="74" spans="1:61" x14ac:dyDescent="0.25">
      <c r="A74">
        <v>0</v>
      </c>
      <c r="B74" t="s">
        <v>16</v>
      </c>
      <c r="C74">
        <v>14592</v>
      </c>
      <c r="D74">
        <v>96</v>
      </c>
      <c r="E74">
        <v>1</v>
      </c>
      <c r="F74">
        <v>4</v>
      </c>
      <c r="G74">
        <v>204.6</v>
      </c>
      <c r="H74" s="139">
        <v>10.125999999999999</v>
      </c>
      <c r="I74" s="33">
        <v>45608</v>
      </c>
      <c r="J74" s="37">
        <v>0.34812500000000002</v>
      </c>
      <c r="K74">
        <v>0</v>
      </c>
      <c r="L74">
        <v>0</v>
      </c>
      <c r="M74">
        <v>0</v>
      </c>
      <c r="N74" s="30">
        <f t="shared" ref="N74" si="108">AVERAGE(H74:H78)</f>
        <v>10.1142</v>
      </c>
      <c r="P74">
        <v>0</v>
      </c>
      <c r="Q74" t="s">
        <v>16</v>
      </c>
      <c r="R74">
        <v>14592</v>
      </c>
      <c r="S74">
        <v>96</v>
      </c>
      <c r="T74">
        <v>1</v>
      </c>
      <c r="U74">
        <v>4</v>
      </c>
      <c r="V74">
        <v>179.18</v>
      </c>
      <c r="W74" s="139">
        <v>11.561999999999999</v>
      </c>
      <c r="X74" s="33">
        <v>45608</v>
      </c>
      <c r="Y74" s="37">
        <v>0.37996527777777778</v>
      </c>
      <c r="Z74">
        <v>0</v>
      </c>
      <c r="AA74">
        <v>0</v>
      </c>
      <c r="AB74">
        <v>0</v>
      </c>
      <c r="AC74" s="30">
        <f t="shared" ref="AC74" si="109">AVERAGE(W74:W78)</f>
        <v>11.5314</v>
      </c>
      <c r="AD74" s="17"/>
      <c r="AF74" s="125">
        <v>0</v>
      </c>
      <c r="AG74" s="125" t="s">
        <v>16</v>
      </c>
      <c r="AH74" s="125">
        <v>14560</v>
      </c>
      <c r="AI74" s="125">
        <v>160</v>
      </c>
      <c r="AJ74" s="125">
        <v>1</v>
      </c>
      <c r="AK74" s="125">
        <v>4</v>
      </c>
      <c r="AL74" s="125">
        <v>194.51</v>
      </c>
      <c r="AM74" s="124">
        <v>10.581</v>
      </c>
      <c r="AN74" s="132">
        <v>45313</v>
      </c>
      <c r="AO74" s="129">
        <v>0.78978009259259263</v>
      </c>
      <c r="AP74" s="125">
        <v>0</v>
      </c>
      <c r="AQ74" s="125">
        <v>0</v>
      </c>
      <c r="AR74" s="125">
        <v>0</v>
      </c>
      <c r="AS74" s="134">
        <f t="shared" ref="AS74" si="110">AVERAGE(AM74:AM78)</f>
        <v>10.584999999999999</v>
      </c>
      <c r="AT74" s="130"/>
      <c r="AV74" s="125">
        <v>0</v>
      </c>
      <c r="AW74" s="125" t="s">
        <v>16</v>
      </c>
      <c r="AX74" s="125">
        <v>14560</v>
      </c>
      <c r="AY74" s="125">
        <v>160</v>
      </c>
      <c r="AZ74" s="125">
        <v>1</v>
      </c>
      <c r="BA74" s="125">
        <v>4</v>
      </c>
      <c r="BB74" s="125">
        <v>181.63</v>
      </c>
      <c r="BC74" s="124">
        <v>11.331</v>
      </c>
      <c r="BD74" s="132">
        <v>45313</v>
      </c>
      <c r="BE74" s="129">
        <v>0.79781250000000004</v>
      </c>
      <c r="BF74" s="125">
        <v>0</v>
      </c>
      <c r="BG74" s="125">
        <v>0</v>
      </c>
      <c r="BH74" s="125">
        <v>0</v>
      </c>
      <c r="BI74" s="133">
        <f t="shared" ref="BI74" si="111">AVERAGE(BC74:BC78)</f>
        <v>11.3286</v>
      </c>
    </row>
    <row r="75" spans="1:61" x14ac:dyDescent="0.25">
      <c r="A75">
        <v>1</v>
      </c>
      <c r="B75" t="s">
        <v>16</v>
      </c>
      <c r="C75">
        <v>14592</v>
      </c>
      <c r="D75">
        <v>96</v>
      </c>
      <c r="E75">
        <v>1</v>
      </c>
      <c r="F75">
        <v>4</v>
      </c>
      <c r="G75">
        <v>204.79</v>
      </c>
      <c r="H75" s="139">
        <v>10.116</v>
      </c>
      <c r="I75" s="33">
        <v>45608</v>
      </c>
      <c r="J75" s="37">
        <v>0.40188657407407408</v>
      </c>
      <c r="K75">
        <v>0</v>
      </c>
      <c r="L75">
        <v>0</v>
      </c>
      <c r="M75">
        <v>0</v>
      </c>
      <c r="N75" s="30">
        <f t="shared" ref="N75" si="112">N74</f>
        <v>10.1142</v>
      </c>
      <c r="P75">
        <v>1</v>
      </c>
      <c r="Q75" t="s">
        <v>16</v>
      </c>
      <c r="R75">
        <v>14592</v>
      </c>
      <c r="S75">
        <v>96</v>
      </c>
      <c r="T75">
        <v>1</v>
      </c>
      <c r="U75">
        <v>4</v>
      </c>
      <c r="V75">
        <v>179.4</v>
      </c>
      <c r="W75" s="139">
        <v>11.548</v>
      </c>
      <c r="X75" s="33">
        <v>45608</v>
      </c>
      <c r="Y75" s="37">
        <v>0.4397800925925926</v>
      </c>
      <c r="Z75">
        <v>0</v>
      </c>
      <c r="AA75">
        <v>0</v>
      </c>
      <c r="AB75">
        <v>0</v>
      </c>
      <c r="AC75" s="30">
        <f t="shared" ref="AC75" si="113">AC74</f>
        <v>11.5314</v>
      </c>
      <c r="AD75" s="17"/>
      <c r="AF75" s="125">
        <v>1</v>
      </c>
      <c r="AG75" s="125" t="s">
        <v>16</v>
      </c>
      <c r="AH75" s="125">
        <v>14560</v>
      </c>
      <c r="AI75" s="125">
        <v>160</v>
      </c>
      <c r="AJ75" s="125">
        <v>1</v>
      </c>
      <c r="AK75" s="125">
        <v>4</v>
      </c>
      <c r="AL75" s="125">
        <v>194.33</v>
      </c>
      <c r="AM75" s="124">
        <v>10.59</v>
      </c>
      <c r="AN75" s="132">
        <v>45313</v>
      </c>
      <c r="AO75" s="129">
        <v>0.84152777777777776</v>
      </c>
      <c r="AP75" s="125">
        <v>0</v>
      </c>
      <c r="AQ75" s="125">
        <v>0</v>
      </c>
      <c r="AR75" s="125">
        <v>0</v>
      </c>
      <c r="AS75" s="134">
        <f t="shared" ref="AS75" si="114">AS74</f>
        <v>10.584999999999999</v>
      </c>
      <c r="AT75" s="123"/>
      <c r="AV75" s="125">
        <v>1</v>
      </c>
      <c r="AW75" s="125" t="s">
        <v>16</v>
      </c>
      <c r="AX75" s="125">
        <v>14560</v>
      </c>
      <c r="AY75" s="125">
        <v>160</v>
      </c>
      <c r="AZ75" s="125">
        <v>1</v>
      </c>
      <c r="BA75" s="125">
        <v>4</v>
      </c>
      <c r="BB75" s="125">
        <v>181.65</v>
      </c>
      <c r="BC75" s="124">
        <v>11.33</v>
      </c>
      <c r="BD75" s="132">
        <v>45313</v>
      </c>
      <c r="BE75" s="129">
        <v>0.85652777777777767</v>
      </c>
      <c r="BF75" s="125">
        <v>0</v>
      </c>
      <c r="BG75" s="125">
        <v>0</v>
      </c>
      <c r="BH75" s="125">
        <v>0</v>
      </c>
      <c r="BI75" s="133">
        <f t="shared" ref="BI75:BI123" si="115">BI74</f>
        <v>11.3286</v>
      </c>
    </row>
    <row r="76" spans="1:61" x14ac:dyDescent="0.25">
      <c r="A76">
        <v>2</v>
      </c>
      <c r="B76" t="s">
        <v>16</v>
      </c>
      <c r="C76">
        <v>14592</v>
      </c>
      <c r="D76">
        <v>96</v>
      </c>
      <c r="E76">
        <v>1</v>
      </c>
      <c r="F76">
        <v>4</v>
      </c>
      <c r="G76">
        <v>204.81</v>
      </c>
      <c r="H76" s="139">
        <v>10.115</v>
      </c>
      <c r="I76" s="33">
        <v>45608</v>
      </c>
      <c r="J76" s="37">
        <v>0.45559027777777777</v>
      </c>
      <c r="K76">
        <v>0</v>
      </c>
      <c r="L76">
        <v>0</v>
      </c>
      <c r="M76">
        <v>0</v>
      </c>
      <c r="N76" s="30">
        <f t="shared" si="16"/>
        <v>10.1142</v>
      </c>
      <c r="P76">
        <v>2</v>
      </c>
      <c r="Q76" t="s">
        <v>16</v>
      </c>
      <c r="R76">
        <v>14592</v>
      </c>
      <c r="S76">
        <v>96</v>
      </c>
      <c r="T76">
        <v>1</v>
      </c>
      <c r="U76">
        <v>4</v>
      </c>
      <c r="V76">
        <v>179.4</v>
      </c>
      <c r="W76" s="139">
        <v>11.548</v>
      </c>
      <c r="X76" s="33">
        <v>45608</v>
      </c>
      <c r="Y76" s="37">
        <v>0.49957175925925928</v>
      </c>
      <c r="Z76">
        <v>0</v>
      </c>
      <c r="AA76">
        <v>0</v>
      </c>
      <c r="AB76">
        <v>0</v>
      </c>
      <c r="AC76" s="30">
        <f t="shared" si="17"/>
        <v>11.5314</v>
      </c>
      <c r="AD76" s="17"/>
      <c r="AF76" s="125">
        <v>2</v>
      </c>
      <c r="AG76" s="125" t="s">
        <v>16</v>
      </c>
      <c r="AH76" s="125">
        <v>14560</v>
      </c>
      <c r="AI76" s="125">
        <v>160</v>
      </c>
      <c r="AJ76" s="125">
        <v>1</v>
      </c>
      <c r="AK76" s="125">
        <v>4</v>
      </c>
      <c r="AL76" s="125">
        <v>194.47</v>
      </c>
      <c r="AM76" s="124">
        <v>10.583</v>
      </c>
      <c r="AN76" s="132">
        <v>45313</v>
      </c>
      <c r="AO76" s="129">
        <v>0.89325231481481471</v>
      </c>
      <c r="AP76" s="125">
        <v>0</v>
      </c>
      <c r="AQ76" s="125">
        <v>0</v>
      </c>
      <c r="AR76" s="125">
        <v>0</v>
      </c>
      <c r="AS76" s="134">
        <f t="shared" si="18"/>
        <v>10.584999999999999</v>
      </c>
      <c r="AT76" s="123"/>
      <c r="AV76" s="125">
        <v>2</v>
      </c>
      <c r="AW76" s="125" t="s">
        <v>16</v>
      </c>
      <c r="AX76" s="125">
        <v>14560</v>
      </c>
      <c r="AY76" s="125">
        <v>160</v>
      </c>
      <c r="AZ76" s="125">
        <v>1</v>
      </c>
      <c r="BA76" s="125">
        <v>4</v>
      </c>
      <c r="BB76" s="125">
        <v>181.77</v>
      </c>
      <c r="BC76" s="124">
        <v>11.321999999999999</v>
      </c>
      <c r="BD76" s="132">
        <v>45313</v>
      </c>
      <c r="BE76" s="129">
        <v>0.91524305555555552</v>
      </c>
      <c r="BF76" s="125">
        <v>0</v>
      </c>
      <c r="BG76" s="125">
        <v>0</v>
      </c>
      <c r="BH76" s="125">
        <v>0</v>
      </c>
      <c r="BI76" s="133">
        <f t="shared" si="115"/>
        <v>11.3286</v>
      </c>
    </row>
    <row r="77" spans="1:61" x14ac:dyDescent="0.25">
      <c r="A77">
        <v>3</v>
      </c>
      <c r="B77" t="s">
        <v>16</v>
      </c>
      <c r="C77">
        <v>14592</v>
      </c>
      <c r="D77">
        <v>96</v>
      </c>
      <c r="E77">
        <v>1</v>
      </c>
      <c r="F77">
        <v>4</v>
      </c>
      <c r="G77">
        <v>204.98</v>
      </c>
      <c r="H77" s="139">
        <v>10.106999999999999</v>
      </c>
      <c r="I77" s="33">
        <v>45608</v>
      </c>
      <c r="J77" s="37">
        <v>0.50930555555555557</v>
      </c>
      <c r="K77">
        <v>0</v>
      </c>
      <c r="L77">
        <v>0</v>
      </c>
      <c r="M77">
        <v>0</v>
      </c>
      <c r="N77" s="30">
        <f t="shared" si="16"/>
        <v>10.1142</v>
      </c>
      <c r="P77">
        <v>3</v>
      </c>
      <c r="Q77" t="s">
        <v>16</v>
      </c>
      <c r="R77">
        <v>14592</v>
      </c>
      <c r="S77">
        <v>96</v>
      </c>
      <c r="T77">
        <v>1</v>
      </c>
      <c r="U77">
        <v>4</v>
      </c>
      <c r="V77">
        <v>180.8</v>
      </c>
      <c r="W77" s="139">
        <v>11.458</v>
      </c>
      <c r="X77" s="33">
        <v>45608</v>
      </c>
      <c r="Y77" s="37">
        <v>0.60843749999999996</v>
      </c>
      <c r="Z77">
        <v>0</v>
      </c>
      <c r="AA77">
        <v>0</v>
      </c>
      <c r="AB77">
        <v>0</v>
      </c>
      <c r="AC77" s="30">
        <f t="shared" si="17"/>
        <v>11.5314</v>
      </c>
      <c r="AD77" s="17"/>
      <c r="AF77" s="125">
        <v>3</v>
      </c>
      <c r="AG77" s="125" t="s">
        <v>16</v>
      </c>
      <c r="AH77" s="125">
        <v>14560</v>
      </c>
      <c r="AI77" s="125">
        <v>160</v>
      </c>
      <c r="AJ77" s="125">
        <v>1</v>
      </c>
      <c r="AK77" s="125">
        <v>4</v>
      </c>
      <c r="AL77" s="125">
        <v>194.48</v>
      </c>
      <c r="AM77" s="124">
        <v>10.582000000000001</v>
      </c>
      <c r="AN77" s="132">
        <v>45313</v>
      </c>
      <c r="AO77" s="129">
        <v>0.94498842592592591</v>
      </c>
      <c r="AP77" s="125">
        <v>0</v>
      </c>
      <c r="AQ77" s="125">
        <v>0</v>
      </c>
      <c r="AR77" s="125">
        <v>0</v>
      </c>
      <c r="AS77" s="134">
        <f t="shared" si="18"/>
        <v>10.584999999999999</v>
      </c>
      <c r="AT77" s="123"/>
      <c r="AV77" s="125">
        <v>3</v>
      </c>
      <c r="AW77" s="125" t="s">
        <v>16</v>
      </c>
      <c r="AX77" s="125">
        <v>14560</v>
      </c>
      <c r="AY77" s="125">
        <v>160</v>
      </c>
      <c r="AZ77" s="125">
        <v>1</v>
      </c>
      <c r="BA77" s="125">
        <v>4</v>
      </c>
      <c r="BB77" s="125">
        <v>181.74</v>
      </c>
      <c r="BC77" s="124">
        <v>11.324</v>
      </c>
      <c r="BD77" s="132">
        <v>45313</v>
      </c>
      <c r="BE77" s="129">
        <v>0.97396990740740741</v>
      </c>
      <c r="BF77" s="125">
        <v>0</v>
      </c>
      <c r="BG77" s="125">
        <v>0</v>
      </c>
      <c r="BH77" s="125">
        <v>0</v>
      </c>
      <c r="BI77" s="133">
        <f t="shared" si="115"/>
        <v>11.3286</v>
      </c>
    </row>
    <row r="78" spans="1:61" x14ac:dyDescent="0.25">
      <c r="A78">
        <v>4</v>
      </c>
      <c r="B78" t="s">
        <v>16</v>
      </c>
      <c r="C78">
        <v>14592</v>
      </c>
      <c r="D78">
        <v>96</v>
      </c>
      <c r="E78">
        <v>1</v>
      </c>
      <c r="F78">
        <v>4</v>
      </c>
      <c r="G78">
        <v>204.98</v>
      </c>
      <c r="H78" s="139">
        <v>10.106999999999999</v>
      </c>
      <c r="I78" s="33">
        <v>45608</v>
      </c>
      <c r="J78" s="37">
        <v>0.61146990740740736</v>
      </c>
      <c r="K78">
        <v>0</v>
      </c>
      <c r="L78">
        <v>0</v>
      </c>
      <c r="M78">
        <v>0</v>
      </c>
      <c r="N78" s="30">
        <f t="shared" si="16"/>
        <v>10.1142</v>
      </c>
      <c r="P78">
        <v>4</v>
      </c>
      <c r="Q78" t="s">
        <v>16</v>
      </c>
      <c r="R78">
        <v>14592</v>
      </c>
      <c r="S78">
        <v>96</v>
      </c>
      <c r="T78">
        <v>1</v>
      </c>
      <c r="U78">
        <v>4</v>
      </c>
      <c r="V78">
        <v>179.5</v>
      </c>
      <c r="W78" s="139">
        <v>11.541</v>
      </c>
      <c r="X78" s="33">
        <v>45608</v>
      </c>
      <c r="Y78" s="37">
        <v>0.7288310185185185</v>
      </c>
      <c r="Z78">
        <v>0</v>
      </c>
      <c r="AA78">
        <v>0</v>
      </c>
      <c r="AB78">
        <v>0</v>
      </c>
      <c r="AC78" s="30">
        <f t="shared" si="17"/>
        <v>11.5314</v>
      </c>
      <c r="AD78" s="17"/>
      <c r="AF78" s="125">
        <v>4</v>
      </c>
      <c r="AG78" s="125" t="s">
        <v>16</v>
      </c>
      <c r="AH78" s="125">
        <v>14560</v>
      </c>
      <c r="AI78" s="125">
        <v>160</v>
      </c>
      <c r="AJ78" s="125">
        <v>1</v>
      </c>
      <c r="AK78" s="125">
        <v>4</v>
      </c>
      <c r="AL78" s="125">
        <v>194.35</v>
      </c>
      <c r="AM78" s="124">
        <v>10.589</v>
      </c>
      <c r="AN78" s="132">
        <v>45313</v>
      </c>
      <c r="AO78" s="129">
        <v>0.99672453703703701</v>
      </c>
      <c r="AP78" s="125">
        <v>0</v>
      </c>
      <c r="AQ78" s="125">
        <v>0</v>
      </c>
      <c r="AR78" s="125">
        <v>0</v>
      </c>
      <c r="AS78" s="134">
        <f t="shared" si="18"/>
        <v>10.584999999999999</v>
      </c>
      <c r="AT78" s="123"/>
      <c r="AV78" s="125">
        <v>4</v>
      </c>
      <c r="AW78" s="125" t="s">
        <v>16</v>
      </c>
      <c r="AX78" s="125">
        <v>14560</v>
      </c>
      <c r="AY78" s="125">
        <v>160</v>
      </c>
      <c r="AZ78" s="125">
        <v>1</v>
      </c>
      <c r="BA78" s="125">
        <v>4</v>
      </c>
      <c r="BB78" s="125">
        <v>181.55</v>
      </c>
      <c r="BC78" s="124">
        <v>11.336</v>
      </c>
      <c r="BD78" s="132">
        <v>45314</v>
      </c>
      <c r="BE78" s="129">
        <v>3.2673611111111105E-2</v>
      </c>
      <c r="BF78" s="125">
        <v>0</v>
      </c>
      <c r="BG78" s="125">
        <v>0</v>
      </c>
      <c r="BH78" s="125">
        <v>0</v>
      </c>
      <c r="BI78" s="133">
        <f t="shared" si="115"/>
        <v>11.3286</v>
      </c>
    </row>
    <row r="79" spans="1:61" x14ac:dyDescent="0.25">
      <c r="A79">
        <v>0</v>
      </c>
      <c r="B79" t="s">
        <v>16</v>
      </c>
      <c r="C79">
        <v>13056</v>
      </c>
      <c r="D79">
        <v>96</v>
      </c>
      <c r="E79">
        <v>2</v>
      </c>
      <c r="F79">
        <v>2</v>
      </c>
      <c r="G79">
        <v>145.13</v>
      </c>
      <c r="H79" s="139">
        <v>10.225</v>
      </c>
      <c r="I79" s="33">
        <v>45608</v>
      </c>
      <c r="J79" s="37">
        <v>0.31452546296296297</v>
      </c>
      <c r="K79">
        <v>0</v>
      </c>
      <c r="L79">
        <v>0</v>
      </c>
      <c r="M79">
        <v>0</v>
      </c>
      <c r="N79" s="30">
        <f t="shared" ref="N79" si="116">AVERAGE(H79:H83)</f>
        <v>10.223800000000001</v>
      </c>
      <c r="P79">
        <v>0</v>
      </c>
      <c r="Q79" t="s">
        <v>16</v>
      </c>
      <c r="R79">
        <v>13056</v>
      </c>
      <c r="S79">
        <v>96</v>
      </c>
      <c r="T79">
        <v>2</v>
      </c>
      <c r="U79">
        <v>2</v>
      </c>
      <c r="V79">
        <v>130.21</v>
      </c>
      <c r="W79" s="139">
        <v>11.396000000000001</v>
      </c>
      <c r="X79" s="33">
        <v>45608</v>
      </c>
      <c r="Y79" s="37">
        <v>0.31554398148148149</v>
      </c>
      <c r="Z79">
        <v>0</v>
      </c>
      <c r="AA79">
        <v>0</v>
      </c>
      <c r="AB79">
        <v>0</v>
      </c>
      <c r="AC79" s="30">
        <f t="shared" ref="AC79" si="117">AVERAGE(W79:W83)</f>
        <v>11.382400000000001</v>
      </c>
      <c r="AD79" s="17"/>
      <c r="AF79" s="125">
        <v>0</v>
      </c>
      <c r="AG79" s="125" t="s">
        <v>16</v>
      </c>
      <c r="AH79" s="125">
        <v>12960</v>
      </c>
      <c r="AI79" s="125">
        <v>160</v>
      </c>
      <c r="AJ79" s="125">
        <v>2</v>
      </c>
      <c r="AK79" s="125">
        <v>2</v>
      </c>
      <c r="AL79" s="125">
        <v>136.97</v>
      </c>
      <c r="AM79" s="124">
        <v>10.597</v>
      </c>
      <c r="AN79" s="132">
        <v>45313</v>
      </c>
      <c r="AO79" s="129">
        <v>0.75611111111111118</v>
      </c>
      <c r="AP79" s="125">
        <v>0</v>
      </c>
      <c r="AQ79" s="125">
        <v>0</v>
      </c>
      <c r="AR79" s="125">
        <v>0</v>
      </c>
      <c r="AS79" s="134">
        <f t="shared" ref="AS79" si="118">AVERAGE(AM79:AM83)</f>
        <v>10.600399999999999</v>
      </c>
      <c r="AT79" s="130"/>
      <c r="AV79" s="125">
        <v>0</v>
      </c>
      <c r="AW79" s="125" t="s">
        <v>16</v>
      </c>
      <c r="AX79" s="125">
        <v>12960</v>
      </c>
      <c r="AY79" s="125">
        <v>160</v>
      </c>
      <c r="AZ79" s="125">
        <v>2</v>
      </c>
      <c r="BA79" s="125">
        <v>2</v>
      </c>
      <c r="BB79" s="125">
        <v>128.84</v>
      </c>
      <c r="BC79" s="124">
        <v>11.265000000000001</v>
      </c>
      <c r="BD79" s="132">
        <v>45313</v>
      </c>
      <c r="BE79" s="129">
        <v>0.7599189814814814</v>
      </c>
      <c r="BF79" s="125">
        <v>0</v>
      </c>
      <c r="BG79" s="125">
        <v>0</v>
      </c>
      <c r="BH79" s="125">
        <v>0</v>
      </c>
      <c r="BI79" s="133">
        <f t="shared" ref="BI79" si="119">AVERAGE(BC79:BC83)</f>
        <v>11.2606</v>
      </c>
    </row>
    <row r="80" spans="1:61" x14ac:dyDescent="0.25">
      <c r="A80">
        <v>1</v>
      </c>
      <c r="B80" t="s">
        <v>16</v>
      </c>
      <c r="C80">
        <v>13056</v>
      </c>
      <c r="D80">
        <v>96</v>
      </c>
      <c r="E80">
        <v>2</v>
      </c>
      <c r="F80">
        <v>2</v>
      </c>
      <c r="G80">
        <v>145.01</v>
      </c>
      <c r="H80" s="139">
        <v>10.234</v>
      </c>
      <c r="I80" s="33">
        <v>45608</v>
      </c>
      <c r="J80" s="37">
        <v>0.36827546296296299</v>
      </c>
      <c r="K80">
        <v>0</v>
      </c>
      <c r="L80">
        <v>0</v>
      </c>
      <c r="M80">
        <v>0</v>
      </c>
      <c r="N80" s="30">
        <f t="shared" ref="N80" si="120">N79</f>
        <v>10.223800000000001</v>
      </c>
      <c r="P80">
        <v>1</v>
      </c>
      <c r="Q80" t="s">
        <v>16</v>
      </c>
      <c r="R80">
        <v>13056</v>
      </c>
      <c r="S80">
        <v>96</v>
      </c>
      <c r="T80">
        <v>2</v>
      </c>
      <c r="U80">
        <v>2</v>
      </c>
      <c r="V80">
        <v>130.47999999999999</v>
      </c>
      <c r="W80" s="139">
        <v>11.372999999999999</v>
      </c>
      <c r="X80" s="33">
        <v>45608</v>
      </c>
      <c r="Y80" s="37">
        <v>0.40261574074074075</v>
      </c>
      <c r="Z80">
        <v>0</v>
      </c>
      <c r="AA80">
        <v>0</v>
      </c>
      <c r="AB80">
        <v>0</v>
      </c>
      <c r="AC80" s="30">
        <f t="shared" ref="AC80" si="121">AC79</f>
        <v>11.382400000000001</v>
      </c>
      <c r="AD80" s="17"/>
      <c r="AF80" s="125">
        <v>1</v>
      </c>
      <c r="AG80" s="125" t="s">
        <v>16</v>
      </c>
      <c r="AH80" s="125">
        <v>12960</v>
      </c>
      <c r="AI80" s="125">
        <v>160</v>
      </c>
      <c r="AJ80" s="125">
        <v>2</v>
      </c>
      <c r="AK80" s="125">
        <v>2</v>
      </c>
      <c r="AL80" s="125">
        <v>136.83000000000001</v>
      </c>
      <c r="AM80" s="124">
        <v>10.606999999999999</v>
      </c>
      <c r="AN80" s="132">
        <v>45313</v>
      </c>
      <c r="AO80" s="129">
        <v>0.80784722222222216</v>
      </c>
      <c r="AP80" s="125">
        <v>0</v>
      </c>
      <c r="AQ80" s="125">
        <v>0</v>
      </c>
      <c r="AR80" s="125">
        <v>0</v>
      </c>
      <c r="AS80" s="134">
        <f t="shared" ref="AS80" si="122">AS79</f>
        <v>10.600399999999999</v>
      </c>
      <c r="AT80" s="123"/>
      <c r="AV80" s="125">
        <v>1</v>
      </c>
      <c r="AW80" s="125" t="s">
        <v>16</v>
      </c>
      <c r="AX80" s="125">
        <v>12960</v>
      </c>
      <c r="AY80" s="125">
        <v>160</v>
      </c>
      <c r="AZ80" s="125">
        <v>2</v>
      </c>
      <c r="BA80" s="125">
        <v>2</v>
      </c>
      <c r="BB80" s="125">
        <v>128.88999999999999</v>
      </c>
      <c r="BC80" s="124">
        <v>11.260999999999999</v>
      </c>
      <c r="BD80" s="132">
        <v>45313</v>
      </c>
      <c r="BE80" s="129">
        <v>0.81864583333333341</v>
      </c>
      <c r="BF80" s="125">
        <v>0</v>
      </c>
      <c r="BG80" s="125">
        <v>0</v>
      </c>
      <c r="BH80" s="125">
        <v>0</v>
      </c>
      <c r="BI80" s="133">
        <f t="shared" ref="BI80" si="123">BI79</f>
        <v>11.2606</v>
      </c>
    </row>
    <row r="81" spans="1:61" x14ac:dyDescent="0.25">
      <c r="A81">
        <v>2</v>
      </c>
      <c r="B81" t="s">
        <v>16</v>
      </c>
      <c r="C81">
        <v>13056</v>
      </c>
      <c r="D81">
        <v>96</v>
      </c>
      <c r="E81">
        <v>2</v>
      </c>
      <c r="F81">
        <v>2</v>
      </c>
      <c r="G81">
        <v>145.11000000000001</v>
      </c>
      <c r="H81" s="139">
        <v>10.226000000000001</v>
      </c>
      <c r="I81" s="33">
        <v>45608</v>
      </c>
      <c r="J81" s="37">
        <v>0.42197916666666668</v>
      </c>
      <c r="K81">
        <v>0</v>
      </c>
      <c r="L81">
        <v>0</v>
      </c>
      <c r="M81">
        <v>0</v>
      </c>
      <c r="N81" s="30">
        <f t="shared" si="24"/>
        <v>10.223800000000001</v>
      </c>
      <c r="P81">
        <v>2</v>
      </c>
      <c r="Q81" t="s">
        <v>16</v>
      </c>
      <c r="R81">
        <v>13056</v>
      </c>
      <c r="S81">
        <v>96</v>
      </c>
      <c r="T81">
        <v>2</v>
      </c>
      <c r="U81">
        <v>2</v>
      </c>
      <c r="V81">
        <v>130.26</v>
      </c>
      <c r="W81" s="139">
        <v>11.391999999999999</v>
      </c>
      <c r="X81" s="33">
        <v>45608</v>
      </c>
      <c r="Y81" s="37">
        <v>0.46244212962962961</v>
      </c>
      <c r="Z81">
        <v>0</v>
      </c>
      <c r="AA81">
        <v>0</v>
      </c>
      <c r="AB81">
        <v>0</v>
      </c>
      <c r="AC81" s="30">
        <f t="shared" si="25"/>
        <v>11.382400000000001</v>
      </c>
      <c r="AD81" s="17"/>
      <c r="AF81" s="125">
        <v>2</v>
      </c>
      <c r="AG81" s="125" t="s">
        <v>16</v>
      </c>
      <c r="AH81" s="125">
        <v>12960</v>
      </c>
      <c r="AI81" s="125">
        <v>160</v>
      </c>
      <c r="AJ81" s="125">
        <v>2</v>
      </c>
      <c r="AK81" s="125">
        <v>2</v>
      </c>
      <c r="AL81" s="125">
        <v>136.99</v>
      </c>
      <c r="AM81" s="124">
        <v>10.595000000000001</v>
      </c>
      <c r="AN81" s="132">
        <v>45313</v>
      </c>
      <c r="AO81" s="129">
        <v>0.85957175925925933</v>
      </c>
      <c r="AP81" s="125">
        <v>0</v>
      </c>
      <c r="AQ81" s="125">
        <v>0</v>
      </c>
      <c r="AR81" s="125">
        <v>0</v>
      </c>
      <c r="AS81" s="134">
        <f t="shared" si="26"/>
        <v>10.600399999999999</v>
      </c>
      <c r="AT81" s="123"/>
      <c r="AV81" s="125">
        <v>2</v>
      </c>
      <c r="AW81" s="125" t="s">
        <v>16</v>
      </c>
      <c r="AX81" s="125">
        <v>12960</v>
      </c>
      <c r="AY81" s="125">
        <v>160</v>
      </c>
      <c r="AZ81" s="125">
        <v>2</v>
      </c>
      <c r="BA81" s="125">
        <v>2</v>
      </c>
      <c r="BB81" s="125">
        <v>128.82</v>
      </c>
      <c r="BC81" s="124">
        <v>11.268000000000001</v>
      </c>
      <c r="BD81" s="132">
        <v>45313</v>
      </c>
      <c r="BE81" s="129">
        <v>0.87736111111111115</v>
      </c>
      <c r="BF81" s="125">
        <v>0</v>
      </c>
      <c r="BG81" s="125">
        <v>0</v>
      </c>
      <c r="BH81" s="125">
        <v>0</v>
      </c>
      <c r="BI81" s="133">
        <f t="shared" si="115"/>
        <v>11.2606</v>
      </c>
    </row>
    <row r="82" spans="1:61" x14ac:dyDescent="0.25">
      <c r="A82">
        <v>3</v>
      </c>
      <c r="B82" t="s">
        <v>16</v>
      </c>
      <c r="C82">
        <v>13056</v>
      </c>
      <c r="D82">
        <v>96</v>
      </c>
      <c r="E82">
        <v>2</v>
      </c>
      <c r="F82">
        <v>2</v>
      </c>
      <c r="G82">
        <v>145.19999999999999</v>
      </c>
      <c r="H82" s="139">
        <v>10.220000000000001</v>
      </c>
      <c r="I82" s="33">
        <v>45608</v>
      </c>
      <c r="J82" s="37">
        <v>0.47569444444444442</v>
      </c>
      <c r="K82">
        <v>0</v>
      </c>
      <c r="L82">
        <v>0</v>
      </c>
      <c r="M82">
        <v>0</v>
      </c>
      <c r="N82" s="30">
        <f t="shared" si="24"/>
        <v>10.223800000000001</v>
      </c>
      <c r="P82">
        <v>3</v>
      </c>
      <c r="Q82" t="s">
        <v>16</v>
      </c>
      <c r="R82">
        <v>13056</v>
      </c>
      <c r="S82">
        <v>96</v>
      </c>
      <c r="T82">
        <v>2</v>
      </c>
      <c r="U82">
        <v>2</v>
      </c>
      <c r="V82">
        <v>130.28</v>
      </c>
      <c r="W82" s="139">
        <v>11.391</v>
      </c>
      <c r="X82" s="33">
        <v>45608</v>
      </c>
      <c r="Y82" s="37">
        <v>0.57127314814814811</v>
      </c>
      <c r="Z82">
        <v>0</v>
      </c>
      <c r="AA82">
        <v>0</v>
      </c>
      <c r="AB82">
        <v>0</v>
      </c>
      <c r="AC82" s="30">
        <f t="shared" si="25"/>
        <v>11.382400000000001</v>
      </c>
      <c r="AD82" s="17"/>
      <c r="AF82" s="125">
        <v>3</v>
      </c>
      <c r="AG82" s="125" t="s">
        <v>16</v>
      </c>
      <c r="AH82" s="125">
        <v>12960</v>
      </c>
      <c r="AI82" s="125">
        <v>160</v>
      </c>
      <c r="AJ82" s="125">
        <v>2</v>
      </c>
      <c r="AK82" s="125">
        <v>2</v>
      </c>
      <c r="AL82" s="125">
        <v>136.94999999999999</v>
      </c>
      <c r="AM82" s="124">
        <v>10.598000000000001</v>
      </c>
      <c r="AN82" s="132">
        <v>45313</v>
      </c>
      <c r="AO82" s="129">
        <v>0.91130787037037031</v>
      </c>
      <c r="AP82" s="125">
        <v>0</v>
      </c>
      <c r="AQ82" s="125">
        <v>0</v>
      </c>
      <c r="AR82" s="125">
        <v>0</v>
      </c>
      <c r="AS82" s="134">
        <f t="shared" si="26"/>
        <v>10.600399999999999</v>
      </c>
      <c r="AT82" s="123"/>
      <c r="AV82" s="125">
        <v>3</v>
      </c>
      <c r="AW82" s="125" t="s">
        <v>16</v>
      </c>
      <c r="AX82" s="125">
        <v>12960</v>
      </c>
      <c r="AY82" s="125">
        <v>160</v>
      </c>
      <c r="AZ82" s="125">
        <v>2</v>
      </c>
      <c r="BA82" s="125">
        <v>2</v>
      </c>
      <c r="BB82" s="125">
        <v>129.1</v>
      </c>
      <c r="BC82" s="124">
        <v>11.242000000000001</v>
      </c>
      <c r="BD82" s="132">
        <v>45313</v>
      </c>
      <c r="BE82" s="129">
        <v>0.93607638888888889</v>
      </c>
      <c r="BF82" s="125">
        <v>0</v>
      </c>
      <c r="BG82" s="125">
        <v>0</v>
      </c>
      <c r="BH82" s="125">
        <v>0</v>
      </c>
      <c r="BI82" s="133">
        <f t="shared" si="115"/>
        <v>11.2606</v>
      </c>
    </row>
    <row r="83" spans="1:61" x14ac:dyDescent="0.25">
      <c r="A83">
        <v>4</v>
      </c>
      <c r="B83" t="s">
        <v>16</v>
      </c>
      <c r="C83">
        <v>13056</v>
      </c>
      <c r="D83">
        <v>96</v>
      </c>
      <c r="E83">
        <v>2</v>
      </c>
      <c r="F83">
        <v>2</v>
      </c>
      <c r="G83">
        <v>145.28</v>
      </c>
      <c r="H83" s="139">
        <v>10.214</v>
      </c>
      <c r="I83" s="33">
        <v>45608</v>
      </c>
      <c r="J83" s="37">
        <v>0.57784722222222218</v>
      </c>
      <c r="K83">
        <v>0</v>
      </c>
      <c r="L83">
        <v>0</v>
      </c>
      <c r="M83">
        <v>0</v>
      </c>
      <c r="N83" s="30">
        <f t="shared" si="24"/>
        <v>10.223800000000001</v>
      </c>
      <c r="P83">
        <v>4</v>
      </c>
      <c r="Q83" t="s">
        <v>16</v>
      </c>
      <c r="R83">
        <v>13056</v>
      </c>
      <c r="S83">
        <v>96</v>
      </c>
      <c r="T83">
        <v>2</v>
      </c>
      <c r="U83">
        <v>2</v>
      </c>
      <c r="V83">
        <v>130.63</v>
      </c>
      <c r="W83" s="139">
        <v>11.36</v>
      </c>
      <c r="X83" s="33">
        <v>45608</v>
      </c>
      <c r="Y83" s="37">
        <v>0.63113425925925926</v>
      </c>
      <c r="Z83">
        <v>0</v>
      </c>
      <c r="AA83">
        <v>0</v>
      </c>
      <c r="AB83">
        <v>0</v>
      </c>
      <c r="AC83" s="30">
        <f t="shared" si="25"/>
        <v>11.382400000000001</v>
      </c>
      <c r="AD83" s="17"/>
      <c r="AF83" s="125">
        <v>4</v>
      </c>
      <c r="AG83" s="125" t="s">
        <v>16</v>
      </c>
      <c r="AH83" s="125">
        <v>12960</v>
      </c>
      <c r="AI83" s="125">
        <v>160</v>
      </c>
      <c r="AJ83" s="125">
        <v>2</v>
      </c>
      <c r="AK83" s="125">
        <v>2</v>
      </c>
      <c r="AL83" s="125">
        <v>136.86000000000001</v>
      </c>
      <c r="AM83" s="124">
        <v>10.605</v>
      </c>
      <c r="AN83" s="132">
        <v>45313</v>
      </c>
      <c r="AO83" s="129">
        <v>0.96303240740740748</v>
      </c>
      <c r="AP83" s="125">
        <v>0</v>
      </c>
      <c r="AQ83" s="125">
        <v>0</v>
      </c>
      <c r="AR83" s="125">
        <v>0</v>
      </c>
      <c r="AS83" s="134">
        <f t="shared" si="26"/>
        <v>10.600399999999999</v>
      </c>
      <c r="AT83" s="123"/>
      <c r="AV83" s="125">
        <v>4</v>
      </c>
      <c r="AW83" s="125" t="s">
        <v>16</v>
      </c>
      <c r="AX83" s="125">
        <v>12960</v>
      </c>
      <c r="AY83" s="125">
        <v>160</v>
      </c>
      <c r="AZ83" s="125">
        <v>2</v>
      </c>
      <c r="BA83" s="125">
        <v>2</v>
      </c>
      <c r="BB83" s="125">
        <v>128.82</v>
      </c>
      <c r="BC83" s="124">
        <v>11.266999999999999</v>
      </c>
      <c r="BD83" s="132">
        <v>45313</v>
      </c>
      <c r="BE83" s="129">
        <v>0.99479166666666663</v>
      </c>
      <c r="BF83" s="125">
        <v>0</v>
      </c>
      <c r="BG83" s="125">
        <v>0</v>
      </c>
      <c r="BH83" s="125">
        <v>0</v>
      </c>
      <c r="BI83" s="133">
        <f t="shared" si="115"/>
        <v>11.2606</v>
      </c>
    </row>
    <row r="84" spans="1:61" x14ac:dyDescent="0.25">
      <c r="A84">
        <v>0</v>
      </c>
      <c r="B84" t="s">
        <v>16</v>
      </c>
      <c r="C84">
        <v>13824</v>
      </c>
      <c r="D84">
        <v>96</v>
      </c>
      <c r="E84">
        <v>2</v>
      </c>
      <c r="F84">
        <v>2</v>
      </c>
      <c r="G84">
        <v>174.77</v>
      </c>
      <c r="H84" s="139">
        <v>10.079000000000001</v>
      </c>
      <c r="I84" s="33">
        <v>45608</v>
      </c>
      <c r="J84" s="37">
        <v>0.33142361111111113</v>
      </c>
      <c r="K84">
        <v>0</v>
      </c>
      <c r="L84">
        <v>0</v>
      </c>
      <c r="M84">
        <v>0</v>
      </c>
      <c r="N84" s="30">
        <f t="shared" ref="N84" si="124">AVERAGE(H84:H88)</f>
        <v>10.0684</v>
      </c>
      <c r="P84">
        <v>0</v>
      </c>
      <c r="Q84" t="s">
        <v>16</v>
      </c>
      <c r="R84">
        <v>13824</v>
      </c>
      <c r="S84">
        <v>96</v>
      </c>
      <c r="T84">
        <v>2</v>
      </c>
      <c r="U84">
        <v>2</v>
      </c>
      <c r="V84">
        <v>154.51</v>
      </c>
      <c r="W84" s="139">
        <v>11.4</v>
      </c>
      <c r="X84" s="33">
        <v>45608</v>
      </c>
      <c r="Y84" s="37">
        <v>0.36144675925925923</v>
      </c>
      <c r="Z84">
        <v>0</v>
      </c>
      <c r="AA84">
        <v>0</v>
      </c>
      <c r="AB84">
        <v>0</v>
      </c>
      <c r="AC84" s="30">
        <f t="shared" ref="AC84" si="125">AVERAGE(W84:W88)</f>
        <v>11.405799999999999</v>
      </c>
      <c r="AD84" s="17"/>
      <c r="AF84" s="125">
        <v>0</v>
      </c>
      <c r="AG84" s="125" t="s">
        <v>16</v>
      </c>
      <c r="AH84" s="125">
        <v>13760</v>
      </c>
      <c r="AI84" s="125">
        <v>160</v>
      </c>
      <c r="AJ84" s="125">
        <v>2</v>
      </c>
      <c r="AK84" s="125">
        <v>2</v>
      </c>
      <c r="AL84" s="125">
        <v>162.04</v>
      </c>
      <c r="AM84" s="124">
        <v>10.721</v>
      </c>
      <c r="AN84" s="132">
        <v>45313</v>
      </c>
      <c r="AO84" s="129">
        <v>0.7729166666666667</v>
      </c>
      <c r="AP84" s="125">
        <v>0</v>
      </c>
      <c r="AQ84" s="125">
        <v>0</v>
      </c>
      <c r="AR84" s="125">
        <v>0</v>
      </c>
      <c r="AS84" s="134">
        <f t="shared" ref="AS84" si="126">AVERAGE(AM84:AM88)</f>
        <v>10.715</v>
      </c>
      <c r="AT84" s="130"/>
      <c r="AV84" s="125">
        <v>0</v>
      </c>
      <c r="AW84" s="125" t="s">
        <v>16</v>
      </c>
      <c r="AX84" s="125">
        <v>13760</v>
      </c>
      <c r="AY84" s="125">
        <v>160</v>
      </c>
      <c r="AZ84" s="125">
        <v>2</v>
      </c>
      <c r="BA84" s="125">
        <v>2</v>
      </c>
      <c r="BB84" s="125">
        <v>153.32</v>
      </c>
      <c r="BC84" s="124">
        <v>11.33</v>
      </c>
      <c r="BD84" s="132">
        <v>45313</v>
      </c>
      <c r="BE84" s="129">
        <v>0.7788425925925927</v>
      </c>
      <c r="BF84" s="125">
        <v>0</v>
      </c>
      <c r="BG84" s="125">
        <v>0</v>
      </c>
      <c r="BH84" s="125">
        <v>0</v>
      </c>
      <c r="BI84" s="133">
        <f t="shared" ref="BI84" si="127">AVERAGE(BC84:BC88)</f>
        <v>11.3278</v>
      </c>
    </row>
    <row r="85" spans="1:61" x14ac:dyDescent="0.25">
      <c r="A85">
        <v>1</v>
      </c>
      <c r="B85" t="s">
        <v>16</v>
      </c>
      <c r="C85">
        <v>13824</v>
      </c>
      <c r="D85">
        <v>96</v>
      </c>
      <c r="E85">
        <v>2</v>
      </c>
      <c r="F85">
        <v>2</v>
      </c>
      <c r="G85">
        <v>174.95</v>
      </c>
      <c r="H85" s="139">
        <v>10.069000000000001</v>
      </c>
      <c r="I85" s="33">
        <v>45608</v>
      </c>
      <c r="J85" s="37">
        <v>0.38518518518518519</v>
      </c>
      <c r="K85">
        <v>0</v>
      </c>
      <c r="L85">
        <v>0</v>
      </c>
      <c r="M85">
        <v>0</v>
      </c>
      <c r="N85" s="30">
        <f t="shared" ref="N85:N118" si="128">N84</f>
        <v>10.0684</v>
      </c>
      <c r="P85">
        <v>1</v>
      </c>
      <c r="Q85" t="s">
        <v>16</v>
      </c>
      <c r="R85">
        <v>13824</v>
      </c>
      <c r="S85">
        <v>96</v>
      </c>
      <c r="T85">
        <v>2</v>
      </c>
      <c r="U85">
        <v>2</v>
      </c>
      <c r="V85">
        <v>154.71</v>
      </c>
      <c r="W85" s="139">
        <v>11.385999999999999</v>
      </c>
      <c r="X85" s="33">
        <v>45608</v>
      </c>
      <c r="Y85" s="37">
        <v>0.42125000000000001</v>
      </c>
      <c r="Z85">
        <v>0</v>
      </c>
      <c r="AA85">
        <v>0</v>
      </c>
      <c r="AB85">
        <v>0</v>
      </c>
      <c r="AC85" s="30">
        <f t="shared" ref="AC85:AC118" si="129">AC84</f>
        <v>11.405799999999999</v>
      </c>
      <c r="AD85" s="17"/>
      <c r="AF85" s="125">
        <v>1</v>
      </c>
      <c r="AG85" s="125" t="s">
        <v>16</v>
      </c>
      <c r="AH85" s="125">
        <v>13760</v>
      </c>
      <c r="AI85" s="125">
        <v>160</v>
      </c>
      <c r="AJ85" s="125">
        <v>2</v>
      </c>
      <c r="AK85" s="125">
        <v>2</v>
      </c>
      <c r="AL85" s="125">
        <v>162.15</v>
      </c>
      <c r="AM85" s="124">
        <v>10.712999999999999</v>
      </c>
      <c r="AN85" s="132">
        <v>45313</v>
      </c>
      <c r="AO85" s="129">
        <v>0.82466435185185183</v>
      </c>
      <c r="AP85" s="125">
        <v>0</v>
      </c>
      <c r="AQ85" s="125">
        <v>0</v>
      </c>
      <c r="AR85" s="125">
        <v>0</v>
      </c>
      <c r="AS85" s="134">
        <f t="shared" ref="AS85:AS118" si="130">AS84</f>
        <v>10.715</v>
      </c>
      <c r="AT85" s="123"/>
      <c r="AV85" s="125">
        <v>1</v>
      </c>
      <c r="AW85" s="125" t="s">
        <v>16</v>
      </c>
      <c r="AX85" s="125">
        <v>13760</v>
      </c>
      <c r="AY85" s="125">
        <v>160</v>
      </c>
      <c r="AZ85" s="125">
        <v>2</v>
      </c>
      <c r="BA85" s="125">
        <v>2</v>
      </c>
      <c r="BB85" s="125">
        <v>153.53</v>
      </c>
      <c r="BC85" s="124">
        <v>11.315</v>
      </c>
      <c r="BD85" s="132">
        <v>45313</v>
      </c>
      <c r="BE85" s="129">
        <v>0.83756944444444448</v>
      </c>
      <c r="BF85" s="125">
        <v>0</v>
      </c>
      <c r="BG85" s="125">
        <v>0</v>
      </c>
      <c r="BH85" s="125">
        <v>0</v>
      </c>
      <c r="BI85" s="133">
        <f t="shared" ref="BI85" si="131">BI84</f>
        <v>11.3278</v>
      </c>
    </row>
    <row r="86" spans="1:61" x14ac:dyDescent="0.25">
      <c r="A86">
        <v>2</v>
      </c>
      <c r="B86" t="s">
        <v>16</v>
      </c>
      <c r="C86">
        <v>13824</v>
      </c>
      <c r="D86">
        <v>96</v>
      </c>
      <c r="E86">
        <v>2</v>
      </c>
      <c r="F86">
        <v>2</v>
      </c>
      <c r="G86">
        <v>175.13</v>
      </c>
      <c r="H86" s="139">
        <v>10.058</v>
      </c>
      <c r="I86" s="33">
        <v>45608</v>
      </c>
      <c r="J86" s="37">
        <v>0.43888888888888888</v>
      </c>
      <c r="K86">
        <v>0</v>
      </c>
      <c r="L86">
        <v>0</v>
      </c>
      <c r="M86">
        <v>0</v>
      </c>
      <c r="N86" s="30">
        <f t="shared" si="128"/>
        <v>10.0684</v>
      </c>
      <c r="P86">
        <v>2</v>
      </c>
      <c r="Q86" t="s">
        <v>16</v>
      </c>
      <c r="R86">
        <v>13824</v>
      </c>
      <c r="S86">
        <v>96</v>
      </c>
      <c r="T86">
        <v>2</v>
      </c>
      <c r="U86">
        <v>2</v>
      </c>
      <c r="V86">
        <v>154.28</v>
      </c>
      <c r="W86" s="139">
        <v>11.417</v>
      </c>
      <c r="X86" s="33">
        <v>45608</v>
      </c>
      <c r="Y86" s="37">
        <v>0.48103009259259261</v>
      </c>
      <c r="Z86">
        <v>0</v>
      </c>
      <c r="AA86">
        <v>0</v>
      </c>
      <c r="AB86">
        <v>0</v>
      </c>
      <c r="AC86" s="30">
        <f t="shared" si="129"/>
        <v>11.405799999999999</v>
      </c>
      <c r="AD86" s="17"/>
      <c r="AF86" s="125">
        <v>2</v>
      </c>
      <c r="AG86" s="125" t="s">
        <v>16</v>
      </c>
      <c r="AH86" s="125">
        <v>13760</v>
      </c>
      <c r="AI86" s="125">
        <v>160</v>
      </c>
      <c r="AJ86" s="125">
        <v>2</v>
      </c>
      <c r="AK86" s="125">
        <v>2</v>
      </c>
      <c r="AL86" s="125">
        <v>161.94999999999999</v>
      </c>
      <c r="AM86" s="124">
        <v>10.726000000000001</v>
      </c>
      <c r="AN86" s="132">
        <v>45313</v>
      </c>
      <c r="AO86" s="129">
        <v>0.87638888888888899</v>
      </c>
      <c r="AP86" s="125">
        <v>0</v>
      </c>
      <c r="AQ86" s="125">
        <v>0</v>
      </c>
      <c r="AR86" s="125">
        <v>0</v>
      </c>
      <c r="AS86" s="134">
        <f t="shared" si="130"/>
        <v>10.715</v>
      </c>
      <c r="AT86" s="123"/>
      <c r="AV86" s="125">
        <v>2</v>
      </c>
      <c r="AW86" s="125" t="s">
        <v>16</v>
      </c>
      <c r="AX86" s="125">
        <v>13760</v>
      </c>
      <c r="AY86" s="125">
        <v>160</v>
      </c>
      <c r="AZ86" s="125">
        <v>2</v>
      </c>
      <c r="BA86" s="125">
        <v>2</v>
      </c>
      <c r="BB86" s="125">
        <v>153.4</v>
      </c>
      <c r="BC86" s="124">
        <v>11.324</v>
      </c>
      <c r="BD86" s="132">
        <v>45313</v>
      </c>
      <c r="BE86" s="129">
        <v>0.89628472222222222</v>
      </c>
      <c r="BF86" s="125">
        <v>0</v>
      </c>
      <c r="BG86" s="125">
        <v>0</v>
      </c>
      <c r="BH86" s="125">
        <v>0</v>
      </c>
      <c r="BI86" s="133">
        <f t="shared" si="115"/>
        <v>11.3278</v>
      </c>
    </row>
    <row r="87" spans="1:61" x14ac:dyDescent="0.25">
      <c r="A87">
        <v>3</v>
      </c>
      <c r="B87" t="s">
        <v>16</v>
      </c>
      <c r="C87">
        <v>13824</v>
      </c>
      <c r="D87">
        <v>96</v>
      </c>
      <c r="E87">
        <v>2</v>
      </c>
      <c r="F87">
        <v>2</v>
      </c>
      <c r="G87">
        <v>174.97</v>
      </c>
      <c r="H87" s="139">
        <v>10.067</v>
      </c>
      <c r="I87" s="33">
        <v>45608</v>
      </c>
      <c r="J87" s="37">
        <v>0.49260416666666668</v>
      </c>
      <c r="K87">
        <v>0</v>
      </c>
      <c r="L87">
        <v>0</v>
      </c>
      <c r="M87">
        <v>0</v>
      </c>
      <c r="N87" s="30">
        <f t="shared" si="128"/>
        <v>10.0684</v>
      </c>
      <c r="P87">
        <v>3</v>
      </c>
      <c r="Q87" t="s">
        <v>16</v>
      </c>
      <c r="R87">
        <v>13824</v>
      </c>
      <c r="S87">
        <v>96</v>
      </c>
      <c r="T87">
        <v>2</v>
      </c>
      <c r="U87">
        <v>2</v>
      </c>
      <c r="V87">
        <v>154.26</v>
      </c>
      <c r="W87" s="139">
        <v>11.419</v>
      </c>
      <c r="X87" s="33">
        <v>45608</v>
      </c>
      <c r="Y87" s="37">
        <v>0.58984953703703702</v>
      </c>
      <c r="Z87">
        <v>0</v>
      </c>
      <c r="AA87">
        <v>0</v>
      </c>
      <c r="AB87">
        <v>0</v>
      </c>
      <c r="AC87" s="30">
        <f t="shared" si="129"/>
        <v>11.405799999999999</v>
      </c>
      <c r="AD87" s="17"/>
      <c r="AF87" s="125">
        <v>3</v>
      </c>
      <c r="AG87" s="125" t="s">
        <v>16</v>
      </c>
      <c r="AH87" s="125">
        <v>13760</v>
      </c>
      <c r="AI87" s="125">
        <v>160</v>
      </c>
      <c r="AJ87" s="125">
        <v>2</v>
      </c>
      <c r="AK87" s="125">
        <v>2</v>
      </c>
      <c r="AL87" s="125">
        <v>162.22</v>
      </c>
      <c r="AM87" s="124">
        <v>10.709</v>
      </c>
      <c r="AN87" s="132">
        <v>45313</v>
      </c>
      <c r="AO87" s="129">
        <v>0.92811342592592594</v>
      </c>
      <c r="AP87" s="125">
        <v>0</v>
      </c>
      <c r="AQ87" s="125">
        <v>0</v>
      </c>
      <c r="AR87" s="125">
        <v>0</v>
      </c>
      <c r="AS87" s="134">
        <f t="shared" si="130"/>
        <v>10.715</v>
      </c>
      <c r="AT87" s="123"/>
      <c r="AV87" s="125">
        <v>3</v>
      </c>
      <c r="AW87" s="125" t="s">
        <v>16</v>
      </c>
      <c r="AX87" s="125">
        <v>13760</v>
      </c>
      <c r="AY87" s="125">
        <v>160</v>
      </c>
      <c r="AZ87" s="125">
        <v>2</v>
      </c>
      <c r="BA87" s="125">
        <v>2</v>
      </c>
      <c r="BB87" s="125">
        <v>153.27000000000001</v>
      </c>
      <c r="BC87" s="124">
        <v>11.334</v>
      </c>
      <c r="BD87" s="132">
        <v>45313</v>
      </c>
      <c r="BE87" s="129">
        <v>0.955011574074074</v>
      </c>
      <c r="BF87" s="125">
        <v>0</v>
      </c>
      <c r="BG87" s="125">
        <v>0</v>
      </c>
      <c r="BH87" s="125">
        <v>0</v>
      </c>
      <c r="BI87" s="133">
        <f t="shared" si="115"/>
        <v>11.3278</v>
      </c>
    </row>
    <row r="88" spans="1:61" x14ac:dyDescent="0.25">
      <c r="A88">
        <v>4</v>
      </c>
      <c r="B88" t="s">
        <v>16</v>
      </c>
      <c r="C88">
        <v>13824</v>
      </c>
      <c r="D88">
        <v>96</v>
      </c>
      <c r="E88">
        <v>2</v>
      </c>
      <c r="F88">
        <v>2</v>
      </c>
      <c r="G88">
        <v>174.94</v>
      </c>
      <c r="H88" s="139">
        <v>10.069000000000001</v>
      </c>
      <c r="I88" s="33">
        <v>45608</v>
      </c>
      <c r="J88" s="37">
        <v>0.59475694444444449</v>
      </c>
      <c r="K88">
        <v>0</v>
      </c>
      <c r="L88">
        <v>0</v>
      </c>
      <c r="M88">
        <v>0</v>
      </c>
      <c r="N88" s="30">
        <f t="shared" si="128"/>
        <v>10.0684</v>
      </c>
      <c r="P88">
        <v>4</v>
      </c>
      <c r="Q88" t="s">
        <v>16</v>
      </c>
      <c r="R88">
        <v>13824</v>
      </c>
      <c r="S88">
        <v>96</v>
      </c>
      <c r="T88">
        <v>2</v>
      </c>
      <c r="U88">
        <v>2</v>
      </c>
      <c r="V88">
        <v>154.41999999999999</v>
      </c>
      <c r="W88" s="139">
        <v>11.407</v>
      </c>
      <c r="X88" s="33">
        <v>45608</v>
      </c>
      <c r="Y88" s="37">
        <v>0.64971064814814816</v>
      </c>
      <c r="Z88">
        <v>0</v>
      </c>
      <c r="AA88">
        <v>0</v>
      </c>
      <c r="AB88">
        <v>0</v>
      </c>
      <c r="AC88" s="30">
        <f t="shared" si="129"/>
        <v>11.405799999999999</v>
      </c>
      <c r="AD88" s="17"/>
      <c r="AF88" s="125">
        <v>4</v>
      </c>
      <c r="AG88" s="125" t="s">
        <v>16</v>
      </c>
      <c r="AH88" s="125">
        <v>13760</v>
      </c>
      <c r="AI88" s="125">
        <v>160</v>
      </c>
      <c r="AJ88" s="125">
        <v>2</v>
      </c>
      <c r="AK88" s="125">
        <v>2</v>
      </c>
      <c r="AL88" s="125">
        <v>162.26</v>
      </c>
      <c r="AM88" s="124">
        <v>10.706</v>
      </c>
      <c r="AN88" s="132">
        <v>45313</v>
      </c>
      <c r="AO88" s="129">
        <v>0.97984953703703714</v>
      </c>
      <c r="AP88" s="125">
        <v>0</v>
      </c>
      <c r="AQ88" s="125">
        <v>0</v>
      </c>
      <c r="AR88" s="125">
        <v>0</v>
      </c>
      <c r="AS88" s="134">
        <f t="shared" si="130"/>
        <v>10.715</v>
      </c>
      <c r="AT88" s="123"/>
      <c r="AV88" s="125">
        <v>4</v>
      </c>
      <c r="AW88" s="125" t="s">
        <v>16</v>
      </c>
      <c r="AX88" s="125">
        <v>13760</v>
      </c>
      <c r="AY88" s="125">
        <v>160</v>
      </c>
      <c r="AZ88" s="125">
        <v>2</v>
      </c>
      <c r="BA88" s="125">
        <v>2</v>
      </c>
      <c r="BB88" s="125">
        <v>153.24</v>
      </c>
      <c r="BC88" s="124">
        <v>11.336</v>
      </c>
      <c r="BD88" s="132">
        <v>45314</v>
      </c>
      <c r="BE88" s="129">
        <v>1.3715277777777778E-2</v>
      </c>
      <c r="BF88" s="125">
        <v>0</v>
      </c>
      <c r="BG88" s="125">
        <v>0</v>
      </c>
      <c r="BH88" s="125">
        <v>0</v>
      </c>
      <c r="BI88" s="133">
        <f t="shared" si="115"/>
        <v>11.3278</v>
      </c>
    </row>
    <row r="89" spans="1:61" x14ac:dyDescent="0.25">
      <c r="A89">
        <v>0</v>
      </c>
      <c r="B89" t="s">
        <v>16</v>
      </c>
      <c r="C89">
        <v>14592</v>
      </c>
      <c r="D89">
        <v>96</v>
      </c>
      <c r="E89">
        <v>2</v>
      </c>
      <c r="F89">
        <v>2</v>
      </c>
      <c r="G89">
        <v>200.13</v>
      </c>
      <c r="H89" s="139">
        <v>10.351000000000001</v>
      </c>
      <c r="I89" s="33">
        <v>45608</v>
      </c>
      <c r="J89" s="37">
        <v>0.35061342592592593</v>
      </c>
      <c r="K89">
        <v>0</v>
      </c>
      <c r="L89">
        <v>0</v>
      </c>
      <c r="M89">
        <v>0</v>
      </c>
      <c r="N89" s="30">
        <f t="shared" ref="N89" si="132">AVERAGE(H89:H93)</f>
        <v>10.352600000000001</v>
      </c>
      <c r="P89">
        <v>0</v>
      </c>
      <c r="Q89" t="s">
        <v>16</v>
      </c>
      <c r="R89">
        <v>14592</v>
      </c>
      <c r="S89">
        <v>96</v>
      </c>
      <c r="T89">
        <v>2</v>
      </c>
      <c r="U89">
        <v>2</v>
      </c>
      <c r="V89">
        <v>179.9</v>
      </c>
      <c r="W89" s="139">
        <v>11.515000000000001</v>
      </c>
      <c r="X89" s="33">
        <v>45608</v>
      </c>
      <c r="Y89" s="37">
        <v>0.38273148148148151</v>
      </c>
      <c r="Z89">
        <v>0</v>
      </c>
      <c r="AA89">
        <v>0</v>
      </c>
      <c r="AB89">
        <v>0</v>
      </c>
      <c r="AC89" s="30">
        <f t="shared" ref="AC89" si="133">AVERAGE(W89:W93)</f>
        <v>11.512600000000001</v>
      </c>
      <c r="AD89" s="17"/>
      <c r="AF89" s="125">
        <v>0</v>
      </c>
      <c r="AG89" s="125" t="s">
        <v>16</v>
      </c>
      <c r="AH89" s="125">
        <v>14560</v>
      </c>
      <c r="AI89" s="125">
        <v>160</v>
      </c>
      <c r="AJ89" s="125">
        <v>2</v>
      </c>
      <c r="AK89" s="125">
        <v>2</v>
      </c>
      <c r="AL89" s="125">
        <v>190.69</v>
      </c>
      <c r="AM89" s="124">
        <v>10.792999999999999</v>
      </c>
      <c r="AN89" s="132">
        <v>45313</v>
      </c>
      <c r="AO89" s="129">
        <v>0.79215277777777782</v>
      </c>
      <c r="AP89" s="125">
        <v>0</v>
      </c>
      <c r="AQ89" s="125">
        <v>0</v>
      </c>
      <c r="AR89" s="125">
        <v>0</v>
      </c>
      <c r="AS89" s="134">
        <f t="shared" ref="AS89" si="134">AVERAGE(AM89:AM93)</f>
        <v>10.783999999999999</v>
      </c>
      <c r="AT89" s="130"/>
      <c r="AV89" s="125">
        <v>0</v>
      </c>
      <c r="AW89" s="125" t="s">
        <v>16</v>
      </c>
      <c r="AX89" s="125">
        <v>14560</v>
      </c>
      <c r="AY89" s="125">
        <v>160</v>
      </c>
      <c r="AZ89" s="125">
        <v>2</v>
      </c>
      <c r="BA89" s="125">
        <v>2</v>
      </c>
      <c r="BB89" s="125">
        <v>180.23</v>
      </c>
      <c r="BC89" s="124">
        <v>11.419</v>
      </c>
      <c r="BD89" s="132">
        <v>45313</v>
      </c>
      <c r="BE89" s="129">
        <v>0.8005902777777778</v>
      </c>
      <c r="BF89" s="125">
        <v>0</v>
      </c>
      <c r="BG89" s="125">
        <v>0</v>
      </c>
      <c r="BH89" s="125">
        <v>0</v>
      </c>
      <c r="BI89" s="133">
        <f t="shared" ref="BI89" si="135">AVERAGE(BC89:BC93)</f>
        <v>11.4146</v>
      </c>
    </row>
    <row r="90" spans="1:61" x14ac:dyDescent="0.25">
      <c r="A90">
        <v>1</v>
      </c>
      <c r="B90" t="s">
        <v>16</v>
      </c>
      <c r="C90">
        <v>14592</v>
      </c>
      <c r="D90">
        <v>96</v>
      </c>
      <c r="E90">
        <v>2</v>
      </c>
      <c r="F90">
        <v>2</v>
      </c>
      <c r="G90">
        <v>200.09</v>
      </c>
      <c r="H90" s="139">
        <v>10.353999999999999</v>
      </c>
      <c r="I90" s="33">
        <v>45608</v>
      </c>
      <c r="J90" s="37">
        <v>0.40437499999999998</v>
      </c>
      <c r="K90">
        <v>0</v>
      </c>
      <c r="L90">
        <v>0</v>
      </c>
      <c r="M90">
        <v>0</v>
      </c>
      <c r="N90" s="30">
        <f t="shared" ref="N90:N123" si="136">N89</f>
        <v>10.352600000000001</v>
      </c>
      <c r="P90">
        <v>1</v>
      </c>
      <c r="Q90" t="s">
        <v>16</v>
      </c>
      <c r="R90">
        <v>14592</v>
      </c>
      <c r="S90">
        <v>96</v>
      </c>
      <c r="T90">
        <v>2</v>
      </c>
      <c r="U90">
        <v>2</v>
      </c>
      <c r="V90">
        <v>180.17</v>
      </c>
      <c r="W90" s="139">
        <v>11.497999999999999</v>
      </c>
      <c r="X90" s="33">
        <v>45608</v>
      </c>
      <c r="Y90" s="37">
        <v>0.44254629629629627</v>
      </c>
      <c r="Z90">
        <v>0</v>
      </c>
      <c r="AA90">
        <v>0</v>
      </c>
      <c r="AB90">
        <v>0</v>
      </c>
      <c r="AC90" s="30">
        <f t="shared" ref="AC90:AC123" si="137">AC89</f>
        <v>11.512600000000001</v>
      </c>
      <c r="AD90" s="17"/>
      <c r="AF90" s="125">
        <v>1</v>
      </c>
      <c r="AG90" s="125" t="s">
        <v>16</v>
      </c>
      <c r="AH90" s="125">
        <v>14560</v>
      </c>
      <c r="AI90" s="125">
        <v>160</v>
      </c>
      <c r="AJ90" s="125">
        <v>2</v>
      </c>
      <c r="AK90" s="125">
        <v>2</v>
      </c>
      <c r="AL90" s="125">
        <v>190.78</v>
      </c>
      <c r="AM90" s="124">
        <v>10.788</v>
      </c>
      <c r="AN90" s="132">
        <v>45313</v>
      </c>
      <c r="AO90" s="129">
        <v>0.84390046296296306</v>
      </c>
      <c r="AP90" s="125">
        <v>0</v>
      </c>
      <c r="AQ90" s="125">
        <v>0</v>
      </c>
      <c r="AR90" s="125">
        <v>0</v>
      </c>
      <c r="AS90" s="134">
        <f t="shared" ref="AS90:AS123" si="138">AS89</f>
        <v>10.783999999999999</v>
      </c>
      <c r="AT90" s="123"/>
      <c r="AV90" s="125">
        <v>1</v>
      </c>
      <c r="AW90" s="125" t="s">
        <v>16</v>
      </c>
      <c r="AX90" s="125">
        <v>14560</v>
      </c>
      <c r="AY90" s="125">
        <v>160</v>
      </c>
      <c r="AZ90" s="125">
        <v>2</v>
      </c>
      <c r="BA90" s="125">
        <v>2</v>
      </c>
      <c r="BB90" s="125">
        <v>180.16</v>
      </c>
      <c r="BC90" s="124">
        <v>11.423</v>
      </c>
      <c r="BD90" s="132">
        <v>45313</v>
      </c>
      <c r="BE90" s="129">
        <v>0.85930555555555566</v>
      </c>
      <c r="BF90" s="125">
        <v>0</v>
      </c>
      <c r="BG90" s="125">
        <v>0</v>
      </c>
      <c r="BH90" s="125">
        <v>0</v>
      </c>
      <c r="BI90" s="133">
        <f t="shared" ref="BI90" si="139">BI89</f>
        <v>11.4146</v>
      </c>
    </row>
    <row r="91" spans="1:61" x14ac:dyDescent="0.25">
      <c r="A91">
        <v>2</v>
      </c>
      <c r="B91" t="s">
        <v>16</v>
      </c>
      <c r="C91">
        <v>14592</v>
      </c>
      <c r="D91">
        <v>96</v>
      </c>
      <c r="E91">
        <v>2</v>
      </c>
      <c r="F91">
        <v>2</v>
      </c>
      <c r="G91">
        <v>200.05</v>
      </c>
      <c r="H91" s="139">
        <v>10.356</v>
      </c>
      <c r="I91" s="33">
        <v>45608</v>
      </c>
      <c r="J91" s="37">
        <v>0.45807870370370368</v>
      </c>
      <c r="K91">
        <v>0</v>
      </c>
      <c r="L91">
        <v>0</v>
      </c>
      <c r="M91">
        <v>0</v>
      </c>
      <c r="N91" s="30">
        <f t="shared" si="136"/>
        <v>10.352600000000001</v>
      </c>
      <c r="P91">
        <v>2</v>
      </c>
      <c r="Q91" t="s">
        <v>16</v>
      </c>
      <c r="R91">
        <v>14592</v>
      </c>
      <c r="S91">
        <v>96</v>
      </c>
      <c r="T91">
        <v>2</v>
      </c>
      <c r="U91">
        <v>2</v>
      </c>
      <c r="V91">
        <v>179.88</v>
      </c>
      <c r="W91" s="139">
        <v>11.516999999999999</v>
      </c>
      <c r="X91" s="33">
        <v>45608</v>
      </c>
      <c r="Y91" s="37">
        <v>0.50233796296296296</v>
      </c>
      <c r="Z91">
        <v>0</v>
      </c>
      <c r="AA91">
        <v>0</v>
      </c>
      <c r="AB91">
        <v>0</v>
      </c>
      <c r="AC91" s="30">
        <f t="shared" si="137"/>
        <v>11.512600000000001</v>
      </c>
      <c r="AD91" s="17"/>
      <c r="AF91" s="125">
        <v>2</v>
      </c>
      <c r="AG91" s="125" t="s">
        <v>16</v>
      </c>
      <c r="AH91" s="125">
        <v>14560</v>
      </c>
      <c r="AI91" s="125">
        <v>160</v>
      </c>
      <c r="AJ91" s="125">
        <v>2</v>
      </c>
      <c r="AK91" s="125">
        <v>2</v>
      </c>
      <c r="AL91" s="125">
        <v>190.64</v>
      </c>
      <c r="AM91" s="124">
        <v>10.795999999999999</v>
      </c>
      <c r="AN91" s="132">
        <v>45313</v>
      </c>
      <c r="AO91" s="129">
        <v>0.89563657407407404</v>
      </c>
      <c r="AP91" s="125">
        <v>0</v>
      </c>
      <c r="AQ91" s="125">
        <v>0</v>
      </c>
      <c r="AR91" s="125">
        <v>0</v>
      </c>
      <c r="AS91" s="134">
        <f t="shared" si="138"/>
        <v>10.783999999999999</v>
      </c>
      <c r="AT91" s="123"/>
      <c r="AV91" s="125">
        <v>2</v>
      </c>
      <c r="AW91" s="125" t="s">
        <v>16</v>
      </c>
      <c r="AX91" s="125">
        <v>14560</v>
      </c>
      <c r="AY91" s="125">
        <v>160</v>
      </c>
      <c r="AZ91" s="125">
        <v>2</v>
      </c>
      <c r="BA91" s="125">
        <v>2</v>
      </c>
      <c r="BB91" s="125">
        <v>180.43</v>
      </c>
      <c r="BC91" s="124">
        <v>11.406000000000001</v>
      </c>
      <c r="BD91" s="132">
        <v>45313</v>
      </c>
      <c r="BE91" s="129">
        <v>0.91802083333333329</v>
      </c>
      <c r="BF91" s="125">
        <v>0</v>
      </c>
      <c r="BG91" s="125">
        <v>0</v>
      </c>
      <c r="BH91" s="125">
        <v>0</v>
      </c>
      <c r="BI91" s="133">
        <f t="shared" si="115"/>
        <v>11.4146</v>
      </c>
    </row>
    <row r="92" spans="1:61" x14ac:dyDescent="0.25">
      <c r="A92">
        <v>3</v>
      </c>
      <c r="B92" t="s">
        <v>16</v>
      </c>
      <c r="C92">
        <v>14592</v>
      </c>
      <c r="D92">
        <v>96</v>
      </c>
      <c r="E92">
        <v>2</v>
      </c>
      <c r="F92">
        <v>2</v>
      </c>
      <c r="G92">
        <v>200.05</v>
      </c>
      <c r="H92" s="139">
        <v>10.356</v>
      </c>
      <c r="I92" s="33">
        <v>45608</v>
      </c>
      <c r="J92" s="37">
        <v>0.51180555555555551</v>
      </c>
      <c r="K92">
        <v>0</v>
      </c>
      <c r="L92">
        <v>0</v>
      </c>
      <c r="M92">
        <v>0</v>
      </c>
      <c r="N92" s="30">
        <f t="shared" si="136"/>
        <v>10.352600000000001</v>
      </c>
      <c r="P92">
        <v>3</v>
      </c>
      <c r="Q92" t="s">
        <v>16</v>
      </c>
      <c r="R92">
        <v>14592</v>
      </c>
      <c r="S92">
        <v>96</v>
      </c>
      <c r="T92">
        <v>2</v>
      </c>
      <c r="U92">
        <v>2</v>
      </c>
      <c r="V92">
        <v>180.18</v>
      </c>
      <c r="W92" s="139">
        <v>11.497999999999999</v>
      </c>
      <c r="X92" s="33">
        <v>45608</v>
      </c>
      <c r="Y92" s="37">
        <v>0.61120370370370369</v>
      </c>
      <c r="Z92">
        <v>0</v>
      </c>
      <c r="AA92">
        <v>0</v>
      </c>
      <c r="AB92">
        <v>0</v>
      </c>
      <c r="AC92" s="30">
        <f t="shared" si="137"/>
        <v>11.512600000000001</v>
      </c>
      <c r="AD92" s="17"/>
      <c r="AF92" s="125">
        <v>3</v>
      </c>
      <c r="AG92" s="125" t="s">
        <v>16</v>
      </c>
      <c r="AH92" s="125">
        <v>14560</v>
      </c>
      <c r="AI92" s="125">
        <v>160</v>
      </c>
      <c r="AJ92" s="125">
        <v>2</v>
      </c>
      <c r="AK92" s="125">
        <v>2</v>
      </c>
      <c r="AL92" s="125">
        <v>190.67</v>
      </c>
      <c r="AM92" s="124">
        <v>10.794</v>
      </c>
      <c r="AN92" s="132">
        <v>45313</v>
      </c>
      <c r="AO92" s="129">
        <v>0.94737268518518514</v>
      </c>
      <c r="AP92" s="125">
        <v>0</v>
      </c>
      <c r="AQ92" s="125">
        <v>0</v>
      </c>
      <c r="AR92" s="125">
        <v>0</v>
      </c>
      <c r="AS92" s="134">
        <f t="shared" si="138"/>
        <v>10.783999999999999</v>
      </c>
      <c r="AT92" s="123"/>
      <c r="AV92" s="125">
        <v>3</v>
      </c>
      <c r="AW92" s="125" t="s">
        <v>16</v>
      </c>
      <c r="AX92" s="125">
        <v>14560</v>
      </c>
      <c r="AY92" s="125">
        <v>160</v>
      </c>
      <c r="AZ92" s="125">
        <v>2</v>
      </c>
      <c r="BA92" s="125">
        <v>2</v>
      </c>
      <c r="BB92" s="125">
        <v>180.41</v>
      </c>
      <c r="BC92" s="124">
        <v>11.407999999999999</v>
      </c>
      <c r="BD92" s="132">
        <v>45313</v>
      </c>
      <c r="BE92" s="129">
        <v>0.97674768518518518</v>
      </c>
      <c r="BF92" s="125">
        <v>0</v>
      </c>
      <c r="BG92" s="125">
        <v>0</v>
      </c>
      <c r="BH92" s="125">
        <v>0</v>
      </c>
      <c r="BI92" s="133">
        <f t="shared" si="115"/>
        <v>11.4146</v>
      </c>
    </row>
    <row r="93" spans="1:61" x14ac:dyDescent="0.25">
      <c r="A93">
        <v>4</v>
      </c>
      <c r="B93" t="s">
        <v>16</v>
      </c>
      <c r="C93">
        <v>14592</v>
      </c>
      <c r="D93">
        <v>96</v>
      </c>
      <c r="E93">
        <v>2</v>
      </c>
      <c r="F93">
        <v>2</v>
      </c>
      <c r="G93">
        <v>200.24</v>
      </c>
      <c r="H93" s="139">
        <v>10.346</v>
      </c>
      <c r="I93" s="33">
        <v>45608</v>
      </c>
      <c r="J93" s="37">
        <v>0.61395833333333338</v>
      </c>
      <c r="K93">
        <v>0</v>
      </c>
      <c r="L93">
        <v>0</v>
      </c>
      <c r="M93">
        <v>0</v>
      </c>
      <c r="N93" s="30">
        <f t="shared" si="136"/>
        <v>10.352600000000001</v>
      </c>
      <c r="P93">
        <v>4</v>
      </c>
      <c r="Q93" t="s">
        <v>16</v>
      </c>
      <c r="R93">
        <v>14592</v>
      </c>
      <c r="S93">
        <v>96</v>
      </c>
      <c r="T93">
        <v>2</v>
      </c>
      <c r="U93">
        <v>2</v>
      </c>
      <c r="V93">
        <v>179.59</v>
      </c>
      <c r="W93" s="139">
        <v>11.535</v>
      </c>
      <c r="X93" s="33">
        <v>45608</v>
      </c>
      <c r="Y93" s="37">
        <v>0.73159722222222223</v>
      </c>
      <c r="Z93">
        <v>0</v>
      </c>
      <c r="AA93">
        <v>0</v>
      </c>
      <c r="AB93">
        <v>0</v>
      </c>
      <c r="AC93" s="30">
        <f t="shared" si="137"/>
        <v>11.512600000000001</v>
      </c>
      <c r="AD93" s="17"/>
      <c r="AF93" s="125">
        <v>4</v>
      </c>
      <c r="AG93" s="125" t="s">
        <v>16</v>
      </c>
      <c r="AH93" s="125">
        <v>14560</v>
      </c>
      <c r="AI93" s="125">
        <v>160</v>
      </c>
      <c r="AJ93" s="125">
        <v>2</v>
      </c>
      <c r="AK93" s="125">
        <v>2</v>
      </c>
      <c r="AL93" s="125">
        <v>191.47</v>
      </c>
      <c r="AM93" s="124">
        <v>10.749000000000001</v>
      </c>
      <c r="AN93" s="132">
        <v>45313</v>
      </c>
      <c r="AO93" s="129">
        <v>0.99912037037037038</v>
      </c>
      <c r="AP93" s="125">
        <v>0</v>
      </c>
      <c r="AQ93" s="125">
        <v>0</v>
      </c>
      <c r="AR93" s="125">
        <v>0</v>
      </c>
      <c r="AS93" s="134">
        <f t="shared" si="138"/>
        <v>10.783999999999999</v>
      </c>
      <c r="AT93" s="123"/>
      <c r="AV93" s="125">
        <v>4</v>
      </c>
      <c r="AW93" s="125" t="s">
        <v>16</v>
      </c>
      <c r="AX93" s="125">
        <v>14560</v>
      </c>
      <c r="AY93" s="125">
        <v>160</v>
      </c>
      <c r="AZ93" s="125">
        <v>2</v>
      </c>
      <c r="BA93" s="125">
        <v>2</v>
      </c>
      <c r="BB93" s="125">
        <v>180.26</v>
      </c>
      <c r="BC93" s="124">
        <v>11.417</v>
      </c>
      <c r="BD93" s="132">
        <v>45314</v>
      </c>
      <c r="BE93" s="129">
        <v>3.5451388888888886E-2</v>
      </c>
      <c r="BF93" s="125">
        <v>0</v>
      </c>
      <c r="BG93" s="125">
        <v>0</v>
      </c>
      <c r="BH93" s="125">
        <v>0</v>
      </c>
      <c r="BI93" s="133">
        <f t="shared" si="115"/>
        <v>11.4146</v>
      </c>
    </row>
    <row r="94" spans="1:61" x14ac:dyDescent="0.25">
      <c r="A94">
        <v>0</v>
      </c>
      <c r="B94" t="s">
        <v>16</v>
      </c>
      <c r="C94">
        <v>13056</v>
      </c>
      <c r="D94">
        <v>128</v>
      </c>
      <c r="E94">
        <v>1</v>
      </c>
      <c r="F94">
        <v>4</v>
      </c>
      <c r="G94">
        <v>145.61000000000001</v>
      </c>
      <c r="H94" s="17">
        <v>10.191000000000001</v>
      </c>
      <c r="I94" s="33">
        <v>45313</v>
      </c>
      <c r="J94" s="37">
        <v>0.75726851851851851</v>
      </c>
      <c r="K94">
        <v>0</v>
      </c>
      <c r="L94">
        <v>0</v>
      </c>
      <c r="M94">
        <v>0</v>
      </c>
      <c r="N94" s="30">
        <f t="shared" ref="N94" si="140">AVERAGE(H94:H98)</f>
        <v>10.1876</v>
      </c>
      <c r="P94">
        <v>0</v>
      </c>
      <c r="Q94" t="s">
        <v>16</v>
      </c>
      <c r="R94">
        <v>13056</v>
      </c>
      <c r="S94">
        <v>128</v>
      </c>
      <c r="T94">
        <v>1</v>
      </c>
      <c r="U94">
        <v>4</v>
      </c>
      <c r="V94">
        <v>133.57</v>
      </c>
      <c r="W94" s="17">
        <v>11.11</v>
      </c>
      <c r="X94" s="33">
        <v>45313</v>
      </c>
      <c r="Y94" s="37">
        <v>0.76078703703703709</v>
      </c>
      <c r="Z94">
        <v>0</v>
      </c>
      <c r="AA94">
        <v>0</v>
      </c>
      <c r="AB94">
        <v>0</v>
      </c>
      <c r="AC94" s="30">
        <f t="shared" ref="AC94" si="141">AVERAGE(W94:W98)</f>
        <v>11.110000000000001</v>
      </c>
      <c r="AD94" s="17"/>
      <c r="AF94" s="125">
        <v>0</v>
      </c>
      <c r="AG94" s="125" t="s">
        <v>16</v>
      </c>
      <c r="AH94" s="125">
        <v>13056</v>
      </c>
      <c r="AI94" s="125">
        <v>192</v>
      </c>
      <c r="AJ94" s="125">
        <v>1</v>
      </c>
      <c r="AK94" s="125">
        <v>4</v>
      </c>
      <c r="AL94" s="125">
        <v>143.01</v>
      </c>
      <c r="AM94" s="124">
        <v>10.375999999999999</v>
      </c>
      <c r="AN94" s="132">
        <v>45313</v>
      </c>
      <c r="AO94" s="129">
        <v>0.75790509259259264</v>
      </c>
      <c r="AP94" s="125">
        <v>0</v>
      </c>
      <c r="AQ94" s="125">
        <v>0</v>
      </c>
      <c r="AR94" s="125">
        <v>0</v>
      </c>
      <c r="AS94" s="134">
        <f t="shared" ref="AS94" si="142">AVERAGE(AM94:AM98)</f>
        <v>10.375800000000002</v>
      </c>
      <c r="AT94" s="130"/>
      <c r="AV94" s="125">
        <v>0</v>
      </c>
      <c r="AW94" s="125" t="s">
        <v>16</v>
      </c>
      <c r="AX94" s="125">
        <v>13056</v>
      </c>
      <c r="AY94" s="125">
        <v>192</v>
      </c>
      <c r="AZ94" s="125">
        <v>1</v>
      </c>
      <c r="BA94" s="125">
        <v>4</v>
      </c>
      <c r="BB94" s="125">
        <v>132.25</v>
      </c>
      <c r="BC94" s="124">
        <v>11.221</v>
      </c>
      <c r="BD94" s="132">
        <v>45313</v>
      </c>
      <c r="BE94" s="129">
        <v>0.76199074074074069</v>
      </c>
      <c r="BF94" s="125">
        <v>0</v>
      </c>
      <c r="BG94" s="125">
        <v>0</v>
      </c>
      <c r="BH94" s="125">
        <v>0</v>
      </c>
      <c r="BI94" s="133">
        <f t="shared" ref="BI94" si="143">AVERAGE(BC94:BC98)</f>
        <v>11.218999999999999</v>
      </c>
    </row>
    <row r="95" spans="1:61" x14ac:dyDescent="0.25">
      <c r="A95">
        <v>1</v>
      </c>
      <c r="B95" t="s">
        <v>16</v>
      </c>
      <c r="C95">
        <v>13056</v>
      </c>
      <c r="D95">
        <v>128</v>
      </c>
      <c r="E95">
        <v>1</v>
      </c>
      <c r="F95">
        <v>4</v>
      </c>
      <c r="G95">
        <v>145.59</v>
      </c>
      <c r="H95" s="17">
        <v>10.192</v>
      </c>
      <c r="I95" s="33">
        <v>45313</v>
      </c>
      <c r="J95" s="37">
        <v>0.80905092592592587</v>
      </c>
      <c r="K95">
        <v>0</v>
      </c>
      <c r="L95">
        <v>0</v>
      </c>
      <c r="M95">
        <v>0</v>
      </c>
      <c r="N95" s="30">
        <f t="shared" ref="N95" si="144">N94</f>
        <v>10.1876</v>
      </c>
      <c r="P95">
        <v>1</v>
      </c>
      <c r="Q95" t="s">
        <v>16</v>
      </c>
      <c r="R95">
        <v>13056</v>
      </c>
      <c r="S95">
        <v>128</v>
      </c>
      <c r="T95">
        <v>1</v>
      </c>
      <c r="U95">
        <v>4</v>
      </c>
      <c r="V95">
        <v>133.44</v>
      </c>
      <c r="W95" s="17">
        <v>11.121</v>
      </c>
      <c r="X95" s="33">
        <v>45313</v>
      </c>
      <c r="Y95" s="37">
        <v>0.79221064814814823</v>
      </c>
      <c r="Z95">
        <v>0</v>
      </c>
      <c r="AA95">
        <v>0</v>
      </c>
      <c r="AB95">
        <v>0</v>
      </c>
      <c r="AC95" s="30">
        <f t="shared" ref="AC95" si="145">AC94</f>
        <v>11.110000000000001</v>
      </c>
      <c r="AD95" s="17"/>
      <c r="AF95" s="125">
        <v>1</v>
      </c>
      <c r="AG95" s="125" t="s">
        <v>16</v>
      </c>
      <c r="AH95" s="125">
        <v>13056</v>
      </c>
      <c r="AI95" s="125">
        <v>192</v>
      </c>
      <c r="AJ95" s="125">
        <v>1</v>
      </c>
      <c r="AK95" s="125">
        <v>4</v>
      </c>
      <c r="AL95" s="125">
        <v>143.04</v>
      </c>
      <c r="AM95" s="124">
        <v>10.374000000000001</v>
      </c>
      <c r="AN95" s="132">
        <v>45313</v>
      </c>
      <c r="AO95" s="129">
        <v>0.80965277777777767</v>
      </c>
      <c r="AP95" s="125">
        <v>0</v>
      </c>
      <c r="AQ95" s="125">
        <v>0</v>
      </c>
      <c r="AR95" s="125">
        <v>0</v>
      </c>
      <c r="AS95" s="134">
        <f t="shared" ref="AS95" si="146">AS94</f>
        <v>10.375800000000002</v>
      </c>
      <c r="AT95" s="123"/>
      <c r="AV95" s="125">
        <v>1</v>
      </c>
      <c r="AW95" s="125" t="s">
        <v>16</v>
      </c>
      <c r="AX95" s="125">
        <v>13056</v>
      </c>
      <c r="AY95" s="125">
        <v>192</v>
      </c>
      <c r="AZ95" s="125">
        <v>1</v>
      </c>
      <c r="BA95" s="125">
        <v>4</v>
      </c>
      <c r="BB95" s="125">
        <v>132.16999999999999</v>
      </c>
      <c r="BC95" s="124">
        <v>11.227</v>
      </c>
      <c r="BD95" s="132">
        <v>45313</v>
      </c>
      <c r="BE95" s="129">
        <v>0.82071759259259258</v>
      </c>
      <c r="BF95" s="125">
        <v>0</v>
      </c>
      <c r="BG95" s="125">
        <v>0</v>
      </c>
      <c r="BH95" s="125">
        <v>0</v>
      </c>
      <c r="BI95" s="133">
        <f t="shared" ref="BI95" si="147">BI94</f>
        <v>11.218999999999999</v>
      </c>
    </row>
    <row r="96" spans="1:61" x14ac:dyDescent="0.25">
      <c r="A96">
        <v>2</v>
      </c>
      <c r="B96" t="s">
        <v>16</v>
      </c>
      <c r="C96">
        <v>13056</v>
      </c>
      <c r="D96">
        <v>128</v>
      </c>
      <c r="E96">
        <v>1</v>
      </c>
      <c r="F96">
        <v>4</v>
      </c>
      <c r="G96">
        <v>145.68</v>
      </c>
      <c r="H96" s="17">
        <v>10.186</v>
      </c>
      <c r="I96" s="33">
        <v>45313</v>
      </c>
      <c r="J96" s="37">
        <v>0.86803240740740739</v>
      </c>
      <c r="K96">
        <v>0</v>
      </c>
      <c r="L96">
        <v>0</v>
      </c>
      <c r="M96">
        <v>0</v>
      </c>
      <c r="N96" s="30">
        <f t="shared" si="128"/>
        <v>10.1876</v>
      </c>
      <c r="P96">
        <v>2</v>
      </c>
      <c r="Q96" t="s">
        <v>16</v>
      </c>
      <c r="R96">
        <v>13056</v>
      </c>
      <c r="S96">
        <v>128</v>
      </c>
      <c r="T96">
        <v>1</v>
      </c>
      <c r="U96">
        <v>4</v>
      </c>
      <c r="V96">
        <v>133.65</v>
      </c>
      <c r="W96" s="17">
        <v>11.103</v>
      </c>
      <c r="X96" s="33">
        <v>45313</v>
      </c>
      <c r="Y96" s="37">
        <v>0.85091435185185194</v>
      </c>
      <c r="Z96">
        <v>0</v>
      </c>
      <c r="AA96">
        <v>0</v>
      </c>
      <c r="AB96">
        <v>0</v>
      </c>
      <c r="AC96" s="30">
        <f t="shared" si="129"/>
        <v>11.110000000000001</v>
      </c>
      <c r="AD96" s="17"/>
      <c r="AF96" s="125">
        <v>2</v>
      </c>
      <c r="AG96" s="125" t="s">
        <v>16</v>
      </c>
      <c r="AH96" s="125">
        <v>13056</v>
      </c>
      <c r="AI96" s="125">
        <v>192</v>
      </c>
      <c r="AJ96" s="125">
        <v>1</v>
      </c>
      <c r="AK96" s="125">
        <v>4</v>
      </c>
      <c r="AL96" s="125">
        <v>143.08000000000001</v>
      </c>
      <c r="AM96" s="124">
        <v>10.371</v>
      </c>
      <c r="AN96" s="132">
        <v>45313</v>
      </c>
      <c r="AO96" s="129">
        <v>0.86137731481481483</v>
      </c>
      <c r="AP96" s="125">
        <v>0</v>
      </c>
      <c r="AQ96" s="125">
        <v>0</v>
      </c>
      <c r="AR96" s="125">
        <v>0</v>
      </c>
      <c r="AS96" s="134">
        <f t="shared" si="130"/>
        <v>10.375800000000002</v>
      </c>
      <c r="AT96" s="123"/>
      <c r="AV96" s="125">
        <v>2</v>
      </c>
      <c r="AW96" s="125" t="s">
        <v>16</v>
      </c>
      <c r="AX96" s="125">
        <v>13056</v>
      </c>
      <c r="AY96" s="125">
        <v>192</v>
      </c>
      <c r="AZ96" s="125">
        <v>1</v>
      </c>
      <c r="BA96" s="125">
        <v>4</v>
      </c>
      <c r="BB96" s="125">
        <v>132.32</v>
      </c>
      <c r="BC96" s="124">
        <v>11.215</v>
      </c>
      <c r="BD96" s="132">
        <v>45313</v>
      </c>
      <c r="BE96" s="129">
        <v>0.87943287037037043</v>
      </c>
      <c r="BF96" s="125">
        <v>0</v>
      </c>
      <c r="BG96" s="125">
        <v>0</v>
      </c>
      <c r="BH96" s="125">
        <v>0</v>
      </c>
      <c r="BI96" s="133">
        <f t="shared" si="115"/>
        <v>11.218999999999999</v>
      </c>
    </row>
    <row r="97" spans="1:61" x14ac:dyDescent="0.25">
      <c r="A97">
        <v>3</v>
      </c>
      <c r="B97" t="s">
        <v>16</v>
      </c>
      <c r="C97">
        <v>13056</v>
      </c>
      <c r="D97">
        <v>128</v>
      </c>
      <c r="E97">
        <v>1</v>
      </c>
      <c r="F97">
        <v>4</v>
      </c>
      <c r="G97">
        <v>145.72999999999999</v>
      </c>
      <c r="H97" s="17">
        <v>10.183</v>
      </c>
      <c r="I97" s="33">
        <v>45313</v>
      </c>
      <c r="J97" s="37">
        <v>0.91964120370370372</v>
      </c>
      <c r="K97">
        <v>0</v>
      </c>
      <c r="L97">
        <v>0</v>
      </c>
      <c r="M97">
        <v>0</v>
      </c>
      <c r="N97" s="30">
        <f t="shared" si="128"/>
        <v>10.1876</v>
      </c>
      <c r="P97">
        <v>3</v>
      </c>
      <c r="Q97" t="s">
        <v>16</v>
      </c>
      <c r="R97">
        <v>13056</v>
      </c>
      <c r="S97">
        <v>128</v>
      </c>
      <c r="T97">
        <v>1</v>
      </c>
      <c r="U97">
        <v>4</v>
      </c>
      <c r="V97">
        <v>133.47999999999999</v>
      </c>
      <c r="W97" s="17">
        <v>11.118</v>
      </c>
      <c r="X97" s="33">
        <v>45313</v>
      </c>
      <c r="Y97" s="37">
        <v>0.90962962962962957</v>
      </c>
      <c r="Z97">
        <v>0</v>
      </c>
      <c r="AA97">
        <v>0</v>
      </c>
      <c r="AB97">
        <v>0</v>
      </c>
      <c r="AC97" s="30">
        <f t="shared" si="129"/>
        <v>11.110000000000001</v>
      </c>
      <c r="AD97" s="17"/>
      <c r="AF97" s="125">
        <v>3</v>
      </c>
      <c r="AG97" s="125" t="s">
        <v>16</v>
      </c>
      <c r="AH97" s="125">
        <v>13056</v>
      </c>
      <c r="AI97" s="125">
        <v>192</v>
      </c>
      <c r="AJ97" s="125">
        <v>1</v>
      </c>
      <c r="AK97" s="125">
        <v>4</v>
      </c>
      <c r="AL97" s="125">
        <v>142.84</v>
      </c>
      <c r="AM97" s="124">
        <v>10.388999999999999</v>
      </c>
      <c r="AN97" s="132">
        <v>45313</v>
      </c>
      <c r="AO97" s="129">
        <v>0.91310185185185189</v>
      </c>
      <c r="AP97" s="125">
        <v>0</v>
      </c>
      <c r="AQ97" s="125">
        <v>0</v>
      </c>
      <c r="AR97" s="125">
        <v>0</v>
      </c>
      <c r="AS97" s="134">
        <f t="shared" si="130"/>
        <v>10.375800000000002</v>
      </c>
      <c r="AT97" s="123"/>
      <c r="AV97" s="125">
        <v>3</v>
      </c>
      <c r="AW97" s="125" t="s">
        <v>16</v>
      </c>
      <c r="AX97" s="125">
        <v>13056</v>
      </c>
      <c r="AY97" s="125">
        <v>192</v>
      </c>
      <c r="AZ97" s="125">
        <v>1</v>
      </c>
      <c r="BA97" s="125">
        <v>4</v>
      </c>
      <c r="BB97" s="125">
        <v>132.30000000000001</v>
      </c>
      <c r="BC97" s="124">
        <v>11.217000000000001</v>
      </c>
      <c r="BD97" s="132">
        <v>45313</v>
      </c>
      <c r="BE97" s="129">
        <v>0.93815972222222221</v>
      </c>
      <c r="BF97" s="125">
        <v>0</v>
      </c>
      <c r="BG97" s="125">
        <v>0</v>
      </c>
      <c r="BH97" s="125">
        <v>0</v>
      </c>
      <c r="BI97" s="133">
        <f t="shared" si="115"/>
        <v>11.218999999999999</v>
      </c>
    </row>
    <row r="98" spans="1:61" x14ac:dyDescent="0.25">
      <c r="A98">
        <v>4</v>
      </c>
      <c r="B98" t="s">
        <v>16</v>
      </c>
      <c r="C98">
        <v>13056</v>
      </c>
      <c r="D98">
        <v>128</v>
      </c>
      <c r="E98">
        <v>1</v>
      </c>
      <c r="F98">
        <v>4</v>
      </c>
      <c r="G98">
        <v>145.68</v>
      </c>
      <c r="H98" s="17">
        <v>10.186</v>
      </c>
      <c r="I98" s="33">
        <v>45313</v>
      </c>
      <c r="J98" s="37">
        <v>0.97124999999999995</v>
      </c>
      <c r="K98">
        <v>0</v>
      </c>
      <c r="L98">
        <v>0</v>
      </c>
      <c r="M98">
        <v>0</v>
      </c>
      <c r="N98" s="30">
        <f t="shared" si="128"/>
        <v>10.1876</v>
      </c>
      <c r="P98">
        <v>4</v>
      </c>
      <c r="Q98" t="s">
        <v>16</v>
      </c>
      <c r="R98">
        <v>13056</v>
      </c>
      <c r="S98">
        <v>128</v>
      </c>
      <c r="T98">
        <v>1</v>
      </c>
      <c r="U98">
        <v>4</v>
      </c>
      <c r="V98">
        <v>133.71</v>
      </c>
      <c r="W98" s="17">
        <v>11.098000000000001</v>
      </c>
      <c r="X98" s="33">
        <v>45313</v>
      </c>
      <c r="Y98" s="37">
        <v>0.96835648148148146</v>
      </c>
      <c r="Z98">
        <v>0</v>
      </c>
      <c r="AA98">
        <v>0</v>
      </c>
      <c r="AB98">
        <v>0</v>
      </c>
      <c r="AC98" s="30">
        <f t="shared" si="129"/>
        <v>11.110000000000001</v>
      </c>
      <c r="AD98" s="17"/>
      <c r="AF98" s="125">
        <v>4</v>
      </c>
      <c r="AG98" s="125" t="s">
        <v>16</v>
      </c>
      <c r="AH98" s="125">
        <v>13056</v>
      </c>
      <c r="AI98" s="125">
        <v>192</v>
      </c>
      <c r="AJ98" s="125">
        <v>1</v>
      </c>
      <c r="AK98" s="125">
        <v>4</v>
      </c>
      <c r="AL98" s="125">
        <v>143.11000000000001</v>
      </c>
      <c r="AM98" s="124">
        <v>10.369</v>
      </c>
      <c r="AN98" s="132">
        <v>45313</v>
      </c>
      <c r="AO98" s="129">
        <v>0.96483796296296298</v>
      </c>
      <c r="AP98" s="125">
        <v>0</v>
      </c>
      <c r="AQ98" s="125">
        <v>0</v>
      </c>
      <c r="AR98" s="125">
        <v>0</v>
      </c>
      <c r="AS98" s="134">
        <f t="shared" si="130"/>
        <v>10.375800000000002</v>
      </c>
      <c r="AT98" s="123"/>
      <c r="AV98" s="125">
        <v>4</v>
      </c>
      <c r="AW98" s="125" t="s">
        <v>16</v>
      </c>
      <c r="AX98" s="125">
        <v>13056</v>
      </c>
      <c r="AY98" s="125">
        <v>192</v>
      </c>
      <c r="AZ98" s="125">
        <v>1</v>
      </c>
      <c r="BA98" s="125">
        <v>4</v>
      </c>
      <c r="BB98" s="125">
        <v>132.32</v>
      </c>
      <c r="BC98" s="124">
        <v>11.215</v>
      </c>
      <c r="BD98" s="132">
        <v>45313</v>
      </c>
      <c r="BE98" s="129">
        <v>0.99687500000000007</v>
      </c>
      <c r="BF98" s="125">
        <v>0</v>
      </c>
      <c r="BG98" s="125">
        <v>0</v>
      </c>
      <c r="BH98" s="125">
        <v>0</v>
      </c>
      <c r="BI98" s="133">
        <f t="shared" si="115"/>
        <v>11.218999999999999</v>
      </c>
    </row>
    <row r="99" spans="1:61" x14ac:dyDescent="0.25">
      <c r="A99">
        <v>0</v>
      </c>
      <c r="B99" t="s">
        <v>16</v>
      </c>
      <c r="C99">
        <v>13824</v>
      </c>
      <c r="D99">
        <v>128</v>
      </c>
      <c r="E99">
        <v>1</v>
      </c>
      <c r="F99">
        <v>4</v>
      </c>
      <c r="G99">
        <v>189.06</v>
      </c>
      <c r="H99" s="17">
        <v>9.3170999999999999</v>
      </c>
      <c r="I99" s="33">
        <v>45313</v>
      </c>
      <c r="J99" s="37">
        <v>0.77309027777777783</v>
      </c>
      <c r="K99">
        <v>0</v>
      </c>
      <c r="L99">
        <v>0</v>
      </c>
      <c r="M99">
        <v>0</v>
      </c>
      <c r="N99" s="30">
        <f t="shared" ref="N99" si="148">AVERAGE(H99:H103)</f>
        <v>9.2961600000000004</v>
      </c>
      <c r="P99">
        <v>0</v>
      </c>
      <c r="Q99" t="s">
        <v>16</v>
      </c>
      <c r="R99">
        <v>13824</v>
      </c>
      <c r="S99">
        <v>128</v>
      </c>
      <c r="T99">
        <v>1</v>
      </c>
      <c r="U99">
        <v>4</v>
      </c>
      <c r="V99">
        <v>166.75</v>
      </c>
      <c r="W99" s="17">
        <v>10.564</v>
      </c>
      <c r="X99" s="33">
        <v>45313</v>
      </c>
      <c r="Y99" s="37">
        <v>0.75137731481481485</v>
      </c>
      <c r="Z99">
        <v>0</v>
      </c>
      <c r="AA99">
        <v>0</v>
      </c>
      <c r="AB99">
        <v>0</v>
      </c>
      <c r="AC99" s="30">
        <f t="shared" ref="AC99" si="149">AVERAGE(W99:W103)</f>
        <v>10.539</v>
      </c>
      <c r="AD99" s="17"/>
      <c r="AF99" s="125">
        <v>0</v>
      </c>
      <c r="AG99" s="125" t="s">
        <v>16</v>
      </c>
      <c r="AH99" s="125">
        <v>13824</v>
      </c>
      <c r="AI99" s="125">
        <v>192</v>
      </c>
      <c r="AJ99" s="125">
        <v>1</v>
      </c>
      <c r="AK99" s="125">
        <v>4</v>
      </c>
      <c r="AL99" s="125">
        <v>184.1</v>
      </c>
      <c r="AM99" s="124">
        <v>9.5680999999999994</v>
      </c>
      <c r="AN99" s="132">
        <v>45313</v>
      </c>
      <c r="AO99" s="129">
        <v>0.77519675925925924</v>
      </c>
      <c r="AP99" s="125">
        <v>0</v>
      </c>
      <c r="AQ99" s="125">
        <v>0</v>
      </c>
      <c r="AR99" s="125">
        <v>0</v>
      </c>
      <c r="AS99" s="134">
        <f t="shared" ref="AS99" si="150">AVERAGE(AM99:AM103)</f>
        <v>9.5722200000000015</v>
      </c>
      <c r="AT99" s="130"/>
      <c r="AV99" s="125">
        <v>0</v>
      </c>
      <c r="AW99" s="125" t="s">
        <v>16</v>
      </c>
      <c r="AX99" s="125">
        <v>13824</v>
      </c>
      <c r="AY99" s="125">
        <v>192</v>
      </c>
      <c r="AZ99" s="125">
        <v>1</v>
      </c>
      <c r="BA99" s="125">
        <v>4</v>
      </c>
      <c r="BB99" s="125">
        <v>161.01</v>
      </c>
      <c r="BC99" s="124">
        <v>10.941000000000001</v>
      </c>
      <c r="BD99" s="132">
        <v>45313</v>
      </c>
      <c r="BE99" s="129">
        <v>0.78131944444444434</v>
      </c>
      <c r="BF99" s="125">
        <v>0</v>
      </c>
      <c r="BG99" s="125">
        <v>0</v>
      </c>
      <c r="BH99" s="125">
        <v>0</v>
      </c>
      <c r="BI99" s="133">
        <f t="shared" ref="BI99" si="151">AVERAGE(BC99:BC103)</f>
        <v>10.9338</v>
      </c>
    </row>
    <row r="100" spans="1:61" x14ac:dyDescent="0.25">
      <c r="A100">
        <v>1</v>
      </c>
      <c r="B100" t="s">
        <v>16</v>
      </c>
      <c r="C100">
        <v>13824</v>
      </c>
      <c r="D100">
        <v>128</v>
      </c>
      <c r="E100">
        <v>1</v>
      </c>
      <c r="F100">
        <v>4</v>
      </c>
      <c r="G100">
        <v>189.26</v>
      </c>
      <c r="H100" s="17">
        <v>9.3072999999999997</v>
      </c>
      <c r="I100" s="33">
        <v>45313</v>
      </c>
      <c r="J100" s="37">
        <v>0.82487268518518519</v>
      </c>
      <c r="K100">
        <v>0</v>
      </c>
      <c r="L100">
        <v>0</v>
      </c>
      <c r="M100">
        <v>0</v>
      </c>
      <c r="N100" s="30">
        <f t="shared" ref="N100" si="152">N99</f>
        <v>9.2961600000000004</v>
      </c>
      <c r="P100">
        <v>1</v>
      </c>
      <c r="Q100" t="s">
        <v>16</v>
      </c>
      <c r="R100">
        <v>13824</v>
      </c>
      <c r="S100">
        <v>128</v>
      </c>
      <c r="T100">
        <v>1</v>
      </c>
      <c r="U100">
        <v>4</v>
      </c>
      <c r="V100">
        <v>167.12</v>
      </c>
      <c r="W100" s="17">
        <v>10.54</v>
      </c>
      <c r="X100" s="33">
        <v>45313</v>
      </c>
      <c r="Y100" s="37">
        <v>0.81010416666666663</v>
      </c>
      <c r="Z100">
        <v>0</v>
      </c>
      <c r="AA100">
        <v>0</v>
      </c>
      <c r="AB100">
        <v>0</v>
      </c>
      <c r="AC100" s="30">
        <f t="shared" ref="AC100" si="153">AC99</f>
        <v>10.539</v>
      </c>
      <c r="AD100" s="17"/>
      <c r="AF100" s="125">
        <v>1</v>
      </c>
      <c r="AG100" s="125" t="s">
        <v>16</v>
      </c>
      <c r="AH100" s="125">
        <v>13824</v>
      </c>
      <c r="AI100" s="125">
        <v>192</v>
      </c>
      <c r="AJ100" s="125">
        <v>1</v>
      </c>
      <c r="AK100" s="125">
        <v>4</v>
      </c>
      <c r="AL100" s="125">
        <v>184.07</v>
      </c>
      <c r="AM100" s="124">
        <v>9.5696999999999992</v>
      </c>
      <c r="AN100" s="132">
        <v>45313</v>
      </c>
      <c r="AO100" s="129">
        <v>0.82694444444444448</v>
      </c>
      <c r="AP100" s="125">
        <v>0</v>
      </c>
      <c r="AQ100" s="125">
        <v>0</v>
      </c>
      <c r="AR100" s="125">
        <v>0</v>
      </c>
      <c r="AS100" s="134">
        <f t="shared" ref="AS100" si="154">AS99</f>
        <v>9.5722200000000015</v>
      </c>
      <c r="AT100" s="123"/>
      <c r="AV100" s="125">
        <v>1</v>
      </c>
      <c r="AW100" s="125" t="s">
        <v>16</v>
      </c>
      <c r="AX100" s="125">
        <v>13824</v>
      </c>
      <c r="AY100" s="125">
        <v>192</v>
      </c>
      <c r="AZ100" s="125">
        <v>1</v>
      </c>
      <c r="BA100" s="125">
        <v>4</v>
      </c>
      <c r="BB100" s="125">
        <v>161.26</v>
      </c>
      <c r="BC100" s="124">
        <v>10.923</v>
      </c>
      <c r="BD100" s="132">
        <v>45313</v>
      </c>
      <c r="BE100" s="129">
        <v>0.84004629629629635</v>
      </c>
      <c r="BF100" s="125">
        <v>0</v>
      </c>
      <c r="BG100" s="125">
        <v>0</v>
      </c>
      <c r="BH100" s="125">
        <v>0</v>
      </c>
      <c r="BI100" s="133">
        <f t="shared" ref="BI100" si="155">BI99</f>
        <v>10.9338</v>
      </c>
    </row>
    <row r="101" spans="1:61" x14ac:dyDescent="0.25">
      <c r="A101">
        <v>2</v>
      </c>
      <c r="B101" t="s">
        <v>16</v>
      </c>
      <c r="C101">
        <v>13824</v>
      </c>
      <c r="D101">
        <v>128</v>
      </c>
      <c r="E101">
        <v>1</v>
      </c>
      <c r="F101">
        <v>4</v>
      </c>
      <c r="G101">
        <v>189.47</v>
      </c>
      <c r="H101" s="17">
        <v>9.2967999999999993</v>
      </c>
      <c r="I101" s="33">
        <v>45313</v>
      </c>
      <c r="J101" s="37">
        <v>0.88381944444444438</v>
      </c>
      <c r="K101">
        <v>0</v>
      </c>
      <c r="L101">
        <v>0</v>
      </c>
      <c r="M101">
        <v>0</v>
      </c>
      <c r="N101" s="30">
        <f t="shared" si="136"/>
        <v>9.2961600000000004</v>
      </c>
      <c r="P101">
        <v>2</v>
      </c>
      <c r="Q101" t="s">
        <v>16</v>
      </c>
      <c r="R101">
        <v>13824</v>
      </c>
      <c r="S101">
        <v>128</v>
      </c>
      <c r="T101">
        <v>1</v>
      </c>
      <c r="U101">
        <v>4</v>
      </c>
      <c r="V101">
        <v>167.41</v>
      </c>
      <c r="W101" s="17">
        <v>10.522</v>
      </c>
      <c r="X101" s="33">
        <v>45313</v>
      </c>
      <c r="Y101" s="37">
        <v>0.86880787037037033</v>
      </c>
      <c r="Z101">
        <v>0</v>
      </c>
      <c r="AA101">
        <v>0</v>
      </c>
      <c r="AB101">
        <v>0</v>
      </c>
      <c r="AC101" s="30">
        <f t="shared" si="137"/>
        <v>10.539</v>
      </c>
      <c r="AD101" s="17"/>
      <c r="AF101" s="125">
        <v>2</v>
      </c>
      <c r="AG101" s="125" t="s">
        <v>16</v>
      </c>
      <c r="AH101" s="125">
        <v>13824</v>
      </c>
      <c r="AI101" s="125">
        <v>192</v>
      </c>
      <c r="AJ101" s="125">
        <v>1</v>
      </c>
      <c r="AK101" s="125">
        <v>4</v>
      </c>
      <c r="AL101" s="125">
        <v>184.14</v>
      </c>
      <c r="AM101" s="124">
        <v>9.5662000000000003</v>
      </c>
      <c r="AN101" s="132">
        <v>45313</v>
      </c>
      <c r="AO101" s="129">
        <v>0.87868055555555558</v>
      </c>
      <c r="AP101" s="125">
        <v>0</v>
      </c>
      <c r="AQ101" s="125">
        <v>0</v>
      </c>
      <c r="AR101" s="125">
        <v>0</v>
      </c>
      <c r="AS101" s="134">
        <f t="shared" si="138"/>
        <v>9.5722200000000015</v>
      </c>
      <c r="AT101" s="123"/>
      <c r="AV101" s="125">
        <v>2</v>
      </c>
      <c r="AW101" s="125" t="s">
        <v>16</v>
      </c>
      <c r="AX101" s="125">
        <v>13824</v>
      </c>
      <c r="AY101" s="125">
        <v>192</v>
      </c>
      <c r="AZ101" s="125">
        <v>1</v>
      </c>
      <c r="BA101" s="125">
        <v>4</v>
      </c>
      <c r="BB101" s="125">
        <v>161.08000000000001</v>
      </c>
      <c r="BC101" s="124">
        <v>10.935</v>
      </c>
      <c r="BD101" s="132">
        <v>45313</v>
      </c>
      <c r="BE101" s="129">
        <v>0.89876157407407409</v>
      </c>
      <c r="BF101" s="125">
        <v>0</v>
      </c>
      <c r="BG101" s="125">
        <v>0</v>
      </c>
      <c r="BH101" s="125">
        <v>0</v>
      </c>
      <c r="BI101" s="133">
        <f t="shared" si="115"/>
        <v>10.9338</v>
      </c>
    </row>
    <row r="102" spans="1:61" x14ac:dyDescent="0.25">
      <c r="A102">
        <v>3</v>
      </c>
      <c r="B102" t="s">
        <v>16</v>
      </c>
      <c r="C102">
        <v>13824</v>
      </c>
      <c r="D102">
        <v>128</v>
      </c>
      <c r="E102">
        <v>1</v>
      </c>
      <c r="F102">
        <v>4</v>
      </c>
      <c r="G102">
        <v>189.69</v>
      </c>
      <c r="H102" s="17">
        <v>9.2859999999999996</v>
      </c>
      <c r="I102" s="33">
        <v>45313</v>
      </c>
      <c r="J102" s="37">
        <v>0.93542824074074071</v>
      </c>
      <c r="K102">
        <v>0</v>
      </c>
      <c r="L102">
        <v>0</v>
      </c>
      <c r="M102">
        <v>0</v>
      </c>
      <c r="N102" s="30">
        <f t="shared" si="136"/>
        <v>9.2961600000000004</v>
      </c>
      <c r="P102">
        <v>3</v>
      </c>
      <c r="Q102" t="s">
        <v>16</v>
      </c>
      <c r="R102">
        <v>13824</v>
      </c>
      <c r="S102">
        <v>128</v>
      </c>
      <c r="T102">
        <v>1</v>
      </c>
      <c r="U102">
        <v>4</v>
      </c>
      <c r="V102">
        <v>167.15</v>
      </c>
      <c r="W102" s="17">
        <v>10.538</v>
      </c>
      <c r="X102" s="33">
        <v>45313</v>
      </c>
      <c r="Y102" s="37">
        <v>0.92753472222222222</v>
      </c>
      <c r="Z102">
        <v>0</v>
      </c>
      <c r="AA102">
        <v>0</v>
      </c>
      <c r="AB102">
        <v>0</v>
      </c>
      <c r="AC102" s="30">
        <f t="shared" si="137"/>
        <v>10.539</v>
      </c>
      <c r="AD102" s="17"/>
      <c r="AF102" s="125">
        <v>3</v>
      </c>
      <c r="AG102" s="125" t="s">
        <v>16</v>
      </c>
      <c r="AH102" s="125">
        <v>13824</v>
      </c>
      <c r="AI102" s="125">
        <v>192</v>
      </c>
      <c r="AJ102" s="125">
        <v>1</v>
      </c>
      <c r="AK102" s="125">
        <v>4</v>
      </c>
      <c r="AL102" s="125">
        <v>183.82</v>
      </c>
      <c r="AM102" s="124">
        <v>9.5827000000000009</v>
      </c>
      <c r="AN102" s="132">
        <v>45313</v>
      </c>
      <c r="AO102" s="129">
        <v>0.93040509259259263</v>
      </c>
      <c r="AP102" s="125">
        <v>0</v>
      </c>
      <c r="AQ102" s="125">
        <v>0</v>
      </c>
      <c r="AR102" s="125">
        <v>0</v>
      </c>
      <c r="AS102" s="134">
        <f t="shared" si="138"/>
        <v>9.5722200000000015</v>
      </c>
      <c r="AT102" s="123"/>
      <c r="AV102" s="125">
        <v>3</v>
      </c>
      <c r="AW102" s="125" t="s">
        <v>16</v>
      </c>
      <c r="AX102" s="125">
        <v>13824</v>
      </c>
      <c r="AY102" s="125">
        <v>192</v>
      </c>
      <c r="AZ102" s="125">
        <v>1</v>
      </c>
      <c r="BA102" s="125">
        <v>4</v>
      </c>
      <c r="BB102" s="125">
        <v>161.16999999999999</v>
      </c>
      <c r="BC102" s="124">
        <v>10.93</v>
      </c>
      <c r="BD102" s="132">
        <v>45313</v>
      </c>
      <c r="BE102" s="129">
        <v>0.95748842592592587</v>
      </c>
      <c r="BF102" s="125">
        <v>0</v>
      </c>
      <c r="BG102" s="125">
        <v>0</v>
      </c>
      <c r="BH102" s="125">
        <v>0</v>
      </c>
      <c r="BI102" s="133">
        <f t="shared" si="115"/>
        <v>10.9338</v>
      </c>
    </row>
    <row r="103" spans="1:61" x14ac:dyDescent="0.25">
      <c r="A103">
        <v>4</v>
      </c>
      <c r="B103" t="s">
        <v>16</v>
      </c>
      <c r="C103">
        <v>13824</v>
      </c>
      <c r="D103">
        <v>128</v>
      </c>
      <c r="E103">
        <v>1</v>
      </c>
      <c r="F103">
        <v>4</v>
      </c>
      <c r="G103">
        <v>189.95</v>
      </c>
      <c r="H103" s="17">
        <v>9.2736000000000001</v>
      </c>
      <c r="I103" s="33">
        <v>45313</v>
      </c>
      <c r="J103" s="37">
        <v>0.98704861111111108</v>
      </c>
      <c r="K103">
        <v>0</v>
      </c>
      <c r="L103">
        <v>0</v>
      </c>
      <c r="M103">
        <v>0</v>
      </c>
      <c r="N103" s="30">
        <f t="shared" si="136"/>
        <v>9.2961600000000004</v>
      </c>
      <c r="P103">
        <v>4</v>
      </c>
      <c r="Q103" t="s">
        <v>16</v>
      </c>
      <c r="R103">
        <v>13824</v>
      </c>
      <c r="S103">
        <v>128</v>
      </c>
      <c r="T103">
        <v>1</v>
      </c>
      <c r="U103">
        <v>4</v>
      </c>
      <c r="V103">
        <v>167.26</v>
      </c>
      <c r="W103" s="17">
        <v>10.531000000000001</v>
      </c>
      <c r="X103" s="33">
        <v>45313</v>
      </c>
      <c r="Y103" s="37">
        <v>0.986261574074074</v>
      </c>
      <c r="Z103">
        <v>0</v>
      </c>
      <c r="AA103">
        <v>0</v>
      </c>
      <c r="AB103">
        <v>0</v>
      </c>
      <c r="AC103" s="30">
        <f t="shared" si="137"/>
        <v>10.539</v>
      </c>
      <c r="AD103" s="17"/>
      <c r="AF103" s="125">
        <v>4</v>
      </c>
      <c r="AG103" s="125" t="s">
        <v>16</v>
      </c>
      <c r="AH103" s="125">
        <v>13824</v>
      </c>
      <c r="AI103" s="125">
        <v>192</v>
      </c>
      <c r="AJ103" s="125">
        <v>1</v>
      </c>
      <c r="AK103" s="125">
        <v>4</v>
      </c>
      <c r="AL103" s="125">
        <v>183.98</v>
      </c>
      <c r="AM103" s="124">
        <v>9.5744000000000007</v>
      </c>
      <c r="AN103" s="132">
        <v>45313</v>
      </c>
      <c r="AO103" s="129">
        <v>0.98214120370370372</v>
      </c>
      <c r="AP103" s="125">
        <v>0</v>
      </c>
      <c r="AQ103" s="125">
        <v>0</v>
      </c>
      <c r="AR103" s="125">
        <v>0</v>
      </c>
      <c r="AS103" s="134">
        <f t="shared" si="138"/>
        <v>9.5722200000000015</v>
      </c>
      <c r="AT103" s="123"/>
      <c r="AV103" s="125">
        <v>4</v>
      </c>
      <c r="AW103" s="125" t="s">
        <v>16</v>
      </c>
      <c r="AX103" s="125">
        <v>13824</v>
      </c>
      <c r="AY103" s="125">
        <v>192</v>
      </c>
      <c r="AZ103" s="125">
        <v>1</v>
      </c>
      <c r="BA103" s="125">
        <v>4</v>
      </c>
      <c r="BB103" s="125">
        <v>161.02000000000001</v>
      </c>
      <c r="BC103" s="124">
        <v>10.94</v>
      </c>
      <c r="BD103" s="132">
        <v>45314</v>
      </c>
      <c r="BE103" s="129">
        <v>1.6192129629629629E-2</v>
      </c>
      <c r="BF103" s="125">
        <v>0</v>
      </c>
      <c r="BG103" s="125">
        <v>0</v>
      </c>
      <c r="BH103" s="125">
        <v>0</v>
      </c>
      <c r="BI103" s="133">
        <f t="shared" si="115"/>
        <v>10.9338</v>
      </c>
    </row>
    <row r="104" spans="1:61" x14ac:dyDescent="0.25">
      <c r="A104">
        <v>0</v>
      </c>
      <c r="B104" t="s">
        <v>16</v>
      </c>
      <c r="C104">
        <v>14592</v>
      </c>
      <c r="D104">
        <v>128</v>
      </c>
      <c r="E104">
        <v>1</v>
      </c>
      <c r="F104">
        <v>4</v>
      </c>
      <c r="G104">
        <v>201.66</v>
      </c>
      <c r="H104" s="17">
        <v>10.273</v>
      </c>
      <c r="I104" s="33">
        <v>45313</v>
      </c>
      <c r="J104" s="37">
        <v>0.79135416666666669</v>
      </c>
      <c r="K104">
        <v>0</v>
      </c>
      <c r="L104">
        <v>0</v>
      </c>
      <c r="M104">
        <v>0</v>
      </c>
      <c r="N104" s="30">
        <f t="shared" ref="N104" si="156">AVERAGE(H104:H108)</f>
        <v>10.334199999999999</v>
      </c>
      <c r="P104">
        <v>0</v>
      </c>
      <c r="Q104" t="s">
        <v>16</v>
      </c>
      <c r="R104">
        <v>14592</v>
      </c>
      <c r="S104">
        <v>128</v>
      </c>
      <c r="T104">
        <v>1</v>
      </c>
      <c r="U104">
        <v>4</v>
      </c>
      <c r="V104">
        <v>184.61</v>
      </c>
      <c r="W104" s="17">
        <v>11.222</v>
      </c>
      <c r="X104" s="33">
        <v>45313</v>
      </c>
      <c r="Y104" s="37">
        <v>0.77195601851851858</v>
      </c>
      <c r="Z104">
        <v>0</v>
      </c>
      <c r="AA104">
        <v>0</v>
      </c>
      <c r="AB104">
        <v>0</v>
      </c>
      <c r="AC104" s="30">
        <f t="shared" ref="AC104" si="157">AVERAGE(W104:W108)</f>
        <v>11.233599999999999</v>
      </c>
      <c r="AD104" s="17"/>
      <c r="AF104" s="125">
        <v>0</v>
      </c>
      <c r="AG104" s="125" t="s">
        <v>16</v>
      </c>
      <c r="AH104" s="125">
        <v>14592</v>
      </c>
      <c r="AI104" s="125">
        <v>192</v>
      </c>
      <c r="AJ104" s="125">
        <v>1</v>
      </c>
      <c r="AK104" s="125">
        <v>4</v>
      </c>
      <c r="AL104" s="125">
        <v>196.66</v>
      </c>
      <c r="AM104" s="124">
        <v>10.534000000000001</v>
      </c>
      <c r="AN104" s="132">
        <v>45313</v>
      </c>
      <c r="AO104" s="129">
        <v>0.79460648148148139</v>
      </c>
      <c r="AP104" s="125">
        <v>0</v>
      </c>
      <c r="AQ104" s="125">
        <v>0</v>
      </c>
      <c r="AR104" s="125">
        <v>0</v>
      </c>
      <c r="AS104" s="134">
        <f t="shared" ref="AS104" si="158">AVERAGE(AM104:AM108)</f>
        <v>10.5566</v>
      </c>
      <c r="AT104" s="130"/>
      <c r="AV104" s="125">
        <v>0</v>
      </c>
      <c r="AW104" s="125" t="s">
        <v>16</v>
      </c>
      <c r="AX104" s="125">
        <v>14592</v>
      </c>
      <c r="AY104" s="125">
        <v>192</v>
      </c>
      <c r="AZ104" s="125">
        <v>1</v>
      </c>
      <c r="BA104" s="125">
        <v>4</v>
      </c>
      <c r="BB104" s="125">
        <v>182.34</v>
      </c>
      <c r="BC104" s="124">
        <v>11.361000000000001</v>
      </c>
      <c r="BD104" s="132">
        <v>45313</v>
      </c>
      <c r="BE104" s="129">
        <v>0.80337962962962972</v>
      </c>
      <c r="BF104" s="125">
        <v>0</v>
      </c>
      <c r="BG104" s="125">
        <v>0</v>
      </c>
      <c r="BH104" s="125">
        <v>0</v>
      </c>
      <c r="BI104" s="133">
        <f t="shared" ref="BI104" si="159">AVERAGE(BC104:BC108)</f>
        <v>11.360600000000002</v>
      </c>
    </row>
    <row r="105" spans="1:61" x14ac:dyDescent="0.25">
      <c r="A105">
        <v>1</v>
      </c>
      <c r="B105" t="s">
        <v>16</v>
      </c>
      <c r="C105">
        <v>14592</v>
      </c>
      <c r="D105">
        <v>128</v>
      </c>
      <c r="E105">
        <v>1</v>
      </c>
      <c r="F105">
        <v>4</v>
      </c>
      <c r="G105">
        <v>200.25</v>
      </c>
      <c r="H105" s="17">
        <v>10.345000000000001</v>
      </c>
      <c r="I105" s="33">
        <v>45313</v>
      </c>
      <c r="J105" s="37">
        <v>0.85039351851851841</v>
      </c>
      <c r="K105">
        <v>0</v>
      </c>
      <c r="L105">
        <v>0</v>
      </c>
      <c r="M105">
        <v>0</v>
      </c>
      <c r="N105" s="30">
        <f t="shared" ref="N105" si="160">N104</f>
        <v>10.334199999999999</v>
      </c>
      <c r="P105">
        <v>1</v>
      </c>
      <c r="Q105" t="s">
        <v>16</v>
      </c>
      <c r="R105">
        <v>14592</v>
      </c>
      <c r="S105">
        <v>128</v>
      </c>
      <c r="T105">
        <v>1</v>
      </c>
      <c r="U105">
        <v>4</v>
      </c>
      <c r="V105">
        <v>184.35</v>
      </c>
      <c r="W105" s="17">
        <v>11.237</v>
      </c>
      <c r="X105" s="33">
        <v>45313</v>
      </c>
      <c r="Y105" s="37">
        <v>0.83068287037037036</v>
      </c>
      <c r="Z105">
        <v>0</v>
      </c>
      <c r="AA105">
        <v>0</v>
      </c>
      <c r="AB105">
        <v>0</v>
      </c>
      <c r="AC105" s="30">
        <f t="shared" ref="AC105" si="161">AC104</f>
        <v>11.233599999999999</v>
      </c>
      <c r="AD105" s="17"/>
      <c r="AF105" s="125">
        <v>1</v>
      </c>
      <c r="AG105" s="125" t="s">
        <v>16</v>
      </c>
      <c r="AH105" s="125">
        <v>14592</v>
      </c>
      <c r="AI105" s="125">
        <v>192</v>
      </c>
      <c r="AJ105" s="125">
        <v>1</v>
      </c>
      <c r="AK105" s="125">
        <v>4</v>
      </c>
      <c r="AL105" s="125">
        <v>196.22</v>
      </c>
      <c r="AM105" s="124">
        <v>10.558</v>
      </c>
      <c r="AN105" s="132">
        <v>45313</v>
      </c>
      <c r="AO105" s="129">
        <v>0.84635416666666663</v>
      </c>
      <c r="AP105" s="125">
        <v>0</v>
      </c>
      <c r="AQ105" s="125">
        <v>0</v>
      </c>
      <c r="AR105" s="125">
        <v>0</v>
      </c>
      <c r="AS105" s="134">
        <f t="shared" ref="AS105" si="162">AS104</f>
        <v>10.5566</v>
      </c>
      <c r="AT105" s="123"/>
      <c r="AV105" s="125">
        <v>1</v>
      </c>
      <c r="AW105" s="125" t="s">
        <v>16</v>
      </c>
      <c r="AX105" s="125">
        <v>14592</v>
      </c>
      <c r="AY105" s="125">
        <v>192</v>
      </c>
      <c r="AZ105" s="125">
        <v>1</v>
      </c>
      <c r="BA105" s="125">
        <v>4</v>
      </c>
      <c r="BB105" s="125">
        <v>182.24</v>
      </c>
      <c r="BC105" s="124">
        <v>11.368</v>
      </c>
      <c r="BD105" s="132">
        <v>45313</v>
      </c>
      <c r="BE105" s="129">
        <v>0.86209490740740735</v>
      </c>
      <c r="BF105" s="125">
        <v>0</v>
      </c>
      <c r="BG105" s="125">
        <v>0</v>
      </c>
      <c r="BH105" s="125">
        <v>0</v>
      </c>
      <c r="BI105" s="133">
        <f t="shared" ref="BI105" si="163">BI104</f>
        <v>11.360600000000002</v>
      </c>
    </row>
    <row r="106" spans="1:61" x14ac:dyDescent="0.25">
      <c r="A106">
        <v>2</v>
      </c>
      <c r="B106" t="s">
        <v>16</v>
      </c>
      <c r="C106">
        <v>14592</v>
      </c>
      <c r="D106">
        <v>128</v>
      </c>
      <c r="E106">
        <v>1</v>
      </c>
      <c r="F106">
        <v>4</v>
      </c>
      <c r="G106">
        <v>200.12</v>
      </c>
      <c r="H106" s="17">
        <v>10.352</v>
      </c>
      <c r="I106" s="33">
        <v>45313</v>
      </c>
      <c r="J106" s="37">
        <v>0.90200231481481474</v>
      </c>
      <c r="K106">
        <v>0</v>
      </c>
      <c r="L106">
        <v>0</v>
      </c>
      <c r="M106">
        <v>0</v>
      </c>
      <c r="N106" s="30">
        <f t="shared" si="128"/>
        <v>10.334199999999999</v>
      </c>
      <c r="P106">
        <v>2</v>
      </c>
      <c r="Q106" t="s">
        <v>16</v>
      </c>
      <c r="R106">
        <v>14592</v>
      </c>
      <c r="S106">
        <v>128</v>
      </c>
      <c r="T106">
        <v>1</v>
      </c>
      <c r="U106">
        <v>4</v>
      </c>
      <c r="V106">
        <v>184.18</v>
      </c>
      <c r="W106" s="17">
        <v>11.247999999999999</v>
      </c>
      <c r="X106" s="33">
        <v>45313</v>
      </c>
      <c r="Y106" s="37">
        <v>0.88938657407407407</v>
      </c>
      <c r="Z106">
        <v>0</v>
      </c>
      <c r="AA106">
        <v>0</v>
      </c>
      <c r="AB106">
        <v>0</v>
      </c>
      <c r="AC106" s="30">
        <f t="shared" si="129"/>
        <v>11.233599999999999</v>
      </c>
      <c r="AD106" s="17"/>
      <c r="AF106" s="125">
        <v>2</v>
      </c>
      <c r="AG106" s="125" t="s">
        <v>16</v>
      </c>
      <c r="AH106" s="125">
        <v>14592</v>
      </c>
      <c r="AI106" s="125">
        <v>192</v>
      </c>
      <c r="AJ106" s="125">
        <v>1</v>
      </c>
      <c r="AK106" s="125">
        <v>4</v>
      </c>
      <c r="AL106" s="125">
        <v>196.03</v>
      </c>
      <c r="AM106" s="124">
        <v>10.568</v>
      </c>
      <c r="AN106" s="132">
        <v>45313</v>
      </c>
      <c r="AO106" s="129">
        <v>0.89807870370370368</v>
      </c>
      <c r="AP106" s="125">
        <v>0</v>
      </c>
      <c r="AQ106" s="125">
        <v>0</v>
      </c>
      <c r="AR106" s="125">
        <v>0</v>
      </c>
      <c r="AS106" s="134">
        <f t="shared" si="130"/>
        <v>10.5566</v>
      </c>
      <c r="AT106" s="123"/>
      <c r="AV106" s="125">
        <v>2</v>
      </c>
      <c r="AW106" s="125" t="s">
        <v>16</v>
      </c>
      <c r="AX106" s="125">
        <v>14592</v>
      </c>
      <c r="AY106" s="125">
        <v>192</v>
      </c>
      <c r="AZ106" s="125">
        <v>1</v>
      </c>
      <c r="BA106" s="125">
        <v>4</v>
      </c>
      <c r="BB106" s="125">
        <v>182.42</v>
      </c>
      <c r="BC106" s="124">
        <v>11.356</v>
      </c>
      <c r="BD106" s="132">
        <v>45313</v>
      </c>
      <c r="BE106" s="129">
        <v>0.9208101851851852</v>
      </c>
      <c r="BF106" s="125">
        <v>0</v>
      </c>
      <c r="BG106" s="125">
        <v>0</v>
      </c>
      <c r="BH106" s="125">
        <v>0</v>
      </c>
      <c r="BI106" s="133">
        <f t="shared" si="115"/>
        <v>11.360600000000002</v>
      </c>
    </row>
    <row r="107" spans="1:61" x14ac:dyDescent="0.25">
      <c r="A107">
        <v>3</v>
      </c>
      <c r="B107" t="s">
        <v>16</v>
      </c>
      <c r="C107">
        <v>14592</v>
      </c>
      <c r="D107">
        <v>128</v>
      </c>
      <c r="E107">
        <v>1</v>
      </c>
      <c r="F107">
        <v>4</v>
      </c>
      <c r="G107">
        <v>200.09</v>
      </c>
      <c r="H107" s="17">
        <v>10.353999999999999</v>
      </c>
      <c r="I107" s="33">
        <v>45313</v>
      </c>
      <c r="J107" s="37">
        <v>0.95361111111111108</v>
      </c>
      <c r="K107">
        <v>0</v>
      </c>
      <c r="L107">
        <v>0</v>
      </c>
      <c r="M107">
        <v>0</v>
      </c>
      <c r="N107" s="30">
        <f t="shared" si="128"/>
        <v>10.334199999999999</v>
      </c>
      <c r="P107">
        <v>3</v>
      </c>
      <c r="Q107" t="s">
        <v>16</v>
      </c>
      <c r="R107">
        <v>14592</v>
      </c>
      <c r="S107">
        <v>128</v>
      </c>
      <c r="T107">
        <v>1</v>
      </c>
      <c r="U107">
        <v>4</v>
      </c>
      <c r="V107">
        <v>184.39</v>
      </c>
      <c r="W107" s="17">
        <v>11.234999999999999</v>
      </c>
      <c r="X107" s="33">
        <v>45313</v>
      </c>
      <c r="Y107" s="37">
        <v>0.948125</v>
      </c>
      <c r="Z107">
        <v>0</v>
      </c>
      <c r="AA107">
        <v>0</v>
      </c>
      <c r="AB107">
        <v>0</v>
      </c>
      <c r="AC107" s="30">
        <f t="shared" si="129"/>
        <v>11.233599999999999</v>
      </c>
      <c r="AD107" s="17"/>
      <c r="AF107" s="125">
        <v>3</v>
      </c>
      <c r="AG107" s="125" t="s">
        <v>16</v>
      </c>
      <c r="AH107" s="125">
        <v>14592</v>
      </c>
      <c r="AI107" s="125">
        <v>192</v>
      </c>
      <c r="AJ107" s="125">
        <v>1</v>
      </c>
      <c r="AK107" s="125">
        <v>4</v>
      </c>
      <c r="AL107" s="125">
        <v>196.07</v>
      </c>
      <c r="AM107" s="124">
        <v>10.566000000000001</v>
      </c>
      <c r="AN107" s="132">
        <v>45313</v>
      </c>
      <c r="AO107" s="129">
        <v>0.94981481481481478</v>
      </c>
      <c r="AP107" s="125">
        <v>0</v>
      </c>
      <c r="AQ107" s="125">
        <v>0</v>
      </c>
      <c r="AR107" s="125">
        <v>0</v>
      </c>
      <c r="AS107" s="134">
        <f t="shared" si="130"/>
        <v>10.5566</v>
      </c>
      <c r="AT107" s="123"/>
      <c r="AV107" s="125">
        <v>3</v>
      </c>
      <c r="AW107" s="125" t="s">
        <v>16</v>
      </c>
      <c r="AX107" s="125">
        <v>14592</v>
      </c>
      <c r="AY107" s="125">
        <v>192</v>
      </c>
      <c r="AZ107" s="125">
        <v>1</v>
      </c>
      <c r="BA107" s="125">
        <v>4</v>
      </c>
      <c r="BB107" s="125">
        <v>182.34</v>
      </c>
      <c r="BC107" s="124">
        <v>11.362</v>
      </c>
      <c r="BD107" s="132">
        <v>45313</v>
      </c>
      <c r="BE107" s="129">
        <v>0.97953703703703709</v>
      </c>
      <c r="BF107" s="125">
        <v>0</v>
      </c>
      <c r="BG107" s="125">
        <v>0</v>
      </c>
      <c r="BH107" s="125">
        <v>0</v>
      </c>
      <c r="BI107" s="133">
        <f t="shared" si="115"/>
        <v>11.360600000000002</v>
      </c>
    </row>
    <row r="108" spans="1:61" x14ac:dyDescent="0.25">
      <c r="A108">
        <v>4</v>
      </c>
      <c r="B108" t="s">
        <v>16</v>
      </c>
      <c r="C108">
        <v>14592</v>
      </c>
      <c r="D108">
        <v>128</v>
      </c>
      <c r="E108">
        <v>1</v>
      </c>
      <c r="F108">
        <v>4</v>
      </c>
      <c r="G108">
        <v>200.21</v>
      </c>
      <c r="H108" s="17">
        <v>10.347</v>
      </c>
      <c r="I108" s="33">
        <v>45314</v>
      </c>
      <c r="J108" s="37">
        <v>5.2314814814814819E-3</v>
      </c>
      <c r="K108">
        <v>0</v>
      </c>
      <c r="L108">
        <v>0</v>
      </c>
      <c r="M108">
        <v>0</v>
      </c>
      <c r="N108" s="30">
        <f t="shared" si="128"/>
        <v>10.334199999999999</v>
      </c>
      <c r="P108">
        <v>4</v>
      </c>
      <c r="Q108" t="s">
        <v>16</v>
      </c>
      <c r="R108">
        <v>14592</v>
      </c>
      <c r="S108">
        <v>128</v>
      </c>
      <c r="T108">
        <v>1</v>
      </c>
      <c r="U108">
        <v>4</v>
      </c>
      <c r="V108">
        <v>184.54</v>
      </c>
      <c r="W108" s="17">
        <v>11.226000000000001</v>
      </c>
      <c r="X108" s="33">
        <v>45314</v>
      </c>
      <c r="Y108" s="37">
        <v>6.8402777777777776E-3</v>
      </c>
      <c r="Z108">
        <v>0</v>
      </c>
      <c r="AA108">
        <v>0</v>
      </c>
      <c r="AB108">
        <v>0</v>
      </c>
      <c r="AC108" s="30">
        <f t="shared" si="129"/>
        <v>11.233599999999999</v>
      </c>
      <c r="AD108" s="17"/>
      <c r="AF108" s="125">
        <v>4</v>
      </c>
      <c r="AG108" s="125" t="s">
        <v>16</v>
      </c>
      <c r="AH108" s="125">
        <v>14592</v>
      </c>
      <c r="AI108" s="125">
        <v>192</v>
      </c>
      <c r="AJ108" s="125">
        <v>1</v>
      </c>
      <c r="AK108" s="125">
        <v>4</v>
      </c>
      <c r="AL108" s="125">
        <v>196.24</v>
      </c>
      <c r="AM108" s="124">
        <v>10.557</v>
      </c>
      <c r="AN108" s="132">
        <v>45314</v>
      </c>
      <c r="AO108" s="129">
        <v>1.5624999999999999E-3</v>
      </c>
      <c r="AP108" s="125">
        <v>0</v>
      </c>
      <c r="AQ108" s="125">
        <v>0</v>
      </c>
      <c r="AR108" s="125">
        <v>0</v>
      </c>
      <c r="AS108" s="134">
        <f t="shared" si="130"/>
        <v>10.5566</v>
      </c>
      <c r="AT108" s="123"/>
      <c r="AV108" s="125">
        <v>4</v>
      </c>
      <c r="AW108" s="125" t="s">
        <v>16</v>
      </c>
      <c r="AX108" s="125">
        <v>14592</v>
      </c>
      <c r="AY108" s="125">
        <v>192</v>
      </c>
      <c r="AZ108" s="125">
        <v>1</v>
      </c>
      <c r="BA108" s="125">
        <v>4</v>
      </c>
      <c r="BB108" s="125">
        <v>182.42</v>
      </c>
      <c r="BC108" s="124">
        <v>11.356</v>
      </c>
      <c r="BD108" s="132">
        <v>45314</v>
      </c>
      <c r="BE108" s="129">
        <v>3.8252314814814815E-2</v>
      </c>
      <c r="BF108" s="125">
        <v>0</v>
      </c>
      <c r="BG108" s="125">
        <v>0</v>
      </c>
      <c r="BH108" s="125">
        <v>0</v>
      </c>
      <c r="BI108" s="133">
        <f t="shared" si="115"/>
        <v>11.360600000000002</v>
      </c>
    </row>
    <row r="109" spans="1:61" x14ac:dyDescent="0.25">
      <c r="A109">
        <v>0</v>
      </c>
      <c r="B109" t="s">
        <v>16</v>
      </c>
      <c r="C109">
        <v>13056</v>
      </c>
      <c r="D109">
        <v>128</v>
      </c>
      <c r="E109">
        <v>2</v>
      </c>
      <c r="F109">
        <v>2</v>
      </c>
      <c r="G109">
        <v>142.58000000000001</v>
      </c>
      <c r="H109" s="17">
        <v>10.407999999999999</v>
      </c>
      <c r="I109" s="33">
        <v>45313</v>
      </c>
      <c r="J109" s="37">
        <v>0.75906250000000008</v>
      </c>
      <c r="K109">
        <v>0</v>
      </c>
      <c r="L109">
        <v>0</v>
      </c>
      <c r="M109">
        <v>0</v>
      </c>
      <c r="N109" s="30">
        <f t="shared" ref="N109" si="164">AVERAGE(H109:H113)</f>
        <v>10.4034</v>
      </c>
      <c r="P109">
        <v>0</v>
      </c>
      <c r="Q109" t="s">
        <v>16</v>
      </c>
      <c r="R109">
        <v>13056</v>
      </c>
      <c r="S109">
        <v>128</v>
      </c>
      <c r="T109">
        <v>2</v>
      </c>
      <c r="U109">
        <v>2</v>
      </c>
      <c r="V109">
        <v>133.52000000000001</v>
      </c>
      <c r="W109" s="17">
        <v>11.114000000000001</v>
      </c>
      <c r="X109" s="33">
        <v>45313</v>
      </c>
      <c r="Y109" s="37">
        <v>0.7628935185185185</v>
      </c>
      <c r="Z109">
        <v>0</v>
      </c>
      <c r="AA109">
        <v>0</v>
      </c>
      <c r="AB109">
        <v>0</v>
      </c>
      <c r="AC109" s="30">
        <f t="shared" ref="AC109" si="165">AVERAGE(W109:W113)</f>
        <v>11.1098</v>
      </c>
      <c r="AD109" s="17"/>
      <c r="AF109" s="125">
        <v>0</v>
      </c>
      <c r="AG109" s="125" t="s">
        <v>16</v>
      </c>
      <c r="AH109" s="125">
        <v>13056</v>
      </c>
      <c r="AI109" s="125">
        <v>192</v>
      </c>
      <c r="AJ109" s="125">
        <v>2</v>
      </c>
      <c r="AK109" s="125">
        <v>2</v>
      </c>
      <c r="AL109" s="125">
        <v>141.08000000000001</v>
      </c>
      <c r="AM109" s="124">
        <v>10.518000000000001</v>
      </c>
      <c r="AN109" s="132">
        <v>45313</v>
      </c>
      <c r="AO109" s="129">
        <v>0.75967592592592592</v>
      </c>
      <c r="AP109" s="125">
        <v>0</v>
      </c>
      <c r="AQ109" s="125">
        <v>0</v>
      </c>
      <c r="AR109" s="125">
        <v>0</v>
      </c>
      <c r="AS109" s="134">
        <f t="shared" ref="AS109" si="166">AVERAGE(AM109:AM113)</f>
        <v>10.520999999999999</v>
      </c>
      <c r="AT109" s="130"/>
      <c r="AV109" s="125">
        <v>0</v>
      </c>
      <c r="AW109" s="125" t="s">
        <v>16</v>
      </c>
      <c r="AX109" s="125">
        <v>13056</v>
      </c>
      <c r="AY109" s="125">
        <v>192</v>
      </c>
      <c r="AZ109" s="125">
        <v>2</v>
      </c>
      <c r="BA109" s="125">
        <v>2</v>
      </c>
      <c r="BB109" s="125">
        <v>131.76</v>
      </c>
      <c r="BC109" s="124">
        <v>11.262</v>
      </c>
      <c r="BD109" s="132">
        <v>45313</v>
      </c>
      <c r="BE109" s="129">
        <v>0.76406249999999998</v>
      </c>
      <c r="BF109" s="125">
        <v>0</v>
      </c>
      <c r="BG109" s="125">
        <v>0</v>
      </c>
      <c r="BH109" s="125">
        <v>0</v>
      </c>
      <c r="BI109" s="133">
        <f t="shared" ref="BI109" si="167">AVERAGE(BC109:BC113)</f>
        <v>11.2606</v>
      </c>
    </row>
    <row r="110" spans="1:61" x14ac:dyDescent="0.25">
      <c r="A110">
        <v>1</v>
      </c>
      <c r="B110" t="s">
        <v>16</v>
      </c>
      <c r="C110">
        <v>13056</v>
      </c>
      <c r="D110">
        <v>128</v>
      </c>
      <c r="E110">
        <v>2</v>
      </c>
      <c r="F110">
        <v>2</v>
      </c>
      <c r="G110">
        <v>142.72</v>
      </c>
      <c r="H110" s="17">
        <v>10.397</v>
      </c>
      <c r="I110" s="33">
        <v>45313</v>
      </c>
      <c r="J110" s="37">
        <v>0.81084490740740733</v>
      </c>
      <c r="K110">
        <v>0</v>
      </c>
      <c r="L110">
        <v>0</v>
      </c>
      <c r="M110">
        <v>0</v>
      </c>
      <c r="N110" s="30">
        <f t="shared" ref="N110" si="168">N109</f>
        <v>10.4034</v>
      </c>
      <c r="P110">
        <v>1</v>
      </c>
      <c r="Q110" t="s">
        <v>16</v>
      </c>
      <c r="R110">
        <v>13056</v>
      </c>
      <c r="S110">
        <v>128</v>
      </c>
      <c r="T110">
        <v>2</v>
      </c>
      <c r="U110">
        <v>2</v>
      </c>
      <c r="V110">
        <v>133.51</v>
      </c>
      <c r="W110" s="17">
        <v>11.114000000000001</v>
      </c>
      <c r="X110" s="33">
        <v>45313</v>
      </c>
      <c r="Y110" s="37">
        <v>0.79430555555555549</v>
      </c>
      <c r="Z110">
        <v>0</v>
      </c>
      <c r="AA110">
        <v>0</v>
      </c>
      <c r="AB110">
        <v>0</v>
      </c>
      <c r="AC110" s="30">
        <f t="shared" ref="AC110" si="169">AC109</f>
        <v>11.1098</v>
      </c>
      <c r="AD110" s="17"/>
      <c r="AF110" s="125">
        <v>1</v>
      </c>
      <c r="AG110" s="125" t="s">
        <v>16</v>
      </c>
      <c r="AH110" s="125">
        <v>13056</v>
      </c>
      <c r="AI110" s="125">
        <v>192</v>
      </c>
      <c r="AJ110" s="125">
        <v>2</v>
      </c>
      <c r="AK110" s="125">
        <v>2</v>
      </c>
      <c r="AL110" s="125">
        <v>141</v>
      </c>
      <c r="AM110" s="124">
        <v>10.523999999999999</v>
      </c>
      <c r="AN110" s="132">
        <v>45313</v>
      </c>
      <c r="AO110" s="129">
        <v>0.81142361111111105</v>
      </c>
      <c r="AP110" s="125">
        <v>0</v>
      </c>
      <c r="AQ110" s="125">
        <v>0</v>
      </c>
      <c r="AR110" s="125">
        <v>0</v>
      </c>
      <c r="AS110" s="134">
        <f t="shared" ref="AS110" si="170">AS109</f>
        <v>10.520999999999999</v>
      </c>
      <c r="AT110" s="123"/>
      <c r="AV110" s="125">
        <v>1</v>
      </c>
      <c r="AW110" s="125" t="s">
        <v>16</v>
      </c>
      <c r="AX110" s="125">
        <v>13056</v>
      </c>
      <c r="AY110" s="125">
        <v>192</v>
      </c>
      <c r="AZ110" s="125">
        <v>2</v>
      </c>
      <c r="BA110" s="125">
        <v>2</v>
      </c>
      <c r="BB110" s="125">
        <v>131.81</v>
      </c>
      <c r="BC110" s="124">
        <v>11.257999999999999</v>
      </c>
      <c r="BD110" s="132">
        <v>45313</v>
      </c>
      <c r="BE110" s="129">
        <v>0.82278935185185187</v>
      </c>
      <c r="BF110" s="125">
        <v>0</v>
      </c>
      <c r="BG110" s="125">
        <v>0</v>
      </c>
      <c r="BH110" s="125">
        <v>0</v>
      </c>
      <c r="BI110" s="133">
        <f t="shared" ref="BI110" si="171">BI109</f>
        <v>11.2606</v>
      </c>
    </row>
    <row r="111" spans="1:61" x14ac:dyDescent="0.25">
      <c r="A111">
        <v>2</v>
      </c>
      <c r="B111" t="s">
        <v>16</v>
      </c>
      <c r="C111">
        <v>13056</v>
      </c>
      <c r="D111">
        <v>128</v>
      </c>
      <c r="E111">
        <v>2</v>
      </c>
      <c r="F111">
        <v>2</v>
      </c>
      <c r="G111">
        <v>142.6</v>
      </c>
      <c r="H111" s="17">
        <v>10.406000000000001</v>
      </c>
      <c r="I111" s="33">
        <v>45313</v>
      </c>
      <c r="J111" s="37">
        <v>0.86982638888888886</v>
      </c>
      <c r="K111">
        <v>0</v>
      </c>
      <c r="L111">
        <v>0</v>
      </c>
      <c r="M111">
        <v>0</v>
      </c>
      <c r="N111" s="30">
        <f t="shared" si="136"/>
        <v>10.4034</v>
      </c>
      <c r="P111">
        <v>2</v>
      </c>
      <c r="Q111" t="s">
        <v>16</v>
      </c>
      <c r="R111">
        <v>13056</v>
      </c>
      <c r="S111">
        <v>128</v>
      </c>
      <c r="T111">
        <v>2</v>
      </c>
      <c r="U111">
        <v>2</v>
      </c>
      <c r="V111">
        <v>133.44999999999999</v>
      </c>
      <c r="W111" s="17">
        <v>11.12</v>
      </c>
      <c r="X111" s="33">
        <v>45313</v>
      </c>
      <c r="Y111" s="37">
        <v>0.85300925925925919</v>
      </c>
      <c r="Z111">
        <v>0</v>
      </c>
      <c r="AA111">
        <v>0</v>
      </c>
      <c r="AB111">
        <v>0</v>
      </c>
      <c r="AC111" s="30">
        <f t="shared" si="137"/>
        <v>11.1098</v>
      </c>
      <c r="AD111" s="17"/>
      <c r="AF111" s="125">
        <v>2</v>
      </c>
      <c r="AG111" s="125" t="s">
        <v>16</v>
      </c>
      <c r="AH111" s="125">
        <v>13056</v>
      </c>
      <c r="AI111" s="125">
        <v>192</v>
      </c>
      <c r="AJ111" s="125">
        <v>2</v>
      </c>
      <c r="AK111" s="125">
        <v>2</v>
      </c>
      <c r="AL111" s="125">
        <v>141.08000000000001</v>
      </c>
      <c r="AM111" s="124">
        <v>10.518000000000001</v>
      </c>
      <c r="AN111" s="132">
        <v>45313</v>
      </c>
      <c r="AO111" s="129">
        <v>0.86314814814814811</v>
      </c>
      <c r="AP111" s="125">
        <v>0</v>
      </c>
      <c r="AQ111" s="125">
        <v>0</v>
      </c>
      <c r="AR111" s="125">
        <v>0</v>
      </c>
      <c r="AS111" s="134">
        <f t="shared" si="138"/>
        <v>10.520999999999999</v>
      </c>
      <c r="AT111" s="123"/>
      <c r="AV111" s="125">
        <v>2</v>
      </c>
      <c r="AW111" s="125" t="s">
        <v>16</v>
      </c>
      <c r="AX111" s="125">
        <v>13056</v>
      </c>
      <c r="AY111" s="125">
        <v>192</v>
      </c>
      <c r="AZ111" s="125">
        <v>2</v>
      </c>
      <c r="BA111" s="125">
        <v>2</v>
      </c>
      <c r="BB111" s="125">
        <v>131.85</v>
      </c>
      <c r="BC111" s="124">
        <v>11.255000000000001</v>
      </c>
      <c r="BD111" s="132">
        <v>45313</v>
      </c>
      <c r="BE111" s="129">
        <v>0.88150462962962972</v>
      </c>
      <c r="BF111" s="125">
        <v>0</v>
      </c>
      <c r="BG111" s="125">
        <v>0</v>
      </c>
      <c r="BH111" s="125">
        <v>0</v>
      </c>
      <c r="BI111" s="133">
        <f t="shared" si="115"/>
        <v>11.2606</v>
      </c>
    </row>
    <row r="112" spans="1:61" x14ac:dyDescent="0.25">
      <c r="A112">
        <v>3</v>
      </c>
      <c r="B112" t="s">
        <v>16</v>
      </c>
      <c r="C112">
        <v>13056</v>
      </c>
      <c r="D112">
        <v>128</v>
      </c>
      <c r="E112">
        <v>2</v>
      </c>
      <c r="F112">
        <v>2</v>
      </c>
      <c r="G112">
        <v>142.56</v>
      </c>
      <c r="H112" s="17">
        <v>10.409000000000001</v>
      </c>
      <c r="I112" s="33">
        <v>45313</v>
      </c>
      <c r="J112" s="37">
        <v>0.92142361111111104</v>
      </c>
      <c r="K112">
        <v>0</v>
      </c>
      <c r="L112">
        <v>0</v>
      </c>
      <c r="M112">
        <v>0</v>
      </c>
      <c r="N112" s="30">
        <f t="shared" si="136"/>
        <v>10.4034</v>
      </c>
      <c r="P112">
        <v>3</v>
      </c>
      <c r="Q112" t="s">
        <v>16</v>
      </c>
      <c r="R112">
        <v>13056</v>
      </c>
      <c r="S112">
        <v>128</v>
      </c>
      <c r="T112">
        <v>2</v>
      </c>
      <c r="U112">
        <v>2</v>
      </c>
      <c r="V112">
        <v>133.91999999999999</v>
      </c>
      <c r="W112" s="17">
        <v>11.081</v>
      </c>
      <c r="X112" s="33">
        <v>45313</v>
      </c>
      <c r="Y112" s="37">
        <v>0.91173611111111119</v>
      </c>
      <c r="Z112">
        <v>0</v>
      </c>
      <c r="AA112">
        <v>0</v>
      </c>
      <c r="AB112">
        <v>0</v>
      </c>
      <c r="AC112" s="30">
        <f t="shared" si="137"/>
        <v>11.1098</v>
      </c>
      <c r="AD112" s="17"/>
      <c r="AF112" s="125">
        <v>3</v>
      </c>
      <c r="AG112" s="125" t="s">
        <v>16</v>
      </c>
      <c r="AH112" s="125">
        <v>13056</v>
      </c>
      <c r="AI112" s="125">
        <v>192</v>
      </c>
      <c r="AJ112" s="125">
        <v>2</v>
      </c>
      <c r="AK112" s="125">
        <v>2</v>
      </c>
      <c r="AL112" s="125">
        <v>141.06</v>
      </c>
      <c r="AM112" s="124">
        <v>10.52</v>
      </c>
      <c r="AN112" s="132">
        <v>45313</v>
      </c>
      <c r="AO112" s="129">
        <v>0.91487268518518527</v>
      </c>
      <c r="AP112" s="125">
        <v>0</v>
      </c>
      <c r="AQ112" s="125">
        <v>0</v>
      </c>
      <c r="AR112" s="125">
        <v>0</v>
      </c>
      <c r="AS112" s="134">
        <f t="shared" si="138"/>
        <v>10.520999999999999</v>
      </c>
      <c r="AT112" s="123"/>
      <c r="AV112" s="125">
        <v>3</v>
      </c>
      <c r="AW112" s="125" t="s">
        <v>16</v>
      </c>
      <c r="AX112" s="125">
        <v>13056</v>
      </c>
      <c r="AY112" s="125">
        <v>192</v>
      </c>
      <c r="AZ112" s="125">
        <v>2</v>
      </c>
      <c r="BA112" s="125">
        <v>2</v>
      </c>
      <c r="BB112" s="125">
        <v>131.66999999999999</v>
      </c>
      <c r="BC112" s="124">
        <v>11.27</v>
      </c>
      <c r="BD112" s="132">
        <v>45313</v>
      </c>
      <c r="BE112" s="129">
        <v>0.94021990740740735</v>
      </c>
      <c r="BF112" s="125">
        <v>0</v>
      </c>
      <c r="BG112" s="125">
        <v>0</v>
      </c>
      <c r="BH112" s="125">
        <v>0</v>
      </c>
      <c r="BI112" s="133">
        <f t="shared" si="115"/>
        <v>11.2606</v>
      </c>
    </row>
    <row r="113" spans="1:61" x14ac:dyDescent="0.25">
      <c r="A113">
        <v>4</v>
      </c>
      <c r="B113" t="s">
        <v>16</v>
      </c>
      <c r="C113">
        <v>13056</v>
      </c>
      <c r="D113">
        <v>128</v>
      </c>
      <c r="E113">
        <v>2</v>
      </c>
      <c r="F113">
        <v>2</v>
      </c>
      <c r="G113">
        <v>142.72999999999999</v>
      </c>
      <c r="H113" s="17">
        <v>10.397</v>
      </c>
      <c r="I113" s="33">
        <v>45313</v>
      </c>
      <c r="J113" s="37">
        <v>0.97304398148148152</v>
      </c>
      <c r="K113">
        <v>0</v>
      </c>
      <c r="L113">
        <v>0</v>
      </c>
      <c r="M113">
        <v>0</v>
      </c>
      <c r="N113" s="30">
        <f t="shared" si="136"/>
        <v>10.4034</v>
      </c>
      <c r="P113">
        <v>4</v>
      </c>
      <c r="Q113" t="s">
        <v>16</v>
      </c>
      <c r="R113">
        <v>13056</v>
      </c>
      <c r="S113">
        <v>128</v>
      </c>
      <c r="T113">
        <v>2</v>
      </c>
      <c r="U113">
        <v>2</v>
      </c>
      <c r="V113">
        <v>133.44999999999999</v>
      </c>
      <c r="W113" s="17">
        <v>11.12</v>
      </c>
      <c r="X113" s="33">
        <v>45313</v>
      </c>
      <c r="Y113" s="37">
        <v>0.97045138888888882</v>
      </c>
      <c r="Z113">
        <v>0</v>
      </c>
      <c r="AA113">
        <v>0</v>
      </c>
      <c r="AB113">
        <v>0</v>
      </c>
      <c r="AC113" s="30">
        <f t="shared" si="137"/>
        <v>11.1098</v>
      </c>
      <c r="AD113" s="17"/>
      <c r="AF113" s="125">
        <v>4</v>
      </c>
      <c r="AG113" s="125" t="s">
        <v>16</v>
      </c>
      <c r="AH113" s="125">
        <v>13056</v>
      </c>
      <c r="AI113" s="125">
        <v>192</v>
      </c>
      <c r="AJ113" s="125">
        <v>2</v>
      </c>
      <c r="AK113" s="125">
        <v>2</v>
      </c>
      <c r="AL113" s="125">
        <v>140.99</v>
      </c>
      <c r="AM113" s="124">
        <v>10.525</v>
      </c>
      <c r="AN113" s="132">
        <v>45313</v>
      </c>
      <c r="AO113" s="129">
        <v>0.96660879629629637</v>
      </c>
      <c r="AP113" s="125">
        <v>0</v>
      </c>
      <c r="AQ113" s="125">
        <v>0</v>
      </c>
      <c r="AR113" s="125">
        <v>0</v>
      </c>
      <c r="AS113" s="134">
        <f t="shared" si="138"/>
        <v>10.520999999999999</v>
      </c>
      <c r="AT113" s="123"/>
      <c r="AV113" s="125">
        <v>4</v>
      </c>
      <c r="AW113" s="125" t="s">
        <v>16</v>
      </c>
      <c r="AX113" s="125">
        <v>13056</v>
      </c>
      <c r="AY113" s="125">
        <v>192</v>
      </c>
      <c r="AZ113" s="125">
        <v>2</v>
      </c>
      <c r="BA113" s="125">
        <v>2</v>
      </c>
      <c r="BB113" s="125">
        <v>131.81</v>
      </c>
      <c r="BC113" s="124">
        <v>11.257999999999999</v>
      </c>
      <c r="BD113" s="132">
        <v>45313</v>
      </c>
      <c r="BE113" s="129">
        <v>0.99894675925925924</v>
      </c>
      <c r="BF113" s="125">
        <v>0</v>
      </c>
      <c r="BG113" s="125">
        <v>0</v>
      </c>
      <c r="BH113" s="125">
        <v>0</v>
      </c>
      <c r="BI113" s="133">
        <f t="shared" si="115"/>
        <v>11.2606</v>
      </c>
    </row>
    <row r="114" spans="1:61" x14ac:dyDescent="0.25">
      <c r="A114">
        <v>0</v>
      </c>
      <c r="B114" t="s">
        <v>16</v>
      </c>
      <c r="C114">
        <v>13824</v>
      </c>
      <c r="D114">
        <v>128</v>
      </c>
      <c r="E114">
        <v>2</v>
      </c>
      <c r="F114">
        <v>2</v>
      </c>
      <c r="G114">
        <v>171.86</v>
      </c>
      <c r="H114" s="17">
        <v>10.25</v>
      </c>
      <c r="I114" s="33">
        <v>45313</v>
      </c>
      <c r="J114" s="37">
        <v>0.77523148148148147</v>
      </c>
      <c r="K114">
        <v>0</v>
      </c>
      <c r="L114">
        <v>0</v>
      </c>
      <c r="M114">
        <v>0</v>
      </c>
      <c r="N114" s="30">
        <f t="shared" ref="N114" si="172">AVERAGE(H114:H118)</f>
        <v>10.2494</v>
      </c>
      <c r="P114">
        <v>0</v>
      </c>
      <c r="Q114" t="s">
        <v>16</v>
      </c>
      <c r="R114">
        <v>13824</v>
      </c>
      <c r="S114">
        <v>128</v>
      </c>
      <c r="T114">
        <v>2</v>
      </c>
      <c r="U114">
        <v>2</v>
      </c>
      <c r="V114">
        <v>158.32</v>
      </c>
      <c r="W114" s="17">
        <v>11.125999999999999</v>
      </c>
      <c r="X114" s="33">
        <v>45313</v>
      </c>
      <c r="Y114" s="37">
        <v>0.75381944444444438</v>
      </c>
      <c r="Z114">
        <v>0</v>
      </c>
      <c r="AA114">
        <v>0</v>
      </c>
      <c r="AB114">
        <v>0</v>
      </c>
      <c r="AC114" s="30">
        <f t="shared" ref="AC114" si="173">AVERAGE(W114:W118)</f>
        <v>11.1296</v>
      </c>
      <c r="AD114" s="17"/>
      <c r="AF114" s="125">
        <v>0</v>
      </c>
      <c r="AG114" s="125" t="s">
        <v>16</v>
      </c>
      <c r="AH114" s="125">
        <v>13824</v>
      </c>
      <c r="AI114" s="125">
        <v>192</v>
      </c>
      <c r="AJ114" s="125">
        <v>2</v>
      </c>
      <c r="AK114" s="125">
        <v>2</v>
      </c>
      <c r="AL114" s="125">
        <v>169.23</v>
      </c>
      <c r="AM114" s="124">
        <v>10.409000000000001</v>
      </c>
      <c r="AN114" s="132">
        <v>45313</v>
      </c>
      <c r="AO114" s="129">
        <v>0.77731481481481479</v>
      </c>
      <c r="AP114" s="125">
        <v>0</v>
      </c>
      <c r="AQ114" s="125">
        <v>0</v>
      </c>
      <c r="AR114" s="125">
        <v>0</v>
      </c>
      <c r="AS114" s="134">
        <f t="shared" ref="AS114" si="174">AVERAGE(AM114:AM118)</f>
        <v>10.400200000000002</v>
      </c>
      <c r="AT114" s="130"/>
      <c r="AV114" s="125">
        <v>0</v>
      </c>
      <c r="AW114" s="125" t="s">
        <v>16</v>
      </c>
      <c r="AX114" s="125">
        <v>13824</v>
      </c>
      <c r="AY114" s="125">
        <v>192</v>
      </c>
      <c r="AZ114" s="125">
        <v>2</v>
      </c>
      <c r="BA114" s="125">
        <v>2</v>
      </c>
      <c r="BB114" s="125">
        <v>155.97</v>
      </c>
      <c r="BC114" s="124">
        <v>11.294</v>
      </c>
      <c r="BD114" s="132">
        <v>45313</v>
      </c>
      <c r="BE114" s="129">
        <v>0.78373842592592602</v>
      </c>
      <c r="BF114" s="125">
        <v>0</v>
      </c>
      <c r="BG114" s="125">
        <v>0</v>
      </c>
      <c r="BH114" s="125">
        <v>0</v>
      </c>
      <c r="BI114" s="133">
        <f t="shared" ref="BI114" si="175">AVERAGE(BC114:BC118)</f>
        <v>11.2866</v>
      </c>
    </row>
    <row r="115" spans="1:61" x14ac:dyDescent="0.25">
      <c r="A115">
        <v>1</v>
      </c>
      <c r="B115" t="s">
        <v>16</v>
      </c>
      <c r="C115">
        <v>13824</v>
      </c>
      <c r="D115">
        <v>128</v>
      </c>
      <c r="E115">
        <v>2</v>
      </c>
      <c r="F115">
        <v>2</v>
      </c>
      <c r="G115">
        <v>171.78</v>
      </c>
      <c r="H115" s="17">
        <v>10.254</v>
      </c>
      <c r="I115" s="33">
        <v>45313</v>
      </c>
      <c r="J115" s="37">
        <v>0.82702546296296298</v>
      </c>
      <c r="K115">
        <v>0</v>
      </c>
      <c r="L115">
        <v>0</v>
      </c>
      <c r="M115">
        <v>0</v>
      </c>
      <c r="N115" s="30">
        <f t="shared" ref="N115" si="176">N114</f>
        <v>10.2494</v>
      </c>
      <c r="P115">
        <v>1</v>
      </c>
      <c r="Q115" t="s">
        <v>16</v>
      </c>
      <c r="R115">
        <v>13824</v>
      </c>
      <c r="S115">
        <v>128</v>
      </c>
      <c r="T115">
        <v>2</v>
      </c>
      <c r="U115">
        <v>2</v>
      </c>
      <c r="V115">
        <v>158.13</v>
      </c>
      <c r="W115" s="17">
        <v>11.14</v>
      </c>
      <c r="X115" s="33">
        <v>45313</v>
      </c>
      <c r="Y115" s="37">
        <v>0.81254629629629627</v>
      </c>
      <c r="Z115">
        <v>0</v>
      </c>
      <c r="AA115">
        <v>0</v>
      </c>
      <c r="AB115">
        <v>0</v>
      </c>
      <c r="AC115" s="30">
        <f t="shared" ref="AC115" si="177">AC114</f>
        <v>11.1296</v>
      </c>
      <c r="AD115" s="17"/>
      <c r="AF115" s="125">
        <v>1</v>
      </c>
      <c r="AG115" s="125" t="s">
        <v>16</v>
      </c>
      <c r="AH115" s="125">
        <v>13824</v>
      </c>
      <c r="AI115" s="125">
        <v>192</v>
      </c>
      <c r="AJ115" s="125">
        <v>2</v>
      </c>
      <c r="AK115" s="125">
        <v>2</v>
      </c>
      <c r="AL115" s="125">
        <v>169.25</v>
      </c>
      <c r="AM115" s="124">
        <v>10.407999999999999</v>
      </c>
      <c r="AN115" s="132">
        <v>45313</v>
      </c>
      <c r="AO115" s="129">
        <v>0.82906250000000004</v>
      </c>
      <c r="AP115" s="125">
        <v>0</v>
      </c>
      <c r="AQ115" s="125">
        <v>0</v>
      </c>
      <c r="AR115" s="125">
        <v>0</v>
      </c>
      <c r="AS115" s="134">
        <f t="shared" ref="AS115" si="178">AS114</f>
        <v>10.400200000000002</v>
      </c>
      <c r="AT115" s="123"/>
      <c r="AV115" s="125">
        <v>1</v>
      </c>
      <c r="AW115" s="125" t="s">
        <v>16</v>
      </c>
      <c r="AX115" s="125">
        <v>13824</v>
      </c>
      <c r="AY115" s="125">
        <v>192</v>
      </c>
      <c r="AZ115" s="125">
        <v>2</v>
      </c>
      <c r="BA115" s="125">
        <v>2</v>
      </c>
      <c r="BB115" s="125">
        <v>156.25</v>
      </c>
      <c r="BC115" s="124">
        <v>11.273</v>
      </c>
      <c r="BD115" s="132">
        <v>45313</v>
      </c>
      <c r="BE115" s="129">
        <v>0.8424652777777778</v>
      </c>
      <c r="BF115" s="125">
        <v>0</v>
      </c>
      <c r="BG115" s="125">
        <v>0</v>
      </c>
      <c r="BH115" s="125">
        <v>0</v>
      </c>
      <c r="BI115" s="133">
        <f t="shared" ref="BI115" si="179">BI114</f>
        <v>11.2866</v>
      </c>
    </row>
    <row r="116" spans="1:61" x14ac:dyDescent="0.25">
      <c r="A116">
        <v>2</v>
      </c>
      <c r="B116" t="s">
        <v>16</v>
      </c>
      <c r="C116">
        <v>13824</v>
      </c>
      <c r="D116">
        <v>128</v>
      </c>
      <c r="E116">
        <v>2</v>
      </c>
      <c r="F116">
        <v>2</v>
      </c>
      <c r="G116">
        <v>172.04</v>
      </c>
      <c r="H116" s="17">
        <v>10.239000000000001</v>
      </c>
      <c r="I116" s="33">
        <v>45313</v>
      </c>
      <c r="J116" s="37">
        <v>0.88596064814814823</v>
      </c>
      <c r="K116">
        <v>0</v>
      </c>
      <c r="L116">
        <v>0</v>
      </c>
      <c r="M116">
        <v>0</v>
      </c>
      <c r="N116" s="30">
        <f t="shared" si="128"/>
        <v>10.2494</v>
      </c>
      <c r="P116">
        <v>2</v>
      </c>
      <c r="Q116" t="s">
        <v>16</v>
      </c>
      <c r="R116">
        <v>13824</v>
      </c>
      <c r="S116">
        <v>128</v>
      </c>
      <c r="T116">
        <v>2</v>
      </c>
      <c r="U116">
        <v>2</v>
      </c>
      <c r="V116">
        <v>157.99</v>
      </c>
      <c r="W116" s="17">
        <v>11.15</v>
      </c>
      <c r="X116" s="33">
        <v>45313</v>
      </c>
      <c r="Y116" s="37">
        <v>0.87124999999999997</v>
      </c>
      <c r="Z116">
        <v>0</v>
      </c>
      <c r="AA116">
        <v>0</v>
      </c>
      <c r="AB116">
        <v>0</v>
      </c>
      <c r="AC116" s="30">
        <f t="shared" si="129"/>
        <v>11.1296</v>
      </c>
      <c r="AD116" s="17"/>
      <c r="AF116" s="125">
        <v>2</v>
      </c>
      <c r="AG116" s="125" t="s">
        <v>16</v>
      </c>
      <c r="AH116" s="125">
        <v>13824</v>
      </c>
      <c r="AI116" s="125">
        <v>192</v>
      </c>
      <c r="AJ116" s="125">
        <v>2</v>
      </c>
      <c r="AK116" s="125">
        <v>2</v>
      </c>
      <c r="AL116" s="125">
        <v>169.53</v>
      </c>
      <c r="AM116" s="124">
        <v>10.39</v>
      </c>
      <c r="AN116" s="132">
        <v>45313</v>
      </c>
      <c r="AO116" s="129">
        <v>0.88079861111111113</v>
      </c>
      <c r="AP116" s="125">
        <v>0</v>
      </c>
      <c r="AQ116" s="125">
        <v>0</v>
      </c>
      <c r="AR116" s="125">
        <v>0</v>
      </c>
      <c r="AS116" s="134">
        <f t="shared" si="130"/>
        <v>10.400200000000002</v>
      </c>
      <c r="AT116" s="123"/>
      <c r="AV116" s="125">
        <v>2</v>
      </c>
      <c r="AW116" s="125" t="s">
        <v>16</v>
      </c>
      <c r="AX116" s="125">
        <v>13824</v>
      </c>
      <c r="AY116" s="125">
        <v>192</v>
      </c>
      <c r="AZ116" s="125">
        <v>2</v>
      </c>
      <c r="BA116" s="125">
        <v>2</v>
      </c>
      <c r="BB116" s="125">
        <v>156.13999999999999</v>
      </c>
      <c r="BC116" s="124">
        <v>11.282</v>
      </c>
      <c r="BD116" s="132">
        <v>45313</v>
      </c>
      <c r="BE116" s="129">
        <v>0.90118055555555554</v>
      </c>
      <c r="BF116" s="125">
        <v>0</v>
      </c>
      <c r="BG116" s="125">
        <v>0</v>
      </c>
      <c r="BH116" s="125">
        <v>0</v>
      </c>
      <c r="BI116" s="133">
        <f t="shared" si="115"/>
        <v>11.2866</v>
      </c>
    </row>
    <row r="117" spans="1:61" x14ac:dyDescent="0.25">
      <c r="A117">
        <v>3</v>
      </c>
      <c r="B117" t="s">
        <v>16</v>
      </c>
      <c r="C117">
        <v>13824</v>
      </c>
      <c r="D117">
        <v>128</v>
      </c>
      <c r="E117">
        <v>2</v>
      </c>
      <c r="F117">
        <v>2</v>
      </c>
      <c r="G117">
        <v>171.93</v>
      </c>
      <c r="H117" s="17">
        <v>10.244999999999999</v>
      </c>
      <c r="I117" s="33">
        <v>45313</v>
      </c>
      <c r="J117" s="37">
        <v>0.93756944444444434</v>
      </c>
      <c r="K117">
        <v>0</v>
      </c>
      <c r="L117">
        <v>0</v>
      </c>
      <c r="M117">
        <v>0</v>
      </c>
      <c r="N117" s="30">
        <f t="shared" si="128"/>
        <v>10.2494</v>
      </c>
      <c r="P117">
        <v>3</v>
      </c>
      <c r="Q117" t="s">
        <v>16</v>
      </c>
      <c r="R117">
        <v>13824</v>
      </c>
      <c r="S117">
        <v>128</v>
      </c>
      <c r="T117">
        <v>2</v>
      </c>
      <c r="U117">
        <v>2</v>
      </c>
      <c r="V117">
        <v>158.47</v>
      </c>
      <c r="W117" s="17">
        <v>11.116</v>
      </c>
      <c r="X117" s="33">
        <v>45313</v>
      </c>
      <c r="Y117" s="37">
        <v>0.92997685185185175</v>
      </c>
      <c r="Z117">
        <v>0</v>
      </c>
      <c r="AA117">
        <v>0</v>
      </c>
      <c r="AB117">
        <v>0</v>
      </c>
      <c r="AC117" s="30">
        <f t="shared" si="129"/>
        <v>11.1296</v>
      </c>
      <c r="AD117" s="17"/>
      <c r="AF117" s="125">
        <v>3</v>
      </c>
      <c r="AG117" s="125" t="s">
        <v>16</v>
      </c>
      <c r="AH117" s="125">
        <v>13824</v>
      </c>
      <c r="AI117" s="125">
        <v>192</v>
      </c>
      <c r="AJ117" s="125">
        <v>2</v>
      </c>
      <c r="AK117" s="125">
        <v>2</v>
      </c>
      <c r="AL117" s="125">
        <v>169.45</v>
      </c>
      <c r="AM117" s="124">
        <v>10.395</v>
      </c>
      <c r="AN117" s="132">
        <v>45313</v>
      </c>
      <c r="AO117" s="129">
        <v>0.93252314814814818</v>
      </c>
      <c r="AP117" s="125">
        <v>0</v>
      </c>
      <c r="AQ117" s="125">
        <v>0</v>
      </c>
      <c r="AR117" s="125">
        <v>0</v>
      </c>
      <c r="AS117" s="134">
        <f t="shared" si="130"/>
        <v>10.400200000000002</v>
      </c>
      <c r="AT117" s="123"/>
      <c r="AV117" s="125">
        <v>3</v>
      </c>
      <c r="AW117" s="125" t="s">
        <v>16</v>
      </c>
      <c r="AX117" s="125">
        <v>13824</v>
      </c>
      <c r="AY117" s="125">
        <v>192</v>
      </c>
      <c r="AZ117" s="125">
        <v>2</v>
      </c>
      <c r="BA117" s="125">
        <v>2</v>
      </c>
      <c r="BB117" s="125">
        <v>156.01</v>
      </c>
      <c r="BC117" s="124">
        <v>11.291</v>
      </c>
      <c r="BD117" s="132">
        <v>45313</v>
      </c>
      <c r="BE117" s="129">
        <v>0.95990740740740732</v>
      </c>
      <c r="BF117" s="125">
        <v>0</v>
      </c>
      <c r="BG117" s="125">
        <v>0</v>
      </c>
      <c r="BH117" s="125">
        <v>0</v>
      </c>
      <c r="BI117" s="133">
        <f t="shared" si="115"/>
        <v>11.2866</v>
      </c>
    </row>
    <row r="118" spans="1:61" x14ac:dyDescent="0.25">
      <c r="A118">
        <v>4</v>
      </c>
      <c r="B118" t="s">
        <v>16</v>
      </c>
      <c r="C118">
        <v>13824</v>
      </c>
      <c r="D118">
        <v>128</v>
      </c>
      <c r="E118">
        <v>2</v>
      </c>
      <c r="F118">
        <v>2</v>
      </c>
      <c r="G118">
        <v>171.7</v>
      </c>
      <c r="H118" s="17">
        <v>10.259</v>
      </c>
      <c r="I118" s="33">
        <v>45313</v>
      </c>
      <c r="J118" s="37">
        <v>0.98918981481481483</v>
      </c>
      <c r="K118">
        <v>0</v>
      </c>
      <c r="L118">
        <v>0</v>
      </c>
      <c r="M118">
        <v>0</v>
      </c>
      <c r="N118" s="30">
        <f t="shared" si="128"/>
        <v>10.2494</v>
      </c>
      <c r="P118">
        <v>4</v>
      </c>
      <c r="Q118" t="s">
        <v>16</v>
      </c>
      <c r="R118">
        <v>13824</v>
      </c>
      <c r="S118">
        <v>128</v>
      </c>
      <c r="T118">
        <v>2</v>
      </c>
      <c r="U118">
        <v>2</v>
      </c>
      <c r="V118">
        <v>158.47</v>
      </c>
      <c r="W118" s="17">
        <v>11.116</v>
      </c>
      <c r="X118" s="33">
        <v>45313</v>
      </c>
      <c r="Y118" s="37">
        <v>0.98870370370370375</v>
      </c>
      <c r="Z118">
        <v>0</v>
      </c>
      <c r="AA118">
        <v>0</v>
      </c>
      <c r="AB118">
        <v>0</v>
      </c>
      <c r="AC118" s="30">
        <f t="shared" si="129"/>
        <v>11.1296</v>
      </c>
      <c r="AD118" s="17"/>
      <c r="AF118" s="125">
        <v>4</v>
      </c>
      <c r="AG118" s="125" t="s">
        <v>16</v>
      </c>
      <c r="AH118" s="125">
        <v>13824</v>
      </c>
      <c r="AI118" s="125">
        <v>192</v>
      </c>
      <c r="AJ118" s="125">
        <v>2</v>
      </c>
      <c r="AK118" s="125">
        <v>2</v>
      </c>
      <c r="AL118" s="125">
        <v>169.39</v>
      </c>
      <c r="AM118" s="124">
        <v>10.398999999999999</v>
      </c>
      <c r="AN118" s="132">
        <v>45313</v>
      </c>
      <c r="AO118" s="129">
        <v>0.98424768518518524</v>
      </c>
      <c r="AP118" s="125">
        <v>0</v>
      </c>
      <c r="AQ118" s="125">
        <v>0</v>
      </c>
      <c r="AR118" s="125">
        <v>0</v>
      </c>
      <c r="AS118" s="134">
        <f t="shared" si="130"/>
        <v>10.400200000000002</v>
      </c>
      <c r="AT118" s="123"/>
      <c r="AV118" s="125">
        <v>4</v>
      </c>
      <c r="AW118" s="125" t="s">
        <v>16</v>
      </c>
      <c r="AX118" s="125">
        <v>13824</v>
      </c>
      <c r="AY118" s="125">
        <v>192</v>
      </c>
      <c r="AZ118" s="125">
        <v>2</v>
      </c>
      <c r="BA118" s="125">
        <v>2</v>
      </c>
      <c r="BB118" s="125">
        <v>155.97999999999999</v>
      </c>
      <c r="BC118" s="124">
        <v>11.292999999999999</v>
      </c>
      <c r="BD118" s="132">
        <v>45314</v>
      </c>
      <c r="BE118" s="129">
        <v>1.861111111111111E-2</v>
      </c>
      <c r="BF118" s="125">
        <v>0</v>
      </c>
      <c r="BG118" s="125">
        <v>0</v>
      </c>
      <c r="BH118" s="125">
        <v>0</v>
      </c>
      <c r="BI118" s="133">
        <f t="shared" si="115"/>
        <v>11.2866</v>
      </c>
    </row>
    <row r="119" spans="1:61" x14ac:dyDescent="0.25">
      <c r="A119">
        <v>0</v>
      </c>
      <c r="B119" t="s">
        <v>16</v>
      </c>
      <c r="C119">
        <v>14592</v>
      </c>
      <c r="D119">
        <v>128</v>
      </c>
      <c r="E119">
        <v>2</v>
      </c>
      <c r="F119">
        <v>2</v>
      </c>
      <c r="G119">
        <v>197.87</v>
      </c>
      <c r="H119" s="17">
        <v>10.47</v>
      </c>
      <c r="I119" s="33">
        <v>45313</v>
      </c>
      <c r="J119" s="37">
        <v>0.79381944444444441</v>
      </c>
      <c r="K119">
        <v>0</v>
      </c>
      <c r="L119">
        <v>0</v>
      </c>
      <c r="M119">
        <v>0</v>
      </c>
      <c r="N119" s="30">
        <f t="shared" ref="N119" si="180">AVERAGE(H119:H123)</f>
        <v>10.5212</v>
      </c>
      <c r="P119">
        <v>0</v>
      </c>
      <c r="Q119" t="s">
        <v>16</v>
      </c>
      <c r="R119">
        <v>14592</v>
      </c>
      <c r="S119">
        <v>128</v>
      </c>
      <c r="T119">
        <v>2</v>
      </c>
      <c r="U119">
        <v>2</v>
      </c>
      <c r="V119">
        <v>184.01</v>
      </c>
      <c r="W119" s="17">
        <v>11.259</v>
      </c>
      <c r="X119" s="33">
        <v>45313</v>
      </c>
      <c r="Y119" s="37">
        <v>0.77476851851851858</v>
      </c>
      <c r="Z119">
        <v>0</v>
      </c>
      <c r="AA119">
        <v>0</v>
      </c>
      <c r="AB119">
        <v>0</v>
      </c>
      <c r="AC119" s="30">
        <f t="shared" ref="AC119" si="181">AVERAGE(W119:W123)</f>
        <v>11.263200000000001</v>
      </c>
      <c r="AD119" s="17"/>
      <c r="AF119" s="125">
        <v>0</v>
      </c>
      <c r="AG119" s="125" t="s">
        <v>16</v>
      </c>
      <c r="AH119" s="125">
        <v>14592</v>
      </c>
      <c r="AI119" s="125">
        <v>192</v>
      </c>
      <c r="AJ119" s="125">
        <v>2</v>
      </c>
      <c r="AK119" s="125">
        <v>2</v>
      </c>
      <c r="AL119" s="125">
        <v>195.56</v>
      </c>
      <c r="AM119" s="124">
        <v>10.593</v>
      </c>
      <c r="AN119" s="132">
        <v>45313</v>
      </c>
      <c r="AO119" s="129">
        <v>0.79704861111111114</v>
      </c>
      <c r="AP119" s="125">
        <v>0</v>
      </c>
      <c r="AQ119" s="125">
        <v>0</v>
      </c>
      <c r="AR119" s="125">
        <v>0</v>
      </c>
      <c r="AS119" s="134">
        <f t="shared" ref="AS119" si="182">AVERAGE(AM119:AM123)</f>
        <v>10.6624</v>
      </c>
      <c r="AT119" s="130"/>
      <c r="AV119" s="125">
        <v>0</v>
      </c>
      <c r="AW119" s="125" t="s">
        <v>16</v>
      </c>
      <c r="AX119" s="125">
        <v>14592</v>
      </c>
      <c r="AY119" s="125">
        <v>192</v>
      </c>
      <c r="AZ119" s="125">
        <v>2</v>
      </c>
      <c r="BA119" s="125">
        <v>2</v>
      </c>
      <c r="BB119" s="125">
        <v>181.61</v>
      </c>
      <c r="BC119" s="124">
        <v>11.407</v>
      </c>
      <c r="BD119" s="132">
        <v>45313</v>
      </c>
      <c r="BE119" s="129">
        <v>0.80616898148148142</v>
      </c>
      <c r="BF119" s="125">
        <v>0</v>
      </c>
      <c r="BG119" s="125">
        <v>0</v>
      </c>
      <c r="BH119" s="125">
        <v>0</v>
      </c>
      <c r="BI119" s="133">
        <f t="shared" ref="BI119" si="183">AVERAGE(BC119:BC123)</f>
        <v>11.420999999999999</v>
      </c>
    </row>
    <row r="120" spans="1:61" x14ac:dyDescent="0.25">
      <c r="A120">
        <v>1</v>
      </c>
      <c r="B120" t="s">
        <v>16</v>
      </c>
      <c r="C120">
        <v>14592</v>
      </c>
      <c r="D120">
        <v>128</v>
      </c>
      <c r="E120">
        <v>2</v>
      </c>
      <c r="F120">
        <v>2</v>
      </c>
      <c r="G120">
        <v>196.62</v>
      </c>
      <c r="H120" s="17">
        <v>10.536</v>
      </c>
      <c r="I120" s="33">
        <v>45313</v>
      </c>
      <c r="J120" s="37">
        <v>0.85283564814814816</v>
      </c>
      <c r="K120">
        <v>0</v>
      </c>
      <c r="L120">
        <v>0</v>
      </c>
      <c r="M120">
        <v>0</v>
      </c>
      <c r="N120" s="30">
        <f t="shared" ref="N120" si="184">N119</f>
        <v>10.5212</v>
      </c>
      <c r="P120">
        <v>1</v>
      </c>
      <c r="Q120" t="s">
        <v>16</v>
      </c>
      <c r="R120">
        <v>14592</v>
      </c>
      <c r="S120">
        <v>128</v>
      </c>
      <c r="T120">
        <v>2</v>
      </c>
      <c r="U120">
        <v>2</v>
      </c>
      <c r="V120">
        <v>183.97</v>
      </c>
      <c r="W120" s="17">
        <v>11.260999999999999</v>
      </c>
      <c r="X120" s="33">
        <v>45313</v>
      </c>
      <c r="Y120" s="37">
        <v>0.83349537037037036</v>
      </c>
      <c r="Z120">
        <v>0</v>
      </c>
      <c r="AA120">
        <v>0</v>
      </c>
      <c r="AB120">
        <v>0</v>
      </c>
      <c r="AC120" s="30">
        <f t="shared" ref="AC120:AC183" si="185">AC119</f>
        <v>11.263200000000001</v>
      </c>
      <c r="AD120" s="17"/>
      <c r="AF120" s="125">
        <v>1</v>
      </c>
      <c r="AG120" s="125" t="s">
        <v>16</v>
      </c>
      <c r="AH120" s="125">
        <v>14592</v>
      </c>
      <c r="AI120" s="125">
        <v>192</v>
      </c>
      <c r="AJ120" s="125">
        <v>2</v>
      </c>
      <c r="AK120" s="125">
        <v>2</v>
      </c>
      <c r="AL120" s="125">
        <v>193.95</v>
      </c>
      <c r="AM120" s="124">
        <v>10.682</v>
      </c>
      <c r="AN120" s="132">
        <v>45313</v>
      </c>
      <c r="AO120" s="129">
        <v>0.84877314814814808</v>
      </c>
      <c r="AP120" s="125">
        <v>0</v>
      </c>
      <c r="AQ120" s="125">
        <v>0</v>
      </c>
      <c r="AR120" s="125">
        <v>0</v>
      </c>
      <c r="AS120" s="134">
        <f t="shared" ref="AS120" si="186">AS119</f>
        <v>10.6624</v>
      </c>
      <c r="AT120" s="123"/>
      <c r="AV120" s="125">
        <v>1</v>
      </c>
      <c r="AW120" s="125" t="s">
        <v>16</v>
      </c>
      <c r="AX120" s="125">
        <v>14592</v>
      </c>
      <c r="AY120" s="125">
        <v>192</v>
      </c>
      <c r="AZ120" s="125">
        <v>2</v>
      </c>
      <c r="BA120" s="125">
        <v>2</v>
      </c>
      <c r="BB120" s="125">
        <v>181.71</v>
      </c>
      <c r="BC120" s="124">
        <v>11.401</v>
      </c>
      <c r="BD120" s="132">
        <v>45313</v>
      </c>
      <c r="BE120" s="129">
        <v>0.86488425925925927</v>
      </c>
      <c r="BF120" s="125">
        <v>0</v>
      </c>
      <c r="BG120" s="125">
        <v>0</v>
      </c>
      <c r="BH120" s="125">
        <v>0</v>
      </c>
      <c r="BI120" s="133">
        <f t="shared" ref="BI120" si="187">BI119</f>
        <v>11.420999999999999</v>
      </c>
    </row>
    <row r="121" spans="1:61" x14ac:dyDescent="0.25">
      <c r="A121">
        <v>2</v>
      </c>
      <c r="B121" t="s">
        <v>16</v>
      </c>
      <c r="C121">
        <v>14592</v>
      </c>
      <c r="D121">
        <v>128</v>
      </c>
      <c r="E121">
        <v>2</v>
      </c>
      <c r="F121">
        <v>2</v>
      </c>
      <c r="G121">
        <v>196.74</v>
      </c>
      <c r="H121" s="17">
        <v>10.53</v>
      </c>
      <c r="I121" s="33">
        <v>45313</v>
      </c>
      <c r="J121" s="37">
        <v>0.90445601851851853</v>
      </c>
      <c r="K121">
        <v>0</v>
      </c>
      <c r="L121">
        <v>0</v>
      </c>
      <c r="M121">
        <v>0</v>
      </c>
      <c r="N121" s="30">
        <f t="shared" si="136"/>
        <v>10.5212</v>
      </c>
      <c r="P121">
        <v>2</v>
      </c>
      <c r="Q121" t="s">
        <v>16</v>
      </c>
      <c r="R121">
        <v>14592</v>
      </c>
      <c r="S121">
        <v>128</v>
      </c>
      <c r="T121">
        <v>2</v>
      </c>
      <c r="U121">
        <v>2</v>
      </c>
      <c r="V121">
        <v>183.79</v>
      </c>
      <c r="W121" s="17">
        <v>11.272</v>
      </c>
      <c r="X121" s="33">
        <v>45313</v>
      </c>
      <c r="Y121" s="37">
        <v>0.89219907407407406</v>
      </c>
      <c r="Z121">
        <v>0</v>
      </c>
      <c r="AA121">
        <v>0</v>
      </c>
      <c r="AB121">
        <v>0</v>
      </c>
      <c r="AC121" s="30">
        <f t="shared" si="137"/>
        <v>11.263200000000001</v>
      </c>
      <c r="AD121" s="17"/>
      <c r="AF121" s="125">
        <v>2</v>
      </c>
      <c r="AG121" s="125" t="s">
        <v>16</v>
      </c>
      <c r="AH121" s="125">
        <v>14592</v>
      </c>
      <c r="AI121" s="125">
        <v>192</v>
      </c>
      <c r="AJ121" s="125">
        <v>2</v>
      </c>
      <c r="AK121" s="125">
        <v>2</v>
      </c>
      <c r="AL121" s="125">
        <v>193.95</v>
      </c>
      <c r="AM121" s="124">
        <v>10.680999999999999</v>
      </c>
      <c r="AN121" s="132">
        <v>45313</v>
      </c>
      <c r="AO121" s="129">
        <v>0.90049768518518514</v>
      </c>
      <c r="AP121" s="125">
        <v>0</v>
      </c>
      <c r="AQ121" s="125">
        <v>0</v>
      </c>
      <c r="AR121" s="125">
        <v>0</v>
      </c>
      <c r="AS121" s="134">
        <f t="shared" si="138"/>
        <v>10.6624</v>
      </c>
      <c r="AT121" s="123"/>
      <c r="AV121" s="125">
        <v>2</v>
      </c>
      <c r="AW121" s="125" t="s">
        <v>16</v>
      </c>
      <c r="AX121" s="125">
        <v>14592</v>
      </c>
      <c r="AY121" s="125">
        <v>192</v>
      </c>
      <c r="AZ121" s="125">
        <v>2</v>
      </c>
      <c r="BA121" s="125">
        <v>2</v>
      </c>
      <c r="BB121" s="125">
        <v>181.24</v>
      </c>
      <c r="BC121" s="124">
        <v>11.430999999999999</v>
      </c>
      <c r="BD121" s="132">
        <v>45313</v>
      </c>
      <c r="BE121" s="129">
        <v>0.92358796296296297</v>
      </c>
      <c r="BF121" s="125">
        <v>0</v>
      </c>
      <c r="BG121" s="125">
        <v>0</v>
      </c>
      <c r="BH121" s="125">
        <v>0</v>
      </c>
      <c r="BI121" s="133">
        <f t="shared" si="115"/>
        <v>11.420999999999999</v>
      </c>
    </row>
    <row r="122" spans="1:61" x14ac:dyDescent="0.25">
      <c r="A122">
        <v>3</v>
      </c>
      <c r="B122" t="s">
        <v>16</v>
      </c>
      <c r="C122">
        <v>14592</v>
      </c>
      <c r="D122">
        <v>128</v>
      </c>
      <c r="E122">
        <v>2</v>
      </c>
      <c r="F122">
        <v>2</v>
      </c>
      <c r="G122">
        <v>196.74</v>
      </c>
      <c r="H122" s="17">
        <v>10.53</v>
      </c>
      <c r="I122" s="33">
        <v>45313</v>
      </c>
      <c r="J122" s="37">
        <v>0.95606481481481476</v>
      </c>
      <c r="K122">
        <v>0</v>
      </c>
      <c r="L122">
        <v>0</v>
      </c>
      <c r="M122">
        <v>0</v>
      </c>
      <c r="N122" s="30">
        <f t="shared" si="136"/>
        <v>10.5212</v>
      </c>
      <c r="P122">
        <v>3</v>
      </c>
      <c r="Q122" t="s">
        <v>16</v>
      </c>
      <c r="R122">
        <v>14592</v>
      </c>
      <c r="S122">
        <v>128</v>
      </c>
      <c r="T122">
        <v>2</v>
      </c>
      <c r="U122">
        <v>2</v>
      </c>
      <c r="V122">
        <v>183.84</v>
      </c>
      <c r="W122" s="17">
        <v>11.269</v>
      </c>
      <c r="X122" s="33">
        <v>45313</v>
      </c>
      <c r="Y122" s="37">
        <v>0.9509375000000001</v>
      </c>
      <c r="Z122">
        <v>0</v>
      </c>
      <c r="AA122">
        <v>0</v>
      </c>
      <c r="AB122">
        <v>0</v>
      </c>
      <c r="AC122" s="30">
        <f t="shared" si="137"/>
        <v>11.263200000000001</v>
      </c>
      <c r="AD122" s="17"/>
      <c r="AF122" s="125">
        <v>3</v>
      </c>
      <c r="AG122" s="125" t="s">
        <v>16</v>
      </c>
      <c r="AH122" s="125">
        <v>14592</v>
      </c>
      <c r="AI122" s="125">
        <v>192</v>
      </c>
      <c r="AJ122" s="125">
        <v>2</v>
      </c>
      <c r="AK122" s="125">
        <v>2</v>
      </c>
      <c r="AL122" s="125">
        <v>194</v>
      </c>
      <c r="AM122" s="124">
        <v>10.679</v>
      </c>
      <c r="AN122" s="132">
        <v>45313</v>
      </c>
      <c r="AO122" s="129">
        <v>0.95223379629629623</v>
      </c>
      <c r="AP122" s="125">
        <v>0</v>
      </c>
      <c r="AQ122" s="125">
        <v>0</v>
      </c>
      <c r="AR122" s="125">
        <v>0</v>
      </c>
      <c r="AS122" s="134">
        <f t="shared" si="138"/>
        <v>10.6624</v>
      </c>
      <c r="AT122" s="123"/>
      <c r="AV122" s="125">
        <v>3</v>
      </c>
      <c r="AW122" s="125" t="s">
        <v>16</v>
      </c>
      <c r="AX122" s="125">
        <v>14592</v>
      </c>
      <c r="AY122" s="125">
        <v>192</v>
      </c>
      <c r="AZ122" s="125">
        <v>2</v>
      </c>
      <c r="BA122" s="125">
        <v>2</v>
      </c>
      <c r="BB122" s="125">
        <v>181.16</v>
      </c>
      <c r="BC122" s="124">
        <v>11.436</v>
      </c>
      <c r="BD122" s="132">
        <v>45313</v>
      </c>
      <c r="BE122" s="129">
        <v>0.98231481481481486</v>
      </c>
      <c r="BF122" s="125">
        <v>0</v>
      </c>
      <c r="BG122" s="125">
        <v>0</v>
      </c>
      <c r="BH122" s="125">
        <v>0</v>
      </c>
      <c r="BI122" s="133">
        <f t="shared" si="115"/>
        <v>11.420999999999999</v>
      </c>
    </row>
    <row r="123" spans="1:61" x14ac:dyDescent="0.25">
      <c r="A123">
        <v>4</v>
      </c>
      <c r="B123" t="s">
        <v>16</v>
      </c>
      <c r="C123">
        <v>14592</v>
      </c>
      <c r="D123">
        <v>128</v>
      </c>
      <c r="E123">
        <v>2</v>
      </c>
      <c r="F123">
        <v>2</v>
      </c>
      <c r="G123">
        <v>196.56</v>
      </c>
      <c r="H123" s="17">
        <v>10.54</v>
      </c>
      <c r="I123" s="33">
        <v>45314</v>
      </c>
      <c r="J123" s="37">
        <v>7.6736111111111111E-3</v>
      </c>
      <c r="K123">
        <v>0</v>
      </c>
      <c r="L123">
        <v>0</v>
      </c>
      <c r="M123">
        <v>0</v>
      </c>
      <c r="N123" s="30">
        <f t="shared" si="136"/>
        <v>10.5212</v>
      </c>
      <c r="P123">
        <v>4</v>
      </c>
      <c r="Q123" t="s">
        <v>16</v>
      </c>
      <c r="R123">
        <v>14592</v>
      </c>
      <c r="S123">
        <v>128</v>
      </c>
      <c r="T123">
        <v>2</v>
      </c>
      <c r="U123">
        <v>2</v>
      </c>
      <c r="V123">
        <v>184.06</v>
      </c>
      <c r="W123" s="17">
        <v>11.255000000000001</v>
      </c>
      <c r="X123" s="33">
        <v>45314</v>
      </c>
      <c r="Y123" s="37">
        <v>9.6527777777777775E-3</v>
      </c>
      <c r="Z123">
        <v>0</v>
      </c>
      <c r="AA123">
        <v>0</v>
      </c>
      <c r="AB123">
        <v>0</v>
      </c>
      <c r="AC123" s="30">
        <f t="shared" si="137"/>
        <v>11.263200000000001</v>
      </c>
      <c r="AD123" s="17"/>
      <c r="AF123" s="125">
        <v>4</v>
      </c>
      <c r="AG123" s="125" t="s">
        <v>16</v>
      </c>
      <c r="AH123" s="125">
        <v>14592</v>
      </c>
      <c r="AI123" s="125">
        <v>192</v>
      </c>
      <c r="AJ123" s="125">
        <v>2</v>
      </c>
      <c r="AK123" s="125">
        <v>2</v>
      </c>
      <c r="AL123" s="125">
        <v>194.04</v>
      </c>
      <c r="AM123" s="124">
        <v>10.677</v>
      </c>
      <c r="AN123" s="132">
        <v>45314</v>
      </c>
      <c r="AO123" s="129">
        <v>3.9814814814814817E-3</v>
      </c>
      <c r="AP123" s="125">
        <v>0</v>
      </c>
      <c r="AQ123" s="125">
        <v>0</v>
      </c>
      <c r="AR123" s="125">
        <v>0</v>
      </c>
      <c r="AS123" s="134">
        <f t="shared" si="138"/>
        <v>10.6624</v>
      </c>
      <c r="AT123" s="123"/>
      <c r="AV123" s="125">
        <v>4</v>
      </c>
      <c r="AW123" s="125" t="s">
        <v>16</v>
      </c>
      <c r="AX123" s="125">
        <v>14592</v>
      </c>
      <c r="AY123" s="125">
        <v>192</v>
      </c>
      <c r="AZ123" s="125">
        <v>2</v>
      </c>
      <c r="BA123" s="125">
        <v>2</v>
      </c>
      <c r="BB123" s="125">
        <v>181.24</v>
      </c>
      <c r="BC123" s="124">
        <v>11.43</v>
      </c>
      <c r="BD123" s="132">
        <v>45314</v>
      </c>
      <c r="BE123" s="129">
        <v>4.1030092592592597E-2</v>
      </c>
      <c r="BF123" s="125">
        <v>0</v>
      </c>
      <c r="BG123" s="125">
        <v>0</v>
      </c>
      <c r="BH123" s="125">
        <v>0</v>
      </c>
      <c r="BI123" s="133">
        <f t="shared" si="115"/>
        <v>11.420999999999999</v>
      </c>
    </row>
    <row r="124" spans="1:61" x14ac:dyDescent="0.25">
      <c r="A124">
        <v>0</v>
      </c>
      <c r="B124" t="s">
        <v>16</v>
      </c>
      <c r="C124">
        <v>12960</v>
      </c>
      <c r="D124">
        <v>160</v>
      </c>
      <c r="E124">
        <v>1</v>
      </c>
      <c r="F124">
        <v>4</v>
      </c>
      <c r="G124">
        <v>137.22</v>
      </c>
      <c r="H124" s="17">
        <v>10.577999999999999</v>
      </c>
      <c r="I124" s="33">
        <v>45313</v>
      </c>
      <c r="J124" s="37">
        <v>0.76079861111111102</v>
      </c>
      <c r="K124">
        <v>0</v>
      </c>
      <c r="L124">
        <v>0</v>
      </c>
      <c r="M124">
        <v>0</v>
      </c>
      <c r="N124" s="30">
        <f t="shared" ref="N124:N184" si="188">AVERAGE(H124:H128)</f>
        <v>10.572199999999999</v>
      </c>
      <c r="P124">
        <v>0</v>
      </c>
      <c r="Q124" t="s">
        <v>16</v>
      </c>
      <c r="R124">
        <v>12960</v>
      </c>
      <c r="S124">
        <v>160</v>
      </c>
      <c r="T124">
        <v>1</v>
      </c>
      <c r="U124">
        <v>4</v>
      </c>
      <c r="V124">
        <v>129.44999999999999</v>
      </c>
      <c r="W124" s="17">
        <v>11.212</v>
      </c>
      <c r="X124" s="33">
        <v>45313</v>
      </c>
      <c r="Y124" s="37">
        <v>0.76495370370370364</v>
      </c>
      <c r="Z124">
        <v>0</v>
      </c>
      <c r="AA124">
        <v>0</v>
      </c>
      <c r="AB124">
        <v>0</v>
      </c>
      <c r="AC124" s="30">
        <f t="shared" ref="AC124" si="189">AVERAGE(W124:W128)</f>
        <v>11.209600000000002</v>
      </c>
    </row>
    <row r="125" spans="1:61" x14ac:dyDescent="0.25">
      <c r="A125">
        <v>1</v>
      </c>
      <c r="B125" t="s">
        <v>16</v>
      </c>
      <c r="C125">
        <v>12960</v>
      </c>
      <c r="D125">
        <v>160</v>
      </c>
      <c r="E125">
        <v>1</v>
      </c>
      <c r="F125">
        <v>4</v>
      </c>
      <c r="G125">
        <v>137.27000000000001</v>
      </c>
      <c r="H125" s="17">
        <v>10.573</v>
      </c>
      <c r="I125" s="33">
        <v>45313</v>
      </c>
      <c r="J125" s="37">
        <v>0.81256944444444434</v>
      </c>
      <c r="K125">
        <v>0</v>
      </c>
      <c r="L125">
        <v>0</v>
      </c>
      <c r="M125">
        <v>0</v>
      </c>
      <c r="N125" s="30">
        <f t="shared" ref="N125:N188" si="190">N124</f>
        <v>10.572199999999999</v>
      </c>
      <c r="P125">
        <v>1</v>
      </c>
      <c r="Q125" t="s">
        <v>16</v>
      </c>
      <c r="R125">
        <v>12960</v>
      </c>
      <c r="S125">
        <v>160</v>
      </c>
      <c r="T125">
        <v>1</v>
      </c>
      <c r="U125">
        <v>4</v>
      </c>
      <c r="V125">
        <v>129.53</v>
      </c>
      <c r="W125" s="17">
        <v>11.205</v>
      </c>
      <c r="X125" s="33">
        <v>45313</v>
      </c>
      <c r="Y125" s="37">
        <v>0.79636574074074085</v>
      </c>
      <c r="Z125">
        <v>0</v>
      </c>
      <c r="AA125">
        <v>0</v>
      </c>
      <c r="AB125">
        <v>0</v>
      </c>
      <c r="AC125" s="30">
        <f t="shared" si="185"/>
        <v>11.209600000000002</v>
      </c>
    </row>
    <row r="126" spans="1:61" x14ac:dyDescent="0.25">
      <c r="A126">
        <v>2</v>
      </c>
      <c r="B126" t="s">
        <v>16</v>
      </c>
      <c r="C126">
        <v>12960</v>
      </c>
      <c r="D126">
        <v>160</v>
      </c>
      <c r="E126">
        <v>1</v>
      </c>
      <c r="F126">
        <v>4</v>
      </c>
      <c r="G126">
        <v>137.28</v>
      </c>
      <c r="H126" s="17">
        <v>10.573</v>
      </c>
      <c r="I126" s="33">
        <v>45313</v>
      </c>
      <c r="J126" s="37">
        <v>0.87155092592592587</v>
      </c>
      <c r="K126">
        <v>0</v>
      </c>
      <c r="L126">
        <v>0</v>
      </c>
      <c r="M126">
        <v>0</v>
      </c>
      <c r="N126" s="30">
        <f t="shared" si="190"/>
        <v>10.572199999999999</v>
      </c>
      <c r="P126">
        <v>2</v>
      </c>
      <c r="Q126" t="s">
        <v>16</v>
      </c>
      <c r="R126">
        <v>12960</v>
      </c>
      <c r="S126">
        <v>160</v>
      </c>
      <c r="T126">
        <v>1</v>
      </c>
      <c r="U126">
        <v>4</v>
      </c>
      <c r="V126">
        <v>129.35</v>
      </c>
      <c r="W126" s="17">
        <v>11.221</v>
      </c>
      <c r="X126" s="33">
        <v>45313</v>
      </c>
      <c r="Y126" s="37">
        <v>0.85506944444444455</v>
      </c>
      <c r="Z126">
        <v>0</v>
      </c>
      <c r="AA126">
        <v>0</v>
      </c>
      <c r="AB126">
        <v>0</v>
      </c>
      <c r="AC126" s="30">
        <f t="shared" si="185"/>
        <v>11.209600000000002</v>
      </c>
    </row>
    <row r="127" spans="1:61" x14ac:dyDescent="0.25">
      <c r="A127">
        <v>3</v>
      </c>
      <c r="B127" t="s">
        <v>16</v>
      </c>
      <c r="C127">
        <v>12960</v>
      </c>
      <c r="D127">
        <v>160</v>
      </c>
      <c r="E127">
        <v>1</v>
      </c>
      <c r="F127">
        <v>4</v>
      </c>
      <c r="G127">
        <v>137.31</v>
      </c>
      <c r="H127" s="17">
        <v>10.57</v>
      </c>
      <c r="I127" s="33">
        <v>45313</v>
      </c>
      <c r="J127" s="37">
        <v>0.9231597222222222</v>
      </c>
      <c r="K127">
        <v>0</v>
      </c>
      <c r="L127">
        <v>0</v>
      </c>
      <c r="M127">
        <v>0</v>
      </c>
      <c r="N127" s="30">
        <f t="shared" si="190"/>
        <v>10.572199999999999</v>
      </c>
      <c r="P127">
        <v>3</v>
      </c>
      <c r="Q127" t="s">
        <v>16</v>
      </c>
      <c r="R127">
        <v>12960</v>
      </c>
      <c r="S127">
        <v>160</v>
      </c>
      <c r="T127">
        <v>1</v>
      </c>
      <c r="U127">
        <v>4</v>
      </c>
      <c r="V127">
        <v>129.59</v>
      </c>
      <c r="W127" s="17">
        <v>11.2</v>
      </c>
      <c r="X127" s="33">
        <v>45313</v>
      </c>
      <c r="Y127" s="37">
        <v>0.91379629629629633</v>
      </c>
      <c r="Z127">
        <v>0</v>
      </c>
      <c r="AA127">
        <v>0</v>
      </c>
      <c r="AB127">
        <v>0</v>
      </c>
      <c r="AC127" s="30">
        <f t="shared" si="185"/>
        <v>11.209600000000002</v>
      </c>
    </row>
    <row r="128" spans="1:61" x14ac:dyDescent="0.25">
      <c r="A128">
        <v>4</v>
      </c>
      <c r="B128" t="s">
        <v>16</v>
      </c>
      <c r="C128">
        <v>12960</v>
      </c>
      <c r="D128">
        <v>160</v>
      </c>
      <c r="E128">
        <v>1</v>
      </c>
      <c r="F128">
        <v>4</v>
      </c>
      <c r="G128">
        <v>137.35</v>
      </c>
      <c r="H128" s="17">
        <v>10.567</v>
      </c>
      <c r="I128" s="33">
        <v>45313</v>
      </c>
      <c r="J128" s="37">
        <v>0.97476851851851853</v>
      </c>
      <c r="K128">
        <v>0</v>
      </c>
      <c r="L128">
        <v>0</v>
      </c>
      <c r="M128">
        <v>0</v>
      </c>
      <c r="N128" s="30">
        <f t="shared" si="190"/>
        <v>10.572199999999999</v>
      </c>
      <c r="P128">
        <v>4</v>
      </c>
      <c r="Q128" t="s">
        <v>16</v>
      </c>
      <c r="R128">
        <v>12960</v>
      </c>
      <c r="S128">
        <v>160</v>
      </c>
      <c r="T128">
        <v>1</v>
      </c>
      <c r="U128">
        <v>4</v>
      </c>
      <c r="V128">
        <v>129.47999999999999</v>
      </c>
      <c r="W128" s="17">
        <v>11.21</v>
      </c>
      <c r="X128" s="33">
        <v>45313</v>
      </c>
      <c r="Y128" s="37">
        <v>0.97251157407407407</v>
      </c>
      <c r="Z128">
        <v>0</v>
      </c>
      <c r="AA128">
        <v>0</v>
      </c>
      <c r="AB128">
        <v>0</v>
      </c>
      <c r="AC128" s="30">
        <f t="shared" si="185"/>
        <v>11.209600000000002</v>
      </c>
    </row>
    <row r="129" spans="1:29" x14ac:dyDescent="0.25">
      <c r="A129">
        <v>0</v>
      </c>
      <c r="B129" t="s">
        <v>16</v>
      </c>
      <c r="C129">
        <v>13760</v>
      </c>
      <c r="D129">
        <v>160</v>
      </c>
      <c r="E129">
        <v>1</v>
      </c>
      <c r="F129">
        <v>4</v>
      </c>
      <c r="G129">
        <v>163.72</v>
      </c>
      <c r="H129" s="17">
        <v>10.61</v>
      </c>
      <c r="I129" s="33">
        <v>45313</v>
      </c>
      <c r="J129" s="37">
        <v>0.77728009259259256</v>
      </c>
      <c r="K129">
        <v>0</v>
      </c>
      <c r="L129">
        <v>0</v>
      </c>
      <c r="M129">
        <v>0</v>
      </c>
      <c r="N129" s="30">
        <f t="shared" si="188"/>
        <v>10.6022</v>
      </c>
      <c r="P129">
        <v>0</v>
      </c>
      <c r="Q129" t="s">
        <v>16</v>
      </c>
      <c r="R129">
        <v>13760</v>
      </c>
      <c r="S129">
        <v>160</v>
      </c>
      <c r="T129">
        <v>1</v>
      </c>
      <c r="U129">
        <v>4</v>
      </c>
      <c r="V129">
        <v>154.13999999999999</v>
      </c>
      <c r="W129" s="17">
        <v>11.27</v>
      </c>
      <c r="X129" s="33">
        <v>45313</v>
      </c>
      <c r="Y129" s="37">
        <v>0.7562268518518519</v>
      </c>
      <c r="Z129">
        <v>0</v>
      </c>
      <c r="AA129">
        <v>0</v>
      </c>
      <c r="AB129">
        <v>0</v>
      </c>
      <c r="AC129" s="30">
        <f t="shared" ref="AC129:AC189" si="191">AVERAGE(W129:W133)</f>
        <v>11.273599999999998</v>
      </c>
    </row>
    <row r="130" spans="1:29" x14ac:dyDescent="0.25">
      <c r="A130">
        <v>1</v>
      </c>
      <c r="B130" t="s">
        <v>16</v>
      </c>
      <c r="C130">
        <v>13760</v>
      </c>
      <c r="D130">
        <v>160</v>
      </c>
      <c r="E130">
        <v>1</v>
      </c>
      <c r="F130">
        <v>4</v>
      </c>
      <c r="G130">
        <v>163.93</v>
      </c>
      <c r="H130" s="17">
        <v>10.597</v>
      </c>
      <c r="I130" s="33">
        <v>45313</v>
      </c>
      <c r="J130" s="37">
        <v>0.82907407407407396</v>
      </c>
      <c r="K130">
        <v>0</v>
      </c>
      <c r="L130">
        <v>0</v>
      </c>
      <c r="M130">
        <v>0</v>
      </c>
      <c r="N130" s="30">
        <f t="shared" si="190"/>
        <v>10.6022</v>
      </c>
      <c r="P130">
        <v>1</v>
      </c>
      <c r="Q130" t="s">
        <v>16</v>
      </c>
      <c r="R130">
        <v>13760</v>
      </c>
      <c r="S130">
        <v>160</v>
      </c>
      <c r="T130">
        <v>1</v>
      </c>
      <c r="U130">
        <v>4</v>
      </c>
      <c r="V130">
        <v>153.97999999999999</v>
      </c>
      <c r="W130" s="17">
        <v>11.282</v>
      </c>
      <c r="X130" s="33">
        <v>45313</v>
      </c>
      <c r="Y130" s="37">
        <v>0.81495370370370368</v>
      </c>
      <c r="Z130">
        <v>0</v>
      </c>
      <c r="AA130">
        <v>0</v>
      </c>
      <c r="AB130">
        <v>0</v>
      </c>
      <c r="AC130" s="30">
        <f t="shared" si="185"/>
        <v>11.273599999999998</v>
      </c>
    </row>
    <row r="131" spans="1:29" x14ac:dyDescent="0.25">
      <c r="A131">
        <v>2</v>
      </c>
      <c r="B131" t="s">
        <v>16</v>
      </c>
      <c r="C131">
        <v>13760</v>
      </c>
      <c r="D131">
        <v>160</v>
      </c>
      <c r="E131">
        <v>1</v>
      </c>
      <c r="F131">
        <v>4</v>
      </c>
      <c r="G131">
        <v>163.84</v>
      </c>
      <c r="H131" s="17">
        <v>10.602</v>
      </c>
      <c r="I131" s="33">
        <v>45313</v>
      </c>
      <c r="J131" s="37">
        <v>0.88802083333333337</v>
      </c>
      <c r="K131">
        <v>0</v>
      </c>
      <c r="L131">
        <v>0</v>
      </c>
      <c r="M131">
        <v>0</v>
      </c>
      <c r="N131" s="30">
        <f t="shared" si="190"/>
        <v>10.6022</v>
      </c>
      <c r="P131">
        <v>2</v>
      </c>
      <c r="Q131" t="s">
        <v>16</v>
      </c>
      <c r="R131">
        <v>13760</v>
      </c>
      <c r="S131">
        <v>160</v>
      </c>
      <c r="T131">
        <v>1</v>
      </c>
      <c r="U131">
        <v>4</v>
      </c>
      <c r="V131">
        <v>153.94999999999999</v>
      </c>
      <c r="W131" s="17">
        <v>11.284000000000001</v>
      </c>
      <c r="X131" s="33">
        <v>45313</v>
      </c>
      <c r="Y131" s="37">
        <v>0.87365740740740738</v>
      </c>
      <c r="Z131">
        <v>0</v>
      </c>
      <c r="AA131">
        <v>0</v>
      </c>
      <c r="AB131">
        <v>0</v>
      </c>
      <c r="AC131" s="30">
        <f t="shared" si="185"/>
        <v>11.273599999999998</v>
      </c>
    </row>
    <row r="132" spans="1:29" x14ac:dyDescent="0.25">
      <c r="A132">
        <v>3</v>
      </c>
      <c r="B132" t="s">
        <v>16</v>
      </c>
      <c r="C132">
        <v>13760</v>
      </c>
      <c r="D132">
        <v>160</v>
      </c>
      <c r="E132">
        <v>1</v>
      </c>
      <c r="F132">
        <v>4</v>
      </c>
      <c r="G132">
        <v>163.87</v>
      </c>
      <c r="H132" s="17">
        <v>10.601000000000001</v>
      </c>
      <c r="I132" s="33">
        <v>45313</v>
      </c>
      <c r="J132" s="37">
        <v>0.93961805555555555</v>
      </c>
      <c r="K132">
        <v>0</v>
      </c>
      <c r="L132">
        <v>0</v>
      </c>
      <c r="M132">
        <v>0</v>
      </c>
      <c r="N132" s="30">
        <f t="shared" si="190"/>
        <v>10.6022</v>
      </c>
      <c r="P132">
        <v>3</v>
      </c>
      <c r="Q132" t="s">
        <v>16</v>
      </c>
      <c r="R132">
        <v>13760</v>
      </c>
      <c r="S132">
        <v>160</v>
      </c>
      <c r="T132">
        <v>1</v>
      </c>
      <c r="U132">
        <v>4</v>
      </c>
      <c r="V132">
        <v>154.24</v>
      </c>
      <c r="W132" s="17">
        <v>11.263</v>
      </c>
      <c r="X132" s="33">
        <v>45313</v>
      </c>
      <c r="Y132" s="37">
        <v>0.93238425925925927</v>
      </c>
      <c r="Z132">
        <v>0</v>
      </c>
      <c r="AA132">
        <v>0</v>
      </c>
      <c r="AB132">
        <v>0</v>
      </c>
      <c r="AC132" s="30">
        <f t="shared" si="185"/>
        <v>11.273599999999998</v>
      </c>
    </row>
    <row r="133" spans="1:29" x14ac:dyDescent="0.25">
      <c r="A133">
        <v>4</v>
      </c>
      <c r="B133" t="s">
        <v>16</v>
      </c>
      <c r="C133">
        <v>13760</v>
      </c>
      <c r="D133">
        <v>160</v>
      </c>
      <c r="E133">
        <v>1</v>
      </c>
      <c r="F133">
        <v>4</v>
      </c>
      <c r="G133">
        <v>163.86</v>
      </c>
      <c r="H133" s="17">
        <v>10.601000000000001</v>
      </c>
      <c r="I133" s="33">
        <v>45313</v>
      </c>
      <c r="J133" s="37">
        <v>0.99123842592592604</v>
      </c>
      <c r="K133">
        <v>0</v>
      </c>
      <c r="L133">
        <v>0</v>
      </c>
      <c r="M133">
        <v>0</v>
      </c>
      <c r="N133" s="30">
        <f t="shared" si="190"/>
        <v>10.6022</v>
      </c>
      <c r="P133">
        <v>4</v>
      </c>
      <c r="Q133" t="s">
        <v>16</v>
      </c>
      <c r="R133">
        <v>13760</v>
      </c>
      <c r="S133">
        <v>160</v>
      </c>
      <c r="T133">
        <v>1</v>
      </c>
      <c r="U133">
        <v>4</v>
      </c>
      <c r="V133">
        <v>154.16</v>
      </c>
      <c r="W133" s="17">
        <v>11.269</v>
      </c>
      <c r="X133" s="33">
        <v>45313</v>
      </c>
      <c r="Y133" s="37">
        <v>0.99111111111111105</v>
      </c>
      <c r="Z133">
        <v>0</v>
      </c>
      <c r="AA133">
        <v>0</v>
      </c>
      <c r="AB133">
        <v>0</v>
      </c>
      <c r="AC133" s="30">
        <f t="shared" si="185"/>
        <v>11.273599999999998</v>
      </c>
    </row>
    <row r="134" spans="1:29" x14ac:dyDescent="0.25">
      <c r="A134">
        <v>0</v>
      </c>
      <c r="B134" t="s">
        <v>16</v>
      </c>
      <c r="C134">
        <v>14560</v>
      </c>
      <c r="D134">
        <v>160</v>
      </c>
      <c r="E134">
        <v>1</v>
      </c>
      <c r="F134">
        <v>4</v>
      </c>
      <c r="G134">
        <v>194.31</v>
      </c>
      <c r="H134" s="17">
        <v>10.592000000000001</v>
      </c>
      <c r="I134" s="33">
        <v>45313</v>
      </c>
      <c r="J134" s="37">
        <v>0.79623842592592586</v>
      </c>
      <c r="K134">
        <v>0</v>
      </c>
      <c r="L134">
        <v>0</v>
      </c>
      <c r="M134">
        <v>0</v>
      </c>
      <c r="N134" s="30">
        <f t="shared" si="188"/>
        <v>10.5938</v>
      </c>
      <c r="P134">
        <v>0</v>
      </c>
      <c r="Q134" t="s">
        <v>16</v>
      </c>
      <c r="R134">
        <v>14560</v>
      </c>
      <c r="S134">
        <v>160</v>
      </c>
      <c r="T134">
        <v>1</v>
      </c>
      <c r="U134">
        <v>4</v>
      </c>
      <c r="V134">
        <v>181.72</v>
      </c>
      <c r="W134" s="17">
        <v>11.324999999999999</v>
      </c>
      <c r="X134" s="33">
        <v>45313</v>
      </c>
      <c r="Y134" s="37">
        <v>0.77755787037037039</v>
      </c>
      <c r="Z134">
        <v>0</v>
      </c>
      <c r="AA134">
        <v>0</v>
      </c>
      <c r="AB134">
        <v>0</v>
      </c>
      <c r="AC134" s="30">
        <f t="shared" si="191"/>
        <v>11.323399999999999</v>
      </c>
    </row>
    <row r="135" spans="1:29" x14ac:dyDescent="0.25">
      <c r="A135">
        <v>1</v>
      </c>
      <c r="B135" t="s">
        <v>16</v>
      </c>
      <c r="C135">
        <v>14560</v>
      </c>
      <c r="D135">
        <v>160</v>
      </c>
      <c r="E135">
        <v>1</v>
      </c>
      <c r="F135">
        <v>4</v>
      </c>
      <c r="G135">
        <v>194.27</v>
      </c>
      <c r="H135" s="17">
        <v>10.593999999999999</v>
      </c>
      <c r="I135" s="33">
        <v>45313</v>
      </c>
      <c r="J135" s="37">
        <v>0.85525462962962961</v>
      </c>
      <c r="K135">
        <v>0</v>
      </c>
      <c r="L135">
        <v>0</v>
      </c>
      <c r="M135">
        <v>0</v>
      </c>
      <c r="N135" s="30">
        <f t="shared" si="190"/>
        <v>10.5938</v>
      </c>
      <c r="P135">
        <v>1</v>
      </c>
      <c r="Q135" t="s">
        <v>16</v>
      </c>
      <c r="R135">
        <v>14560</v>
      </c>
      <c r="S135">
        <v>160</v>
      </c>
      <c r="T135">
        <v>1</v>
      </c>
      <c r="U135">
        <v>4</v>
      </c>
      <c r="V135">
        <v>182.02</v>
      </c>
      <c r="W135" s="17">
        <v>11.307</v>
      </c>
      <c r="X135" s="33">
        <v>45313</v>
      </c>
      <c r="Y135" s="37">
        <v>0.83628472222222217</v>
      </c>
      <c r="Z135">
        <v>0</v>
      </c>
      <c r="AA135">
        <v>0</v>
      </c>
      <c r="AB135">
        <v>0</v>
      </c>
      <c r="AC135" s="30">
        <f t="shared" si="185"/>
        <v>11.323399999999999</v>
      </c>
    </row>
    <row r="136" spans="1:29" x14ac:dyDescent="0.25">
      <c r="A136">
        <v>2</v>
      </c>
      <c r="B136" t="s">
        <v>16</v>
      </c>
      <c r="C136">
        <v>14560</v>
      </c>
      <c r="D136">
        <v>160</v>
      </c>
      <c r="E136">
        <v>1</v>
      </c>
      <c r="F136">
        <v>4</v>
      </c>
      <c r="G136">
        <v>194.24</v>
      </c>
      <c r="H136" s="17">
        <v>10.596</v>
      </c>
      <c r="I136" s="33">
        <v>45313</v>
      </c>
      <c r="J136" s="37">
        <v>0.90687499999999999</v>
      </c>
      <c r="K136">
        <v>0</v>
      </c>
      <c r="L136">
        <v>0</v>
      </c>
      <c r="M136">
        <v>0</v>
      </c>
      <c r="N136" s="30">
        <f t="shared" si="190"/>
        <v>10.5938</v>
      </c>
      <c r="P136">
        <v>2</v>
      </c>
      <c r="Q136" t="s">
        <v>16</v>
      </c>
      <c r="R136">
        <v>14560</v>
      </c>
      <c r="S136">
        <v>160</v>
      </c>
      <c r="T136">
        <v>1</v>
      </c>
      <c r="U136">
        <v>4</v>
      </c>
      <c r="V136">
        <v>181.73</v>
      </c>
      <c r="W136" s="17">
        <v>11.324999999999999</v>
      </c>
      <c r="X136" s="33">
        <v>45313</v>
      </c>
      <c r="Y136" s="37">
        <v>0.89498842592592587</v>
      </c>
      <c r="Z136">
        <v>0</v>
      </c>
      <c r="AA136">
        <v>0</v>
      </c>
      <c r="AB136">
        <v>0</v>
      </c>
      <c r="AC136" s="30">
        <f t="shared" si="185"/>
        <v>11.323399999999999</v>
      </c>
    </row>
    <row r="137" spans="1:29" x14ac:dyDescent="0.25">
      <c r="A137">
        <v>3</v>
      </c>
      <c r="B137" t="s">
        <v>16</v>
      </c>
      <c r="C137">
        <v>14560</v>
      </c>
      <c r="D137">
        <v>160</v>
      </c>
      <c r="E137">
        <v>1</v>
      </c>
      <c r="F137">
        <v>4</v>
      </c>
      <c r="G137">
        <v>194.3</v>
      </c>
      <c r="H137" s="17">
        <v>10.592000000000001</v>
      </c>
      <c r="I137" s="33">
        <v>45313</v>
      </c>
      <c r="J137" s="37">
        <v>0.95848379629629632</v>
      </c>
      <c r="K137">
        <v>0</v>
      </c>
      <c r="L137">
        <v>0</v>
      </c>
      <c r="M137">
        <v>0</v>
      </c>
      <c r="N137" s="30">
        <f t="shared" si="190"/>
        <v>10.5938</v>
      </c>
      <c r="P137">
        <v>3</v>
      </c>
      <c r="Q137" t="s">
        <v>16</v>
      </c>
      <c r="R137">
        <v>14560</v>
      </c>
      <c r="S137">
        <v>160</v>
      </c>
      <c r="T137">
        <v>1</v>
      </c>
      <c r="U137">
        <v>4</v>
      </c>
      <c r="V137">
        <v>181.68</v>
      </c>
      <c r="W137" s="17">
        <v>11.327999999999999</v>
      </c>
      <c r="X137" s="33">
        <v>45313</v>
      </c>
      <c r="Y137" s="37">
        <v>0.9537268518518518</v>
      </c>
      <c r="Z137">
        <v>0</v>
      </c>
      <c r="AA137">
        <v>0</v>
      </c>
      <c r="AB137">
        <v>0</v>
      </c>
      <c r="AC137" s="30">
        <f t="shared" si="185"/>
        <v>11.323399999999999</v>
      </c>
    </row>
    <row r="138" spans="1:29" x14ac:dyDescent="0.25">
      <c r="A138">
        <v>4</v>
      </c>
      <c r="B138" t="s">
        <v>16</v>
      </c>
      <c r="C138">
        <v>14560</v>
      </c>
      <c r="D138">
        <v>160</v>
      </c>
      <c r="E138">
        <v>1</v>
      </c>
      <c r="F138">
        <v>4</v>
      </c>
      <c r="G138">
        <v>194.25</v>
      </c>
      <c r="H138" s="17">
        <v>10.595000000000001</v>
      </c>
      <c r="I138" s="33">
        <v>45314</v>
      </c>
      <c r="J138" s="37">
        <v>1.0092592592592592E-2</v>
      </c>
      <c r="K138">
        <v>0</v>
      </c>
      <c r="L138">
        <v>0</v>
      </c>
      <c r="M138">
        <v>0</v>
      </c>
      <c r="N138" s="30">
        <f t="shared" si="190"/>
        <v>10.5938</v>
      </c>
      <c r="P138">
        <v>4</v>
      </c>
      <c r="Q138" t="s">
        <v>16</v>
      </c>
      <c r="R138">
        <v>14560</v>
      </c>
      <c r="S138">
        <v>160</v>
      </c>
      <c r="T138">
        <v>1</v>
      </c>
      <c r="U138">
        <v>4</v>
      </c>
      <c r="V138">
        <v>181.61</v>
      </c>
      <c r="W138" s="17">
        <v>11.332000000000001</v>
      </c>
      <c r="X138" s="33">
        <v>45314</v>
      </c>
      <c r="Y138" s="37">
        <v>1.2442129629629629E-2</v>
      </c>
      <c r="Z138">
        <v>0</v>
      </c>
      <c r="AA138">
        <v>0</v>
      </c>
      <c r="AB138">
        <v>0</v>
      </c>
      <c r="AC138" s="30">
        <f t="shared" si="185"/>
        <v>11.323399999999999</v>
      </c>
    </row>
    <row r="139" spans="1:29" x14ac:dyDescent="0.25">
      <c r="A139">
        <v>0</v>
      </c>
      <c r="B139" t="s">
        <v>16</v>
      </c>
      <c r="C139">
        <v>12960</v>
      </c>
      <c r="D139">
        <v>160</v>
      </c>
      <c r="E139">
        <v>2</v>
      </c>
      <c r="F139">
        <v>2</v>
      </c>
      <c r="G139">
        <v>136.94</v>
      </c>
      <c r="H139" s="17">
        <v>10.599</v>
      </c>
      <c r="I139" s="33">
        <v>45313</v>
      </c>
      <c r="J139" s="37">
        <v>0.76252314814814814</v>
      </c>
      <c r="K139">
        <v>0</v>
      </c>
      <c r="L139">
        <v>0</v>
      </c>
      <c r="M139">
        <v>0</v>
      </c>
      <c r="N139" s="30">
        <f t="shared" si="188"/>
        <v>10.601800000000001</v>
      </c>
      <c r="P139">
        <v>0</v>
      </c>
      <c r="Q139" t="s">
        <v>16</v>
      </c>
      <c r="R139">
        <v>12960</v>
      </c>
      <c r="S139">
        <v>160</v>
      </c>
      <c r="T139">
        <v>2</v>
      </c>
      <c r="U139">
        <v>2</v>
      </c>
      <c r="V139">
        <v>128.83000000000001</v>
      </c>
      <c r="W139" s="17">
        <v>11.266</v>
      </c>
      <c r="X139" s="33">
        <v>45313</v>
      </c>
      <c r="Y139" s="37">
        <v>0.76700231481481485</v>
      </c>
      <c r="Z139">
        <v>0</v>
      </c>
      <c r="AA139">
        <v>0</v>
      </c>
      <c r="AB139">
        <v>0</v>
      </c>
      <c r="AC139" s="30">
        <f t="shared" si="191"/>
        <v>11.266399999999999</v>
      </c>
    </row>
    <row r="140" spans="1:29" x14ac:dyDescent="0.25">
      <c r="A140">
        <v>1</v>
      </c>
      <c r="B140" t="s">
        <v>16</v>
      </c>
      <c r="C140">
        <v>12960</v>
      </c>
      <c r="D140">
        <v>160</v>
      </c>
      <c r="E140">
        <v>2</v>
      </c>
      <c r="F140">
        <v>2</v>
      </c>
      <c r="G140">
        <v>136.91999999999999</v>
      </c>
      <c r="H140" s="17">
        <v>10.6</v>
      </c>
      <c r="I140" s="33">
        <v>45313</v>
      </c>
      <c r="J140" s="37">
        <v>0.8143055555555555</v>
      </c>
      <c r="K140">
        <v>0</v>
      </c>
      <c r="L140">
        <v>0</v>
      </c>
      <c r="M140">
        <v>0</v>
      </c>
      <c r="N140" s="30">
        <f t="shared" si="190"/>
        <v>10.601800000000001</v>
      </c>
      <c r="P140">
        <v>1</v>
      </c>
      <c r="Q140" t="s">
        <v>16</v>
      </c>
      <c r="R140">
        <v>12960</v>
      </c>
      <c r="S140">
        <v>160</v>
      </c>
      <c r="T140">
        <v>2</v>
      </c>
      <c r="U140">
        <v>2</v>
      </c>
      <c r="V140">
        <v>128.88</v>
      </c>
      <c r="W140" s="17">
        <v>11.262</v>
      </c>
      <c r="X140" s="33">
        <v>45313</v>
      </c>
      <c r="Y140" s="37">
        <v>0.79841435185185183</v>
      </c>
      <c r="Z140">
        <v>0</v>
      </c>
      <c r="AA140">
        <v>0</v>
      </c>
      <c r="AB140">
        <v>0</v>
      </c>
      <c r="AC140" s="30">
        <f t="shared" si="185"/>
        <v>11.266399999999999</v>
      </c>
    </row>
    <row r="141" spans="1:29" x14ac:dyDescent="0.25">
      <c r="A141">
        <v>2</v>
      </c>
      <c r="B141" t="s">
        <v>16</v>
      </c>
      <c r="C141">
        <v>12960</v>
      </c>
      <c r="D141">
        <v>160</v>
      </c>
      <c r="E141">
        <v>2</v>
      </c>
      <c r="F141">
        <v>2</v>
      </c>
      <c r="G141">
        <v>136.93</v>
      </c>
      <c r="H141" s="17">
        <v>10.6</v>
      </c>
      <c r="I141" s="33">
        <v>45313</v>
      </c>
      <c r="J141" s="37">
        <v>0.87327546296296299</v>
      </c>
      <c r="K141">
        <v>0</v>
      </c>
      <c r="L141">
        <v>0</v>
      </c>
      <c r="M141">
        <v>0</v>
      </c>
      <c r="N141" s="30">
        <f t="shared" si="190"/>
        <v>10.601800000000001</v>
      </c>
      <c r="P141">
        <v>2</v>
      </c>
      <c r="Q141" t="s">
        <v>16</v>
      </c>
      <c r="R141">
        <v>12960</v>
      </c>
      <c r="S141">
        <v>160</v>
      </c>
      <c r="T141">
        <v>2</v>
      </c>
      <c r="U141">
        <v>2</v>
      </c>
      <c r="V141">
        <v>128.77000000000001</v>
      </c>
      <c r="W141" s="17">
        <v>11.272</v>
      </c>
      <c r="X141" s="33">
        <v>45313</v>
      </c>
      <c r="Y141" s="37">
        <v>0.85710648148148139</v>
      </c>
      <c r="Z141">
        <v>0</v>
      </c>
      <c r="AA141">
        <v>0</v>
      </c>
      <c r="AB141">
        <v>0</v>
      </c>
      <c r="AC141" s="30">
        <f t="shared" si="185"/>
        <v>11.266399999999999</v>
      </c>
    </row>
    <row r="142" spans="1:29" x14ac:dyDescent="0.25">
      <c r="A142">
        <v>3</v>
      </c>
      <c r="B142" t="s">
        <v>16</v>
      </c>
      <c r="C142">
        <v>12960</v>
      </c>
      <c r="D142">
        <v>160</v>
      </c>
      <c r="E142">
        <v>2</v>
      </c>
      <c r="F142">
        <v>2</v>
      </c>
      <c r="G142">
        <v>136.80000000000001</v>
      </c>
      <c r="H142" s="17">
        <v>10.61</v>
      </c>
      <c r="I142" s="33">
        <v>45313</v>
      </c>
      <c r="J142" s="37">
        <v>0.92487268518518517</v>
      </c>
      <c r="K142">
        <v>0</v>
      </c>
      <c r="L142">
        <v>0</v>
      </c>
      <c r="M142">
        <v>0</v>
      </c>
      <c r="N142" s="30">
        <f t="shared" si="190"/>
        <v>10.601800000000001</v>
      </c>
      <c r="P142">
        <v>3</v>
      </c>
      <c r="Q142" t="s">
        <v>16</v>
      </c>
      <c r="R142">
        <v>12960</v>
      </c>
      <c r="S142">
        <v>160</v>
      </c>
      <c r="T142">
        <v>2</v>
      </c>
      <c r="U142">
        <v>2</v>
      </c>
      <c r="V142">
        <v>128.69999999999999</v>
      </c>
      <c r="W142" s="17">
        <v>11.278</v>
      </c>
      <c r="X142" s="33">
        <v>45313</v>
      </c>
      <c r="Y142" s="37">
        <v>0.91583333333333339</v>
      </c>
      <c r="Z142">
        <v>0</v>
      </c>
      <c r="AA142">
        <v>0</v>
      </c>
      <c r="AB142">
        <v>0</v>
      </c>
      <c r="AC142" s="30">
        <f t="shared" si="185"/>
        <v>11.266399999999999</v>
      </c>
    </row>
    <row r="143" spans="1:29" x14ac:dyDescent="0.25">
      <c r="A143">
        <v>4</v>
      </c>
      <c r="B143" t="s">
        <v>16</v>
      </c>
      <c r="C143">
        <v>12960</v>
      </c>
      <c r="D143">
        <v>160</v>
      </c>
      <c r="E143">
        <v>2</v>
      </c>
      <c r="F143">
        <v>2</v>
      </c>
      <c r="G143">
        <v>136.93</v>
      </c>
      <c r="H143" s="17">
        <v>10.6</v>
      </c>
      <c r="I143" s="33">
        <v>45313</v>
      </c>
      <c r="J143" s="37">
        <v>0.97649305555555566</v>
      </c>
      <c r="K143">
        <v>0</v>
      </c>
      <c r="L143">
        <v>0</v>
      </c>
      <c r="M143">
        <v>0</v>
      </c>
      <c r="N143" s="30">
        <f t="shared" si="190"/>
        <v>10.601800000000001</v>
      </c>
      <c r="P143">
        <v>4</v>
      </c>
      <c r="Q143" t="s">
        <v>16</v>
      </c>
      <c r="R143">
        <v>12960</v>
      </c>
      <c r="S143">
        <v>160</v>
      </c>
      <c r="T143">
        <v>2</v>
      </c>
      <c r="U143">
        <v>2</v>
      </c>
      <c r="V143">
        <v>128.97</v>
      </c>
      <c r="W143" s="17">
        <v>11.254</v>
      </c>
      <c r="X143" s="33">
        <v>45313</v>
      </c>
      <c r="Y143" s="37">
        <v>0.97456018518518517</v>
      </c>
      <c r="Z143">
        <v>0</v>
      </c>
      <c r="AA143">
        <v>0</v>
      </c>
      <c r="AB143">
        <v>0</v>
      </c>
      <c r="AC143" s="30">
        <f t="shared" si="185"/>
        <v>11.266399999999999</v>
      </c>
    </row>
    <row r="144" spans="1:29" x14ac:dyDescent="0.25">
      <c r="A144">
        <v>0</v>
      </c>
      <c r="B144" t="s">
        <v>16</v>
      </c>
      <c r="C144">
        <v>13760</v>
      </c>
      <c r="D144">
        <v>160</v>
      </c>
      <c r="E144">
        <v>2</v>
      </c>
      <c r="F144">
        <v>2</v>
      </c>
      <c r="G144">
        <v>161.75</v>
      </c>
      <c r="H144" s="17">
        <v>10.74</v>
      </c>
      <c r="I144" s="33">
        <v>45313</v>
      </c>
      <c r="J144" s="37">
        <v>0.77931712962962962</v>
      </c>
      <c r="K144">
        <v>0</v>
      </c>
      <c r="L144">
        <v>0</v>
      </c>
      <c r="M144">
        <v>0</v>
      </c>
      <c r="N144" s="30">
        <f t="shared" si="188"/>
        <v>10.719999999999999</v>
      </c>
      <c r="P144">
        <v>0</v>
      </c>
      <c r="Q144" t="s">
        <v>16</v>
      </c>
      <c r="R144">
        <v>13760</v>
      </c>
      <c r="S144">
        <v>160</v>
      </c>
      <c r="T144">
        <v>2</v>
      </c>
      <c r="U144">
        <v>2</v>
      </c>
      <c r="V144">
        <v>153.19</v>
      </c>
      <c r="W144" s="17">
        <v>11.34</v>
      </c>
      <c r="X144" s="33">
        <v>45313</v>
      </c>
      <c r="Y144" s="37">
        <v>0.75859953703703698</v>
      </c>
      <c r="Z144">
        <v>0</v>
      </c>
      <c r="AA144">
        <v>0</v>
      </c>
      <c r="AB144">
        <v>0</v>
      </c>
      <c r="AC144" s="30">
        <f t="shared" si="191"/>
        <v>11.3308</v>
      </c>
    </row>
    <row r="145" spans="1:29" x14ac:dyDescent="0.25">
      <c r="A145">
        <v>1</v>
      </c>
      <c r="B145" t="s">
        <v>16</v>
      </c>
      <c r="C145">
        <v>13760</v>
      </c>
      <c r="D145">
        <v>160</v>
      </c>
      <c r="E145">
        <v>2</v>
      </c>
      <c r="F145">
        <v>2</v>
      </c>
      <c r="G145">
        <v>162.16</v>
      </c>
      <c r="H145" s="17">
        <v>10.712999999999999</v>
      </c>
      <c r="I145" s="33">
        <v>45313</v>
      </c>
      <c r="J145" s="37">
        <v>0.83111111111111102</v>
      </c>
      <c r="K145">
        <v>0</v>
      </c>
      <c r="L145">
        <v>0</v>
      </c>
      <c r="M145">
        <v>0</v>
      </c>
      <c r="N145" s="30">
        <f t="shared" si="190"/>
        <v>10.719999999999999</v>
      </c>
      <c r="P145">
        <v>1</v>
      </c>
      <c r="Q145" t="s">
        <v>16</v>
      </c>
      <c r="R145">
        <v>13760</v>
      </c>
      <c r="S145">
        <v>160</v>
      </c>
      <c r="T145">
        <v>2</v>
      </c>
      <c r="U145">
        <v>2</v>
      </c>
      <c r="V145">
        <v>153.19</v>
      </c>
      <c r="W145" s="17">
        <v>11.34</v>
      </c>
      <c r="X145" s="33">
        <v>45313</v>
      </c>
      <c r="Y145" s="37">
        <v>0.81732638888888898</v>
      </c>
      <c r="Z145">
        <v>0</v>
      </c>
      <c r="AA145">
        <v>0</v>
      </c>
      <c r="AB145">
        <v>0</v>
      </c>
      <c r="AC145" s="30">
        <f t="shared" si="185"/>
        <v>11.3308</v>
      </c>
    </row>
    <row r="146" spans="1:29" x14ac:dyDescent="0.25">
      <c r="A146">
        <v>2</v>
      </c>
      <c r="B146" t="s">
        <v>16</v>
      </c>
      <c r="C146">
        <v>13760</v>
      </c>
      <c r="D146">
        <v>160</v>
      </c>
      <c r="E146">
        <v>2</v>
      </c>
      <c r="F146">
        <v>2</v>
      </c>
      <c r="G146">
        <v>162.11000000000001</v>
      </c>
      <c r="H146" s="17">
        <v>10.715999999999999</v>
      </c>
      <c r="I146" s="33">
        <v>45313</v>
      </c>
      <c r="J146" s="37">
        <v>0.89004629629629628</v>
      </c>
      <c r="K146">
        <v>0</v>
      </c>
      <c r="L146">
        <v>0</v>
      </c>
      <c r="M146">
        <v>0</v>
      </c>
      <c r="N146" s="30">
        <f t="shared" si="190"/>
        <v>10.719999999999999</v>
      </c>
      <c r="P146">
        <v>2</v>
      </c>
      <c r="Q146" t="s">
        <v>16</v>
      </c>
      <c r="R146">
        <v>13760</v>
      </c>
      <c r="S146">
        <v>160</v>
      </c>
      <c r="T146">
        <v>2</v>
      </c>
      <c r="U146">
        <v>2</v>
      </c>
      <c r="V146">
        <v>153.51</v>
      </c>
      <c r="W146" s="17">
        <v>11.316000000000001</v>
      </c>
      <c r="X146" s="33">
        <v>45313</v>
      </c>
      <c r="Y146" s="37">
        <v>0.87604166666666661</v>
      </c>
      <c r="Z146">
        <v>0</v>
      </c>
      <c r="AA146">
        <v>0</v>
      </c>
      <c r="AB146">
        <v>0</v>
      </c>
      <c r="AC146" s="30">
        <f t="shared" si="185"/>
        <v>11.3308</v>
      </c>
    </row>
    <row r="147" spans="1:29" x14ac:dyDescent="0.25">
      <c r="A147">
        <v>3</v>
      </c>
      <c r="B147" t="s">
        <v>16</v>
      </c>
      <c r="C147">
        <v>13760</v>
      </c>
      <c r="D147">
        <v>160</v>
      </c>
      <c r="E147">
        <v>2</v>
      </c>
      <c r="F147">
        <v>2</v>
      </c>
      <c r="G147">
        <v>162.09</v>
      </c>
      <c r="H147" s="17">
        <v>10.717000000000001</v>
      </c>
      <c r="I147" s="33">
        <v>45313</v>
      </c>
      <c r="J147" s="37">
        <v>0.94165509259259261</v>
      </c>
      <c r="K147">
        <v>0</v>
      </c>
      <c r="L147">
        <v>0</v>
      </c>
      <c r="M147">
        <v>0</v>
      </c>
      <c r="N147" s="30">
        <f t="shared" si="190"/>
        <v>10.719999999999999</v>
      </c>
      <c r="P147">
        <v>3</v>
      </c>
      <c r="Q147" t="s">
        <v>16</v>
      </c>
      <c r="R147">
        <v>13760</v>
      </c>
      <c r="S147">
        <v>160</v>
      </c>
      <c r="T147">
        <v>2</v>
      </c>
      <c r="U147">
        <v>2</v>
      </c>
      <c r="V147">
        <v>153.27000000000001</v>
      </c>
      <c r="W147" s="17">
        <v>11.334</v>
      </c>
      <c r="X147" s="33">
        <v>45313</v>
      </c>
      <c r="Y147" s="37">
        <v>0.9347685185185185</v>
      </c>
      <c r="Z147">
        <v>0</v>
      </c>
      <c r="AA147">
        <v>0</v>
      </c>
      <c r="AB147">
        <v>0</v>
      </c>
      <c r="AC147" s="30">
        <f t="shared" si="185"/>
        <v>11.3308</v>
      </c>
    </row>
    <row r="148" spans="1:29" x14ac:dyDescent="0.25">
      <c r="A148">
        <v>4</v>
      </c>
      <c r="B148" t="s">
        <v>16</v>
      </c>
      <c r="C148">
        <v>13760</v>
      </c>
      <c r="D148">
        <v>160</v>
      </c>
      <c r="E148">
        <v>2</v>
      </c>
      <c r="F148">
        <v>2</v>
      </c>
      <c r="G148">
        <v>162.13999999999999</v>
      </c>
      <c r="H148" s="17">
        <v>10.714</v>
      </c>
      <c r="I148" s="33">
        <v>45313</v>
      </c>
      <c r="J148" s="37">
        <v>0.99326388888888895</v>
      </c>
      <c r="K148">
        <v>0</v>
      </c>
      <c r="L148">
        <v>0</v>
      </c>
      <c r="M148">
        <v>0</v>
      </c>
      <c r="N148" s="30">
        <f t="shared" si="190"/>
        <v>10.719999999999999</v>
      </c>
      <c r="P148">
        <v>4</v>
      </c>
      <c r="Q148" t="s">
        <v>16</v>
      </c>
      <c r="R148">
        <v>13760</v>
      </c>
      <c r="S148">
        <v>160</v>
      </c>
      <c r="T148">
        <v>2</v>
      </c>
      <c r="U148">
        <v>2</v>
      </c>
      <c r="V148">
        <v>153.41</v>
      </c>
      <c r="W148" s="17">
        <v>11.324</v>
      </c>
      <c r="X148" s="33">
        <v>45313</v>
      </c>
      <c r="Y148" s="37">
        <v>0.99349537037037028</v>
      </c>
      <c r="Z148">
        <v>0</v>
      </c>
      <c r="AA148">
        <v>0</v>
      </c>
      <c r="AB148">
        <v>0</v>
      </c>
      <c r="AC148" s="30">
        <f t="shared" si="185"/>
        <v>11.3308</v>
      </c>
    </row>
    <row r="149" spans="1:29" x14ac:dyDescent="0.25">
      <c r="A149">
        <v>0</v>
      </c>
      <c r="B149" t="s">
        <v>16</v>
      </c>
      <c r="C149">
        <v>14560</v>
      </c>
      <c r="D149">
        <v>160</v>
      </c>
      <c r="E149">
        <v>2</v>
      </c>
      <c r="F149">
        <v>2</v>
      </c>
      <c r="G149">
        <v>190.7</v>
      </c>
      <c r="H149" s="17">
        <v>10.792</v>
      </c>
      <c r="I149" s="33">
        <v>45313</v>
      </c>
      <c r="J149" s="37">
        <v>0.79862268518518509</v>
      </c>
      <c r="K149">
        <v>0</v>
      </c>
      <c r="L149">
        <v>0</v>
      </c>
      <c r="M149">
        <v>0</v>
      </c>
      <c r="N149" s="30">
        <f t="shared" si="188"/>
        <v>10.793400000000002</v>
      </c>
      <c r="P149">
        <v>0</v>
      </c>
      <c r="Q149" t="s">
        <v>16</v>
      </c>
      <c r="R149">
        <v>14560</v>
      </c>
      <c r="S149">
        <v>160</v>
      </c>
      <c r="T149">
        <v>2</v>
      </c>
      <c r="U149">
        <v>2</v>
      </c>
      <c r="V149">
        <v>180.53</v>
      </c>
      <c r="W149" s="17">
        <v>11.4</v>
      </c>
      <c r="X149" s="33">
        <v>45313</v>
      </c>
      <c r="Y149" s="37">
        <v>0.78034722222222219</v>
      </c>
      <c r="Z149">
        <v>0</v>
      </c>
      <c r="AA149">
        <v>0</v>
      </c>
      <c r="AB149">
        <v>0</v>
      </c>
      <c r="AC149" s="30">
        <f t="shared" si="191"/>
        <v>11.411000000000001</v>
      </c>
    </row>
    <row r="150" spans="1:29" x14ac:dyDescent="0.25">
      <c r="A150">
        <v>1</v>
      </c>
      <c r="B150" t="s">
        <v>16</v>
      </c>
      <c r="C150">
        <v>14560</v>
      </c>
      <c r="D150">
        <v>160</v>
      </c>
      <c r="E150">
        <v>2</v>
      </c>
      <c r="F150">
        <v>2</v>
      </c>
      <c r="G150">
        <v>190.73</v>
      </c>
      <c r="H150" s="17">
        <v>10.79</v>
      </c>
      <c r="I150" s="33">
        <v>45313</v>
      </c>
      <c r="J150" s="37">
        <v>0.85763888888888884</v>
      </c>
      <c r="K150">
        <v>0</v>
      </c>
      <c r="L150">
        <v>0</v>
      </c>
      <c r="M150">
        <v>0</v>
      </c>
      <c r="N150" s="30">
        <f t="shared" si="190"/>
        <v>10.793400000000002</v>
      </c>
      <c r="P150">
        <v>1</v>
      </c>
      <c r="Q150" t="s">
        <v>16</v>
      </c>
      <c r="R150">
        <v>14560</v>
      </c>
      <c r="S150">
        <v>160</v>
      </c>
      <c r="T150">
        <v>2</v>
      </c>
      <c r="U150">
        <v>2</v>
      </c>
      <c r="V150">
        <v>179.89</v>
      </c>
      <c r="W150" s="17">
        <v>11.441000000000001</v>
      </c>
      <c r="X150" s="33">
        <v>45313</v>
      </c>
      <c r="Y150" s="37">
        <v>0.83906249999999993</v>
      </c>
      <c r="Z150">
        <v>0</v>
      </c>
      <c r="AA150">
        <v>0</v>
      </c>
      <c r="AB150">
        <v>0</v>
      </c>
      <c r="AC150" s="30">
        <f t="shared" si="185"/>
        <v>11.411000000000001</v>
      </c>
    </row>
    <row r="151" spans="1:29" x14ac:dyDescent="0.25">
      <c r="A151">
        <v>2</v>
      </c>
      <c r="B151" t="s">
        <v>16</v>
      </c>
      <c r="C151">
        <v>14560</v>
      </c>
      <c r="D151">
        <v>160</v>
      </c>
      <c r="E151">
        <v>2</v>
      </c>
      <c r="F151">
        <v>2</v>
      </c>
      <c r="G151">
        <v>190.72</v>
      </c>
      <c r="H151" s="17">
        <v>10.791</v>
      </c>
      <c r="I151" s="33">
        <v>45313</v>
      </c>
      <c r="J151" s="37">
        <v>0.90924768518518517</v>
      </c>
      <c r="K151">
        <v>0</v>
      </c>
      <c r="L151">
        <v>0</v>
      </c>
      <c r="M151">
        <v>0</v>
      </c>
      <c r="N151" s="30">
        <f t="shared" si="190"/>
        <v>10.793400000000002</v>
      </c>
      <c r="P151">
        <v>2</v>
      </c>
      <c r="Q151" t="s">
        <v>16</v>
      </c>
      <c r="R151">
        <v>14560</v>
      </c>
      <c r="S151">
        <v>160</v>
      </c>
      <c r="T151">
        <v>2</v>
      </c>
      <c r="U151">
        <v>2</v>
      </c>
      <c r="V151">
        <v>180.46</v>
      </c>
      <c r="W151" s="17">
        <v>11.404</v>
      </c>
      <c r="X151" s="33">
        <v>45313</v>
      </c>
      <c r="Y151" s="37">
        <v>0.89777777777777779</v>
      </c>
      <c r="Z151">
        <v>0</v>
      </c>
      <c r="AA151">
        <v>0</v>
      </c>
      <c r="AB151">
        <v>0</v>
      </c>
      <c r="AC151" s="30">
        <f t="shared" si="185"/>
        <v>11.411000000000001</v>
      </c>
    </row>
    <row r="152" spans="1:29" x14ac:dyDescent="0.25">
      <c r="A152">
        <v>3</v>
      </c>
      <c r="B152" t="s">
        <v>16</v>
      </c>
      <c r="C152">
        <v>14560</v>
      </c>
      <c r="D152">
        <v>160</v>
      </c>
      <c r="E152">
        <v>2</v>
      </c>
      <c r="F152">
        <v>2</v>
      </c>
      <c r="G152">
        <v>190.63</v>
      </c>
      <c r="H152" s="17">
        <v>10.795999999999999</v>
      </c>
      <c r="I152" s="33">
        <v>45313</v>
      </c>
      <c r="J152" s="37">
        <v>0.96085648148148151</v>
      </c>
      <c r="K152">
        <v>0</v>
      </c>
      <c r="L152">
        <v>0</v>
      </c>
      <c r="M152">
        <v>0</v>
      </c>
      <c r="N152" s="30">
        <f t="shared" si="190"/>
        <v>10.793400000000002</v>
      </c>
      <c r="P152">
        <v>3</v>
      </c>
      <c r="Q152" t="s">
        <v>16</v>
      </c>
      <c r="R152">
        <v>14560</v>
      </c>
      <c r="S152">
        <v>160</v>
      </c>
      <c r="T152">
        <v>2</v>
      </c>
      <c r="U152">
        <v>2</v>
      </c>
      <c r="V152">
        <v>180.15</v>
      </c>
      <c r="W152" s="17">
        <v>11.423999999999999</v>
      </c>
      <c r="X152" s="33">
        <v>45313</v>
      </c>
      <c r="Y152" s="37">
        <v>0.95650462962962957</v>
      </c>
      <c r="Z152">
        <v>0</v>
      </c>
      <c r="AA152">
        <v>0</v>
      </c>
      <c r="AB152">
        <v>0</v>
      </c>
      <c r="AC152" s="30">
        <f t="shared" si="185"/>
        <v>11.411000000000001</v>
      </c>
    </row>
    <row r="153" spans="1:29" x14ac:dyDescent="0.25">
      <c r="A153">
        <v>4</v>
      </c>
      <c r="B153" t="s">
        <v>16</v>
      </c>
      <c r="C153">
        <v>14560</v>
      </c>
      <c r="D153">
        <v>160</v>
      </c>
      <c r="E153">
        <v>2</v>
      </c>
      <c r="F153">
        <v>2</v>
      </c>
      <c r="G153">
        <v>190.6</v>
      </c>
      <c r="H153" s="17">
        <v>10.798</v>
      </c>
      <c r="I153" s="33">
        <v>45314</v>
      </c>
      <c r="J153" s="37">
        <v>1.247685185185185E-2</v>
      </c>
      <c r="K153">
        <v>0</v>
      </c>
      <c r="L153">
        <v>0</v>
      </c>
      <c r="M153">
        <v>0</v>
      </c>
      <c r="N153" s="30">
        <f t="shared" si="190"/>
        <v>10.793400000000002</v>
      </c>
      <c r="P153">
        <v>4</v>
      </c>
      <c r="Q153" t="s">
        <v>16</v>
      </c>
      <c r="R153">
        <v>14560</v>
      </c>
      <c r="S153">
        <v>160</v>
      </c>
      <c r="T153">
        <v>2</v>
      </c>
      <c r="U153">
        <v>2</v>
      </c>
      <c r="V153">
        <v>180.75</v>
      </c>
      <c r="W153" s="17">
        <v>11.385999999999999</v>
      </c>
      <c r="X153" s="33">
        <v>45314</v>
      </c>
      <c r="Y153" s="37">
        <v>1.5231481481481483E-2</v>
      </c>
      <c r="Z153">
        <v>0</v>
      </c>
      <c r="AA153">
        <v>0</v>
      </c>
      <c r="AB153">
        <v>0</v>
      </c>
      <c r="AC153" s="30">
        <f t="shared" si="185"/>
        <v>11.411000000000001</v>
      </c>
    </row>
    <row r="154" spans="1:29" x14ac:dyDescent="0.25">
      <c r="A154">
        <v>0</v>
      </c>
      <c r="B154" t="s">
        <v>16</v>
      </c>
      <c r="C154">
        <v>13056</v>
      </c>
      <c r="D154">
        <v>192</v>
      </c>
      <c r="E154">
        <v>1</v>
      </c>
      <c r="F154">
        <v>4</v>
      </c>
      <c r="G154">
        <v>143.02000000000001</v>
      </c>
      <c r="H154" s="17">
        <v>10.375</v>
      </c>
      <c r="I154" s="33">
        <v>45313</v>
      </c>
      <c r="J154" s="37">
        <v>0.76431712962962972</v>
      </c>
      <c r="K154">
        <v>0</v>
      </c>
      <c r="L154">
        <v>0</v>
      </c>
      <c r="M154">
        <v>0</v>
      </c>
      <c r="N154" s="30">
        <f t="shared" si="188"/>
        <v>10.377799999999999</v>
      </c>
      <c r="P154">
        <v>0</v>
      </c>
      <c r="Q154" t="s">
        <v>16</v>
      </c>
      <c r="R154">
        <v>13056</v>
      </c>
      <c r="S154">
        <v>192</v>
      </c>
      <c r="T154">
        <v>1</v>
      </c>
      <c r="U154">
        <v>4</v>
      </c>
      <c r="V154">
        <v>132.47999999999999</v>
      </c>
      <c r="W154" s="17">
        <v>11.201000000000001</v>
      </c>
      <c r="X154" s="33">
        <v>45313</v>
      </c>
      <c r="Y154" s="37">
        <v>0.76908564814814817</v>
      </c>
      <c r="Z154">
        <v>0</v>
      </c>
      <c r="AA154">
        <v>0</v>
      </c>
      <c r="AB154">
        <v>0</v>
      </c>
      <c r="AC154" s="30">
        <f t="shared" si="191"/>
        <v>11.199</v>
      </c>
    </row>
    <row r="155" spans="1:29" x14ac:dyDescent="0.25">
      <c r="A155">
        <v>1</v>
      </c>
      <c r="B155" t="s">
        <v>16</v>
      </c>
      <c r="C155">
        <v>13056</v>
      </c>
      <c r="D155">
        <v>192</v>
      </c>
      <c r="E155">
        <v>1</v>
      </c>
      <c r="F155">
        <v>4</v>
      </c>
      <c r="G155">
        <v>143.11000000000001</v>
      </c>
      <c r="H155" s="17">
        <v>10.369</v>
      </c>
      <c r="I155" s="33">
        <v>45313</v>
      </c>
      <c r="J155" s="37">
        <v>0.81609953703703697</v>
      </c>
      <c r="K155">
        <v>0</v>
      </c>
      <c r="L155">
        <v>0</v>
      </c>
      <c r="M155">
        <v>0</v>
      </c>
      <c r="N155" s="30">
        <f t="shared" si="190"/>
        <v>10.377799999999999</v>
      </c>
      <c r="P155">
        <v>1</v>
      </c>
      <c r="Q155" t="s">
        <v>16</v>
      </c>
      <c r="R155">
        <v>13056</v>
      </c>
      <c r="S155">
        <v>192</v>
      </c>
      <c r="T155">
        <v>1</v>
      </c>
      <c r="U155">
        <v>4</v>
      </c>
      <c r="V155">
        <v>132.25</v>
      </c>
      <c r="W155" s="17">
        <v>11.221</v>
      </c>
      <c r="X155" s="33">
        <v>45313</v>
      </c>
      <c r="Y155" s="37">
        <v>0.80048611111111112</v>
      </c>
      <c r="Z155">
        <v>0</v>
      </c>
      <c r="AA155">
        <v>0</v>
      </c>
      <c r="AB155">
        <v>0</v>
      </c>
      <c r="AC155" s="30">
        <f t="shared" si="185"/>
        <v>11.199</v>
      </c>
    </row>
    <row r="156" spans="1:29" x14ac:dyDescent="0.25">
      <c r="A156">
        <v>2</v>
      </c>
      <c r="B156" t="s">
        <v>16</v>
      </c>
      <c r="C156">
        <v>13056</v>
      </c>
      <c r="D156">
        <v>192</v>
      </c>
      <c r="E156">
        <v>1</v>
      </c>
      <c r="F156">
        <v>4</v>
      </c>
      <c r="G156">
        <v>142.88</v>
      </c>
      <c r="H156" s="17">
        <v>10.385999999999999</v>
      </c>
      <c r="I156" s="33">
        <v>45313</v>
      </c>
      <c r="J156" s="37">
        <v>0.87505787037037042</v>
      </c>
      <c r="K156">
        <v>0</v>
      </c>
      <c r="L156">
        <v>0</v>
      </c>
      <c r="M156">
        <v>0</v>
      </c>
      <c r="N156" s="30">
        <f t="shared" si="190"/>
        <v>10.377799999999999</v>
      </c>
      <c r="P156">
        <v>2</v>
      </c>
      <c r="Q156" t="s">
        <v>16</v>
      </c>
      <c r="R156">
        <v>13056</v>
      </c>
      <c r="S156">
        <v>192</v>
      </c>
      <c r="T156">
        <v>1</v>
      </c>
      <c r="U156">
        <v>4</v>
      </c>
      <c r="V156">
        <v>132.46</v>
      </c>
      <c r="W156" s="17">
        <v>11.202999999999999</v>
      </c>
      <c r="X156" s="33">
        <v>45313</v>
      </c>
      <c r="Y156" s="37">
        <v>0.85918981481481482</v>
      </c>
      <c r="Z156">
        <v>0</v>
      </c>
      <c r="AA156">
        <v>0</v>
      </c>
      <c r="AB156">
        <v>0</v>
      </c>
      <c r="AC156" s="30">
        <f t="shared" si="185"/>
        <v>11.199</v>
      </c>
    </row>
    <row r="157" spans="1:29" x14ac:dyDescent="0.25">
      <c r="A157">
        <v>3</v>
      </c>
      <c r="B157" t="s">
        <v>16</v>
      </c>
      <c r="C157">
        <v>13056</v>
      </c>
      <c r="D157">
        <v>192</v>
      </c>
      <c r="E157">
        <v>1</v>
      </c>
      <c r="F157">
        <v>4</v>
      </c>
      <c r="G157">
        <v>143.02000000000001</v>
      </c>
      <c r="H157" s="17">
        <v>10.375999999999999</v>
      </c>
      <c r="I157" s="33">
        <v>45313</v>
      </c>
      <c r="J157" s="37">
        <v>0.92666666666666664</v>
      </c>
      <c r="K157">
        <v>0</v>
      </c>
      <c r="L157">
        <v>0</v>
      </c>
      <c r="M157">
        <v>0</v>
      </c>
      <c r="N157" s="30">
        <f t="shared" si="190"/>
        <v>10.377799999999999</v>
      </c>
      <c r="P157">
        <v>3</v>
      </c>
      <c r="Q157" t="s">
        <v>16</v>
      </c>
      <c r="R157">
        <v>13056</v>
      </c>
      <c r="S157">
        <v>192</v>
      </c>
      <c r="T157">
        <v>1</v>
      </c>
      <c r="U157">
        <v>4</v>
      </c>
      <c r="V157">
        <v>132.51</v>
      </c>
      <c r="W157" s="17">
        <v>11.199</v>
      </c>
      <c r="X157" s="33">
        <v>45313</v>
      </c>
      <c r="Y157" s="37">
        <v>0.91791666666666671</v>
      </c>
      <c r="Z157">
        <v>0</v>
      </c>
      <c r="AA157">
        <v>0</v>
      </c>
      <c r="AB157">
        <v>0</v>
      </c>
      <c r="AC157" s="30">
        <f t="shared" si="185"/>
        <v>11.199</v>
      </c>
    </row>
    <row r="158" spans="1:29" x14ac:dyDescent="0.25">
      <c r="A158">
        <v>4</v>
      </c>
      <c r="B158" t="s">
        <v>16</v>
      </c>
      <c r="C158">
        <v>13056</v>
      </c>
      <c r="D158">
        <v>192</v>
      </c>
      <c r="E158">
        <v>1</v>
      </c>
      <c r="F158">
        <v>4</v>
      </c>
      <c r="G158">
        <v>142.91999999999999</v>
      </c>
      <c r="H158" s="17">
        <v>10.382999999999999</v>
      </c>
      <c r="I158" s="33">
        <v>45313</v>
      </c>
      <c r="J158" s="37">
        <v>0.97828703703703701</v>
      </c>
      <c r="K158">
        <v>0</v>
      </c>
      <c r="L158">
        <v>0</v>
      </c>
      <c r="M158">
        <v>0</v>
      </c>
      <c r="N158" s="30">
        <f t="shared" si="190"/>
        <v>10.377799999999999</v>
      </c>
      <c r="P158">
        <v>4</v>
      </c>
      <c r="Q158" t="s">
        <v>16</v>
      </c>
      <c r="R158">
        <v>13056</v>
      </c>
      <c r="S158">
        <v>192</v>
      </c>
      <c r="T158">
        <v>1</v>
      </c>
      <c r="U158">
        <v>4</v>
      </c>
      <c r="V158">
        <v>132.84</v>
      </c>
      <c r="W158" s="17">
        <v>11.170999999999999</v>
      </c>
      <c r="X158" s="33">
        <v>45313</v>
      </c>
      <c r="Y158" s="37">
        <v>0.97664351851851849</v>
      </c>
      <c r="Z158">
        <v>0</v>
      </c>
      <c r="AA158">
        <v>0</v>
      </c>
      <c r="AB158">
        <v>0</v>
      </c>
      <c r="AC158" s="30">
        <f t="shared" si="185"/>
        <v>11.199</v>
      </c>
    </row>
    <row r="159" spans="1:29" x14ac:dyDescent="0.25">
      <c r="A159">
        <v>0</v>
      </c>
      <c r="B159" t="s">
        <v>16</v>
      </c>
      <c r="C159">
        <v>13824</v>
      </c>
      <c r="D159">
        <v>192</v>
      </c>
      <c r="E159">
        <v>1</v>
      </c>
      <c r="F159">
        <v>4</v>
      </c>
      <c r="G159">
        <v>183.61</v>
      </c>
      <c r="H159" s="17">
        <v>9.5935000000000006</v>
      </c>
      <c r="I159" s="33">
        <v>45313</v>
      </c>
      <c r="J159" s="37">
        <v>0.78159722222222217</v>
      </c>
      <c r="K159">
        <v>0</v>
      </c>
      <c r="L159">
        <v>0</v>
      </c>
      <c r="M159">
        <v>0</v>
      </c>
      <c r="N159" s="30">
        <f t="shared" si="188"/>
        <v>9.5838600000000014</v>
      </c>
      <c r="P159">
        <v>0</v>
      </c>
      <c r="Q159" t="s">
        <v>16</v>
      </c>
      <c r="R159">
        <v>13824</v>
      </c>
      <c r="S159">
        <v>192</v>
      </c>
      <c r="T159">
        <v>1</v>
      </c>
      <c r="U159">
        <v>4</v>
      </c>
      <c r="V159">
        <v>160.97999999999999</v>
      </c>
      <c r="W159" s="17">
        <v>10.943</v>
      </c>
      <c r="X159" s="33">
        <v>45313</v>
      </c>
      <c r="Y159" s="37">
        <v>0.76107638888888884</v>
      </c>
      <c r="Z159">
        <v>0</v>
      </c>
      <c r="AA159">
        <v>0</v>
      </c>
      <c r="AB159">
        <v>0</v>
      </c>
      <c r="AC159" s="30">
        <f t="shared" si="191"/>
        <v>10.939</v>
      </c>
    </row>
    <row r="160" spans="1:29" x14ac:dyDescent="0.25">
      <c r="A160">
        <v>1</v>
      </c>
      <c r="B160" t="s">
        <v>16</v>
      </c>
      <c r="C160">
        <v>13824</v>
      </c>
      <c r="D160">
        <v>192</v>
      </c>
      <c r="E160">
        <v>1</v>
      </c>
      <c r="F160">
        <v>4</v>
      </c>
      <c r="G160">
        <v>183.89</v>
      </c>
      <c r="H160" s="17">
        <v>9.5792000000000002</v>
      </c>
      <c r="I160" s="33">
        <v>45313</v>
      </c>
      <c r="J160" s="37">
        <v>0.83339120370370379</v>
      </c>
      <c r="K160">
        <v>0</v>
      </c>
      <c r="L160">
        <v>0</v>
      </c>
      <c r="M160">
        <v>0</v>
      </c>
      <c r="N160" s="30">
        <f t="shared" si="190"/>
        <v>9.5838600000000014</v>
      </c>
      <c r="P160">
        <v>1</v>
      </c>
      <c r="Q160" t="s">
        <v>16</v>
      </c>
      <c r="R160">
        <v>13824</v>
      </c>
      <c r="S160">
        <v>192</v>
      </c>
      <c r="T160">
        <v>1</v>
      </c>
      <c r="U160">
        <v>4</v>
      </c>
      <c r="V160">
        <v>161</v>
      </c>
      <c r="W160" s="17">
        <v>10.941000000000001</v>
      </c>
      <c r="X160" s="33">
        <v>45313</v>
      </c>
      <c r="Y160" s="37">
        <v>0.81980324074074085</v>
      </c>
      <c r="Z160">
        <v>0</v>
      </c>
      <c r="AA160">
        <v>0</v>
      </c>
      <c r="AB160">
        <v>0</v>
      </c>
      <c r="AC160" s="30">
        <f t="shared" si="185"/>
        <v>10.939</v>
      </c>
    </row>
    <row r="161" spans="1:29" x14ac:dyDescent="0.25">
      <c r="A161">
        <v>2</v>
      </c>
      <c r="B161" t="s">
        <v>16</v>
      </c>
      <c r="C161">
        <v>13824</v>
      </c>
      <c r="D161">
        <v>192</v>
      </c>
      <c r="E161">
        <v>1</v>
      </c>
      <c r="F161">
        <v>4</v>
      </c>
      <c r="G161">
        <v>183.67</v>
      </c>
      <c r="H161" s="17">
        <v>9.5904000000000007</v>
      </c>
      <c r="I161" s="33">
        <v>45313</v>
      </c>
      <c r="J161" s="37">
        <v>0.89232638888888882</v>
      </c>
      <c r="K161">
        <v>0</v>
      </c>
      <c r="L161">
        <v>0</v>
      </c>
      <c r="M161">
        <v>0</v>
      </c>
      <c r="N161" s="30">
        <f t="shared" si="190"/>
        <v>9.5838600000000014</v>
      </c>
      <c r="P161">
        <v>2</v>
      </c>
      <c r="Q161" t="s">
        <v>16</v>
      </c>
      <c r="R161">
        <v>13824</v>
      </c>
      <c r="S161">
        <v>192</v>
      </c>
      <c r="T161">
        <v>1</v>
      </c>
      <c r="U161">
        <v>4</v>
      </c>
      <c r="V161">
        <v>161.07</v>
      </c>
      <c r="W161" s="17">
        <v>10.936</v>
      </c>
      <c r="X161" s="33">
        <v>45313</v>
      </c>
      <c r="Y161" s="37">
        <v>0.87851851851851848</v>
      </c>
      <c r="Z161">
        <v>0</v>
      </c>
      <c r="AA161">
        <v>0</v>
      </c>
      <c r="AB161">
        <v>0</v>
      </c>
      <c r="AC161" s="30">
        <f t="shared" si="185"/>
        <v>10.939</v>
      </c>
    </row>
    <row r="162" spans="1:29" x14ac:dyDescent="0.25">
      <c r="A162">
        <v>3</v>
      </c>
      <c r="B162" t="s">
        <v>16</v>
      </c>
      <c r="C162">
        <v>13824</v>
      </c>
      <c r="D162">
        <v>192</v>
      </c>
      <c r="E162">
        <v>1</v>
      </c>
      <c r="F162">
        <v>4</v>
      </c>
      <c r="G162">
        <v>183.93</v>
      </c>
      <c r="H162" s="17">
        <v>9.5770999999999997</v>
      </c>
      <c r="I162" s="33">
        <v>45313</v>
      </c>
      <c r="J162" s="37">
        <v>0.94393518518518515</v>
      </c>
      <c r="K162">
        <v>0</v>
      </c>
      <c r="L162">
        <v>0</v>
      </c>
      <c r="M162">
        <v>0</v>
      </c>
      <c r="N162" s="30">
        <f t="shared" si="190"/>
        <v>9.5838600000000014</v>
      </c>
      <c r="P162">
        <v>3</v>
      </c>
      <c r="Q162" t="s">
        <v>16</v>
      </c>
      <c r="R162">
        <v>13824</v>
      </c>
      <c r="S162">
        <v>192</v>
      </c>
      <c r="T162">
        <v>1</v>
      </c>
      <c r="U162">
        <v>4</v>
      </c>
      <c r="V162">
        <v>161.12</v>
      </c>
      <c r="W162" s="17">
        <v>10.933</v>
      </c>
      <c r="X162" s="33">
        <v>45313</v>
      </c>
      <c r="Y162" s="37">
        <v>0.93724537037037037</v>
      </c>
      <c r="Z162">
        <v>0</v>
      </c>
      <c r="AA162">
        <v>0</v>
      </c>
      <c r="AB162">
        <v>0</v>
      </c>
      <c r="AC162" s="30">
        <f t="shared" si="185"/>
        <v>10.939</v>
      </c>
    </row>
    <row r="163" spans="1:29" x14ac:dyDescent="0.25">
      <c r="A163">
        <v>4</v>
      </c>
      <c r="B163" t="s">
        <v>16</v>
      </c>
      <c r="C163">
        <v>13824</v>
      </c>
      <c r="D163">
        <v>192</v>
      </c>
      <c r="E163">
        <v>1</v>
      </c>
      <c r="F163">
        <v>4</v>
      </c>
      <c r="G163">
        <v>183.89</v>
      </c>
      <c r="H163" s="17">
        <v>9.5791000000000004</v>
      </c>
      <c r="I163" s="33">
        <v>45313</v>
      </c>
      <c r="J163" s="37">
        <v>0.99554398148148149</v>
      </c>
      <c r="K163">
        <v>0</v>
      </c>
      <c r="L163">
        <v>0</v>
      </c>
      <c r="M163">
        <v>0</v>
      </c>
      <c r="N163" s="30">
        <f t="shared" si="190"/>
        <v>9.5838600000000014</v>
      </c>
      <c r="P163">
        <v>4</v>
      </c>
      <c r="Q163" t="s">
        <v>16</v>
      </c>
      <c r="R163">
        <v>13824</v>
      </c>
      <c r="S163">
        <v>192</v>
      </c>
      <c r="T163">
        <v>1</v>
      </c>
      <c r="U163">
        <v>4</v>
      </c>
      <c r="V163">
        <v>160.99</v>
      </c>
      <c r="W163" s="17">
        <v>10.942</v>
      </c>
      <c r="X163" s="33">
        <v>45313</v>
      </c>
      <c r="Y163" s="37">
        <v>0.99597222222222215</v>
      </c>
      <c r="Z163">
        <v>0</v>
      </c>
      <c r="AA163">
        <v>0</v>
      </c>
      <c r="AB163">
        <v>0</v>
      </c>
      <c r="AC163" s="30">
        <f t="shared" si="185"/>
        <v>10.939</v>
      </c>
    </row>
    <row r="164" spans="1:29" x14ac:dyDescent="0.25">
      <c r="A164">
        <v>0</v>
      </c>
      <c r="B164" t="s">
        <v>16</v>
      </c>
      <c r="C164">
        <v>14592</v>
      </c>
      <c r="D164">
        <v>192</v>
      </c>
      <c r="E164">
        <v>1</v>
      </c>
      <c r="F164">
        <v>4</v>
      </c>
      <c r="G164">
        <v>195.89</v>
      </c>
      <c r="H164" s="17">
        <v>10.576000000000001</v>
      </c>
      <c r="I164" s="33">
        <v>45313</v>
      </c>
      <c r="J164" s="37">
        <v>0.80106481481481484</v>
      </c>
      <c r="K164">
        <v>0</v>
      </c>
      <c r="L164">
        <v>0</v>
      </c>
      <c r="M164">
        <v>0</v>
      </c>
      <c r="N164" s="30">
        <f t="shared" si="188"/>
        <v>10.571200000000001</v>
      </c>
      <c r="P164">
        <v>0</v>
      </c>
      <c r="Q164" t="s">
        <v>16</v>
      </c>
      <c r="R164">
        <v>14592</v>
      </c>
      <c r="S164">
        <v>192</v>
      </c>
      <c r="T164">
        <v>1</v>
      </c>
      <c r="U164">
        <v>4</v>
      </c>
      <c r="V164">
        <v>182.77</v>
      </c>
      <c r="W164" s="17">
        <v>11.335000000000001</v>
      </c>
      <c r="X164" s="33">
        <v>45313</v>
      </c>
      <c r="Y164" s="37">
        <v>0.783136574074074</v>
      </c>
      <c r="Z164">
        <v>0</v>
      </c>
      <c r="AA164">
        <v>0</v>
      </c>
      <c r="AB164">
        <v>0</v>
      </c>
      <c r="AC164" s="30">
        <f t="shared" si="191"/>
        <v>11.358000000000001</v>
      </c>
    </row>
    <row r="165" spans="1:29" x14ac:dyDescent="0.25">
      <c r="A165">
        <v>1</v>
      </c>
      <c r="B165" t="s">
        <v>16</v>
      </c>
      <c r="C165">
        <v>14592</v>
      </c>
      <c r="D165">
        <v>192</v>
      </c>
      <c r="E165">
        <v>1</v>
      </c>
      <c r="F165">
        <v>4</v>
      </c>
      <c r="G165">
        <v>195.98</v>
      </c>
      <c r="H165" s="17">
        <v>10.571</v>
      </c>
      <c r="I165" s="33">
        <v>45313</v>
      </c>
      <c r="J165" s="37">
        <v>0.86006944444444444</v>
      </c>
      <c r="K165">
        <v>0</v>
      </c>
      <c r="L165">
        <v>0</v>
      </c>
      <c r="M165">
        <v>0</v>
      </c>
      <c r="N165" s="30">
        <f t="shared" si="190"/>
        <v>10.571200000000001</v>
      </c>
      <c r="P165">
        <v>1</v>
      </c>
      <c r="Q165" t="s">
        <v>16</v>
      </c>
      <c r="R165">
        <v>14592</v>
      </c>
      <c r="S165">
        <v>192</v>
      </c>
      <c r="T165">
        <v>1</v>
      </c>
      <c r="U165">
        <v>4</v>
      </c>
      <c r="V165">
        <v>182.14</v>
      </c>
      <c r="W165" s="17">
        <v>11.374000000000001</v>
      </c>
      <c r="X165" s="33">
        <v>45313</v>
      </c>
      <c r="Y165" s="37">
        <v>0.84185185185185185</v>
      </c>
      <c r="Z165">
        <v>0</v>
      </c>
      <c r="AA165">
        <v>0</v>
      </c>
      <c r="AB165">
        <v>0</v>
      </c>
      <c r="AC165" s="30">
        <f t="shared" si="185"/>
        <v>11.358000000000001</v>
      </c>
    </row>
    <row r="166" spans="1:29" x14ac:dyDescent="0.25">
      <c r="A166">
        <v>2</v>
      </c>
      <c r="B166" t="s">
        <v>16</v>
      </c>
      <c r="C166">
        <v>14592</v>
      </c>
      <c r="D166">
        <v>192</v>
      </c>
      <c r="E166">
        <v>1</v>
      </c>
      <c r="F166">
        <v>4</v>
      </c>
      <c r="G166">
        <v>195.96</v>
      </c>
      <c r="H166" s="17">
        <v>10.571999999999999</v>
      </c>
      <c r="I166" s="33">
        <v>45313</v>
      </c>
      <c r="J166" s="37">
        <v>0.91168981481481481</v>
      </c>
      <c r="K166">
        <v>0</v>
      </c>
      <c r="L166">
        <v>0</v>
      </c>
      <c r="M166">
        <v>0</v>
      </c>
      <c r="N166" s="30">
        <f t="shared" si="190"/>
        <v>10.571200000000001</v>
      </c>
      <c r="P166">
        <v>2</v>
      </c>
      <c r="Q166" t="s">
        <v>16</v>
      </c>
      <c r="R166">
        <v>14592</v>
      </c>
      <c r="S166">
        <v>192</v>
      </c>
      <c r="T166">
        <v>1</v>
      </c>
      <c r="U166">
        <v>4</v>
      </c>
      <c r="V166">
        <v>182.43</v>
      </c>
      <c r="W166" s="17">
        <v>11.356</v>
      </c>
      <c r="X166" s="33">
        <v>45313</v>
      </c>
      <c r="Y166" s="37">
        <v>0.9005671296296297</v>
      </c>
      <c r="Z166">
        <v>0</v>
      </c>
      <c r="AA166">
        <v>0</v>
      </c>
      <c r="AB166">
        <v>0</v>
      </c>
      <c r="AC166" s="30">
        <f t="shared" si="185"/>
        <v>11.358000000000001</v>
      </c>
    </row>
    <row r="167" spans="1:29" x14ac:dyDescent="0.25">
      <c r="A167">
        <v>3</v>
      </c>
      <c r="B167" t="s">
        <v>16</v>
      </c>
      <c r="C167">
        <v>14592</v>
      </c>
      <c r="D167">
        <v>192</v>
      </c>
      <c r="E167">
        <v>1</v>
      </c>
      <c r="F167">
        <v>4</v>
      </c>
      <c r="G167">
        <v>196.06</v>
      </c>
      <c r="H167" s="17">
        <v>10.567</v>
      </c>
      <c r="I167" s="33">
        <v>45313</v>
      </c>
      <c r="J167" s="37">
        <v>0.96329861111111115</v>
      </c>
      <c r="K167">
        <v>0</v>
      </c>
      <c r="L167">
        <v>0</v>
      </c>
      <c r="M167">
        <v>0</v>
      </c>
      <c r="N167" s="30">
        <f t="shared" si="190"/>
        <v>10.571200000000001</v>
      </c>
      <c r="P167">
        <v>3</v>
      </c>
      <c r="Q167" t="s">
        <v>16</v>
      </c>
      <c r="R167">
        <v>14592</v>
      </c>
      <c r="S167">
        <v>192</v>
      </c>
      <c r="T167">
        <v>1</v>
      </c>
      <c r="U167">
        <v>4</v>
      </c>
      <c r="V167">
        <v>182.47</v>
      </c>
      <c r="W167" s="17">
        <v>11.353999999999999</v>
      </c>
      <c r="X167" s="33">
        <v>45313</v>
      </c>
      <c r="Y167" s="37">
        <v>0.95929398148148148</v>
      </c>
      <c r="Z167">
        <v>0</v>
      </c>
      <c r="AA167">
        <v>0</v>
      </c>
      <c r="AB167">
        <v>0</v>
      </c>
      <c r="AC167" s="30">
        <f t="shared" si="185"/>
        <v>11.358000000000001</v>
      </c>
    </row>
    <row r="168" spans="1:29" x14ac:dyDescent="0.25">
      <c r="A168">
        <v>4</v>
      </c>
      <c r="B168" t="s">
        <v>16</v>
      </c>
      <c r="C168">
        <v>14592</v>
      </c>
      <c r="D168">
        <v>192</v>
      </c>
      <c r="E168">
        <v>1</v>
      </c>
      <c r="F168">
        <v>4</v>
      </c>
      <c r="G168">
        <v>195.99</v>
      </c>
      <c r="H168" s="17">
        <v>10.57</v>
      </c>
      <c r="I168" s="33">
        <v>45314</v>
      </c>
      <c r="J168" s="37">
        <v>1.4907407407407406E-2</v>
      </c>
      <c r="K168">
        <v>0</v>
      </c>
      <c r="L168">
        <v>0</v>
      </c>
      <c r="M168">
        <v>0</v>
      </c>
      <c r="N168" s="30">
        <f t="shared" si="190"/>
        <v>10.571200000000001</v>
      </c>
      <c r="P168">
        <v>4</v>
      </c>
      <c r="Q168" t="s">
        <v>16</v>
      </c>
      <c r="R168">
        <v>14592</v>
      </c>
      <c r="S168">
        <v>192</v>
      </c>
      <c r="T168">
        <v>1</v>
      </c>
      <c r="U168">
        <v>4</v>
      </c>
      <c r="V168">
        <v>182.18</v>
      </c>
      <c r="W168" s="17">
        <v>11.371</v>
      </c>
      <c r="X168" s="33">
        <v>45314</v>
      </c>
      <c r="Y168" s="37">
        <v>1.8020833333333333E-2</v>
      </c>
      <c r="Z168">
        <v>0</v>
      </c>
      <c r="AA168">
        <v>0</v>
      </c>
      <c r="AB168">
        <v>0</v>
      </c>
      <c r="AC168" s="30">
        <f t="shared" si="185"/>
        <v>11.358000000000001</v>
      </c>
    </row>
    <row r="169" spans="1:29" x14ac:dyDescent="0.25">
      <c r="A169">
        <v>0</v>
      </c>
      <c r="B169" t="s">
        <v>16</v>
      </c>
      <c r="C169">
        <v>13056</v>
      </c>
      <c r="D169">
        <v>192</v>
      </c>
      <c r="E169">
        <v>2</v>
      </c>
      <c r="F169">
        <v>2</v>
      </c>
      <c r="G169">
        <v>140.93</v>
      </c>
      <c r="H169" s="17">
        <v>10.53</v>
      </c>
      <c r="I169" s="33">
        <v>45313</v>
      </c>
      <c r="J169" s="37">
        <v>0.766087962962963</v>
      </c>
      <c r="K169">
        <v>0</v>
      </c>
      <c r="L169">
        <v>0</v>
      </c>
      <c r="M169">
        <v>0</v>
      </c>
      <c r="N169" s="30">
        <f t="shared" si="188"/>
        <v>10.526199999999999</v>
      </c>
      <c r="P169">
        <v>0</v>
      </c>
      <c r="Q169" t="s">
        <v>16</v>
      </c>
      <c r="R169">
        <v>13056</v>
      </c>
      <c r="S169">
        <v>192</v>
      </c>
      <c r="T169">
        <v>2</v>
      </c>
      <c r="U169">
        <v>2</v>
      </c>
      <c r="V169">
        <v>131.93</v>
      </c>
      <c r="W169" s="17">
        <v>11.247999999999999</v>
      </c>
      <c r="X169" s="33">
        <v>45313</v>
      </c>
      <c r="Y169" s="37">
        <v>0.77116898148148139</v>
      </c>
      <c r="Z169">
        <v>0</v>
      </c>
      <c r="AA169">
        <v>0</v>
      </c>
      <c r="AB169">
        <v>0</v>
      </c>
      <c r="AC169" s="30">
        <f t="shared" si="191"/>
        <v>11.251799999999999</v>
      </c>
    </row>
    <row r="170" spans="1:29" x14ac:dyDescent="0.25">
      <c r="A170">
        <v>1</v>
      </c>
      <c r="B170" t="s">
        <v>16</v>
      </c>
      <c r="C170">
        <v>13056</v>
      </c>
      <c r="D170">
        <v>192</v>
      </c>
      <c r="E170">
        <v>2</v>
      </c>
      <c r="F170">
        <v>2</v>
      </c>
      <c r="G170">
        <v>140.94999999999999</v>
      </c>
      <c r="H170" s="17">
        <v>10.528</v>
      </c>
      <c r="I170" s="33">
        <v>45313</v>
      </c>
      <c r="J170" s="37">
        <v>0.81787037037037036</v>
      </c>
      <c r="K170">
        <v>0</v>
      </c>
      <c r="L170">
        <v>0</v>
      </c>
      <c r="M170">
        <v>0</v>
      </c>
      <c r="N170" s="30">
        <f t="shared" si="190"/>
        <v>10.526199999999999</v>
      </c>
      <c r="P170">
        <v>1</v>
      </c>
      <c r="Q170" t="s">
        <v>16</v>
      </c>
      <c r="R170">
        <v>13056</v>
      </c>
      <c r="S170">
        <v>192</v>
      </c>
      <c r="T170">
        <v>2</v>
      </c>
      <c r="U170">
        <v>2</v>
      </c>
      <c r="V170">
        <v>131.86000000000001</v>
      </c>
      <c r="W170" s="17">
        <v>11.254</v>
      </c>
      <c r="X170" s="33">
        <v>45313</v>
      </c>
      <c r="Y170" s="37">
        <v>0.8025578703703703</v>
      </c>
      <c r="Z170">
        <v>0</v>
      </c>
      <c r="AA170">
        <v>0</v>
      </c>
      <c r="AB170">
        <v>0</v>
      </c>
      <c r="AC170" s="30">
        <f t="shared" si="185"/>
        <v>11.251799999999999</v>
      </c>
    </row>
    <row r="171" spans="1:29" x14ac:dyDescent="0.25">
      <c r="A171">
        <v>2</v>
      </c>
      <c r="B171" t="s">
        <v>16</v>
      </c>
      <c r="C171">
        <v>13056</v>
      </c>
      <c r="D171">
        <v>192</v>
      </c>
      <c r="E171">
        <v>2</v>
      </c>
      <c r="F171">
        <v>2</v>
      </c>
      <c r="G171">
        <v>140.96</v>
      </c>
      <c r="H171" s="17">
        <v>10.528</v>
      </c>
      <c r="I171" s="33">
        <v>45313</v>
      </c>
      <c r="J171" s="37">
        <v>0.8768287037037038</v>
      </c>
      <c r="K171">
        <v>0</v>
      </c>
      <c r="L171">
        <v>0</v>
      </c>
      <c r="M171">
        <v>0</v>
      </c>
      <c r="N171" s="30">
        <f t="shared" si="190"/>
        <v>10.526199999999999</v>
      </c>
      <c r="P171">
        <v>2</v>
      </c>
      <c r="Q171" t="s">
        <v>16</v>
      </c>
      <c r="R171">
        <v>13056</v>
      </c>
      <c r="S171">
        <v>192</v>
      </c>
      <c r="T171">
        <v>2</v>
      </c>
      <c r="U171">
        <v>2</v>
      </c>
      <c r="V171">
        <v>131.74</v>
      </c>
      <c r="W171" s="17">
        <v>11.263999999999999</v>
      </c>
      <c r="X171" s="33">
        <v>45313</v>
      </c>
      <c r="Y171" s="37">
        <v>0.861261574074074</v>
      </c>
      <c r="Z171">
        <v>0</v>
      </c>
      <c r="AA171">
        <v>0</v>
      </c>
      <c r="AB171">
        <v>0</v>
      </c>
      <c r="AC171" s="30">
        <f t="shared" si="185"/>
        <v>11.251799999999999</v>
      </c>
    </row>
    <row r="172" spans="1:29" x14ac:dyDescent="0.25">
      <c r="A172">
        <v>3</v>
      </c>
      <c r="B172" t="s">
        <v>16</v>
      </c>
      <c r="C172">
        <v>13056</v>
      </c>
      <c r="D172">
        <v>192</v>
      </c>
      <c r="E172">
        <v>2</v>
      </c>
      <c r="F172">
        <v>2</v>
      </c>
      <c r="G172">
        <v>141.04</v>
      </c>
      <c r="H172" s="17">
        <v>10.521000000000001</v>
      </c>
      <c r="I172" s="33">
        <v>45313</v>
      </c>
      <c r="J172" s="37">
        <v>0.92843749999999992</v>
      </c>
      <c r="K172">
        <v>0</v>
      </c>
      <c r="L172">
        <v>0</v>
      </c>
      <c r="M172">
        <v>0</v>
      </c>
      <c r="N172" s="30">
        <f t="shared" si="190"/>
        <v>10.526199999999999</v>
      </c>
      <c r="P172">
        <v>3</v>
      </c>
      <c r="Q172" t="s">
        <v>16</v>
      </c>
      <c r="R172">
        <v>13056</v>
      </c>
      <c r="S172">
        <v>192</v>
      </c>
      <c r="T172">
        <v>2</v>
      </c>
      <c r="U172">
        <v>2</v>
      </c>
      <c r="V172">
        <v>132.02000000000001</v>
      </c>
      <c r="W172" s="17">
        <v>11.24</v>
      </c>
      <c r="X172" s="33">
        <v>45313</v>
      </c>
      <c r="Y172" s="37">
        <v>0.919988425925926</v>
      </c>
      <c r="Z172">
        <v>0</v>
      </c>
      <c r="AA172">
        <v>0</v>
      </c>
      <c r="AB172">
        <v>0</v>
      </c>
      <c r="AC172" s="30">
        <f t="shared" si="185"/>
        <v>11.251799999999999</v>
      </c>
    </row>
    <row r="173" spans="1:29" x14ac:dyDescent="0.25">
      <c r="A173">
        <v>4</v>
      </c>
      <c r="B173" t="s">
        <v>16</v>
      </c>
      <c r="C173">
        <v>13056</v>
      </c>
      <c r="D173">
        <v>192</v>
      </c>
      <c r="E173">
        <v>2</v>
      </c>
      <c r="F173">
        <v>2</v>
      </c>
      <c r="G173">
        <v>141</v>
      </c>
      <c r="H173" s="17">
        <v>10.523999999999999</v>
      </c>
      <c r="I173" s="33">
        <v>45313</v>
      </c>
      <c r="J173" s="37">
        <v>0.9800578703703704</v>
      </c>
      <c r="K173">
        <v>0</v>
      </c>
      <c r="L173">
        <v>0</v>
      </c>
      <c r="M173">
        <v>0</v>
      </c>
      <c r="N173" s="30">
        <f t="shared" si="190"/>
        <v>10.526199999999999</v>
      </c>
      <c r="P173">
        <v>4</v>
      </c>
      <c r="Q173" t="s">
        <v>16</v>
      </c>
      <c r="R173">
        <v>13056</v>
      </c>
      <c r="S173">
        <v>192</v>
      </c>
      <c r="T173">
        <v>2</v>
      </c>
      <c r="U173">
        <v>2</v>
      </c>
      <c r="V173">
        <v>131.87</v>
      </c>
      <c r="W173" s="17">
        <v>11.253</v>
      </c>
      <c r="X173" s="33">
        <v>45313</v>
      </c>
      <c r="Y173" s="37">
        <v>0.97871527777777778</v>
      </c>
      <c r="Z173">
        <v>0</v>
      </c>
      <c r="AA173">
        <v>0</v>
      </c>
      <c r="AB173">
        <v>0</v>
      </c>
      <c r="AC173" s="30">
        <f t="shared" si="185"/>
        <v>11.251799999999999</v>
      </c>
    </row>
    <row r="174" spans="1:29" x14ac:dyDescent="0.25">
      <c r="A174">
        <v>0</v>
      </c>
      <c r="B174" t="s">
        <v>16</v>
      </c>
      <c r="C174">
        <v>13824</v>
      </c>
      <c r="D174">
        <v>192</v>
      </c>
      <c r="E174">
        <v>2</v>
      </c>
      <c r="F174">
        <v>2</v>
      </c>
      <c r="G174">
        <v>169.35</v>
      </c>
      <c r="H174" s="17">
        <v>10.401</v>
      </c>
      <c r="I174" s="33">
        <v>45313</v>
      </c>
      <c r="J174" s="37">
        <v>0.78371527777777772</v>
      </c>
      <c r="K174">
        <v>0</v>
      </c>
      <c r="L174">
        <v>0</v>
      </c>
      <c r="M174">
        <v>0</v>
      </c>
      <c r="N174" s="30">
        <f t="shared" si="188"/>
        <v>10.400600000000001</v>
      </c>
      <c r="P174">
        <v>0</v>
      </c>
      <c r="Q174" t="s">
        <v>16</v>
      </c>
      <c r="R174">
        <v>13824</v>
      </c>
      <c r="S174">
        <v>192</v>
      </c>
      <c r="T174">
        <v>2</v>
      </c>
      <c r="U174">
        <v>2</v>
      </c>
      <c r="V174">
        <v>156.24</v>
      </c>
      <c r="W174" s="17">
        <v>11.275</v>
      </c>
      <c r="X174" s="33">
        <v>45313</v>
      </c>
      <c r="Y174" s="37">
        <v>0.7634953703703703</v>
      </c>
      <c r="Z174">
        <v>0</v>
      </c>
      <c r="AA174">
        <v>0</v>
      </c>
      <c r="AB174">
        <v>0</v>
      </c>
      <c r="AC174" s="30">
        <f t="shared" si="191"/>
        <v>11.281000000000001</v>
      </c>
    </row>
    <row r="175" spans="1:29" x14ac:dyDescent="0.25">
      <c r="A175">
        <v>1</v>
      </c>
      <c r="B175" t="s">
        <v>16</v>
      </c>
      <c r="C175">
        <v>13824</v>
      </c>
      <c r="D175">
        <v>192</v>
      </c>
      <c r="E175">
        <v>2</v>
      </c>
      <c r="F175">
        <v>2</v>
      </c>
      <c r="G175">
        <v>169.3</v>
      </c>
      <c r="H175" s="17">
        <v>10.404</v>
      </c>
      <c r="I175" s="33">
        <v>45313</v>
      </c>
      <c r="J175" s="37">
        <v>0.84282407407407411</v>
      </c>
      <c r="K175">
        <v>0</v>
      </c>
      <c r="L175">
        <v>0</v>
      </c>
      <c r="M175">
        <v>0</v>
      </c>
      <c r="N175" s="30">
        <f t="shared" si="190"/>
        <v>10.400600000000001</v>
      </c>
      <c r="P175">
        <v>1</v>
      </c>
      <c r="Q175" t="s">
        <v>16</v>
      </c>
      <c r="R175">
        <v>13824</v>
      </c>
      <c r="S175">
        <v>192</v>
      </c>
      <c r="T175">
        <v>2</v>
      </c>
      <c r="U175">
        <v>2</v>
      </c>
      <c r="V175">
        <v>156.13999999999999</v>
      </c>
      <c r="W175" s="17">
        <v>11.281000000000001</v>
      </c>
      <c r="X175" s="33">
        <v>45313</v>
      </c>
      <c r="Y175" s="37">
        <v>0.8222222222222223</v>
      </c>
      <c r="Z175">
        <v>0</v>
      </c>
      <c r="AA175">
        <v>0</v>
      </c>
      <c r="AB175">
        <v>0</v>
      </c>
      <c r="AC175" s="30">
        <f t="shared" si="185"/>
        <v>11.281000000000001</v>
      </c>
    </row>
    <row r="176" spans="1:29" x14ac:dyDescent="0.25">
      <c r="A176">
        <v>2</v>
      </c>
      <c r="B176" t="s">
        <v>16</v>
      </c>
      <c r="C176">
        <v>13824</v>
      </c>
      <c r="D176">
        <v>192</v>
      </c>
      <c r="E176">
        <v>2</v>
      </c>
      <c r="F176">
        <v>2</v>
      </c>
      <c r="G176">
        <v>169.4</v>
      </c>
      <c r="H176" s="17">
        <v>10.398999999999999</v>
      </c>
      <c r="I176" s="33">
        <v>45313</v>
      </c>
      <c r="J176" s="37">
        <v>0.89443287037037045</v>
      </c>
      <c r="K176">
        <v>0</v>
      </c>
      <c r="L176">
        <v>0</v>
      </c>
      <c r="M176">
        <v>0</v>
      </c>
      <c r="N176" s="30">
        <f t="shared" si="190"/>
        <v>10.400600000000001</v>
      </c>
      <c r="P176">
        <v>2</v>
      </c>
      <c r="Q176" t="s">
        <v>16</v>
      </c>
      <c r="R176">
        <v>13824</v>
      </c>
      <c r="S176">
        <v>192</v>
      </c>
      <c r="T176">
        <v>2</v>
      </c>
      <c r="U176">
        <v>2</v>
      </c>
      <c r="V176">
        <v>156.12</v>
      </c>
      <c r="W176" s="17">
        <v>11.282999999999999</v>
      </c>
      <c r="X176" s="33">
        <v>45313</v>
      </c>
      <c r="Y176" s="37">
        <v>0.88093749999999993</v>
      </c>
      <c r="Z176">
        <v>0</v>
      </c>
      <c r="AA176">
        <v>0</v>
      </c>
      <c r="AB176">
        <v>0</v>
      </c>
      <c r="AC176" s="30">
        <f t="shared" si="185"/>
        <v>11.281000000000001</v>
      </c>
    </row>
    <row r="177" spans="1:29" x14ac:dyDescent="0.25">
      <c r="A177">
        <v>3</v>
      </c>
      <c r="B177" t="s">
        <v>16</v>
      </c>
      <c r="C177">
        <v>13824</v>
      </c>
      <c r="D177">
        <v>192</v>
      </c>
      <c r="E177">
        <v>2</v>
      </c>
      <c r="F177">
        <v>2</v>
      </c>
      <c r="G177">
        <v>169.31</v>
      </c>
      <c r="H177" s="17">
        <v>10.404</v>
      </c>
      <c r="I177" s="33">
        <v>45313</v>
      </c>
      <c r="J177" s="37">
        <v>0.94604166666666656</v>
      </c>
      <c r="K177">
        <v>0</v>
      </c>
      <c r="L177">
        <v>0</v>
      </c>
      <c r="M177">
        <v>0</v>
      </c>
      <c r="N177" s="30">
        <f t="shared" si="190"/>
        <v>10.400600000000001</v>
      </c>
      <c r="P177">
        <v>3</v>
      </c>
      <c r="Q177" t="s">
        <v>16</v>
      </c>
      <c r="R177">
        <v>13824</v>
      </c>
      <c r="S177">
        <v>192</v>
      </c>
      <c r="T177">
        <v>2</v>
      </c>
      <c r="U177">
        <v>2</v>
      </c>
      <c r="V177">
        <v>156.16999999999999</v>
      </c>
      <c r="W177" s="17">
        <v>11.28</v>
      </c>
      <c r="X177" s="33">
        <v>45313</v>
      </c>
      <c r="Y177" s="37">
        <v>0.93966435185185182</v>
      </c>
      <c r="Z177">
        <v>0</v>
      </c>
      <c r="AA177">
        <v>0</v>
      </c>
      <c r="AB177">
        <v>0</v>
      </c>
      <c r="AC177" s="30">
        <f t="shared" si="185"/>
        <v>11.281000000000001</v>
      </c>
    </row>
    <row r="178" spans="1:29" x14ac:dyDescent="0.25">
      <c r="A178">
        <v>4</v>
      </c>
      <c r="B178" t="s">
        <v>16</v>
      </c>
      <c r="C178">
        <v>13824</v>
      </c>
      <c r="D178">
        <v>192</v>
      </c>
      <c r="E178">
        <v>2</v>
      </c>
      <c r="F178">
        <v>2</v>
      </c>
      <c r="G178">
        <v>169.46</v>
      </c>
      <c r="H178" s="17">
        <v>10.395</v>
      </c>
      <c r="I178" s="33">
        <v>45313</v>
      </c>
      <c r="J178" s="37">
        <v>0.99766203703703704</v>
      </c>
      <c r="K178">
        <v>0</v>
      </c>
      <c r="L178">
        <v>0</v>
      </c>
      <c r="M178">
        <v>0</v>
      </c>
      <c r="N178" s="30">
        <f t="shared" si="190"/>
        <v>10.400600000000001</v>
      </c>
      <c r="P178">
        <v>4</v>
      </c>
      <c r="Q178" t="s">
        <v>16</v>
      </c>
      <c r="R178">
        <v>13824</v>
      </c>
      <c r="S178">
        <v>192</v>
      </c>
      <c r="T178">
        <v>2</v>
      </c>
      <c r="U178">
        <v>2</v>
      </c>
      <c r="V178">
        <v>156.08000000000001</v>
      </c>
      <c r="W178" s="17">
        <v>11.286</v>
      </c>
      <c r="X178" s="33">
        <v>45313</v>
      </c>
      <c r="Y178" s="37">
        <v>0.99837962962962967</v>
      </c>
      <c r="Z178">
        <v>0</v>
      </c>
      <c r="AA178">
        <v>0</v>
      </c>
      <c r="AB178">
        <v>0</v>
      </c>
      <c r="AC178" s="30">
        <f t="shared" si="185"/>
        <v>11.281000000000001</v>
      </c>
    </row>
    <row r="179" spans="1:29" x14ac:dyDescent="0.25">
      <c r="A179">
        <v>0</v>
      </c>
      <c r="B179" t="s">
        <v>16</v>
      </c>
      <c r="C179">
        <v>14592</v>
      </c>
      <c r="D179">
        <v>192</v>
      </c>
      <c r="E179">
        <v>2</v>
      </c>
      <c r="F179">
        <v>2</v>
      </c>
      <c r="G179">
        <v>194.77</v>
      </c>
      <c r="H179" s="17">
        <v>10.635999999999999</v>
      </c>
      <c r="I179" s="33">
        <v>45313</v>
      </c>
      <c r="J179" s="37">
        <v>0.80349537037037033</v>
      </c>
      <c r="K179">
        <v>0</v>
      </c>
      <c r="L179">
        <v>0</v>
      </c>
      <c r="M179">
        <v>0</v>
      </c>
      <c r="N179" s="30">
        <f t="shared" si="188"/>
        <v>10.659599999999999</v>
      </c>
      <c r="P179">
        <v>0</v>
      </c>
      <c r="Q179" t="s">
        <v>16</v>
      </c>
      <c r="R179">
        <v>14592</v>
      </c>
      <c r="S179">
        <v>192</v>
      </c>
      <c r="T179">
        <v>2</v>
      </c>
      <c r="U179">
        <v>2</v>
      </c>
      <c r="V179">
        <v>181.93</v>
      </c>
      <c r="W179" s="17">
        <v>11.387</v>
      </c>
      <c r="X179" s="33">
        <v>45313</v>
      </c>
      <c r="Y179" s="37">
        <v>0.78592592592592592</v>
      </c>
      <c r="Z179">
        <v>0</v>
      </c>
      <c r="AA179">
        <v>0</v>
      </c>
      <c r="AB179">
        <v>0</v>
      </c>
      <c r="AC179" s="30">
        <f t="shared" si="191"/>
        <v>11.419</v>
      </c>
    </row>
    <row r="180" spans="1:29" x14ac:dyDescent="0.25">
      <c r="A180">
        <v>1</v>
      </c>
      <c r="B180" t="s">
        <v>16</v>
      </c>
      <c r="C180">
        <v>14592</v>
      </c>
      <c r="D180">
        <v>192</v>
      </c>
      <c r="E180">
        <v>2</v>
      </c>
      <c r="F180">
        <v>2</v>
      </c>
      <c r="G180">
        <v>194.24</v>
      </c>
      <c r="H180" s="17">
        <v>10.664999999999999</v>
      </c>
      <c r="I180" s="33">
        <v>45313</v>
      </c>
      <c r="J180" s="37">
        <v>0.86248842592592589</v>
      </c>
      <c r="K180">
        <v>0</v>
      </c>
      <c r="L180">
        <v>0</v>
      </c>
      <c r="M180">
        <v>0</v>
      </c>
      <c r="N180" s="30">
        <f t="shared" si="190"/>
        <v>10.659599999999999</v>
      </c>
      <c r="P180">
        <v>1</v>
      </c>
      <c r="Q180" t="s">
        <v>16</v>
      </c>
      <c r="R180">
        <v>14592</v>
      </c>
      <c r="S180">
        <v>192</v>
      </c>
      <c r="T180">
        <v>2</v>
      </c>
      <c r="U180">
        <v>2</v>
      </c>
      <c r="V180">
        <v>181.33</v>
      </c>
      <c r="W180" s="17">
        <v>11.425000000000001</v>
      </c>
      <c r="X180" s="33">
        <v>45313</v>
      </c>
      <c r="Y180" s="37">
        <v>0.84462962962962962</v>
      </c>
      <c r="Z180">
        <v>0</v>
      </c>
      <c r="AA180">
        <v>0</v>
      </c>
      <c r="AB180">
        <v>0</v>
      </c>
      <c r="AC180" s="30">
        <f t="shared" si="185"/>
        <v>11.419</v>
      </c>
    </row>
    <row r="181" spans="1:29" x14ac:dyDescent="0.25">
      <c r="A181">
        <v>2</v>
      </c>
      <c r="B181" t="s">
        <v>16</v>
      </c>
      <c r="C181">
        <v>14592</v>
      </c>
      <c r="D181">
        <v>192</v>
      </c>
      <c r="E181">
        <v>2</v>
      </c>
      <c r="F181">
        <v>2</v>
      </c>
      <c r="G181">
        <v>193.84</v>
      </c>
      <c r="H181" s="17">
        <v>10.688000000000001</v>
      </c>
      <c r="I181" s="33">
        <v>45313</v>
      </c>
      <c r="J181" s="37">
        <v>0.91409722222222223</v>
      </c>
      <c r="K181">
        <v>0</v>
      </c>
      <c r="L181">
        <v>0</v>
      </c>
      <c r="M181">
        <v>0</v>
      </c>
      <c r="N181" s="30">
        <f t="shared" si="190"/>
        <v>10.659599999999999</v>
      </c>
      <c r="P181">
        <v>2</v>
      </c>
      <c r="Q181" t="s">
        <v>16</v>
      </c>
      <c r="R181">
        <v>14592</v>
      </c>
      <c r="S181">
        <v>192</v>
      </c>
      <c r="T181">
        <v>2</v>
      </c>
      <c r="U181">
        <v>2</v>
      </c>
      <c r="V181">
        <v>181.37</v>
      </c>
      <c r="W181" s="17">
        <v>11.422000000000001</v>
      </c>
      <c r="X181" s="33">
        <v>45313</v>
      </c>
      <c r="Y181" s="37">
        <v>0.90334490740740747</v>
      </c>
      <c r="Z181">
        <v>0</v>
      </c>
      <c r="AA181">
        <v>0</v>
      </c>
      <c r="AB181">
        <v>0</v>
      </c>
      <c r="AC181" s="30">
        <f t="shared" si="185"/>
        <v>11.419</v>
      </c>
    </row>
    <row r="182" spans="1:29" x14ac:dyDescent="0.25">
      <c r="A182">
        <v>3</v>
      </c>
      <c r="B182" t="s">
        <v>16</v>
      </c>
      <c r="C182">
        <v>14592</v>
      </c>
      <c r="D182">
        <v>192</v>
      </c>
      <c r="E182">
        <v>2</v>
      </c>
      <c r="F182">
        <v>2</v>
      </c>
      <c r="G182">
        <v>194.04</v>
      </c>
      <c r="H182" s="17">
        <v>10.677</v>
      </c>
      <c r="I182" s="33">
        <v>45313</v>
      </c>
      <c r="J182" s="37">
        <v>0.96570601851851856</v>
      </c>
      <c r="K182">
        <v>0</v>
      </c>
      <c r="L182">
        <v>0</v>
      </c>
      <c r="M182">
        <v>0</v>
      </c>
      <c r="N182" s="30">
        <f t="shared" si="190"/>
        <v>10.659599999999999</v>
      </c>
      <c r="P182">
        <v>3</v>
      </c>
      <c r="Q182" t="s">
        <v>16</v>
      </c>
      <c r="R182">
        <v>14592</v>
      </c>
      <c r="S182">
        <v>192</v>
      </c>
      <c r="T182">
        <v>2</v>
      </c>
      <c r="U182">
        <v>2</v>
      </c>
      <c r="V182">
        <v>181</v>
      </c>
      <c r="W182" s="17">
        <v>11.445</v>
      </c>
      <c r="X182" s="33">
        <v>45313</v>
      </c>
      <c r="Y182" s="37">
        <v>0.96207175925925925</v>
      </c>
      <c r="Z182">
        <v>0</v>
      </c>
      <c r="AA182">
        <v>0</v>
      </c>
      <c r="AB182">
        <v>0</v>
      </c>
      <c r="AC182" s="30">
        <f t="shared" si="185"/>
        <v>11.419</v>
      </c>
    </row>
    <row r="183" spans="1:29" x14ac:dyDescent="0.25">
      <c r="A183">
        <v>4</v>
      </c>
      <c r="B183" t="s">
        <v>16</v>
      </c>
      <c r="C183">
        <v>14592</v>
      </c>
      <c r="D183">
        <v>192</v>
      </c>
      <c r="E183">
        <v>2</v>
      </c>
      <c r="F183">
        <v>2</v>
      </c>
      <c r="G183">
        <v>194.85</v>
      </c>
      <c r="H183" s="17">
        <v>10.632</v>
      </c>
      <c r="I183" s="33">
        <v>45314</v>
      </c>
      <c r="J183" s="37">
        <v>1.7337962962962961E-2</v>
      </c>
      <c r="K183">
        <v>0</v>
      </c>
      <c r="L183">
        <v>0</v>
      </c>
      <c r="M183">
        <v>0</v>
      </c>
      <c r="N183" s="30">
        <f t="shared" si="190"/>
        <v>10.659599999999999</v>
      </c>
      <c r="P183">
        <v>4</v>
      </c>
      <c r="Q183" t="s">
        <v>16</v>
      </c>
      <c r="R183">
        <v>14592</v>
      </c>
      <c r="S183">
        <v>192</v>
      </c>
      <c r="T183">
        <v>2</v>
      </c>
      <c r="U183">
        <v>2</v>
      </c>
      <c r="V183">
        <v>181.47</v>
      </c>
      <c r="W183" s="17">
        <v>11.416</v>
      </c>
      <c r="X183" s="33">
        <v>45314</v>
      </c>
      <c r="Y183" s="37">
        <v>2.0798611111111111E-2</v>
      </c>
      <c r="Z183">
        <v>0</v>
      </c>
      <c r="AA183">
        <v>0</v>
      </c>
      <c r="AB183">
        <v>0</v>
      </c>
      <c r="AC183" s="30">
        <f t="shared" si="185"/>
        <v>11.419</v>
      </c>
    </row>
    <row r="184" spans="1:29" x14ac:dyDescent="0.25">
      <c r="A184">
        <v>0</v>
      </c>
      <c r="B184" t="s">
        <v>16</v>
      </c>
      <c r="C184">
        <v>12992</v>
      </c>
      <c r="D184">
        <v>224</v>
      </c>
      <c r="E184">
        <v>1</v>
      </c>
      <c r="F184">
        <v>4</v>
      </c>
      <c r="G184">
        <v>140.38</v>
      </c>
      <c r="H184" s="139">
        <v>10.416</v>
      </c>
      <c r="I184" s="33">
        <v>45608</v>
      </c>
      <c r="J184" s="37">
        <v>0.3162962962962963</v>
      </c>
      <c r="K184">
        <v>0</v>
      </c>
      <c r="L184">
        <v>0</v>
      </c>
      <c r="M184">
        <v>0</v>
      </c>
      <c r="N184" s="30">
        <f t="shared" si="188"/>
        <v>10.417400000000001</v>
      </c>
      <c r="P184">
        <v>0</v>
      </c>
      <c r="Q184" t="s">
        <v>16</v>
      </c>
      <c r="R184">
        <v>12992</v>
      </c>
      <c r="S184">
        <v>224</v>
      </c>
      <c r="T184">
        <v>1</v>
      </c>
      <c r="U184">
        <v>4</v>
      </c>
      <c r="V184">
        <v>130.81</v>
      </c>
      <c r="W184" s="139">
        <v>11.178000000000001</v>
      </c>
      <c r="X184" s="33">
        <v>45608</v>
      </c>
      <c r="Y184" s="37">
        <v>0.31761574074074073</v>
      </c>
      <c r="Z184">
        <v>0</v>
      </c>
      <c r="AA184">
        <v>0</v>
      </c>
      <c r="AB184">
        <v>0</v>
      </c>
      <c r="AC184" s="30">
        <f t="shared" si="191"/>
        <v>11.167199999999999</v>
      </c>
    </row>
    <row r="185" spans="1:29" x14ac:dyDescent="0.25">
      <c r="A185">
        <v>1</v>
      </c>
      <c r="B185" t="s">
        <v>16</v>
      </c>
      <c r="C185">
        <v>12992</v>
      </c>
      <c r="D185">
        <v>224</v>
      </c>
      <c r="E185">
        <v>1</v>
      </c>
      <c r="F185">
        <v>4</v>
      </c>
      <c r="G185">
        <v>140.30000000000001</v>
      </c>
      <c r="H185" s="139">
        <v>10.422000000000001</v>
      </c>
      <c r="I185" s="33">
        <v>45608</v>
      </c>
      <c r="J185" s="37">
        <v>0.37004629629629632</v>
      </c>
      <c r="K185">
        <v>0</v>
      </c>
      <c r="L185">
        <v>0</v>
      </c>
      <c r="M185">
        <v>0</v>
      </c>
      <c r="N185" s="30">
        <f t="shared" si="190"/>
        <v>10.417400000000001</v>
      </c>
      <c r="P185">
        <v>1</v>
      </c>
      <c r="Q185" t="s">
        <v>16</v>
      </c>
      <c r="R185">
        <v>12992</v>
      </c>
      <c r="S185">
        <v>224</v>
      </c>
      <c r="T185">
        <v>1</v>
      </c>
      <c r="U185">
        <v>4</v>
      </c>
      <c r="V185">
        <v>131.19999999999999</v>
      </c>
      <c r="W185" s="139">
        <v>11.145</v>
      </c>
      <c r="X185" s="33">
        <v>45608</v>
      </c>
      <c r="Y185" s="37">
        <v>0.40469907407407407</v>
      </c>
      <c r="Z185">
        <v>0</v>
      </c>
      <c r="AA185">
        <v>0</v>
      </c>
      <c r="AB185">
        <v>0</v>
      </c>
      <c r="AC185" s="30">
        <f t="shared" ref="AC185:AC243" si="192">AC184</f>
        <v>11.167199999999999</v>
      </c>
    </row>
    <row r="186" spans="1:29" x14ac:dyDescent="0.25">
      <c r="A186">
        <v>2</v>
      </c>
      <c r="B186" t="s">
        <v>16</v>
      </c>
      <c r="C186">
        <v>12992</v>
      </c>
      <c r="D186">
        <v>224</v>
      </c>
      <c r="E186">
        <v>1</v>
      </c>
      <c r="F186">
        <v>4</v>
      </c>
      <c r="G186">
        <v>140.36000000000001</v>
      </c>
      <c r="H186" s="139">
        <v>10.417</v>
      </c>
      <c r="I186" s="33">
        <v>45608</v>
      </c>
      <c r="J186" s="37">
        <v>0.42375000000000002</v>
      </c>
      <c r="K186">
        <v>0</v>
      </c>
      <c r="L186">
        <v>0</v>
      </c>
      <c r="M186">
        <v>0</v>
      </c>
      <c r="N186" s="30">
        <f t="shared" si="190"/>
        <v>10.417400000000001</v>
      </c>
      <c r="P186">
        <v>2</v>
      </c>
      <c r="Q186" t="s">
        <v>16</v>
      </c>
      <c r="R186">
        <v>12992</v>
      </c>
      <c r="S186">
        <v>224</v>
      </c>
      <c r="T186">
        <v>1</v>
      </c>
      <c r="U186">
        <v>4</v>
      </c>
      <c r="V186">
        <v>131</v>
      </c>
      <c r="W186" s="139">
        <v>11.162000000000001</v>
      </c>
      <c r="X186" s="33">
        <v>45608</v>
      </c>
      <c r="Y186" s="37">
        <v>0.46452546296296299</v>
      </c>
      <c r="Z186">
        <v>0</v>
      </c>
      <c r="AA186">
        <v>0</v>
      </c>
      <c r="AB186">
        <v>0</v>
      </c>
      <c r="AC186" s="30">
        <f t="shared" si="192"/>
        <v>11.167199999999999</v>
      </c>
    </row>
    <row r="187" spans="1:29" x14ac:dyDescent="0.25">
      <c r="A187">
        <v>3</v>
      </c>
      <c r="B187" t="s">
        <v>16</v>
      </c>
      <c r="C187">
        <v>12992</v>
      </c>
      <c r="D187">
        <v>224</v>
      </c>
      <c r="E187">
        <v>1</v>
      </c>
      <c r="F187">
        <v>4</v>
      </c>
      <c r="G187">
        <v>140.34</v>
      </c>
      <c r="H187" s="139">
        <v>10.419</v>
      </c>
      <c r="I187" s="33">
        <v>45608</v>
      </c>
      <c r="J187" s="37">
        <v>0.47746527777777775</v>
      </c>
      <c r="K187">
        <v>0</v>
      </c>
      <c r="L187">
        <v>0</v>
      </c>
      <c r="M187">
        <v>0</v>
      </c>
      <c r="N187" s="30">
        <f t="shared" si="190"/>
        <v>10.417400000000001</v>
      </c>
      <c r="P187">
        <v>3</v>
      </c>
      <c r="Q187" t="s">
        <v>16</v>
      </c>
      <c r="R187">
        <v>12992</v>
      </c>
      <c r="S187">
        <v>224</v>
      </c>
      <c r="T187">
        <v>1</v>
      </c>
      <c r="U187">
        <v>4</v>
      </c>
      <c r="V187">
        <v>130.85</v>
      </c>
      <c r="W187" s="139">
        <v>11.175000000000001</v>
      </c>
      <c r="X187" s="33">
        <v>45608</v>
      </c>
      <c r="Y187" s="37">
        <v>0.5733449074074074</v>
      </c>
      <c r="Z187">
        <v>0</v>
      </c>
      <c r="AA187">
        <v>0</v>
      </c>
      <c r="AB187">
        <v>0</v>
      </c>
      <c r="AC187" s="30">
        <f t="shared" si="192"/>
        <v>11.167199999999999</v>
      </c>
    </row>
    <row r="188" spans="1:29" x14ac:dyDescent="0.25">
      <c r="A188">
        <v>4</v>
      </c>
      <c r="B188" t="s">
        <v>16</v>
      </c>
      <c r="C188">
        <v>12992</v>
      </c>
      <c r="D188">
        <v>224</v>
      </c>
      <c r="E188">
        <v>1</v>
      </c>
      <c r="F188">
        <v>4</v>
      </c>
      <c r="G188">
        <v>140.41999999999999</v>
      </c>
      <c r="H188" s="139">
        <v>10.413</v>
      </c>
      <c r="I188" s="33">
        <v>45608</v>
      </c>
      <c r="J188" s="37">
        <v>0.57961805555555557</v>
      </c>
      <c r="K188">
        <v>0</v>
      </c>
      <c r="L188">
        <v>0</v>
      </c>
      <c r="M188">
        <v>0</v>
      </c>
      <c r="N188" s="30">
        <f t="shared" si="190"/>
        <v>10.417400000000001</v>
      </c>
      <c r="P188">
        <v>4</v>
      </c>
      <c r="Q188" t="s">
        <v>16</v>
      </c>
      <c r="R188">
        <v>12992</v>
      </c>
      <c r="S188">
        <v>224</v>
      </c>
      <c r="T188">
        <v>1</v>
      </c>
      <c r="U188">
        <v>4</v>
      </c>
      <c r="V188">
        <v>130.83000000000001</v>
      </c>
      <c r="W188" s="139">
        <v>11.176</v>
      </c>
      <c r="X188" s="33">
        <v>45608</v>
      </c>
      <c r="Y188" s="37">
        <v>0.63320601851851854</v>
      </c>
      <c r="Z188">
        <v>0</v>
      </c>
      <c r="AA188">
        <v>0</v>
      </c>
      <c r="AB188">
        <v>0</v>
      </c>
      <c r="AC188" s="30">
        <f t="shared" si="192"/>
        <v>11.167199999999999</v>
      </c>
    </row>
    <row r="189" spans="1:29" x14ac:dyDescent="0.25">
      <c r="A189">
        <v>0</v>
      </c>
      <c r="B189" t="s">
        <v>16</v>
      </c>
      <c r="C189">
        <v>13664</v>
      </c>
      <c r="D189">
        <v>224</v>
      </c>
      <c r="E189">
        <v>1</v>
      </c>
      <c r="F189">
        <v>4</v>
      </c>
      <c r="G189">
        <v>162.02000000000001</v>
      </c>
      <c r="H189" s="139">
        <v>10.499000000000001</v>
      </c>
      <c r="I189" s="33">
        <v>45608</v>
      </c>
      <c r="J189" s="37">
        <v>0.33346064814814813</v>
      </c>
      <c r="K189">
        <v>0</v>
      </c>
      <c r="L189">
        <v>0</v>
      </c>
      <c r="M189">
        <v>0</v>
      </c>
      <c r="N189" s="30">
        <f t="shared" ref="N189:N239" si="193">AVERAGE(H189:H193)</f>
        <v>10.4962</v>
      </c>
      <c r="P189">
        <v>0</v>
      </c>
      <c r="Q189" t="s">
        <v>16</v>
      </c>
      <c r="R189">
        <v>13664</v>
      </c>
      <c r="S189">
        <v>224</v>
      </c>
      <c r="T189">
        <v>1</v>
      </c>
      <c r="U189">
        <v>4</v>
      </c>
      <c r="V189">
        <v>151.63</v>
      </c>
      <c r="W189" s="139">
        <v>11.218</v>
      </c>
      <c r="X189" s="33">
        <v>45608</v>
      </c>
      <c r="Y189" s="37">
        <v>0.36383101851851851</v>
      </c>
      <c r="Z189">
        <v>0</v>
      </c>
      <c r="AA189">
        <v>0</v>
      </c>
      <c r="AB189">
        <v>0</v>
      </c>
      <c r="AC189" s="30">
        <f t="shared" si="191"/>
        <v>11.239999999999998</v>
      </c>
    </row>
    <row r="190" spans="1:29" x14ac:dyDescent="0.25">
      <c r="A190">
        <v>1</v>
      </c>
      <c r="B190" t="s">
        <v>16</v>
      </c>
      <c r="C190">
        <v>13664</v>
      </c>
      <c r="D190">
        <v>224</v>
      </c>
      <c r="E190">
        <v>1</v>
      </c>
      <c r="F190">
        <v>4</v>
      </c>
      <c r="G190">
        <v>162.03</v>
      </c>
      <c r="H190" s="139">
        <v>10.499000000000001</v>
      </c>
      <c r="I190" s="33">
        <v>45608</v>
      </c>
      <c r="J190" s="37">
        <v>0.38722222222222225</v>
      </c>
      <c r="K190">
        <v>0</v>
      </c>
      <c r="L190">
        <v>0</v>
      </c>
      <c r="M190">
        <v>0</v>
      </c>
      <c r="N190" s="30">
        <f t="shared" ref="N190:N243" si="194">N189</f>
        <v>10.4962</v>
      </c>
      <c r="P190">
        <v>1</v>
      </c>
      <c r="Q190" t="s">
        <v>16</v>
      </c>
      <c r="R190">
        <v>13664</v>
      </c>
      <c r="S190">
        <v>224</v>
      </c>
      <c r="T190">
        <v>1</v>
      </c>
      <c r="U190">
        <v>4</v>
      </c>
      <c r="V190">
        <v>151.15</v>
      </c>
      <c r="W190" s="139">
        <v>11.254</v>
      </c>
      <c r="X190" s="33">
        <v>45608</v>
      </c>
      <c r="Y190" s="37">
        <v>0.4236226851851852</v>
      </c>
      <c r="Z190">
        <v>0</v>
      </c>
      <c r="AA190">
        <v>0</v>
      </c>
      <c r="AB190">
        <v>0</v>
      </c>
      <c r="AC190" s="30">
        <f t="shared" si="192"/>
        <v>11.239999999999998</v>
      </c>
    </row>
    <row r="191" spans="1:29" x14ac:dyDescent="0.25">
      <c r="A191">
        <v>2</v>
      </c>
      <c r="B191" t="s">
        <v>16</v>
      </c>
      <c r="C191">
        <v>13664</v>
      </c>
      <c r="D191">
        <v>224</v>
      </c>
      <c r="E191">
        <v>1</v>
      </c>
      <c r="F191">
        <v>4</v>
      </c>
      <c r="G191">
        <v>162.03</v>
      </c>
      <c r="H191" s="139">
        <v>10.497999999999999</v>
      </c>
      <c r="I191" s="33">
        <v>45608</v>
      </c>
      <c r="J191" s="37">
        <v>0.44092592592592594</v>
      </c>
      <c r="K191">
        <v>0</v>
      </c>
      <c r="L191">
        <v>0</v>
      </c>
      <c r="M191">
        <v>0</v>
      </c>
      <c r="N191" s="30">
        <f t="shared" si="194"/>
        <v>10.4962</v>
      </c>
      <c r="P191">
        <v>2</v>
      </c>
      <c r="Q191" t="s">
        <v>16</v>
      </c>
      <c r="R191">
        <v>13664</v>
      </c>
      <c r="S191">
        <v>224</v>
      </c>
      <c r="T191">
        <v>1</v>
      </c>
      <c r="U191">
        <v>4</v>
      </c>
      <c r="V191">
        <v>151.59</v>
      </c>
      <c r="W191" s="139">
        <v>11.221</v>
      </c>
      <c r="X191" s="33">
        <v>45608</v>
      </c>
      <c r="Y191" s="37">
        <v>0.48340277777777779</v>
      </c>
      <c r="Z191">
        <v>0</v>
      </c>
      <c r="AA191">
        <v>0</v>
      </c>
      <c r="AB191">
        <v>0</v>
      </c>
      <c r="AC191" s="30">
        <f t="shared" si="192"/>
        <v>11.239999999999998</v>
      </c>
    </row>
    <row r="192" spans="1:29" x14ac:dyDescent="0.25">
      <c r="A192">
        <v>3</v>
      </c>
      <c r="B192" t="s">
        <v>16</v>
      </c>
      <c r="C192">
        <v>13664</v>
      </c>
      <c r="D192">
        <v>224</v>
      </c>
      <c r="E192">
        <v>1</v>
      </c>
      <c r="F192">
        <v>4</v>
      </c>
      <c r="G192">
        <v>162.19999999999999</v>
      </c>
      <c r="H192" s="139">
        <v>10.487</v>
      </c>
      <c r="I192" s="33">
        <v>45608</v>
      </c>
      <c r="J192" s="37">
        <v>0.49464120370370368</v>
      </c>
      <c r="K192">
        <v>0</v>
      </c>
      <c r="L192">
        <v>0</v>
      </c>
      <c r="M192">
        <v>0</v>
      </c>
      <c r="N192" s="30">
        <f t="shared" si="194"/>
        <v>10.4962</v>
      </c>
      <c r="P192">
        <v>3</v>
      </c>
      <c r="Q192" t="s">
        <v>16</v>
      </c>
      <c r="R192">
        <v>13664</v>
      </c>
      <c r="S192">
        <v>224</v>
      </c>
      <c r="T192">
        <v>1</v>
      </c>
      <c r="U192">
        <v>4</v>
      </c>
      <c r="V192">
        <v>150.9</v>
      </c>
      <c r="W192" s="139">
        <v>11.273</v>
      </c>
      <c r="X192" s="33">
        <v>45608</v>
      </c>
      <c r="Y192" s="37">
        <v>0.59223379629629624</v>
      </c>
      <c r="Z192">
        <v>0</v>
      </c>
      <c r="AA192">
        <v>0</v>
      </c>
      <c r="AB192">
        <v>0</v>
      </c>
      <c r="AC192" s="30">
        <f t="shared" si="192"/>
        <v>11.239999999999998</v>
      </c>
    </row>
    <row r="193" spans="1:29" x14ac:dyDescent="0.25">
      <c r="A193">
        <v>4</v>
      </c>
      <c r="B193" t="s">
        <v>16</v>
      </c>
      <c r="C193">
        <v>13664</v>
      </c>
      <c r="D193">
        <v>224</v>
      </c>
      <c r="E193">
        <v>1</v>
      </c>
      <c r="F193">
        <v>4</v>
      </c>
      <c r="G193">
        <v>162.04</v>
      </c>
      <c r="H193" s="139">
        <v>10.497999999999999</v>
      </c>
      <c r="I193" s="33">
        <v>45608</v>
      </c>
      <c r="J193" s="37">
        <v>0.59679398148148144</v>
      </c>
      <c r="K193">
        <v>0</v>
      </c>
      <c r="L193">
        <v>0</v>
      </c>
      <c r="M193">
        <v>0</v>
      </c>
      <c r="N193" s="30">
        <f t="shared" si="194"/>
        <v>10.4962</v>
      </c>
      <c r="P193">
        <v>4</v>
      </c>
      <c r="Q193" t="s">
        <v>16</v>
      </c>
      <c r="R193">
        <v>13664</v>
      </c>
      <c r="S193">
        <v>224</v>
      </c>
      <c r="T193">
        <v>1</v>
      </c>
      <c r="U193">
        <v>4</v>
      </c>
      <c r="V193">
        <v>151.41999999999999</v>
      </c>
      <c r="W193" s="139">
        <v>11.234</v>
      </c>
      <c r="X193" s="33">
        <v>45608</v>
      </c>
      <c r="Y193" s="37">
        <v>0.65209490740740739</v>
      </c>
      <c r="Z193">
        <v>0</v>
      </c>
      <c r="AA193">
        <v>0</v>
      </c>
      <c r="AB193">
        <v>0</v>
      </c>
      <c r="AC193" s="30">
        <f t="shared" si="192"/>
        <v>11.239999999999998</v>
      </c>
    </row>
    <row r="194" spans="1:29" x14ac:dyDescent="0.25">
      <c r="A194">
        <v>0</v>
      </c>
      <c r="B194" t="s">
        <v>16</v>
      </c>
      <c r="C194">
        <v>14560</v>
      </c>
      <c r="D194">
        <v>224</v>
      </c>
      <c r="E194">
        <v>1</v>
      </c>
      <c r="F194">
        <v>4</v>
      </c>
      <c r="G194">
        <v>197.68</v>
      </c>
      <c r="H194" s="139">
        <v>10.411</v>
      </c>
      <c r="I194" s="33">
        <v>45608</v>
      </c>
      <c r="J194" s="37">
        <v>0.35309027777777779</v>
      </c>
      <c r="K194">
        <v>0</v>
      </c>
      <c r="L194">
        <v>0</v>
      </c>
      <c r="M194">
        <v>0</v>
      </c>
      <c r="N194" s="30">
        <f t="shared" si="193"/>
        <v>10.4696</v>
      </c>
      <c r="P194">
        <v>0</v>
      </c>
      <c r="Q194" t="s">
        <v>16</v>
      </c>
      <c r="R194">
        <v>14560</v>
      </c>
      <c r="S194">
        <v>224</v>
      </c>
      <c r="T194">
        <v>1</v>
      </c>
      <c r="U194">
        <v>4</v>
      </c>
      <c r="V194">
        <v>181.82</v>
      </c>
      <c r="W194" s="139">
        <v>11.319000000000001</v>
      </c>
      <c r="X194" s="33">
        <v>45608</v>
      </c>
      <c r="Y194" s="37">
        <v>0.38555555555555554</v>
      </c>
      <c r="Z194">
        <v>0</v>
      </c>
      <c r="AA194">
        <v>0</v>
      </c>
      <c r="AB194">
        <v>0</v>
      </c>
      <c r="AC194" s="30">
        <f t="shared" ref="AC194:AC239" si="195">AVERAGE(W194:W198)</f>
        <v>11.308600000000002</v>
      </c>
    </row>
    <row r="195" spans="1:29" x14ac:dyDescent="0.25">
      <c r="A195">
        <v>1</v>
      </c>
      <c r="B195" t="s">
        <v>16</v>
      </c>
      <c r="C195">
        <v>14560</v>
      </c>
      <c r="D195">
        <v>224</v>
      </c>
      <c r="E195">
        <v>1</v>
      </c>
      <c r="F195">
        <v>4</v>
      </c>
      <c r="G195">
        <v>196.29</v>
      </c>
      <c r="H195" s="139">
        <v>10.484999999999999</v>
      </c>
      <c r="I195" s="33">
        <v>45608</v>
      </c>
      <c r="J195" s="37">
        <v>0.40682870370370372</v>
      </c>
      <c r="K195">
        <v>0</v>
      </c>
      <c r="L195">
        <v>0</v>
      </c>
      <c r="M195">
        <v>0</v>
      </c>
      <c r="N195" s="30">
        <f t="shared" si="194"/>
        <v>10.4696</v>
      </c>
      <c r="P195">
        <v>1</v>
      </c>
      <c r="Q195" t="s">
        <v>16</v>
      </c>
      <c r="R195">
        <v>14560</v>
      </c>
      <c r="S195">
        <v>224</v>
      </c>
      <c r="T195">
        <v>1</v>
      </c>
      <c r="U195">
        <v>4</v>
      </c>
      <c r="V195">
        <v>181.65</v>
      </c>
      <c r="W195" s="139">
        <v>11.33</v>
      </c>
      <c r="X195" s="33">
        <v>45608</v>
      </c>
      <c r="Y195" s="37">
        <v>0.44535879629629632</v>
      </c>
      <c r="Z195">
        <v>0</v>
      </c>
      <c r="AA195">
        <v>0</v>
      </c>
      <c r="AB195">
        <v>0</v>
      </c>
      <c r="AC195" s="30">
        <f t="shared" si="192"/>
        <v>11.308600000000002</v>
      </c>
    </row>
    <row r="196" spans="1:29" x14ac:dyDescent="0.25">
      <c r="A196">
        <v>2</v>
      </c>
      <c r="B196" t="s">
        <v>16</v>
      </c>
      <c r="C196">
        <v>14560</v>
      </c>
      <c r="D196">
        <v>224</v>
      </c>
      <c r="E196">
        <v>1</v>
      </c>
      <c r="F196">
        <v>4</v>
      </c>
      <c r="G196">
        <v>196.18</v>
      </c>
      <c r="H196" s="139">
        <v>10.491</v>
      </c>
      <c r="I196" s="33">
        <v>45608</v>
      </c>
      <c r="J196" s="37">
        <v>0.46053240740740742</v>
      </c>
      <c r="K196">
        <v>0</v>
      </c>
      <c r="L196">
        <v>0</v>
      </c>
      <c r="M196">
        <v>0</v>
      </c>
      <c r="N196" s="30">
        <f t="shared" si="194"/>
        <v>10.4696</v>
      </c>
      <c r="P196">
        <v>2</v>
      </c>
      <c r="Q196" t="s">
        <v>16</v>
      </c>
      <c r="R196">
        <v>14560</v>
      </c>
      <c r="S196">
        <v>224</v>
      </c>
      <c r="T196">
        <v>1</v>
      </c>
      <c r="U196">
        <v>4</v>
      </c>
      <c r="V196">
        <v>181.44</v>
      </c>
      <c r="W196" s="139">
        <v>11.343</v>
      </c>
      <c r="X196" s="33">
        <v>45608</v>
      </c>
      <c r="Y196" s="37">
        <v>0.50515046296296295</v>
      </c>
      <c r="Z196">
        <v>0</v>
      </c>
      <c r="AA196">
        <v>0</v>
      </c>
      <c r="AB196">
        <v>0</v>
      </c>
      <c r="AC196" s="30">
        <f t="shared" si="192"/>
        <v>11.308600000000002</v>
      </c>
    </row>
    <row r="197" spans="1:29" x14ac:dyDescent="0.25">
      <c r="A197">
        <v>3</v>
      </c>
      <c r="B197" t="s">
        <v>16</v>
      </c>
      <c r="C197">
        <v>14560</v>
      </c>
      <c r="D197">
        <v>224</v>
      </c>
      <c r="E197">
        <v>1</v>
      </c>
      <c r="F197">
        <v>4</v>
      </c>
      <c r="G197">
        <v>196.34</v>
      </c>
      <c r="H197" s="139">
        <v>10.481999999999999</v>
      </c>
      <c r="I197" s="33">
        <v>45608</v>
      </c>
      <c r="J197" s="37">
        <v>0.5142592592592593</v>
      </c>
      <c r="K197">
        <v>0</v>
      </c>
      <c r="L197">
        <v>0</v>
      </c>
      <c r="M197">
        <v>0</v>
      </c>
      <c r="N197" s="30">
        <f t="shared" si="194"/>
        <v>10.4696</v>
      </c>
      <c r="P197">
        <v>3</v>
      </c>
      <c r="Q197" t="s">
        <v>16</v>
      </c>
      <c r="R197">
        <v>14560</v>
      </c>
      <c r="S197">
        <v>224</v>
      </c>
      <c r="T197">
        <v>1</v>
      </c>
      <c r="U197">
        <v>4</v>
      </c>
      <c r="V197">
        <v>183.53</v>
      </c>
      <c r="W197" s="139">
        <v>11.214</v>
      </c>
      <c r="X197" s="33">
        <v>45608</v>
      </c>
      <c r="Y197" s="37">
        <v>0.61403935185185188</v>
      </c>
      <c r="Z197">
        <v>0</v>
      </c>
      <c r="AA197">
        <v>0</v>
      </c>
      <c r="AB197">
        <v>0</v>
      </c>
      <c r="AC197" s="30">
        <f t="shared" si="192"/>
        <v>11.308600000000002</v>
      </c>
    </row>
    <row r="198" spans="1:29" x14ac:dyDescent="0.25">
      <c r="A198">
        <v>4</v>
      </c>
      <c r="B198" t="s">
        <v>16</v>
      </c>
      <c r="C198">
        <v>14560</v>
      </c>
      <c r="D198">
        <v>224</v>
      </c>
      <c r="E198">
        <v>1</v>
      </c>
      <c r="F198">
        <v>4</v>
      </c>
      <c r="G198">
        <v>196.4</v>
      </c>
      <c r="H198" s="139">
        <v>10.478999999999999</v>
      </c>
      <c r="I198" s="33">
        <v>45608</v>
      </c>
      <c r="J198" s="37">
        <v>0.61641203703703706</v>
      </c>
      <c r="K198">
        <v>0</v>
      </c>
      <c r="L198">
        <v>0</v>
      </c>
      <c r="M198">
        <v>0</v>
      </c>
      <c r="N198" s="30">
        <f t="shared" si="194"/>
        <v>10.4696</v>
      </c>
      <c r="P198">
        <v>4</v>
      </c>
      <c r="Q198" t="s">
        <v>16</v>
      </c>
      <c r="R198">
        <v>14560</v>
      </c>
      <c r="S198">
        <v>224</v>
      </c>
      <c r="T198">
        <v>1</v>
      </c>
      <c r="U198">
        <v>4</v>
      </c>
      <c r="V198">
        <v>181.54</v>
      </c>
      <c r="W198" s="139">
        <v>11.337</v>
      </c>
      <c r="X198" s="33">
        <v>45608</v>
      </c>
      <c r="Y198" s="37">
        <v>0.73439814814814819</v>
      </c>
      <c r="Z198">
        <v>0</v>
      </c>
      <c r="AA198">
        <v>0</v>
      </c>
      <c r="AB198">
        <v>0</v>
      </c>
      <c r="AC198" s="30">
        <f t="shared" si="192"/>
        <v>11.308600000000002</v>
      </c>
    </row>
    <row r="199" spans="1:29" x14ac:dyDescent="0.25">
      <c r="A199">
        <v>0</v>
      </c>
      <c r="B199" t="s">
        <v>16</v>
      </c>
      <c r="C199">
        <v>12992</v>
      </c>
      <c r="D199">
        <v>224</v>
      </c>
      <c r="E199">
        <v>2</v>
      </c>
      <c r="F199">
        <v>2</v>
      </c>
      <c r="G199">
        <v>138.19</v>
      </c>
      <c r="H199" s="139">
        <v>10.581</v>
      </c>
      <c r="I199" s="33">
        <v>45608</v>
      </c>
      <c r="J199" s="37">
        <v>0.3180324074074074</v>
      </c>
      <c r="K199">
        <v>0</v>
      </c>
      <c r="L199">
        <v>0</v>
      </c>
      <c r="M199">
        <v>0</v>
      </c>
      <c r="N199" s="30">
        <f t="shared" si="193"/>
        <v>10.5868</v>
      </c>
      <c r="P199">
        <v>0</v>
      </c>
      <c r="Q199" t="s">
        <v>16</v>
      </c>
      <c r="R199">
        <v>12992</v>
      </c>
      <c r="S199">
        <v>224</v>
      </c>
      <c r="T199">
        <v>2</v>
      </c>
      <c r="U199">
        <v>2</v>
      </c>
      <c r="V199">
        <v>129.97</v>
      </c>
      <c r="W199" s="139">
        <v>11.250999999999999</v>
      </c>
      <c r="X199" s="33">
        <v>45608</v>
      </c>
      <c r="Y199" s="37">
        <v>0.31966435185185182</v>
      </c>
      <c r="Z199">
        <v>0</v>
      </c>
      <c r="AA199">
        <v>0</v>
      </c>
      <c r="AB199">
        <v>0</v>
      </c>
      <c r="AC199" s="30">
        <f t="shared" si="195"/>
        <v>11.243599999999999</v>
      </c>
    </row>
    <row r="200" spans="1:29" x14ac:dyDescent="0.25">
      <c r="A200">
        <v>1</v>
      </c>
      <c r="B200" t="s">
        <v>16</v>
      </c>
      <c r="C200">
        <v>12992</v>
      </c>
      <c r="D200">
        <v>224</v>
      </c>
      <c r="E200">
        <v>2</v>
      </c>
      <c r="F200">
        <v>2</v>
      </c>
      <c r="G200">
        <v>138.15</v>
      </c>
      <c r="H200" s="139">
        <v>10.584</v>
      </c>
      <c r="I200" s="33">
        <v>45608</v>
      </c>
      <c r="J200" s="37">
        <v>0.37178240740740742</v>
      </c>
      <c r="K200">
        <v>0</v>
      </c>
      <c r="L200">
        <v>0</v>
      </c>
      <c r="M200">
        <v>0</v>
      </c>
      <c r="N200" s="30">
        <f t="shared" si="194"/>
        <v>10.5868</v>
      </c>
      <c r="P200">
        <v>1</v>
      </c>
      <c r="Q200" t="s">
        <v>16</v>
      </c>
      <c r="R200">
        <v>12992</v>
      </c>
      <c r="S200">
        <v>224</v>
      </c>
      <c r="T200">
        <v>2</v>
      </c>
      <c r="U200">
        <v>2</v>
      </c>
      <c r="V200">
        <v>129.97999999999999</v>
      </c>
      <c r="W200" s="139">
        <v>11.249000000000001</v>
      </c>
      <c r="X200" s="33">
        <v>45608</v>
      </c>
      <c r="Y200" s="37">
        <v>0.40674768518518517</v>
      </c>
      <c r="Z200">
        <v>0</v>
      </c>
      <c r="AA200">
        <v>0</v>
      </c>
      <c r="AB200">
        <v>0</v>
      </c>
      <c r="AC200" s="30">
        <f t="shared" si="192"/>
        <v>11.243599999999999</v>
      </c>
    </row>
    <row r="201" spans="1:29" x14ac:dyDescent="0.25">
      <c r="A201">
        <v>2</v>
      </c>
      <c r="B201" t="s">
        <v>16</v>
      </c>
      <c r="C201">
        <v>12992</v>
      </c>
      <c r="D201">
        <v>224</v>
      </c>
      <c r="E201">
        <v>2</v>
      </c>
      <c r="F201">
        <v>2</v>
      </c>
      <c r="G201">
        <v>138.16999999999999</v>
      </c>
      <c r="H201" s="139">
        <v>10.583</v>
      </c>
      <c r="I201" s="33">
        <v>45608</v>
      </c>
      <c r="J201" s="37">
        <v>0.42549768518518516</v>
      </c>
      <c r="K201">
        <v>0</v>
      </c>
      <c r="L201">
        <v>0</v>
      </c>
      <c r="M201">
        <v>0</v>
      </c>
      <c r="N201" s="30">
        <f t="shared" si="194"/>
        <v>10.5868</v>
      </c>
      <c r="P201">
        <v>2</v>
      </c>
      <c r="Q201" t="s">
        <v>16</v>
      </c>
      <c r="R201">
        <v>12992</v>
      </c>
      <c r="S201">
        <v>224</v>
      </c>
      <c r="T201">
        <v>2</v>
      </c>
      <c r="U201">
        <v>2</v>
      </c>
      <c r="V201">
        <v>130.32</v>
      </c>
      <c r="W201" s="139">
        <v>11.22</v>
      </c>
      <c r="X201" s="33">
        <v>45608</v>
      </c>
      <c r="Y201" s="37">
        <v>0.46657407407407409</v>
      </c>
      <c r="Z201">
        <v>0</v>
      </c>
      <c r="AA201">
        <v>0</v>
      </c>
      <c r="AB201">
        <v>0</v>
      </c>
      <c r="AC201" s="30">
        <f t="shared" si="192"/>
        <v>11.243599999999999</v>
      </c>
    </row>
    <row r="202" spans="1:29" x14ac:dyDescent="0.25">
      <c r="A202">
        <v>3</v>
      </c>
      <c r="B202" t="s">
        <v>16</v>
      </c>
      <c r="C202">
        <v>12992</v>
      </c>
      <c r="D202">
        <v>224</v>
      </c>
      <c r="E202">
        <v>2</v>
      </c>
      <c r="F202">
        <v>2</v>
      </c>
      <c r="G202">
        <v>138.02000000000001</v>
      </c>
      <c r="H202" s="139">
        <v>10.593999999999999</v>
      </c>
      <c r="I202" s="33">
        <v>45608</v>
      </c>
      <c r="J202" s="37">
        <v>0.47920138888888891</v>
      </c>
      <c r="K202">
        <v>0</v>
      </c>
      <c r="L202">
        <v>0</v>
      </c>
      <c r="M202">
        <v>0</v>
      </c>
      <c r="N202" s="30">
        <f t="shared" si="194"/>
        <v>10.5868</v>
      </c>
      <c r="P202">
        <v>3</v>
      </c>
      <c r="Q202" t="s">
        <v>16</v>
      </c>
      <c r="R202">
        <v>12992</v>
      </c>
      <c r="S202">
        <v>224</v>
      </c>
      <c r="T202">
        <v>2</v>
      </c>
      <c r="U202">
        <v>2</v>
      </c>
      <c r="V202">
        <v>130.25</v>
      </c>
      <c r="W202" s="139">
        <v>11.226000000000001</v>
      </c>
      <c r="X202" s="33">
        <v>45608</v>
      </c>
      <c r="Y202" s="37">
        <v>0.57540509259259254</v>
      </c>
      <c r="Z202">
        <v>0</v>
      </c>
      <c r="AA202">
        <v>0</v>
      </c>
      <c r="AB202">
        <v>0</v>
      </c>
      <c r="AC202" s="30">
        <f t="shared" si="192"/>
        <v>11.243599999999999</v>
      </c>
    </row>
    <row r="203" spans="1:29" x14ac:dyDescent="0.25">
      <c r="A203">
        <v>4</v>
      </c>
      <c r="B203" t="s">
        <v>16</v>
      </c>
      <c r="C203">
        <v>12992</v>
      </c>
      <c r="D203">
        <v>224</v>
      </c>
      <c r="E203">
        <v>2</v>
      </c>
      <c r="F203">
        <v>2</v>
      </c>
      <c r="G203">
        <v>138.05000000000001</v>
      </c>
      <c r="H203" s="139">
        <v>10.592000000000001</v>
      </c>
      <c r="I203" s="33">
        <v>45608</v>
      </c>
      <c r="J203" s="37">
        <v>0.58136574074074077</v>
      </c>
      <c r="K203">
        <v>0</v>
      </c>
      <c r="L203">
        <v>0</v>
      </c>
      <c r="M203">
        <v>0</v>
      </c>
      <c r="N203" s="30">
        <f t="shared" si="194"/>
        <v>10.5868</v>
      </c>
      <c r="P203">
        <v>4</v>
      </c>
      <c r="Q203" t="s">
        <v>16</v>
      </c>
      <c r="R203">
        <v>12992</v>
      </c>
      <c r="S203">
        <v>224</v>
      </c>
      <c r="T203">
        <v>2</v>
      </c>
      <c r="U203">
        <v>2</v>
      </c>
      <c r="V203">
        <v>129.72</v>
      </c>
      <c r="W203" s="139">
        <v>11.272</v>
      </c>
      <c r="X203" s="33">
        <v>45608</v>
      </c>
      <c r="Y203" s="37">
        <v>0.63525462962962964</v>
      </c>
      <c r="Z203">
        <v>0</v>
      </c>
      <c r="AA203">
        <v>0</v>
      </c>
      <c r="AB203">
        <v>0</v>
      </c>
      <c r="AC203" s="30">
        <f t="shared" si="192"/>
        <v>11.243599999999999</v>
      </c>
    </row>
    <row r="204" spans="1:29" x14ac:dyDescent="0.25">
      <c r="A204">
        <v>0</v>
      </c>
      <c r="B204" t="s">
        <v>16</v>
      </c>
      <c r="C204">
        <v>13664</v>
      </c>
      <c r="D204">
        <v>224</v>
      </c>
      <c r="E204">
        <v>2</v>
      </c>
      <c r="F204">
        <v>2</v>
      </c>
      <c r="G204">
        <v>159.66</v>
      </c>
      <c r="H204" s="139">
        <v>10.654</v>
      </c>
      <c r="I204" s="33">
        <v>45608</v>
      </c>
      <c r="J204" s="37">
        <v>0.33546296296296296</v>
      </c>
      <c r="K204">
        <v>0</v>
      </c>
      <c r="L204">
        <v>0</v>
      </c>
      <c r="M204">
        <v>0</v>
      </c>
      <c r="N204" s="30">
        <f t="shared" si="193"/>
        <v>10.655800000000001</v>
      </c>
      <c r="P204">
        <v>0</v>
      </c>
      <c r="Q204" t="s">
        <v>16</v>
      </c>
      <c r="R204">
        <v>13664</v>
      </c>
      <c r="S204">
        <v>224</v>
      </c>
      <c r="T204">
        <v>2</v>
      </c>
      <c r="U204">
        <v>2</v>
      </c>
      <c r="V204">
        <v>149.87</v>
      </c>
      <c r="W204" s="139">
        <v>11.35</v>
      </c>
      <c r="X204" s="33">
        <v>45608</v>
      </c>
      <c r="Y204" s="37">
        <v>0.3661921296296296</v>
      </c>
      <c r="Z204">
        <v>0</v>
      </c>
      <c r="AA204">
        <v>0</v>
      </c>
      <c r="AB204">
        <v>0</v>
      </c>
      <c r="AC204" s="30">
        <f t="shared" si="195"/>
        <v>11.3432</v>
      </c>
    </row>
    <row r="205" spans="1:29" x14ac:dyDescent="0.25">
      <c r="A205">
        <v>1</v>
      </c>
      <c r="B205" t="s">
        <v>16</v>
      </c>
      <c r="C205">
        <v>13664</v>
      </c>
      <c r="D205">
        <v>224</v>
      </c>
      <c r="E205">
        <v>2</v>
      </c>
      <c r="F205">
        <v>2</v>
      </c>
      <c r="G205">
        <v>159.62</v>
      </c>
      <c r="H205" s="139">
        <v>10.657</v>
      </c>
      <c r="I205" s="33">
        <v>45608</v>
      </c>
      <c r="J205" s="37">
        <v>0.38922453703703702</v>
      </c>
      <c r="K205">
        <v>0</v>
      </c>
      <c r="L205">
        <v>0</v>
      </c>
      <c r="M205">
        <v>0</v>
      </c>
      <c r="N205" s="30">
        <f t="shared" si="194"/>
        <v>10.655800000000001</v>
      </c>
      <c r="P205">
        <v>1</v>
      </c>
      <c r="Q205" t="s">
        <v>16</v>
      </c>
      <c r="R205">
        <v>13664</v>
      </c>
      <c r="S205">
        <v>224</v>
      </c>
      <c r="T205">
        <v>2</v>
      </c>
      <c r="U205">
        <v>2</v>
      </c>
      <c r="V205">
        <v>150.04</v>
      </c>
      <c r="W205" s="139">
        <v>11.337</v>
      </c>
      <c r="X205" s="33">
        <v>45608</v>
      </c>
      <c r="Y205" s="37">
        <v>0.42598379629629629</v>
      </c>
      <c r="Z205">
        <v>0</v>
      </c>
      <c r="AA205">
        <v>0</v>
      </c>
      <c r="AB205">
        <v>0</v>
      </c>
      <c r="AC205" s="30">
        <f t="shared" si="192"/>
        <v>11.3432</v>
      </c>
    </row>
    <row r="206" spans="1:29" x14ac:dyDescent="0.25">
      <c r="A206">
        <v>2</v>
      </c>
      <c r="B206" t="s">
        <v>16</v>
      </c>
      <c r="C206">
        <v>13664</v>
      </c>
      <c r="D206">
        <v>224</v>
      </c>
      <c r="E206">
        <v>2</v>
      </c>
      <c r="F206">
        <v>2</v>
      </c>
      <c r="G206">
        <v>159.57</v>
      </c>
      <c r="H206" s="139">
        <v>10.66</v>
      </c>
      <c r="I206" s="33">
        <v>45608</v>
      </c>
      <c r="J206" s="37">
        <v>0.44292824074074072</v>
      </c>
      <c r="K206">
        <v>0</v>
      </c>
      <c r="L206">
        <v>0</v>
      </c>
      <c r="M206">
        <v>0</v>
      </c>
      <c r="N206" s="30">
        <f t="shared" si="194"/>
        <v>10.655800000000001</v>
      </c>
      <c r="P206">
        <v>2</v>
      </c>
      <c r="Q206" t="s">
        <v>16</v>
      </c>
      <c r="R206">
        <v>13664</v>
      </c>
      <c r="S206">
        <v>224</v>
      </c>
      <c r="T206">
        <v>2</v>
      </c>
      <c r="U206">
        <v>2</v>
      </c>
      <c r="V206">
        <v>149.96</v>
      </c>
      <c r="W206" s="139">
        <v>11.343</v>
      </c>
      <c r="X206" s="33">
        <v>45608</v>
      </c>
      <c r="Y206" s="37">
        <v>0.48576388888888888</v>
      </c>
      <c r="Z206">
        <v>0</v>
      </c>
      <c r="AA206">
        <v>0</v>
      </c>
      <c r="AB206">
        <v>0</v>
      </c>
      <c r="AC206" s="30">
        <f t="shared" si="192"/>
        <v>11.3432</v>
      </c>
    </row>
    <row r="207" spans="1:29" x14ac:dyDescent="0.25">
      <c r="A207">
        <v>3</v>
      </c>
      <c r="B207" t="s">
        <v>16</v>
      </c>
      <c r="C207">
        <v>13664</v>
      </c>
      <c r="D207">
        <v>224</v>
      </c>
      <c r="E207">
        <v>2</v>
      </c>
      <c r="F207">
        <v>2</v>
      </c>
      <c r="G207">
        <v>159.66999999999999</v>
      </c>
      <c r="H207" s="139">
        <v>10.653</v>
      </c>
      <c r="I207" s="33">
        <v>45608</v>
      </c>
      <c r="J207" s="37">
        <v>0.49664351851851851</v>
      </c>
      <c r="K207">
        <v>0</v>
      </c>
      <c r="L207">
        <v>0</v>
      </c>
      <c r="M207">
        <v>0</v>
      </c>
      <c r="N207" s="30">
        <f t="shared" si="194"/>
        <v>10.655800000000001</v>
      </c>
      <c r="P207">
        <v>3</v>
      </c>
      <c r="Q207" t="s">
        <v>16</v>
      </c>
      <c r="R207">
        <v>13664</v>
      </c>
      <c r="S207">
        <v>224</v>
      </c>
      <c r="T207">
        <v>2</v>
      </c>
      <c r="U207">
        <v>2</v>
      </c>
      <c r="V207">
        <v>150.06</v>
      </c>
      <c r="W207" s="139">
        <v>11.335000000000001</v>
      </c>
      <c r="X207" s="33">
        <v>45608</v>
      </c>
      <c r="Y207" s="37">
        <v>0.59458333333333335</v>
      </c>
      <c r="Z207">
        <v>0</v>
      </c>
      <c r="AA207">
        <v>0</v>
      </c>
      <c r="AB207">
        <v>0</v>
      </c>
      <c r="AC207" s="30">
        <f t="shared" si="192"/>
        <v>11.3432</v>
      </c>
    </row>
    <row r="208" spans="1:29" x14ac:dyDescent="0.25">
      <c r="A208">
        <v>4</v>
      </c>
      <c r="B208" t="s">
        <v>16</v>
      </c>
      <c r="C208">
        <v>13664</v>
      </c>
      <c r="D208">
        <v>224</v>
      </c>
      <c r="E208">
        <v>2</v>
      </c>
      <c r="F208">
        <v>2</v>
      </c>
      <c r="G208">
        <v>159.65</v>
      </c>
      <c r="H208" s="139">
        <v>10.654999999999999</v>
      </c>
      <c r="I208" s="33">
        <v>45608</v>
      </c>
      <c r="J208" s="37">
        <v>0.59879629629629627</v>
      </c>
      <c r="K208">
        <v>0</v>
      </c>
      <c r="L208">
        <v>0</v>
      </c>
      <c r="M208">
        <v>0</v>
      </c>
      <c r="N208" s="30">
        <f t="shared" si="194"/>
        <v>10.655800000000001</v>
      </c>
      <c r="P208">
        <v>4</v>
      </c>
      <c r="Q208" t="s">
        <v>16</v>
      </c>
      <c r="R208">
        <v>13664</v>
      </c>
      <c r="S208">
        <v>224</v>
      </c>
      <c r="T208">
        <v>2</v>
      </c>
      <c r="U208">
        <v>2</v>
      </c>
      <c r="V208">
        <v>149.85</v>
      </c>
      <c r="W208" s="139">
        <v>11.351000000000001</v>
      </c>
      <c r="X208" s="33">
        <v>45608</v>
      </c>
      <c r="Y208" s="37">
        <v>0.6544444444444445</v>
      </c>
      <c r="Z208">
        <v>0</v>
      </c>
      <c r="AA208">
        <v>0</v>
      </c>
      <c r="AB208">
        <v>0</v>
      </c>
      <c r="AC208" s="30">
        <f t="shared" si="192"/>
        <v>11.3432</v>
      </c>
    </row>
    <row r="209" spans="1:29" x14ac:dyDescent="0.25">
      <c r="A209">
        <v>0</v>
      </c>
      <c r="B209" t="s">
        <v>16</v>
      </c>
      <c r="C209">
        <v>14560</v>
      </c>
      <c r="D209">
        <v>224</v>
      </c>
      <c r="E209">
        <v>2</v>
      </c>
      <c r="F209">
        <v>2</v>
      </c>
      <c r="G209">
        <v>193.99</v>
      </c>
      <c r="H209" s="139">
        <v>10.609</v>
      </c>
      <c r="I209" s="33">
        <v>45608</v>
      </c>
      <c r="J209" s="37">
        <v>0.35550925925925925</v>
      </c>
      <c r="K209">
        <v>0</v>
      </c>
      <c r="L209">
        <v>0</v>
      </c>
      <c r="M209">
        <v>0</v>
      </c>
      <c r="N209" s="30">
        <f t="shared" si="193"/>
        <v>10.662599999999999</v>
      </c>
      <c r="P209">
        <v>0</v>
      </c>
      <c r="Q209" t="s">
        <v>16</v>
      </c>
      <c r="R209">
        <v>14560</v>
      </c>
      <c r="S209">
        <v>224</v>
      </c>
      <c r="T209">
        <v>2</v>
      </c>
      <c r="U209">
        <v>2</v>
      </c>
      <c r="V209">
        <v>180.88</v>
      </c>
      <c r="W209" s="139">
        <v>11.378</v>
      </c>
      <c r="X209" s="33">
        <v>45608</v>
      </c>
      <c r="Y209" s="37">
        <v>0.3883449074074074</v>
      </c>
      <c r="Z209">
        <v>0</v>
      </c>
      <c r="AA209">
        <v>0</v>
      </c>
      <c r="AB209">
        <v>0</v>
      </c>
      <c r="AC209" s="30">
        <f t="shared" si="195"/>
        <v>11.396400000000002</v>
      </c>
    </row>
    <row r="210" spans="1:29" x14ac:dyDescent="0.25">
      <c r="A210">
        <v>1</v>
      </c>
      <c r="B210" t="s">
        <v>16</v>
      </c>
      <c r="C210">
        <v>14560</v>
      </c>
      <c r="D210">
        <v>224</v>
      </c>
      <c r="E210">
        <v>2</v>
      </c>
      <c r="F210">
        <v>2</v>
      </c>
      <c r="G210">
        <v>192.54</v>
      </c>
      <c r="H210" s="139">
        <v>10.689</v>
      </c>
      <c r="I210" s="33">
        <v>45608</v>
      </c>
      <c r="J210" s="37">
        <v>0.40923611111111113</v>
      </c>
      <c r="K210">
        <v>0</v>
      </c>
      <c r="L210">
        <v>0</v>
      </c>
      <c r="M210">
        <v>0</v>
      </c>
      <c r="N210" s="30">
        <f t="shared" si="194"/>
        <v>10.662599999999999</v>
      </c>
      <c r="P210">
        <v>1</v>
      </c>
      <c r="Q210" t="s">
        <v>16</v>
      </c>
      <c r="R210">
        <v>14560</v>
      </c>
      <c r="S210">
        <v>224</v>
      </c>
      <c r="T210">
        <v>2</v>
      </c>
      <c r="U210">
        <v>2</v>
      </c>
      <c r="V210">
        <v>179.84</v>
      </c>
      <c r="W210" s="139">
        <v>11.444000000000001</v>
      </c>
      <c r="X210" s="33">
        <v>45608</v>
      </c>
      <c r="Y210" s="37">
        <v>0.44814814814814813</v>
      </c>
      <c r="Z210">
        <v>0</v>
      </c>
      <c r="AA210">
        <v>0</v>
      </c>
      <c r="AB210">
        <v>0</v>
      </c>
      <c r="AC210" s="30">
        <f t="shared" si="192"/>
        <v>11.396400000000002</v>
      </c>
    </row>
    <row r="211" spans="1:29" x14ac:dyDescent="0.25">
      <c r="A211">
        <v>2</v>
      </c>
      <c r="B211" t="s">
        <v>16</v>
      </c>
      <c r="C211">
        <v>14560</v>
      </c>
      <c r="D211">
        <v>224</v>
      </c>
      <c r="E211">
        <v>2</v>
      </c>
      <c r="F211">
        <v>2</v>
      </c>
      <c r="G211">
        <v>192.69</v>
      </c>
      <c r="H211" s="139">
        <v>10.680999999999999</v>
      </c>
      <c r="I211" s="33">
        <v>45608</v>
      </c>
      <c r="J211" s="37">
        <v>0.46293981481481483</v>
      </c>
      <c r="K211">
        <v>0</v>
      </c>
      <c r="L211">
        <v>0</v>
      </c>
      <c r="M211">
        <v>0</v>
      </c>
      <c r="N211" s="30">
        <f t="shared" si="194"/>
        <v>10.662599999999999</v>
      </c>
      <c r="P211">
        <v>2</v>
      </c>
      <c r="Q211" t="s">
        <v>16</v>
      </c>
      <c r="R211">
        <v>14560</v>
      </c>
      <c r="S211">
        <v>224</v>
      </c>
      <c r="T211">
        <v>2</v>
      </c>
      <c r="U211">
        <v>2</v>
      </c>
      <c r="V211">
        <v>179.75</v>
      </c>
      <c r="W211" s="139">
        <v>11.45</v>
      </c>
      <c r="X211" s="33">
        <v>45608</v>
      </c>
      <c r="Y211" s="37">
        <v>0.50792824074074072</v>
      </c>
      <c r="Z211">
        <v>0</v>
      </c>
      <c r="AA211">
        <v>0</v>
      </c>
      <c r="AB211">
        <v>0</v>
      </c>
      <c r="AC211" s="30">
        <f t="shared" si="192"/>
        <v>11.396400000000002</v>
      </c>
    </row>
    <row r="212" spans="1:29" x14ac:dyDescent="0.25">
      <c r="A212">
        <v>3</v>
      </c>
      <c r="B212" t="s">
        <v>16</v>
      </c>
      <c r="C212">
        <v>14560</v>
      </c>
      <c r="D212">
        <v>224</v>
      </c>
      <c r="E212">
        <v>2</v>
      </c>
      <c r="F212">
        <v>2</v>
      </c>
      <c r="G212">
        <v>192.53</v>
      </c>
      <c r="H212" s="139">
        <v>10.69</v>
      </c>
      <c r="I212" s="33">
        <v>45608</v>
      </c>
      <c r="J212" s="37">
        <v>0.56508101851851855</v>
      </c>
      <c r="K212">
        <v>0</v>
      </c>
      <c r="L212">
        <v>0</v>
      </c>
      <c r="M212">
        <v>0</v>
      </c>
      <c r="N212" s="30">
        <f t="shared" si="194"/>
        <v>10.662599999999999</v>
      </c>
      <c r="P212">
        <v>3</v>
      </c>
      <c r="Q212" t="s">
        <v>16</v>
      </c>
      <c r="R212">
        <v>14560</v>
      </c>
      <c r="S212">
        <v>224</v>
      </c>
      <c r="T212">
        <v>2</v>
      </c>
      <c r="U212">
        <v>2</v>
      </c>
      <c r="V212">
        <v>180.94</v>
      </c>
      <c r="W212" s="139">
        <v>11.374000000000001</v>
      </c>
      <c r="X212" s="33">
        <v>45608</v>
      </c>
      <c r="Y212" s="37">
        <v>0.61682870370370368</v>
      </c>
      <c r="Z212">
        <v>0</v>
      </c>
      <c r="AA212">
        <v>0</v>
      </c>
      <c r="AB212">
        <v>0</v>
      </c>
      <c r="AC212" s="30">
        <f t="shared" si="192"/>
        <v>11.396400000000002</v>
      </c>
    </row>
    <row r="213" spans="1:29" x14ac:dyDescent="0.25">
      <c r="A213">
        <v>4</v>
      </c>
      <c r="B213" t="s">
        <v>16</v>
      </c>
      <c r="C213">
        <v>14560</v>
      </c>
      <c r="D213">
        <v>224</v>
      </c>
      <c r="E213">
        <v>2</v>
      </c>
      <c r="F213">
        <v>2</v>
      </c>
      <c r="G213">
        <v>193.36</v>
      </c>
      <c r="H213" s="139">
        <v>10.644</v>
      </c>
      <c r="I213" s="33">
        <v>45608</v>
      </c>
      <c r="J213" s="37">
        <v>0.61883101851851852</v>
      </c>
      <c r="K213">
        <v>0</v>
      </c>
      <c r="L213">
        <v>0</v>
      </c>
      <c r="M213">
        <v>0</v>
      </c>
      <c r="N213" s="30">
        <f t="shared" si="194"/>
        <v>10.662599999999999</v>
      </c>
      <c r="P213">
        <v>4</v>
      </c>
      <c r="Q213" t="s">
        <v>16</v>
      </c>
      <c r="R213">
        <v>14560</v>
      </c>
      <c r="S213">
        <v>224</v>
      </c>
      <c r="T213">
        <v>2</v>
      </c>
      <c r="U213">
        <v>2</v>
      </c>
      <c r="V213">
        <v>181.55</v>
      </c>
      <c r="W213" s="139">
        <v>11.336</v>
      </c>
      <c r="X213" s="33">
        <v>45608</v>
      </c>
      <c r="Y213" s="37">
        <v>0.73719907407407403</v>
      </c>
      <c r="Z213">
        <v>0</v>
      </c>
      <c r="AA213">
        <v>0</v>
      </c>
      <c r="AB213">
        <v>0</v>
      </c>
      <c r="AC213" s="30">
        <f t="shared" si="192"/>
        <v>11.396400000000002</v>
      </c>
    </row>
    <row r="214" spans="1:29" x14ac:dyDescent="0.25">
      <c r="A214">
        <v>0</v>
      </c>
      <c r="B214" t="s">
        <v>16</v>
      </c>
      <c r="C214">
        <v>13056</v>
      </c>
      <c r="D214">
        <v>256</v>
      </c>
      <c r="E214">
        <v>1</v>
      </c>
      <c r="F214">
        <v>4</v>
      </c>
      <c r="G214">
        <v>145.34</v>
      </c>
      <c r="H214" s="139">
        <v>10.210000000000001</v>
      </c>
      <c r="I214" s="33">
        <v>45608</v>
      </c>
      <c r="J214" s="37">
        <v>0.3198611111111111</v>
      </c>
      <c r="K214">
        <v>0</v>
      </c>
      <c r="L214">
        <v>0</v>
      </c>
      <c r="M214">
        <v>0</v>
      </c>
      <c r="N214" s="30">
        <f t="shared" si="193"/>
        <v>10.209</v>
      </c>
      <c r="P214">
        <v>0</v>
      </c>
      <c r="Q214" t="s">
        <v>16</v>
      </c>
      <c r="R214">
        <v>13056</v>
      </c>
      <c r="S214">
        <v>256</v>
      </c>
      <c r="T214">
        <v>1</v>
      </c>
      <c r="U214">
        <v>4</v>
      </c>
      <c r="V214">
        <v>137.37</v>
      </c>
      <c r="W214" s="139">
        <v>10.802</v>
      </c>
      <c r="X214" s="33">
        <v>45608</v>
      </c>
      <c r="Y214" s="37">
        <v>0.32180555555555557</v>
      </c>
      <c r="Z214">
        <v>0</v>
      </c>
      <c r="AA214">
        <v>0</v>
      </c>
      <c r="AB214">
        <v>0</v>
      </c>
      <c r="AC214" s="30">
        <f t="shared" si="195"/>
        <v>10.803599999999999</v>
      </c>
    </row>
    <row r="215" spans="1:29" x14ac:dyDescent="0.25">
      <c r="A215">
        <v>1</v>
      </c>
      <c r="B215" t="s">
        <v>16</v>
      </c>
      <c r="C215">
        <v>13056</v>
      </c>
      <c r="D215">
        <v>256</v>
      </c>
      <c r="E215">
        <v>1</v>
      </c>
      <c r="F215">
        <v>4</v>
      </c>
      <c r="G215">
        <v>145.44999999999999</v>
      </c>
      <c r="H215" s="139">
        <v>10.202</v>
      </c>
      <c r="I215" s="33">
        <v>45608</v>
      </c>
      <c r="J215" s="37">
        <v>0.37362268518518521</v>
      </c>
      <c r="K215">
        <v>0</v>
      </c>
      <c r="L215">
        <v>0</v>
      </c>
      <c r="M215">
        <v>0</v>
      </c>
      <c r="N215" s="30">
        <f t="shared" si="194"/>
        <v>10.209</v>
      </c>
      <c r="P215">
        <v>1</v>
      </c>
      <c r="Q215" t="s">
        <v>16</v>
      </c>
      <c r="R215">
        <v>13056</v>
      </c>
      <c r="S215">
        <v>256</v>
      </c>
      <c r="T215">
        <v>1</v>
      </c>
      <c r="U215">
        <v>4</v>
      </c>
      <c r="V215">
        <v>137.19</v>
      </c>
      <c r="W215" s="139">
        <v>10.816000000000001</v>
      </c>
      <c r="X215" s="33">
        <v>45608</v>
      </c>
      <c r="Y215" s="37">
        <v>0.40890046296296295</v>
      </c>
      <c r="Z215">
        <v>0</v>
      </c>
      <c r="AA215">
        <v>0</v>
      </c>
      <c r="AB215">
        <v>0</v>
      </c>
      <c r="AC215" s="30">
        <f t="shared" si="192"/>
        <v>10.803599999999999</v>
      </c>
    </row>
    <row r="216" spans="1:29" x14ac:dyDescent="0.25">
      <c r="A216">
        <v>2</v>
      </c>
      <c r="B216" t="s">
        <v>16</v>
      </c>
      <c r="C216">
        <v>13056</v>
      </c>
      <c r="D216">
        <v>256</v>
      </c>
      <c r="E216">
        <v>1</v>
      </c>
      <c r="F216">
        <v>4</v>
      </c>
      <c r="G216">
        <v>145.22</v>
      </c>
      <c r="H216" s="139">
        <v>10.218</v>
      </c>
      <c r="I216" s="33">
        <v>45608</v>
      </c>
      <c r="J216" s="37">
        <v>0.42731481481481481</v>
      </c>
      <c r="K216">
        <v>0</v>
      </c>
      <c r="L216">
        <v>0</v>
      </c>
      <c r="M216">
        <v>0</v>
      </c>
      <c r="N216" s="30">
        <f t="shared" si="194"/>
        <v>10.209</v>
      </c>
      <c r="P216">
        <v>2</v>
      </c>
      <c r="Q216" t="s">
        <v>16</v>
      </c>
      <c r="R216">
        <v>13056</v>
      </c>
      <c r="S216">
        <v>256</v>
      </c>
      <c r="T216">
        <v>1</v>
      </c>
      <c r="U216">
        <v>4</v>
      </c>
      <c r="V216">
        <v>137.41</v>
      </c>
      <c r="W216" s="139">
        <v>10.798999999999999</v>
      </c>
      <c r="X216" s="33">
        <v>45608</v>
      </c>
      <c r="Y216" s="37">
        <v>0.46872685185185187</v>
      </c>
      <c r="Z216">
        <v>0</v>
      </c>
      <c r="AA216">
        <v>0</v>
      </c>
      <c r="AB216">
        <v>0</v>
      </c>
      <c r="AC216" s="30">
        <f t="shared" si="192"/>
        <v>10.803599999999999</v>
      </c>
    </row>
    <row r="217" spans="1:29" x14ac:dyDescent="0.25">
      <c r="A217">
        <v>3</v>
      </c>
      <c r="B217" t="s">
        <v>16</v>
      </c>
      <c r="C217">
        <v>13056</v>
      </c>
      <c r="D217">
        <v>256</v>
      </c>
      <c r="E217">
        <v>1</v>
      </c>
      <c r="F217">
        <v>4</v>
      </c>
      <c r="G217">
        <v>145.38</v>
      </c>
      <c r="H217" s="139">
        <v>10.208</v>
      </c>
      <c r="I217" s="33">
        <v>45608</v>
      </c>
      <c r="J217" s="37">
        <v>0.48103009259259261</v>
      </c>
      <c r="K217">
        <v>0</v>
      </c>
      <c r="L217">
        <v>0</v>
      </c>
      <c r="M217">
        <v>0</v>
      </c>
      <c r="N217" s="30">
        <f t="shared" si="194"/>
        <v>10.209</v>
      </c>
      <c r="P217">
        <v>3</v>
      </c>
      <c r="Q217" t="s">
        <v>16</v>
      </c>
      <c r="R217">
        <v>13056</v>
      </c>
      <c r="S217">
        <v>256</v>
      </c>
      <c r="T217">
        <v>1</v>
      </c>
      <c r="U217">
        <v>4</v>
      </c>
      <c r="V217">
        <v>137.49</v>
      </c>
      <c r="W217" s="139">
        <v>10.792999999999999</v>
      </c>
      <c r="X217" s="33">
        <v>45608</v>
      </c>
      <c r="Y217" s="37">
        <v>0.57754629629629628</v>
      </c>
      <c r="Z217">
        <v>0</v>
      </c>
      <c r="AA217">
        <v>0</v>
      </c>
      <c r="AB217">
        <v>0</v>
      </c>
      <c r="AC217" s="30">
        <f t="shared" si="192"/>
        <v>10.803599999999999</v>
      </c>
    </row>
    <row r="218" spans="1:29" x14ac:dyDescent="0.25">
      <c r="A218">
        <v>4</v>
      </c>
      <c r="B218" t="s">
        <v>16</v>
      </c>
      <c r="C218">
        <v>13056</v>
      </c>
      <c r="D218">
        <v>256</v>
      </c>
      <c r="E218">
        <v>1</v>
      </c>
      <c r="F218">
        <v>4</v>
      </c>
      <c r="G218">
        <v>145.38999999999999</v>
      </c>
      <c r="H218" s="139">
        <v>10.207000000000001</v>
      </c>
      <c r="I218" s="33">
        <v>45608</v>
      </c>
      <c r="J218" s="37">
        <v>0.58319444444444446</v>
      </c>
      <c r="K218">
        <v>0</v>
      </c>
      <c r="L218">
        <v>0</v>
      </c>
      <c r="M218">
        <v>0</v>
      </c>
      <c r="N218" s="30">
        <f t="shared" si="194"/>
        <v>10.209</v>
      </c>
      <c r="P218">
        <v>4</v>
      </c>
      <c r="Q218" t="s">
        <v>16</v>
      </c>
      <c r="R218">
        <v>13056</v>
      </c>
      <c r="S218">
        <v>256</v>
      </c>
      <c r="T218">
        <v>1</v>
      </c>
      <c r="U218">
        <v>4</v>
      </c>
      <c r="V218">
        <v>137.30000000000001</v>
      </c>
      <c r="W218" s="139">
        <v>10.808</v>
      </c>
      <c r="X218" s="33">
        <v>45608</v>
      </c>
      <c r="Y218" s="37">
        <v>0.63740740740740742</v>
      </c>
      <c r="Z218">
        <v>0</v>
      </c>
      <c r="AA218">
        <v>0</v>
      </c>
      <c r="AB218">
        <v>0</v>
      </c>
      <c r="AC218" s="30">
        <f t="shared" si="192"/>
        <v>10.803599999999999</v>
      </c>
    </row>
    <row r="219" spans="1:29" x14ac:dyDescent="0.25">
      <c r="A219">
        <v>0</v>
      </c>
      <c r="B219" t="s">
        <v>16</v>
      </c>
      <c r="C219">
        <v>13824</v>
      </c>
      <c r="D219">
        <v>256</v>
      </c>
      <c r="E219">
        <v>1</v>
      </c>
      <c r="F219">
        <v>4</v>
      </c>
      <c r="G219">
        <v>186.15</v>
      </c>
      <c r="H219" s="139">
        <v>9.4626000000000001</v>
      </c>
      <c r="I219" s="33">
        <v>45608</v>
      </c>
      <c r="J219" s="37">
        <v>0.33777777777777779</v>
      </c>
      <c r="K219">
        <v>0</v>
      </c>
      <c r="L219">
        <v>0</v>
      </c>
      <c r="M219">
        <v>0</v>
      </c>
      <c r="N219" s="30">
        <f t="shared" si="193"/>
        <v>9.44754</v>
      </c>
      <c r="P219">
        <v>0</v>
      </c>
      <c r="Q219" t="s">
        <v>16</v>
      </c>
      <c r="R219">
        <v>13824</v>
      </c>
      <c r="S219">
        <v>256</v>
      </c>
      <c r="T219">
        <v>1</v>
      </c>
      <c r="U219">
        <v>4</v>
      </c>
      <c r="V219">
        <v>168.54</v>
      </c>
      <c r="W219" s="139">
        <v>10.452</v>
      </c>
      <c r="X219" s="33">
        <v>45608</v>
      </c>
      <c r="Y219" s="37">
        <v>0.36877314814814816</v>
      </c>
      <c r="Z219">
        <v>0</v>
      </c>
      <c r="AA219">
        <v>0</v>
      </c>
      <c r="AB219">
        <v>0</v>
      </c>
      <c r="AC219" s="30">
        <f t="shared" si="195"/>
        <v>10.442200000000001</v>
      </c>
    </row>
    <row r="220" spans="1:29" x14ac:dyDescent="0.25">
      <c r="A220">
        <v>1</v>
      </c>
      <c r="B220" t="s">
        <v>16</v>
      </c>
      <c r="C220">
        <v>13824</v>
      </c>
      <c r="D220">
        <v>256</v>
      </c>
      <c r="E220">
        <v>1</v>
      </c>
      <c r="F220">
        <v>4</v>
      </c>
      <c r="G220">
        <v>186.58</v>
      </c>
      <c r="H220" s="139">
        <v>9.4407999999999994</v>
      </c>
      <c r="I220" s="33">
        <v>45608</v>
      </c>
      <c r="J220" s="37">
        <v>0.39155092592592594</v>
      </c>
      <c r="K220">
        <v>0</v>
      </c>
      <c r="L220">
        <v>0</v>
      </c>
      <c r="M220">
        <v>0</v>
      </c>
      <c r="N220" s="30">
        <f t="shared" si="194"/>
        <v>9.44754</v>
      </c>
      <c r="P220">
        <v>1</v>
      </c>
      <c r="Q220" t="s">
        <v>16</v>
      </c>
      <c r="R220">
        <v>13824</v>
      </c>
      <c r="S220">
        <v>256</v>
      </c>
      <c r="T220">
        <v>1</v>
      </c>
      <c r="U220">
        <v>4</v>
      </c>
      <c r="V220">
        <v>168.39</v>
      </c>
      <c r="W220" s="139">
        <v>10.461</v>
      </c>
      <c r="X220" s="33">
        <v>45608</v>
      </c>
      <c r="Y220" s="37">
        <v>0.42856481481481479</v>
      </c>
      <c r="Z220">
        <v>0</v>
      </c>
      <c r="AA220">
        <v>0</v>
      </c>
      <c r="AB220">
        <v>0</v>
      </c>
      <c r="AC220" s="30">
        <f t="shared" si="192"/>
        <v>10.442200000000001</v>
      </c>
    </row>
    <row r="221" spans="1:29" x14ac:dyDescent="0.25">
      <c r="A221">
        <v>2</v>
      </c>
      <c r="B221" t="s">
        <v>16</v>
      </c>
      <c r="C221">
        <v>13824</v>
      </c>
      <c r="D221">
        <v>256</v>
      </c>
      <c r="E221">
        <v>1</v>
      </c>
      <c r="F221">
        <v>4</v>
      </c>
      <c r="G221">
        <v>186.59</v>
      </c>
      <c r="H221" s="139">
        <v>9.4405000000000001</v>
      </c>
      <c r="I221" s="33">
        <v>45608</v>
      </c>
      <c r="J221" s="37">
        <v>0.44525462962962964</v>
      </c>
      <c r="K221">
        <v>0</v>
      </c>
      <c r="L221">
        <v>0</v>
      </c>
      <c r="M221">
        <v>0</v>
      </c>
      <c r="N221" s="30">
        <f t="shared" si="194"/>
        <v>9.44754</v>
      </c>
      <c r="P221">
        <v>2</v>
      </c>
      <c r="Q221" t="s">
        <v>16</v>
      </c>
      <c r="R221">
        <v>13824</v>
      </c>
      <c r="S221">
        <v>256</v>
      </c>
      <c r="T221">
        <v>1</v>
      </c>
      <c r="U221">
        <v>4</v>
      </c>
      <c r="V221">
        <v>168.48</v>
      </c>
      <c r="W221" s="139">
        <v>10.455</v>
      </c>
      <c r="X221" s="33">
        <v>45608</v>
      </c>
      <c r="Y221" s="37">
        <v>0.48834490740740738</v>
      </c>
      <c r="Z221">
        <v>0</v>
      </c>
      <c r="AA221">
        <v>0</v>
      </c>
      <c r="AB221">
        <v>0</v>
      </c>
      <c r="AC221" s="30">
        <f t="shared" si="192"/>
        <v>10.442200000000001</v>
      </c>
    </row>
    <row r="222" spans="1:29" x14ac:dyDescent="0.25">
      <c r="A222">
        <v>3</v>
      </c>
      <c r="B222" t="s">
        <v>16</v>
      </c>
      <c r="C222">
        <v>13824</v>
      </c>
      <c r="D222">
        <v>256</v>
      </c>
      <c r="E222">
        <v>1</v>
      </c>
      <c r="F222">
        <v>4</v>
      </c>
      <c r="G222">
        <v>186.31</v>
      </c>
      <c r="H222" s="139">
        <v>9.4547000000000008</v>
      </c>
      <c r="I222" s="33">
        <v>45608</v>
      </c>
      <c r="J222" s="37">
        <v>0.49896990740740743</v>
      </c>
      <c r="K222">
        <v>0</v>
      </c>
      <c r="L222">
        <v>0</v>
      </c>
      <c r="M222">
        <v>0</v>
      </c>
      <c r="N222" s="30">
        <f t="shared" si="194"/>
        <v>9.44754</v>
      </c>
      <c r="P222">
        <v>3</v>
      </c>
      <c r="Q222" t="s">
        <v>16</v>
      </c>
      <c r="R222">
        <v>13824</v>
      </c>
      <c r="S222">
        <v>256</v>
      </c>
      <c r="T222">
        <v>1</v>
      </c>
      <c r="U222">
        <v>4</v>
      </c>
      <c r="V222">
        <v>169.6</v>
      </c>
      <c r="W222" s="139">
        <v>10.385999999999999</v>
      </c>
      <c r="X222" s="33">
        <v>45608</v>
      </c>
      <c r="Y222" s="37">
        <v>0.59717592592592594</v>
      </c>
      <c r="Z222">
        <v>0</v>
      </c>
      <c r="AA222">
        <v>0</v>
      </c>
      <c r="AB222">
        <v>0</v>
      </c>
      <c r="AC222" s="30">
        <f t="shared" si="192"/>
        <v>10.442200000000001</v>
      </c>
    </row>
    <row r="223" spans="1:29" x14ac:dyDescent="0.25">
      <c r="A223">
        <v>4</v>
      </c>
      <c r="B223" t="s">
        <v>16</v>
      </c>
      <c r="C223">
        <v>13824</v>
      </c>
      <c r="D223">
        <v>256</v>
      </c>
      <c r="E223">
        <v>1</v>
      </c>
      <c r="F223">
        <v>4</v>
      </c>
      <c r="G223">
        <v>186.62</v>
      </c>
      <c r="H223" s="139">
        <v>9.4390999999999998</v>
      </c>
      <c r="I223" s="33">
        <v>45608</v>
      </c>
      <c r="J223" s="37">
        <v>0.60112268518518519</v>
      </c>
      <c r="K223">
        <v>0</v>
      </c>
      <c r="L223">
        <v>0</v>
      </c>
      <c r="M223">
        <v>0</v>
      </c>
      <c r="N223" s="30">
        <f t="shared" si="194"/>
        <v>9.44754</v>
      </c>
      <c r="P223">
        <v>4</v>
      </c>
      <c r="Q223" t="s">
        <v>16</v>
      </c>
      <c r="R223">
        <v>13824</v>
      </c>
      <c r="S223">
        <v>256</v>
      </c>
      <c r="T223">
        <v>1</v>
      </c>
      <c r="U223">
        <v>4</v>
      </c>
      <c r="V223">
        <v>168.44</v>
      </c>
      <c r="W223" s="139">
        <v>10.457000000000001</v>
      </c>
      <c r="X223" s="33">
        <v>45608</v>
      </c>
      <c r="Y223" s="37">
        <v>0.71763888888888894</v>
      </c>
      <c r="Z223">
        <v>0</v>
      </c>
      <c r="AA223">
        <v>0</v>
      </c>
      <c r="AB223">
        <v>0</v>
      </c>
      <c r="AC223" s="30">
        <f t="shared" si="192"/>
        <v>10.442200000000001</v>
      </c>
    </row>
    <row r="224" spans="1:29" x14ac:dyDescent="0.25">
      <c r="A224">
        <v>0</v>
      </c>
      <c r="B224" t="s">
        <v>16</v>
      </c>
      <c r="C224">
        <v>14592</v>
      </c>
      <c r="D224">
        <v>256</v>
      </c>
      <c r="E224">
        <v>1</v>
      </c>
      <c r="F224">
        <v>4</v>
      </c>
      <c r="G224">
        <v>198.29</v>
      </c>
      <c r="H224" s="139">
        <v>10.448</v>
      </c>
      <c r="I224" s="33">
        <v>45608</v>
      </c>
      <c r="J224" s="37">
        <v>0.35798611111111112</v>
      </c>
      <c r="K224">
        <v>0</v>
      </c>
      <c r="L224">
        <v>0</v>
      </c>
      <c r="M224">
        <v>0</v>
      </c>
      <c r="N224" s="30">
        <f t="shared" si="193"/>
        <v>10.452</v>
      </c>
      <c r="P224">
        <v>0</v>
      </c>
      <c r="Q224" t="s">
        <v>16</v>
      </c>
      <c r="R224">
        <v>14592</v>
      </c>
      <c r="S224">
        <v>256</v>
      </c>
      <c r="T224">
        <v>1</v>
      </c>
      <c r="U224">
        <v>4</v>
      </c>
      <c r="V224">
        <v>188.29</v>
      </c>
      <c r="W224" s="139">
        <v>11.003</v>
      </c>
      <c r="X224" s="33">
        <v>45608</v>
      </c>
      <c r="Y224" s="37">
        <v>0.39123842592592595</v>
      </c>
      <c r="Z224">
        <v>0</v>
      </c>
      <c r="AA224">
        <v>0</v>
      </c>
      <c r="AB224">
        <v>0</v>
      </c>
      <c r="AC224" s="30">
        <f t="shared" si="195"/>
        <v>11.008399999999998</v>
      </c>
    </row>
    <row r="225" spans="1:29" x14ac:dyDescent="0.25">
      <c r="A225">
        <v>1</v>
      </c>
      <c r="B225" t="s">
        <v>16</v>
      </c>
      <c r="C225">
        <v>14592</v>
      </c>
      <c r="D225">
        <v>256</v>
      </c>
      <c r="E225">
        <v>1</v>
      </c>
      <c r="F225">
        <v>4</v>
      </c>
      <c r="G225">
        <v>198.14</v>
      </c>
      <c r="H225" s="139">
        <v>10.456</v>
      </c>
      <c r="I225" s="33">
        <v>45608</v>
      </c>
      <c r="J225" s="37">
        <v>0.41171296296296295</v>
      </c>
      <c r="K225">
        <v>0</v>
      </c>
      <c r="L225">
        <v>0</v>
      </c>
      <c r="M225">
        <v>0</v>
      </c>
      <c r="N225" s="30">
        <f t="shared" si="194"/>
        <v>10.452</v>
      </c>
      <c r="P225">
        <v>1</v>
      </c>
      <c r="Q225" t="s">
        <v>16</v>
      </c>
      <c r="R225">
        <v>14592</v>
      </c>
      <c r="S225">
        <v>256</v>
      </c>
      <c r="T225">
        <v>1</v>
      </c>
      <c r="U225">
        <v>4</v>
      </c>
      <c r="V225">
        <v>188.28</v>
      </c>
      <c r="W225" s="139">
        <v>11.003</v>
      </c>
      <c r="X225" s="33">
        <v>45608</v>
      </c>
      <c r="Y225" s="37">
        <v>0.45104166666666667</v>
      </c>
      <c r="Z225">
        <v>0</v>
      </c>
      <c r="AA225">
        <v>0</v>
      </c>
      <c r="AB225">
        <v>0</v>
      </c>
      <c r="AC225" s="30">
        <f t="shared" si="192"/>
        <v>11.008399999999998</v>
      </c>
    </row>
    <row r="226" spans="1:29" x14ac:dyDescent="0.25">
      <c r="A226">
        <v>2</v>
      </c>
      <c r="B226" t="s">
        <v>16</v>
      </c>
      <c r="C226">
        <v>14592</v>
      </c>
      <c r="D226">
        <v>256</v>
      </c>
      <c r="E226">
        <v>1</v>
      </c>
      <c r="F226">
        <v>4</v>
      </c>
      <c r="G226">
        <v>198.29</v>
      </c>
      <c r="H226" s="139">
        <v>10.448</v>
      </c>
      <c r="I226" s="33">
        <v>45608</v>
      </c>
      <c r="J226" s="37">
        <v>0.46542824074074074</v>
      </c>
      <c r="K226">
        <v>0</v>
      </c>
      <c r="L226">
        <v>0</v>
      </c>
      <c r="M226">
        <v>0</v>
      </c>
      <c r="N226" s="30">
        <f t="shared" si="194"/>
        <v>10.452</v>
      </c>
      <c r="P226">
        <v>2</v>
      </c>
      <c r="Q226" t="s">
        <v>16</v>
      </c>
      <c r="R226">
        <v>14592</v>
      </c>
      <c r="S226">
        <v>256</v>
      </c>
      <c r="T226">
        <v>1</v>
      </c>
      <c r="U226">
        <v>4</v>
      </c>
      <c r="V226">
        <v>187.89</v>
      </c>
      <c r="W226" s="139">
        <v>11.026</v>
      </c>
      <c r="X226" s="33">
        <v>45608</v>
      </c>
      <c r="Y226" s="37">
        <v>0.51082175925925921</v>
      </c>
      <c r="Z226">
        <v>0</v>
      </c>
      <c r="AA226">
        <v>0</v>
      </c>
      <c r="AB226">
        <v>0</v>
      </c>
      <c r="AC226" s="30">
        <f t="shared" si="192"/>
        <v>11.008399999999998</v>
      </c>
    </row>
    <row r="227" spans="1:29" x14ac:dyDescent="0.25">
      <c r="A227">
        <v>3</v>
      </c>
      <c r="B227" t="s">
        <v>16</v>
      </c>
      <c r="C227">
        <v>14592</v>
      </c>
      <c r="D227">
        <v>256</v>
      </c>
      <c r="E227">
        <v>1</v>
      </c>
      <c r="F227">
        <v>4</v>
      </c>
      <c r="G227">
        <v>198.19</v>
      </c>
      <c r="H227" s="139">
        <v>10.452999999999999</v>
      </c>
      <c r="I227" s="33">
        <v>45608</v>
      </c>
      <c r="J227" s="37">
        <v>0.56755787037037042</v>
      </c>
      <c r="K227">
        <v>0</v>
      </c>
      <c r="L227">
        <v>0</v>
      </c>
      <c r="M227">
        <v>0</v>
      </c>
      <c r="N227" s="30">
        <f t="shared" si="194"/>
        <v>10.452</v>
      </c>
      <c r="P227">
        <v>3</v>
      </c>
      <c r="Q227" t="s">
        <v>16</v>
      </c>
      <c r="R227">
        <v>14592</v>
      </c>
      <c r="S227">
        <v>256</v>
      </c>
      <c r="T227">
        <v>1</v>
      </c>
      <c r="U227">
        <v>4</v>
      </c>
      <c r="V227">
        <v>188.1</v>
      </c>
      <c r="W227" s="139">
        <v>11.013999999999999</v>
      </c>
      <c r="X227" s="33">
        <v>45608</v>
      </c>
      <c r="Y227" s="37">
        <v>0.61972222222222217</v>
      </c>
      <c r="Z227">
        <v>0</v>
      </c>
      <c r="AA227">
        <v>0</v>
      </c>
      <c r="AB227">
        <v>0</v>
      </c>
      <c r="AC227" s="30">
        <f t="shared" si="192"/>
        <v>11.008399999999998</v>
      </c>
    </row>
    <row r="228" spans="1:29" x14ac:dyDescent="0.25">
      <c r="A228">
        <v>4</v>
      </c>
      <c r="B228" t="s">
        <v>16</v>
      </c>
      <c r="C228">
        <v>14592</v>
      </c>
      <c r="D228">
        <v>256</v>
      </c>
      <c r="E228">
        <v>1</v>
      </c>
      <c r="F228">
        <v>4</v>
      </c>
      <c r="G228">
        <v>198.15</v>
      </c>
      <c r="H228" s="139">
        <v>10.455</v>
      </c>
      <c r="I228" s="33">
        <v>45608</v>
      </c>
      <c r="J228" s="37">
        <v>0.62130787037037039</v>
      </c>
      <c r="K228">
        <v>0</v>
      </c>
      <c r="L228">
        <v>0</v>
      </c>
      <c r="M228">
        <v>0</v>
      </c>
      <c r="N228" s="30">
        <f t="shared" si="194"/>
        <v>10.452</v>
      </c>
      <c r="P228">
        <v>4</v>
      </c>
      <c r="Q228" t="s">
        <v>16</v>
      </c>
      <c r="R228">
        <v>14592</v>
      </c>
      <c r="S228">
        <v>256</v>
      </c>
      <c r="T228">
        <v>1</v>
      </c>
      <c r="U228">
        <v>4</v>
      </c>
      <c r="V228">
        <v>188.4</v>
      </c>
      <c r="W228" s="139">
        <v>10.996</v>
      </c>
      <c r="X228" s="33">
        <v>45608</v>
      </c>
      <c r="Y228" s="37">
        <v>0.74009259259259264</v>
      </c>
      <c r="Z228">
        <v>0</v>
      </c>
      <c r="AA228">
        <v>0</v>
      </c>
      <c r="AB228">
        <v>0</v>
      </c>
      <c r="AC228" s="30">
        <f t="shared" si="192"/>
        <v>11.008399999999998</v>
      </c>
    </row>
    <row r="229" spans="1:29" x14ac:dyDescent="0.25">
      <c r="A229">
        <v>0</v>
      </c>
      <c r="B229" t="s">
        <v>16</v>
      </c>
      <c r="C229">
        <v>13056</v>
      </c>
      <c r="D229">
        <v>256</v>
      </c>
      <c r="E229">
        <v>2</v>
      </c>
      <c r="F229">
        <v>2</v>
      </c>
      <c r="G229">
        <v>143.27000000000001</v>
      </c>
      <c r="H229" s="139">
        <v>10.358000000000001</v>
      </c>
      <c r="I229" s="33">
        <v>45608</v>
      </c>
      <c r="J229" s="37">
        <v>0.32166666666666666</v>
      </c>
      <c r="K229">
        <v>0</v>
      </c>
      <c r="L229">
        <v>0</v>
      </c>
      <c r="M229">
        <v>0</v>
      </c>
      <c r="N229" s="30">
        <f t="shared" si="193"/>
        <v>10.358599999999999</v>
      </c>
      <c r="P229">
        <v>0</v>
      </c>
      <c r="Q229" t="s">
        <v>16</v>
      </c>
      <c r="R229">
        <v>13056</v>
      </c>
      <c r="S229">
        <v>256</v>
      </c>
      <c r="T229">
        <v>2</v>
      </c>
      <c r="U229">
        <v>2</v>
      </c>
      <c r="V229">
        <v>135.19999999999999</v>
      </c>
      <c r="W229" s="139">
        <v>10.976000000000001</v>
      </c>
      <c r="X229" s="33">
        <v>45608</v>
      </c>
      <c r="Y229" s="37">
        <v>0.32394675925925925</v>
      </c>
      <c r="Z229">
        <v>0</v>
      </c>
      <c r="AA229">
        <v>0</v>
      </c>
      <c r="AB229">
        <v>0</v>
      </c>
      <c r="AC229" s="30">
        <f t="shared" si="195"/>
        <v>10.973200000000002</v>
      </c>
    </row>
    <row r="230" spans="1:29" x14ac:dyDescent="0.25">
      <c r="A230">
        <v>1</v>
      </c>
      <c r="B230" t="s">
        <v>16</v>
      </c>
      <c r="C230">
        <v>13056</v>
      </c>
      <c r="D230">
        <v>256</v>
      </c>
      <c r="E230">
        <v>2</v>
      </c>
      <c r="F230">
        <v>2</v>
      </c>
      <c r="G230">
        <v>143.22</v>
      </c>
      <c r="H230" s="139">
        <v>10.361000000000001</v>
      </c>
      <c r="I230" s="33">
        <v>45608</v>
      </c>
      <c r="J230" s="37">
        <v>0.37542824074074072</v>
      </c>
      <c r="K230">
        <v>0</v>
      </c>
      <c r="L230">
        <v>0</v>
      </c>
      <c r="M230">
        <v>0</v>
      </c>
      <c r="N230" s="30">
        <f t="shared" si="194"/>
        <v>10.358599999999999</v>
      </c>
      <c r="P230">
        <v>1</v>
      </c>
      <c r="Q230" t="s">
        <v>16</v>
      </c>
      <c r="R230">
        <v>13056</v>
      </c>
      <c r="S230">
        <v>256</v>
      </c>
      <c r="T230">
        <v>2</v>
      </c>
      <c r="U230">
        <v>2</v>
      </c>
      <c r="V230">
        <v>135.49</v>
      </c>
      <c r="W230" s="139">
        <v>10.952999999999999</v>
      </c>
      <c r="X230" s="33">
        <v>45608</v>
      </c>
      <c r="Y230" s="37">
        <v>0.4110300925925926</v>
      </c>
      <c r="Z230">
        <v>0</v>
      </c>
      <c r="AA230">
        <v>0</v>
      </c>
      <c r="AB230">
        <v>0</v>
      </c>
      <c r="AC230" s="30">
        <f t="shared" si="192"/>
        <v>10.973200000000002</v>
      </c>
    </row>
    <row r="231" spans="1:29" x14ac:dyDescent="0.25">
      <c r="A231">
        <v>2</v>
      </c>
      <c r="B231" t="s">
        <v>16</v>
      </c>
      <c r="C231">
        <v>13056</v>
      </c>
      <c r="D231">
        <v>256</v>
      </c>
      <c r="E231">
        <v>2</v>
      </c>
      <c r="F231">
        <v>2</v>
      </c>
      <c r="G231">
        <v>143.32</v>
      </c>
      <c r="H231" s="139">
        <v>10.353999999999999</v>
      </c>
      <c r="I231" s="33">
        <v>45608</v>
      </c>
      <c r="J231" s="37">
        <v>0.42912037037037037</v>
      </c>
      <c r="K231">
        <v>0</v>
      </c>
      <c r="L231">
        <v>0</v>
      </c>
      <c r="M231">
        <v>0</v>
      </c>
      <c r="N231" s="30">
        <f t="shared" si="194"/>
        <v>10.358599999999999</v>
      </c>
      <c r="P231">
        <v>2</v>
      </c>
      <c r="Q231" t="s">
        <v>16</v>
      </c>
      <c r="R231">
        <v>13056</v>
      </c>
      <c r="S231">
        <v>256</v>
      </c>
      <c r="T231">
        <v>2</v>
      </c>
      <c r="U231">
        <v>2</v>
      </c>
      <c r="V231">
        <v>135.18</v>
      </c>
      <c r="W231" s="139">
        <v>10.977</v>
      </c>
      <c r="X231" s="33">
        <v>45608</v>
      </c>
      <c r="Y231" s="37">
        <v>0.47085648148148146</v>
      </c>
      <c r="Z231">
        <v>0</v>
      </c>
      <c r="AA231">
        <v>0</v>
      </c>
      <c r="AB231">
        <v>0</v>
      </c>
      <c r="AC231" s="30">
        <f t="shared" si="192"/>
        <v>10.973200000000002</v>
      </c>
    </row>
    <row r="232" spans="1:29" x14ac:dyDescent="0.25">
      <c r="A232">
        <v>3</v>
      </c>
      <c r="B232" t="s">
        <v>16</v>
      </c>
      <c r="C232">
        <v>13056</v>
      </c>
      <c r="D232">
        <v>256</v>
      </c>
      <c r="E232">
        <v>2</v>
      </c>
      <c r="F232">
        <v>2</v>
      </c>
      <c r="G232">
        <v>143.09</v>
      </c>
      <c r="H232" s="139">
        <v>10.37</v>
      </c>
      <c r="I232" s="33">
        <v>45608</v>
      </c>
      <c r="J232" s="37">
        <v>0.48283564814814817</v>
      </c>
      <c r="K232">
        <v>0</v>
      </c>
      <c r="L232">
        <v>0</v>
      </c>
      <c r="M232">
        <v>0</v>
      </c>
      <c r="N232" s="30">
        <f t="shared" si="194"/>
        <v>10.358599999999999</v>
      </c>
      <c r="P232">
        <v>3</v>
      </c>
      <c r="Q232" t="s">
        <v>16</v>
      </c>
      <c r="R232">
        <v>13056</v>
      </c>
      <c r="S232">
        <v>256</v>
      </c>
      <c r="T232">
        <v>2</v>
      </c>
      <c r="U232">
        <v>2</v>
      </c>
      <c r="V232">
        <v>135.16999999999999</v>
      </c>
      <c r="W232" s="139">
        <v>10.978</v>
      </c>
      <c r="X232" s="33">
        <v>45608</v>
      </c>
      <c r="Y232" s="37">
        <v>0.57967592592592587</v>
      </c>
      <c r="Z232">
        <v>0</v>
      </c>
      <c r="AA232">
        <v>0</v>
      </c>
      <c r="AB232">
        <v>0</v>
      </c>
      <c r="AC232" s="30">
        <f t="shared" si="192"/>
        <v>10.973200000000002</v>
      </c>
    </row>
    <row r="233" spans="1:29" x14ac:dyDescent="0.25">
      <c r="A233">
        <v>4</v>
      </c>
      <c r="B233" t="s">
        <v>16</v>
      </c>
      <c r="C233">
        <v>13056</v>
      </c>
      <c r="D233">
        <v>256</v>
      </c>
      <c r="E233">
        <v>2</v>
      </c>
      <c r="F233">
        <v>2</v>
      </c>
      <c r="G233">
        <v>143.38</v>
      </c>
      <c r="H233" s="139">
        <v>10.35</v>
      </c>
      <c r="I233" s="33">
        <v>45608</v>
      </c>
      <c r="J233" s="37">
        <v>0.58499999999999996</v>
      </c>
      <c r="K233">
        <v>0</v>
      </c>
      <c r="L233">
        <v>0</v>
      </c>
      <c r="M233">
        <v>0</v>
      </c>
      <c r="N233" s="30">
        <f t="shared" si="194"/>
        <v>10.358599999999999</v>
      </c>
      <c r="P233">
        <v>4</v>
      </c>
      <c r="Q233" t="s">
        <v>16</v>
      </c>
      <c r="R233">
        <v>13056</v>
      </c>
      <c r="S233">
        <v>256</v>
      </c>
      <c r="T233">
        <v>2</v>
      </c>
      <c r="U233">
        <v>2</v>
      </c>
      <c r="V233">
        <v>135.12</v>
      </c>
      <c r="W233" s="139">
        <v>10.981999999999999</v>
      </c>
      <c r="X233" s="33">
        <v>45608</v>
      </c>
      <c r="Y233" s="37">
        <v>0.63953703703703701</v>
      </c>
      <c r="Z233">
        <v>0</v>
      </c>
      <c r="AA233">
        <v>0</v>
      </c>
      <c r="AB233">
        <v>0</v>
      </c>
      <c r="AC233" s="30">
        <f t="shared" si="192"/>
        <v>10.973200000000002</v>
      </c>
    </row>
    <row r="234" spans="1:29" x14ac:dyDescent="0.25">
      <c r="A234">
        <v>0</v>
      </c>
      <c r="B234" t="s">
        <v>16</v>
      </c>
      <c r="C234">
        <v>13824</v>
      </c>
      <c r="D234">
        <v>256</v>
      </c>
      <c r="E234">
        <v>2</v>
      </c>
      <c r="F234">
        <v>2</v>
      </c>
      <c r="G234">
        <v>170.35</v>
      </c>
      <c r="H234" s="139">
        <v>10.34</v>
      </c>
      <c r="I234" s="33">
        <v>45608</v>
      </c>
      <c r="J234" s="37">
        <v>0.33991898148148147</v>
      </c>
      <c r="K234">
        <v>0</v>
      </c>
      <c r="L234">
        <v>0</v>
      </c>
      <c r="M234">
        <v>0</v>
      </c>
      <c r="N234" s="30">
        <f t="shared" si="193"/>
        <v>10.335599999999999</v>
      </c>
      <c r="P234">
        <v>0</v>
      </c>
      <c r="Q234" t="s">
        <v>16</v>
      </c>
      <c r="R234">
        <v>13824</v>
      </c>
      <c r="S234">
        <v>256</v>
      </c>
      <c r="T234">
        <v>2</v>
      </c>
      <c r="U234">
        <v>2</v>
      </c>
      <c r="V234">
        <v>160.72999999999999</v>
      </c>
      <c r="W234" s="139">
        <v>10.959</v>
      </c>
      <c r="X234" s="33">
        <v>45608</v>
      </c>
      <c r="Y234" s="37">
        <v>0.37125000000000002</v>
      </c>
      <c r="Z234">
        <v>0</v>
      </c>
      <c r="AA234">
        <v>0</v>
      </c>
      <c r="AB234">
        <v>0</v>
      </c>
      <c r="AC234" s="30">
        <f t="shared" si="195"/>
        <v>10.964400000000001</v>
      </c>
    </row>
    <row r="235" spans="1:29" x14ac:dyDescent="0.25">
      <c r="A235">
        <v>1</v>
      </c>
      <c r="B235" t="s">
        <v>16</v>
      </c>
      <c r="C235">
        <v>13824</v>
      </c>
      <c r="D235">
        <v>256</v>
      </c>
      <c r="E235">
        <v>2</v>
      </c>
      <c r="F235">
        <v>2</v>
      </c>
      <c r="G235">
        <v>170.44</v>
      </c>
      <c r="H235" s="139">
        <v>10.335000000000001</v>
      </c>
      <c r="I235" s="33">
        <v>45608</v>
      </c>
      <c r="J235" s="37">
        <v>0.39368055555555553</v>
      </c>
      <c r="K235">
        <v>0</v>
      </c>
      <c r="L235">
        <v>0</v>
      </c>
      <c r="M235">
        <v>0</v>
      </c>
      <c r="N235" s="30">
        <f t="shared" si="194"/>
        <v>10.335599999999999</v>
      </c>
      <c r="P235">
        <v>1</v>
      </c>
      <c r="Q235" t="s">
        <v>16</v>
      </c>
      <c r="R235">
        <v>13824</v>
      </c>
      <c r="S235">
        <v>256</v>
      </c>
      <c r="T235">
        <v>2</v>
      </c>
      <c r="U235">
        <v>2</v>
      </c>
      <c r="V235">
        <v>160.69</v>
      </c>
      <c r="W235" s="139">
        <v>10.962</v>
      </c>
      <c r="X235" s="33">
        <v>45608</v>
      </c>
      <c r="Y235" s="37">
        <v>0.43104166666666666</v>
      </c>
      <c r="Z235">
        <v>0</v>
      </c>
      <c r="AA235">
        <v>0</v>
      </c>
      <c r="AB235">
        <v>0</v>
      </c>
      <c r="AC235" s="30">
        <f t="shared" si="192"/>
        <v>10.964400000000001</v>
      </c>
    </row>
    <row r="236" spans="1:29" x14ac:dyDescent="0.25">
      <c r="A236">
        <v>2</v>
      </c>
      <c r="B236" t="s">
        <v>16</v>
      </c>
      <c r="C236">
        <v>13824</v>
      </c>
      <c r="D236">
        <v>256</v>
      </c>
      <c r="E236">
        <v>2</v>
      </c>
      <c r="F236">
        <v>2</v>
      </c>
      <c r="G236">
        <v>170.41</v>
      </c>
      <c r="H236" s="139">
        <v>10.337</v>
      </c>
      <c r="I236" s="33">
        <v>45608</v>
      </c>
      <c r="J236" s="37">
        <v>0.44738425925925923</v>
      </c>
      <c r="K236">
        <v>0</v>
      </c>
      <c r="L236">
        <v>0</v>
      </c>
      <c r="M236">
        <v>0</v>
      </c>
      <c r="N236" s="30">
        <f t="shared" si="194"/>
        <v>10.335599999999999</v>
      </c>
      <c r="P236">
        <v>2</v>
      </c>
      <c r="Q236" t="s">
        <v>16</v>
      </c>
      <c r="R236">
        <v>13824</v>
      </c>
      <c r="S236">
        <v>256</v>
      </c>
      <c r="T236">
        <v>2</v>
      </c>
      <c r="U236">
        <v>2</v>
      </c>
      <c r="V236">
        <v>160.72</v>
      </c>
      <c r="W236" s="139">
        <v>10.96</v>
      </c>
      <c r="X236" s="33">
        <v>45608</v>
      </c>
      <c r="Y236" s="37">
        <v>0.49082175925925925</v>
      </c>
      <c r="Z236">
        <v>0</v>
      </c>
      <c r="AA236">
        <v>0</v>
      </c>
      <c r="AB236">
        <v>0</v>
      </c>
      <c r="AC236" s="30">
        <f t="shared" si="192"/>
        <v>10.964400000000001</v>
      </c>
    </row>
    <row r="237" spans="1:29" x14ac:dyDescent="0.25">
      <c r="A237">
        <v>3</v>
      </c>
      <c r="B237" t="s">
        <v>16</v>
      </c>
      <c r="C237">
        <v>13824</v>
      </c>
      <c r="D237">
        <v>256</v>
      </c>
      <c r="E237">
        <v>2</v>
      </c>
      <c r="F237">
        <v>2</v>
      </c>
      <c r="G237">
        <v>170.54</v>
      </c>
      <c r="H237" s="139">
        <v>10.329000000000001</v>
      </c>
      <c r="I237" s="33">
        <v>45608</v>
      </c>
      <c r="J237" s="37">
        <v>0.50109953703703702</v>
      </c>
      <c r="K237">
        <v>0</v>
      </c>
      <c r="L237">
        <v>0</v>
      </c>
      <c r="M237">
        <v>0</v>
      </c>
      <c r="N237" s="30">
        <f t="shared" si="194"/>
        <v>10.335599999999999</v>
      </c>
      <c r="P237">
        <v>3</v>
      </c>
      <c r="Q237" t="s">
        <v>16</v>
      </c>
      <c r="R237">
        <v>13824</v>
      </c>
      <c r="S237">
        <v>256</v>
      </c>
      <c r="T237">
        <v>2</v>
      </c>
      <c r="U237">
        <v>2</v>
      </c>
      <c r="V237">
        <v>160.66</v>
      </c>
      <c r="W237" s="139">
        <v>10.964</v>
      </c>
      <c r="X237" s="33">
        <v>45608</v>
      </c>
      <c r="Y237" s="37">
        <v>0.59965277777777781</v>
      </c>
      <c r="Z237">
        <v>0</v>
      </c>
      <c r="AA237">
        <v>0</v>
      </c>
      <c r="AB237">
        <v>0</v>
      </c>
      <c r="AC237" s="30">
        <f t="shared" si="192"/>
        <v>10.964400000000001</v>
      </c>
    </row>
    <row r="238" spans="1:29" x14ac:dyDescent="0.25">
      <c r="A238">
        <v>4</v>
      </c>
      <c r="B238" t="s">
        <v>16</v>
      </c>
      <c r="C238">
        <v>13824</v>
      </c>
      <c r="D238">
        <v>256</v>
      </c>
      <c r="E238">
        <v>2</v>
      </c>
      <c r="F238">
        <v>2</v>
      </c>
      <c r="G238">
        <v>170.41</v>
      </c>
      <c r="H238" s="139">
        <v>10.337</v>
      </c>
      <c r="I238" s="33">
        <v>45608</v>
      </c>
      <c r="J238" s="37">
        <v>0.60325231481481478</v>
      </c>
      <c r="K238">
        <v>0</v>
      </c>
      <c r="L238">
        <v>0</v>
      </c>
      <c r="M238">
        <v>0</v>
      </c>
      <c r="N238" s="30">
        <f t="shared" si="194"/>
        <v>10.335599999999999</v>
      </c>
      <c r="P238">
        <v>4</v>
      </c>
      <c r="Q238" t="s">
        <v>16</v>
      </c>
      <c r="R238">
        <v>13824</v>
      </c>
      <c r="S238">
        <v>256</v>
      </c>
      <c r="T238">
        <v>2</v>
      </c>
      <c r="U238">
        <v>2</v>
      </c>
      <c r="V238">
        <v>160.47999999999999</v>
      </c>
      <c r="W238" s="139">
        <v>10.977</v>
      </c>
      <c r="X238" s="33">
        <v>45608</v>
      </c>
      <c r="Y238" s="37">
        <v>0.7201157407407407</v>
      </c>
      <c r="Z238">
        <v>0</v>
      </c>
      <c r="AA238">
        <v>0</v>
      </c>
      <c r="AB238">
        <v>0</v>
      </c>
      <c r="AC238" s="30">
        <f t="shared" si="192"/>
        <v>10.964400000000001</v>
      </c>
    </row>
    <row r="239" spans="1:29" x14ac:dyDescent="0.25">
      <c r="A239">
        <v>0</v>
      </c>
      <c r="B239" t="s">
        <v>16</v>
      </c>
      <c r="C239">
        <v>14592</v>
      </c>
      <c r="D239">
        <v>256</v>
      </c>
      <c r="E239">
        <v>2</v>
      </c>
      <c r="F239">
        <v>2</v>
      </c>
      <c r="G239">
        <v>197.59</v>
      </c>
      <c r="H239" s="139">
        <v>10.484999999999999</v>
      </c>
      <c r="I239" s="33">
        <v>45608</v>
      </c>
      <c r="J239" s="37">
        <v>0.36045138888888889</v>
      </c>
      <c r="K239">
        <v>0</v>
      </c>
      <c r="L239">
        <v>0</v>
      </c>
      <c r="M239">
        <v>0</v>
      </c>
      <c r="N239" s="30">
        <f t="shared" si="193"/>
        <v>10.537399999999998</v>
      </c>
      <c r="P239">
        <v>0</v>
      </c>
      <c r="Q239" t="s">
        <v>16</v>
      </c>
      <c r="R239">
        <v>14592</v>
      </c>
      <c r="S239">
        <v>256</v>
      </c>
      <c r="T239">
        <v>2</v>
      </c>
      <c r="U239">
        <v>2</v>
      </c>
      <c r="V239">
        <v>185.41</v>
      </c>
      <c r="W239" s="139">
        <v>11.173999999999999</v>
      </c>
      <c r="X239" s="33">
        <v>45608</v>
      </c>
      <c r="Y239" s="37">
        <v>0.39408564814814817</v>
      </c>
      <c r="Z239">
        <v>0</v>
      </c>
      <c r="AA239">
        <v>0</v>
      </c>
      <c r="AB239">
        <v>0</v>
      </c>
      <c r="AC239" s="30">
        <f t="shared" si="195"/>
        <v>11.161999999999999</v>
      </c>
    </row>
    <row r="240" spans="1:29" x14ac:dyDescent="0.25">
      <c r="A240">
        <v>1</v>
      </c>
      <c r="B240" t="s">
        <v>16</v>
      </c>
      <c r="C240">
        <v>14592</v>
      </c>
      <c r="D240">
        <v>256</v>
      </c>
      <c r="E240">
        <v>2</v>
      </c>
      <c r="F240">
        <v>2</v>
      </c>
      <c r="G240">
        <v>196.03</v>
      </c>
      <c r="H240" s="139">
        <v>10.568</v>
      </c>
      <c r="I240" s="33">
        <v>45608</v>
      </c>
      <c r="J240" s="37">
        <v>0.41415509259259259</v>
      </c>
      <c r="K240">
        <v>0</v>
      </c>
      <c r="L240">
        <v>0</v>
      </c>
      <c r="M240">
        <v>0</v>
      </c>
      <c r="N240" s="30">
        <f t="shared" si="194"/>
        <v>10.537399999999998</v>
      </c>
      <c r="P240">
        <v>1</v>
      </c>
      <c r="Q240" t="s">
        <v>16</v>
      </c>
      <c r="R240">
        <v>14592</v>
      </c>
      <c r="S240">
        <v>256</v>
      </c>
      <c r="T240">
        <v>2</v>
      </c>
      <c r="U240">
        <v>2</v>
      </c>
      <c r="V240">
        <v>185.48</v>
      </c>
      <c r="W240" s="139">
        <v>11.169</v>
      </c>
      <c r="X240" s="33">
        <v>45608</v>
      </c>
      <c r="Y240" s="37">
        <v>0.4538888888888889</v>
      </c>
      <c r="Z240">
        <v>0</v>
      </c>
      <c r="AA240">
        <v>0</v>
      </c>
      <c r="AB240">
        <v>0</v>
      </c>
      <c r="AC240" s="30">
        <f t="shared" si="192"/>
        <v>11.161999999999999</v>
      </c>
    </row>
    <row r="241" spans="1:29" x14ac:dyDescent="0.25">
      <c r="A241">
        <v>2</v>
      </c>
      <c r="B241" t="s">
        <v>16</v>
      </c>
      <c r="C241">
        <v>14592</v>
      </c>
      <c r="D241">
        <v>256</v>
      </c>
      <c r="E241">
        <v>2</v>
      </c>
      <c r="F241">
        <v>2</v>
      </c>
      <c r="G241">
        <v>196.13</v>
      </c>
      <c r="H241" s="139">
        <v>10.561999999999999</v>
      </c>
      <c r="I241" s="33">
        <v>45608</v>
      </c>
      <c r="J241" s="37">
        <v>0.46787037037037038</v>
      </c>
      <c r="K241">
        <v>0</v>
      </c>
      <c r="L241">
        <v>0</v>
      </c>
      <c r="M241">
        <v>0</v>
      </c>
      <c r="N241" s="30">
        <f t="shared" si="194"/>
        <v>10.537399999999998</v>
      </c>
      <c r="P241">
        <v>2</v>
      </c>
      <c r="Q241" t="s">
        <v>16</v>
      </c>
      <c r="R241">
        <v>14592</v>
      </c>
      <c r="S241">
        <v>256</v>
      </c>
      <c r="T241">
        <v>2</v>
      </c>
      <c r="U241">
        <v>2</v>
      </c>
      <c r="V241">
        <v>185.31</v>
      </c>
      <c r="W241" s="139">
        <v>11.179</v>
      </c>
      <c r="X241" s="33">
        <v>45608</v>
      </c>
      <c r="Y241" s="37">
        <v>0.51366898148148143</v>
      </c>
      <c r="Z241">
        <v>0</v>
      </c>
      <c r="AA241">
        <v>0</v>
      </c>
      <c r="AB241">
        <v>0</v>
      </c>
      <c r="AC241" s="30">
        <f t="shared" si="192"/>
        <v>11.161999999999999</v>
      </c>
    </row>
    <row r="242" spans="1:29" x14ac:dyDescent="0.25">
      <c r="A242">
        <v>3</v>
      </c>
      <c r="B242" t="s">
        <v>16</v>
      </c>
      <c r="C242">
        <v>14592</v>
      </c>
      <c r="D242">
        <v>256</v>
      </c>
      <c r="E242">
        <v>2</v>
      </c>
      <c r="F242">
        <v>2</v>
      </c>
      <c r="G242">
        <v>197.04</v>
      </c>
      <c r="H242" s="139">
        <v>10.513999999999999</v>
      </c>
      <c r="I242" s="33">
        <v>45608</v>
      </c>
      <c r="J242" s="37">
        <v>0.57002314814814814</v>
      </c>
      <c r="K242">
        <v>0</v>
      </c>
      <c r="L242">
        <v>0</v>
      </c>
      <c r="M242">
        <v>0</v>
      </c>
      <c r="N242" s="30">
        <f t="shared" si="194"/>
        <v>10.537399999999998</v>
      </c>
      <c r="P242">
        <v>3</v>
      </c>
      <c r="Q242" t="s">
        <v>16</v>
      </c>
      <c r="R242">
        <v>14592</v>
      </c>
      <c r="S242">
        <v>256</v>
      </c>
      <c r="T242">
        <v>2</v>
      </c>
      <c r="U242">
        <v>2</v>
      </c>
      <c r="V242">
        <v>185.95</v>
      </c>
      <c r="W242" s="139">
        <v>11.141</v>
      </c>
      <c r="X242" s="33">
        <v>45608</v>
      </c>
      <c r="Y242" s="37">
        <v>0.62258101851851855</v>
      </c>
      <c r="Z242">
        <v>0</v>
      </c>
      <c r="AA242">
        <v>0</v>
      </c>
      <c r="AB242">
        <v>0</v>
      </c>
      <c r="AC242" s="30">
        <f t="shared" si="192"/>
        <v>11.161999999999999</v>
      </c>
    </row>
    <row r="243" spans="1:29" x14ac:dyDescent="0.25">
      <c r="A243">
        <v>4</v>
      </c>
      <c r="B243" t="s">
        <v>16</v>
      </c>
      <c r="C243">
        <v>14592</v>
      </c>
      <c r="D243">
        <v>256</v>
      </c>
      <c r="E243">
        <v>2</v>
      </c>
      <c r="F243">
        <v>2</v>
      </c>
      <c r="G243">
        <v>196.22</v>
      </c>
      <c r="H243" s="139">
        <v>10.558</v>
      </c>
      <c r="I243" s="33">
        <v>45608</v>
      </c>
      <c r="J243" s="37">
        <v>0.62376157407407407</v>
      </c>
      <c r="K243">
        <v>0</v>
      </c>
      <c r="L243">
        <v>0</v>
      </c>
      <c r="M243">
        <v>0</v>
      </c>
      <c r="N243" s="30">
        <f t="shared" si="194"/>
        <v>10.537399999999998</v>
      </c>
      <c r="P243">
        <v>4</v>
      </c>
      <c r="Q243" t="s">
        <v>16</v>
      </c>
      <c r="R243">
        <v>14592</v>
      </c>
      <c r="S243">
        <v>256</v>
      </c>
      <c r="T243">
        <v>2</v>
      </c>
      <c r="U243">
        <v>2</v>
      </c>
      <c r="V243">
        <v>185.84</v>
      </c>
      <c r="W243" s="139">
        <v>11.147</v>
      </c>
      <c r="X243" s="33">
        <v>45608</v>
      </c>
      <c r="Y243" s="37">
        <v>0.7429513888888889</v>
      </c>
      <c r="Z243">
        <v>0</v>
      </c>
      <c r="AA243">
        <v>0</v>
      </c>
      <c r="AB243">
        <v>0</v>
      </c>
      <c r="AC243" s="30">
        <f t="shared" si="192"/>
        <v>11.161999999999999</v>
      </c>
    </row>
    <row r="244" spans="1:29" x14ac:dyDescent="0.25">
      <c r="P244" s="53">
        <v>0</v>
      </c>
      <c r="Q244" s="53" t="s">
        <v>16</v>
      </c>
      <c r="R244" s="53">
        <v>14544</v>
      </c>
      <c r="S244" s="53">
        <v>144</v>
      </c>
      <c r="T244" s="53">
        <v>2</v>
      </c>
      <c r="U244" s="53">
        <v>2</v>
      </c>
      <c r="V244" s="53">
        <v>178.8</v>
      </c>
      <c r="W244" s="119">
        <v>11.472</v>
      </c>
      <c r="X244" s="54">
        <v>45318</v>
      </c>
      <c r="Y244" s="120">
        <v>0.39685185185185184</v>
      </c>
      <c r="Z244" s="53">
        <v>0</v>
      </c>
      <c r="AA244" s="53">
        <v>0</v>
      </c>
      <c r="AB244" s="53">
        <v>0</v>
      </c>
      <c r="AC244" s="30">
        <f t="shared" ref="AC244" si="196">AVERAGE(W244:W248)</f>
        <v>11.4762</v>
      </c>
    </row>
    <row r="245" spans="1:29" x14ac:dyDescent="0.25">
      <c r="P245" s="53">
        <v>1</v>
      </c>
      <c r="Q245" s="53" t="s">
        <v>16</v>
      </c>
      <c r="R245" s="53">
        <v>14544</v>
      </c>
      <c r="S245" s="53">
        <v>144</v>
      </c>
      <c r="T245" s="53">
        <v>2</v>
      </c>
      <c r="U245" s="53">
        <v>2</v>
      </c>
      <c r="V245" s="53">
        <v>178.81</v>
      </c>
      <c r="W245" s="119">
        <v>11.472</v>
      </c>
      <c r="X245" s="54">
        <v>45318</v>
      </c>
      <c r="Y245" s="120">
        <v>0.4303819444444445</v>
      </c>
      <c r="Z245" s="53">
        <v>0</v>
      </c>
      <c r="AA245" s="53">
        <v>0</v>
      </c>
      <c r="AB245" s="53">
        <v>0</v>
      </c>
      <c r="AC245" s="30">
        <f>AC244</f>
        <v>11.4762</v>
      </c>
    </row>
    <row r="246" spans="1:29" x14ac:dyDescent="0.25">
      <c r="P246" s="53">
        <v>2</v>
      </c>
      <c r="Q246" s="53" t="s">
        <v>16</v>
      </c>
      <c r="R246" s="53">
        <v>14544</v>
      </c>
      <c r="S246" s="53">
        <v>144</v>
      </c>
      <c r="T246" s="53">
        <v>2</v>
      </c>
      <c r="U246" s="53">
        <v>2</v>
      </c>
      <c r="V246" s="53">
        <v>178.73</v>
      </c>
      <c r="W246" s="119">
        <v>11.477</v>
      </c>
      <c r="X246" s="54">
        <v>45318</v>
      </c>
      <c r="Y246" s="120">
        <v>0.463900462962963</v>
      </c>
      <c r="Z246" s="53">
        <v>0</v>
      </c>
      <c r="AA246" s="53">
        <v>0</v>
      </c>
      <c r="AB246" s="53">
        <v>0</v>
      </c>
      <c r="AC246" s="30">
        <f>AC245</f>
        <v>11.4762</v>
      </c>
    </row>
    <row r="247" spans="1:29" x14ac:dyDescent="0.25">
      <c r="P247" s="53">
        <v>3</v>
      </c>
      <c r="Q247" s="53" t="s">
        <v>16</v>
      </c>
      <c r="R247" s="53">
        <v>14544</v>
      </c>
      <c r="S247" s="53">
        <v>144</v>
      </c>
      <c r="T247" s="53">
        <v>2</v>
      </c>
      <c r="U247" s="53">
        <v>2</v>
      </c>
      <c r="V247" s="53">
        <v>178.75</v>
      </c>
      <c r="W247" s="119">
        <v>11.476000000000001</v>
      </c>
      <c r="X247" s="54">
        <v>45318</v>
      </c>
      <c r="Y247" s="120">
        <v>0.49744212962962964</v>
      </c>
      <c r="Z247" s="53">
        <v>0</v>
      </c>
      <c r="AA247" s="53">
        <v>0</v>
      </c>
      <c r="AB247" s="53">
        <v>0</v>
      </c>
      <c r="AC247" s="30">
        <f>AC246</f>
        <v>11.4762</v>
      </c>
    </row>
    <row r="248" spans="1:29" x14ac:dyDescent="0.25">
      <c r="P248" s="53">
        <v>4</v>
      </c>
      <c r="Q248" s="53" t="s">
        <v>16</v>
      </c>
      <c r="R248" s="53">
        <v>14544</v>
      </c>
      <c r="S248" s="53">
        <v>144</v>
      </c>
      <c r="T248" s="53">
        <v>2</v>
      </c>
      <c r="U248" s="53">
        <v>2</v>
      </c>
      <c r="V248" s="53">
        <v>178.62</v>
      </c>
      <c r="W248" s="119">
        <v>11.484</v>
      </c>
      <c r="X248" s="54">
        <v>45318</v>
      </c>
      <c r="Y248" s="120">
        <v>0.53096064814814814</v>
      </c>
      <c r="Z248" s="53">
        <v>0</v>
      </c>
      <c r="AA248" s="53">
        <v>0</v>
      </c>
      <c r="AB248" s="53">
        <v>0</v>
      </c>
      <c r="AC248" s="30">
        <f>AC247</f>
        <v>11.4762</v>
      </c>
    </row>
    <row r="249" spans="1:29" x14ac:dyDescent="0.25">
      <c r="P249" s="53">
        <v>0</v>
      </c>
      <c r="Q249" s="53" t="s">
        <v>16</v>
      </c>
      <c r="R249" s="53">
        <v>14592</v>
      </c>
      <c r="S249" s="53">
        <v>152</v>
      </c>
      <c r="T249" s="53">
        <v>2</v>
      </c>
      <c r="U249" s="53">
        <v>2</v>
      </c>
      <c r="V249" s="53">
        <v>183.31</v>
      </c>
      <c r="W249" s="119">
        <v>11.302</v>
      </c>
      <c r="X249" s="54">
        <v>45318</v>
      </c>
      <c r="Y249" s="120">
        <v>0.3996527777777778</v>
      </c>
      <c r="Z249" s="53">
        <v>0</v>
      </c>
      <c r="AA249" s="53">
        <v>0</v>
      </c>
      <c r="AB249" s="53">
        <v>0</v>
      </c>
      <c r="AC249" s="30">
        <f t="shared" ref="AC249" si="197">AVERAGE(W249:W253)</f>
        <v>11.327</v>
      </c>
    </row>
    <row r="250" spans="1:29" x14ac:dyDescent="0.25">
      <c r="P250" s="53">
        <v>1</v>
      </c>
      <c r="Q250" s="53" t="s">
        <v>16</v>
      </c>
      <c r="R250" s="53">
        <v>14592</v>
      </c>
      <c r="S250" s="53">
        <v>152</v>
      </c>
      <c r="T250" s="53">
        <v>2</v>
      </c>
      <c r="U250" s="53">
        <v>2</v>
      </c>
      <c r="V250" s="53">
        <v>182.92</v>
      </c>
      <c r="W250" s="119">
        <v>11.326000000000001</v>
      </c>
      <c r="X250" s="54">
        <v>45318</v>
      </c>
      <c r="Y250" s="120">
        <v>0.4331828703703704</v>
      </c>
      <c r="Z250" s="53">
        <v>0</v>
      </c>
      <c r="AA250" s="53">
        <v>0</v>
      </c>
      <c r="AB250" s="53">
        <v>0</v>
      </c>
      <c r="AC250" s="30">
        <f>AC249</f>
        <v>11.327</v>
      </c>
    </row>
    <row r="251" spans="1:29" x14ac:dyDescent="0.25">
      <c r="P251" s="53">
        <v>2</v>
      </c>
      <c r="Q251" s="53" t="s">
        <v>16</v>
      </c>
      <c r="R251" s="53">
        <v>14592</v>
      </c>
      <c r="S251" s="53">
        <v>152</v>
      </c>
      <c r="T251" s="53">
        <v>2</v>
      </c>
      <c r="U251" s="53">
        <v>2</v>
      </c>
      <c r="V251" s="53">
        <v>182.76</v>
      </c>
      <c r="W251" s="119">
        <v>11.336</v>
      </c>
      <c r="X251" s="54">
        <v>45318</v>
      </c>
      <c r="Y251" s="120">
        <v>0.4667013888888889</v>
      </c>
      <c r="Z251" s="53">
        <v>0</v>
      </c>
      <c r="AA251" s="53">
        <v>0</v>
      </c>
      <c r="AB251" s="53">
        <v>0</v>
      </c>
      <c r="AC251" s="30">
        <f>AC250</f>
        <v>11.327</v>
      </c>
    </row>
    <row r="252" spans="1:29" x14ac:dyDescent="0.25">
      <c r="P252" s="53">
        <v>3</v>
      </c>
      <c r="Q252" s="53" t="s">
        <v>16</v>
      </c>
      <c r="R252" s="53">
        <v>14592</v>
      </c>
      <c r="S252" s="53">
        <v>152</v>
      </c>
      <c r="T252" s="53">
        <v>2</v>
      </c>
      <c r="U252" s="53">
        <v>2</v>
      </c>
      <c r="V252" s="53">
        <v>182.8</v>
      </c>
      <c r="W252" s="119">
        <v>11.333</v>
      </c>
      <c r="X252" s="54">
        <v>45318</v>
      </c>
      <c r="Y252" s="120">
        <v>0.50023148148148155</v>
      </c>
      <c r="Z252" s="53">
        <v>0</v>
      </c>
      <c r="AA252" s="53">
        <v>0</v>
      </c>
      <c r="AB252" s="53">
        <v>0</v>
      </c>
      <c r="AC252" s="30">
        <f>AC251</f>
        <v>11.327</v>
      </c>
    </row>
    <row r="253" spans="1:29" x14ac:dyDescent="0.25">
      <c r="P253" s="53">
        <v>4</v>
      </c>
      <c r="Q253" s="53" t="s">
        <v>16</v>
      </c>
      <c r="R253" s="53">
        <v>14592</v>
      </c>
      <c r="S253" s="53">
        <v>152</v>
      </c>
      <c r="T253" s="53">
        <v>2</v>
      </c>
      <c r="U253" s="53">
        <v>2</v>
      </c>
      <c r="V253" s="53">
        <v>182.72</v>
      </c>
      <c r="W253" s="119">
        <v>11.337999999999999</v>
      </c>
      <c r="X253" s="54">
        <v>45318</v>
      </c>
      <c r="Y253" s="120">
        <v>0.53375000000000006</v>
      </c>
      <c r="Z253" s="53">
        <v>0</v>
      </c>
      <c r="AA253" s="53">
        <v>0</v>
      </c>
      <c r="AB253" s="53">
        <v>0</v>
      </c>
      <c r="AC253" s="30">
        <f>AC252</f>
        <v>11.327</v>
      </c>
    </row>
    <row r="254" spans="1:29" x14ac:dyDescent="0.25">
      <c r="P254" s="53">
        <v>0</v>
      </c>
      <c r="Q254" s="53" t="s">
        <v>16</v>
      </c>
      <c r="R254" s="53">
        <v>14616</v>
      </c>
      <c r="S254" s="53">
        <v>168</v>
      </c>
      <c r="T254" s="53">
        <v>2</v>
      </c>
      <c r="U254" s="53">
        <v>2</v>
      </c>
      <c r="V254" s="53">
        <v>183.45</v>
      </c>
      <c r="W254" s="119">
        <v>11.348000000000001</v>
      </c>
      <c r="X254" s="54">
        <v>45318</v>
      </c>
      <c r="Y254" s="120">
        <v>0.40247685185185184</v>
      </c>
      <c r="Z254" s="53">
        <v>0</v>
      </c>
      <c r="AA254" s="53">
        <v>0</v>
      </c>
      <c r="AB254" s="53">
        <v>0</v>
      </c>
      <c r="AC254" s="30">
        <f t="shared" ref="AC254:AC294" si="198">AVERAGE(W254:W258)</f>
        <v>11.3642</v>
      </c>
    </row>
    <row r="255" spans="1:29" x14ac:dyDescent="0.25">
      <c r="P255" s="53">
        <v>1</v>
      </c>
      <c r="Q255" s="53" t="s">
        <v>16</v>
      </c>
      <c r="R255" s="53">
        <v>14616</v>
      </c>
      <c r="S255" s="53">
        <v>168</v>
      </c>
      <c r="T255" s="53">
        <v>2</v>
      </c>
      <c r="U255" s="53">
        <v>2</v>
      </c>
      <c r="V255" s="53">
        <v>183.25</v>
      </c>
      <c r="W255" s="119">
        <v>11.361000000000001</v>
      </c>
      <c r="X255" s="54">
        <v>45318</v>
      </c>
      <c r="Y255" s="120">
        <v>0.43599537037037034</v>
      </c>
      <c r="Z255" s="53">
        <v>0</v>
      </c>
      <c r="AA255" s="53">
        <v>0</v>
      </c>
      <c r="AB255" s="53">
        <v>0</v>
      </c>
      <c r="AC255" s="30">
        <f>AC254</f>
        <v>11.3642</v>
      </c>
    </row>
    <row r="256" spans="1:29" x14ac:dyDescent="0.25">
      <c r="P256" s="53">
        <v>2</v>
      </c>
      <c r="Q256" s="53" t="s">
        <v>16</v>
      </c>
      <c r="R256" s="53">
        <v>14616</v>
      </c>
      <c r="S256" s="53">
        <v>168</v>
      </c>
      <c r="T256" s="53">
        <v>2</v>
      </c>
      <c r="U256" s="53">
        <v>2</v>
      </c>
      <c r="V256" s="53">
        <v>183.04</v>
      </c>
      <c r="W256" s="119">
        <v>11.374000000000001</v>
      </c>
      <c r="X256" s="54">
        <v>45318</v>
      </c>
      <c r="Y256" s="120">
        <v>0.46951388888888884</v>
      </c>
      <c r="Z256" s="53">
        <v>0</v>
      </c>
      <c r="AA256" s="53">
        <v>0</v>
      </c>
      <c r="AB256" s="53">
        <v>0</v>
      </c>
      <c r="AC256" s="30">
        <f>AC255</f>
        <v>11.3642</v>
      </c>
    </row>
    <row r="257" spans="16:29" x14ac:dyDescent="0.25">
      <c r="P257" s="53">
        <v>3</v>
      </c>
      <c r="Q257" s="53" t="s">
        <v>16</v>
      </c>
      <c r="R257" s="53">
        <v>14616</v>
      </c>
      <c r="S257" s="53">
        <v>168</v>
      </c>
      <c r="T257" s="53">
        <v>2</v>
      </c>
      <c r="U257" s="53">
        <v>2</v>
      </c>
      <c r="V257" s="53">
        <v>183.28</v>
      </c>
      <c r="W257" s="119">
        <v>11.359</v>
      </c>
      <c r="X257" s="54">
        <v>45318</v>
      </c>
      <c r="Y257" s="120">
        <v>0.50305555555555559</v>
      </c>
      <c r="Z257" s="53">
        <v>0</v>
      </c>
      <c r="AA257" s="53">
        <v>0</v>
      </c>
      <c r="AB257" s="53">
        <v>0</v>
      </c>
      <c r="AC257" s="30">
        <f>AC256</f>
        <v>11.3642</v>
      </c>
    </row>
    <row r="258" spans="16:29" x14ac:dyDescent="0.25">
      <c r="P258" s="53">
        <v>4</v>
      </c>
      <c r="Q258" s="53" t="s">
        <v>16</v>
      </c>
      <c r="R258" s="53">
        <v>14616</v>
      </c>
      <c r="S258" s="53">
        <v>168</v>
      </c>
      <c r="T258" s="53">
        <v>2</v>
      </c>
      <c r="U258" s="53">
        <v>2</v>
      </c>
      <c r="V258" s="53">
        <v>182.96</v>
      </c>
      <c r="W258" s="119">
        <v>11.379</v>
      </c>
      <c r="X258" s="54">
        <v>45318</v>
      </c>
      <c r="Y258" s="120">
        <v>0.53657407407407409</v>
      </c>
      <c r="Z258" s="53">
        <v>0</v>
      </c>
      <c r="AA258" s="53">
        <v>0</v>
      </c>
      <c r="AB258" s="53">
        <v>0</v>
      </c>
      <c r="AC258" s="30">
        <f>AC257</f>
        <v>11.3642</v>
      </c>
    </row>
    <row r="259" spans="16:29" x14ac:dyDescent="0.25">
      <c r="P259" s="53">
        <v>0</v>
      </c>
      <c r="Q259" s="53" t="s">
        <v>16</v>
      </c>
      <c r="R259" s="53">
        <v>14608</v>
      </c>
      <c r="S259" s="53">
        <v>176</v>
      </c>
      <c r="T259" s="53">
        <v>2</v>
      </c>
      <c r="U259" s="53">
        <v>2</v>
      </c>
      <c r="V259" s="53">
        <v>181.64</v>
      </c>
      <c r="W259" s="119">
        <v>11.443</v>
      </c>
      <c r="X259" s="54">
        <v>45318</v>
      </c>
      <c r="Y259" s="120">
        <v>0.40527777777777779</v>
      </c>
      <c r="Z259" s="53">
        <v>0</v>
      </c>
      <c r="AA259" s="53">
        <v>0</v>
      </c>
      <c r="AB259" s="53">
        <v>0</v>
      </c>
      <c r="AC259" s="30">
        <f t="shared" ref="AC259:AC299" si="199">AVERAGE(W259:W263)</f>
        <v>11.4354</v>
      </c>
    </row>
    <row r="260" spans="16:29" x14ac:dyDescent="0.25">
      <c r="P260" s="53">
        <v>1</v>
      </c>
      <c r="Q260" s="53" t="s">
        <v>16</v>
      </c>
      <c r="R260" s="53">
        <v>14608</v>
      </c>
      <c r="S260" s="53">
        <v>176</v>
      </c>
      <c r="T260" s="53">
        <v>2</v>
      </c>
      <c r="U260" s="53">
        <v>2</v>
      </c>
      <c r="V260" s="53">
        <v>181.84</v>
      </c>
      <c r="W260" s="119">
        <v>11.43</v>
      </c>
      <c r="X260" s="54">
        <v>45318</v>
      </c>
      <c r="Y260" s="120">
        <v>0.4387962962962963</v>
      </c>
      <c r="Z260" s="53">
        <v>0</v>
      </c>
      <c r="AA260" s="53">
        <v>0</v>
      </c>
      <c r="AB260" s="53">
        <v>0</v>
      </c>
      <c r="AC260" s="30">
        <f>AC259</f>
        <v>11.4354</v>
      </c>
    </row>
    <row r="261" spans="16:29" x14ac:dyDescent="0.25">
      <c r="P261" s="53">
        <v>2</v>
      </c>
      <c r="Q261" s="53" t="s">
        <v>16</v>
      </c>
      <c r="R261" s="53">
        <v>14608</v>
      </c>
      <c r="S261" s="53">
        <v>176</v>
      </c>
      <c r="T261" s="53">
        <v>2</v>
      </c>
      <c r="U261" s="53">
        <v>2</v>
      </c>
      <c r="V261" s="53">
        <v>181.88</v>
      </c>
      <c r="W261" s="119">
        <v>11.428000000000001</v>
      </c>
      <c r="X261" s="54">
        <v>45318</v>
      </c>
      <c r="Y261" s="120">
        <v>0.4723148148148148</v>
      </c>
      <c r="Z261" s="53">
        <v>0</v>
      </c>
      <c r="AA261" s="53">
        <v>0</v>
      </c>
      <c r="AB261" s="53">
        <v>0</v>
      </c>
      <c r="AC261" s="30">
        <f>AC260</f>
        <v>11.4354</v>
      </c>
    </row>
    <row r="262" spans="16:29" x14ac:dyDescent="0.25">
      <c r="P262" s="53">
        <v>3</v>
      </c>
      <c r="Q262" s="53" t="s">
        <v>16</v>
      </c>
      <c r="R262" s="53">
        <v>14608</v>
      </c>
      <c r="S262" s="53">
        <v>176</v>
      </c>
      <c r="T262" s="53">
        <v>2</v>
      </c>
      <c r="U262" s="53">
        <v>2</v>
      </c>
      <c r="V262" s="53">
        <v>181.75</v>
      </c>
      <c r="W262" s="119">
        <v>11.436</v>
      </c>
      <c r="X262" s="54">
        <v>45318</v>
      </c>
      <c r="Y262" s="120">
        <v>0.50585648148148155</v>
      </c>
      <c r="Z262" s="53">
        <v>0</v>
      </c>
      <c r="AA262" s="53">
        <v>0</v>
      </c>
      <c r="AB262" s="53">
        <v>0</v>
      </c>
      <c r="AC262" s="30">
        <f>AC261</f>
        <v>11.4354</v>
      </c>
    </row>
    <row r="263" spans="16:29" x14ac:dyDescent="0.25">
      <c r="P263" s="53">
        <v>4</v>
      </c>
      <c r="Q263" s="53" t="s">
        <v>16</v>
      </c>
      <c r="R263" s="53">
        <v>14608</v>
      </c>
      <c r="S263" s="53">
        <v>176</v>
      </c>
      <c r="T263" s="53">
        <v>2</v>
      </c>
      <c r="U263" s="53">
        <v>2</v>
      </c>
      <c r="V263" s="53">
        <v>181.69</v>
      </c>
      <c r="W263" s="119">
        <v>11.44</v>
      </c>
      <c r="X263" s="54">
        <v>45318</v>
      </c>
      <c r="Y263" s="120">
        <v>0.53937500000000005</v>
      </c>
      <c r="Z263" s="53">
        <v>0</v>
      </c>
      <c r="AA263" s="53">
        <v>0</v>
      </c>
      <c r="AB263" s="53">
        <v>0</v>
      </c>
      <c r="AC263" s="30">
        <f>AC262</f>
        <v>11.4354</v>
      </c>
    </row>
    <row r="264" spans="16:29" x14ac:dyDescent="0.25">
      <c r="P264" s="53">
        <v>0</v>
      </c>
      <c r="Q264" s="53" t="s">
        <v>16</v>
      </c>
      <c r="R264" s="53">
        <v>14536</v>
      </c>
      <c r="S264" s="53">
        <v>184</v>
      </c>
      <c r="T264" s="53">
        <v>2</v>
      </c>
      <c r="U264" s="53">
        <v>2</v>
      </c>
      <c r="V264" s="53">
        <v>178.94</v>
      </c>
      <c r="W264" s="119">
        <v>11.445</v>
      </c>
      <c r="X264" s="54">
        <v>45318</v>
      </c>
      <c r="Y264" s="120">
        <v>0.40804398148148152</v>
      </c>
      <c r="Z264" s="53">
        <v>0</v>
      </c>
      <c r="AA264" s="53">
        <v>0</v>
      </c>
      <c r="AB264" s="53">
        <v>0</v>
      </c>
      <c r="AC264" s="30">
        <f t="shared" si="198"/>
        <v>11.437799999999999</v>
      </c>
    </row>
    <row r="265" spans="16:29" x14ac:dyDescent="0.25">
      <c r="P265" s="53">
        <v>1</v>
      </c>
      <c r="Q265" s="53" t="s">
        <v>16</v>
      </c>
      <c r="R265" s="53">
        <v>14536</v>
      </c>
      <c r="S265" s="53">
        <v>184</v>
      </c>
      <c r="T265" s="53">
        <v>2</v>
      </c>
      <c r="U265" s="53">
        <v>2</v>
      </c>
      <c r="V265" s="53">
        <v>178.94</v>
      </c>
      <c r="W265" s="119">
        <v>11.445</v>
      </c>
      <c r="X265" s="54">
        <v>45318</v>
      </c>
      <c r="Y265" s="120">
        <v>0.44156250000000002</v>
      </c>
      <c r="Z265" s="53">
        <v>0</v>
      </c>
      <c r="AA265" s="53">
        <v>0</v>
      </c>
      <c r="AB265" s="53">
        <v>0</v>
      </c>
      <c r="AC265" s="30">
        <f>AC264</f>
        <v>11.437799999999999</v>
      </c>
    </row>
    <row r="266" spans="16:29" x14ac:dyDescent="0.25">
      <c r="P266" s="53">
        <v>2</v>
      </c>
      <c r="Q266" s="53" t="s">
        <v>16</v>
      </c>
      <c r="R266" s="53">
        <v>14536</v>
      </c>
      <c r="S266" s="53">
        <v>184</v>
      </c>
      <c r="T266" s="53">
        <v>2</v>
      </c>
      <c r="U266" s="53">
        <v>2</v>
      </c>
      <c r="V266" s="53">
        <v>179.22</v>
      </c>
      <c r="W266" s="119">
        <v>11.427</v>
      </c>
      <c r="X266" s="54">
        <v>45318</v>
      </c>
      <c r="Y266" s="120">
        <v>0.47508101851851853</v>
      </c>
      <c r="Z266" s="53">
        <v>0</v>
      </c>
      <c r="AA266" s="53">
        <v>0</v>
      </c>
      <c r="AB266" s="53">
        <v>0</v>
      </c>
      <c r="AC266" s="30">
        <f>AC265</f>
        <v>11.437799999999999</v>
      </c>
    </row>
    <row r="267" spans="16:29" x14ac:dyDescent="0.25">
      <c r="P267" s="53">
        <v>3</v>
      </c>
      <c r="Q267" s="53" t="s">
        <v>16</v>
      </c>
      <c r="R267" s="53">
        <v>14536</v>
      </c>
      <c r="S267" s="53">
        <v>184</v>
      </c>
      <c r="T267" s="53">
        <v>2</v>
      </c>
      <c r="U267" s="53">
        <v>2</v>
      </c>
      <c r="V267" s="53">
        <v>179.02</v>
      </c>
      <c r="W267" s="119">
        <v>11.44</v>
      </c>
      <c r="X267" s="54">
        <v>45318</v>
      </c>
      <c r="Y267" s="120">
        <v>0.50862268518518516</v>
      </c>
      <c r="Z267" s="53">
        <v>0</v>
      </c>
      <c r="AA267" s="53">
        <v>0</v>
      </c>
      <c r="AB267" s="53">
        <v>0</v>
      </c>
      <c r="AC267" s="30">
        <f>AC266</f>
        <v>11.437799999999999</v>
      </c>
    </row>
    <row r="268" spans="16:29" x14ac:dyDescent="0.25">
      <c r="P268" s="53">
        <v>4</v>
      </c>
      <c r="Q268" s="53" t="s">
        <v>16</v>
      </c>
      <c r="R268" s="53">
        <v>14536</v>
      </c>
      <c r="S268" s="53">
        <v>184</v>
      </c>
      <c r="T268" s="53">
        <v>2</v>
      </c>
      <c r="U268" s="53">
        <v>2</v>
      </c>
      <c r="V268" s="53">
        <v>179.13</v>
      </c>
      <c r="W268" s="119">
        <v>11.432</v>
      </c>
      <c r="X268" s="54">
        <v>45318</v>
      </c>
      <c r="Y268" s="120">
        <v>0.54212962962962963</v>
      </c>
      <c r="Z268" s="53">
        <v>0</v>
      </c>
      <c r="AA268" s="53">
        <v>0</v>
      </c>
      <c r="AB268" s="53">
        <v>0</v>
      </c>
      <c r="AC268" s="30">
        <f>AC267</f>
        <v>11.437799999999999</v>
      </c>
    </row>
    <row r="269" spans="16:29" x14ac:dyDescent="0.25">
      <c r="P269" s="53">
        <v>0</v>
      </c>
      <c r="Q269" s="53" t="s">
        <v>16</v>
      </c>
      <c r="R269" s="53">
        <v>14600</v>
      </c>
      <c r="S269" s="53">
        <v>200</v>
      </c>
      <c r="T269" s="53">
        <v>2</v>
      </c>
      <c r="U269" s="53">
        <v>2</v>
      </c>
      <c r="V269" s="53">
        <v>181.45</v>
      </c>
      <c r="W269" s="119">
        <v>11.436</v>
      </c>
      <c r="X269" s="54">
        <v>45318</v>
      </c>
      <c r="Y269" s="120">
        <v>0.41083333333333333</v>
      </c>
      <c r="Z269" s="53">
        <v>0</v>
      </c>
      <c r="AA269" s="53">
        <v>0</v>
      </c>
      <c r="AB269" s="53">
        <v>0</v>
      </c>
      <c r="AC269" s="30">
        <f t="shared" si="199"/>
        <v>11.4438</v>
      </c>
    </row>
    <row r="270" spans="16:29" x14ac:dyDescent="0.25">
      <c r="P270" s="53">
        <v>1</v>
      </c>
      <c r="Q270" s="53" t="s">
        <v>16</v>
      </c>
      <c r="R270" s="53">
        <v>14600</v>
      </c>
      <c r="S270" s="53">
        <v>200</v>
      </c>
      <c r="T270" s="53">
        <v>2</v>
      </c>
      <c r="U270" s="53">
        <v>2</v>
      </c>
      <c r="V270" s="53">
        <v>181.29</v>
      </c>
      <c r="W270" s="119">
        <v>11.446</v>
      </c>
      <c r="X270" s="54">
        <v>45318</v>
      </c>
      <c r="Y270" s="120">
        <v>0.44436342592592593</v>
      </c>
      <c r="Z270" s="53">
        <v>0</v>
      </c>
      <c r="AA270" s="53">
        <v>0</v>
      </c>
      <c r="AB270" s="53">
        <v>0</v>
      </c>
      <c r="AC270" s="30">
        <f>AC269</f>
        <v>11.4438</v>
      </c>
    </row>
    <row r="271" spans="16:29" x14ac:dyDescent="0.25">
      <c r="P271" s="53">
        <v>2</v>
      </c>
      <c r="Q271" s="53" t="s">
        <v>16</v>
      </c>
      <c r="R271" s="53">
        <v>14600</v>
      </c>
      <c r="S271" s="53">
        <v>200</v>
      </c>
      <c r="T271" s="53">
        <v>2</v>
      </c>
      <c r="U271" s="53">
        <v>2</v>
      </c>
      <c r="V271" s="53">
        <v>181.35</v>
      </c>
      <c r="W271" s="119">
        <v>11.442</v>
      </c>
      <c r="X271" s="54">
        <v>45318</v>
      </c>
      <c r="Y271" s="120">
        <v>0.47788194444444443</v>
      </c>
      <c r="Z271" s="53">
        <v>0</v>
      </c>
      <c r="AA271" s="53">
        <v>0</v>
      </c>
      <c r="AB271" s="53">
        <v>0</v>
      </c>
      <c r="AC271" s="30">
        <f>AC270</f>
        <v>11.4438</v>
      </c>
    </row>
    <row r="272" spans="16:29" x14ac:dyDescent="0.25">
      <c r="P272" s="53">
        <v>3</v>
      </c>
      <c r="Q272" s="53" t="s">
        <v>16</v>
      </c>
      <c r="R272" s="53">
        <v>14600</v>
      </c>
      <c r="S272" s="53">
        <v>200</v>
      </c>
      <c r="T272" s="53">
        <v>2</v>
      </c>
      <c r="U272" s="53">
        <v>2</v>
      </c>
      <c r="V272" s="53">
        <v>181.3</v>
      </c>
      <c r="W272" s="119">
        <v>11.445</v>
      </c>
      <c r="X272" s="54">
        <v>45318</v>
      </c>
      <c r="Y272" s="120">
        <v>0.51141203703703708</v>
      </c>
      <c r="Z272" s="53">
        <v>0</v>
      </c>
      <c r="AA272" s="53">
        <v>0</v>
      </c>
      <c r="AB272" s="53">
        <v>0</v>
      </c>
      <c r="AC272" s="30">
        <f>AC271</f>
        <v>11.4438</v>
      </c>
    </row>
    <row r="273" spans="16:29" x14ac:dyDescent="0.25">
      <c r="P273" s="53">
        <v>4</v>
      </c>
      <c r="Q273" s="53" t="s">
        <v>16</v>
      </c>
      <c r="R273" s="53">
        <v>14600</v>
      </c>
      <c r="S273" s="53">
        <v>200</v>
      </c>
      <c r="T273" s="53">
        <v>2</v>
      </c>
      <c r="U273" s="53">
        <v>2</v>
      </c>
      <c r="V273" s="53">
        <v>181.23</v>
      </c>
      <c r="W273" s="119">
        <v>11.45</v>
      </c>
      <c r="X273" s="54">
        <v>45318</v>
      </c>
      <c r="Y273" s="120">
        <v>0.54493055555555558</v>
      </c>
      <c r="Z273" s="53">
        <v>0</v>
      </c>
      <c r="AA273" s="53">
        <v>0</v>
      </c>
      <c r="AB273" s="53">
        <v>0</v>
      </c>
      <c r="AC273" s="30">
        <f>AC272</f>
        <v>11.4438</v>
      </c>
    </row>
    <row r="274" spans="16:29" x14ac:dyDescent="0.25">
      <c r="P274" s="53">
        <v>0</v>
      </c>
      <c r="Q274" s="53" t="s">
        <v>16</v>
      </c>
      <c r="R274" s="53">
        <v>14560</v>
      </c>
      <c r="S274" s="53">
        <v>208</v>
      </c>
      <c r="T274" s="53">
        <v>2</v>
      </c>
      <c r="U274" s="53">
        <v>2</v>
      </c>
      <c r="V274" s="53">
        <v>179.53</v>
      </c>
      <c r="W274" s="119">
        <v>11.464</v>
      </c>
      <c r="X274" s="54">
        <v>45318</v>
      </c>
      <c r="Y274" s="120">
        <v>0.41359953703703706</v>
      </c>
      <c r="Z274" s="53">
        <v>0</v>
      </c>
      <c r="AA274" s="53">
        <v>0</v>
      </c>
      <c r="AB274" s="53">
        <v>0</v>
      </c>
      <c r="AC274" s="30">
        <f t="shared" si="198"/>
        <v>11.452999999999999</v>
      </c>
    </row>
    <row r="275" spans="16:29" x14ac:dyDescent="0.25">
      <c r="P275" s="53">
        <v>1</v>
      </c>
      <c r="Q275" s="53" t="s">
        <v>16</v>
      </c>
      <c r="R275" s="53">
        <v>14560</v>
      </c>
      <c r="S275" s="53">
        <v>208</v>
      </c>
      <c r="T275" s="53">
        <v>2</v>
      </c>
      <c r="U275" s="53">
        <v>2</v>
      </c>
      <c r="V275" s="53">
        <v>179.73</v>
      </c>
      <c r="W275" s="119">
        <v>11.451000000000001</v>
      </c>
      <c r="X275" s="54">
        <v>45318</v>
      </c>
      <c r="Y275" s="120">
        <v>0.44711805555555556</v>
      </c>
      <c r="Z275" s="53">
        <v>0</v>
      </c>
      <c r="AA275" s="53">
        <v>0</v>
      </c>
      <c r="AB275" s="53">
        <v>0</v>
      </c>
      <c r="AC275" s="30">
        <f>AC274</f>
        <v>11.452999999999999</v>
      </c>
    </row>
    <row r="276" spans="16:29" x14ac:dyDescent="0.25">
      <c r="P276" s="53">
        <v>2</v>
      </c>
      <c r="Q276" s="53" t="s">
        <v>16</v>
      </c>
      <c r="R276" s="53">
        <v>14560</v>
      </c>
      <c r="S276" s="53">
        <v>208</v>
      </c>
      <c r="T276" s="53">
        <v>2</v>
      </c>
      <c r="U276" s="53">
        <v>2</v>
      </c>
      <c r="V276" s="53">
        <v>179.83</v>
      </c>
      <c r="W276" s="119">
        <v>11.445</v>
      </c>
      <c r="X276" s="54">
        <v>45318</v>
      </c>
      <c r="Y276" s="120">
        <v>0.48063657407407406</v>
      </c>
      <c r="Z276" s="53">
        <v>0</v>
      </c>
      <c r="AA276" s="53">
        <v>0</v>
      </c>
      <c r="AB276" s="53">
        <v>0</v>
      </c>
      <c r="AC276" s="30">
        <f>AC275</f>
        <v>11.452999999999999</v>
      </c>
    </row>
    <row r="277" spans="16:29" x14ac:dyDescent="0.25">
      <c r="P277" s="53">
        <v>3</v>
      </c>
      <c r="Q277" s="53" t="s">
        <v>16</v>
      </c>
      <c r="R277" s="53">
        <v>14560</v>
      </c>
      <c r="S277" s="53">
        <v>208</v>
      </c>
      <c r="T277" s="53">
        <v>2</v>
      </c>
      <c r="U277" s="53">
        <v>2</v>
      </c>
      <c r="V277" s="53">
        <v>179.82</v>
      </c>
      <c r="W277" s="119">
        <v>11.445</v>
      </c>
      <c r="X277" s="54">
        <v>45318</v>
      </c>
      <c r="Y277" s="120">
        <v>0.51417824074074081</v>
      </c>
      <c r="Z277" s="53">
        <v>0</v>
      </c>
      <c r="AA277" s="53">
        <v>0</v>
      </c>
      <c r="AB277" s="53">
        <v>0</v>
      </c>
      <c r="AC277" s="30">
        <f>AC276</f>
        <v>11.452999999999999</v>
      </c>
    </row>
    <row r="278" spans="16:29" x14ac:dyDescent="0.25">
      <c r="P278" s="53">
        <v>4</v>
      </c>
      <c r="Q278" s="53" t="s">
        <v>16</v>
      </c>
      <c r="R278" s="53">
        <v>14560</v>
      </c>
      <c r="S278" s="53">
        <v>208</v>
      </c>
      <c r="T278" s="53">
        <v>2</v>
      </c>
      <c r="U278" s="53">
        <v>2</v>
      </c>
      <c r="V278" s="53">
        <v>179.58</v>
      </c>
      <c r="W278" s="119">
        <v>11.46</v>
      </c>
      <c r="X278" s="54">
        <v>45318</v>
      </c>
      <c r="Y278" s="120">
        <v>0.54768518518518516</v>
      </c>
      <c r="Z278" s="53">
        <v>0</v>
      </c>
      <c r="AA278" s="53">
        <v>0</v>
      </c>
      <c r="AB278" s="53">
        <v>0</v>
      </c>
      <c r="AC278" s="30">
        <f>AC277</f>
        <v>11.452999999999999</v>
      </c>
    </row>
    <row r="279" spans="16:29" x14ac:dyDescent="0.25">
      <c r="P279" s="53">
        <v>0</v>
      </c>
      <c r="Q279" s="53" t="s">
        <v>16</v>
      </c>
      <c r="R279" s="53">
        <v>14472</v>
      </c>
      <c r="S279" s="53">
        <v>216</v>
      </c>
      <c r="T279" s="53">
        <v>2</v>
      </c>
      <c r="U279" s="53">
        <v>2</v>
      </c>
      <c r="V279" s="53">
        <v>176.9</v>
      </c>
      <c r="W279" s="119">
        <v>11.423999999999999</v>
      </c>
      <c r="X279" s="54">
        <v>45318</v>
      </c>
      <c r="Y279" s="120">
        <v>0.4163310185185185</v>
      </c>
      <c r="Z279" s="53">
        <v>0</v>
      </c>
      <c r="AA279" s="53">
        <v>0</v>
      </c>
      <c r="AB279" s="53">
        <v>0</v>
      </c>
      <c r="AC279" s="30">
        <f t="shared" si="199"/>
        <v>11.419599999999999</v>
      </c>
    </row>
    <row r="280" spans="16:29" x14ac:dyDescent="0.25">
      <c r="P280" s="53">
        <v>1</v>
      </c>
      <c r="Q280" s="53" t="s">
        <v>16</v>
      </c>
      <c r="R280" s="53">
        <v>14472</v>
      </c>
      <c r="S280" s="53">
        <v>216</v>
      </c>
      <c r="T280" s="53">
        <v>2</v>
      </c>
      <c r="U280" s="53">
        <v>2</v>
      </c>
      <c r="V280" s="53">
        <v>176.95</v>
      </c>
      <c r="W280" s="119">
        <v>11.420999999999999</v>
      </c>
      <c r="X280" s="54">
        <v>45318</v>
      </c>
      <c r="Y280" s="120">
        <v>0.44984953703703701</v>
      </c>
      <c r="Z280" s="53">
        <v>0</v>
      </c>
      <c r="AA280" s="53">
        <v>0</v>
      </c>
      <c r="AB280" s="53">
        <v>0</v>
      </c>
      <c r="AC280" s="30">
        <f>AC279</f>
        <v>11.419599999999999</v>
      </c>
    </row>
    <row r="281" spans="16:29" x14ac:dyDescent="0.25">
      <c r="P281" s="53">
        <v>2</v>
      </c>
      <c r="Q281" s="53" t="s">
        <v>16</v>
      </c>
      <c r="R281" s="53">
        <v>14472</v>
      </c>
      <c r="S281" s="53">
        <v>216</v>
      </c>
      <c r="T281" s="53">
        <v>2</v>
      </c>
      <c r="U281" s="53">
        <v>2</v>
      </c>
      <c r="V281" s="53">
        <v>177.21</v>
      </c>
      <c r="W281" s="119">
        <v>11.404</v>
      </c>
      <c r="X281" s="54">
        <v>45318</v>
      </c>
      <c r="Y281" s="120">
        <v>0.4833796296296296</v>
      </c>
      <c r="Z281" s="53">
        <v>0</v>
      </c>
      <c r="AA281" s="53">
        <v>0</v>
      </c>
      <c r="AB281" s="53">
        <v>0</v>
      </c>
      <c r="AC281" s="30">
        <f>AC280</f>
        <v>11.419599999999999</v>
      </c>
    </row>
    <row r="282" spans="16:29" x14ac:dyDescent="0.25">
      <c r="P282" s="53">
        <v>3</v>
      </c>
      <c r="Q282" s="53" t="s">
        <v>16</v>
      </c>
      <c r="R282" s="53">
        <v>14472</v>
      </c>
      <c r="S282" s="53">
        <v>216</v>
      </c>
      <c r="T282" s="53">
        <v>2</v>
      </c>
      <c r="U282" s="53">
        <v>2</v>
      </c>
      <c r="V282" s="53">
        <v>176.91</v>
      </c>
      <c r="W282" s="119">
        <v>11.423999999999999</v>
      </c>
      <c r="X282" s="54">
        <v>45318</v>
      </c>
      <c r="Y282" s="120">
        <v>0.5169097222222222</v>
      </c>
      <c r="Z282" s="53">
        <v>0</v>
      </c>
      <c r="AA282" s="53">
        <v>0</v>
      </c>
      <c r="AB282" s="53">
        <v>0</v>
      </c>
      <c r="AC282" s="30">
        <f>AC281</f>
        <v>11.419599999999999</v>
      </c>
    </row>
    <row r="283" spans="16:29" x14ac:dyDescent="0.25">
      <c r="P283" s="53">
        <v>4</v>
      </c>
      <c r="Q283" s="53" t="s">
        <v>16</v>
      </c>
      <c r="R283" s="53">
        <v>14472</v>
      </c>
      <c r="S283" s="53">
        <v>216</v>
      </c>
      <c r="T283" s="53">
        <v>2</v>
      </c>
      <c r="U283" s="53">
        <v>2</v>
      </c>
      <c r="V283" s="53">
        <v>176.9</v>
      </c>
      <c r="W283" s="119">
        <v>11.425000000000001</v>
      </c>
      <c r="X283" s="54">
        <v>45318</v>
      </c>
      <c r="Y283" s="120">
        <v>0.5504282407407407</v>
      </c>
      <c r="Z283" s="53">
        <v>0</v>
      </c>
      <c r="AA283" s="53">
        <v>0</v>
      </c>
      <c r="AB283" s="53">
        <v>0</v>
      </c>
      <c r="AC283" s="30">
        <f>AC282</f>
        <v>11.419599999999999</v>
      </c>
    </row>
    <row r="284" spans="16:29" x14ac:dyDescent="0.25">
      <c r="P284" s="53">
        <v>0</v>
      </c>
      <c r="Q284" s="53" t="s">
        <v>16</v>
      </c>
      <c r="R284" s="53">
        <v>14560</v>
      </c>
      <c r="S284" s="53">
        <v>224</v>
      </c>
      <c r="T284" s="53">
        <v>2</v>
      </c>
      <c r="U284" s="53">
        <v>2</v>
      </c>
      <c r="V284" s="53">
        <v>180.35</v>
      </c>
      <c r="W284" s="119">
        <v>11.411</v>
      </c>
      <c r="X284" s="54">
        <v>45318</v>
      </c>
      <c r="Y284" s="120">
        <v>0.41910879629629627</v>
      </c>
      <c r="Z284" s="53">
        <v>0</v>
      </c>
      <c r="AA284" s="53">
        <v>0</v>
      </c>
      <c r="AB284" s="53">
        <v>0</v>
      </c>
      <c r="AC284" s="30">
        <f t="shared" si="198"/>
        <v>11.427199999999999</v>
      </c>
    </row>
    <row r="285" spans="16:29" x14ac:dyDescent="0.25">
      <c r="P285" s="53">
        <v>1</v>
      </c>
      <c r="Q285" s="53" t="s">
        <v>16</v>
      </c>
      <c r="R285" s="53">
        <v>14560</v>
      </c>
      <c r="S285" s="53">
        <v>224</v>
      </c>
      <c r="T285" s="53">
        <v>2</v>
      </c>
      <c r="U285" s="53">
        <v>2</v>
      </c>
      <c r="V285" s="53">
        <v>180.23</v>
      </c>
      <c r="W285" s="119">
        <v>11.419</v>
      </c>
      <c r="X285" s="54">
        <v>45318</v>
      </c>
      <c r="Y285" s="120">
        <v>0.45263888888888887</v>
      </c>
      <c r="Z285" s="53">
        <v>0</v>
      </c>
      <c r="AA285" s="53">
        <v>0</v>
      </c>
      <c r="AB285" s="53">
        <v>0</v>
      </c>
      <c r="AC285" s="30">
        <f>AC284</f>
        <v>11.427199999999999</v>
      </c>
    </row>
    <row r="286" spans="16:29" x14ac:dyDescent="0.25">
      <c r="P286" s="53">
        <v>2</v>
      </c>
      <c r="Q286" s="53" t="s">
        <v>16</v>
      </c>
      <c r="R286" s="53">
        <v>14560</v>
      </c>
      <c r="S286" s="53">
        <v>224</v>
      </c>
      <c r="T286" s="53">
        <v>2</v>
      </c>
      <c r="U286" s="53">
        <v>2</v>
      </c>
      <c r="V286" s="53">
        <v>179.71</v>
      </c>
      <c r="W286" s="119">
        <v>11.452</v>
      </c>
      <c r="X286" s="54">
        <v>45318</v>
      </c>
      <c r="Y286" s="120">
        <v>0.48615740740740737</v>
      </c>
      <c r="Z286" s="53">
        <v>0</v>
      </c>
      <c r="AA286" s="53">
        <v>0</v>
      </c>
      <c r="AB286" s="53">
        <v>0</v>
      </c>
      <c r="AC286" s="30">
        <f>AC285</f>
        <v>11.427199999999999</v>
      </c>
    </row>
    <row r="287" spans="16:29" x14ac:dyDescent="0.25">
      <c r="P287" s="53">
        <v>3</v>
      </c>
      <c r="Q287" s="53" t="s">
        <v>16</v>
      </c>
      <c r="R287" s="53">
        <v>14560</v>
      </c>
      <c r="S287" s="53">
        <v>224</v>
      </c>
      <c r="T287" s="53">
        <v>2</v>
      </c>
      <c r="U287" s="53">
        <v>2</v>
      </c>
      <c r="V287" s="53">
        <v>180.1</v>
      </c>
      <c r="W287" s="119">
        <v>11.428000000000001</v>
      </c>
      <c r="X287" s="54">
        <v>45318</v>
      </c>
      <c r="Y287" s="120">
        <v>0.51968749999999997</v>
      </c>
      <c r="Z287" s="53">
        <v>0</v>
      </c>
      <c r="AA287" s="53">
        <v>0</v>
      </c>
      <c r="AB287" s="53">
        <v>0</v>
      </c>
      <c r="AC287" s="30">
        <f>AC286</f>
        <v>11.427199999999999</v>
      </c>
    </row>
    <row r="288" spans="16:29" x14ac:dyDescent="0.25">
      <c r="P288" s="53">
        <v>4</v>
      </c>
      <c r="Q288" s="53" t="s">
        <v>16</v>
      </c>
      <c r="R288" s="53">
        <v>14560</v>
      </c>
      <c r="S288" s="53">
        <v>224</v>
      </c>
      <c r="T288" s="53">
        <v>2</v>
      </c>
      <c r="U288" s="53">
        <v>2</v>
      </c>
      <c r="V288" s="53">
        <v>180.12</v>
      </c>
      <c r="W288" s="119">
        <v>11.426</v>
      </c>
      <c r="X288" s="54">
        <v>45318</v>
      </c>
      <c r="Y288" s="120">
        <v>0.55320601851851847</v>
      </c>
      <c r="Z288" s="53">
        <v>0</v>
      </c>
      <c r="AA288" s="53">
        <v>0</v>
      </c>
      <c r="AB288" s="53">
        <v>0</v>
      </c>
      <c r="AC288" s="30">
        <f>AC287</f>
        <v>11.427199999999999</v>
      </c>
    </row>
    <row r="289" spans="16:29" x14ac:dyDescent="0.25">
      <c r="P289" s="53">
        <v>0</v>
      </c>
      <c r="Q289" s="53" t="s">
        <v>16</v>
      </c>
      <c r="R289" s="53">
        <v>14616</v>
      </c>
      <c r="S289" s="53">
        <v>232</v>
      </c>
      <c r="T289" s="53">
        <v>2</v>
      </c>
      <c r="U289" s="53">
        <v>2</v>
      </c>
      <c r="V289" s="53">
        <v>182.89</v>
      </c>
      <c r="W289" s="119">
        <v>11.382999999999999</v>
      </c>
      <c r="X289" s="54">
        <v>45318</v>
      </c>
      <c r="Y289" s="120">
        <v>0.42193287037037036</v>
      </c>
      <c r="Z289" s="53">
        <v>0</v>
      </c>
      <c r="AA289" s="53">
        <v>0</v>
      </c>
      <c r="AB289" s="53">
        <v>0</v>
      </c>
      <c r="AC289" s="30">
        <f t="shared" si="199"/>
        <v>11.372</v>
      </c>
    </row>
    <row r="290" spans="16:29" x14ac:dyDescent="0.25">
      <c r="P290" s="53">
        <v>1</v>
      </c>
      <c r="Q290" s="53" t="s">
        <v>16</v>
      </c>
      <c r="R290" s="53">
        <v>14616</v>
      </c>
      <c r="S290" s="53">
        <v>232</v>
      </c>
      <c r="T290" s="53">
        <v>2</v>
      </c>
      <c r="U290" s="53">
        <v>2</v>
      </c>
      <c r="V290" s="53">
        <v>182.88</v>
      </c>
      <c r="W290" s="119">
        <v>11.384</v>
      </c>
      <c r="X290" s="54">
        <v>45318</v>
      </c>
      <c r="Y290" s="120">
        <v>0.45545138888888892</v>
      </c>
      <c r="Z290" s="53">
        <v>0</v>
      </c>
      <c r="AA290" s="53">
        <v>0</v>
      </c>
      <c r="AB290" s="53">
        <v>0</v>
      </c>
      <c r="AC290" s="30">
        <f>AC289</f>
        <v>11.372</v>
      </c>
    </row>
    <row r="291" spans="16:29" x14ac:dyDescent="0.25">
      <c r="P291" s="53">
        <v>2</v>
      </c>
      <c r="Q291" s="53" t="s">
        <v>16</v>
      </c>
      <c r="R291" s="53">
        <v>14616</v>
      </c>
      <c r="S291" s="53">
        <v>232</v>
      </c>
      <c r="T291" s="53">
        <v>2</v>
      </c>
      <c r="U291" s="53">
        <v>2</v>
      </c>
      <c r="V291" s="53">
        <v>184.08</v>
      </c>
      <c r="W291" s="119">
        <v>11.31</v>
      </c>
      <c r="X291" s="54">
        <v>45318</v>
      </c>
      <c r="Y291" s="120">
        <v>0.48899305555555556</v>
      </c>
      <c r="Z291" s="53">
        <v>0</v>
      </c>
      <c r="AA291" s="53">
        <v>0</v>
      </c>
      <c r="AB291" s="53">
        <v>0</v>
      </c>
      <c r="AC291" s="30">
        <f>AC290</f>
        <v>11.372</v>
      </c>
    </row>
    <row r="292" spans="16:29" x14ac:dyDescent="0.25">
      <c r="P292" s="53">
        <v>3</v>
      </c>
      <c r="Q292" s="53" t="s">
        <v>16</v>
      </c>
      <c r="R292" s="53">
        <v>14616</v>
      </c>
      <c r="S292" s="53">
        <v>232</v>
      </c>
      <c r="T292" s="53">
        <v>2</v>
      </c>
      <c r="U292" s="53">
        <v>2</v>
      </c>
      <c r="V292" s="53">
        <v>182.67</v>
      </c>
      <c r="W292" s="119">
        <v>11.397</v>
      </c>
      <c r="X292" s="54">
        <v>45318</v>
      </c>
      <c r="Y292" s="120">
        <v>0.52251157407407411</v>
      </c>
      <c r="Z292" s="53">
        <v>0</v>
      </c>
      <c r="AA292" s="53">
        <v>0</v>
      </c>
      <c r="AB292" s="53">
        <v>0</v>
      </c>
      <c r="AC292" s="30">
        <f>AC291</f>
        <v>11.372</v>
      </c>
    </row>
    <row r="293" spans="16:29" x14ac:dyDescent="0.25">
      <c r="P293" s="53">
        <v>4</v>
      </c>
      <c r="Q293" s="53" t="s">
        <v>16</v>
      </c>
      <c r="R293" s="53">
        <v>14616</v>
      </c>
      <c r="S293" s="53">
        <v>232</v>
      </c>
      <c r="T293" s="53">
        <v>2</v>
      </c>
      <c r="U293" s="53">
        <v>2</v>
      </c>
      <c r="V293" s="53">
        <v>182.86</v>
      </c>
      <c r="W293" s="119">
        <v>11.385999999999999</v>
      </c>
      <c r="X293" s="54">
        <v>45318</v>
      </c>
      <c r="Y293" s="120">
        <v>0.55601851851851858</v>
      </c>
      <c r="Z293" s="53">
        <v>0</v>
      </c>
      <c r="AA293" s="53">
        <v>0</v>
      </c>
      <c r="AB293" s="53">
        <v>0</v>
      </c>
      <c r="AC293" s="30">
        <f>AC292</f>
        <v>11.372</v>
      </c>
    </row>
    <row r="294" spans="16:29" x14ac:dyDescent="0.25">
      <c r="P294" s="53">
        <v>0</v>
      </c>
      <c r="Q294" s="53" t="s">
        <v>16</v>
      </c>
      <c r="R294" s="53">
        <v>14640</v>
      </c>
      <c r="S294" s="53">
        <v>240</v>
      </c>
      <c r="T294" s="53">
        <v>2</v>
      </c>
      <c r="U294" s="53">
        <v>2</v>
      </c>
      <c r="V294" s="53">
        <v>184.14</v>
      </c>
      <c r="W294" s="119">
        <v>11.362</v>
      </c>
      <c r="X294" s="54">
        <v>45318</v>
      </c>
      <c r="Y294" s="120">
        <v>0.42476851851851855</v>
      </c>
      <c r="Z294" s="53">
        <v>0</v>
      </c>
      <c r="AA294" s="53">
        <v>0</v>
      </c>
      <c r="AB294" s="53">
        <v>0</v>
      </c>
      <c r="AC294" s="30">
        <f t="shared" si="198"/>
        <v>11.355</v>
      </c>
    </row>
    <row r="295" spans="16:29" x14ac:dyDescent="0.25">
      <c r="P295" s="53">
        <v>1</v>
      </c>
      <c r="Q295" s="53" t="s">
        <v>16</v>
      </c>
      <c r="R295" s="53">
        <v>14640</v>
      </c>
      <c r="S295" s="53">
        <v>240</v>
      </c>
      <c r="T295" s="53">
        <v>2</v>
      </c>
      <c r="U295" s="53">
        <v>2</v>
      </c>
      <c r="V295" s="53">
        <v>184.49</v>
      </c>
      <c r="W295" s="119">
        <v>11.34</v>
      </c>
      <c r="X295" s="54">
        <v>45318</v>
      </c>
      <c r="Y295" s="120">
        <v>0.45829861111111114</v>
      </c>
      <c r="Z295" s="53">
        <v>0</v>
      </c>
      <c r="AA295" s="53">
        <v>0</v>
      </c>
      <c r="AB295" s="53">
        <v>0</v>
      </c>
      <c r="AC295" s="30">
        <f>AC294</f>
        <v>11.355</v>
      </c>
    </row>
    <row r="296" spans="16:29" x14ac:dyDescent="0.25">
      <c r="P296" s="53">
        <v>2</v>
      </c>
      <c r="Q296" s="53" t="s">
        <v>16</v>
      </c>
      <c r="R296" s="53">
        <v>14640</v>
      </c>
      <c r="S296" s="53">
        <v>240</v>
      </c>
      <c r="T296" s="53">
        <v>2</v>
      </c>
      <c r="U296" s="53">
        <v>2</v>
      </c>
      <c r="V296" s="53">
        <v>184.25</v>
      </c>
      <c r="W296" s="119">
        <v>11.355</v>
      </c>
      <c r="X296" s="54">
        <v>45318</v>
      </c>
      <c r="Y296" s="120">
        <v>0.49182870370370368</v>
      </c>
      <c r="Z296" s="53">
        <v>0</v>
      </c>
      <c r="AA296" s="53">
        <v>0</v>
      </c>
      <c r="AB296" s="53">
        <v>0</v>
      </c>
      <c r="AC296" s="30">
        <f>AC295</f>
        <v>11.355</v>
      </c>
    </row>
    <row r="297" spans="16:29" x14ac:dyDescent="0.25">
      <c r="P297" s="53">
        <v>3</v>
      </c>
      <c r="Q297" s="53" t="s">
        <v>16</v>
      </c>
      <c r="R297" s="53">
        <v>14640</v>
      </c>
      <c r="S297" s="53">
        <v>240</v>
      </c>
      <c r="T297" s="53">
        <v>2</v>
      </c>
      <c r="U297" s="53">
        <v>2</v>
      </c>
      <c r="V297" s="53">
        <v>184.64</v>
      </c>
      <c r="W297" s="119">
        <v>11.331</v>
      </c>
      <c r="X297" s="54">
        <v>45318</v>
      </c>
      <c r="Y297" s="120">
        <v>0.52534722222222219</v>
      </c>
      <c r="Z297" s="53">
        <v>0</v>
      </c>
      <c r="AA297" s="53">
        <v>0</v>
      </c>
      <c r="AB297" s="53">
        <v>0</v>
      </c>
      <c r="AC297" s="30">
        <f>AC296</f>
        <v>11.355</v>
      </c>
    </row>
    <row r="298" spans="16:29" x14ac:dyDescent="0.25">
      <c r="P298" s="53">
        <v>4</v>
      </c>
      <c r="Q298" s="53" t="s">
        <v>16</v>
      </c>
      <c r="R298" s="53">
        <v>14640</v>
      </c>
      <c r="S298" s="53">
        <v>240</v>
      </c>
      <c r="T298" s="53">
        <v>2</v>
      </c>
      <c r="U298" s="53">
        <v>2</v>
      </c>
      <c r="V298" s="53">
        <v>183.73</v>
      </c>
      <c r="W298" s="119">
        <v>11.387</v>
      </c>
      <c r="X298" s="54">
        <v>45318</v>
      </c>
      <c r="Y298" s="120">
        <v>0.55885416666666665</v>
      </c>
      <c r="Z298" s="53">
        <v>0</v>
      </c>
      <c r="AA298" s="53">
        <v>0</v>
      </c>
      <c r="AB298" s="53">
        <v>0</v>
      </c>
      <c r="AC298" s="30">
        <f>AC297</f>
        <v>11.355</v>
      </c>
    </row>
    <row r="299" spans="16:29" x14ac:dyDescent="0.25">
      <c r="P299" s="53">
        <v>0</v>
      </c>
      <c r="Q299" s="53" t="s">
        <v>16</v>
      </c>
      <c r="R299" s="53">
        <v>14592</v>
      </c>
      <c r="S299" s="53">
        <v>256</v>
      </c>
      <c r="T299" s="53">
        <v>2</v>
      </c>
      <c r="U299" s="53">
        <v>2</v>
      </c>
      <c r="V299" s="53">
        <v>185.65</v>
      </c>
      <c r="W299" s="119">
        <v>11.159000000000001</v>
      </c>
      <c r="X299" s="54">
        <v>45318</v>
      </c>
      <c r="Y299" s="120">
        <v>0.42761574074074077</v>
      </c>
      <c r="Z299" s="53">
        <v>0</v>
      </c>
      <c r="AA299" s="53">
        <v>0</v>
      </c>
      <c r="AB299" s="53">
        <v>0</v>
      </c>
      <c r="AC299" s="30">
        <f t="shared" si="199"/>
        <v>11.162400000000002</v>
      </c>
    </row>
    <row r="300" spans="16:29" x14ac:dyDescent="0.25">
      <c r="P300" s="53">
        <v>1</v>
      </c>
      <c r="Q300" s="53" t="s">
        <v>16</v>
      </c>
      <c r="R300" s="53">
        <v>14592</v>
      </c>
      <c r="S300" s="53">
        <v>256</v>
      </c>
      <c r="T300" s="53">
        <v>2</v>
      </c>
      <c r="U300" s="53">
        <v>2</v>
      </c>
      <c r="V300" s="53">
        <v>185.44</v>
      </c>
      <c r="W300" s="119">
        <v>11.172000000000001</v>
      </c>
      <c r="X300" s="54">
        <v>45318</v>
      </c>
      <c r="Y300" s="120">
        <v>0.46114583333333337</v>
      </c>
      <c r="Z300" s="53">
        <v>0</v>
      </c>
      <c r="AA300" s="53">
        <v>0</v>
      </c>
      <c r="AB300" s="53">
        <v>0</v>
      </c>
      <c r="AC300" s="30">
        <f>AC299</f>
        <v>11.162400000000002</v>
      </c>
    </row>
    <row r="301" spans="16:29" x14ac:dyDescent="0.25">
      <c r="P301" s="53">
        <v>2</v>
      </c>
      <c r="Q301" s="53" t="s">
        <v>16</v>
      </c>
      <c r="R301" s="53">
        <v>14592</v>
      </c>
      <c r="S301" s="53">
        <v>256</v>
      </c>
      <c r="T301" s="53">
        <v>2</v>
      </c>
      <c r="U301" s="53">
        <v>2</v>
      </c>
      <c r="V301" s="53">
        <v>186.1</v>
      </c>
      <c r="W301" s="119">
        <v>11.132</v>
      </c>
      <c r="X301" s="54">
        <v>45318</v>
      </c>
      <c r="Y301" s="120">
        <v>0.4946875</v>
      </c>
      <c r="Z301" s="53">
        <v>0</v>
      </c>
      <c r="AA301" s="53">
        <v>0</v>
      </c>
      <c r="AB301" s="53">
        <v>0</v>
      </c>
      <c r="AC301" s="30">
        <f>AC300</f>
        <v>11.162400000000002</v>
      </c>
    </row>
    <row r="302" spans="16:29" x14ac:dyDescent="0.25">
      <c r="P302" s="53">
        <v>3</v>
      </c>
      <c r="Q302" s="53" t="s">
        <v>16</v>
      </c>
      <c r="R302" s="53">
        <v>14592</v>
      </c>
      <c r="S302" s="53">
        <v>256</v>
      </c>
      <c r="T302" s="53">
        <v>2</v>
      </c>
      <c r="U302" s="53">
        <v>2</v>
      </c>
      <c r="V302" s="53">
        <v>185.68</v>
      </c>
      <c r="W302" s="119">
        <v>11.157</v>
      </c>
      <c r="X302" s="54">
        <v>45318</v>
      </c>
      <c r="Y302" s="120">
        <v>0.52820601851851856</v>
      </c>
      <c r="Z302" s="53">
        <v>0</v>
      </c>
      <c r="AA302" s="53">
        <v>0</v>
      </c>
      <c r="AB302" s="53">
        <v>0</v>
      </c>
      <c r="AC302" s="30">
        <f>AC301</f>
        <v>11.162400000000002</v>
      </c>
    </row>
    <row r="303" spans="16:29" x14ac:dyDescent="0.25">
      <c r="P303" s="53">
        <v>4</v>
      </c>
      <c r="Q303" s="53" t="s">
        <v>16</v>
      </c>
      <c r="R303" s="53">
        <v>14592</v>
      </c>
      <c r="S303" s="53">
        <v>256</v>
      </c>
      <c r="T303" s="53">
        <v>2</v>
      </c>
      <c r="U303" s="53">
        <v>2</v>
      </c>
      <c r="V303" s="53">
        <v>185.11</v>
      </c>
      <c r="W303" s="119">
        <v>11.192</v>
      </c>
      <c r="X303" s="54">
        <v>45318</v>
      </c>
      <c r="Y303" s="120">
        <v>0.56170138888888888</v>
      </c>
      <c r="Z303" s="53">
        <v>0</v>
      </c>
      <c r="AA303" s="53">
        <v>0</v>
      </c>
      <c r="AB303" s="53">
        <v>0</v>
      </c>
      <c r="AC303" s="30">
        <f>AC302</f>
        <v>11.162400000000002</v>
      </c>
    </row>
  </sheetData>
  <sortState xmlns:xlrd2="http://schemas.microsoft.com/office/spreadsheetml/2017/richdata2" ref="A4:M243">
    <sortCondition ref="D4:D243"/>
    <sortCondition ref="E4:E243"/>
    <sortCondition ref="C4:C243"/>
    <sortCondition ref="A4:A243"/>
  </sortState>
  <mergeCells count="8">
    <mergeCell ref="AE1:AS1"/>
    <mergeCell ref="AU1:BI1"/>
    <mergeCell ref="AP2:AR2"/>
    <mergeCell ref="BF2:BH2"/>
    <mergeCell ref="A1:N1"/>
    <mergeCell ref="P1:AC1"/>
    <mergeCell ref="K2:M2"/>
    <mergeCell ref="Z2:AB2"/>
  </mergeCells>
  <conditionalFormatting sqref="O4 O124 O64">
    <cfRule type="colorScale" priority="9">
      <colorScale>
        <cfvo type="min"/>
        <cfvo type="percentile" val="50"/>
        <cfvo type="max"/>
        <color rgb="FFF8696B"/>
        <color rgb="FFFFEB84"/>
        <color rgb="FF63BE7B"/>
      </colorScale>
    </cfRule>
  </conditionalFormatting>
  <conditionalFormatting sqref="AS4:AS123 BI4:BI123 AC4:AC303 N4:N243">
    <cfRule type="colorScale" priority="41">
      <colorScale>
        <cfvo type="min"/>
        <cfvo type="percentile" val="50"/>
        <cfvo type="max"/>
        <color rgb="FFF8696B"/>
        <color rgb="FFFFEB84"/>
        <color rgb="FF63BE7B"/>
      </colorScale>
    </cfRule>
  </conditionalFormatting>
  <conditionalFormatting sqref="AT4:AT123">
    <cfRule type="colorScale" priority="7">
      <colorScale>
        <cfvo type="min"/>
        <cfvo type="percentile" val="50"/>
        <cfvo type="max"/>
        <color rgb="FFF8696B"/>
        <color rgb="FFFFEB84"/>
        <color rgb="FF63BE7B"/>
      </colorScale>
    </cfRule>
  </conditionalFormatting>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2C4F3-4597-404D-812B-25CAB82BF252}">
  <dimension ref="A1:BK308"/>
  <sheetViews>
    <sheetView zoomScaleNormal="100" workbookViewId="0">
      <selection activeCell="M4" sqref="M4:M63"/>
    </sheetView>
  </sheetViews>
  <sheetFormatPr defaultRowHeight="15" x14ac:dyDescent="0.25"/>
  <cols>
    <col min="2" max="5" width="9.140625" style="16"/>
    <col min="6" max="6" width="9.140625" style="30"/>
    <col min="9" max="12" width="9.140625" style="16"/>
    <col min="13" max="13" width="9.140625" style="30"/>
    <col min="15" max="15" width="9.140625" style="30"/>
    <col min="16" max="16" width="9.140625" style="17"/>
    <col min="25" max="25" width="9.140625" style="17"/>
    <col min="27" max="27" width="9.140625" style="37"/>
    <col min="31" max="31" width="9.140625" style="30"/>
    <col min="33" max="63" width="9.140625" style="125"/>
  </cols>
  <sheetData>
    <row r="1" spans="1:13" x14ac:dyDescent="0.25">
      <c r="B1" s="160" t="s">
        <v>339</v>
      </c>
      <c r="C1" s="160"/>
      <c r="D1" s="160"/>
      <c r="E1" s="160"/>
      <c r="F1" s="160"/>
      <c r="I1" s="160" t="s">
        <v>338</v>
      </c>
      <c r="J1" s="160"/>
      <c r="K1" s="160"/>
      <c r="L1" s="160"/>
      <c r="M1" s="160"/>
    </row>
    <row r="2" spans="1:13" x14ac:dyDescent="0.25">
      <c r="B2" s="135">
        <f>INDEX(B4:B500,MATCH(MAX(F4:F500),F4:F500,0))</f>
        <v>14560</v>
      </c>
      <c r="C2" s="135">
        <f>INDEX(C4:C500,MATCH(MAX(F4:F500),F4:F500,0))</f>
        <v>160</v>
      </c>
      <c r="D2" s="135">
        <f>INDEX(D4:D500,MATCH(MAX(F4:F500),F4:F500,0))</f>
        <v>2</v>
      </c>
      <c r="E2" s="135">
        <f>INDEX(E4:E500,MATCH(MAX(F4:F500),F4:F500,0))</f>
        <v>2</v>
      </c>
      <c r="F2" s="136">
        <f>MAX(F4:F500)</f>
        <v>10.793400000000002</v>
      </c>
      <c r="I2" s="135">
        <f>INDEX(I4:I500,MATCH(MAX(M4:M500),M4:M500,0))</f>
        <v>14592</v>
      </c>
      <c r="J2" s="135">
        <f>INDEX(J4:J500,MATCH(MAX(M4:M500),M4:M500,0))</f>
        <v>96</v>
      </c>
      <c r="K2" s="135">
        <f>INDEX(K4:K500,MATCH(MAX(M4:M500),M4:M500,0))</f>
        <v>1</v>
      </c>
      <c r="L2" s="135">
        <f>INDEX(L4:L500,MATCH(MAX(M4:M500),M4:M500,0))</f>
        <v>4</v>
      </c>
      <c r="M2" s="136">
        <f>MAX(M4:M500)</f>
        <v>11.5314</v>
      </c>
    </row>
    <row r="3" spans="1:13" x14ac:dyDescent="0.25">
      <c r="A3" s="138" t="s">
        <v>351</v>
      </c>
      <c r="B3" s="135" t="s">
        <v>5</v>
      </c>
      <c r="C3" s="135" t="s">
        <v>6</v>
      </c>
      <c r="D3" s="135" t="s">
        <v>7</v>
      </c>
      <c r="E3" s="135" t="s">
        <v>8</v>
      </c>
      <c r="F3" s="137" t="s">
        <v>333</v>
      </c>
      <c r="H3" s="138" t="s">
        <v>351</v>
      </c>
      <c r="I3" s="135" t="s">
        <v>5</v>
      </c>
      <c r="J3" s="135" t="s">
        <v>6</v>
      </c>
      <c r="K3" s="135" t="s">
        <v>7</v>
      </c>
      <c r="L3" s="135" t="s">
        <v>8</v>
      </c>
      <c r="M3" s="137" t="s">
        <v>333</v>
      </c>
    </row>
    <row r="4" spans="1:13" x14ac:dyDescent="0.25">
      <c r="A4">
        <f>CHOOSE(IF(ABS(B4-13056)&lt;=ABS(B4-13824),IF(ABS(B4-13056)&lt;=ABS(B4-14592),1,3),IF(ABS(B4-13824)&lt;=ABS(B4-14592),2,3)),13056,13824,14592)</f>
        <v>13056</v>
      </c>
      <c r="B4" s="16" cm="1">
        <f t="array" ref="B4:F308">_xlfn.CHOOSECOLS(_xlfn._xlws.FILTER('1 node, 933, params, RAW'!A4:N500,'1 node, 933, params, RAW'!A4:A500=0),3,4,5,6,14)</f>
        <v>13056</v>
      </c>
      <c r="C4" s="16">
        <v>32</v>
      </c>
      <c r="D4" s="16">
        <v>1</v>
      </c>
      <c r="E4" s="16">
        <v>4</v>
      </c>
      <c r="F4" s="30">
        <v>8.9505400000000002</v>
      </c>
      <c r="H4">
        <f>CHOOSE(IF(ABS(I4-13056)&lt;=ABS(I4-13824),IF(ABS(I4-13056)&lt;=ABS(I4-14592),1,3),IF(ABS(I4-13824)&lt;=ABS(I4-14592),2,3)),13056,13824,14592)</f>
        <v>13056</v>
      </c>
      <c r="I4" s="16" cm="1">
        <f t="array" ref="I4:M260">_xlfn.CHOOSECOLS(_xlfn._xlws.FILTER('1 node, 933, params, RAW'!P4:AC500,'1 node, 933, params, RAW'!P4:P500=0),3,4,5,6,14)</f>
        <v>13056</v>
      </c>
      <c r="J4" s="16">
        <v>32</v>
      </c>
      <c r="K4" s="16">
        <v>1</v>
      </c>
      <c r="L4" s="16">
        <v>4</v>
      </c>
      <c r="M4" s="30">
        <v>10.349599999999999</v>
      </c>
    </row>
    <row r="5" spans="1:13" x14ac:dyDescent="0.25">
      <c r="A5">
        <f t="shared" ref="A5:A68" si="0">CHOOSE(IF(ABS(B5-13056)&lt;=ABS(B5-13824),IF(ABS(B5-13056)&lt;=ABS(B5-14592),1,3),IF(ABS(B5-13824)&lt;=ABS(B5-14592),2,3)),13056,13824,14592)</f>
        <v>13824</v>
      </c>
      <c r="B5" s="16">
        <v>13824</v>
      </c>
      <c r="C5" s="16">
        <v>32</v>
      </c>
      <c r="D5" s="16">
        <v>1</v>
      </c>
      <c r="E5" s="16">
        <v>4</v>
      </c>
      <c r="F5" s="30">
        <v>8.0471600000000016</v>
      </c>
      <c r="H5">
        <f t="shared" ref="H5:H68" si="1">CHOOSE(IF(ABS(I5-13056)&lt;=ABS(I5-13824),IF(ABS(I5-13056)&lt;=ABS(I5-14592),1,3),IF(ABS(I5-13824)&lt;=ABS(I5-14592),2,3)),13056,13824,14592)</f>
        <v>13824</v>
      </c>
      <c r="I5" s="16">
        <v>13824</v>
      </c>
      <c r="J5" s="16">
        <v>32</v>
      </c>
      <c r="K5" s="16">
        <v>1</v>
      </c>
      <c r="L5" s="16">
        <v>4</v>
      </c>
      <c r="M5" s="30">
        <v>9.6231600000000004</v>
      </c>
    </row>
    <row r="6" spans="1:13" x14ac:dyDescent="0.25">
      <c r="A6">
        <f t="shared" si="0"/>
        <v>14592</v>
      </c>
      <c r="B6" s="16">
        <v>14592</v>
      </c>
      <c r="C6" s="16">
        <v>32</v>
      </c>
      <c r="D6" s="16">
        <v>1</v>
      </c>
      <c r="E6" s="16">
        <v>4</v>
      </c>
      <c r="F6" s="30">
        <v>9.0534400000000002</v>
      </c>
      <c r="H6">
        <f t="shared" si="1"/>
        <v>14592</v>
      </c>
      <c r="I6" s="16">
        <v>14592</v>
      </c>
      <c r="J6" s="16">
        <v>32</v>
      </c>
      <c r="K6" s="16">
        <v>1</v>
      </c>
      <c r="L6" s="16">
        <v>4</v>
      </c>
      <c r="M6" s="30">
        <v>10.3848</v>
      </c>
    </row>
    <row r="7" spans="1:13" x14ac:dyDescent="0.25">
      <c r="A7">
        <f t="shared" si="0"/>
        <v>13056</v>
      </c>
      <c r="B7" s="16">
        <v>13056</v>
      </c>
      <c r="C7" s="16">
        <v>32</v>
      </c>
      <c r="D7" s="16">
        <v>2</v>
      </c>
      <c r="E7" s="16">
        <v>2</v>
      </c>
      <c r="F7" s="30">
        <v>8.9427199999999996</v>
      </c>
      <c r="H7">
        <f t="shared" si="1"/>
        <v>13056</v>
      </c>
      <c r="I7" s="16">
        <v>13056</v>
      </c>
      <c r="J7" s="16">
        <v>32</v>
      </c>
      <c r="K7" s="16">
        <v>2</v>
      </c>
      <c r="L7" s="16">
        <v>2</v>
      </c>
      <c r="M7" s="30">
        <v>10.448199999999998</v>
      </c>
    </row>
    <row r="8" spans="1:13" x14ac:dyDescent="0.25">
      <c r="A8">
        <f t="shared" si="0"/>
        <v>13824</v>
      </c>
      <c r="B8" s="16">
        <v>13824</v>
      </c>
      <c r="C8" s="16">
        <v>32</v>
      </c>
      <c r="D8" s="16">
        <v>2</v>
      </c>
      <c r="E8" s="16">
        <v>2</v>
      </c>
      <c r="F8" s="30">
        <v>8.9078799999999987</v>
      </c>
      <c r="H8">
        <f t="shared" si="1"/>
        <v>13824</v>
      </c>
      <c r="I8" s="16">
        <v>13824</v>
      </c>
      <c r="J8" s="16">
        <v>32</v>
      </c>
      <c r="K8" s="16">
        <v>2</v>
      </c>
      <c r="L8" s="16">
        <v>2</v>
      </c>
      <c r="M8" s="30">
        <v>10.4068</v>
      </c>
    </row>
    <row r="9" spans="1:13" x14ac:dyDescent="0.25">
      <c r="A9">
        <f t="shared" si="0"/>
        <v>14592</v>
      </c>
      <c r="B9" s="16">
        <v>14592</v>
      </c>
      <c r="C9" s="16">
        <v>32</v>
      </c>
      <c r="D9" s="16">
        <v>2</v>
      </c>
      <c r="E9" s="16">
        <v>2</v>
      </c>
      <c r="F9" s="30">
        <v>9.0344999999999995</v>
      </c>
      <c r="H9">
        <f t="shared" si="1"/>
        <v>14592</v>
      </c>
      <c r="I9" s="16">
        <v>14592</v>
      </c>
      <c r="J9" s="16">
        <v>32</v>
      </c>
      <c r="K9" s="16">
        <v>2</v>
      </c>
      <c r="L9" s="16">
        <v>2</v>
      </c>
      <c r="M9" s="30">
        <v>10.5428</v>
      </c>
    </row>
    <row r="10" spans="1:13" x14ac:dyDescent="0.25">
      <c r="A10">
        <f t="shared" si="0"/>
        <v>13056</v>
      </c>
      <c r="B10" s="16">
        <v>13056</v>
      </c>
      <c r="C10" s="16">
        <v>64</v>
      </c>
      <c r="D10" s="16">
        <v>1</v>
      </c>
      <c r="E10" s="16">
        <v>4</v>
      </c>
      <c r="F10" s="30">
        <v>9.965819999999999</v>
      </c>
      <c r="H10">
        <f t="shared" si="1"/>
        <v>13056</v>
      </c>
      <c r="I10" s="16">
        <v>13056</v>
      </c>
      <c r="J10" s="16">
        <v>64</v>
      </c>
      <c r="K10" s="16">
        <v>1</v>
      </c>
      <c r="L10" s="16">
        <v>4</v>
      </c>
      <c r="M10" s="30">
        <v>11.176399999999997</v>
      </c>
    </row>
    <row r="11" spans="1:13" x14ac:dyDescent="0.25">
      <c r="A11">
        <f t="shared" si="0"/>
        <v>13824</v>
      </c>
      <c r="B11" s="16">
        <v>13824</v>
      </c>
      <c r="C11" s="16">
        <v>64</v>
      </c>
      <c r="D11" s="16">
        <v>1</v>
      </c>
      <c r="E11" s="16">
        <v>4</v>
      </c>
      <c r="F11" s="30">
        <v>9.0016999999999996</v>
      </c>
      <c r="H11">
        <f t="shared" si="1"/>
        <v>13824</v>
      </c>
      <c r="I11" s="16">
        <v>13824</v>
      </c>
      <c r="J11" s="16">
        <v>64</v>
      </c>
      <c r="K11" s="16">
        <v>1</v>
      </c>
      <c r="L11" s="16">
        <v>4</v>
      </c>
      <c r="M11" s="30">
        <v>10.5632</v>
      </c>
    </row>
    <row r="12" spans="1:13" x14ac:dyDescent="0.25">
      <c r="A12">
        <f t="shared" si="0"/>
        <v>14592</v>
      </c>
      <c r="B12" s="16">
        <v>14592</v>
      </c>
      <c r="C12" s="16">
        <v>64</v>
      </c>
      <c r="D12" s="16">
        <v>1</v>
      </c>
      <c r="E12" s="16">
        <v>4</v>
      </c>
      <c r="F12" s="30">
        <v>10.071940000000001</v>
      </c>
      <c r="H12">
        <f t="shared" si="1"/>
        <v>14592</v>
      </c>
      <c r="I12" s="16">
        <v>14592</v>
      </c>
      <c r="J12" s="16">
        <v>64</v>
      </c>
      <c r="K12" s="16">
        <v>1</v>
      </c>
      <c r="L12" s="16">
        <v>4</v>
      </c>
      <c r="M12" s="30">
        <v>11.2852</v>
      </c>
    </row>
    <row r="13" spans="1:13" x14ac:dyDescent="0.25">
      <c r="A13">
        <f t="shared" si="0"/>
        <v>13056</v>
      </c>
      <c r="B13" s="16">
        <v>13056</v>
      </c>
      <c r="C13" s="16">
        <v>64</v>
      </c>
      <c r="D13" s="16">
        <v>2</v>
      </c>
      <c r="E13" s="16">
        <v>2</v>
      </c>
      <c r="F13" s="30">
        <v>10.0122</v>
      </c>
      <c r="H13">
        <f t="shared" si="1"/>
        <v>13056</v>
      </c>
      <c r="I13" s="16">
        <v>13056</v>
      </c>
      <c r="J13" s="16">
        <v>64</v>
      </c>
      <c r="K13" s="16">
        <v>2</v>
      </c>
      <c r="L13" s="16">
        <v>2</v>
      </c>
      <c r="M13" s="30">
        <v>11.123999999999999</v>
      </c>
    </row>
    <row r="14" spans="1:13" x14ac:dyDescent="0.25">
      <c r="A14">
        <f t="shared" si="0"/>
        <v>13824</v>
      </c>
      <c r="B14" s="16">
        <v>13824</v>
      </c>
      <c r="C14" s="16">
        <v>64</v>
      </c>
      <c r="D14" s="16">
        <v>2</v>
      </c>
      <c r="E14" s="16">
        <v>2</v>
      </c>
      <c r="F14" s="30">
        <v>9.8649400000000007</v>
      </c>
      <c r="H14">
        <f t="shared" si="1"/>
        <v>13824</v>
      </c>
      <c r="I14" s="16">
        <v>13824</v>
      </c>
      <c r="J14" s="16">
        <v>64</v>
      </c>
      <c r="K14" s="16">
        <v>2</v>
      </c>
      <c r="L14" s="16">
        <v>2</v>
      </c>
      <c r="M14" s="30">
        <v>11.128399999999999</v>
      </c>
    </row>
    <row r="15" spans="1:13" x14ac:dyDescent="0.25">
      <c r="A15">
        <f t="shared" si="0"/>
        <v>14592</v>
      </c>
      <c r="B15" s="16">
        <v>14592</v>
      </c>
      <c r="C15" s="16">
        <v>64</v>
      </c>
      <c r="D15" s="16">
        <v>2</v>
      </c>
      <c r="E15" s="16">
        <v>2</v>
      </c>
      <c r="F15" s="30">
        <v>10.1334</v>
      </c>
      <c r="H15">
        <f t="shared" si="1"/>
        <v>14592</v>
      </c>
      <c r="I15" s="16">
        <v>14592</v>
      </c>
      <c r="J15" s="16">
        <v>64</v>
      </c>
      <c r="K15" s="16">
        <v>2</v>
      </c>
      <c r="L15" s="16">
        <v>2</v>
      </c>
      <c r="M15" s="30">
        <v>11.250200000000001</v>
      </c>
    </row>
    <row r="16" spans="1:13" x14ac:dyDescent="0.25">
      <c r="A16">
        <f t="shared" si="0"/>
        <v>13056</v>
      </c>
      <c r="B16" s="16">
        <v>13056</v>
      </c>
      <c r="C16" s="16">
        <v>96</v>
      </c>
      <c r="D16" s="16">
        <v>1</v>
      </c>
      <c r="E16" s="16">
        <v>4</v>
      </c>
      <c r="F16" s="30">
        <v>9.9669200000000018</v>
      </c>
      <c r="H16">
        <f t="shared" si="1"/>
        <v>13056</v>
      </c>
      <c r="I16" s="16">
        <v>13056</v>
      </c>
      <c r="J16" s="16">
        <v>96</v>
      </c>
      <c r="K16" s="16">
        <v>1</v>
      </c>
      <c r="L16" s="16">
        <v>4</v>
      </c>
      <c r="M16" s="30">
        <v>11.409600000000001</v>
      </c>
    </row>
    <row r="17" spans="1:13" x14ac:dyDescent="0.25">
      <c r="A17">
        <f t="shared" si="0"/>
        <v>13824</v>
      </c>
      <c r="B17" s="16">
        <v>13824</v>
      </c>
      <c r="C17" s="16">
        <v>96</v>
      </c>
      <c r="D17" s="16">
        <v>1</v>
      </c>
      <c r="E17" s="16">
        <v>4</v>
      </c>
      <c r="F17" s="30">
        <v>8.9986999999999995</v>
      </c>
      <c r="H17">
        <f t="shared" si="1"/>
        <v>13824</v>
      </c>
      <c r="I17" s="16">
        <v>13824</v>
      </c>
      <c r="J17" s="16">
        <v>96</v>
      </c>
      <c r="K17" s="16">
        <v>1</v>
      </c>
      <c r="L17" s="16">
        <v>4</v>
      </c>
      <c r="M17" s="30">
        <v>11.148399999999999</v>
      </c>
    </row>
    <row r="18" spans="1:13" x14ac:dyDescent="0.25">
      <c r="A18">
        <f t="shared" si="0"/>
        <v>14592</v>
      </c>
      <c r="B18" s="16">
        <v>14592</v>
      </c>
      <c r="C18" s="16">
        <v>96</v>
      </c>
      <c r="D18" s="16">
        <v>1</v>
      </c>
      <c r="E18" s="16">
        <v>4</v>
      </c>
      <c r="F18" s="30">
        <v>10.1142</v>
      </c>
      <c r="H18">
        <f t="shared" si="1"/>
        <v>14592</v>
      </c>
      <c r="I18" s="16">
        <v>14592</v>
      </c>
      <c r="J18" s="16">
        <v>96</v>
      </c>
      <c r="K18" s="16">
        <v>1</v>
      </c>
      <c r="L18" s="16">
        <v>4</v>
      </c>
      <c r="M18" s="30">
        <v>11.5314</v>
      </c>
    </row>
    <row r="19" spans="1:13" x14ac:dyDescent="0.25">
      <c r="A19">
        <f t="shared" si="0"/>
        <v>13056</v>
      </c>
      <c r="B19" s="16">
        <v>13056</v>
      </c>
      <c r="C19" s="16">
        <v>96</v>
      </c>
      <c r="D19" s="16">
        <v>2</v>
      </c>
      <c r="E19" s="16">
        <v>2</v>
      </c>
      <c r="F19" s="30">
        <v>10.223800000000001</v>
      </c>
      <c r="H19">
        <f t="shared" si="1"/>
        <v>13056</v>
      </c>
      <c r="I19" s="16">
        <v>13056</v>
      </c>
      <c r="J19" s="16">
        <v>96</v>
      </c>
      <c r="K19" s="16">
        <v>2</v>
      </c>
      <c r="L19" s="16">
        <v>2</v>
      </c>
      <c r="M19" s="30">
        <v>11.382400000000001</v>
      </c>
    </row>
    <row r="20" spans="1:13" x14ac:dyDescent="0.25">
      <c r="A20">
        <f t="shared" si="0"/>
        <v>13824</v>
      </c>
      <c r="B20" s="16">
        <v>13824</v>
      </c>
      <c r="C20" s="16">
        <v>96</v>
      </c>
      <c r="D20" s="16">
        <v>2</v>
      </c>
      <c r="E20" s="16">
        <v>2</v>
      </c>
      <c r="F20" s="30">
        <v>10.0684</v>
      </c>
      <c r="H20">
        <f t="shared" si="1"/>
        <v>13824</v>
      </c>
      <c r="I20" s="16">
        <v>13824</v>
      </c>
      <c r="J20" s="16">
        <v>96</v>
      </c>
      <c r="K20" s="16">
        <v>2</v>
      </c>
      <c r="L20" s="16">
        <v>2</v>
      </c>
      <c r="M20" s="30">
        <v>11.405799999999999</v>
      </c>
    </row>
    <row r="21" spans="1:13" x14ac:dyDescent="0.25">
      <c r="A21">
        <f t="shared" si="0"/>
        <v>14592</v>
      </c>
      <c r="B21" s="16">
        <v>14592</v>
      </c>
      <c r="C21" s="16">
        <v>96</v>
      </c>
      <c r="D21" s="16">
        <v>2</v>
      </c>
      <c r="E21" s="16">
        <v>2</v>
      </c>
      <c r="F21" s="30">
        <v>10.352600000000001</v>
      </c>
      <c r="H21">
        <f t="shared" si="1"/>
        <v>14592</v>
      </c>
      <c r="I21" s="16">
        <v>14592</v>
      </c>
      <c r="J21" s="16">
        <v>96</v>
      </c>
      <c r="K21" s="16">
        <v>2</v>
      </c>
      <c r="L21" s="16">
        <v>2</v>
      </c>
      <c r="M21" s="30">
        <v>11.512600000000001</v>
      </c>
    </row>
    <row r="22" spans="1:13" x14ac:dyDescent="0.25">
      <c r="A22">
        <f t="shared" si="0"/>
        <v>13056</v>
      </c>
      <c r="B22" s="16">
        <v>13056</v>
      </c>
      <c r="C22" s="16">
        <v>128</v>
      </c>
      <c r="D22" s="16">
        <v>1</v>
      </c>
      <c r="E22" s="16">
        <v>4</v>
      </c>
      <c r="F22" s="30">
        <v>10.1876</v>
      </c>
      <c r="H22">
        <f t="shared" si="1"/>
        <v>13056</v>
      </c>
      <c r="I22" s="16">
        <v>13056</v>
      </c>
      <c r="J22" s="16">
        <v>128</v>
      </c>
      <c r="K22" s="16">
        <v>1</v>
      </c>
      <c r="L22" s="16">
        <v>4</v>
      </c>
      <c r="M22" s="30">
        <v>11.110000000000001</v>
      </c>
    </row>
    <row r="23" spans="1:13" x14ac:dyDescent="0.25">
      <c r="A23">
        <f t="shared" si="0"/>
        <v>13824</v>
      </c>
      <c r="B23" s="16">
        <v>13824</v>
      </c>
      <c r="C23" s="16">
        <v>128</v>
      </c>
      <c r="D23" s="16">
        <v>1</v>
      </c>
      <c r="E23" s="16">
        <v>4</v>
      </c>
      <c r="F23" s="30">
        <v>9.2961600000000004</v>
      </c>
      <c r="H23">
        <f t="shared" si="1"/>
        <v>13824</v>
      </c>
      <c r="I23" s="16">
        <v>13824</v>
      </c>
      <c r="J23" s="16">
        <v>128</v>
      </c>
      <c r="K23" s="16">
        <v>1</v>
      </c>
      <c r="L23" s="16">
        <v>4</v>
      </c>
      <c r="M23" s="30">
        <v>10.539</v>
      </c>
    </row>
    <row r="24" spans="1:13" x14ac:dyDescent="0.25">
      <c r="A24">
        <f t="shared" si="0"/>
        <v>14592</v>
      </c>
      <c r="B24" s="16">
        <v>14592</v>
      </c>
      <c r="C24" s="16">
        <v>128</v>
      </c>
      <c r="D24" s="16">
        <v>1</v>
      </c>
      <c r="E24" s="16">
        <v>4</v>
      </c>
      <c r="F24" s="30">
        <v>10.334199999999999</v>
      </c>
      <c r="H24">
        <f t="shared" si="1"/>
        <v>14592</v>
      </c>
      <c r="I24" s="16">
        <v>14592</v>
      </c>
      <c r="J24" s="16">
        <v>128</v>
      </c>
      <c r="K24" s="16">
        <v>1</v>
      </c>
      <c r="L24" s="16">
        <v>4</v>
      </c>
      <c r="M24" s="30">
        <v>11.233599999999999</v>
      </c>
    </row>
    <row r="25" spans="1:13" x14ac:dyDescent="0.25">
      <c r="A25">
        <f t="shared" si="0"/>
        <v>13056</v>
      </c>
      <c r="B25" s="16">
        <v>13056</v>
      </c>
      <c r="C25" s="16">
        <v>128</v>
      </c>
      <c r="D25" s="16">
        <v>2</v>
      </c>
      <c r="E25" s="16">
        <v>2</v>
      </c>
      <c r="F25" s="30">
        <v>10.4034</v>
      </c>
      <c r="H25">
        <f t="shared" si="1"/>
        <v>13056</v>
      </c>
      <c r="I25" s="16">
        <v>13056</v>
      </c>
      <c r="J25" s="16">
        <v>128</v>
      </c>
      <c r="K25" s="16">
        <v>2</v>
      </c>
      <c r="L25" s="16">
        <v>2</v>
      </c>
      <c r="M25" s="30">
        <v>11.1098</v>
      </c>
    </row>
    <row r="26" spans="1:13" x14ac:dyDescent="0.25">
      <c r="A26">
        <f t="shared" si="0"/>
        <v>13824</v>
      </c>
      <c r="B26" s="16">
        <v>13824</v>
      </c>
      <c r="C26" s="16">
        <v>128</v>
      </c>
      <c r="D26" s="16">
        <v>2</v>
      </c>
      <c r="E26" s="16">
        <v>2</v>
      </c>
      <c r="F26" s="30">
        <v>10.2494</v>
      </c>
      <c r="H26">
        <f t="shared" si="1"/>
        <v>13824</v>
      </c>
      <c r="I26" s="16">
        <v>13824</v>
      </c>
      <c r="J26" s="16">
        <v>128</v>
      </c>
      <c r="K26" s="16">
        <v>2</v>
      </c>
      <c r="L26" s="16">
        <v>2</v>
      </c>
      <c r="M26" s="30">
        <v>11.1296</v>
      </c>
    </row>
    <row r="27" spans="1:13" x14ac:dyDescent="0.25">
      <c r="A27">
        <f t="shared" si="0"/>
        <v>14592</v>
      </c>
      <c r="B27" s="16">
        <v>14592</v>
      </c>
      <c r="C27" s="16">
        <v>128</v>
      </c>
      <c r="D27" s="16">
        <v>2</v>
      </c>
      <c r="E27" s="16">
        <v>2</v>
      </c>
      <c r="F27" s="30">
        <v>10.5212</v>
      </c>
      <c r="H27">
        <f t="shared" si="1"/>
        <v>14592</v>
      </c>
      <c r="I27" s="16">
        <v>14592</v>
      </c>
      <c r="J27" s="16">
        <v>128</v>
      </c>
      <c r="K27" s="16">
        <v>2</v>
      </c>
      <c r="L27" s="16">
        <v>2</v>
      </c>
      <c r="M27" s="30">
        <v>11.263200000000001</v>
      </c>
    </row>
    <row r="28" spans="1:13" x14ac:dyDescent="0.25">
      <c r="A28">
        <f t="shared" si="0"/>
        <v>13056</v>
      </c>
      <c r="B28" s="16">
        <v>12960</v>
      </c>
      <c r="C28" s="16">
        <v>160</v>
      </c>
      <c r="D28" s="16">
        <v>1</v>
      </c>
      <c r="E28" s="16">
        <v>4</v>
      </c>
      <c r="F28" s="30">
        <v>10.572199999999999</v>
      </c>
      <c r="H28">
        <f t="shared" si="1"/>
        <v>13056</v>
      </c>
      <c r="I28" s="16">
        <v>12960</v>
      </c>
      <c r="J28" s="16">
        <v>160</v>
      </c>
      <c r="K28" s="16">
        <v>1</v>
      </c>
      <c r="L28" s="16">
        <v>4</v>
      </c>
      <c r="M28" s="30">
        <v>11.209600000000002</v>
      </c>
    </row>
    <row r="29" spans="1:13" x14ac:dyDescent="0.25">
      <c r="A29">
        <f t="shared" si="0"/>
        <v>13824</v>
      </c>
      <c r="B29" s="16">
        <v>13760</v>
      </c>
      <c r="C29" s="16">
        <v>160</v>
      </c>
      <c r="D29" s="16">
        <v>1</v>
      </c>
      <c r="E29" s="16">
        <v>4</v>
      </c>
      <c r="F29" s="30">
        <v>10.6022</v>
      </c>
      <c r="H29">
        <f t="shared" si="1"/>
        <v>13824</v>
      </c>
      <c r="I29" s="16">
        <v>13760</v>
      </c>
      <c r="J29" s="16">
        <v>160</v>
      </c>
      <c r="K29" s="16">
        <v>1</v>
      </c>
      <c r="L29" s="16">
        <v>4</v>
      </c>
      <c r="M29" s="30">
        <v>11.273599999999998</v>
      </c>
    </row>
    <row r="30" spans="1:13" x14ac:dyDescent="0.25">
      <c r="A30">
        <f t="shared" si="0"/>
        <v>14592</v>
      </c>
      <c r="B30" s="16">
        <v>14560</v>
      </c>
      <c r="C30" s="16">
        <v>160</v>
      </c>
      <c r="D30" s="16">
        <v>1</v>
      </c>
      <c r="E30" s="16">
        <v>4</v>
      </c>
      <c r="F30" s="30">
        <v>10.5938</v>
      </c>
      <c r="H30">
        <f t="shared" si="1"/>
        <v>14592</v>
      </c>
      <c r="I30" s="16">
        <v>14560</v>
      </c>
      <c r="J30" s="16">
        <v>160</v>
      </c>
      <c r="K30" s="16">
        <v>1</v>
      </c>
      <c r="L30" s="16">
        <v>4</v>
      </c>
      <c r="M30" s="30">
        <v>11.323399999999999</v>
      </c>
    </row>
    <row r="31" spans="1:13" x14ac:dyDescent="0.25">
      <c r="A31">
        <f t="shared" si="0"/>
        <v>13056</v>
      </c>
      <c r="B31" s="16">
        <v>12960</v>
      </c>
      <c r="C31" s="16">
        <v>160</v>
      </c>
      <c r="D31" s="16">
        <v>2</v>
      </c>
      <c r="E31" s="16">
        <v>2</v>
      </c>
      <c r="F31" s="30">
        <v>10.601800000000001</v>
      </c>
      <c r="H31">
        <f t="shared" si="1"/>
        <v>13056</v>
      </c>
      <c r="I31" s="16">
        <v>12960</v>
      </c>
      <c r="J31" s="16">
        <v>160</v>
      </c>
      <c r="K31" s="16">
        <v>2</v>
      </c>
      <c r="L31" s="16">
        <v>2</v>
      </c>
      <c r="M31" s="30">
        <v>11.266399999999999</v>
      </c>
    </row>
    <row r="32" spans="1:13" x14ac:dyDescent="0.25">
      <c r="A32">
        <f t="shared" si="0"/>
        <v>13824</v>
      </c>
      <c r="B32" s="16">
        <v>13760</v>
      </c>
      <c r="C32" s="16">
        <v>160</v>
      </c>
      <c r="D32" s="16">
        <v>2</v>
      </c>
      <c r="E32" s="16">
        <v>2</v>
      </c>
      <c r="F32" s="30">
        <v>10.719999999999999</v>
      </c>
      <c r="H32">
        <f t="shared" si="1"/>
        <v>13824</v>
      </c>
      <c r="I32" s="16">
        <v>13760</v>
      </c>
      <c r="J32" s="16">
        <v>160</v>
      </c>
      <c r="K32" s="16">
        <v>2</v>
      </c>
      <c r="L32" s="16">
        <v>2</v>
      </c>
      <c r="M32" s="30">
        <v>11.3308</v>
      </c>
    </row>
    <row r="33" spans="1:13" x14ac:dyDescent="0.25">
      <c r="A33">
        <f t="shared" si="0"/>
        <v>14592</v>
      </c>
      <c r="B33" s="16">
        <v>14560</v>
      </c>
      <c r="C33" s="16">
        <v>160</v>
      </c>
      <c r="D33" s="16">
        <v>2</v>
      </c>
      <c r="E33" s="16">
        <v>2</v>
      </c>
      <c r="F33" s="30">
        <v>10.793400000000002</v>
      </c>
      <c r="H33">
        <f t="shared" si="1"/>
        <v>14592</v>
      </c>
      <c r="I33" s="16">
        <v>14560</v>
      </c>
      <c r="J33" s="16">
        <v>160</v>
      </c>
      <c r="K33" s="16">
        <v>2</v>
      </c>
      <c r="L33" s="16">
        <v>2</v>
      </c>
      <c r="M33" s="30">
        <v>11.411000000000001</v>
      </c>
    </row>
    <row r="34" spans="1:13" x14ac:dyDescent="0.25">
      <c r="A34">
        <f t="shared" si="0"/>
        <v>13056</v>
      </c>
      <c r="B34" s="16">
        <v>13056</v>
      </c>
      <c r="C34" s="16">
        <v>192</v>
      </c>
      <c r="D34" s="16">
        <v>1</v>
      </c>
      <c r="E34" s="16">
        <v>4</v>
      </c>
      <c r="F34" s="30">
        <v>10.377799999999999</v>
      </c>
      <c r="H34">
        <f t="shared" si="1"/>
        <v>13056</v>
      </c>
      <c r="I34" s="16">
        <v>13056</v>
      </c>
      <c r="J34" s="16">
        <v>192</v>
      </c>
      <c r="K34" s="16">
        <v>1</v>
      </c>
      <c r="L34" s="16">
        <v>4</v>
      </c>
      <c r="M34" s="30">
        <v>11.199</v>
      </c>
    </row>
    <row r="35" spans="1:13" x14ac:dyDescent="0.25">
      <c r="A35">
        <f t="shared" si="0"/>
        <v>13824</v>
      </c>
      <c r="B35" s="16">
        <v>13824</v>
      </c>
      <c r="C35" s="16">
        <v>192</v>
      </c>
      <c r="D35" s="16">
        <v>1</v>
      </c>
      <c r="E35" s="16">
        <v>4</v>
      </c>
      <c r="F35" s="30">
        <v>9.5838600000000014</v>
      </c>
      <c r="H35">
        <f t="shared" si="1"/>
        <v>13824</v>
      </c>
      <c r="I35" s="16">
        <v>13824</v>
      </c>
      <c r="J35" s="16">
        <v>192</v>
      </c>
      <c r="K35" s="16">
        <v>1</v>
      </c>
      <c r="L35" s="16">
        <v>4</v>
      </c>
      <c r="M35" s="30">
        <v>10.939</v>
      </c>
    </row>
    <row r="36" spans="1:13" x14ac:dyDescent="0.25">
      <c r="A36">
        <f t="shared" si="0"/>
        <v>14592</v>
      </c>
      <c r="B36" s="16">
        <v>14592</v>
      </c>
      <c r="C36" s="16">
        <v>192</v>
      </c>
      <c r="D36" s="16">
        <v>1</v>
      </c>
      <c r="E36" s="16">
        <v>4</v>
      </c>
      <c r="F36" s="30">
        <v>10.571200000000001</v>
      </c>
      <c r="H36">
        <f t="shared" si="1"/>
        <v>14592</v>
      </c>
      <c r="I36" s="16">
        <v>14592</v>
      </c>
      <c r="J36" s="16">
        <v>192</v>
      </c>
      <c r="K36" s="16">
        <v>1</v>
      </c>
      <c r="L36" s="16">
        <v>4</v>
      </c>
      <c r="M36" s="30">
        <v>11.358000000000001</v>
      </c>
    </row>
    <row r="37" spans="1:13" x14ac:dyDescent="0.25">
      <c r="A37">
        <f t="shared" si="0"/>
        <v>13056</v>
      </c>
      <c r="B37" s="16">
        <v>13056</v>
      </c>
      <c r="C37" s="16">
        <v>192</v>
      </c>
      <c r="D37" s="16">
        <v>2</v>
      </c>
      <c r="E37" s="16">
        <v>2</v>
      </c>
      <c r="F37" s="30">
        <v>10.526199999999999</v>
      </c>
      <c r="H37">
        <f t="shared" si="1"/>
        <v>13056</v>
      </c>
      <c r="I37" s="16">
        <v>13056</v>
      </c>
      <c r="J37" s="16">
        <v>192</v>
      </c>
      <c r="K37" s="16">
        <v>2</v>
      </c>
      <c r="L37" s="16">
        <v>2</v>
      </c>
      <c r="M37" s="30">
        <v>11.251799999999999</v>
      </c>
    </row>
    <row r="38" spans="1:13" x14ac:dyDescent="0.25">
      <c r="A38">
        <f t="shared" si="0"/>
        <v>13824</v>
      </c>
      <c r="B38" s="16">
        <v>13824</v>
      </c>
      <c r="C38" s="16">
        <v>192</v>
      </c>
      <c r="D38" s="16">
        <v>2</v>
      </c>
      <c r="E38" s="16">
        <v>2</v>
      </c>
      <c r="F38" s="30">
        <v>10.400600000000001</v>
      </c>
      <c r="H38">
        <f t="shared" si="1"/>
        <v>13824</v>
      </c>
      <c r="I38" s="16">
        <v>13824</v>
      </c>
      <c r="J38" s="16">
        <v>192</v>
      </c>
      <c r="K38" s="16">
        <v>2</v>
      </c>
      <c r="L38" s="16">
        <v>2</v>
      </c>
      <c r="M38" s="30">
        <v>11.281000000000001</v>
      </c>
    </row>
    <row r="39" spans="1:13" x14ac:dyDescent="0.25">
      <c r="A39">
        <f t="shared" si="0"/>
        <v>14592</v>
      </c>
      <c r="B39" s="16">
        <v>14592</v>
      </c>
      <c r="C39" s="16">
        <v>192</v>
      </c>
      <c r="D39" s="16">
        <v>2</v>
      </c>
      <c r="E39" s="16">
        <v>2</v>
      </c>
      <c r="F39" s="30">
        <v>10.659599999999999</v>
      </c>
      <c r="H39">
        <f t="shared" si="1"/>
        <v>14592</v>
      </c>
      <c r="I39" s="16">
        <v>14592</v>
      </c>
      <c r="J39" s="16">
        <v>192</v>
      </c>
      <c r="K39" s="16">
        <v>2</v>
      </c>
      <c r="L39" s="16">
        <v>2</v>
      </c>
      <c r="M39" s="30">
        <v>11.419</v>
      </c>
    </row>
    <row r="40" spans="1:13" x14ac:dyDescent="0.25">
      <c r="A40">
        <f t="shared" si="0"/>
        <v>13056</v>
      </c>
      <c r="B40" s="16">
        <v>12992</v>
      </c>
      <c r="C40" s="16">
        <v>224</v>
      </c>
      <c r="D40" s="16">
        <v>1</v>
      </c>
      <c r="E40" s="16">
        <v>4</v>
      </c>
      <c r="F40" s="30">
        <v>10.417400000000001</v>
      </c>
      <c r="H40">
        <f t="shared" si="1"/>
        <v>13056</v>
      </c>
      <c r="I40" s="16">
        <v>12992</v>
      </c>
      <c r="J40" s="16">
        <v>224</v>
      </c>
      <c r="K40" s="16">
        <v>1</v>
      </c>
      <c r="L40" s="16">
        <v>4</v>
      </c>
      <c r="M40" s="30">
        <v>11.167199999999999</v>
      </c>
    </row>
    <row r="41" spans="1:13" x14ac:dyDescent="0.25">
      <c r="A41">
        <f t="shared" si="0"/>
        <v>13824</v>
      </c>
      <c r="B41" s="16">
        <v>13664</v>
      </c>
      <c r="C41" s="16">
        <v>224</v>
      </c>
      <c r="D41" s="16">
        <v>1</v>
      </c>
      <c r="E41" s="16">
        <v>4</v>
      </c>
      <c r="F41" s="30">
        <v>10.4962</v>
      </c>
      <c r="H41">
        <f t="shared" si="1"/>
        <v>13824</v>
      </c>
      <c r="I41" s="16">
        <v>13664</v>
      </c>
      <c r="J41" s="16">
        <v>224</v>
      </c>
      <c r="K41" s="16">
        <v>1</v>
      </c>
      <c r="L41" s="16">
        <v>4</v>
      </c>
      <c r="M41" s="30">
        <v>11.239999999999998</v>
      </c>
    </row>
    <row r="42" spans="1:13" x14ac:dyDescent="0.25">
      <c r="A42">
        <f t="shared" si="0"/>
        <v>14592</v>
      </c>
      <c r="B42" s="16">
        <v>14560</v>
      </c>
      <c r="C42" s="16">
        <v>224</v>
      </c>
      <c r="D42" s="16">
        <v>1</v>
      </c>
      <c r="E42" s="16">
        <v>4</v>
      </c>
      <c r="F42" s="30">
        <v>10.4696</v>
      </c>
      <c r="H42">
        <f t="shared" si="1"/>
        <v>14592</v>
      </c>
      <c r="I42" s="16">
        <v>14560</v>
      </c>
      <c r="J42" s="16">
        <v>224</v>
      </c>
      <c r="K42" s="16">
        <v>1</v>
      </c>
      <c r="L42" s="16">
        <v>4</v>
      </c>
      <c r="M42" s="30">
        <v>11.308600000000002</v>
      </c>
    </row>
    <row r="43" spans="1:13" x14ac:dyDescent="0.25">
      <c r="A43">
        <f t="shared" si="0"/>
        <v>13056</v>
      </c>
      <c r="B43" s="16">
        <v>12992</v>
      </c>
      <c r="C43" s="16">
        <v>224</v>
      </c>
      <c r="D43" s="16">
        <v>2</v>
      </c>
      <c r="E43" s="16">
        <v>2</v>
      </c>
      <c r="F43" s="30">
        <v>10.5868</v>
      </c>
      <c r="H43">
        <f t="shared" si="1"/>
        <v>13056</v>
      </c>
      <c r="I43" s="16">
        <v>12992</v>
      </c>
      <c r="J43" s="16">
        <v>224</v>
      </c>
      <c r="K43" s="16">
        <v>2</v>
      </c>
      <c r="L43" s="16">
        <v>2</v>
      </c>
      <c r="M43" s="30">
        <v>11.243599999999999</v>
      </c>
    </row>
    <row r="44" spans="1:13" x14ac:dyDescent="0.25">
      <c r="A44">
        <f t="shared" si="0"/>
        <v>13824</v>
      </c>
      <c r="B44" s="16">
        <v>13664</v>
      </c>
      <c r="C44" s="16">
        <v>224</v>
      </c>
      <c r="D44" s="16">
        <v>2</v>
      </c>
      <c r="E44" s="16">
        <v>2</v>
      </c>
      <c r="F44" s="30">
        <v>10.655800000000001</v>
      </c>
      <c r="H44">
        <f t="shared" si="1"/>
        <v>13824</v>
      </c>
      <c r="I44" s="16">
        <v>13664</v>
      </c>
      <c r="J44" s="16">
        <v>224</v>
      </c>
      <c r="K44" s="16">
        <v>2</v>
      </c>
      <c r="L44" s="16">
        <v>2</v>
      </c>
      <c r="M44" s="30">
        <v>11.3432</v>
      </c>
    </row>
    <row r="45" spans="1:13" x14ac:dyDescent="0.25">
      <c r="A45">
        <f t="shared" si="0"/>
        <v>14592</v>
      </c>
      <c r="B45" s="16">
        <v>14560</v>
      </c>
      <c r="C45" s="16">
        <v>224</v>
      </c>
      <c r="D45" s="16">
        <v>2</v>
      </c>
      <c r="E45" s="16">
        <v>2</v>
      </c>
      <c r="F45" s="30">
        <v>10.662599999999999</v>
      </c>
      <c r="H45">
        <f t="shared" si="1"/>
        <v>14592</v>
      </c>
      <c r="I45" s="16">
        <v>14560</v>
      </c>
      <c r="J45" s="16">
        <v>224</v>
      </c>
      <c r="K45" s="16">
        <v>2</v>
      </c>
      <c r="L45" s="16">
        <v>2</v>
      </c>
      <c r="M45" s="30">
        <v>11.396400000000002</v>
      </c>
    </row>
    <row r="46" spans="1:13" x14ac:dyDescent="0.25">
      <c r="A46">
        <f t="shared" si="0"/>
        <v>13056</v>
      </c>
      <c r="B46" s="16">
        <v>13056</v>
      </c>
      <c r="C46" s="16">
        <v>256</v>
      </c>
      <c r="D46" s="16">
        <v>1</v>
      </c>
      <c r="E46" s="16">
        <v>4</v>
      </c>
      <c r="F46" s="30">
        <v>10.209</v>
      </c>
      <c r="H46">
        <f t="shared" si="1"/>
        <v>13056</v>
      </c>
      <c r="I46" s="16">
        <v>13056</v>
      </c>
      <c r="J46" s="16">
        <v>256</v>
      </c>
      <c r="K46" s="16">
        <v>1</v>
      </c>
      <c r="L46" s="16">
        <v>4</v>
      </c>
      <c r="M46" s="30">
        <v>10.803599999999999</v>
      </c>
    </row>
    <row r="47" spans="1:13" x14ac:dyDescent="0.25">
      <c r="A47">
        <f t="shared" si="0"/>
        <v>13824</v>
      </c>
      <c r="B47" s="16">
        <v>13824</v>
      </c>
      <c r="C47" s="16">
        <v>256</v>
      </c>
      <c r="D47" s="16">
        <v>1</v>
      </c>
      <c r="E47" s="16">
        <v>4</v>
      </c>
      <c r="F47" s="30">
        <v>9.44754</v>
      </c>
      <c r="H47">
        <f t="shared" si="1"/>
        <v>13824</v>
      </c>
      <c r="I47" s="16">
        <v>13824</v>
      </c>
      <c r="J47" s="16">
        <v>256</v>
      </c>
      <c r="K47" s="16">
        <v>1</v>
      </c>
      <c r="L47" s="16">
        <v>4</v>
      </c>
      <c r="M47" s="30">
        <v>10.442200000000001</v>
      </c>
    </row>
    <row r="48" spans="1:13" x14ac:dyDescent="0.25">
      <c r="A48">
        <f t="shared" si="0"/>
        <v>14592</v>
      </c>
      <c r="B48" s="16">
        <v>14592</v>
      </c>
      <c r="C48" s="16">
        <v>256</v>
      </c>
      <c r="D48" s="16">
        <v>1</v>
      </c>
      <c r="E48" s="16">
        <v>4</v>
      </c>
      <c r="F48" s="30">
        <v>10.452</v>
      </c>
      <c r="H48">
        <f t="shared" si="1"/>
        <v>14592</v>
      </c>
      <c r="I48" s="16">
        <v>14592</v>
      </c>
      <c r="J48" s="16">
        <v>256</v>
      </c>
      <c r="K48" s="16">
        <v>1</v>
      </c>
      <c r="L48" s="16">
        <v>4</v>
      </c>
      <c r="M48" s="30">
        <v>11.008399999999998</v>
      </c>
    </row>
    <row r="49" spans="1:13" x14ac:dyDescent="0.25">
      <c r="A49">
        <f t="shared" si="0"/>
        <v>13056</v>
      </c>
      <c r="B49" s="16">
        <v>13056</v>
      </c>
      <c r="C49" s="16">
        <v>256</v>
      </c>
      <c r="D49" s="16">
        <v>2</v>
      </c>
      <c r="E49" s="16">
        <v>2</v>
      </c>
      <c r="F49" s="30">
        <v>10.358599999999999</v>
      </c>
      <c r="H49">
        <f t="shared" si="1"/>
        <v>13056</v>
      </c>
      <c r="I49" s="16">
        <v>13056</v>
      </c>
      <c r="J49" s="16">
        <v>256</v>
      </c>
      <c r="K49" s="16">
        <v>2</v>
      </c>
      <c r="L49" s="16">
        <v>2</v>
      </c>
      <c r="M49" s="30">
        <v>10.973200000000002</v>
      </c>
    </row>
    <row r="50" spans="1:13" x14ac:dyDescent="0.25">
      <c r="A50">
        <f t="shared" si="0"/>
        <v>13824</v>
      </c>
      <c r="B50" s="16">
        <v>13824</v>
      </c>
      <c r="C50" s="16">
        <v>256</v>
      </c>
      <c r="D50" s="16">
        <v>2</v>
      </c>
      <c r="E50" s="16">
        <v>2</v>
      </c>
      <c r="F50" s="30">
        <v>10.335599999999999</v>
      </c>
      <c r="H50">
        <f t="shared" si="1"/>
        <v>13824</v>
      </c>
      <c r="I50" s="16">
        <v>13824</v>
      </c>
      <c r="J50" s="16">
        <v>256</v>
      </c>
      <c r="K50" s="16">
        <v>2</v>
      </c>
      <c r="L50" s="16">
        <v>2</v>
      </c>
      <c r="M50" s="30">
        <v>10.964400000000001</v>
      </c>
    </row>
    <row r="51" spans="1:13" x14ac:dyDescent="0.25">
      <c r="A51">
        <f t="shared" si="0"/>
        <v>14592</v>
      </c>
      <c r="B51" s="16">
        <v>14592</v>
      </c>
      <c r="C51" s="16">
        <v>256</v>
      </c>
      <c r="D51" s="16">
        <v>2</v>
      </c>
      <c r="E51" s="16">
        <v>2</v>
      </c>
      <c r="F51" s="30">
        <v>10.537399999999998</v>
      </c>
      <c r="H51">
        <f t="shared" si="1"/>
        <v>14592</v>
      </c>
      <c r="I51" s="16">
        <v>14592</v>
      </c>
      <c r="J51" s="16">
        <v>256</v>
      </c>
      <c r="K51" s="16">
        <v>2</v>
      </c>
      <c r="L51" s="16">
        <v>2</v>
      </c>
      <c r="M51" s="30">
        <v>11.161999999999999</v>
      </c>
    </row>
    <row r="52" spans="1:13" x14ac:dyDescent="0.25">
      <c r="A52">
        <f t="shared" si="0"/>
        <v>13056</v>
      </c>
      <c r="B52" s="16">
        <v>0</v>
      </c>
      <c r="C52" s="16">
        <v>0</v>
      </c>
      <c r="D52" s="16">
        <v>0</v>
      </c>
      <c r="E52" s="16">
        <v>0</v>
      </c>
      <c r="F52" s="30">
        <v>0</v>
      </c>
      <c r="H52">
        <f t="shared" si="1"/>
        <v>14592</v>
      </c>
      <c r="I52" s="16">
        <v>14544</v>
      </c>
      <c r="J52" s="16">
        <v>144</v>
      </c>
      <c r="K52" s="16">
        <v>2</v>
      </c>
      <c r="L52" s="16">
        <v>2</v>
      </c>
      <c r="M52" s="30">
        <v>11.4762</v>
      </c>
    </row>
    <row r="53" spans="1:13" x14ac:dyDescent="0.25">
      <c r="A53">
        <f t="shared" si="0"/>
        <v>13056</v>
      </c>
      <c r="B53" s="16">
        <v>0</v>
      </c>
      <c r="C53" s="16">
        <v>0</v>
      </c>
      <c r="D53" s="16">
        <v>0</v>
      </c>
      <c r="E53" s="16">
        <v>0</v>
      </c>
      <c r="F53" s="30">
        <v>0</v>
      </c>
      <c r="H53">
        <f t="shared" si="1"/>
        <v>14592</v>
      </c>
      <c r="I53" s="16">
        <v>14592</v>
      </c>
      <c r="J53" s="16">
        <v>152</v>
      </c>
      <c r="K53" s="16">
        <v>2</v>
      </c>
      <c r="L53" s="16">
        <v>2</v>
      </c>
      <c r="M53" s="30">
        <v>11.327</v>
      </c>
    </row>
    <row r="54" spans="1:13" x14ac:dyDescent="0.25">
      <c r="A54">
        <f t="shared" si="0"/>
        <v>13056</v>
      </c>
      <c r="B54" s="16">
        <v>0</v>
      </c>
      <c r="C54" s="16">
        <v>0</v>
      </c>
      <c r="D54" s="16">
        <v>0</v>
      </c>
      <c r="E54" s="16">
        <v>0</v>
      </c>
      <c r="F54" s="30">
        <v>0</v>
      </c>
      <c r="H54">
        <f t="shared" si="1"/>
        <v>14592</v>
      </c>
      <c r="I54" s="16">
        <v>14616</v>
      </c>
      <c r="J54" s="16">
        <v>168</v>
      </c>
      <c r="K54" s="16">
        <v>2</v>
      </c>
      <c r="L54" s="16">
        <v>2</v>
      </c>
      <c r="M54" s="30">
        <v>11.3642</v>
      </c>
    </row>
    <row r="55" spans="1:13" x14ac:dyDescent="0.25">
      <c r="A55">
        <f t="shared" si="0"/>
        <v>13056</v>
      </c>
      <c r="B55" s="16">
        <v>0</v>
      </c>
      <c r="C55" s="16">
        <v>0</v>
      </c>
      <c r="D55" s="16">
        <v>0</v>
      </c>
      <c r="E55" s="16">
        <v>0</v>
      </c>
      <c r="F55" s="30">
        <v>0</v>
      </c>
      <c r="H55">
        <f t="shared" si="1"/>
        <v>14592</v>
      </c>
      <c r="I55" s="16">
        <v>14608</v>
      </c>
      <c r="J55" s="16">
        <v>176</v>
      </c>
      <c r="K55" s="16">
        <v>2</v>
      </c>
      <c r="L55" s="16">
        <v>2</v>
      </c>
      <c r="M55" s="30">
        <v>11.4354</v>
      </c>
    </row>
    <row r="56" spans="1:13" x14ac:dyDescent="0.25">
      <c r="A56">
        <f t="shared" si="0"/>
        <v>13056</v>
      </c>
      <c r="B56" s="16">
        <v>0</v>
      </c>
      <c r="C56" s="16">
        <v>0</v>
      </c>
      <c r="D56" s="16">
        <v>0</v>
      </c>
      <c r="E56" s="16">
        <v>0</v>
      </c>
      <c r="F56" s="30">
        <v>0</v>
      </c>
      <c r="H56">
        <f t="shared" si="1"/>
        <v>14592</v>
      </c>
      <c r="I56" s="16">
        <v>14536</v>
      </c>
      <c r="J56" s="16">
        <v>184</v>
      </c>
      <c r="K56" s="16">
        <v>2</v>
      </c>
      <c r="L56" s="16">
        <v>2</v>
      </c>
      <c r="M56" s="30">
        <v>11.437799999999999</v>
      </c>
    </row>
    <row r="57" spans="1:13" x14ac:dyDescent="0.25">
      <c r="A57">
        <f t="shared" si="0"/>
        <v>13056</v>
      </c>
      <c r="B57" s="16">
        <v>0</v>
      </c>
      <c r="C57" s="16">
        <v>0</v>
      </c>
      <c r="D57" s="16">
        <v>0</v>
      </c>
      <c r="E57" s="16">
        <v>0</v>
      </c>
      <c r="F57" s="30">
        <v>0</v>
      </c>
      <c r="H57">
        <f t="shared" si="1"/>
        <v>14592</v>
      </c>
      <c r="I57" s="16">
        <v>14600</v>
      </c>
      <c r="J57" s="16">
        <v>200</v>
      </c>
      <c r="K57" s="16">
        <v>2</v>
      </c>
      <c r="L57" s="16">
        <v>2</v>
      </c>
      <c r="M57" s="30">
        <v>11.4438</v>
      </c>
    </row>
    <row r="58" spans="1:13" x14ac:dyDescent="0.25">
      <c r="A58">
        <f t="shared" si="0"/>
        <v>13056</v>
      </c>
      <c r="B58" s="16">
        <v>0</v>
      </c>
      <c r="C58" s="16">
        <v>0</v>
      </c>
      <c r="D58" s="16">
        <v>0</v>
      </c>
      <c r="E58" s="16">
        <v>0</v>
      </c>
      <c r="F58" s="30">
        <v>0</v>
      </c>
      <c r="H58">
        <f t="shared" si="1"/>
        <v>14592</v>
      </c>
      <c r="I58" s="16">
        <v>14560</v>
      </c>
      <c r="J58" s="16">
        <v>208</v>
      </c>
      <c r="K58" s="16">
        <v>2</v>
      </c>
      <c r="L58" s="16">
        <v>2</v>
      </c>
      <c r="M58" s="30">
        <v>11.452999999999999</v>
      </c>
    </row>
    <row r="59" spans="1:13" x14ac:dyDescent="0.25">
      <c r="A59">
        <f t="shared" si="0"/>
        <v>13056</v>
      </c>
      <c r="B59" s="16">
        <v>0</v>
      </c>
      <c r="C59" s="16">
        <v>0</v>
      </c>
      <c r="D59" s="16">
        <v>0</v>
      </c>
      <c r="E59" s="16">
        <v>0</v>
      </c>
      <c r="F59" s="30">
        <v>0</v>
      </c>
      <c r="H59">
        <f t="shared" si="1"/>
        <v>14592</v>
      </c>
      <c r="I59" s="16">
        <v>14472</v>
      </c>
      <c r="J59" s="16">
        <v>216</v>
      </c>
      <c r="K59" s="16">
        <v>2</v>
      </c>
      <c r="L59" s="16">
        <v>2</v>
      </c>
      <c r="M59" s="30">
        <v>11.419599999999999</v>
      </c>
    </row>
    <row r="60" spans="1:13" x14ac:dyDescent="0.25">
      <c r="A60">
        <f t="shared" si="0"/>
        <v>13056</v>
      </c>
      <c r="B60" s="16">
        <v>0</v>
      </c>
      <c r="C60" s="16">
        <v>0</v>
      </c>
      <c r="D60" s="16">
        <v>0</v>
      </c>
      <c r="E60" s="16">
        <v>0</v>
      </c>
      <c r="F60" s="30">
        <v>0</v>
      </c>
      <c r="H60">
        <f t="shared" si="1"/>
        <v>14592</v>
      </c>
      <c r="I60" s="16">
        <v>14560</v>
      </c>
      <c r="J60" s="16">
        <v>224</v>
      </c>
      <c r="K60" s="16">
        <v>2</v>
      </c>
      <c r="L60" s="16">
        <v>2</v>
      </c>
      <c r="M60" s="30">
        <v>11.427199999999999</v>
      </c>
    </row>
    <row r="61" spans="1:13" x14ac:dyDescent="0.25">
      <c r="A61">
        <f t="shared" si="0"/>
        <v>13056</v>
      </c>
      <c r="B61" s="16">
        <v>0</v>
      </c>
      <c r="C61" s="16">
        <v>0</v>
      </c>
      <c r="D61" s="16">
        <v>0</v>
      </c>
      <c r="E61" s="16">
        <v>0</v>
      </c>
      <c r="F61" s="30">
        <v>0</v>
      </c>
      <c r="H61">
        <f t="shared" si="1"/>
        <v>14592</v>
      </c>
      <c r="I61" s="16">
        <v>14616</v>
      </c>
      <c r="J61" s="16">
        <v>232</v>
      </c>
      <c r="K61" s="16">
        <v>2</v>
      </c>
      <c r="L61" s="16">
        <v>2</v>
      </c>
      <c r="M61" s="30">
        <v>11.372</v>
      </c>
    </row>
    <row r="62" spans="1:13" x14ac:dyDescent="0.25">
      <c r="A62">
        <f t="shared" si="0"/>
        <v>13056</v>
      </c>
      <c r="B62" s="16">
        <v>0</v>
      </c>
      <c r="C62" s="16">
        <v>0</v>
      </c>
      <c r="D62" s="16">
        <v>0</v>
      </c>
      <c r="E62" s="16">
        <v>0</v>
      </c>
      <c r="F62" s="30">
        <v>0</v>
      </c>
      <c r="H62">
        <f t="shared" si="1"/>
        <v>14592</v>
      </c>
      <c r="I62" s="16">
        <v>14640</v>
      </c>
      <c r="J62" s="16">
        <v>240</v>
      </c>
      <c r="K62" s="16">
        <v>2</v>
      </c>
      <c r="L62" s="16">
        <v>2</v>
      </c>
      <c r="M62" s="30">
        <v>11.355</v>
      </c>
    </row>
    <row r="63" spans="1:13" x14ac:dyDescent="0.25">
      <c r="A63">
        <f t="shared" si="0"/>
        <v>13056</v>
      </c>
      <c r="B63" s="16">
        <v>0</v>
      </c>
      <c r="C63" s="16">
        <v>0</v>
      </c>
      <c r="D63" s="16">
        <v>0</v>
      </c>
      <c r="E63" s="16">
        <v>0</v>
      </c>
      <c r="F63" s="30">
        <v>0</v>
      </c>
      <c r="H63">
        <f t="shared" si="1"/>
        <v>14592</v>
      </c>
      <c r="I63" s="16">
        <v>14592</v>
      </c>
      <c r="J63" s="16">
        <v>256</v>
      </c>
      <c r="K63" s="16">
        <v>2</v>
      </c>
      <c r="L63" s="16">
        <v>2</v>
      </c>
      <c r="M63" s="30">
        <v>11.162400000000002</v>
      </c>
    </row>
    <row r="64" spans="1:13" x14ac:dyDescent="0.25">
      <c r="A64">
        <f t="shared" si="0"/>
        <v>13056</v>
      </c>
      <c r="B64" s="16">
        <v>0</v>
      </c>
      <c r="C64" s="16">
        <v>0</v>
      </c>
      <c r="D64" s="16">
        <v>0</v>
      </c>
      <c r="E64" s="16">
        <v>0</v>
      </c>
      <c r="F64" s="30">
        <v>0</v>
      </c>
      <c r="H64">
        <f t="shared" si="1"/>
        <v>13056</v>
      </c>
      <c r="I64" s="16">
        <v>0</v>
      </c>
      <c r="J64" s="16">
        <v>0</v>
      </c>
      <c r="K64" s="16">
        <v>0</v>
      </c>
      <c r="L64" s="16">
        <v>0</v>
      </c>
      <c r="M64" s="30">
        <v>0</v>
      </c>
    </row>
    <row r="65" spans="1:13" x14ac:dyDescent="0.25">
      <c r="A65">
        <f t="shared" si="0"/>
        <v>13056</v>
      </c>
      <c r="B65" s="16">
        <v>0</v>
      </c>
      <c r="C65" s="16">
        <v>0</v>
      </c>
      <c r="D65" s="16">
        <v>0</v>
      </c>
      <c r="E65" s="16">
        <v>0</v>
      </c>
      <c r="F65" s="30">
        <v>0</v>
      </c>
      <c r="H65">
        <f t="shared" si="1"/>
        <v>13056</v>
      </c>
      <c r="I65" s="16">
        <v>0</v>
      </c>
      <c r="J65" s="16">
        <v>0</v>
      </c>
      <c r="K65" s="16">
        <v>0</v>
      </c>
      <c r="L65" s="16">
        <v>0</v>
      </c>
      <c r="M65" s="30">
        <v>0</v>
      </c>
    </row>
    <row r="66" spans="1:13" x14ac:dyDescent="0.25">
      <c r="A66">
        <f t="shared" si="0"/>
        <v>13056</v>
      </c>
      <c r="B66" s="16">
        <v>0</v>
      </c>
      <c r="C66" s="16">
        <v>0</v>
      </c>
      <c r="D66" s="16">
        <v>0</v>
      </c>
      <c r="E66" s="16">
        <v>0</v>
      </c>
      <c r="F66" s="30">
        <v>0</v>
      </c>
      <c r="H66">
        <f t="shared" si="1"/>
        <v>13056</v>
      </c>
      <c r="I66" s="16">
        <v>0</v>
      </c>
      <c r="J66" s="16">
        <v>0</v>
      </c>
      <c r="K66" s="16">
        <v>0</v>
      </c>
      <c r="L66" s="16">
        <v>0</v>
      </c>
      <c r="M66" s="30">
        <v>0</v>
      </c>
    </row>
    <row r="67" spans="1:13" x14ac:dyDescent="0.25">
      <c r="A67">
        <f t="shared" si="0"/>
        <v>13056</v>
      </c>
      <c r="B67" s="16">
        <v>0</v>
      </c>
      <c r="C67" s="16">
        <v>0</v>
      </c>
      <c r="D67" s="16">
        <v>0</v>
      </c>
      <c r="E67" s="16">
        <v>0</v>
      </c>
      <c r="F67" s="30">
        <v>0</v>
      </c>
      <c r="H67">
        <f t="shared" si="1"/>
        <v>13056</v>
      </c>
      <c r="I67" s="16">
        <v>0</v>
      </c>
      <c r="J67" s="16">
        <v>0</v>
      </c>
      <c r="K67" s="16">
        <v>0</v>
      </c>
      <c r="L67" s="16">
        <v>0</v>
      </c>
      <c r="M67" s="30">
        <v>0</v>
      </c>
    </row>
    <row r="68" spans="1:13" x14ac:dyDescent="0.25">
      <c r="A68">
        <f t="shared" si="0"/>
        <v>13056</v>
      </c>
      <c r="B68" s="16">
        <v>0</v>
      </c>
      <c r="C68" s="16">
        <v>0</v>
      </c>
      <c r="D68" s="16">
        <v>0</v>
      </c>
      <c r="E68" s="16">
        <v>0</v>
      </c>
      <c r="F68" s="30">
        <v>0</v>
      </c>
      <c r="H68">
        <f t="shared" si="1"/>
        <v>13056</v>
      </c>
      <c r="I68" s="16">
        <v>0</v>
      </c>
      <c r="J68" s="16">
        <v>0</v>
      </c>
      <c r="K68" s="16">
        <v>0</v>
      </c>
      <c r="L68" s="16">
        <v>0</v>
      </c>
      <c r="M68" s="30">
        <v>0</v>
      </c>
    </row>
    <row r="69" spans="1:13" x14ac:dyDescent="0.25">
      <c r="A69">
        <f t="shared" ref="A69:A132" si="2">CHOOSE(IF(ABS(B69-13056)&lt;=ABS(B69-13824),IF(ABS(B69-13056)&lt;=ABS(B69-14592),1,3),IF(ABS(B69-13824)&lt;=ABS(B69-14592),2,3)),13056,13824,14592)</f>
        <v>13056</v>
      </c>
      <c r="B69" s="16">
        <v>0</v>
      </c>
      <c r="C69" s="16">
        <v>0</v>
      </c>
      <c r="D69" s="16">
        <v>0</v>
      </c>
      <c r="E69" s="16">
        <v>0</v>
      </c>
      <c r="F69" s="30">
        <v>0</v>
      </c>
      <c r="H69">
        <f t="shared" ref="H69:H132" si="3">CHOOSE(IF(ABS(I69-13056)&lt;=ABS(I69-13824),IF(ABS(I69-13056)&lt;=ABS(I69-14592),1,3),IF(ABS(I69-13824)&lt;=ABS(I69-14592),2,3)),13056,13824,14592)</f>
        <v>13056</v>
      </c>
      <c r="I69" s="16">
        <v>0</v>
      </c>
      <c r="J69" s="16">
        <v>0</v>
      </c>
      <c r="K69" s="16">
        <v>0</v>
      </c>
      <c r="L69" s="16">
        <v>0</v>
      </c>
      <c r="M69" s="30">
        <v>0</v>
      </c>
    </row>
    <row r="70" spans="1:13" x14ac:dyDescent="0.25">
      <c r="A70">
        <f t="shared" si="2"/>
        <v>13056</v>
      </c>
      <c r="B70" s="16">
        <v>0</v>
      </c>
      <c r="C70" s="16">
        <v>0</v>
      </c>
      <c r="D70" s="16">
        <v>0</v>
      </c>
      <c r="E70" s="16">
        <v>0</v>
      </c>
      <c r="F70" s="30">
        <v>0</v>
      </c>
      <c r="H70">
        <f t="shared" si="3"/>
        <v>13056</v>
      </c>
      <c r="I70" s="16">
        <v>0</v>
      </c>
      <c r="J70" s="16">
        <v>0</v>
      </c>
      <c r="K70" s="16">
        <v>0</v>
      </c>
      <c r="L70" s="16">
        <v>0</v>
      </c>
      <c r="M70" s="30">
        <v>0</v>
      </c>
    </row>
    <row r="71" spans="1:13" x14ac:dyDescent="0.25">
      <c r="A71">
        <f t="shared" si="2"/>
        <v>13056</v>
      </c>
      <c r="B71" s="16">
        <v>0</v>
      </c>
      <c r="C71" s="16">
        <v>0</v>
      </c>
      <c r="D71" s="16">
        <v>0</v>
      </c>
      <c r="E71" s="16">
        <v>0</v>
      </c>
      <c r="F71" s="30">
        <v>0</v>
      </c>
      <c r="H71">
        <f t="shared" si="3"/>
        <v>13056</v>
      </c>
      <c r="I71" s="16">
        <v>0</v>
      </c>
      <c r="J71" s="16">
        <v>0</v>
      </c>
      <c r="K71" s="16">
        <v>0</v>
      </c>
      <c r="L71" s="16">
        <v>0</v>
      </c>
      <c r="M71" s="30">
        <v>0</v>
      </c>
    </row>
    <row r="72" spans="1:13" x14ac:dyDescent="0.25">
      <c r="A72">
        <f t="shared" si="2"/>
        <v>13056</v>
      </c>
      <c r="B72" s="16">
        <v>0</v>
      </c>
      <c r="C72" s="16">
        <v>0</v>
      </c>
      <c r="D72" s="16">
        <v>0</v>
      </c>
      <c r="E72" s="16">
        <v>0</v>
      </c>
      <c r="F72" s="30">
        <v>0</v>
      </c>
      <c r="H72">
        <f t="shared" si="3"/>
        <v>13056</v>
      </c>
      <c r="I72" s="16">
        <v>0</v>
      </c>
      <c r="J72" s="16">
        <v>0</v>
      </c>
      <c r="K72" s="16">
        <v>0</v>
      </c>
      <c r="L72" s="16">
        <v>0</v>
      </c>
      <c r="M72" s="30">
        <v>0</v>
      </c>
    </row>
    <row r="73" spans="1:13" x14ac:dyDescent="0.25">
      <c r="A73">
        <f t="shared" si="2"/>
        <v>13056</v>
      </c>
      <c r="B73" s="16">
        <v>0</v>
      </c>
      <c r="C73" s="16">
        <v>0</v>
      </c>
      <c r="D73" s="16">
        <v>0</v>
      </c>
      <c r="E73" s="16">
        <v>0</v>
      </c>
      <c r="F73" s="30">
        <v>0</v>
      </c>
      <c r="H73">
        <f t="shared" si="3"/>
        <v>13056</v>
      </c>
      <c r="I73" s="16">
        <v>0</v>
      </c>
      <c r="J73" s="16">
        <v>0</v>
      </c>
      <c r="K73" s="16">
        <v>0</v>
      </c>
      <c r="L73" s="16">
        <v>0</v>
      </c>
      <c r="M73" s="30">
        <v>0</v>
      </c>
    </row>
    <row r="74" spans="1:13" x14ac:dyDescent="0.25">
      <c r="A74">
        <f t="shared" si="2"/>
        <v>13056</v>
      </c>
      <c r="B74" s="16">
        <v>0</v>
      </c>
      <c r="C74" s="16">
        <v>0</v>
      </c>
      <c r="D74" s="16">
        <v>0</v>
      </c>
      <c r="E74" s="16">
        <v>0</v>
      </c>
      <c r="F74" s="30">
        <v>0</v>
      </c>
      <c r="H74">
        <f t="shared" si="3"/>
        <v>13056</v>
      </c>
      <c r="I74" s="16">
        <v>0</v>
      </c>
      <c r="J74" s="16">
        <v>0</v>
      </c>
      <c r="K74" s="16">
        <v>0</v>
      </c>
      <c r="L74" s="16">
        <v>0</v>
      </c>
      <c r="M74" s="30">
        <v>0</v>
      </c>
    </row>
    <row r="75" spans="1:13" x14ac:dyDescent="0.25">
      <c r="A75">
        <f t="shared" si="2"/>
        <v>13056</v>
      </c>
      <c r="B75" s="16">
        <v>0</v>
      </c>
      <c r="C75" s="16">
        <v>0</v>
      </c>
      <c r="D75" s="16">
        <v>0</v>
      </c>
      <c r="E75" s="16">
        <v>0</v>
      </c>
      <c r="F75" s="30">
        <v>0</v>
      </c>
      <c r="H75">
        <f t="shared" si="3"/>
        <v>13056</v>
      </c>
      <c r="I75" s="16">
        <v>0</v>
      </c>
      <c r="J75" s="16">
        <v>0</v>
      </c>
      <c r="K75" s="16">
        <v>0</v>
      </c>
      <c r="L75" s="16">
        <v>0</v>
      </c>
      <c r="M75" s="30">
        <v>0</v>
      </c>
    </row>
    <row r="76" spans="1:13" x14ac:dyDescent="0.25">
      <c r="A76">
        <f t="shared" si="2"/>
        <v>13056</v>
      </c>
      <c r="B76" s="16">
        <v>0</v>
      </c>
      <c r="C76" s="16">
        <v>0</v>
      </c>
      <c r="D76" s="16">
        <v>0</v>
      </c>
      <c r="E76" s="16">
        <v>0</v>
      </c>
      <c r="F76" s="30">
        <v>0</v>
      </c>
      <c r="H76">
        <f t="shared" si="3"/>
        <v>13056</v>
      </c>
      <c r="I76" s="16">
        <v>0</v>
      </c>
      <c r="J76" s="16">
        <v>0</v>
      </c>
      <c r="K76" s="16">
        <v>0</v>
      </c>
      <c r="L76" s="16">
        <v>0</v>
      </c>
      <c r="M76" s="30">
        <v>0</v>
      </c>
    </row>
    <row r="77" spans="1:13" x14ac:dyDescent="0.25">
      <c r="A77">
        <f t="shared" si="2"/>
        <v>13056</v>
      </c>
      <c r="B77" s="16">
        <v>0</v>
      </c>
      <c r="C77" s="16">
        <v>0</v>
      </c>
      <c r="D77" s="16">
        <v>0</v>
      </c>
      <c r="E77" s="16">
        <v>0</v>
      </c>
      <c r="F77" s="30">
        <v>0</v>
      </c>
      <c r="H77">
        <f t="shared" si="3"/>
        <v>13056</v>
      </c>
      <c r="I77" s="16">
        <v>0</v>
      </c>
      <c r="J77" s="16">
        <v>0</v>
      </c>
      <c r="K77" s="16">
        <v>0</v>
      </c>
      <c r="L77" s="16">
        <v>0</v>
      </c>
      <c r="M77" s="30">
        <v>0</v>
      </c>
    </row>
    <row r="78" spans="1:13" x14ac:dyDescent="0.25">
      <c r="A78">
        <f t="shared" si="2"/>
        <v>13056</v>
      </c>
      <c r="B78" s="16">
        <v>0</v>
      </c>
      <c r="C78" s="16">
        <v>0</v>
      </c>
      <c r="D78" s="16">
        <v>0</v>
      </c>
      <c r="E78" s="16">
        <v>0</v>
      </c>
      <c r="F78" s="30">
        <v>0</v>
      </c>
      <c r="H78">
        <f t="shared" si="3"/>
        <v>13056</v>
      </c>
      <c r="I78" s="16">
        <v>0</v>
      </c>
      <c r="J78" s="16">
        <v>0</v>
      </c>
      <c r="K78" s="16">
        <v>0</v>
      </c>
      <c r="L78" s="16">
        <v>0</v>
      </c>
      <c r="M78" s="30">
        <v>0</v>
      </c>
    </row>
    <row r="79" spans="1:13" x14ac:dyDescent="0.25">
      <c r="A79">
        <f t="shared" si="2"/>
        <v>13056</v>
      </c>
      <c r="B79" s="16">
        <v>0</v>
      </c>
      <c r="C79" s="16">
        <v>0</v>
      </c>
      <c r="D79" s="16">
        <v>0</v>
      </c>
      <c r="E79" s="16">
        <v>0</v>
      </c>
      <c r="F79" s="30">
        <v>0</v>
      </c>
      <c r="H79">
        <f t="shared" si="3"/>
        <v>13056</v>
      </c>
      <c r="I79" s="16">
        <v>0</v>
      </c>
      <c r="J79" s="16">
        <v>0</v>
      </c>
      <c r="K79" s="16">
        <v>0</v>
      </c>
      <c r="L79" s="16">
        <v>0</v>
      </c>
      <c r="M79" s="30">
        <v>0</v>
      </c>
    </row>
    <row r="80" spans="1:13" x14ac:dyDescent="0.25">
      <c r="A80">
        <f t="shared" si="2"/>
        <v>13056</v>
      </c>
      <c r="B80" s="16">
        <v>0</v>
      </c>
      <c r="C80" s="16">
        <v>0</v>
      </c>
      <c r="D80" s="16">
        <v>0</v>
      </c>
      <c r="E80" s="16">
        <v>0</v>
      </c>
      <c r="F80" s="30">
        <v>0</v>
      </c>
      <c r="H80">
        <f t="shared" si="3"/>
        <v>13056</v>
      </c>
      <c r="I80" s="16">
        <v>0</v>
      </c>
      <c r="J80" s="16">
        <v>0</v>
      </c>
      <c r="K80" s="16">
        <v>0</v>
      </c>
      <c r="L80" s="16">
        <v>0</v>
      </c>
      <c r="M80" s="30">
        <v>0</v>
      </c>
    </row>
    <row r="81" spans="1:13" x14ac:dyDescent="0.25">
      <c r="A81">
        <f t="shared" si="2"/>
        <v>13056</v>
      </c>
      <c r="B81" s="16">
        <v>0</v>
      </c>
      <c r="C81" s="16">
        <v>0</v>
      </c>
      <c r="D81" s="16">
        <v>0</v>
      </c>
      <c r="E81" s="16">
        <v>0</v>
      </c>
      <c r="F81" s="30">
        <v>0</v>
      </c>
      <c r="H81">
        <f t="shared" si="3"/>
        <v>13056</v>
      </c>
      <c r="I81" s="16">
        <v>0</v>
      </c>
      <c r="J81" s="16">
        <v>0</v>
      </c>
      <c r="K81" s="16">
        <v>0</v>
      </c>
      <c r="L81" s="16">
        <v>0</v>
      </c>
      <c r="M81" s="30">
        <v>0</v>
      </c>
    </row>
    <row r="82" spans="1:13" x14ac:dyDescent="0.25">
      <c r="A82">
        <f t="shared" si="2"/>
        <v>13056</v>
      </c>
      <c r="B82" s="16">
        <v>0</v>
      </c>
      <c r="C82" s="16">
        <v>0</v>
      </c>
      <c r="D82" s="16">
        <v>0</v>
      </c>
      <c r="E82" s="16">
        <v>0</v>
      </c>
      <c r="F82" s="30">
        <v>0</v>
      </c>
      <c r="H82">
        <f t="shared" si="3"/>
        <v>13056</v>
      </c>
      <c r="I82" s="16">
        <v>0</v>
      </c>
      <c r="J82" s="16">
        <v>0</v>
      </c>
      <c r="K82" s="16">
        <v>0</v>
      </c>
      <c r="L82" s="16">
        <v>0</v>
      </c>
      <c r="M82" s="30">
        <v>0</v>
      </c>
    </row>
    <row r="83" spans="1:13" x14ac:dyDescent="0.25">
      <c r="A83">
        <f t="shared" si="2"/>
        <v>13056</v>
      </c>
      <c r="B83" s="16">
        <v>0</v>
      </c>
      <c r="C83" s="16">
        <v>0</v>
      </c>
      <c r="D83" s="16">
        <v>0</v>
      </c>
      <c r="E83" s="16">
        <v>0</v>
      </c>
      <c r="F83" s="30">
        <v>0</v>
      </c>
      <c r="H83">
        <f t="shared" si="3"/>
        <v>13056</v>
      </c>
      <c r="I83" s="16">
        <v>0</v>
      </c>
      <c r="J83" s="16">
        <v>0</v>
      </c>
      <c r="K83" s="16">
        <v>0</v>
      </c>
      <c r="L83" s="16">
        <v>0</v>
      </c>
      <c r="M83" s="30">
        <v>0</v>
      </c>
    </row>
    <row r="84" spans="1:13" x14ac:dyDescent="0.25">
      <c r="A84">
        <f t="shared" si="2"/>
        <v>13056</v>
      </c>
      <c r="B84" s="16">
        <v>0</v>
      </c>
      <c r="C84" s="16">
        <v>0</v>
      </c>
      <c r="D84" s="16">
        <v>0</v>
      </c>
      <c r="E84" s="16">
        <v>0</v>
      </c>
      <c r="F84" s="30">
        <v>0</v>
      </c>
      <c r="H84">
        <f t="shared" si="3"/>
        <v>13056</v>
      </c>
      <c r="I84" s="16">
        <v>0</v>
      </c>
      <c r="J84" s="16">
        <v>0</v>
      </c>
      <c r="K84" s="16">
        <v>0</v>
      </c>
      <c r="L84" s="16">
        <v>0</v>
      </c>
      <c r="M84" s="30">
        <v>0</v>
      </c>
    </row>
    <row r="85" spans="1:13" x14ac:dyDescent="0.25">
      <c r="A85">
        <f t="shared" si="2"/>
        <v>13056</v>
      </c>
      <c r="B85" s="16">
        <v>0</v>
      </c>
      <c r="C85" s="16">
        <v>0</v>
      </c>
      <c r="D85" s="16">
        <v>0</v>
      </c>
      <c r="E85" s="16">
        <v>0</v>
      </c>
      <c r="F85" s="30">
        <v>0</v>
      </c>
      <c r="H85">
        <f t="shared" si="3"/>
        <v>13056</v>
      </c>
      <c r="I85" s="16">
        <v>0</v>
      </c>
      <c r="J85" s="16">
        <v>0</v>
      </c>
      <c r="K85" s="16">
        <v>0</v>
      </c>
      <c r="L85" s="16">
        <v>0</v>
      </c>
      <c r="M85" s="30">
        <v>0</v>
      </c>
    </row>
    <row r="86" spans="1:13" x14ac:dyDescent="0.25">
      <c r="A86">
        <f t="shared" si="2"/>
        <v>13056</v>
      </c>
      <c r="B86" s="16">
        <v>0</v>
      </c>
      <c r="C86" s="16">
        <v>0</v>
      </c>
      <c r="D86" s="16">
        <v>0</v>
      </c>
      <c r="E86" s="16">
        <v>0</v>
      </c>
      <c r="F86" s="30">
        <v>0</v>
      </c>
      <c r="H86">
        <f t="shared" si="3"/>
        <v>13056</v>
      </c>
      <c r="I86" s="16">
        <v>0</v>
      </c>
      <c r="J86" s="16">
        <v>0</v>
      </c>
      <c r="K86" s="16">
        <v>0</v>
      </c>
      <c r="L86" s="16">
        <v>0</v>
      </c>
      <c r="M86" s="30">
        <v>0</v>
      </c>
    </row>
    <row r="87" spans="1:13" x14ac:dyDescent="0.25">
      <c r="A87">
        <f t="shared" si="2"/>
        <v>13056</v>
      </c>
      <c r="B87" s="16">
        <v>0</v>
      </c>
      <c r="C87" s="16">
        <v>0</v>
      </c>
      <c r="D87" s="16">
        <v>0</v>
      </c>
      <c r="E87" s="16">
        <v>0</v>
      </c>
      <c r="F87" s="30">
        <v>0</v>
      </c>
      <c r="H87">
        <f t="shared" si="3"/>
        <v>13056</v>
      </c>
      <c r="I87" s="16">
        <v>0</v>
      </c>
      <c r="J87" s="16">
        <v>0</v>
      </c>
      <c r="K87" s="16">
        <v>0</v>
      </c>
      <c r="L87" s="16">
        <v>0</v>
      </c>
      <c r="M87" s="30">
        <v>0</v>
      </c>
    </row>
    <row r="88" spans="1:13" x14ac:dyDescent="0.25">
      <c r="A88">
        <f t="shared" si="2"/>
        <v>13056</v>
      </c>
      <c r="B88" s="16">
        <v>0</v>
      </c>
      <c r="C88" s="16">
        <v>0</v>
      </c>
      <c r="D88" s="16">
        <v>0</v>
      </c>
      <c r="E88" s="16">
        <v>0</v>
      </c>
      <c r="F88" s="30">
        <v>0</v>
      </c>
      <c r="H88">
        <f t="shared" si="3"/>
        <v>13056</v>
      </c>
      <c r="I88" s="16">
        <v>0</v>
      </c>
      <c r="J88" s="16">
        <v>0</v>
      </c>
      <c r="K88" s="16">
        <v>0</v>
      </c>
      <c r="L88" s="16">
        <v>0</v>
      </c>
      <c r="M88" s="30">
        <v>0</v>
      </c>
    </row>
    <row r="89" spans="1:13" x14ac:dyDescent="0.25">
      <c r="A89">
        <f t="shared" si="2"/>
        <v>13056</v>
      </c>
      <c r="B89" s="16">
        <v>0</v>
      </c>
      <c r="C89" s="16">
        <v>0</v>
      </c>
      <c r="D89" s="16">
        <v>0</v>
      </c>
      <c r="E89" s="16">
        <v>0</v>
      </c>
      <c r="F89" s="30">
        <v>0</v>
      </c>
      <c r="H89">
        <f t="shared" si="3"/>
        <v>13056</v>
      </c>
      <c r="I89" s="16">
        <v>0</v>
      </c>
      <c r="J89" s="16">
        <v>0</v>
      </c>
      <c r="K89" s="16">
        <v>0</v>
      </c>
      <c r="L89" s="16">
        <v>0</v>
      </c>
      <c r="M89" s="30">
        <v>0</v>
      </c>
    </row>
    <row r="90" spans="1:13" x14ac:dyDescent="0.25">
      <c r="A90">
        <f t="shared" si="2"/>
        <v>13056</v>
      </c>
      <c r="B90" s="16">
        <v>0</v>
      </c>
      <c r="C90" s="16">
        <v>0</v>
      </c>
      <c r="D90" s="16">
        <v>0</v>
      </c>
      <c r="E90" s="16">
        <v>0</v>
      </c>
      <c r="F90" s="30">
        <v>0</v>
      </c>
      <c r="H90">
        <f t="shared" si="3"/>
        <v>13056</v>
      </c>
      <c r="I90" s="16">
        <v>0</v>
      </c>
      <c r="J90" s="16">
        <v>0</v>
      </c>
      <c r="K90" s="16">
        <v>0</v>
      </c>
      <c r="L90" s="16">
        <v>0</v>
      </c>
      <c r="M90" s="30">
        <v>0</v>
      </c>
    </row>
    <row r="91" spans="1:13" x14ac:dyDescent="0.25">
      <c r="A91">
        <f t="shared" si="2"/>
        <v>13056</v>
      </c>
      <c r="B91" s="16">
        <v>0</v>
      </c>
      <c r="C91" s="16">
        <v>0</v>
      </c>
      <c r="D91" s="16">
        <v>0</v>
      </c>
      <c r="E91" s="16">
        <v>0</v>
      </c>
      <c r="F91" s="30">
        <v>0</v>
      </c>
      <c r="H91">
        <f t="shared" si="3"/>
        <v>13056</v>
      </c>
      <c r="I91" s="16">
        <v>0</v>
      </c>
      <c r="J91" s="16">
        <v>0</v>
      </c>
      <c r="K91" s="16">
        <v>0</v>
      </c>
      <c r="L91" s="16">
        <v>0</v>
      </c>
      <c r="M91" s="30">
        <v>0</v>
      </c>
    </row>
    <row r="92" spans="1:13" x14ac:dyDescent="0.25">
      <c r="A92">
        <f t="shared" si="2"/>
        <v>13056</v>
      </c>
      <c r="B92" s="16">
        <v>0</v>
      </c>
      <c r="C92" s="16">
        <v>0</v>
      </c>
      <c r="D92" s="16">
        <v>0</v>
      </c>
      <c r="E92" s="16">
        <v>0</v>
      </c>
      <c r="F92" s="30">
        <v>0</v>
      </c>
      <c r="H92">
        <f t="shared" si="3"/>
        <v>13056</v>
      </c>
      <c r="I92" s="16">
        <v>0</v>
      </c>
      <c r="J92" s="16">
        <v>0</v>
      </c>
      <c r="K92" s="16">
        <v>0</v>
      </c>
      <c r="L92" s="16">
        <v>0</v>
      </c>
      <c r="M92" s="30">
        <v>0</v>
      </c>
    </row>
    <row r="93" spans="1:13" x14ac:dyDescent="0.25">
      <c r="A93">
        <f t="shared" si="2"/>
        <v>13056</v>
      </c>
      <c r="B93" s="16">
        <v>0</v>
      </c>
      <c r="C93" s="16">
        <v>0</v>
      </c>
      <c r="D93" s="16">
        <v>0</v>
      </c>
      <c r="E93" s="16">
        <v>0</v>
      </c>
      <c r="F93" s="30">
        <v>0</v>
      </c>
      <c r="H93">
        <f t="shared" si="3"/>
        <v>13056</v>
      </c>
      <c r="I93" s="16">
        <v>0</v>
      </c>
      <c r="J93" s="16">
        <v>0</v>
      </c>
      <c r="K93" s="16">
        <v>0</v>
      </c>
      <c r="L93" s="16">
        <v>0</v>
      </c>
      <c r="M93" s="30">
        <v>0</v>
      </c>
    </row>
    <row r="94" spans="1:13" x14ac:dyDescent="0.25">
      <c r="A94">
        <f t="shared" si="2"/>
        <v>13056</v>
      </c>
      <c r="B94" s="16">
        <v>0</v>
      </c>
      <c r="C94" s="16">
        <v>0</v>
      </c>
      <c r="D94" s="16">
        <v>0</v>
      </c>
      <c r="E94" s="16">
        <v>0</v>
      </c>
      <c r="F94" s="30">
        <v>0</v>
      </c>
      <c r="H94">
        <f t="shared" si="3"/>
        <v>13056</v>
      </c>
      <c r="I94" s="16">
        <v>0</v>
      </c>
      <c r="J94" s="16">
        <v>0</v>
      </c>
      <c r="K94" s="16">
        <v>0</v>
      </c>
      <c r="L94" s="16">
        <v>0</v>
      </c>
      <c r="M94" s="30">
        <v>0</v>
      </c>
    </row>
    <row r="95" spans="1:13" x14ac:dyDescent="0.25">
      <c r="A95">
        <f t="shared" si="2"/>
        <v>13056</v>
      </c>
      <c r="B95" s="16">
        <v>0</v>
      </c>
      <c r="C95" s="16">
        <v>0</v>
      </c>
      <c r="D95" s="16">
        <v>0</v>
      </c>
      <c r="E95" s="16">
        <v>0</v>
      </c>
      <c r="F95" s="30">
        <v>0</v>
      </c>
      <c r="H95">
        <f t="shared" si="3"/>
        <v>13056</v>
      </c>
      <c r="I95" s="16">
        <v>0</v>
      </c>
      <c r="J95" s="16">
        <v>0</v>
      </c>
      <c r="K95" s="16">
        <v>0</v>
      </c>
      <c r="L95" s="16">
        <v>0</v>
      </c>
      <c r="M95" s="30">
        <v>0</v>
      </c>
    </row>
    <row r="96" spans="1:13" x14ac:dyDescent="0.25">
      <c r="A96">
        <f t="shared" si="2"/>
        <v>13056</v>
      </c>
      <c r="B96" s="16">
        <v>0</v>
      </c>
      <c r="C96" s="16">
        <v>0</v>
      </c>
      <c r="D96" s="16">
        <v>0</v>
      </c>
      <c r="E96" s="16">
        <v>0</v>
      </c>
      <c r="F96" s="30">
        <v>0</v>
      </c>
      <c r="H96">
        <f t="shared" si="3"/>
        <v>13056</v>
      </c>
      <c r="I96" s="16">
        <v>0</v>
      </c>
      <c r="J96" s="16">
        <v>0</v>
      </c>
      <c r="K96" s="16">
        <v>0</v>
      </c>
      <c r="L96" s="16">
        <v>0</v>
      </c>
      <c r="M96" s="30">
        <v>0</v>
      </c>
    </row>
    <row r="97" spans="1:13" x14ac:dyDescent="0.25">
      <c r="A97">
        <f t="shared" si="2"/>
        <v>13056</v>
      </c>
      <c r="B97" s="16">
        <v>0</v>
      </c>
      <c r="C97" s="16">
        <v>0</v>
      </c>
      <c r="D97" s="16">
        <v>0</v>
      </c>
      <c r="E97" s="16">
        <v>0</v>
      </c>
      <c r="F97" s="30">
        <v>0</v>
      </c>
      <c r="H97">
        <f t="shared" si="3"/>
        <v>13056</v>
      </c>
      <c r="I97" s="16">
        <v>0</v>
      </c>
      <c r="J97" s="16">
        <v>0</v>
      </c>
      <c r="K97" s="16">
        <v>0</v>
      </c>
      <c r="L97" s="16">
        <v>0</v>
      </c>
      <c r="M97" s="30">
        <v>0</v>
      </c>
    </row>
    <row r="98" spans="1:13" x14ac:dyDescent="0.25">
      <c r="A98">
        <f t="shared" si="2"/>
        <v>13056</v>
      </c>
      <c r="B98" s="16">
        <v>0</v>
      </c>
      <c r="C98" s="16">
        <v>0</v>
      </c>
      <c r="D98" s="16">
        <v>0</v>
      </c>
      <c r="E98" s="16">
        <v>0</v>
      </c>
      <c r="F98" s="30">
        <v>0</v>
      </c>
      <c r="H98">
        <f t="shared" si="3"/>
        <v>13056</v>
      </c>
      <c r="I98" s="16">
        <v>0</v>
      </c>
      <c r="J98" s="16">
        <v>0</v>
      </c>
      <c r="K98" s="16">
        <v>0</v>
      </c>
      <c r="L98" s="16">
        <v>0</v>
      </c>
      <c r="M98" s="30">
        <v>0</v>
      </c>
    </row>
    <row r="99" spans="1:13" x14ac:dyDescent="0.25">
      <c r="A99">
        <f t="shared" si="2"/>
        <v>13056</v>
      </c>
      <c r="B99" s="16">
        <v>0</v>
      </c>
      <c r="C99" s="16">
        <v>0</v>
      </c>
      <c r="D99" s="16">
        <v>0</v>
      </c>
      <c r="E99" s="16">
        <v>0</v>
      </c>
      <c r="F99" s="30">
        <v>0</v>
      </c>
      <c r="H99">
        <f t="shared" si="3"/>
        <v>13056</v>
      </c>
      <c r="I99" s="16">
        <v>0</v>
      </c>
      <c r="J99" s="16">
        <v>0</v>
      </c>
      <c r="K99" s="16">
        <v>0</v>
      </c>
      <c r="L99" s="16">
        <v>0</v>
      </c>
      <c r="M99" s="30">
        <v>0</v>
      </c>
    </row>
    <row r="100" spans="1:13" x14ac:dyDescent="0.25">
      <c r="A100">
        <f t="shared" si="2"/>
        <v>13056</v>
      </c>
      <c r="B100" s="16">
        <v>0</v>
      </c>
      <c r="C100" s="16">
        <v>0</v>
      </c>
      <c r="D100" s="16">
        <v>0</v>
      </c>
      <c r="E100" s="16">
        <v>0</v>
      </c>
      <c r="F100" s="30">
        <v>0</v>
      </c>
      <c r="H100">
        <f t="shared" si="3"/>
        <v>13056</v>
      </c>
      <c r="I100" s="16">
        <v>0</v>
      </c>
      <c r="J100" s="16">
        <v>0</v>
      </c>
      <c r="K100" s="16">
        <v>0</v>
      </c>
      <c r="L100" s="16">
        <v>0</v>
      </c>
      <c r="M100" s="30">
        <v>0</v>
      </c>
    </row>
    <row r="101" spans="1:13" x14ac:dyDescent="0.25">
      <c r="A101">
        <f t="shared" si="2"/>
        <v>13056</v>
      </c>
      <c r="B101" s="16">
        <v>0</v>
      </c>
      <c r="C101" s="16">
        <v>0</v>
      </c>
      <c r="D101" s="16">
        <v>0</v>
      </c>
      <c r="E101" s="16">
        <v>0</v>
      </c>
      <c r="F101" s="30">
        <v>0</v>
      </c>
      <c r="H101">
        <f t="shared" si="3"/>
        <v>13056</v>
      </c>
      <c r="I101" s="16">
        <v>0</v>
      </c>
      <c r="J101" s="16">
        <v>0</v>
      </c>
      <c r="K101" s="16">
        <v>0</v>
      </c>
      <c r="L101" s="16">
        <v>0</v>
      </c>
      <c r="M101" s="30">
        <v>0</v>
      </c>
    </row>
    <row r="102" spans="1:13" x14ac:dyDescent="0.25">
      <c r="A102">
        <f t="shared" si="2"/>
        <v>13056</v>
      </c>
      <c r="B102" s="16">
        <v>0</v>
      </c>
      <c r="C102" s="16">
        <v>0</v>
      </c>
      <c r="D102" s="16">
        <v>0</v>
      </c>
      <c r="E102" s="16">
        <v>0</v>
      </c>
      <c r="F102" s="30">
        <v>0</v>
      </c>
      <c r="H102">
        <f t="shared" si="3"/>
        <v>13056</v>
      </c>
      <c r="I102" s="16">
        <v>0</v>
      </c>
      <c r="J102" s="16">
        <v>0</v>
      </c>
      <c r="K102" s="16">
        <v>0</v>
      </c>
      <c r="L102" s="16">
        <v>0</v>
      </c>
      <c r="M102" s="30">
        <v>0</v>
      </c>
    </row>
    <row r="103" spans="1:13" x14ac:dyDescent="0.25">
      <c r="A103">
        <f t="shared" si="2"/>
        <v>13056</v>
      </c>
      <c r="B103" s="16">
        <v>0</v>
      </c>
      <c r="C103" s="16">
        <v>0</v>
      </c>
      <c r="D103" s="16">
        <v>0</v>
      </c>
      <c r="E103" s="16">
        <v>0</v>
      </c>
      <c r="F103" s="30">
        <v>0</v>
      </c>
      <c r="H103">
        <f t="shared" si="3"/>
        <v>13056</v>
      </c>
      <c r="I103" s="16">
        <v>0</v>
      </c>
      <c r="J103" s="16">
        <v>0</v>
      </c>
      <c r="K103" s="16">
        <v>0</v>
      </c>
      <c r="L103" s="16">
        <v>0</v>
      </c>
      <c r="M103" s="30">
        <v>0</v>
      </c>
    </row>
    <row r="104" spans="1:13" x14ac:dyDescent="0.25">
      <c r="A104">
        <f t="shared" si="2"/>
        <v>13056</v>
      </c>
      <c r="B104" s="16">
        <v>0</v>
      </c>
      <c r="C104" s="16">
        <v>0</v>
      </c>
      <c r="D104" s="16">
        <v>0</v>
      </c>
      <c r="E104" s="16">
        <v>0</v>
      </c>
      <c r="F104" s="30">
        <v>0</v>
      </c>
      <c r="H104">
        <f t="shared" si="3"/>
        <v>13056</v>
      </c>
      <c r="I104" s="16">
        <v>0</v>
      </c>
      <c r="J104" s="16">
        <v>0</v>
      </c>
      <c r="K104" s="16">
        <v>0</v>
      </c>
      <c r="L104" s="16">
        <v>0</v>
      </c>
      <c r="M104" s="30">
        <v>0</v>
      </c>
    </row>
    <row r="105" spans="1:13" x14ac:dyDescent="0.25">
      <c r="A105">
        <f t="shared" si="2"/>
        <v>13056</v>
      </c>
      <c r="B105" s="16">
        <v>0</v>
      </c>
      <c r="C105" s="16">
        <v>0</v>
      </c>
      <c r="D105" s="16">
        <v>0</v>
      </c>
      <c r="E105" s="16">
        <v>0</v>
      </c>
      <c r="F105" s="30">
        <v>0</v>
      </c>
      <c r="H105">
        <f t="shared" si="3"/>
        <v>13056</v>
      </c>
      <c r="I105" s="16">
        <v>0</v>
      </c>
      <c r="J105" s="16">
        <v>0</v>
      </c>
      <c r="K105" s="16">
        <v>0</v>
      </c>
      <c r="L105" s="16">
        <v>0</v>
      </c>
      <c r="M105" s="30">
        <v>0</v>
      </c>
    </row>
    <row r="106" spans="1:13" x14ac:dyDescent="0.25">
      <c r="A106">
        <f t="shared" si="2"/>
        <v>13056</v>
      </c>
      <c r="B106" s="16">
        <v>0</v>
      </c>
      <c r="C106" s="16">
        <v>0</v>
      </c>
      <c r="D106" s="16">
        <v>0</v>
      </c>
      <c r="E106" s="16">
        <v>0</v>
      </c>
      <c r="F106" s="30">
        <v>0</v>
      </c>
      <c r="H106">
        <f t="shared" si="3"/>
        <v>13056</v>
      </c>
      <c r="I106" s="16">
        <v>0</v>
      </c>
      <c r="J106" s="16">
        <v>0</v>
      </c>
      <c r="K106" s="16">
        <v>0</v>
      </c>
      <c r="L106" s="16">
        <v>0</v>
      </c>
      <c r="M106" s="30">
        <v>0</v>
      </c>
    </row>
    <row r="107" spans="1:13" x14ac:dyDescent="0.25">
      <c r="A107">
        <f t="shared" si="2"/>
        <v>13056</v>
      </c>
      <c r="B107" s="16">
        <v>0</v>
      </c>
      <c r="C107" s="16">
        <v>0</v>
      </c>
      <c r="D107" s="16">
        <v>0</v>
      </c>
      <c r="E107" s="16">
        <v>0</v>
      </c>
      <c r="F107" s="30">
        <v>0</v>
      </c>
      <c r="H107">
        <f t="shared" si="3"/>
        <v>13056</v>
      </c>
      <c r="I107" s="16">
        <v>0</v>
      </c>
      <c r="J107" s="16">
        <v>0</v>
      </c>
      <c r="K107" s="16">
        <v>0</v>
      </c>
      <c r="L107" s="16">
        <v>0</v>
      </c>
      <c r="M107" s="30">
        <v>0</v>
      </c>
    </row>
    <row r="108" spans="1:13" x14ac:dyDescent="0.25">
      <c r="A108">
        <f t="shared" si="2"/>
        <v>13056</v>
      </c>
      <c r="B108" s="16">
        <v>0</v>
      </c>
      <c r="C108" s="16">
        <v>0</v>
      </c>
      <c r="D108" s="16">
        <v>0</v>
      </c>
      <c r="E108" s="16">
        <v>0</v>
      </c>
      <c r="F108" s="30">
        <v>0</v>
      </c>
      <c r="H108">
        <f t="shared" si="3"/>
        <v>13056</v>
      </c>
      <c r="I108" s="16">
        <v>0</v>
      </c>
      <c r="J108" s="16">
        <v>0</v>
      </c>
      <c r="K108" s="16">
        <v>0</v>
      </c>
      <c r="L108" s="16">
        <v>0</v>
      </c>
      <c r="M108" s="30">
        <v>0</v>
      </c>
    </row>
    <row r="109" spans="1:13" x14ac:dyDescent="0.25">
      <c r="A109">
        <f t="shared" si="2"/>
        <v>13056</v>
      </c>
      <c r="B109" s="16">
        <v>0</v>
      </c>
      <c r="C109" s="16">
        <v>0</v>
      </c>
      <c r="D109" s="16">
        <v>0</v>
      </c>
      <c r="E109" s="16">
        <v>0</v>
      </c>
      <c r="F109" s="30">
        <v>0</v>
      </c>
      <c r="H109">
        <f t="shared" si="3"/>
        <v>13056</v>
      </c>
      <c r="I109" s="16">
        <v>0</v>
      </c>
      <c r="J109" s="16">
        <v>0</v>
      </c>
      <c r="K109" s="16">
        <v>0</v>
      </c>
      <c r="L109" s="16">
        <v>0</v>
      </c>
      <c r="M109" s="30">
        <v>0</v>
      </c>
    </row>
    <row r="110" spans="1:13" x14ac:dyDescent="0.25">
      <c r="A110">
        <f t="shared" si="2"/>
        <v>13056</v>
      </c>
      <c r="B110" s="16">
        <v>0</v>
      </c>
      <c r="C110" s="16">
        <v>0</v>
      </c>
      <c r="D110" s="16">
        <v>0</v>
      </c>
      <c r="E110" s="16">
        <v>0</v>
      </c>
      <c r="F110" s="30">
        <v>0</v>
      </c>
      <c r="H110">
        <f t="shared" si="3"/>
        <v>13056</v>
      </c>
      <c r="I110" s="16">
        <v>0</v>
      </c>
      <c r="J110" s="16">
        <v>0</v>
      </c>
      <c r="K110" s="16">
        <v>0</v>
      </c>
      <c r="L110" s="16">
        <v>0</v>
      </c>
      <c r="M110" s="30">
        <v>0</v>
      </c>
    </row>
    <row r="111" spans="1:13" x14ac:dyDescent="0.25">
      <c r="A111">
        <f t="shared" si="2"/>
        <v>13056</v>
      </c>
      <c r="B111" s="16">
        <v>0</v>
      </c>
      <c r="C111" s="16">
        <v>0</v>
      </c>
      <c r="D111" s="16">
        <v>0</v>
      </c>
      <c r="E111" s="16">
        <v>0</v>
      </c>
      <c r="F111" s="30">
        <v>0</v>
      </c>
      <c r="H111">
        <f t="shared" si="3"/>
        <v>13056</v>
      </c>
      <c r="I111" s="16">
        <v>0</v>
      </c>
      <c r="J111" s="16">
        <v>0</v>
      </c>
      <c r="K111" s="16">
        <v>0</v>
      </c>
      <c r="L111" s="16">
        <v>0</v>
      </c>
      <c r="M111" s="30">
        <v>0</v>
      </c>
    </row>
    <row r="112" spans="1:13" x14ac:dyDescent="0.25">
      <c r="A112">
        <f t="shared" si="2"/>
        <v>13056</v>
      </c>
      <c r="B112" s="16">
        <v>0</v>
      </c>
      <c r="C112" s="16">
        <v>0</v>
      </c>
      <c r="D112" s="16">
        <v>0</v>
      </c>
      <c r="E112" s="16">
        <v>0</v>
      </c>
      <c r="F112" s="30">
        <v>0</v>
      </c>
      <c r="H112">
        <f t="shared" si="3"/>
        <v>13056</v>
      </c>
      <c r="I112" s="16">
        <v>0</v>
      </c>
      <c r="J112" s="16">
        <v>0</v>
      </c>
      <c r="K112" s="16">
        <v>0</v>
      </c>
      <c r="L112" s="16">
        <v>0</v>
      </c>
      <c r="M112" s="30">
        <v>0</v>
      </c>
    </row>
    <row r="113" spans="1:13" x14ac:dyDescent="0.25">
      <c r="A113">
        <f t="shared" si="2"/>
        <v>13056</v>
      </c>
      <c r="B113" s="16">
        <v>0</v>
      </c>
      <c r="C113" s="16">
        <v>0</v>
      </c>
      <c r="D113" s="16">
        <v>0</v>
      </c>
      <c r="E113" s="16">
        <v>0</v>
      </c>
      <c r="F113" s="30">
        <v>0</v>
      </c>
      <c r="H113">
        <f t="shared" si="3"/>
        <v>13056</v>
      </c>
      <c r="I113" s="16">
        <v>0</v>
      </c>
      <c r="J113" s="16">
        <v>0</v>
      </c>
      <c r="K113" s="16">
        <v>0</v>
      </c>
      <c r="L113" s="16">
        <v>0</v>
      </c>
      <c r="M113" s="30">
        <v>0</v>
      </c>
    </row>
    <row r="114" spans="1:13" x14ac:dyDescent="0.25">
      <c r="A114">
        <f t="shared" si="2"/>
        <v>13056</v>
      </c>
      <c r="B114" s="16">
        <v>0</v>
      </c>
      <c r="C114" s="16">
        <v>0</v>
      </c>
      <c r="D114" s="16">
        <v>0</v>
      </c>
      <c r="E114" s="16">
        <v>0</v>
      </c>
      <c r="F114" s="30">
        <v>0</v>
      </c>
      <c r="H114">
        <f t="shared" si="3"/>
        <v>13056</v>
      </c>
      <c r="I114" s="16">
        <v>0</v>
      </c>
      <c r="J114" s="16">
        <v>0</v>
      </c>
      <c r="K114" s="16">
        <v>0</v>
      </c>
      <c r="L114" s="16">
        <v>0</v>
      </c>
      <c r="M114" s="30">
        <v>0</v>
      </c>
    </row>
    <row r="115" spans="1:13" x14ac:dyDescent="0.25">
      <c r="A115">
        <f t="shared" si="2"/>
        <v>13056</v>
      </c>
      <c r="B115" s="16">
        <v>0</v>
      </c>
      <c r="C115" s="16">
        <v>0</v>
      </c>
      <c r="D115" s="16">
        <v>0</v>
      </c>
      <c r="E115" s="16">
        <v>0</v>
      </c>
      <c r="F115" s="30">
        <v>0</v>
      </c>
      <c r="H115">
        <f t="shared" si="3"/>
        <v>13056</v>
      </c>
      <c r="I115" s="16">
        <v>0</v>
      </c>
      <c r="J115" s="16">
        <v>0</v>
      </c>
      <c r="K115" s="16">
        <v>0</v>
      </c>
      <c r="L115" s="16">
        <v>0</v>
      </c>
      <c r="M115" s="30">
        <v>0</v>
      </c>
    </row>
    <row r="116" spans="1:13" x14ac:dyDescent="0.25">
      <c r="A116">
        <f t="shared" si="2"/>
        <v>13056</v>
      </c>
      <c r="B116" s="16">
        <v>0</v>
      </c>
      <c r="C116" s="16">
        <v>0</v>
      </c>
      <c r="D116" s="16">
        <v>0</v>
      </c>
      <c r="E116" s="16">
        <v>0</v>
      </c>
      <c r="F116" s="30">
        <v>0</v>
      </c>
      <c r="H116">
        <f t="shared" si="3"/>
        <v>13056</v>
      </c>
      <c r="I116" s="16">
        <v>0</v>
      </c>
      <c r="J116" s="16">
        <v>0</v>
      </c>
      <c r="K116" s="16">
        <v>0</v>
      </c>
      <c r="L116" s="16">
        <v>0</v>
      </c>
      <c r="M116" s="30">
        <v>0</v>
      </c>
    </row>
    <row r="117" spans="1:13" x14ac:dyDescent="0.25">
      <c r="A117">
        <f t="shared" si="2"/>
        <v>13056</v>
      </c>
      <c r="B117" s="16">
        <v>0</v>
      </c>
      <c r="C117" s="16">
        <v>0</v>
      </c>
      <c r="D117" s="16">
        <v>0</v>
      </c>
      <c r="E117" s="16">
        <v>0</v>
      </c>
      <c r="F117" s="30">
        <v>0</v>
      </c>
      <c r="H117">
        <f t="shared" si="3"/>
        <v>13056</v>
      </c>
      <c r="I117" s="16">
        <v>0</v>
      </c>
      <c r="J117" s="16">
        <v>0</v>
      </c>
      <c r="K117" s="16">
        <v>0</v>
      </c>
      <c r="L117" s="16">
        <v>0</v>
      </c>
      <c r="M117" s="30">
        <v>0</v>
      </c>
    </row>
    <row r="118" spans="1:13" x14ac:dyDescent="0.25">
      <c r="A118">
        <f t="shared" si="2"/>
        <v>13056</v>
      </c>
      <c r="B118" s="16">
        <v>0</v>
      </c>
      <c r="C118" s="16">
        <v>0</v>
      </c>
      <c r="D118" s="16">
        <v>0</v>
      </c>
      <c r="E118" s="16">
        <v>0</v>
      </c>
      <c r="F118" s="30">
        <v>0</v>
      </c>
      <c r="H118">
        <f t="shared" si="3"/>
        <v>13056</v>
      </c>
      <c r="I118" s="16">
        <v>0</v>
      </c>
      <c r="J118" s="16">
        <v>0</v>
      </c>
      <c r="K118" s="16">
        <v>0</v>
      </c>
      <c r="L118" s="16">
        <v>0</v>
      </c>
      <c r="M118" s="30">
        <v>0</v>
      </c>
    </row>
    <row r="119" spans="1:13" x14ac:dyDescent="0.25">
      <c r="A119">
        <f t="shared" si="2"/>
        <v>13056</v>
      </c>
      <c r="B119" s="16">
        <v>0</v>
      </c>
      <c r="C119" s="16">
        <v>0</v>
      </c>
      <c r="D119" s="16">
        <v>0</v>
      </c>
      <c r="E119" s="16">
        <v>0</v>
      </c>
      <c r="F119" s="30">
        <v>0</v>
      </c>
      <c r="H119">
        <f t="shared" si="3"/>
        <v>13056</v>
      </c>
      <c r="I119" s="16">
        <v>0</v>
      </c>
      <c r="J119" s="16">
        <v>0</v>
      </c>
      <c r="K119" s="16">
        <v>0</v>
      </c>
      <c r="L119" s="16">
        <v>0</v>
      </c>
      <c r="M119" s="30">
        <v>0</v>
      </c>
    </row>
    <row r="120" spans="1:13" x14ac:dyDescent="0.25">
      <c r="A120">
        <f t="shared" si="2"/>
        <v>13056</v>
      </c>
      <c r="B120" s="16">
        <v>0</v>
      </c>
      <c r="C120" s="16">
        <v>0</v>
      </c>
      <c r="D120" s="16">
        <v>0</v>
      </c>
      <c r="E120" s="16">
        <v>0</v>
      </c>
      <c r="F120" s="30">
        <v>0</v>
      </c>
      <c r="H120">
        <f t="shared" si="3"/>
        <v>13056</v>
      </c>
      <c r="I120" s="16">
        <v>0</v>
      </c>
      <c r="J120" s="16">
        <v>0</v>
      </c>
      <c r="K120" s="16">
        <v>0</v>
      </c>
      <c r="L120" s="16">
        <v>0</v>
      </c>
      <c r="M120" s="30">
        <v>0</v>
      </c>
    </row>
    <row r="121" spans="1:13" x14ac:dyDescent="0.25">
      <c r="A121">
        <f t="shared" si="2"/>
        <v>13056</v>
      </c>
      <c r="B121" s="16">
        <v>0</v>
      </c>
      <c r="C121" s="16">
        <v>0</v>
      </c>
      <c r="D121" s="16">
        <v>0</v>
      </c>
      <c r="E121" s="16">
        <v>0</v>
      </c>
      <c r="F121" s="30">
        <v>0</v>
      </c>
      <c r="H121">
        <f t="shared" si="3"/>
        <v>13056</v>
      </c>
      <c r="I121" s="16">
        <v>0</v>
      </c>
      <c r="J121" s="16">
        <v>0</v>
      </c>
      <c r="K121" s="16">
        <v>0</v>
      </c>
      <c r="L121" s="16">
        <v>0</v>
      </c>
      <c r="M121" s="30">
        <v>0</v>
      </c>
    </row>
    <row r="122" spans="1:13" x14ac:dyDescent="0.25">
      <c r="A122">
        <f t="shared" si="2"/>
        <v>13056</v>
      </c>
      <c r="B122" s="16">
        <v>0</v>
      </c>
      <c r="C122" s="16">
        <v>0</v>
      </c>
      <c r="D122" s="16">
        <v>0</v>
      </c>
      <c r="E122" s="16">
        <v>0</v>
      </c>
      <c r="F122" s="30">
        <v>0</v>
      </c>
      <c r="H122">
        <f t="shared" si="3"/>
        <v>13056</v>
      </c>
      <c r="I122" s="16">
        <v>0</v>
      </c>
      <c r="J122" s="16">
        <v>0</v>
      </c>
      <c r="K122" s="16">
        <v>0</v>
      </c>
      <c r="L122" s="16">
        <v>0</v>
      </c>
      <c r="M122" s="30">
        <v>0</v>
      </c>
    </row>
    <row r="123" spans="1:13" x14ac:dyDescent="0.25">
      <c r="A123">
        <f t="shared" si="2"/>
        <v>13056</v>
      </c>
      <c r="B123" s="16">
        <v>0</v>
      </c>
      <c r="C123" s="16">
        <v>0</v>
      </c>
      <c r="D123" s="16">
        <v>0</v>
      </c>
      <c r="E123" s="16">
        <v>0</v>
      </c>
      <c r="F123" s="30">
        <v>0</v>
      </c>
      <c r="H123">
        <f t="shared" si="3"/>
        <v>13056</v>
      </c>
      <c r="I123" s="16">
        <v>0</v>
      </c>
      <c r="J123" s="16">
        <v>0</v>
      </c>
      <c r="K123" s="16">
        <v>0</v>
      </c>
      <c r="L123" s="16">
        <v>0</v>
      </c>
      <c r="M123" s="30">
        <v>0</v>
      </c>
    </row>
    <row r="124" spans="1:13" x14ac:dyDescent="0.25">
      <c r="A124">
        <f t="shared" si="2"/>
        <v>13056</v>
      </c>
      <c r="B124" s="16">
        <v>0</v>
      </c>
      <c r="C124" s="16">
        <v>0</v>
      </c>
      <c r="D124" s="16">
        <v>0</v>
      </c>
      <c r="E124" s="16">
        <v>0</v>
      </c>
      <c r="F124" s="30">
        <v>0</v>
      </c>
      <c r="H124">
        <f t="shared" si="3"/>
        <v>13056</v>
      </c>
      <c r="I124" s="16">
        <v>0</v>
      </c>
      <c r="J124" s="16">
        <v>0</v>
      </c>
      <c r="K124" s="16">
        <v>0</v>
      </c>
      <c r="L124" s="16">
        <v>0</v>
      </c>
      <c r="M124" s="30">
        <v>0</v>
      </c>
    </row>
    <row r="125" spans="1:13" x14ac:dyDescent="0.25">
      <c r="A125">
        <f t="shared" si="2"/>
        <v>13056</v>
      </c>
      <c r="B125" s="16">
        <v>0</v>
      </c>
      <c r="C125" s="16">
        <v>0</v>
      </c>
      <c r="D125" s="16">
        <v>0</v>
      </c>
      <c r="E125" s="16">
        <v>0</v>
      </c>
      <c r="F125" s="30">
        <v>0</v>
      </c>
      <c r="H125">
        <f t="shared" si="3"/>
        <v>13056</v>
      </c>
      <c r="I125" s="16">
        <v>0</v>
      </c>
      <c r="J125" s="16">
        <v>0</v>
      </c>
      <c r="K125" s="16">
        <v>0</v>
      </c>
      <c r="L125" s="16">
        <v>0</v>
      </c>
      <c r="M125" s="30">
        <v>0</v>
      </c>
    </row>
    <row r="126" spans="1:13" x14ac:dyDescent="0.25">
      <c r="A126">
        <f t="shared" si="2"/>
        <v>13056</v>
      </c>
      <c r="B126" s="16">
        <v>0</v>
      </c>
      <c r="C126" s="16">
        <v>0</v>
      </c>
      <c r="D126" s="16">
        <v>0</v>
      </c>
      <c r="E126" s="16">
        <v>0</v>
      </c>
      <c r="F126" s="30">
        <v>0</v>
      </c>
      <c r="H126">
        <f t="shared" si="3"/>
        <v>13056</v>
      </c>
      <c r="I126" s="16">
        <v>0</v>
      </c>
      <c r="J126" s="16">
        <v>0</v>
      </c>
      <c r="K126" s="16">
        <v>0</v>
      </c>
      <c r="L126" s="16">
        <v>0</v>
      </c>
      <c r="M126" s="30">
        <v>0</v>
      </c>
    </row>
    <row r="127" spans="1:13" x14ac:dyDescent="0.25">
      <c r="A127">
        <f t="shared" si="2"/>
        <v>13056</v>
      </c>
      <c r="B127" s="16">
        <v>0</v>
      </c>
      <c r="C127" s="16">
        <v>0</v>
      </c>
      <c r="D127" s="16">
        <v>0</v>
      </c>
      <c r="E127" s="16">
        <v>0</v>
      </c>
      <c r="F127" s="30">
        <v>0</v>
      </c>
      <c r="H127">
        <f t="shared" si="3"/>
        <v>13056</v>
      </c>
      <c r="I127" s="16">
        <v>0</v>
      </c>
      <c r="J127" s="16">
        <v>0</v>
      </c>
      <c r="K127" s="16">
        <v>0</v>
      </c>
      <c r="L127" s="16">
        <v>0</v>
      </c>
      <c r="M127" s="30">
        <v>0</v>
      </c>
    </row>
    <row r="128" spans="1:13" x14ac:dyDescent="0.25">
      <c r="A128">
        <f t="shared" si="2"/>
        <v>13056</v>
      </c>
      <c r="B128" s="16">
        <v>0</v>
      </c>
      <c r="C128" s="16">
        <v>0</v>
      </c>
      <c r="D128" s="16">
        <v>0</v>
      </c>
      <c r="E128" s="16">
        <v>0</v>
      </c>
      <c r="F128" s="30">
        <v>0</v>
      </c>
      <c r="H128">
        <f t="shared" si="3"/>
        <v>13056</v>
      </c>
      <c r="I128" s="16">
        <v>0</v>
      </c>
      <c r="J128" s="16">
        <v>0</v>
      </c>
      <c r="K128" s="16">
        <v>0</v>
      </c>
      <c r="L128" s="16">
        <v>0</v>
      </c>
      <c r="M128" s="30">
        <v>0</v>
      </c>
    </row>
    <row r="129" spans="1:13" x14ac:dyDescent="0.25">
      <c r="A129">
        <f t="shared" si="2"/>
        <v>13056</v>
      </c>
      <c r="B129" s="16">
        <v>0</v>
      </c>
      <c r="C129" s="16">
        <v>0</v>
      </c>
      <c r="D129" s="16">
        <v>0</v>
      </c>
      <c r="E129" s="16">
        <v>0</v>
      </c>
      <c r="F129" s="30">
        <v>0</v>
      </c>
      <c r="H129">
        <f t="shared" si="3"/>
        <v>13056</v>
      </c>
      <c r="I129" s="16">
        <v>0</v>
      </c>
      <c r="J129" s="16">
        <v>0</v>
      </c>
      <c r="K129" s="16">
        <v>0</v>
      </c>
      <c r="L129" s="16">
        <v>0</v>
      </c>
      <c r="M129" s="30">
        <v>0</v>
      </c>
    </row>
    <row r="130" spans="1:13" x14ac:dyDescent="0.25">
      <c r="A130">
        <f t="shared" si="2"/>
        <v>13056</v>
      </c>
      <c r="B130" s="16">
        <v>0</v>
      </c>
      <c r="C130" s="16">
        <v>0</v>
      </c>
      <c r="D130" s="16">
        <v>0</v>
      </c>
      <c r="E130" s="16">
        <v>0</v>
      </c>
      <c r="F130" s="30">
        <v>0</v>
      </c>
      <c r="H130">
        <f t="shared" si="3"/>
        <v>13056</v>
      </c>
      <c r="I130" s="16">
        <v>0</v>
      </c>
      <c r="J130" s="16">
        <v>0</v>
      </c>
      <c r="K130" s="16">
        <v>0</v>
      </c>
      <c r="L130" s="16">
        <v>0</v>
      </c>
      <c r="M130" s="30">
        <v>0</v>
      </c>
    </row>
    <row r="131" spans="1:13" x14ac:dyDescent="0.25">
      <c r="A131">
        <f t="shared" si="2"/>
        <v>13056</v>
      </c>
      <c r="B131" s="16">
        <v>0</v>
      </c>
      <c r="C131" s="16">
        <v>0</v>
      </c>
      <c r="D131" s="16">
        <v>0</v>
      </c>
      <c r="E131" s="16">
        <v>0</v>
      </c>
      <c r="F131" s="30">
        <v>0</v>
      </c>
      <c r="H131">
        <f t="shared" si="3"/>
        <v>13056</v>
      </c>
      <c r="I131" s="16">
        <v>0</v>
      </c>
      <c r="J131" s="16">
        <v>0</v>
      </c>
      <c r="K131" s="16">
        <v>0</v>
      </c>
      <c r="L131" s="16">
        <v>0</v>
      </c>
      <c r="M131" s="30">
        <v>0</v>
      </c>
    </row>
    <row r="132" spans="1:13" x14ac:dyDescent="0.25">
      <c r="A132">
        <f t="shared" si="2"/>
        <v>13056</v>
      </c>
      <c r="B132" s="16">
        <v>0</v>
      </c>
      <c r="C132" s="16">
        <v>0</v>
      </c>
      <c r="D132" s="16">
        <v>0</v>
      </c>
      <c r="E132" s="16">
        <v>0</v>
      </c>
      <c r="F132" s="30">
        <v>0</v>
      </c>
      <c r="H132">
        <f t="shared" si="3"/>
        <v>13056</v>
      </c>
      <c r="I132" s="16">
        <v>0</v>
      </c>
      <c r="J132" s="16">
        <v>0</v>
      </c>
      <c r="K132" s="16">
        <v>0</v>
      </c>
      <c r="L132" s="16">
        <v>0</v>
      </c>
      <c r="M132" s="30">
        <v>0</v>
      </c>
    </row>
    <row r="133" spans="1:13" x14ac:dyDescent="0.25">
      <c r="A133">
        <f t="shared" ref="A133:A196" si="4">CHOOSE(IF(ABS(B133-13056)&lt;=ABS(B133-13824),IF(ABS(B133-13056)&lt;=ABS(B133-14592),1,3),IF(ABS(B133-13824)&lt;=ABS(B133-14592),2,3)),13056,13824,14592)</f>
        <v>13056</v>
      </c>
      <c r="B133" s="16">
        <v>0</v>
      </c>
      <c r="C133" s="16">
        <v>0</v>
      </c>
      <c r="D133" s="16">
        <v>0</v>
      </c>
      <c r="E133" s="16">
        <v>0</v>
      </c>
      <c r="F133" s="30">
        <v>0</v>
      </c>
      <c r="H133">
        <f t="shared" ref="H133:H196" si="5">CHOOSE(IF(ABS(I133-13056)&lt;=ABS(I133-13824),IF(ABS(I133-13056)&lt;=ABS(I133-14592),1,3),IF(ABS(I133-13824)&lt;=ABS(I133-14592),2,3)),13056,13824,14592)</f>
        <v>13056</v>
      </c>
      <c r="I133" s="16">
        <v>0</v>
      </c>
      <c r="J133" s="16">
        <v>0</v>
      </c>
      <c r="K133" s="16">
        <v>0</v>
      </c>
      <c r="L133" s="16">
        <v>0</v>
      </c>
      <c r="M133" s="30">
        <v>0</v>
      </c>
    </row>
    <row r="134" spans="1:13" x14ac:dyDescent="0.25">
      <c r="A134">
        <f t="shared" si="4"/>
        <v>13056</v>
      </c>
      <c r="B134" s="16">
        <v>0</v>
      </c>
      <c r="C134" s="16">
        <v>0</v>
      </c>
      <c r="D134" s="16">
        <v>0</v>
      </c>
      <c r="E134" s="16">
        <v>0</v>
      </c>
      <c r="F134" s="30">
        <v>0</v>
      </c>
      <c r="H134">
        <f t="shared" si="5"/>
        <v>13056</v>
      </c>
      <c r="I134" s="16">
        <v>0</v>
      </c>
      <c r="J134" s="16">
        <v>0</v>
      </c>
      <c r="K134" s="16">
        <v>0</v>
      </c>
      <c r="L134" s="16">
        <v>0</v>
      </c>
      <c r="M134" s="30">
        <v>0</v>
      </c>
    </row>
    <row r="135" spans="1:13" x14ac:dyDescent="0.25">
      <c r="A135">
        <f t="shared" si="4"/>
        <v>13056</v>
      </c>
      <c r="B135" s="16">
        <v>0</v>
      </c>
      <c r="C135" s="16">
        <v>0</v>
      </c>
      <c r="D135" s="16">
        <v>0</v>
      </c>
      <c r="E135" s="16">
        <v>0</v>
      </c>
      <c r="F135" s="30">
        <v>0</v>
      </c>
      <c r="H135">
        <f t="shared" si="5"/>
        <v>13056</v>
      </c>
      <c r="I135" s="16">
        <v>0</v>
      </c>
      <c r="J135" s="16">
        <v>0</v>
      </c>
      <c r="K135" s="16">
        <v>0</v>
      </c>
      <c r="L135" s="16">
        <v>0</v>
      </c>
      <c r="M135" s="30">
        <v>0</v>
      </c>
    </row>
    <row r="136" spans="1:13" x14ac:dyDescent="0.25">
      <c r="A136">
        <f t="shared" si="4"/>
        <v>13056</v>
      </c>
      <c r="B136" s="16">
        <v>0</v>
      </c>
      <c r="C136" s="16">
        <v>0</v>
      </c>
      <c r="D136" s="16">
        <v>0</v>
      </c>
      <c r="E136" s="16">
        <v>0</v>
      </c>
      <c r="F136" s="30">
        <v>0</v>
      </c>
      <c r="H136">
        <f t="shared" si="5"/>
        <v>13056</v>
      </c>
      <c r="I136" s="16">
        <v>0</v>
      </c>
      <c r="J136" s="16">
        <v>0</v>
      </c>
      <c r="K136" s="16">
        <v>0</v>
      </c>
      <c r="L136" s="16">
        <v>0</v>
      </c>
      <c r="M136" s="30">
        <v>0</v>
      </c>
    </row>
    <row r="137" spans="1:13" x14ac:dyDescent="0.25">
      <c r="A137">
        <f t="shared" si="4"/>
        <v>13056</v>
      </c>
      <c r="B137" s="16">
        <v>0</v>
      </c>
      <c r="C137" s="16">
        <v>0</v>
      </c>
      <c r="D137" s="16">
        <v>0</v>
      </c>
      <c r="E137" s="16">
        <v>0</v>
      </c>
      <c r="F137" s="30">
        <v>0</v>
      </c>
      <c r="H137">
        <f t="shared" si="5"/>
        <v>13056</v>
      </c>
      <c r="I137" s="16">
        <v>0</v>
      </c>
      <c r="J137" s="16">
        <v>0</v>
      </c>
      <c r="K137" s="16">
        <v>0</v>
      </c>
      <c r="L137" s="16">
        <v>0</v>
      </c>
      <c r="M137" s="30">
        <v>0</v>
      </c>
    </row>
    <row r="138" spans="1:13" x14ac:dyDescent="0.25">
      <c r="A138">
        <f t="shared" si="4"/>
        <v>13056</v>
      </c>
      <c r="B138" s="16">
        <v>0</v>
      </c>
      <c r="C138" s="16">
        <v>0</v>
      </c>
      <c r="D138" s="16">
        <v>0</v>
      </c>
      <c r="E138" s="16">
        <v>0</v>
      </c>
      <c r="F138" s="30">
        <v>0</v>
      </c>
      <c r="H138">
        <f t="shared" si="5"/>
        <v>13056</v>
      </c>
      <c r="I138" s="16">
        <v>0</v>
      </c>
      <c r="J138" s="16">
        <v>0</v>
      </c>
      <c r="K138" s="16">
        <v>0</v>
      </c>
      <c r="L138" s="16">
        <v>0</v>
      </c>
      <c r="M138" s="30">
        <v>0</v>
      </c>
    </row>
    <row r="139" spans="1:13" x14ac:dyDescent="0.25">
      <c r="A139">
        <f t="shared" si="4"/>
        <v>13056</v>
      </c>
      <c r="B139" s="16">
        <v>0</v>
      </c>
      <c r="C139" s="16">
        <v>0</v>
      </c>
      <c r="D139" s="16">
        <v>0</v>
      </c>
      <c r="E139" s="16">
        <v>0</v>
      </c>
      <c r="F139" s="30">
        <v>0</v>
      </c>
      <c r="H139">
        <f t="shared" si="5"/>
        <v>13056</v>
      </c>
      <c r="I139" s="16">
        <v>0</v>
      </c>
      <c r="J139" s="16">
        <v>0</v>
      </c>
      <c r="K139" s="16">
        <v>0</v>
      </c>
      <c r="L139" s="16">
        <v>0</v>
      </c>
      <c r="M139" s="30">
        <v>0</v>
      </c>
    </row>
    <row r="140" spans="1:13" x14ac:dyDescent="0.25">
      <c r="A140">
        <f t="shared" si="4"/>
        <v>13056</v>
      </c>
      <c r="B140" s="16">
        <v>0</v>
      </c>
      <c r="C140" s="16">
        <v>0</v>
      </c>
      <c r="D140" s="16">
        <v>0</v>
      </c>
      <c r="E140" s="16">
        <v>0</v>
      </c>
      <c r="F140" s="30">
        <v>0</v>
      </c>
      <c r="H140">
        <f t="shared" si="5"/>
        <v>13056</v>
      </c>
      <c r="I140" s="16">
        <v>0</v>
      </c>
      <c r="J140" s="16">
        <v>0</v>
      </c>
      <c r="K140" s="16">
        <v>0</v>
      </c>
      <c r="L140" s="16">
        <v>0</v>
      </c>
      <c r="M140" s="30">
        <v>0</v>
      </c>
    </row>
    <row r="141" spans="1:13" x14ac:dyDescent="0.25">
      <c r="A141">
        <f t="shared" si="4"/>
        <v>13056</v>
      </c>
      <c r="B141" s="16">
        <v>0</v>
      </c>
      <c r="C141" s="16">
        <v>0</v>
      </c>
      <c r="D141" s="16">
        <v>0</v>
      </c>
      <c r="E141" s="16">
        <v>0</v>
      </c>
      <c r="F141" s="30">
        <v>0</v>
      </c>
      <c r="H141">
        <f t="shared" si="5"/>
        <v>13056</v>
      </c>
      <c r="I141" s="16">
        <v>0</v>
      </c>
      <c r="J141" s="16">
        <v>0</v>
      </c>
      <c r="K141" s="16">
        <v>0</v>
      </c>
      <c r="L141" s="16">
        <v>0</v>
      </c>
      <c r="M141" s="30">
        <v>0</v>
      </c>
    </row>
    <row r="142" spans="1:13" x14ac:dyDescent="0.25">
      <c r="A142">
        <f t="shared" si="4"/>
        <v>13056</v>
      </c>
      <c r="B142" s="16">
        <v>0</v>
      </c>
      <c r="C142" s="16">
        <v>0</v>
      </c>
      <c r="D142" s="16">
        <v>0</v>
      </c>
      <c r="E142" s="16">
        <v>0</v>
      </c>
      <c r="F142" s="30">
        <v>0</v>
      </c>
      <c r="H142">
        <f t="shared" si="5"/>
        <v>13056</v>
      </c>
      <c r="I142" s="16">
        <v>0</v>
      </c>
      <c r="J142" s="16">
        <v>0</v>
      </c>
      <c r="K142" s="16">
        <v>0</v>
      </c>
      <c r="L142" s="16">
        <v>0</v>
      </c>
      <c r="M142" s="30">
        <v>0</v>
      </c>
    </row>
    <row r="143" spans="1:13" x14ac:dyDescent="0.25">
      <c r="A143">
        <f t="shared" si="4"/>
        <v>13056</v>
      </c>
      <c r="B143" s="16">
        <v>0</v>
      </c>
      <c r="C143" s="16">
        <v>0</v>
      </c>
      <c r="D143" s="16">
        <v>0</v>
      </c>
      <c r="E143" s="16">
        <v>0</v>
      </c>
      <c r="F143" s="30">
        <v>0</v>
      </c>
      <c r="H143">
        <f t="shared" si="5"/>
        <v>13056</v>
      </c>
      <c r="I143" s="16">
        <v>0</v>
      </c>
      <c r="J143" s="16">
        <v>0</v>
      </c>
      <c r="K143" s="16">
        <v>0</v>
      </c>
      <c r="L143" s="16">
        <v>0</v>
      </c>
      <c r="M143" s="30">
        <v>0</v>
      </c>
    </row>
    <row r="144" spans="1:13" x14ac:dyDescent="0.25">
      <c r="A144">
        <f t="shared" si="4"/>
        <v>13056</v>
      </c>
      <c r="B144" s="16">
        <v>0</v>
      </c>
      <c r="C144" s="16">
        <v>0</v>
      </c>
      <c r="D144" s="16">
        <v>0</v>
      </c>
      <c r="E144" s="16">
        <v>0</v>
      </c>
      <c r="F144" s="30">
        <v>0</v>
      </c>
      <c r="H144">
        <f t="shared" si="5"/>
        <v>13056</v>
      </c>
      <c r="I144" s="16">
        <v>0</v>
      </c>
      <c r="J144" s="16">
        <v>0</v>
      </c>
      <c r="K144" s="16">
        <v>0</v>
      </c>
      <c r="L144" s="16">
        <v>0</v>
      </c>
      <c r="M144" s="30">
        <v>0</v>
      </c>
    </row>
    <row r="145" spans="1:13" x14ac:dyDescent="0.25">
      <c r="A145">
        <f t="shared" si="4"/>
        <v>13056</v>
      </c>
      <c r="B145" s="16">
        <v>0</v>
      </c>
      <c r="C145" s="16">
        <v>0</v>
      </c>
      <c r="D145" s="16">
        <v>0</v>
      </c>
      <c r="E145" s="16">
        <v>0</v>
      </c>
      <c r="F145" s="30">
        <v>0</v>
      </c>
      <c r="H145">
        <f t="shared" si="5"/>
        <v>13056</v>
      </c>
      <c r="I145" s="16">
        <v>0</v>
      </c>
      <c r="J145" s="16">
        <v>0</v>
      </c>
      <c r="K145" s="16">
        <v>0</v>
      </c>
      <c r="L145" s="16">
        <v>0</v>
      </c>
      <c r="M145" s="30">
        <v>0</v>
      </c>
    </row>
    <row r="146" spans="1:13" x14ac:dyDescent="0.25">
      <c r="A146">
        <f t="shared" si="4"/>
        <v>13056</v>
      </c>
      <c r="B146" s="16">
        <v>0</v>
      </c>
      <c r="C146" s="16">
        <v>0</v>
      </c>
      <c r="D146" s="16">
        <v>0</v>
      </c>
      <c r="E146" s="16">
        <v>0</v>
      </c>
      <c r="F146" s="30">
        <v>0</v>
      </c>
      <c r="H146">
        <f t="shared" si="5"/>
        <v>13056</v>
      </c>
      <c r="I146" s="16">
        <v>0</v>
      </c>
      <c r="J146" s="16">
        <v>0</v>
      </c>
      <c r="K146" s="16">
        <v>0</v>
      </c>
      <c r="L146" s="16">
        <v>0</v>
      </c>
      <c r="M146" s="30">
        <v>0</v>
      </c>
    </row>
    <row r="147" spans="1:13" x14ac:dyDescent="0.25">
      <c r="A147">
        <f t="shared" si="4"/>
        <v>13056</v>
      </c>
      <c r="B147" s="16">
        <v>0</v>
      </c>
      <c r="C147" s="16">
        <v>0</v>
      </c>
      <c r="D147" s="16">
        <v>0</v>
      </c>
      <c r="E147" s="16">
        <v>0</v>
      </c>
      <c r="F147" s="30">
        <v>0</v>
      </c>
      <c r="H147">
        <f t="shared" si="5"/>
        <v>13056</v>
      </c>
      <c r="I147" s="16">
        <v>0</v>
      </c>
      <c r="J147" s="16">
        <v>0</v>
      </c>
      <c r="K147" s="16">
        <v>0</v>
      </c>
      <c r="L147" s="16">
        <v>0</v>
      </c>
      <c r="M147" s="30">
        <v>0</v>
      </c>
    </row>
    <row r="148" spans="1:13" x14ac:dyDescent="0.25">
      <c r="A148">
        <f t="shared" si="4"/>
        <v>13056</v>
      </c>
      <c r="B148" s="16">
        <v>0</v>
      </c>
      <c r="C148" s="16">
        <v>0</v>
      </c>
      <c r="D148" s="16">
        <v>0</v>
      </c>
      <c r="E148" s="16">
        <v>0</v>
      </c>
      <c r="F148" s="30">
        <v>0</v>
      </c>
      <c r="H148">
        <f t="shared" si="5"/>
        <v>13056</v>
      </c>
      <c r="I148" s="16">
        <v>0</v>
      </c>
      <c r="J148" s="16">
        <v>0</v>
      </c>
      <c r="K148" s="16">
        <v>0</v>
      </c>
      <c r="L148" s="16">
        <v>0</v>
      </c>
      <c r="M148" s="30">
        <v>0</v>
      </c>
    </row>
    <row r="149" spans="1:13" x14ac:dyDescent="0.25">
      <c r="A149">
        <f t="shared" si="4"/>
        <v>13056</v>
      </c>
      <c r="B149" s="16">
        <v>0</v>
      </c>
      <c r="C149" s="16">
        <v>0</v>
      </c>
      <c r="D149" s="16">
        <v>0</v>
      </c>
      <c r="E149" s="16">
        <v>0</v>
      </c>
      <c r="F149" s="30">
        <v>0</v>
      </c>
      <c r="H149">
        <f t="shared" si="5"/>
        <v>13056</v>
      </c>
      <c r="I149" s="16">
        <v>0</v>
      </c>
      <c r="J149" s="16">
        <v>0</v>
      </c>
      <c r="K149" s="16">
        <v>0</v>
      </c>
      <c r="L149" s="16">
        <v>0</v>
      </c>
      <c r="M149" s="30">
        <v>0</v>
      </c>
    </row>
    <row r="150" spans="1:13" x14ac:dyDescent="0.25">
      <c r="A150">
        <f t="shared" si="4"/>
        <v>13056</v>
      </c>
      <c r="B150" s="16">
        <v>0</v>
      </c>
      <c r="C150" s="16">
        <v>0</v>
      </c>
      <c r="D150" s="16">
        <v>0</v>
      </c>
      <c r="E150" s="16">
        <v>0</v>
      </c>
      <c r="F150" s="30">
        <v>0</v>
      </c>
      <c r="H150">
        <f t="shared" si="5"/>
        <v>13056</v>
      </c>
      <c r="I150" s="16">
        <v>0</v>
      </c>
      <c r="J150" s="16">
        <v>0</v>
      </c>
      <c r="K150" s="16">
        <v>0</v>
      </c>
      <c r="L150" s="16">
        <v>0</v>
      </c>
      <c r="M150" s="30">
        <v>0</v>
      </c>
    </row>
    <row r="151" spans="1:13" x14ac:dyDescent="0.25">
      <c r="A151">
        <f t="shared" si="4"/>
        <v>13056</v>
      </c>
      <c r="B151" s="16">
        <v>0</v>
      </c>
      <c r="C151" s="16">
        <v>0</v>
      </c>
      <c r="D151" s="16">
        <v>0</v>
      </c>
      <c r="E151" s="16">
        <v>0</v>
      </c>
      <c r="F151" s="30">
        <v>0</v>
      </c>
      <c r="H151">
        <f t="shared" si="5"/>
        <v>13056</v>
      </c>
      <c r="I151" s="16">
        <v>0</v>
      </c>
      <c r="J151" s="16">
        <v>0</v>
      </c>
      <c r="K151" s="16">
        <v>0</v>
      </c>
      <c r="L151" s="16">
        <v>0</v>
      </c>
      <c r="M151" s="30">
        <v>0</v>
      </c>
    </row>
    <row r="152" spans="1:13" x14ac:dyDescent="0.25">
      <c r="A152">
        <f t="shared" si="4"/>
        <v>13056</v>
      </c>
      <c r="B152" s="16">
        <v>0</v>
      </c>
      <c r="C152" s="16">
        <v>0</v>
      </c>
      <c r="D152" s="16">
        <v>0</v>
      </c>
      <c r="E152" s="16">
        <v>0</v>
      </c>
      <c r="F152" s="30">
        <v>0</v>
      </c>
      <c r="H152">
        <f t="shared" si="5"/>
        <v>13056</v>
      </c>
      <c r="I152" s="16">
        <v>0</v>
      </c>
      <c r="J152" s="16">
        <v>0</v>
      </c>
      <c r="K152" s="16">
        <v>0</v>
      </c>
      <c r="L152" s="16">
        <v>0</v>
      </c>
      <c r="M152" s="30">
        <v>0</v>
      </c>
    </row>
    <row r="153" spans="1:13" x14ac:dyDescent="0.25">
      <c r="A153">
        <f t="shared" si="4"/>
        <v>13056</v>
      </c>
      <c r="B153" s="16">
        <v>0</v>
      </c>
      <c r="C153" s="16">
        <v>0</v>
      </c>
      <c r="D153" s="16">
        <v>0</v>
      </c>
      <c r="E153" s="16">
        <v>0</v>
      </c>
      <c r="F153" s="30">
        <v>0</v>
      </c>
      <c r="H153">
        <f t="shared" si="5"/>
        <v>13056</v>
      </c>
      <c r="I153" s="16">
        <v>0</v>
      </c>
      <c r="J153" s="16">
        <v>0</v>
      </c>
      <c r="K153" s="16">
        <v>0</v>
      </c>
      <c r="L153" s="16">
        <v>0</v>
      </c>
      <c r="M153" s="30">
        <v>0</v>
      </c>
    </row>
    <row r="154" spans="1:13" x14ac:dyDescent="0.25">
      <c r="A154">
        <f t="shared" si="4"/>
        <v>13056</v>
      </c>
      <c r="B154" s="16">
        <v>0</v>
      </c>
      <c r="C154" s="16">
        <v>0</v>
      </c>
      <c r="D154" s="16">
        <v>0</v>
      </c>
      <c r="E154" s="16">
        <v>0</v>
      </c>
      <c r="F154" s="30">
        <v>0</v>
      </c>
      <c r="H154">
        <f t="shared" si="5"/>
        <v>13056</v>
      </c>
      <c r="I154" s="16">
        <v>0</v>
      </c>
      <c r="J154" s="16">
        <v>0</v>
      </c>
      <c r="K154" s="16">
        <v>0</v>
      </c>
      <c r="L154" s="16">
        <v>0</v>
      </c>
      <c r="M154" s="30">
        <v>0</v>
      </c>
    </row>
    <row r="155" spans="1:13" x14ac:dyDescent="0.25">
      <c r="A155">
        <f t="shared" si="4"/>
        <v>13056</v>
      </c>
      <c r="B155" s="16">
        <v>0</v>
      </c>
      <c r="C155" s="16">
        <v>0</v>
      </c>
      <c r="D155" s="16">
        <v>0</v>
      </c>
      <c r="E155" s="16">
        <v>0</v>
      </c>
      <c r="F155" s="30">
        <v>0</v>
      </c>
      <c r="H155">
        <f t="shared" si="5"/>
        <v>13056</v>
      </c>
      <c r="I155" s="16">
        <v>0</v>
      </c>
      <c r="J155" s="16">
        <v>0</v>
      </c>
      <c r="K155" s="16">
        <v>0</v>
      </c>
      <c r="L155" s="16">
        <v>0</v>
      </c>
      <c r="M155" s="30">
        <v>0</v>
      </c>
    </row>
    <row r="156" spans="1:13" x14ac:dyDescent="0.25">
      <c r="A156">
        <f t="shared" si="4"/>
        <v>13056</v>
      </c>
      <c r="B156" s="16">
        <v>0</v>
      </c>
      <c r="C156" s="16">
        <v>0</v>
      </c>
      <c r="D156" s="16">
        <v>0</v>
      </c>
      <c r="E156" s="16">
        <v>0</v>
      </c>
      <c r="F156" s="30">
        <v>0</v>
      </c>
      <c r="H156">
        <f t="shared" si="5"/>
        <v>13056</v>
      </c>
      <c r="I156" s="16">
        <v>0</v>
      </c>
      <c r="J156" s="16">
        <v>0</v>
      </c>
      <c r="K156" s="16">
        <v>0</v>
      </c>
      <c r="L156" s="16">
        <v>0</v>
      </c>
      <c r="M156" s="30">
        <v>0</v>
      </c>
    </row>
    <row r="157" spans="1:13" x14ac:dyDescent="0.25">
      <c r="A157">
        <f t="shared" si="4"/>
        <v>13056</v>
      </c>
      <c r="B157" s="16">
        <v>0</v>
      </c>
      <c r="C157" s="16">
        <v>0</v>
      </c>
      <c r="D157" s="16">
        <v>0</v>
      </c>
      <c r="E157" s="16">
        <v>0</v>
      </c>
      <c r="F157" s="30">
        <v>0</v>
      </c>
      <c r="H157">
        <f t="shared" si="5"/>
        <v>13056</v>
      </c>
      <c r="I157" s="16">
        <v>0</v>
      </c>
      <c r="J157" s="16">
        <v>0</v>
      </c>
      <c r="K157" s="16">
        <v>0</v>
      </c>
      <c r="L157" s="16">
        <v>0</v>
      </c>
      <c r="M157" s="30">
        <v>0</v>
      </c>
    </row>
    <row r="158" spans="1:13" x14ac:dyDescent="0.25">
      <c r="A158">
        <f t="shared" si="4"/>
        <v>13056</v>
      </c>
      <c r="B158" s="16">
        <v>0</v>
      </c>
      <c r="C158" s="16">
        <v>0</v>
      </c>
      <c r="D158" s="16">
        <v>0</v>
      </c>
      <c r="E158" s="16">
        <v>0</v>
      </c>
      <c r="F158" s="30">
        <v>0</v>
      </c>
      <c r="H158">
        <f t="shared" si="5"/>
        <v>13056</v>
      </c>
      <c r="I158" s="16">
        <v>0</v>
      </c>
      <c r="J158" s="16">
        <v>0</v>
      </c>
      <c r="K158" s="16">
        <v>0</v>
      </c>
      <c r="L158" s="16">
        <v>0</v>
      </c>
      <c r="M158" s="30">
        <v>0</v>
      </c>
    </row>
    <row r="159" spans="1:13" x14ac:dyDescent="0.25">
      <c r="A159">
        <f t="shared" si="4"/>
        <v>13056</v>
      </c>
      <c r="B159" s="16">
        <v>0</v>
      </c>
      <c r="C159" s="16">
        <v>0</v>
      </c>
      <c r="D159" s="16">
        <v>0</v>
      </c>
      <c r="E159" s="16">
        <v>0</v>
      </c>
      <c r="F159" s="30">
        <v>0</v>
      </c>
      <c r="H159">
        <f t="shared" si="5"/>
        <v>13056</v>
      </c>
      <c r="I159" s="16">
        <v>0</v>
      </c>
      <c r="J159" s="16">
        <v>0</v>
      </c>
      <c r="K159" s="16">
        <v>0</v>
      </c>
      <c r="L159" s="16">
        <v>0</v>
      </c>
      <c r="M159" s="30">
        <v>0</v>
      </c>
    </row>
    <row r="160" spans="1:13" x14ac:dyDescent="0.25">
      <c r="A160">
        <f t="shared" si="4"/>
        <v>13056</v>
      </c>
      <c r="B160" s="16">
        <v>0</v>
      </c>
      <c r="C160" s="16">
        <v>0</v>
      </c>
      <c r="D160" s="16">
        <v>0</v>
      </c>
      <c r="E160" s="16">
        <v>0</v>
      </c>
      <c r="F160" s="30">
        <v>0</v>
      </c>
      <c r="H160">
        <f t="shared" si="5"/>
        <v>13056</v>
      </c>
      <c r="I160" s="16">
        <v>0</v>
      </c>
      <c r="J160" s="16">
        <v>0</v>
      </c>
      <c r="K160" s="16">
        <v>0</v>
      </c>
      <c r="L160" s="16">
        <v>0</v>
      </c>
      <c r="M160" s="30">
        <v>0</v>
      </c>
    </row>
    <row r="161" spans="1:13" x14ac:dyDescent="0.25">
      <c r="A161">
        <f t="shared" si="4"/>
        <v>13056</v>
      </c>
      <c r="B161" s="16">
        <v>0</v>
      </c>
      <c r="C161" s="16">
        <v>0</v>
      </c>
      <c r="D161" s="16">
        <v>0</v>
      </c>
      <c r="E161" s="16">
        <v>0</v>
      </c>
      <c r="F161" s="30">
        <v>0</v>
      </c>
      <c r="H161">
        <f t="shared" si="5"/>
        <v>13056</v>
      </c>
      <c r="I161" s="16">
        <v>0</v>
      </c>
      <c r="J161" s="16">
        <v>0</v>
      </c>
      <c r="K161" s="16">
        <v>0</v>
      </c>
      <c r="L161" s="16">
        <v>0</v>
      </c>
      <c r="M161" s="30">
        <v>0</v>
      </c>
    </row>
    <row r="162" spans="1:13" x14ac:dyDescent="0.25">
      <c r="A162">
        <f t="shared" si="4"/>
        <v>13056</v>
      </c>
      <c r="B162" s="16">
        <v>0</v>
      </c>
      <c r="C162" s="16">
        <v>0</v>
      </c>
      <c r="D162" s="16">
        <v>0</v>
      </c>
      <c r="E162" s="16">
        <v>0</v>
      </c>
      <c r="F162" s="30">
        <v>0</v>
      </c>
      <c r="H162">
        <f t="shared" si="5"/>
        <v>13056</v>
      </c>
      <c r="I162" s="16">
        <v>0</v>
      </c>
      <c r="J162" s="16">
        <v>0</v>
      </c>
      <c r="K162" s="16">
        <v>0</v>
      </c>
      <c r="L162" s="16">
        <v>0</v>
      </c>
      <c r="M162" s="30">
        <v>0</v>
      </c>
    </row>
    <row r="163" spans="1:13" x14ac:dyDescent="0.25">
      <c r="A163">
        <f t="shared" si="4"/>
        <v>13056</v>
      </c>
      <c r="B163" s="16">
        <v>0</v>
      </c>
      <c r="C163" s="16">
        <v>0</v>
      </c>
      <c r="D163" s="16">
        <v>0</v>
      </c>
      <c r="E163" s="16">
        <v>0</v>
      </c>
      <c r="F163" s="30">
        <v>0</v>
      </c>
      <c r="H163">
        <f t="shared" si="5"/>
        <v>13056</v>
      </c>
      <c r="I163" s="16">
        <v>0</v>
      </c>
      <c r="J163" s="16">
        <v>0</v>
      </c>
      <c r="K163" s="16">
        <v>0</v>
      </c>
      <c r="L163" s="16">
        <v>0</v>
      </c>
      <c r="M163" s="30">
        <v>0</v>
      </c>
    </row>
    <row r="164" spans="1:13" x14ac:dyDescent="0.25">
      <c r="A164">
        <f t="shared" si="4"/>
        <v>13056</v>
      </c>
      <c r="B164" s="16">
        <v>0</v>
      </c>
      <c r="C164" s="16">
        <v>0</v>
      </c>
      <c r="D164" s="16">
        <v>0</v>
      </c>
      <c r="E164" s="16">
        <v>0</v>
      </c>
      <c r="F164" s="30">
        <v>0</v>
      </c>
      <c r="H164">
        <f t="shared" si="5"/>
        <v>13056</v>
      </c>
      <c r="I164" s="16">
        <v>0</v>
      </c>
      <c r="J164" s="16">
        <v>0</v>
      </c>
      <c r="K164" s="16">
        <v>0</v>
      </c>
      <c r="L164" s="16">
        <v>0</v>
      </c>
      <c r="M164" s="30">
        <v>0</v>
      </c>
    </row>
    <row r="165" spans="1:13" x14ac:dyDescent="0.25">
      <c r="A165">
        <f t="shared" si="4"/>
        <v>13056</v>
      </c>
      <c r="B165" s="16">
        <v>0</v>
      </c>
      <c r="C165" s="16">
        <v>0</v>
      </c>
      <c r="D165" s="16">
        <v>0</v>
      </c>
      <c r="E165" s="16">
        <v>0</v>
      </c>
      <c r="F165" s="30">
        <v>0</v>
      </c>
      <c r="H165">
        <f t="shared" si="5"/>
        <v>13056</v>
      </c>
      <c r="I165" s="16">
        <v>0</v>
      </c>
      <c r="J165" s="16">
        <v>0</v>
      </c>
      <c r="K165" s="16">
        <v>0</v>
      </c>
      <c r="L165" s="16">
        <v>0</v>
      </c>
      <c r="M165" s="30">
        <v>0</v>
      </c>
    </row>
    <row r="166" spans="1:13" x14ac:dyDescent="0.25">
      <c r="A166">
        <f t="shared" si="4"/>
        <v>13056</v>
      </c>
      <c r="B166" s="16">
        <v>0</v>
      </c>
      <c r="C166" s="16">
        <v>0</v>
      </c>
      <c r="D166" s="16">
        <v>0</v>
      </c>
      <c r="E166" s="16">
        <v>0</v>
      </c>
      <c r="F166" s="30">
        <v>0</v>
      </c>
      <c r="H166">
        <f t="shared" si="5"/>
        <v>13056</v>
      </c>
      <c r="I166" s="16">
        <v>0</v>
      </c>
      <c r="J166" s="16">
        <v>0</v>
      </c>
      <c r="K166" s="16">
        <v>0</v>
      </c>
      <c r="L166" s="16">
        <v>0</v>
      </c>
      <c r="M166" s="30">
        <v>0</v>
      </c>
    </row>
    <row r="167" spans="1:13" x14ac:dyDescent="0.25">
      <c r="A167">
        <f t="shared" si="4"/>
        <v>13056</v>
      </c>
      <c r="B167" s="16">
        <v>0</v>
      </c>
      <c r="C167" s="16">
        <v>0</v>
      </c>
      <c r="D167" s="16">
        <v>0</v>
      </c>
      <c r="E167" s="16">
        <v>0</v>
      </c>
      <c r="F167" s="30">
        <v>0</v>
      </c>
      <c r="H167">
        <f t="shared" si="5"/>
        <v>13056</v>
      </c>
      <c r="I167" s="16">
        <v>0</v>
      </c>
      <c r="J167" s="16">
        <v>0</v>
      </c>
      <c r="K167" s="16">
        <v>0</v>
      </c>
      <c r="L167" s="16">
        <v>0</v>
      </c>
      <c r="M167" s="30">
        <v>0</v>
      </c>
    </row>
    <row r="168" spans="1:13" x14ac:dyDescent="0.25">
      <c r="A168">
        <f t="shared" si="4"/>
        <v>13056</v>
      </c>
      <c r="B168" s="16">
        <v>0</v>
      </c>
      <c r="C168" s="16">
        <v>0</v>
      </c>
      <c r="D168" s="16">
        <v>0</v>
      </c>
      <c r="E168" s="16">
        <v>0</v>
      </c>
      <c r="F168" s="30">
        <v>0</v>
      </c>
      <c r="H168">
        <f t="shared" si="5"/>
        <v>13056</v>
      </c>
      <c r="I168" s="16">
        <v>0</v>
      </c>
      <c r="J168" s="16">
        <v>0</v>
      </c>
      <c r="K168" s="16">
        <v>0</v>
      </c>
      <c r="L168" s="16">
        <v>0</v>
      </c>
      <c r="M168" s="30">
        <v>0</v>
      </c>
    </row>
    <row r="169" spans="1:13" x14ac:dyDescent="0.25">
      <c r="A169">
        <f t="shared" si="4"/>
        <v>13056</v>
      </c>
      <c r="B169" s="16">
        <v>0</v>
      </c>
      <c r="C169" s="16">
        <v>0</v>
      </c>
      <c r="D169" s="16">
        <v>0</v>
      </c>
      <c r="E169" s="16">
        <v>0</v>
      </c>
      <c r="F169" s="30">
        <v>0</v>
      </c>
      <c r="H169">
        <f t="shared" si="5"/>
        <v>13056</v>
      </c>
      <c r="I169" s="16">
        <v>0</v>
      </c>
      <c r="J169" s="16">
        <v>0</v>
      </c>
      <c r="K169" s="16">
        <v>0</v>
      </c>
      <c r="L169" s="16">
        <v>0</v>
      </c>
      <c r="M169" s="30">
        <v>0</v>
      </c>
    </row>
    <row r="170" spans="1:13" x14ac:dyDescent="0.25">
      <c r="A170">
        <f t="shared" si="4"/>
        <v>13056</v>
      </c>
      <c r="B170" s="16">
        <v>0</v>
      </c>
      <c r="C170" s="16">
        <v>0</v>
      </c>
      <c r="D170" s="16">
        <v>0</v>
      </c>
      <c r="E170" s="16">
        <v>0</v>
      </c>
      <c r="F170" s="30">
        <v>0</v>
      </c>
      <c r="H170">
        <f t="shared" si="5"/>
        <v>13056</v>
      </c>
      <c r="I170" s="16">
        <v>0</v>
      </c>
      <c r="J170" s="16">
        <v>0</v>
      </c>
      <c r="K170" s="16">
        <v>0</v>
      </c>
      <c r="L170" s="16">
        <v>0</v>
      </c>
      <c r="M170" s="30">
        <v>0</v>
      </c>
    </row>
    <row r="171" spans="1:13" x14ac:dyDescent="0.25">
      <c r="A171">
        <f t="shared" si="4"/>
        <v>13056</v>
      </c>
      <c r="B171" s="16">
        <v>0</v>
      </c>
      <c r="C171" s="16">
        <v>0</v>
      </c>
      <c r="D171" s="16">
        <v>0</v>
      </c>
      <c r="E171" s="16">
        <v>0</v>
      </c>
      <c r="F171" s="30">
        <v>0</v>
      </c>
      <c r="H171">
        <f t="shared" si="5"/>
        <v>13056</v>
      </c>
      <c r="I171" s="16">
        <v>0</v>
      </c>
      <c r="J171" s="16">
        <v>0</v>
      </c>
      <c r="K171" s="16">
        <v>0</v>
      </c>
      <c r="L171" s="16">
        <v>0</v>
      </c>
      <c r="M171" s="30">
        <v>0</v>
      </c>
    </row>
    <row r="172" spans="1:13" x14ac:dyDescent="0.25">
      <c r="A172">
        <f t="shared" si="4"/>
        <v>13056</v>
      </c>
      <c r="B172" s="16">
        <v>0</v>
      </c>
      <c r="C172" s="16">
        <v>0</v>
      </c>
      <c r="D172" s="16">
        <v>0</v>
      </c>
      <c r="E172" s="16">
        <v>0</v>
      </c>
      <c r="F172" s="30">
        <v>0</v>
      </c>
      <c r="H172">
        <f t="shared" si="5"/>
        <v>13056</v>
      </c>
      <c r="I172" s="16">
        <v>0</v>
      </c>
      <c r="J172" s="16">
        <v>0</v>
      </c>
      <c r="K172" s="16">
        <v>0</v>
      </c>
      <c r="L172" s="16">
        <v>0</v>
      </c>
      <c r="M172" s="30">
        <v>0</v>
      </c>
    </row>
    <row r="173" spans="1:13" x14ac:dyDescent="0.25">
      <c r="A173">
        <f t="shared" si="4"/>
        <v>13056</v>
      </c>
      <c r="B173" s="16">
        <v>0</v>
      </c>
      <c r="C173" s="16">
        <v>0</v>
      </c>
      <c r="D173" s="16">
        <v>0</v>
      </c>
      <c r="E173" s="16">
        <v>0</v>
      </c>
      <c r="F173" s="30">
        <v>0</v>
      </c>
      <c r="H173">
        <f t="shared" si="5"/>
        <v>13056</v>
      </c>
      <c r="I173" s="16">
        <v>0</v>
      </c>
      <c r="J173" s="16">
        <v>0</v>
      </c>
      <c r="K173" s="16">
        <v>0</v>
      </c>
      <c r="L173" s="16">
        <v>0</v>
      </c>
      <c r="M173" s="30">
        <v>0</v>
      </c>
    </row>
    <row r="174" spans="1:13" x14ac:dyDescent="0.25">
      <c r="A174">
        <f t="shared" si="4"/>
        <v>13056</v>
      </c>
      <c r="B174" s="16">
        <v>0</v>
      </c>
      <c r="C174" s="16">
        <v>0</v>
      </c>
      <c r="D174" s="16">
        <v>0</v>
      </c>
      <c r="E174" s="16">
        <v>0</v>
      </c>
      <c r="F174" s="30">
        <v>0</v>
      </c>
      <c r="H174">
        <f t="shared" si="5"/>
        <v>13056</v>
      </c>
      <c r="I174" s="16">
        <v>0</v>
      </c>
      <c r="J174" s="16">
        <v>0</v>
      </c>
      <c r="K174" s="16">
        <v>0</v>
      </c>
      <c r="L174" s="16">
        <v>0</v>
      </c>
      <c r="M174" s="30">
        <v>0</v>
      </c>
    </row>
    <row r="175" spans="1:13" x14ac:dyDescent="0.25">
      <c r="A175">
        <f t="shared" si="4"/>
        <v>13056</v>
      </c>
      <c r="B175" s="16">
        <v>0</v>
      </c>
      <c r="C175" s="16">
        <v>0</v>
      </c>
      <c r="D175" s="16">
        <v>0</v>
      </c>
      <c r="E175" s="16">
        <v>0</v>
      </c>
      <c r="F175" s="30">
        <v>0</v>
      </c>
      <c r="H175">
        <f t="shared" si="5"/>
        <v>13056</v>
      </c>
      <c r="I175" s="16">
        <v>0</v>
      </c>
      <c r="J175" s="16">
        <v>0</v>
      </c>
      <c r="K175" s="16">
        <v>0</v>
      </c>
      <c r="L175" s="16">
        <v>0</v>
      </c>
      <c r="M175" s="30">
        <v>0</v>
      </c>
    </row>
    <row r="176" spans="1:13" x14ac:dyDescent="0.25">
      <c r="A176">
        <f t="shared" si="4"/>
        <v>13056</v>
      </c>
      <c r="B176" s="16">
        <v>0</v>
      </c>
      <c r="C176" s="16">
        <v>0</v>
      </c>
      <c r="D176" s="16">
        <v>0</v>
      </c>
      <c r="E176" s="16">
        <v>0</v>
      </c>
      <c r="F176" s="30">
        <v>0</v>
      </c>
      <c r="H176">
        <f t="shared" si="5"/>
        <v>13056</v>
      </c>
      <c r="I176" s="16">
        <v>0</v>
      </c>
      <c r="J176" s="16">
        <v>0</v>
      </c>
      <c r="K176" s="16">
        <v>0</v>
      </c>
      <c r="L176" s="16">
        <v>0</v>
      </c>
      <c r="M176" s="30">
        <v>0</v>
      </c>
    </row>
    <row r="177" spans="1:13" x14ac:dyDescent="0.25">
      <c r="A177">
        <f t="shared" si="4"/>
        <v>13056</v>
      </c>
      <c r="B177" s="16">
        <v>0</v>
      </c>
      <c r="C177" s="16">
        <v>0</v>
      </c>
      <c r="D177" s="16">
        <v>0</v>
      </c>
      <c r="E177" s="16">
        <v>0</v>
      </c>
      <c r="F177" s="30">
        <v>0</v>
      </c>
      <c r="H177">
        <f t="shared" si="5"/>
        <v>13056</v>
      </c>
      <c r="I177" s="16">
        <v>0</v>
      </c>
      <c r="J177" s="16">
        <v>0</v>
      </c>
      <c r="K177" s="16">
        <v>0</v>
      </c>
      <c r="L177" s="16">
        <v>0</v>
      </c>
      <c r="M177" s="30">
        <v>0</v>
      </c>
    </row>
    <row r="178" spans="1:13" x14ac:dyDescent="0.25">
      <c r="A178">
        <f t="shared" si="4"/>
        <v>13056</v>
      </c>
      <c r="B178" s="16">
        <v>0</v>
      </c>
      <c r="C178" s="16">
        <v>0</v>
      </c>
      <c r="D178" s="16">
        <v>0</v>
      </c>
      <c r="E178" s="16">
        <v>0</v>
      </c>
      <c r="F178" s="30">
        <v>0</v>
      </c>
      <c r="H178">
        <f t="shared" si="5"/>
        <v>13056</v>
      </c>
      <c r="I178" s="16">
        <v>0</v>
      </c>
      <c r="J178" s="16">
        <v>0</v>
      </c>
      <c r="K178" s="16">
        <v>0</v>
      </c>
      <c r="L178" s="16">
        <v>0</v>
      </c>
      <c r="M178" s="30">
        <v>0</v>
      </c>
    </row>
    <row r="179" spans="1:13" x14ac:dyDescent="0.25">
      <c r="A179">
        <f t="shared" si="4"/>
        <v>13056</v>
      </c>
      <c r="B179" s="16">
        <v>0</v>
      </c>
      <c r="C179" s="16">
        <v>0</v>
      </c>
      <c r="D179" s="16">
        <v>0</v>
      </c>
      <c r="E179" s="16">
        <v>0</v>
      </c>
      <c r="F179" s="30">
        <v>0</v>
      </c>
      <c r="H179">
        <f t="shared" si="5"/>
        <v>13056</v>
      </c>
      <c r="I179" s="16">
        <v>0</v>
      </c>
      <c r="J179" s="16">
        <v>0</v>
      </c>
      <c r="K179" s="16">
        <v>0</v>
      </c>
      <c r="L179" s="16">
        <v>0</v>
      </c>
      <c r="M179" s="30">
        <v>0</v>
      </c>
    </row>
    <row r="180" spans="1:13" x14ac:dyDescent="0.25">
      <c r="A180">
        <f t="shared" si="4"/>
        <v>13056</v>
      </c>
      <c r="B180" s="16">
        <v>0</v>
      </c>
      <c r="C180" s="16">
        <v>0</v>
      </c>
      <c r="D180" s="16">
        <v>0</v>
      </c>
      <c r="E180" s="16">
        <v>0</v>
      </c>
      <c r="F180" s="30">
        <v>0</v>
      </c>
      <c r="H180">
        <f t="shared" si="5"/>
        <v>13056</v>
      </c>
      <c r="I180" s="16">
        <v>0</v>
      </c>
      <c r="J180" s="16">
        <v>0</v>
      </c>
      <c r="K180" s="16">
        <v>0</v>
      </c>
      <c r="L180" s="16">
        <v>0</v>
      </c>
      <c r="M180" s="30">
        <v>0</v>
      </c>
    </row>
    <row r="181" spans="1:13" x14ac:dyDescent="0.25">
      <c r="A181">
        <f t="shared" si="4"/>
        <v>13056</v>
      </c>
      <c r="B181" s="16">
        <v>0</v>
      </c>
      <c r="C181" s="16">
        <v>0</v>
      </c>
      <c r="D181" s="16">
        <v>0</v>
      </c>
      <c r="E181" s="16">
        <v>0</v>
      </c>
      <c r="F181" s="30">
        <v>0</v>
      </c>
      <c r="H181">
        <f t="shared" si="5"/>
        <v>13056</v>
      </c>
      <c r="I181" s="16">
        <v>0</v>
      </c>
      <c r="J181" s="16">
        <v>0</v>
      </c>
      <c r="K181" s="16">
        <v>0</v>
      </c>
      <c r="L181" s="16">
        <v>0</v>
      </c>
      <c r="M181" s="30">
        <v>0</v>
      </c>
    </row>
    <row r="182" spans="1:13" x14ac:dyDescent="0.25">
      <c r="A182">
        <f t="shared" si="4"/>
        <v>13056</v>
      </c>
      <c r="B182" s="16">
        <v>0</v>
      </c>
      <c r="C182" s="16">
        <v>0</v>
      </c>
      <c r="D182" s="16">
        <v>0</v>
      </c>
      <c r="E182" s="16">
        <v>0</v>
      </c>
      <c r="F182" s="30">
        <v>0</v>
      </c>
      <c r="H182">
        <f t="shared" si="5"/>
        <v>13056</v>
      </c>
      <c r="I182" s="16">
        <v>0</v>
      </c>
      <c r="J182" s="16">
        <v>0</v>
      </c>
      <c r="K182" s="16">
        <v>0</v>
      </c>
      <c r="L182" s="16">
        <v>0</v>
      </c>
      <c r="M182" s="30">
        <v>0</v>
      </c>
    </row>
    <row r="183" spans="1:13" x14ac:dyDescent="0.25">
      <c r="A183">
        <f t="shared" si="4"/>
        <v>13056</v>
      </c>
      <c r="B183" s="16">
        <v>0</v>
      </c>
      <c r="C183" s="16">
        <v>0</v>
      </c>
      <c r="D183" s="16">
        <v>0</v>
      </c>
      <c r="E183" s="16">
        <v>0</v>
      </c>
      <c r="F183" s="30">
        <v>0</v>
      </c>
      <c r="H183">
        <f t="shared" si="5"/>
        <v>13056</v>
      </c>
      <c r="I183" s="16">
        <v>0</v>
      </c>
      <c r="J183" s="16">
        <v>0</v>
      </c>
      <c r="K183" s="16">
        <v>0</v>
      </c>
      <c r="L183" s="16">
        <v>0</v>
      </c>
      <c r="M183" s="30">
        <v>0</v>
      </c>
    </row>
    <row r="184" spans="1:13" x14ac:dyDescent="0.25">
      <c r="A184">
        <f t="shared" si="4"/>
        <v>13056</v>
      </c>
      <c r="B184" s="16">
        <v>0</v>
      </c>
      <c r="C184" s="16">
        <v>0</v>
      </c>
      <c r="D184" s="16">
        <v>0</v>
      </c>
      <c r="E184" s="16">
        <v>0</v>
      </c>
      <c r="F184" s="30">
        <v>0</v>
      </c>
      <c r="H184">
        <f t="shared" si="5"/>
        <v>13056</v>
      </c>
      <c r="I184" s="16">
        <v>0</v>
      </c>
      <c r="J184" s="16">
        <v>0</v>
      </c>
      <c r="K184" s="16">
        <v>0</v>
      </c>
      <c r="L184" s="16">
        <v>0</v>
      </c>
      <c r="M184" s="30">
        <v>0</v>
      </c>
    </row>
    <row r="185" spans="1:13" x14ac:dyDescent="0.25">
      <c r="A185">
        <f t="shared" si="4"/>
        <v>13056</v>
      </c>
      <c r="B185" s="16">
        <v>0</v>
      </c>
      <c r="C185" s="16">
        <v>0</v>
      </c>
      <c r="D185" s="16">
        <v>0</v>
      </c>
      <c r="E185" s="16">
        <v>0</v>
      </c>
      <c r="F185" s="30">
        <v>0</v>
      </c>
      <c r="H185">
        <f t="shared" si="5"/>
        <v>13056</v>
      </c>
      <c r="I185" s="16">
        <v>0</v>
      </c>
      <c r="J185" s="16">
        <v>0</v>
      </c>
      <c r="K185" s="16">
        <v>0</v>
      </c>
      <c r="L185" s="16">
        <v>0</v>
      </c>
      <c r="M185" s="30">
        <v>0</v>
      </c>
    </row>
    <row r="186" spans="1:13" x14ac:dyDescent="0.25">
      <c r="A186">
        <f t="shared" si="4"/>
        <v>13056</v>
      </c>
      <c r="B186" s="16">
        <v>0</v>
      </c>
      <c r="C186" s="16">
        <v>0</v>
      </c>
      <c r="D186" s="16">
        <v>0</v>
      </c>
      <c r="E186" s="16">
        <v>0</v>
      </c>
      <c r="F186" s="30">
        <v>0</v>
      </c>
      <c r="H186">
        <f t="shared" si="5"/>
        <v>13056</v>
      </c>
      <c r="I186" s="16">
        <v>0</v>
      </c>
      <c r="J186" s="16">
        <v>0</v>
      </c>
      <c r="K186" s="16">
        <v>0</v>
      </c>
      <c r="L186" s="16">
        <v>0</v>
      </c>
      <c r="M186" s="30">
        <v>0</v>
      </c>
    </row>
    <row r="187" spans="1:13" x14ac:dyDescent="0.25">
      <c r="A187">
        <f t="shared" si="4"/>
        <v>13056</v>
      </c>
      <c r="B187" s="16">
        <v>0</v>
      </c>
      <c r="C187" s="16">
        <v>0</v>
      </c>
      <c r="D187" s="16">
        <v>0</v>
      </c>
      <c r="E187" s="16">
        <v>0</v>
      </c>
      <c r="F187" s="30">
        <v>0</v>
      </c>
      <c r="H187">
        <f t="shared" si="5"/>
        <v>13056</v>
      </c>
      <c r="I187" s="16">
        <v>0</v>
      </c>
      <c r="J187" s="16">
        <v>0</v>
      </c>
      <c r="K187" s="16">
        <v>0</v>
      </c>
      <c r="L187" s="16">
        <v>0</v>
      </c>
      <c r="M187" s="30">
        <v>0</v>
      </c>
    </row>
    <row r="188" spans="1:13" x14ac:dyDescent="0.25">
      <c r="A188">
        <f t="shared" si="4"/>
        <v>13056</v>
      </c>
      <c r="B188" s="16">
        <v>0</v>
      </c>
      <c r="C188" s="16">
        <v>0</v>
      </c>
      <c r="D188" s="16">
        <v>0</v>
      </c>
      <c r="E188" s="16">
        <v>0</v>
      </c>
      <c r="F188" s="30">
        <v>0</v>
      </c>
      <c r="H188">
        <f t="shared" si="5"/>
        <v>13056</v>
      </c>
      <c r="I188" s="16">
        <v>0</v>
      </c>
      <c r="J188" s="16">
        <v>0</v>
      </c>
      <c r="K188" s="16">
        <v>0</v>
      </c>
      <c r="L188" s="16">
        <v>0</v>
      </c>
      <c r="M188" s="30">
        <v>0</v>
      </c>
    </row>
    <row r="189" spans="1:13" x14ac:dyDescent="0.25">
      <c r="A189">
        <f t="shared" si="4"/>
        <v>13056</v>
      </c>
      <c r="B189" s="16">
        <v>0</v>
      </c>
      <c r="C189" s="16">
        <v>0</v>
      </c>
      <c r="D189" s="16">
        <v>0</v>
      </c>
      <c r="E189" s="16">
        <v>0</v>
      </c>
      <c r="F189" s="30">
        <v>0</v>
      </c>
      <c r="H189">
        <f t="shared" si="5"/>
        <v>13056</v>
      </c>
      <c r="I189" s="16">
        <v>0</v>
      </c>
      <c r="J189" s="16">
        <v>0</v>
      </c>
      <c r="K189" s="16">
        <v>0</v>
      </c>
      <c r="L189" s="16">
        <v>0</v>
      </c>
      <c r="M189" s="30">
        <v>0</v>
      </c>
    </row>
    <row r="190" spans="1:13" x14ac:dyDescent="0.25">
      <c r="A190">
        <f t="shared" si="4"/>
        <v>13056</v>
      </c>
      <c r="B190" s="16">
        <v>0</v>
      </c>
      <c r="C190" s="16">
        <v>0</v>
      </c>
      <c r="D190" s="16">
        <v>0</v>
      </c>
      <c r="E190" s="16">
        <v>0</v>
      </c>
      <c r="F190" s="30">
        <v>0</v>
      </c>
      <c r="H190">
        <f t="shared" si="5"/>
        <v>13056</v>
      </c>
      <c r="I190" s="16">
        <v>0</v>
      </c>
      <c r="J190" s="16">
        <v>0</v>
      </c>
      <c r="K190" s="16">
        <v>0</v>
      </c>
      <c r="L190" s="16">
        <v>0</v>
      </c>
      <c r="M190" s="30">
        <v>0</v>
      </c>
    </row>
    <row r="191" spans="1:13" x14ac:dyDescent="0.25">
      <c r="A191">
        <f t="shared" si="4"/>
        <v>13056</v>
      </c>
      <c r="B191" s="16">
        <v>0</v>
      </c>
      <c r="C191" s="16">
        <v>0</v>
      </c>
      <c r="D191" s="16">
        <v>0</v>
      </c>
      <c r="E191" s="16">
        <v>0</v>
      </c>
      <c r="F191" s="30">
        <v>0</v>
      </c>
      <c r="H191">
        <f t="shared" si="5"/>
        <v>13056</v>
      </c>
      <c r="I191" s="16">
        <v>0</v>
      </c>
      <c r="J191" s="16">
        <v>0</v>
      </c>
      <c r="K191" s="16">
        <v>0</v>
      </c>
      <c r="L191" s="16">
        <v>0</v>
      </c>
      <c r="M191" s="30">
        <v>0</v>
      </c>
    </row>
    <row r="192" spans="1:13" x14ac:dyDescent="0.25">
      <c r="A192">
        <f t="shared" si="4"/>
        <v>13056</v>
      </c>
      <c r="B192" s="16">
        <v>0</v>
      </c>
      <c r="C192" s="16">
        <v>0</v>
      </c>
      <c r="D192" s="16">
        <v>0</v>
      </c>
      <c r="E192" s="16">
        <v>0</v>
      </c>
      <c r="F192" s="30">
        <v>0</v>
      </c>
      <c r="H192">
        <f t="shared" si="5"/>
        <v>13056</v>
      </c>
      <c r="I192" s="16">
        <v>0</v>
      </c>
      <c r="J192" s="16">
        <v>0</v>
      </c>
      <c r="K192" s="16">
        <v>0</v>
      </c>
      <c r="L192" s="16">
        <v>0</v>
      </c>
      <c r="M192" s="30">
        <v>0</v>
      </c>
    </row>
    <row r="193" spans="1:13" x14ac:dyDescent="0.25">
      <c r="A193">
        <f t="shared" si="4"/>
        <v>13056</v>
      </c>
      <c r="B193" s="16">
        <v>0</v>
      </c>
      <c r="C193" s="16">
        <v>0</v>
      </c>
      <c r="D193" s="16">
        <v>0</v>
      </c>
      <c r="E193" s="16">
        <v>0</v>
      </c>
      <c r="F193" s="30">
        <v>0</v>
      </c>
      <c r="H193">
        <f t="shared" si="5"/>
        <v>13056</v>
      </c>
      <c r="I193" s="16">
        <v>0</v>
      </c>
      <c r="J193" s="16">
        <v>0</v>
      </c>
      <c r="K193" s="16">
        <v>0</v>
      </c>
      <c r="L193" s="16">
        <v>0</v>
      </c>
      <c r="M193" s="30">
        <v>0</v>
      </c>
    </row>
    <row r="194" spans="1:13" x14ac:dyDescent="0.25">
      <c r="A194">
        <f t="shared" si="4"/>
        <v>13056</v>
      </c>
      <c r="B194" s="16">
        <v>0</v>
      </c>
      <c r="C194" s="16">
        <v>0</v>
      </c>
      <c r="D194" s="16">
        <v>0</v>
      </c>
      <c r="E194" s="16">
        <v>0</v>
      </c>
      <c r="F194" s="30">
        <v>0</v>
      </c>
      <c r="H194">
        <f t="shared" si="5"/>
        <v>13056</v>
      </c>
      <c r="I194" s="16">
        <v>0</v>
      </c>
      <c r="J194" s="16">
        <v>0</v>
      </c>
      <c r="K194" s="16">
        <v>0</v>
      </c>
      <c r="L194" s="16">
        <v>0</v>
      </c>
      <c r="M194" s="30">
        <v>0</v>
      </c>
    </row>
    <row r="195" spans="1:13" x14ac:dyDescent="0.25">
      <c r="A195">
        <f t="shared" si="4"/>
        <v>13056</v>
      </c>
      <c r="B195" s="16">
        <v>0</v>
      </c>
      <c r="C195" s="16">
        <v>0</v>
      </c>
      <c r="D195" s="16">
        <v>0</v>
      </c>
      <c r="E195" s="16">
        <v>0</v>
      </c>
      <c r="F195" s="30">
        <v>0</v>
      </c>
      <c r="H195">
        <f t="shared" si="5"/>
        <v>13056</v>
      </c>
      <c r="I195" s="16">
        <v>0</v>
      </c>
      <c r="J195" s="16">
        <v>0</v>
      </c>
      <c r="K195" s="16">
        <v>0</v>
      </c>
      <c r="L195" s="16">
        <v>0</v>
      </c>
      <c r="M195" s="30">
        <v>0</v>
      </c>
    </row>
    <row r="196" spans="1:13" x14ac:dyDescent="0.25">
      <c r="A196">
        <f t="shared" si="4"/>
        <v>13056</v>
      </c>
      <c r="B196" s="16">
        <v>0</v>
      </c>
      <c r="C196" s="16">
        <v>0</v>
      </c>
      <c r="D196" s="16">
        <v>0</v>
      </c>
      <c r="E196" s="16">
        <v>0</v>
      </c>
      <c r="F196" s="30">
        <v>0</v>
      </c>
      <c r="H196">
        <f t="shared" si="5"/>
        <v>13056</v>
      </c>
      <c r="I196" s="16">
        <v>0</v>
      </c>
      <c r="J196" s="16">
        <v>0</v>
      </c>
      <c r="K196" s="16">
        <v>0</v>
      </c>
      <c r="L196" s="16">
        <v>0</v>
      </c>
      <c r="M196" s="30">
        <v>0</v>
      </c>
    </row>
    <row r="197" spans="1:13" x14ac:dyDescent="0.25">
      <c r="A197">
        <f t="shared" ref="A197:A260" si="6">CHOOSE(IF(ABS(B197-13056)&lt;=ABS(B197-13824),IF(ABS(B197-13056)&lt;=ABS(B197-14592),1,3),IF(ABS(B197-13824)&lt;=ABS(B197-14592),2,3)),13056,13824,14592)</f>
        <v>13056</v>
      </c>
      <c r="B197" s="16">
        <v>0</v>
      </c>
      <c r="C197" s="16">
        <v>0</v>
      </c>
      <c r="D197" s="16">
        <v>0</v>
      </c>
      <c r="E197" s="16">
        <v>0</v>
      </c>
      <c r="F197" s="30">
        <v>0</v>
      </c>
      <c r="H197">
        <f t="shared" ref="H197:H259" si="7">CHOOSE(IF(ABS(I197-13056)&lt;=ABS(I197-13824),IF(ABS(I197-13056)&lt;=ABS(I197-14592),1,3),IF(ABS(I197-13824)&lt;=ABS(I197-14592),2,3)),13056,13824,14592)</f>
        <v>13056</v>
      </c>
      <c r="I197" s="16">
        <v>0</v>
      </c>
      <c r="J197" s="16">
        <v>0</v>
      </c>
      <c r="K197" s="16">
        <v>0</v>
      </c>
      <c r="L197" s="16">
        <v>0</v>
      </c>
      <c r="M197" s="30">
        <v>0</v>
      </c>
    </row>
    <row r="198" spans="1:13" x14ac:dyDescent="0.25">
      <c r="A198">
        <f t="shared" si="6"/>
        <v>13056</v>
      </c>
      <c r="B198" s="16">
        <v>0</v>
      </c>
      <c r="C198" s="16">
        <v>0</v>
      </c>
      <c r="D198" s="16">
        <v>0</v>
      </c>
      <c r="E198" s="16">
        <v>0</v>
      </c>
      <c r="F198" s="30">
        <v>0</v>
      </c>
      <c r="H198">
        <f t="shared" si="7"/>
        <v>13056</v>
      </c>
      <c r="I198" s="16">
        <v>0</v>
      </c>
      <c r="J198" s="16">
        <v>0</v>
      </c>
      <c r="K198" s="16">
        <v>0</v>
      </c>
      <c r="L198" s="16">
        <v>0</v>
      </c>
      <c r="M198" s="30">
        <v>0</v>
      </c>
    </row>
    <row r="199" spans="1:13" x14ac:dyDescent="0.25">
      <c r="A199">
        <f t="shared" si="6"/>
        <v>13056</v>
      </c>
      <c r="B199" s="16">
        <v>0</v>
      </c>
      <c r="C199" s="16">
        <v>0</v>
      </c>
      <c r="D199" s="16">
        <v>0</v>
      </c>
      <c r="E199" s="16">
        <v>0</v>
      </c>
      <c r="F199" s="30">
        <v>0</v>
      </c>
      <c r="H199">
        <f t="shared" si="7"/>
        <v>13056</v>
      </c>
      <c r="I199" s="16">
        <v>0</v>
      </c>
      <c r="J199" s="16">
        <v>0</v>
      </c>
      <c r="K199" s="16">
        <v>0</v>
      </c>
      <c r="L199" s="16">
        <v>0</v>
      </c>
      <c r="M199" s="30">
        <v>0</v>
      </c>
    </row>
    <row r="200" spans="1:13" x14ac:dyDescent="0.25">
      <c r="A200">
        <f t="shared" si="6"/>
        <v>13056</v>
      </c>
      <c r="B200" s="16">
        <v>0</v>
      </c>
      <c r="C200" s="16">
        <v>0</v>
      </c>
      <c r="D200" s="16">
        <v>0</v>
      </c>
      <c r="E200" s="16">
        <v>0</v>
      </c>
      <c r="F200" s="30">
        <v>0</v>
      </c>
      <c r="H200">
        <f t="shared" si="7"/>
        <v>13056</v>
      </c>
      <c r="I200" s="16">
        <v>0</v>
      </c>
      <c r="J200" s="16">
        <v>0</v>
      </c>
      <c r="K200" s="16">
        <v>0</v>
      </c>
      <c r="L200" s="16">
        <v>0</v>
      </c>
      <c r="M200" s="30">
        <v>0</v>
      </c>
    </row>
    <row r="201" spans="1:13" x14ac:dyDescent="0.25">
      <c r="A201">
        <f t="shared" si="6"/>
        <v>13056</v>
      </c>
      <c r="B201" s="16">
        <v>0</v>
      </c>
      <c r="C201" s="16">
        <v>0</v>
      </c>
      <c r="D201" s="16">
        <v>0</v>
      </c>
      <c r="E201" s="16">
        <v>0</v>
      </c>
      <c r="F201" s="30">
        <v>0</v>
      </c>
      <c r="H201">
        <f t="shared" si="7"/>
        <v>13056</v>
      </c>
      <c r="I201" s="16">
        <v>0</v>
      </c>
      <c r="J201" s="16">
        <v>0</v>
      </c>
      <c r="K201" s="16">
        <v>0</v>
      </c>
      <c r="L201" s="16">
        <v>0</v>
      </c>
      <c r="M201" s="30">
        <v>0</v>
      </c>
    </row>
    <row r="202" spans="1:13" x14ac:dyDescent="0.25">
      <c r="A202">
        <f t="shared" si="6"/>
        <v>13056</v>
      </c>
      <c r="B202" s="16">
        <v>0</v>
      </c>
      <c r="C202" s="16">
        <v>0</v>
      </c>
      <c r="D202" s="16">
        <v>0</v>
      </c>
      <c r="E202" s="16">
        <v>0</v>
      </c>
      <c r="F202" s="30">
        <v>0</v>
      </c>
      <c r="H202">
        <f t="shared" si="7"/>
        <v>13056</v>
      </c>
      <c r="I202" s="16">
        <v>0</v>
      </c>
      <c r="J202" s="16">
        <v>0</v>
      </c>
      <c r="K202" s="16">
        <v>0</v>
      </c>
      <c r="L202" s="16">
        <v>0</v>
      </c>
      <c r="M202" s="30">
        <v>0</v>
      </c>
    </row>
    <row r="203" spans="1:13" x14ac:dyDescent="0.25">
      <c r="A203">
        <f t="shared" si="6"/>
        <v>13056</v>
      </c>
      <c r="B203" s="16">
        <v>0</v>
      </c>
      <c r="C203" s="16">
        <v>0</v>
      </c>
      <c r="D203" s="16">
        <v>0</v>
      </c>
      <c r="E203" s="16">
        <v>0</v>
      </c>
      <c r="F203" s="30">
        <v>0</v>
      </c>
      <c r="H203">
        <f t="shared" si="7"/>
        <v>13056</v>
      </c>
      <c r="I203" s="16">
        <v>0</v>
      </c>
      <c r="J203" s="16">
        <v>0</v>
      </c>
      <c r="K203" s="16">
        <v>0</v>
      </c>
      <c r="L203" s="16">
        <v>0</v>
      </c>
      <c r="M203" s="30">
        <v>0</v>
      </c>
    </row>
    <row r="204" spans="1:13" x14ac:dyDescent="0.25">
      <c r="A204">
        <f t="shared" si="6"/>
        <v>13056</v>
      </c>
      <c r="B204" s="16">
        <v>0</v>
      </c>
      <c r="C204" s="16">
        <v>0</v>
      </c>
      <c r="D204" s="16">
        <v>0</v>
      </c>
      <c r="E204" s="16">
        <v>0</v>
      </c>
      <c r="F204" s="30">
        <v>0</v>
      </c>
      <c r="H204">
        <f t="shared" si="7"/>
        <v>13056</v>
      </c>
      <c r="I204" s="16">
        <v>0</v>
      </c>
      <c r="J204" s="16">
        <v>0</v>
      </c>
      <c r="K204" s="16">
        <v>0</v>
      </c>
      <c r="L204" s="16">
        <v>0</v>
      </c>
      <c r="M204" s="30">
        <v>0</v>
      </c>
    </row>
    <row r="205" spans="1:13" x14ac:dyDescent="0.25">
      <c r="A205">
        <f t="shared" si="6"/>
        <v>13056</v>
      </c>
      <c r="B205" s="16">
        <v>0</v>
      </c>
      <c r="C205" s="16">
        <v>0</v>
      </c>
      <c r="D205" s="16">
        <v>0</v>
      </c>
      <c r="E205" s="16">
        <v>0</v>
      </c>
      <c r="F205" s="30">
        <v>0</v>
      </c>
      <c r="H205">
        <f t="shared" si="7"/>
        <v>13056</v>
      </c>
      <c r="I205" s="16">
        <v>0</v>
      </c>
      <c r="J205" s="16">
        <v>0</v>
      </c>
      <c r="K205" s="16">
        <v>0</v>
      </c>
      <c r="L205" s="16">
        <v>0</v>
      </c>
      <c r="M205" s="30">
        <v>0</v>
      </c>
    </row>
    <row r="206" spans="1:13" x14ac:dyDescent="0.25">
      <c r="A206">
        <f t="shared" si="6"/>
        <v>13056</v>
      </c>
      <c r="B206" s="16">
        <v>0</v>
      </c>
      <c r="C206" s="16">
        <v>0</v>
      </c>
      <c r="D206" s="16">
        <v>0</v>
      </c>
      <c r="E206" s="16">
        <v>0</v>
      </c>
      <c r="F206" s="30">
        <v>0</v>
      </c>
      <c r="H206">
        <f t="shared" si="7"/>
        <v>13056</v>
      </c>
      <c r="I206" s="16">
        <v>0</v>
      </c>
      <c r="J206" s="16">
        <v>0</v>
      </c>
      <c r="K206" s="16">
        <v>0</v>
      </c>
      <c r="L206" s="16">
        <v>0</v>
      </c>
      <c r="M206" s="30">
        <v>0</v>
      </c>
    </row>
    <row r="207" spans="1:13" x14ac:dyDescent="0.25">
      <c r="A207">
        <f t="shared" si="6"/>
        <v>13056</v>
      </c>
      <c r="B207" s="16">
        <v>0</v>
      </c>
      <c r="C207" s="16">
        <v>0</v>
      </c>
      <c r="D207" s="16">
        <v>0</v>
      </c>
      <c r="E207" s="16">
        <v>0</v>
      </c>
      <c r="F207" s="30">
        <v>0</v>
      </c>
      <c r="H207">
        <f t="shared" si="7"/>
        <v>13056</v>
      </c>
      <c r="I207" s="16">
        <v>0</v>
      </c>
      <c r="J207" s="16">
        <v>0</v>
      </c>
      <c r="K207" s="16">
        <v>0</v>
      </c>
      <c r="L207" s="16">
        <v>0</v>
      </c>
      <c r="M207" s="30">
        <v>0</v>
      </c>
    </row>
    <row r="208" spans="1:13" x14ac:dyDescent="0.25">
      <c r="A208">
        <f t="shared" si="6"/>
        <v>13056</v>
      </c>
      <c r="B208" s="16">
        <v>0</v>
      </c>
      <c r="C208" s="16">
        <v>0</v>
      </c>
      <c r="D208" s="16">
        <v>0</v>
      </c>
      <c r="E208" s="16">
        <v>0</v>
      </c>
      <c r="F208" s="30">
        <v>0</v>
      </c>
      <c r="H208">
        <f t="shared" si="7"/>
        <v>13056</v>
      </c>
      <c r="I208" s="16">
        <v>0</v>
      </c>
      <c r="J208" s="16">
        <v>0</v>
      </c>
      <c r="K208" s="16">
        <v>0</v>
      </c>
      <c r="L208" s="16">
        <v>0</v>
      </c>
      <c r="M208" s="30">
        <v>0</v>
      </c>
    </row>
    <row r="209" spans="1:13" x14ac:dyDescent="0.25">
      <c r="A209">
        <f t="shared" si="6"/>
        <v>13056</v>
      </c>
      <c r="B209" s="16">
        <v>0</v>
      </c>
      <c r="C209" s="16">
        <v>0</v>
      </c>
      <c r="D209" s="16">
        <v>0</v>
      </c>
      <c r="E209" s="16">
        <v>0</v>
      </c>
      <c r="F209" s="30">
        <v>0</v>
      </c>
      <c r="H209">
        <f t="shared" si="7"/>
        <v>13056</v>
      </c>
      <c r="I209" s="16">
        <v>0</v>
      </c>
      <c r="J209" s="16">
        <v>0</v>
      </c>
      <c r="K209" s="16">
        <v>0</v>
      </c>
      <c r="L209" s="16">
        <v>0</v>
      </c>
      <c r="M209" s="30">
        <v>0</v>
      </c>
    </row>
    <row r="210" spans="1:13" x14ac:dyDescent="0.25">
      <c r="A210">
        <f t="shared" si="6"/>
        <v>13056</v>
      </c>
      <c r="B210" s="16">
        <v>0</v>
      </c>
      <c r="C210" s="16">
        <v>0</v>
      </c>
      <c r="D210" s="16">
        <v>0</v>
      </c>
      <c r="E210" s="16">
        <v>0</v>
      </c>
      <c r="F210" s="30">
        <v>0</v>
      </c>
      <c r="H210">
        <f t="shared" si="7"/>
        <v>13056</v>
      </c>
      <c r="I210" s="16">
        <v>0</v>
      </c>
      <c r="J210" s="16">
        <v>0</v>
      </c>
      <c r="K210" s="16">
        <v>0</v>
      </c>
      <c r="L210" s="16">
        <v>0</v>
      </c>
      <c r="M210" s="30">
        <v>0</v>
      </c>
    </row>
    <row r="211" spans="1:13" x14ac:dyDescent="0.25">
      <c r="A211">
        <f t="shared" si="6"/>
        <v>13056</v>
      </c>
      <c r="B211" s="16">
        <v>0</v>
      </c>
      <c r="C211" s="16">
        <v>0</v>
      </c>
      <c r="D211" s="16">
        <v>0</v>
      </c>
      <c r="E211" s="16">
        <v>0</v>
      </c>
      <c r="F211" s="30">
        <v>0</v>
      </c>
      <c r="H211">
        <f t="shared" si="7"/>
        <v>13056</v>
      </c>
      <c r="I211" s="16">
        <v>0</v>
      </c>
      <c r="J211" s="16">
        <v>0</v>
      </c>
      <c r="K211" s="16">
        <v>0</v>
      </c>
      <c r="L211" s="16">
        <v>0</v>
      </c>
      <c r="M211" s="30">
        <v>0</v>
      </c>
    </row>
    <row r="212" spans="1:13" x14ac:dyDescent="0.25">
      <c r="A212">
        <f t="shared" si="6"/>
        <v>13056</v>
      </c>
      <c r="B212" s="16">
        <v>0</v>
      </c>
      <c r="C212" s="16">
        <v>0</v>
      </c>
      <c r="D212" s="16">
        <v>0</v>
      </c>
      <c r="E212" s="16">
        <v>0</v>
      </c>
      <c r="F212" s="30">
        <v>0</v>
      </c>
      <c r="H212">
        <f t="shared" si="7"/>
        <v>13056</v>
      </c>
      <c r="I212" s="16">
        <v>0</v>
      </c>
      <c r="J212" s="16">
        <v>0</v>
      </c>
      <c r="K212" s="16">
        <v>0</v>
      </c>
      <c r="L212" s="16">
        <v>0</v>
      </c>
      <c r="M212" s="30">
        <v>0</v>
      </c>
    </row>
    <row r="213" spans="1:13" x14ac:dyDescent="0.25">
      <c r="A213">
        <f t="shared" si="6"/>
        <v>13056</v>
      </c>
      <c r="B213" s="16">
        <v>0</v>
      </c>
      <c r="C213" s="16">
        <v>0</v>
      </c>
      <c r="D213" s="16">
        <v>0</v>
      </c>
      <c r="E213" s="16">
        <v>0</v>
      </c>
      <c r="F213" s="30">
        <v>0</v>
      </c>
      <c r="H213">
        <f t="shared" si="7"/>
        <v>13056</v>
      </c>
      <c r="I213" s="16">
        <v>0</v>
      </c>
      <c r="J213" s="16">
        <v>0</v>
      </c>
      <c r="K213" s="16">
        <v>0</v>
      </c>
      <c r="L213" s="16">
        <v>0</v>
      </c>
      <c r="M213" s="30">
        <v>0</v>
      </c>
    </row>
    <row r="214" spans="1:13" x14ac:dyDescent="0.25">
      <c r="A214">
        <f t="shared" si="6"/>
        <v>13056</v>
      </c>
      <c r="B214" s="16">
        <v>0</v>
      </c>
      <c r="C214" s="16">
        <v>0</v>
      </c>
      <c r="D214" s="16">
        <v>0</v>
      </c>
      <c r="E214" s="16">
        <v>0</v>
      </c>
      <c r="F214" s="30">
        <v>0</v>
      </c>
      <c r="H214">
        <f t="shared" si="7"/>
        <v>13056</v>
      </c>
      <c r="I214" s="16">
        <v>0</v>
      </c>
      <c r="J214" s="16">
        <v>0</v>
      </c>
      <c r="K214" s="16">
        <v>0</v>
      </c>
      <c r="L214" s="16">
        <v>0</v>
      </c>
      <c r="M214" s="30">
        <v>0</v>
      </c>
    </row>
    <row r="215" spans="1:13" x14ac:dyDescent="0.25">
      <c r="A215">
        <f t="shared" si="6"/>
        <v>13056</v>
      </c>
      <c r="B215" s="16">
        <v>0</v>
      </c>
      <c r="C215" s="16">
        <v>0</v>
      </c>
      <c r="D215" s="16">
        <v>0</v>
      </c>
      <c r="E215" s="16">
        <v>0</v>
      </c>
      <c r="F215" s="30">
        <v>0</v>
      </c>
      <c r="H215">
        <f t="shared" si="7"/>
        <v>13056</v>
      </c>
      <c r="I215" s="16">
        <v>0</v>
      </c>
      <c r="J215" s="16">
        <v>0</v>
      </c>
      <c r="K215" s="16">
        <v>0</v>
      </c>
      <c r="L215" s="16">
        <v>0</v>
      </c>
      <c r="M215" s="30">
        <v>0</v>
      </c>
    </row>
    <row r="216" spans="1:13" x14ac:dyDescent="0.25">
      <c r="A216">
        <f t="shared" si="6"/>
        <v>13056</v>
      </c>
      <c r="B216" s="16">
        <v>0</v>
      </c>
      <c r="C216" s="16">
        <v>0</v>
      </c>
      <c r="D216" s="16">
        <v>0</v>
      </c>
      <c r="E216" s="16">
        <v>0</v>
      </c>
      <c r="F216" s="30">
        <v>0</v>
      </c>
      <c r="H216">
        <f t="shared" si="7"/>
        <v>13056</v>
      </c>
      <c r="I216" s="16">
        <v>0</v>
      </c>
      <c r="J216" s="16">
        <v>0</v>
      </c>
      <c r="K216" s="16">
        <v>0</v>
      </c>
      <c r="L216" s="16">
        <v>0</v>
      </c>
      <c r="M216" s="30">
        <v>0</v>
      </c>
    </row>
    <row r="217" spans="1:13" x14ac:dyDescent="0.25">
      <c r="A217">
        <f t="shared" si="6"/>
        <v>13056</v>
      </c>
      <c r="B217" s="16">
        <v>0</v>
      </c>
      <c r="C217" s="16">
        <v>0</v>
      </c>
      <c r="D217" s="16">
        <v>0</v>
      </c>
      <c r="E217" s="16">
        <v>0</v>
      </c>
      <c r="F217" s="30">
        <v>0</v>
      </c>
      <c r="H217">
        <f t="shared" si="7"/>
        <v>13056</v>
      </c>
      <c r="I217" s="16">
        <v>0</v>
      </c>
      <c r="J217" s="16">
        <v>0</v>
      </c>
      <c r="K217" s="16">
        <v>0</v>
      </c>
      <c r="L217" s="16">
        <v>0</v>
      </c>
      <c r="M217" s="30">
        <v>0</v>
      </c>
    </row>
    <row r="218" spans="1:13" x14ac:dyDescent="0.25">
      <c r="A218">
        <f t="shared" si="6"/>
        <v>13056</v>
      </c>
      <c r="B218" s="16">
        <v>0</v>
      </c>
      <c r="C218" s="16">
        <v>0</v>
      </c>
      <c r="D218" s="16">
        <v>0</v>
      </c>
      <c r="E218" s="16">
        <v>0</v>
      </c>
      <c r="F218" s="30">
        <v>0</v>
      </c>
      <c r="H218">
        <f t="shared" si="7"/>
        <v>13056</v>
      </c>
      <c r="I218" s="16">
        <v>0</v>
      </c>
      <c r="J218" s="16">
        <v>0</v>
      </c>
      <c r="K218" s="16">
        <v>0</v>
      </c>
      <c r="L218" s="16">
        <v>0</v>
      </c>
      <c r="M218" s="30">
        <v>0</v>
      </c>
    </row>
    <row r="219" spans="1:13" x14ac:dyDescent="0.25">
      <c r="A219">
        <f t="shared" si="6"/>
        <v>13056</v>
      </c>
      <c r="B219" s="16">
        <v>0</v>
      </c>
      <c r="C219" s="16">
        <v>0</v>
      </c>
      <c r="D219" s="16">
        <v>0</v>
      </c>
      <c r="E219" s="16">
        <v>0</v>
      </c>
      <c r="F219" s="30">
        <v>0</v>
      </c>
      <c r="H219">
        <f t="shared" si="7"/>
        <v>13056</v>
      </c>
      <c r="I219" s="16">
        <v>0</v>
      </c>
      <c r="J219" s="16">
        <v>0</v>
      </c>
      <c r="K219" s="16">
        <v>0</v>
      </c>
      <c r="L219" s="16">
        <v>0</v>
      </c>
      <c r="M219" s="30">
        <v>0</v>
      </c>
    </row>
    <row r="220" spans="1:13" x14ac:dyDescent="0.25">
      <c r="A220">
        <f t="shared" si="6"/>
        <v>13056</v>
      </c>
      <c r="B220" s="16">
        <v>0</v>
      </c>
      <c r="C220" s="16">
        <v>0</v>
      </c>
      <c r="D220" s="16">
        <v>0</v>
      </c>
      <c r="E220" s="16">
        <v>0</v>
      </c>
      <c r="F220" s="30">
        <v>0</v>
      </c>
      <c r="H220">
        <f t="shared" si="7"/>
        <v>13056</v>
      </c>
      <c r="I220" s="16">
        <v>0</v>
      </c>
      <c r="J220" s="16">
        <v>0</v>
      </c>
      <c r="K220" s="16">
        <v>0</v>
      </c>
      <c r="L220" s="16">
        <v>0</v>
      </c>
      <c r="M220" s="30">
        <v>0</v>
      </c>
    </row>
    <row r="221" spans="1:13" x14ac:dyDescent="0.25">
      <c r="A221">
        <f t="shared" si="6"/>
        <v>13056</v>
      </c>
      <c r="B221" s="16">
        <v>0</v>
      </c>
      <c r="C221" s="16">
        <v>0</v>
      </c>
      <c r="D221" s="16">
        <v>0</v>
      </c>
      <c r="E221" s="16">
        <v>0</v>
      </c>
      <c r="F221" s="30">
        <v>0</v>
      </c>
      <c r="H221">
        <f t="shared" si="7"/>
        <v>13056</v>
      </c>
      <c r="I221" s="16">
        <v>0</v>
      </c>
      <c r="J221" s="16">
        <v>0</v>
      </c>
      <c r="K221" s="16">
        <v>0</v>
      </c>
      <c r="L221" s="16">
        <v>0</v>
      </c>
      <c r="M221" s="30">
        <v>0</v>
      </c>
    </row>
    <row r="222" spans="1:13" x14ac:dyDescent="0.25">
      <c r="A222">
        <f t="shared" si="6"/>
        <v>13056</v>
      </c>
      <c r="B222" s="16">
        <v>0</v>
      </c>
      <c r="C222" s="16">
        <v>0</v>
      </c>
      <c r="D222" s="16">
        <v>0</v>
      </c>
      <c r="E222" s="16">
        <v>0</v>
      </c>
      <c r="F222" s="30">
        <v>0</v>
      </c>
      <c r="H222">
        <f t="shared" si="7"/>
        <v>13056</v>
      </c>
      <c r="I222" s="16">
        <v>0</v>
      </c>
      <c r="J222" s="16">
        <v>0</v>
      </c>
      <c r="K222" s="16">
        <v>0</v>
      </c>
      <c r="L222" s="16">
        <v>0</v>
      </c>
      <c r="M222" s="30">
        <v>0</v>
      </c>
    </row>
    <row r="223" spans="1:13" x14ac:dyDescent="0.25">
      <c r="A223">
        <f t="shared" si="6"/>
        <v>13056</v>
      </c>
      <c r="B223" s="16">
        <v>0</v>
      </c>
      <c r="C223" s="16">
        <v>0</v>
      </c>
      <c r="D223" s="16">
        <v>0</v>
      </c>
      <c r="E223" s="16">
        <v>0</v>
      </c>
      <c r="F223" s="30">
        <v>0</v>
      </c>
      <c r="H223">
        <f t="shared" si="7"/>
        <v>13056</v>
      </c>
      <c r="I223" s="16">
        <v>0</v>
      </c>
      <c r="J223" s="16">
        <v>0</v>
      </c>
      <c r="K223" s="16">
        <v>0</v>
      </c>
      <c r="L223" s="16">
        <v>0</v>
      </c>
      <c r="M223" s="30">
        <v>0</v>
      </c>
    </row>
    <row r="224" spans="1:13" x14ac:dyDescent="0.25">
      <c r="A224">
        <f t="shared" si="6"/>
        <v>13056</v>
      </c>
      <c r="B224" s="16">
        <v>0</v>
      </c>
      <c r="C224" s="16">
        <v>0</v>
      </c>
      <c r="D224" s="16">
        <v>0</v>
      </c>
      <c r="E224" s="16">
        <v>0</v>
      </c>
      <c r="F224" s="30">
        <v>0</v>
      </c>
      <c r="H224">
        <f t="shared" si="7"/>
        <v>13056</v>
      </c>
      <c r="I224" s="16">
        <v>0</v>
      </c>
      <c r="J224" s="16">
        <v>0</v>
      </c>
      <c r="K224" s="16">
        <v>0</v>
      </c>
      <c r="L224" s="16">
        <v>0</v>
      </c>
      <c r="M224" s="30">
        <v>0</v>
      </c>
    </row>
    <row r="225" spans="1:13" x14ac:dyDescent="0.25">
      <c r="A225">
        <f t="shared" si="6"/>
        <v>13056</v>
      </c>
      <c r="B225" s="16">
        <v>0</v>
      </c>
      <c r="C225" s="16">
        <v>0</v>
      </c>
      <c r="D225" s="16">
        <v>0</v>
      </c>
      <c r="E225" s="16">
        <v>0</v>
      </c>
      <c r="F225" s="30">
        <v>0</v>
      </c>
      <c r="H225">
        <f t="shared" si="7"/>
        <v>13056</v>
      </c>
      <c r="I225" s="16">
        <v>0</v>
      </c>
      <c r="J225" s="16">
        <v>0</v>
      </c>
      <c r="K225" s="16">
        <v>0</v>
      </c>
      <c r="L225" s="16">
        <v>0</v>
      </c>
      <c r="M225" s="30">
        <v>0</v>
      </c>
    </row>
    <row r="226" spans="1:13" x14ac:dyDescent="0.25">
      <c r="A226">
        <f t="shared" si="6"/>
        <v>13056</v>
      </c>
      <c r="B226" s="16">
        <v>0</v>
      </c>
      <c r="C226" s="16">
        <v>0</v>
      </c>
      <c r="D226" s="16">
        <v>0</v>
      </c>
      <c r="E226" s="16">
        <v>0</v>
      </c>
      <c r="F226" s="30">
        <v>0</v>
      </c>
      <c r="H226">
        <f t="shared" si="7"/>
        <v>13056</v>
      </c>
      <c r="I226" s="16">
        <v>0</v>
      </c>
      <c r="J226" s="16">
        <v>0</v>
      </c>
      <c r="K226" s="16">
        <v>0</v>
      </c>
      <c r="L226" s="16">
        <v>0</v>
      </c>
      <c r="M226" s="30">
        <v>0</v>
      </c>
    </row>
    <row r="227" spans="1:13" x14ac:dyDescent="0.25">
      <c r="A227">
        <f t="shared" si="6"/>
        <v>13056</v>
      </c>
      <c r="B227" s="16">
        <v>0</v>
      </c>
      <c r="C227" s="16">
        <v>0</v>
      </c>
      <c r="D227" s="16">
        <v>0</v>
      </c>
      <c r="E227" s="16">
        <v>0</v>
      </c>
      <c r="F227" s="30">
        <v>0</v>
      </c>
      <c r="H227">
        <f t="shared" si="7"/>
        <v>13056</v>
      </c>
      <c r="I227" s="16">
        <v>0</v>
      </c>
      <c r="J227" s="16">
        <v>0</v>
      </c>
      <c r="K227" s="16">
        <v>0</v>
      </c>
      <c r="L227" s="16">
        <v>0</v>
      </c>
      <c r="M227" s="30">
        <v>0</v>
      </c>
    </row>
    <row r="228" spans="1:13" x14ac:dyDescent="0.25">
      <c r="A228">
        <f t="shared" si="6"/>
        <v>13056</v>
      </c>
      <c r="B228" s="16">
        <v>0</v>
      </c>
      <c r="C228" s="16">
        <v>0</v>
      </c>
      <c r="D228" s="16">
        <v>0</v>
      </c>
      <c r="E228" s="16">
        <v>0</v>
      </c>
      <c r="F228" s="30">
        <v>0</v>
      </c>
      <c r="H228">
        <f t="shared" si="7"/>
        <v>13056</v>
      </c>
      <c r="I228" s="16">
        <v>0</v>
      </c>
      <c r="J228" s="16">
        <v>0</v>
      </c>
      <c r="K228" s="16">
        <v>0</v>
      </c>
      <c r="L228" s="16">
        <v>0</v>
      </c>
      <c r="M228" s="30">
        <v>0</v>
      </c>
    </row>
    <row r="229" spans="1:13" x14ac:dyDescent="0.25">
      <c r="A229">
        <f t="shared" si="6"/>
        <v>13056</v>
      </c>
      <c r="B229" s="16">
        <v>0</v>
      </c>
      <c r="C229" s="16">
        <v>0</v>
      </c>
      <c r="D229" s="16">
        <v>0</v>
      </c>
      <c r="E229" s="16">
        <v>0</v>
      </c>
      <c r="F229" s="30">
        <v>0</v>
      </c>
      <c r="H229">
        <f t="shared" si="7"/>
        <v>13056</v>
      </c>
      <c r="I229" s="16">
        <v>0</v>
      </c>
      <c r="J229" s="16">
        <v>0</v>
      </c>
      <c r="K229" s="16">
        <v>0</v>
      </c>
      <c r="L229" s="16">
        <v>0</v>
      </c>
      <c r="M229" s="30">
        <v>0</v>
      </c>
    </row>
    <row r="230" spans="1:13" x14ac:dyDescent="0.25">
      <c r="A230">
        <f t="shared" si="6"/>
        <v>13056</v>
      </c>
      <c r="B230" s="16">
        <v>0</v>
      </c>
      <c r="C230" s="16">
        <v>0</v>
      </c>
      <c r="D230" s="16">
        <v>0</v>
      </c>
      <c r="E230" s="16">
        <v>0</v>
      </c>
      <c r="F230" s="30">
        <v>0</v>
      </c>
      <c r="H230">
        <f t="shared" si="7"/>
        <v>13056</v>
      </c>
      <c r="I230" s="16">
        <v>0</v>
      </c>
      <c r="J230" s="16">
        <v>0</v>
      </c>
      <c r="K230" s="16">
        <v>0</v>
      </c>
      <c r="L230" s="16">
        <v>0</v>
      </c>
      <c r="M230" s="30">
        <v>0</v>
      </c>
    </row>
    <row r="231" spans="1:13" x14ac:dyDescent="0.25">
      <c r="A231">
        <f t="shared" si="6"/>
        <v>13056</v>
      </c>
      <c r="B231" s="16">
        <v>0</v>
      </c>
      <c r="C231" s="16">
        <v>0</v>
      </c>
      <c r="D231" s="16">
        <v>0</v>
      </c>
      <c r="E231" s="16">
        <v>0</v>
      </c>
      <c r="F231" s="30">
        <v>0</v>
      </c>
      <c r="H231">
        <f t="shared" si="7"/>
        <v>13056</v>
      </c>
      <c r="I231" s="16">
        <v>0</v>
      </c>
      <c r="J231" s="16">
        <v>0</v>
      </c>
      <c r="K231" s="16">
        <v>0</v>
      </c>
      <c r="L231" s="16">
        <v>0</v>
      </c>
      <c r="M231" s="30">
        <v>0</v>
      </c>
    </row>
    <row r="232" spans="1:13" x14ac:dyDescent="0.25">
      <c r="A232">
        <f t="shared" si="6"/>
        <v>13056</v>
      </c>
      <c r="B232" s="16">
        <v>0</v>
      </c>
      <c r="C232" s="16">
        <v>0</v>
      </c>
      <c r="D232" s="16">
        <v>0</v>
      </c>
      <c r="E232" s="16">
        <v>0</v>
      </c>
      <c r="F232" s="30">
        <v>0</v>
      </c>
      <c r="H232">
        <f t="shared" si="7"/>
        <v>13056</v>
      </c>
      <c r="I232" s="16">
        <v>0</v>
      </c>
      <c r="J232" s="16">
        <v>0</v>
      </c>
      <c r="K232" s="16">
        <v>0</v>
      </c>
      <c r="L232" s="16">
        <v>0</v>
      </c>
      <c r="M232" s="30">
        <v>0</v>
      </c>
    </row>
    <row r="233" spans="1:13" x14ac:dyDescent="0.25">
      <c r="A233">
        <f t="shared" si="6"/>
        <v>13056</v>
      </c>
      <c r="B233" s="16">
        <v>0</v>
      </c>
      <c r="C233" s="16">
        <v>0</v>
      </c>
      <c r="D233" s="16">
        <v>0</v>
      </c>
      <c r="E233" s="16">
        <v>0</v>
      </c>
      <c r="F233" s="30">
        <v>0</v>
      </c>
      <c r="H233">
        <f t="shared" si="7"/>
        <v>13056</v>
      </c>
      <c r="I233" s="16">
        <v>0</v>
      </c>
      <c r="J233" s="16">
        <v>0</v>
      </c>
      <c r="K233" s="16">
        <v>0</v>
      </c>
      <c r="L233" s="16">
        <v>0</v>
      </c>
      <c r="M233" s="30">
        <v>0</v>
      </c>
    </row>
    <row r="234" spans="1:13" x14ac:dyDescent="0.25">
      <c r="A234">
        <f t="shared" si="6"/>
        <v>13056</v>
      </c>
      <c r="B234" s="16">
        <v>0</v>
      </c>
      <c r="C234" s="16">
        <v>0</v>
      </c>
      <c r="D234" s="16">
        <v>0</v>
      </c>
      <c r="E234" s="16">
        <v>0</v>
      </c>
      <c r="F234" s="30">
        <v>0</v>
      </c>
      <c r="H234">
        <f t="shared" si="7"/>
        <v>13056</v>
      </c>
      <c r="I234" s="16">
        <v>0</v>
      </c>
      <c r="J234" s="16">
        <v>0</v>
      </c>
      <c r="K234" s="16">
        <v>0</v>
      </c>
      <c r="L234" s="16">
        <v>0</v>
      </c>
      <c r="M234" s="30">
        <v>0</v>
      </c>
    </row>
    <row r="235" spans="1:13" x14ac:dyDescent="0.25">
      <c r="A235">
        <f t="shared" si="6"/>
        <v>13056</v>
      </c>
      <c r="B235" s="16">
        <v>0</v>
      </c>
      <c r="C235" s="16">
        <v>0</v>
      </c>
      <c r="D235" s="16">
        <v>0</v>
      </c>
      <c r="E235" s="16">
        <v>0</v>
      </c>
      <c r="F235" s="30">
        <v>0</v>
      </c>
      <c r="H235">
        <f t="shared" si="7"/>
        <v>13056</v>
      </c>
      <c r="I235" s="16">
        <v>0</v>
      </c>
      <c r="J235" s="16">
        <v>0</v>
      </c>
      <c r="K235" s="16">
        <v>0</v>
      </c>
      <c r="L235" s="16">
        <v>0</v>
      </c>
      <c r="M235" s="30">
        <v>0</v>
      </c>
    </row>
    <row r="236" spans="1:13" x14ac:dyDescent="0.25">
      <c r="A236">
        <f t="shared" si="6"/>
        <v>13056</v>
      </c>
      <c r="B236" s="16">
        <v>0</v>
      </c>
      <c r="C236" s="16">
        <v>0</v>
      </c>
      <c r="D236" s="16">
        <v>0</v>
      </c>
      <c r="E236" s="16">
        <v>0</v>
      </c>
      <c r="F236" s="30">
        <v>0</v>
      </c>
      <c r="H236">
        <f t="shared" si="7"/>
        <v>13056</v>
      </c>
      <c r="I236" s="16">
        <v>0</v>
      </c>
      <c r="J236" s="16">
        <v>0</v>
      </c>
      <c r="K236" s="16">
        <v>0</v>
      </c>
      <c r="L236" s="16">
        <v>0</v>
      </c>
      <c r="M236" s="30">
        <v>0</v>
      </c>
    </row>
    <row r="237" spans="1:13" x14ac:dyDescent="0.25">
      <c r="A237">
        <f t="shared" si="6"/>
        <v>13056</v>
      </c>
      <c r="B237" s="16">
        <v>0</v>
      </c>
      <c r="C237" s="16">
        <v>0</v>
      </c>
      <c r="D237" s="16">
        <v>0</v>
      </c>
      <c r="E237" s="16">
        <v>0</v>
      </c>
      <c r="F237" s="30">
        <v>0</v>
      </c>
      <c r="H237">
        <f t="shared" si="7"/>
        <v>13056</v>
      </c>
      <c r="I237" s="16">
        <v>0</v>
      </c>
      <c r="J237" s="16">
        <v>0</v>
      </c>
      <c r="K237" s="16">
        <v>0</v>
      </c>
      <c r="L237" s="16">
        <v>0</v>
      </c>
      <c r="M237" s="30">
        <v>0</v>
      </c>
    </row>
    <row r="238" spans="1:13" x14ac:dyDescent="0.25">
      <c r="A238">
        <f t="shared" si="6"/>
        <v>13056</v>
      </c>
      <c r="B238" s="16">
        <v>0</v>
      </c>
      <c r="C238" s="16">
        <v>0</v>
      </c>
      <c r="D238" s="16">
        <v>0</v>
      </c>
      <c r="E238" s="16">
        <v>0</v>
      </c>
      <c r="F238" s="30">
        <v>0</v>
      </c>
      <c r="H238">
        <f t="shared" si="7"/>
        <v>13056</v>
      </c>
      <c r="I238" s="16">
        <v>0</v>
      </c>
      <c r="J238" s="16">
        <v>0</v>
      </c>
      <c r="K238" s="16">
        <v>0</v>
      </c>
      <c r="L238" s="16">
        <v>0</v>
      </c>
      <c r="M238" s="30">
        <v>0</v>
      </c>
    </row>
    <row r="239" spans="1:13" x14ac:dyDescent="0.25">
      <c r="A239">
        <f t="shared" si="6"/>
        <v>13056</v>
      </c>
      <c r="B239" s="16">
        <v>0</v>
      </c>
      <c r="C239" s="16">
        <v>0</v>
      </c>
      <c r="D239" s="16">
        <v>0</v>
      </c>
      <c r="E239" s="16">
        <v>0</v>
      </c>
      <c r="F239" s="30">
        <v>0</v>
      </c>
      <c r="H239">
        <f t="shared" si="7"/>
        <v>13056</v>
      </c>
      <c r="I239" s="16">
        <v>0</v>
      </c>
      <c r="J239" s="16">
        <v>0</v>
      </c>
      <c r="K239" s="16">
        <v>0</v>
      </c>
      <c r="L239" s="16">
        <v>0</v>
      </c>
      <c r="M239" s="30">
        <v>0</v>
      </c>
    </row>
    <row r="240" spans="1:13" x14ac:dyDescent="0.25">
      <c r="A240">
        <f t="shared" si="6"/>
        <v>13056</v>
      </c>
      <c r="B240" s="16">
        <v>0</v>
      </c>
      <c r="C240" s="16">
        <v>0</v>
      </c>
      <c r="D240" s="16">
        <v>0</v>
      </c>
      <c r="E240" s="16">
        <v>0</v>
      </c>
      <c r="F240" s="30">
        <v>0</v>
      </c>
      <c r="H240">
        <f t="shared" si="7"/>
        <v>13056</v>
      </c>
      <c r="I240" s="16">
        <v>0</v>
      </c>
      <c r="J240" s="16">
        <v>0</v>
      </c>
      <c r="K240" s="16">
        <v>0</v>
      </c>
      <c r="L240" s="16">
        <v>0</v>
      </c>
      <c r="M240" s="30">
        <v>0</v>
      </c>
    </row>
    <row r="241" spans="1:13" x14ac:dyDescent="0.25">
      <c r="A241">
        <f t="shared" si="6"/>
        <v>13056</v>
      </c>
      <c r="B241" s="16">
        <v>0</v>
      </c>
      <c r="C241" s="16">
        <v>0</v>
      </c>
      <c r="D241" s="16">
        <v>0</v>
      </c>
      <c r="E241" s="16">
        <v>0</v>
      </c>
      <c r="F241" s="30">
        <v>0</v>
      </c>
      <c r="H241">
        <f t="shared" si="7"/>
        <v>13056</v>
      </c>
      <c r="I241" s="16">
        <v>0</v>
      </c>
      <c r="J241" s="16">
        <v>0</v>
      </c>
      <c r="K241" s="16">
        <v>0</v>
      </c>
      <c r="L241" s="16">
        <v>0</v>
      </c>
      <c r="M241" s="30">
        <v>0</v>
      </c>
    </row>
    <row r="242" spans="1:13" x14ac:dyDescent="0.25">
      <c r="A242">
        <f t="shared" si="6"/>
        <v>13056</v>
      </c>
      <c r="B242" s="16">
        <v>0</v>
      </c>
      <c r="C242" s="16">
        <v>0</v>
      </c>
      <c r="D242" s="16">
        <v>0</v>
      </c>
      <c r="E242" s="16">
        <v>0</v>
      </c>
      <c r="F242" s="30">
        <v>0</v>
      </c>
      <c r="H242">
        <f t="shared" si="7"/>
        <v>13056</v>
      </c>
      <c r="I242" s="16">
        <v>0</v>
      </c>
      <c r="J242" s="16">
        <v>0</v>
      </c>
      <c r="K242" s="16">
        <v>0</v>
      </c>
      <c r="L242" s="16">
        <v>0</v>
      </c>
      <c r="M242" s="30">
        <v>0</v>
      </c>
    </row>
    <row r="243" spans="1:13" x14ac:dyDescent="0.25">
      <c r="A243">
        <f t="shared" si="6"/>
        <v>13056</v>
      </c>
      <c r="B243" s="16">
        <v>0</v>
      </c>
      <c r="C243" s="16">
        <v>0</v>
      </c>
      <c r="D243" s="16">
        <v>0</v>
      </c>
      <c r="E243" s="16">
        <v>0</v>
      </c>
      <c r="F243" s="30">
        <v>0</v>
      </c>
      <c r="H243">
        <f t="shared" si="7"/>
        <v>13056</v>
      </c>
      <c r="I243" s="16">
        <v>0</v>
      </c>
      <c r="J243" s="16">
        <v>0</v>
      </c>
      <c r="K243" s="16">
        <v>0</v>
      </c>
      <c r="L243" s="16">
        <v>0</v>
      </c>
      <c r="M243" s="30">
        <v>0</v>
      </c>
    </row>
    <row r="244" spans="1:13" x14ac:dyDescent="0.25">
      <c r="A244">
        <f t="shared" si="6"/>
        <v>13056</v>
      </c>
      <c r="B244" s="16">
        <v>0</v>
      </c>
      <c r="C244" s="16">
        <v>0</v>
      </c>
      <c r="D244" s="16">
        <v>0</v>
      </c>
      <c r="E244" s="16">
        <v>0</v>
      </c>
      <c r="F244" s="30">
        <v>0</v>
      </c>
      <c r="H244">
        <f t="shared" si="7"/>
        <v>13056</v>
      </c>
      <c r="I244" s="16">
        <v>0</v>
      </c>
      <c r="J244" s="16">
        <v>0</v>
      </c>
      <c r="K244" s="16">
        <v>0</v>
      </c>
      <c r="L244" s="16">
        <v>0</v>
      </c>
      <c r="M244" s="30">
        <v>0</v>
      </c>
    </row>
    <row r="245" spans="1:13" x14ac:dyDescent="0.25">
      <c r="A245">
        <f t="shared" si="6"/>
        <v>13056</v>
      </c>
      <c r="B245" s="16">
        <v>0</v>
      </c>
      <c r="C245" s="16">
        <v>0</v>
      </c>
      <c r="D245" s="16">
        <v>0</v>
      </c>
      <c r="E245" s="16">
        <v>0</v>
      </c>
      <c r="F245" s="30">
        <v>0</v>
      </c>
      <c r="H245">
        <f t="shared" si="7"/>
        <v>13056</v>
      </c>
      <c r="I245" s="16">
        <v>0</v>
      </c>
      <c r="J245" s="16">
        <v>0</v>
      </c>
      <c r="K245" s="16">
        <v>0</v>
      </c>
      <c r="L245" s="16">
        <v>0</v>
      </c>
      <c r="M245" s="30">
        <v>0</v>
      </c>
    </row>
    <row r="246" spans="1:13" x14ac:dyDescent="0.25">
      <c r="A246">
        <f t="shared" si="6"/>
        <v>13056</v>
      </c>
      <c r="B246" s="16">
        <v>0</v>
      </c>
      <c r="C246" s="16">
        <v>0</v>
      </c>
      <c r="D246" s="16">
        <v>0</v>
      </c>
      <c r="E246" s="16">
        <v>0</v>
      </c>
      <c r="F246" s="30">
        <v>0</v>
      </c>
      <c r="H246">
        <f t="shared" si="7"/>
        <v>13056</v>
      </c>
      <c r="I246" s="16">
        <v>0</v>
      </c>
      <c r="J246" s="16">
        <v>0</v>
      </c>
      <c r="K246" s="16">
        <v>0</v>
      </c>
      <c r="L246" s="16">
        <v>0</v>
      </c>
      <c r="M246" s="30">
        <v>0</v>
      </c>
    </row>
    <row r="247" spans="1:13" x14ac:dyDescent="0.25">
      <c r="A247">
        <f t="shared" si="6"/>
        <v>13056</v>
      </c>
      <c r="B247" s="16">
        <v>0</v>
      </c>
      <c r="C247" s="16">
        <v>0</v>
      </c>
      <c r="D247" s="16">
        <v>0</v>
      </c>
      <c r="E247" s="16">
        <v>0</v>
      </c>
      <c r="F247" s="30">
        <v>0</v>
      </c>
      <c r="H247">
        <f t="shared" si="7"/>
        <v>13056</v>
      </c>
      <c r="I247" s="16">
        <v>0</v>
      </c>
      <c r="J247" s="16">
        <v>0</v>
      </c>
      <c r="K247" s="16">
        <v>0</v>
      </c>
      <c r="L247" s="16">
        <v>0</v>
      </c>
      <c r="M247" s="30">
        <v>0</v>
      </c>
    </row>
    <row r="248" spans="1:13" x14ac:dyDescent="0.25">
      <c r="A248">
        <f t="shared" si="6"/>
        <v>13056</v>
      </c>
      <c r="B248" s="16">
        <v>0</v>
      </c>
      <c r="C248" s="16">
        <v>0</v>
      </c>
      <c r="D248" s="16">
        <v>0</v>
      </c>
      <c r="E248" s="16">
        <v>0</v>
      </c>
      <c r="F248" s="30">
        <v>0</v>
      </c>
      <c r="H248">
        <f t="shared" si="7"/>
        <v>13056</v>
      </c>
      <c r="I248" s="16">
        <v>0</v>
      </c>
      <c r="J248" s="16">
        <v>0</v>
      </c>
      <c r="K248" s="16">
        <v>0</v>
      </c>
      <c r="L248" s="16">
        <v>0</v>
      </c>
      <c r="M248" s="30">
        <v>0</v>
      </c>
    </row>
    <row r="249" spans="1:13" x14ac:dyDescent="0.25">
      <c r="A249">
        <f t="shared" si="6"/>
        <v>13056</v>
      </c>
      <c r="B249" s="16">
        <v>0</v>
      </c>
      <c r="C249" s="16">
        <v>0</v>
      </c>
      <c r="D249" s="16">
        <v>0</v>
      </c>
      <c r="E249" s="16">
        <v>0</v>
      </c>
      <c r="F249" s="30">
        <v>0</v>
      </c>
      <c r="H249">
        <f t="shared" si="7"/>
        <v>13056</v>
      </c>
      <c r="I249" s="16">
        <v>0</v>
      </c>
      <c r="J249" s="16">
        <v>0</v>
      </c>
      <c r="K249" s="16">
        <v>0</v>
      </c>
      <c r="L249" s="16">
        <v>0</v>
      </c>
      <c r="M249" s="30">
        <v>0</v>
      </c>
    </row>
    <row r="250" spans="1:13" x14ac:dyDescent="0.25">
      <c r="A250">
        <f t="shared" si="6"/>
        <v>13056</v>
      </c>
      <c r="B250" s="16">
        <v>0</v>
      </c>
      <c r="C250" s="16">
        <v>0</v>
      </c>
      <c r="D250" s="16">
        <v>0</v>
      </c>
      <c r="E250" s="16">
        <v>0</v>
      </c>
      <c r="F250" s="30">
        <v>0</v>
      </c>
      <c r="H250">
        <f t="shared" si="7"/>
        <v>13056</v>
      </c>
      <c r="I250" s="16">
        <v>0</v>
      </c>
      <c r="J250" s="16">
        <v>0</v>
      </c>
      <c r="K250" s="16">
        <v>0</v>
      </c>
      <c r="L250" s="16">
        <v>0</v>
      </c>
      <c r="M250" s="30">
        <v>0</v>
      </c>
    </row>
    <row r="251" spans="1:13" x14ac:dyDescent="0.25">
      <c r="A251">
        <f t="shared" si="6"/>
        <v>13056</v>
      </c>
      <c r="B251" s="16">
        <v>0</v>
      </c>
      <c r="C251" s="16">
        <v>0</v>
      </c>
      <c r="D251" s="16">
        <v>0</v>
      </c>
      <c r="E251" s="16">
        <v>0</v>
      </c>
      <c r="F251" s="30">
        <v>0</v>
      </c>
      <c r="H251">
        <f t="shared" si="7"/>
        <v>13056</v>
      </c>
      <c r="I251" s="16">
        <v>0</v>
      </c>
      <c r="J251" s="16">
        <v>0</v>
      </c>
      <c r="K251" s="16">
        <v>0</v>
      </c>
      <c r="L251" s="16">
        <v>0</v>
      </c>
      <c r="M251" s="30">
        <v>0</v>
      </c>
    </row>
    <row r="252" spans="1:13" x14ac:dyDescent="0.25">
      <c r="A252">
        <f t="shared" si="6"/>
        <v>13056</v>
      </c>
      <c r="B252" s="16">
        <v>0</v>
      </c>
      <c r="C252" s="16">
        <v>0</v>
      </c>
      <c r="D252" s="16">
        <v>0</v>
      </c>
      <c r="E252" s="16">
        <v>0</v>
      </c>
      <c r="F252" s="30">
        <v>0</v>
      </c>
      <c r="H252">
        <f t="shared" si="7"/>
        <v>13056</v>
      </c>
      <c r="I252" s="16">
        <v>0</v>
      </c>
      <c r="J252" s="16">
        <v>0</v>
      </c>
      <c r="K252" s="16">
        <v>0</v>
      </c>
      <c r="L252" s="16">
        <v>0</v>
      </c>
      <c r="M252" s="30">
        <v>0</v>
      </c>
    </row>
    <row r="253" spans="1:13" x14ac:dyDescent="0.25">
      <c r="A253">
        <f t="shared" si="6"/>
        <v>13056</v>
      </c>
      <c r="B253" s="16">
        <v>0</v>
      </c>
      <c r="C253" s="16">
        <v>0</v>
      </c>
      <c r="D253" s="16">
        <v>0</v>
      </c>
      <c r="E253" s="16">
        <v>0</v>
      </c>
      <c r="F253" s="30">
        <v>0</v>
      </c>
      <c r="H253">
        <f t="shared" si="7"/>
        <v>13056</v>
      </c>
      <c r="I253" s="16">
        <v>0</v>
      </c>
      <c r="J253" s="16">
        <v>0</v>
      </c>
      <c r="K253" s="16">
        <v>0</v>
      </c>
      <c r="L253" s="16">
        <v>0</v>
      </c>
      <c r="M253" s="30">
        <v>0</v>
      </c>
    </row>
    <row r="254" spans="1:13" x14ac:dyDescent="0.25">
      <c r="A254">
        <f t="shared" si="6"/>
        <v>13056</v>
      </c>
      <c r="B254" s="16">
        <v>0</v>
      </c>
      <c r="C254" s="16">
        <v>0</v>
      </c>
      <c r="D254" s="16">
        <v>0</v>
      </c>
      <c r="E254" s="16">
        <v>0</v>
      </c>
      <c r="F254" s="30">
        <v>0</v>
      </c>
      <c r="H254">
        <f t="shared" si="7"/>
        <v>13056</v>
      </c>
      <c r="I254" s="16">
        <v>0</v>
      </c>
      <c r="J254" s="16">
        <v>0</v>
      </c>
      <c r="K254" s="16">
        <v>0</v>
      </c>
      <c r="L254" s="16">
        <v>0</v>
      </c>
      <c r="M254" s="30">
        <v>0</v>
      </c>
    </row>
    <row r="255" spans="1:13" x14ac:dyDescent="0.25">
      <c r="A255">
        <f t="shared" si="6"/>
        <v>13056</v>
      </c>
      <c r="B255" s="16">
        <v>0</v>
      </c>
      <c r="C255" s="16">
        <v>0</v>
      </c>
      <c r="D255" s="16">
        <v>0</v>
      </c>
      <c r="E255" s="16">
        <v>0</v>
      </c>
      <c r="F255" s="30">
        <v>0</v>
      </c>
      <c r="H255">
        <f t="shared" si="7"/>
        <v>13056</v>
      </c>
      <c r="I255" s="16">
        <v>0</v>
      </c>
      <c r="J255" s="16">
        <v>0</v>
      </c>
      <c r="K255" s="16">
        <v>0</v>
      </c>
      <c r="L255" s="16">
        <v>0</v>
      </c>
      <c r="M255" s="30">
        <v>0</v>
      </c>
    </row>
    <row r="256" spans="1:13" x14ac:dyDescent="0.25">
      <c r="A256">
        <f t="shared" si="6"/>
        <v>13056</v>
      </c>
      <c r="B256" s="16">
        <v>0</v>
      </c>
      <c r="C256" s="16">
        <v>0</v>
      </c>
      <c r="D256" s="16">
        <v>0</v>
      </c>
      <c r="E256" s="16">
        <v>0</v>
      </c>
      <c r="F256" s="30">
        <v>0</v>
      </c>
      <c r="H256">
        <f t="shared" si="7"/>
        <v>13056</v>
      </c>
      <c r="I256" s="16">
        <v>0</v>
      </c>
      <c r="J256" s="16">
        <v>0</v>
      </c>
      <c r="K256" s="16">
        <v>0</v>
      </c>
      <c r="L256" s="16">
        <v>0</v>
      </c>
      <c r="M256" s="30">
        <v>0</v>
      </c>
    </row>
    <row r="257" spans="1:13" x14ac:dyDescent="0.25">
      <c r="A257">
        <f t="shared" si="6"/>
        <v>13056</v>
      </c>
      <c r="B257" s="16">
        <v>0</v>
      </c>
      <c r="C257" s="16">
        <v>0</v>
      </c>
      <c r="D257" s="16">
        <v>0</v>
      </c>
      <c r="E257" s="16">
        <v>0</v>
      </c>
      <c r="F257" s="30">
        <v>0</v>
      </c>
      <c r="H257">
        <f t="shared" si="7"/>
        <v>13056</v>
      </c>
      <c r="I257" s="16">
        <v>0</v>
      </c>
      <c r="J257" s="16">
        <v>0</v>
      </c>
      <c r="K257" s="16">
        <v>0</v>
      </c>
      <c r="L257" s="16">
        <v>0</v>
      </c>
      <c r="M257" s="30">
        <v>0</v>
      </c>
    </row>
    <row r="258" spans="1:13" x14ac:dyDescent="0.25">
      <c r="A258">
        <f t="shared" si="6"/>
        <v>13056</v>
      </c>
      <c r="B258" s="16">
        <v>0</v>
      </c>
      <c r="C258" s="16">
        <v>0</v>
      </c>
      <c r="D258" s="16">
        <v>0</v>
      </c>
      <c r="E258" s="16">
        <v>0</v>
      </c>
      <c r="F258" s="30">
        <v>0</v>
      </c>
      <c r="H258">
        <f t="shared" si="7"/>
        <v>13056</v>
      </c>
      <c r="I258" s="16">
        <v>0</v>
      </c>
      <c r="J258" s="16">
        <v>0</v>
      </c>
      <c r="K258" s="16">
        <v>0</v>
      </c>
      <c r="L258" s="16">
        <v>0</v>
      </c>
      <c r="M258" s="30">
        <v>0</v>
      </c>
    </row>
    <row r="259" spans="1:13" x14ac:dyDescent="0.25">
      <c r="A259">
        <f t="shared" si="6"/>
        <v>13056</v>
      </c>
      <c r="B259" s="16">
        <v>0</v>
      </c>
      <c r="C259" s="16">
        <v>0</v>
      </c>
      <c r="D259" s="16">
        <v>0</v>
      </c>
      <c r="E259" s="16">
        <v>0</v>
      </c>
      <c r="F259" s="30">
        <v>0</v>
      </c>
      <c r="H259">
        <f t="shared" si="7"/>
        <v>13056</v>
      </c>
      <c r="I259" s="16">
        <v>0</v>
      </c>
      <c r="J259" s="16">
        <v>0</v>
      </c>
      <c r="K259" s="16">
        <v>0</v>
      </c>
      <c r="L259" s="16">
        <v>0</v>
      </c>
      <c r="M259" s="30">
        <v>0</v>
      </c>
    </row>
    <row r="260" spans="1:13" x14ac:dyDescent="0.25">
      <c r="A260">
        <f t="shared" si="6"/>
        <v>13056</v>
      </c>
      <c r="B260" s="16">
        <v>0</v>
      </c>
      <c r="C260" s="16">
        <v>0</v>
      </c>
      <c r="D260" s="16">
        <v>0</v>
      </c>
      <c r="E260" s="16">
        <v>0</v>
      </c>
      <c r="F260" s="30">
        <v>0</v>
      </c>
      <c r="I260" s="16">
        <v>0</v>
      </c>
      <c r="J260" s="16">
        <v>0</v>
      </c>
      <c r="K260" s="16">
        <v>0</v>
      </c>
      <c r="L260" s="16">
        <v>0</v>
      </c>
      <c r="M260" s="30">
        <v>0</v>
      </c>
    </row>
    <row r="261" spans="1:13" x14ac:dyDescent="0.25">
      <c r="A261">
        <f t="shared" ref="A261:A307" si="8">CHOOSE(IF(ABS(B261-13056)&lt;=ABS(B261-13824),IF(ABS(B261-13056)&lt;=ABS(B261-14592),1,3),IF(ABS(B261-13824)&lt;=ABS(B261-14592),2,3)),13056,13824,14592)</f>
        <v>13056</v>
      </c>
      <c r="B261" s="16">
        <v>0</v>
      </c>
      <c r="C261" s="16">
        <v>0</v>
      </c>
      <c r="D261" s="16">
        <v>0</v>
      </c>
      <c r="E261" s="16">
        <v>0</v>
      </c>
      <c r="F261" s="30">
        <v>0</v>
      </c>
    </row>
    <row r="262" spans="1:13" x14ac:dyDescent="0.25">
      <c r="A262">
        <f t="shared" si="8"/>
        <v>13056</v>
      </c>
      <c r="B262" s="16">
        <v>0</v>
      </c>
      <c r="C262" s="16">
        <v>0</v>
      </c>
      <c r="D262" s="16">
        <v>0</v>
      </c>
      <c r="E262" s="16">
        <v>0</v>
      </c>
      <c r="F262" s="30">
        <v>0</v>
      </c>
    </row>
    <row r="263" spans="1:13" x14ac:dyDescent="0.25">
      <c r="A263">
        <f t="shared" si="8"/>
        <v>13056</v>
      </c>
      <c r="B263" s="16">
        <v>0</v>
      </c>
      <c r="C263" s="16">
        <v>0</v>
      </c>
      <c r="D263" s="16">
        <v>0</v>
      </c>
      <c r="E263" s="16">
        <v>0</v>
      </c>
      <c r="F263" s="30">
        <v>0</v>
      </c>
    </row>
    <row r="264" spans="1:13" x14ac:dyDescent="0.25">
      <c r="A264">
        <f t="shared" si="8"/>
        <v>13056</v>
      </c>
      <c r="B264" s="16">
        <v>0</v>
      </c>
      <c r="C264" s="16">
        <v>0</v>
      </c>
      <c r="D264" s="16">
        <v>0</v>
      </c>
      <c r="E264" s="16">
        <v>0</v>
      </c>
      <c r="F264" s="30">
        <v>0</v>
      </c>
    </row>
    <row r="265" spans="1:13" x14ac:dyDescent="0.25">
      <c r="A265">
        <f t="shared" si="8"/>
        <v>13056</v>
      </c>
      <c r="B265" s="16">
        <v>0</v>
      </c>
      <c r="C265" s="16">
        <v>0</v>
      </c>
      <c r="D265" s="16">
        <v>0</v>
      </c>
      <c r="E265" s="16">
        <v>0</v>
      </c>
      <c r="F265" s="30">
        <v>0</v>
      </c>
    </row>
    <row r="266" spans="1:13" x14ac:dyDescent="0.25">
      <c r="A266">
        <f t="shared" si="8"/>
        <v>13056</v>
      </c>
      <c r="B266" s="16">
        <v>0</v>
      </c>
      <c r="C266" s="16">
        <v>0</v>
      </c>
      <c r="D266" s="16">
        <v>0</v>
      </c>
      <c r="E266" s="16">
        <v>0</v>
      </c>
      <c r="F266" s="30">
        <v>0</v>
      </c>
    </row>
    <row r="267" spans="1:13" x14ac:dyDescent="0.25">
      <c r="A267">
        <f t="shared" si="8"/>
        <v>13056</v>
      </c>
      <c r="B267" s="16">
        <v>0</v>
      </c>
      <c r="C267" s="16">
        <v>0</v>
      </c>
      <c r="D267" s="16">
        <v>0</v>
      </c>
      <c r="E267" s="16">
        <v>0</v>
      </c>
      <c r="F267" s="30">
        <v>0</v>
      </c>
    </row>
    <row r="268" spans="1:13" x14ac:dyDescent="0.25">
      <c r="A268">
        <f t="shared" si="8"/>
        <v>13056</v>
      </c>
      <c r="B268" s="16">
        <v>0</v>
      </c>
      <c r="C268" s="16">
        <v>0</v>
      </c>
      <c r="D268" s="16">
        <v>0</v>
      </c>
      <c r="E268" s="16">
        <v>0</v>
      </c>
      <c r="F268" s="30">
        <v>0</v>
      </c>
    </row>
    <row r="269" spans="1:13" x14ac:dyDescent="0.25">
      <c r="A269">
        <f t="shared" si="8"/>
        <v>13056</v>
      </c>
      <c r="B269" s="16">
        <v>0</v>
      </c>
      <c r="C269" s="16">
        <v>0</v>
      </c>
      <c r="D269" s="16">
        <v>0</v>
      </c>
      <c r="E269" s="16">
        <v>0</v>
      </c>
      <c r="F269" s="30">
        <v>0</v>
      </c>
    </row>
    <row r="270" spans="1:13" x14ac:dyDescent="0.25">
      <c r="A270">
        <f t="shared" si="8"/>
        <v>13056</v>
      </c>
      <c r="B270" s="16">
        <v>0</v>
      </c>
      <c r="C270" s="16">
        <v>0</v>
      </c>
      <c r="D270" s="16">
        <v>0</v>
      </c>
      <c r="E270" s="16">
        <v>0</v>
      </c>
      <c r="F270" s="30">
        <v>0</v>
      </c>
    </row>
    <row r="271" spans="1:13" x14ac:dyDescent="0.25">
      <c r="A271">
        <f t="shared" si="8"/>
        <v>13056</v>
      </c>
      <c r="B271" s="16">
        <v>0</v>
      </c>
      <c r="C271" s="16">
        <v>0</v>
      </c>
      <c r="D271" s="16">
        <v>0</v>
      </c>
      <c r="E271" s="16">
        <v>0</v>
      </c>
      <c r="F271" s="30">
        <v>0</v>
      </c>
    </row>
    <row r="272" spans="1:13" x14ac:dyDescent="0.25">
      <c r="A272">
        <f t="shared" si="8"/>
        <v>13056</v>
      </c>
      <c r="B272" s="16">
        <v>0</v>
      </c>
      <c r="C272" s="16">
        <v>0</v>
      </c>
      <c r="D272" s="16">
        <v>0</v>
      </c>
      <c r="E272" s="16">
        <v>0</v>
      </c>
      <c r="F272" s="30">
        <v>0</v>
      </c>
    </row>
    <row r="273" spans="1:6" x14ac:dyDescent="0.25">
      <c r="A273">
        <f t="shared" si="8"/>
        <v>13056</v>
      </c>
      <c r="B273" s="16">
        <v>0</v>
      </c>
      <c r="C273" s="16">
        <v>0</v>
      </c>
      <c r="D273" s="16">
        <v>0</v>
      </c>
      <c r="E273" s="16">
        <v>0</v>
      </c>
      <c r="F273" s="30">
        <v>0</v>
      </c>
    </row>
    <row r="274" spans="1:6" x14ac:dyDescent="0.25">
      <c r="A274">
        <f t="shared" si="8"/>
        <v>13056</v>
      </c>
      <c r="B274" s="16">
        <v>0</v>
      </c>
      <c r="C274" s="16">
        <v>0</v>
      </c>
      <c r="D274" s="16">
        <v>0</v>
      </c>
      <c r="E274" s="16">
        <v>0</v>
      </c>
      <c r="F274" s="30">
        <v>0</v>
      </c>
    </row>
    <row r="275" spans="1:6" x14ac:dyDescent="0.25">
      <c r="A275">
        <f t="shared" si="8"/>
        <v>13056</v>
      </c>
      <c r="B275" s="16">
        <v>0</v>
      </c>
      <c r="C275" s="16">
        <v>0</v>
      </c>
      <c r="D275" s="16">
        <v>0</v>
      </c>
      <c r="E275" s="16">
        <v>0</v>
      </c>
      <c r="F275" s="30">
        <v>0</v>
      </c>
    </row>
    <row r="276" spans="1:6" x14ac:dyDescent="0.25">
      <c r="A276">
        <f t="shared" si="8"/>
        <v>13056</v>
      </c>
      <c r="B276" s="16">
        <v>0</v>
      </c>
      <c r="C276" s="16">
        <v>0</v>
      </c>
      <c r="D276" s="16">
        <v>0</v>
      </c>
      <c r="E276" s="16">
        <v>0</v>
      </c>
      <c r="F276" s="30">
        <v>0</v>
      </c>
    </row>
    <row r="277" spans="1:6" x14ac:dyDescent="0.25">
      <c r="A277">
        <f t="shared" si="8"/>
        <v>13056</v>
      </c>
      <c r="B277" s="16">
        <v>0</v>
      </c>
      <c r="C277" s="16">
        <v>0</v>
      </c>
      <c r="D277" s="16">
        <v>0</v>
      </c>
      <c r="E277" s="16">
        <v>0</v>
      </c>
      <c r="F277" s="30">
        <v>0</v>
      </c>
    </row>
    <row r="278" spans="1:6" x14ac:dyDescent="0.25">
      <c r="A278">
        <f t="shared" si="8"/>
        <v>13056</v>
      </c>
      <c r="B278" s="16">
        <v>0</v>
      </c>
      <c r="C278" s="16">
        <v>0</v>
      </c>
      <c r="D278" s="16">
        <v>0</v>
      </c>
      <c r="E278" s="16">
        <v>0</v>
      </c>
      <c r="F278" s="30">
        <v>0</v>
      </c>
    </row>
    <row r="279" spans="1:6" x14ac:dyDescent="0.25">
      <c r="A279">
        <f t="shared" si="8"/>
        <v>13056</v>
      </c>
      <c r="B279" s="16">
        <v>0</v>
      </c>
      <c r="C279" s="16">
        <v>0</v>
      </c>
      <c r="D279" s="16">
        <v>0</v>
      </c>
      <c r="E279" s="16">
        <v>0</v>
      </c>
      <c r="F279" s="30">
        <v>0</v>
      </c>
    </row>
    <row r="280" spans="1:6" x14ac:dyDescent="0.25">
      <c r="A280">
        <f t="shared" si="8"/>
        <v>13056</v>
      </c>
      <c r="B280" s="16">
        <v>0</v>
      </c>
      <c r="C280" s="16">
        <v>0</v>
      </c>
      <c r="D280" s="16">
        <v>0</v>
      </c>
      <c r="E280" s="16">
        <v>0</v>
      </c>
      <c r="F280" s="30">
        <v>0</v>
      </c>
    </row>
    <row r="281" spans="1:6" x14ac:dyDescent="0.25">
      <c r="A281">
        <f t="shared" si="8"/>
        <v>13056</v>
      </c>
      <c r="B281" s="16">
        <v>0</v>
      </c>
      <c r="C281" s="16">
        <v>0</v>
      </c>
      <c r="D281" s="16">
        <v>0</v>
      </c>
      <c r="E281" s="16">
        <v>0</v>
      </c>
      <c r="F281" s="30">
        <v>0</v>
      </c>
    </row>
    <row r="282" spans="1:6" x14ac:dyDescent="0.25">
      <c r="A282">
        <f t="shared" si="8"/>
        <v>13056</v>
      </c>
      <c r="B282" s="16">
        <v>0</v>
      </c>
      <c r="C282" s="16">
        <v>0</v>
      </c>
      <c r="D282" s="16">
        <v>0</v>
      </c>
      <c r="E282" s="16">
        <v>0</v>
      </c>
      <c r="F282" s="30">
        <v>0</v>
      </c>
    </row>
    <row r="283" spans="1:6" x14ac:dyDescent="0.25">
      <c r="A283">
        <f t="shared" si="8"/>
        <v>13056</v>
      </c>
      <c r="B283" s="16">
        <v>0</v>
      </c>
      <c r="C283" s="16">
        <v>0</v>
      </c>
      <c r="D283" s="16">
        <v>0</v>
      </c>
      <c r="E283" s="16">
        <v>0</v>
      </c>
      <c r="F283" s="30">
        <v>0</v>
      </c>
    </row>
    <row r="284" spans="1:6" x14ac:dyDescent="0.25">
      <c r="A284">
        <f t="shared" si="8"/>
        <v>13056</v>
      </c>
      <c r="B284" s="16">
        <v>0</v>
      </c>
      <c r="C284" s="16">
        <v>0</v>
      </c>
      <c r="D284" s="16">
        <v>0</v>
      </c>
      <c r="E284" s="16">
        <v>0</v>
      </c>
      <c r="F284" s="30">
        <v>0</v>
      </c>
    </row>
    <row r="285" spans="1:6" x14ac:dyDescent="0.25">
      <c r="A285">
        <f t="shared" si="8"/>
        <v>13056</v>
      </c>
      <c r="B285" s="16">
        <v>0</v>
      </c>
      <c r="C285" s="16">
        <v>0</v>
      </c>
      <c r="D285" s="16">
        <v>0</v>
      </c>
      <c r="E285" s="16">
        <v>0</v>
      </c>
      <c r="F285" s="30">
        <v>0</v>
      </c>
    </row>
    <row r="286" spans="1:6" x14ac:dyDescent="0.25">
      <c r="A286">
        <f t="shared" si="8"/>
        <v>13056</v>
      </c>
      <c r="B286" s="16">
        <v>0</v>
      </c>
      <c r="C286" s="16">
        <v>0</v>
      </c>
      <c r="D286" s="16">
        <v>0</v>
      </c>
      <c r="E286" s="16">
        <v>0</v>
      </c>
      <c r="F286" s="30">
        <v>0</v>
      </c>
    </row>
    <row r="287" spans="1:6" x14ac:dyDescent="0.25">
      <c r="A287">
        <f t="shared" si="8"/>
        <v>13056</v>
      </c>
      <c r="B287" s="16">
        <v>0</v>
      </c>
      <c r="C287" s="16">
        <v>0</v>
      </c>
      <c r="D287" s="16">
        <v>0</v>
      </c>
      <c r="E287" s="16">
        <v>0</v>
      </c>
      <c r="F287" s="30">
        <v>0</v>
      </c>
    </row>
    <row r="288" spans="1:6" x14ac:dyDescent="0.25">
      <c r="A288">
        <f t="shared" si="8"/>
        <v>13056</v>
      </c>
      <c r="B288" s="16">
        <v>0</v>
      </c>
      <c r="C288" s="16">
        <v>0</v>
      </c>
      <c r="D288" s="16">
        <v>0</v>
      </c>
      <c r="E288" s="16">
        <v>0</v>
      </c>
      <c r="F288" s="30">
        <v>0</v>
      </c>
    </row>
    <row r="289" spans="1:6" x14ac:dyDescent="0.25">
      <c r="A289">
        <f t="shared" si="8"/>
        <v>13056</v>
      </c>
      <c r="B289" s="16">
        <v>0</v>
      </c>
      <c r="C289" s="16">
        <v>0</v>
      </c>
      <c r="D289" s="16">
        <v>0</v>
      </c>
      <c r="E289" s="16">
        <v>0</v>
      </c>
      <c r="F289" s="30">
        <v>0</v>
      </c>
    </row>
    <row r="290" spans="1:6" x14ac:dyDescent="0.25">
      <c r="A290">
        <f t="shared" si="8"/>
        <v>13056</v>
      </c>
      <c r="B290" s="16">
        <v>0</v>
      </c>
      <c r="C290" s="16">
        <v>0</v>
      </c>
      <c r="D290" s="16">
        <v>0</v>
      </c>
      <c r="E290" s="16">
        <v>0</v>
      </c>
      <c r="F290" s="30">
        <v>0</v>
      </c>
    </row>
    <row r="291" spans="1:6" x14ac:dyDescent="0.25">
      <c r="A291">
        <f t="shared" si="8"/>
        <v>13056</v>
      </c>
      <c r="B291" s="16">
        <v>0</v>
      </c>
      <c r="C291" s="16">
        <v>0</v>
      </c>
      <c r="D291" s="16">
        <v>0</v>
      </c>
      <c r="E291" s="16">
        <v>0</v>
      </c>
      <c r="F291" s="30">
        <v>0</v>
      </c>
    </row>
    <row r="292" spans="1:6" x14ac:dyDescent="0.25">
      <c r="A292">
        <f t="shared" si="8"/>
        <v>13056</v>
      </c>
      <c r="B292" s="16">
        <v>0</v>
      </c>
      <c r="C292" s="16">
        <v>0</v>
      </c>
      <c r="D292" s="16">
        <v>0</v>
      </c>
      <c r="E292" s="16">
        <v>0</v>
      </c>
      <c r="F292" s="30">
        <v>0</v>
      </c>
    </row>
    <row r="293" spans="1:6" x14ac:dyDescent="0.25">
      <c r="A293">
        <f t="shared" si="8"/>
        <v>13056</v>
      </c>
      <c r="B293" s="16">
        <v>0</v>
      </c>
      <c r="C293" s="16">
        <v>0</v>
      </c>
      <c r="D293" s="16">
        <v>0</v>
      </c>
      <c r="E293" s="16">
        <v>0</v>
      </c>
      <c r="F293" s="30">
        <v>0</v>
      </c>
    </row>
    <row r="294" spans="1:6" x14ac:dyDescent="0.25">
      <c r="A294">
        <f t="shared" si="8"/>
        <v>13056</v>
      </c>
      <c r="B294" s="16">
        <v>0</v>
      </c>
      <c r="C294" s="16">
        <v>0</v>
      </c>
      <c r="D294" s="16">
        <v>0</v>
      </c>
      <c r="E294" s="16">
        <v>0</v>
      </c>
      <c r="F294" s="30">
        <v>0</v>
      </c>
    </row>
    <row r="295" spans="1:6" x14ac:dyDescent="0.25">
      <c r="A295">
        <f t="shared" si="8"/>
        <v>13056</v>
      </c>
      <c r="B295" s="16">
        <v>0</v>
      </c>
      <c r="C295" s="16">
        <v>0</v>
      </c>
      <c r="D295" s="16">
        <v>0</v>
      </c>
      <c r="E295" s="16">
        <v>0</v>
      </c>
      <c r="F295" s="30">
        <v>0</v>
      </c>
    </row>
    <row r="296" spans="1:6" x14ac:dyDescent="0.25">
      <c r="A296">
        <f t="shared" si="8"/>
        <v>13056</v>
      </c>
      <c r="B296" s="16">
        <v>0</v>
      </c>
      <c r="C296" s="16">
        <v>0</v>
      </c>
      <c r="D296" s="16">
        <v>0</v>
      </c>
      <c r="E296" s="16">
        <v>0</v>
      </c>
      <c r="F296" s="30">
        <v>0</v>
      </c>
    </row>
    <row r="297" spans="1:6" x14ac:dyDescent="0.25">
      <c r="A297">
        <f t="shared" si="8"/>
        <v>13056</v>
      </c>
      <c r="B297" s="16">
        <v>0</v>
      </c>
      <c r="C297" s="16">
        <v>0</v>
      </c>
      <c r="D297" s="16">
        <v>0</v>
      </c>
      <c r="E297" s="16">
        <v>0</v>
      </c>
      <c r="F297" s="30">
        <v>0</v>
      </c>
    </row>
    <row r="298" spans="1:6" x14ac:dyDescent="0.25">
      <c r="A298">
        <f t="shared" si="8"/>
        <v>13056</v>
      </c>
      <c r="B298" s="16">
        <v>0</v>
      </c>
      <c r="C298" s="16">
        <v>0</v>
      </c>
      <c r="D298" s="16">
        <v>0</v>
      </c>
      <c r="E298" s="16">
        <v>0</v>
      </c>
      <c r="F298" s="30">
        <v>0</v>
      </c>
    </row>
    <row r="299" spans="1:6" x14ac:dyDescent="0.25">
      <c r="A299">
        <f t="shared" si="8"/>
        <v>13056</v>
      </c>
      <c r="B299" s="16">
        <v>0</v>
      </c>
      <c r="C299" s="16">
        <v>0</v>
      </c>
      <c r="D299" s="16">
        <v>0</v>
      </c>
      <c r="E299" s="16">
        <v>0</v>
      </c>
      <c r="F299" s="30">
        <v>0</v>
      </c>
    </row>
    <row r="300" spans="1:6" x14ac:dyDescent="0.25">
      <c r="A300">
        <f t="shared" si="8"/>
        <v>13056</v>
      </c>
      <c r="B300" s="16">
        <v>0</v>
      </c>
      <c r="C300" s="16">
        <v>0</v>
      </c>
      <c r="D300" s="16">
        <v>0</v>
      </c>
      <c r="E300" s="16">
        <v>0</v>
      </c>
      <c r="F300" s="30">
        <v>0</v>
      </c>
    </row>
    <row r="301" spans="1:6" x14ac:dyDescent="0.25">
      <c r="A301">
        <f t="shared" si="8"/>
        <v>13056</v>
      </c>
      <c r="B301" s="16">
        <v>0</v>
      </c>
      <c r="C301" s="16">
        <v>0</v>
      </c>
      <c r="D301" s="16">
        <v>0</v>
      </c>
      <c r="E301" s="16">
        <v>0</v>
      </c>
      <c r="F301" s="30">
        <v>0</v>
      </c>
    </row>
    <row r="302" spans="1:6" x14ac:dyDescent="0.25">
      <c r="A302">
        <f t="shared" si="8"/>
        <v>13056</v>
      </c>
      <c r="B302" s="16">
        <v>0</v>
      </c>
      <c r="C302" s="16">
        <v>0</v>
      </c>
      <c r="D302" s="16">
        <v>0</v>
      </c>
      <c r="E302" s="16">
        <v>0</v>
      </c>
      <c r="F302" s="30">
        <v>0</v>
      </c>
    </row>
    <row r="303" spans="1:6" x14ac:dyDescent="0.25">
      <c r="A303">
        <f t="shared" si="8"/>
        <v>13056</v>
      </c>
      <c r="B303" s="16">
        <v>0</v>
      </c>
      <c r="C303" s="16">
        <v>0</v>
      </c>
      <c r="D303" s="16">
        <v>0</v>
      </c>
      <c r="E303" s="16">
        <v>0</v>
      </c>
      <c r="F303" s="30">
        <v>0</v>
      </c>
    </row>
    <row r="304" spans="1:6" x14ac:dyDescent="0.25">
      <c r="A304">
        <f t="shared" si="8"/>
        <v>13056</v>
      </c>
      <c r="B304" s="16">
        <v>0</v>
      </c>
      <c r="C304" s="16">
        <v>0</v>
      </c>
      <c r="D304" s="16">
        <v>0</v>
      </c>
      <c r="E304" s="16">
        <v>0</v>
      </c>
      <c r="F304" s="30">
        <v>0</v>
      </c>
    </row>
    <row r="305" spans="1:6" x14ac:dyDescent="0.25">
      <c r="A305">
        <f t="shared" si="8"/>
        <v>13056</v>
      </c>
      <c r="B305" s="16">
        <v>0</v>
      </c>
      <c r="C305" s="16">
        <v>0</v>
      </c>
      <c r="D305" s="16">
        <v>0</v>
      </c>
      <c r="E305" s="16">
        <v>0</v>
      </c>
      <c r="F305" s="30">
        <v>0</v>
      </c>
    </row>
    <row r="306" spans="1:6" x14ac:dyDescent="0.25">
      <c r="A306">
        <f t="shared" si="8"/>
        <v>13056</v>
      </c>
      <c r="B306" s="16">
        <v>0</v>
      </c>
      <c r="C306" s="16">
        <v>0</v>
      </c>
      <c r="D306" s="16">
        <v>0</v>
      </c>
      <c r="E306" s="16">
        <v>0</v>
      </c>
      <c r="F306" s="30">
        <v>0</v>
      </c>
    </row>
    <row r="307" spans="1:6" x14ac:dyDescent="0.25">
      <c r="A307">
        <f t="shared" si="8"/>
        <v>13056</v>
      </c>
      <c r="B307" s="16">
        <v>0</v>
      </c>
      <c r="C307" s="16">
        <v>0</v>
      </c>
      <c r="D307" s="16">
        <v>0</v>
      </c>
      <c r="E307" s="16">
        <v>0</v>
      </c>
      <c r="F307" s="30">
        <v>0</v>
      </c>
    </row>
    <row r="308" spans="1:6" x14ac:dyDescent="0.25">
      <c r="B308" s="16">
        <v>0</v>
      </c>
      <c r="C308" s="16">
        <v>0</v>
      </c>
      <c r="D308" s="16">
        <v>0</v>
      </c>
      <c r="E308" s="16">
        <v>0</v>
      </c>
      <c r="F308" s="30">
        <v>0</v>
      </c>
    </row>
  </sheetData>
  <mergeCells count="2">
    <mergeCell ref="B1:F1"/>
    <mergeCell ref="I1:M1"/>
  </mergeCells>
  <conditionalFormatting sqref="M4:M63">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D075B-A89A-41CC-B5C9-3FA79356BA6E}">
  <dimension ref="A1:AU561"/>
  <sheetViews>
    <sheetView zoomScale="70" zoomScaleNormal="70" workbookViewId="0">
      <selection activeCell="AU270" sqref="AU270:AU364"/>
    </sheetView>
  </sheetViews>
  <sheetFormatPr defaultRowHeight="15" x14ac:dyDescent="0.25"/>
  <cols>
    <col min="8" max="8" width="9.140625" style="17"/>
    <col min="9" max="9" width="10.7109375" style="33" bestFit="1" customWidth="1"/>
    <col min="10" max="10" width="9.140625" style="37"/>
    <col min="23" max="23" width="9.140625" style="30"/>
    <col min="32" max="32" width="9.140625" style="17"/>
    <col min="33" max="33" width="10.7109375" bestFit="1" customWidth="1"/>
    <col min="47" max="47" width="9.140625" style="30"/>
  </cols>
  <sheetData>
    <row r="1" spans="1:47" s="6" customFormat="1" x14ac:dyDescent="0.25">
      <c r="A1" s="155" t="s">
        <v>331</v>
      </c>
      <c r="B1" s="155"/>
      <c r="C1" s="155"/>
      <c r="D1" s="155"/>
      <c r="E1" s="155"/>
      <c r="F1" s="155"/>
      <c r="G1" s="155"/>
      <c r="H1" s="155"/>
      <c r="I1" s="155"/>
      <c r="J1" s="155"/>
      <c r="K1" s="155"/>
      <c r="L1" s="155"/>
      <c r="M1" s="155"/>
      <c r="N1" s="155"/>
      <c r="O1" s="155"/>
      <c r="P1" s="155"/>
      <c r="Q1" s="155"/>
      <c r="R1" s="155"/>
      <c r="S1" s="155"/>
      <c r="T1" s="155"/>
      <c r="U1" s="155"/>
      <c r="V1" s="155"/>
      <c r="W1" s="31"/>
      <c r="Y1" s="155" t="s">
        <v>332</v>
      </c>
      <c r="Z1" s="155"/>
      <c r="AA1" s="155"/>
      <c r="AB1" s="155"/>
      <c r="AC1" s="155"/>
      <c r="AD1" s="155"/>
      <c r="AE1" s="155"/>
      <c r="AF1" s="155"/>
      <c r="AG1" s="155"/>
      <c r="AH1" s="155"/>
      <c r="AI1" s="155"/>
      <c r="AJ1" s="155"/>
      <c r="AK1" s="155"/>
      <c r="AL1" s="155"/>
      <c r="AM1" s="155"/>
      <c r="AN1" s="155"/>
      <c r="AO1" s="155"/>
      <c r="AP1" s="155"/>
      <c r="AQ1" s="155"/>
      <c r="AR1" s="155"/>
      <c r="AS1" s="155"/>
      <c r="AT1" s="155"/>
      <c r="AU1" s="31"/>
    </row>
    <row r="2" spans="1:47" s="6" customFormat="1" x14ac:dyDescent="0.25">
      <c r="A2" s="14"/>
      <c r="B2" s="14"/>
      <c r="C2" s="14"/>
      <c r="D2" s="14"/>
      <c r="E2" s="14"/>
      <c r="F2" s="14"/>
      <c r="G2" s="14"/>
      <c r="H2" s="35"/>
      <c r="I2" s="49"/>
      <c r="J2" s="38"/>
      <c r="K2" s="156" t="s">
        <v>2</v>
      </c>
      <c r="L2" s="156"/>
      <c r="M2" s="156"/>
      <c r="N2" s="156" t="s">
        <v>17</v>
      </c>
      <c r="O2" s="156"/>
      <c r="P2" s="156"/>
      <c r="Q2" s="156" t="s">
        <v>18</v>
      </c>
      <c r="R2" s="156"/>
      <c r="S2" s="156"/>
      <c r="T2" s="156" t="s">
        <v>19</v>
      </c>
      <c r="U2" s="156"/>
      <c r="V2" s="156"/>
      <c r="W2" s="31"/>
      <c r="Y2" s="14"/>
      <c r="Z2" s="14"/>
      <c r="AA2" s="14"/>
      <c r="AB2" s="14"/>
      <c r="AC2" s="14"/>
      <c r="AD2" s="14"/>
      <c r="AE2" s="14"/>
      <c r="AF2" s="35"/>
      <c r="AG2" s="49"/>
      <c r="AH2" s="38"/>
      <c r="AI2" s="156" t="s">
        <v>2</v>
      </c>
      <c r="AJ2" s="156"/>
      <c r="AK2" s="156"/>
      <c r="AL2" s="156" t="s">
        <v>17</v>
      </c>
      <c r="AM2" s="156"/>
      <c r="AN2" s="156"/>
      <c r="AO2" s="156" t="s">
        <v>18</v>
      </c>
      <c r="AP2" s="156"/>
      <c r="AQ2" s="156"/>
      <c r="AR2" s="156" t="s">
        <v>19</v>
      </c>
      <c r="AS2" s="156"/>
      <c r="AT2" s="156"/>
      <c r="AU2" s="31"/>
    </row>
    <row r="3" spans="1:47" s="6" customFormat="1" x14ac:dyDescent="0.25">
      <c r="A3" s="116" t="s">
        <v>327</v>
      </c>
      <c r="B3" s="117">
        <f>MAX(W5:W471)</f>
        <v>37.409800000000004</v>
      </c>
      <c r="C3" s="118">
        <f>INDEX(C:C,MATCH(MAX($W:$W),$W:$W,0))</f>
        <v>29216</v>
      </c>
      <c r="D3" s="118">
        <f t="shared" ref="D3:F3" si="0">INDEX(D:D,MATCH(MAX($W:$W),$W:$W,0))</f>
        <v>176</v>
      </c>
      <c r="E3" s="118">
        <f t="shared" si="0"/>
        <v>2</v>
      </c>
      <c r="F3" s="118">
        <f t="shared" si="0"/>
        <v>8</v>
      </c>
      <c r="G3" s="14"/>
      <c r="H3" s="35"/>
      <c r="I3" s="49"/>
      <c r="J3" s="38"/>
      <c r="K3" s="50"/>
      <c r="L3" s="50"/>
      <c r="M3" s="50"/>
      <c r="N3" s="50"/>
      <c r="O3" s="50"/>
      <c r="P3" s="50"/>
      <c r="Q3" s="50"/>
      <c r="R3" s="50"/>
      <c r="S3" s="50"/>
      <c r="T3" s="50"/>
      <c r="U3" s="50"/>
      <c r="V3" s="50"/>
      <c r="W3" s="46"/>
      <c r="Y3" s="116" t="s">
        <v>327</v>
      </c>
      <c r="Z3" s="117">
        <f>MAX(AU5:AU471)</f>
        <v>40.822799999999994</v>
      </c>
      <c r="AA3" s="118">
        <f>INDEX(AA:AA,MATCH(MAX($AU:$AU),$AU:$AU,0))</f>
        <v>29280</v>
      </c>
      <c r="AB3" s="118">
        <f t="shared" ref="AB3:AD3" si="1">INDEX(AB:AB,MATCH(MAX($AU:$AU),$AU:$AU,0))</f>
        <v>120</v>
      </c>
      <c r="AC3" s="118">
        <f t="shared" si="1"/>
        <v>2</v>
      </c>
      <c r="AD3" s="118">
        <f t="shared" si="1"/>
        <v>8</v>
      </c>
      <c r="AE3" s="14"/>
      <c r="AF3" s="35"/>
      <c r="AG3" s="49"/>
      <c r="AH3" s="38"/>
      <c r="AI3" s="50"/>
      <c r="AJ3" s="50"/>
      <c r="AK3" s="50"/>
      <c r="AL3" s="50"/>
      <c r="AM3" s="50"/>
      <c r="AN3" s="50"/>
      <c r="AO3" s="50"/>
      <c r="AP3" s="50"/>
      <c r="AQ3" s="50"/>
      <c r="AR3" s="50"/>
      <c r="AS3" s="50"/>
      <c r="AT3" s="50"/>
      <c r="AU3" s="46"/>
    </row>
    <row r="4" spans="1:47" s="6" customFormat="1" x14ac:dyDescent="0.25">
      <c r="A4" s="6" t="s">
        <v>20</v>
      </c>
      <c r="C4" s="6" t="s">
        <v>5</v>
      </c>
      <c r="D4" s="6" t="s">
        <v>6</v>
      </c>
      <c r="E4" s="6" t="s">
        <v>7</v>
      </c>
      <c r="F4" s="6" t="s">
        <v>8</v>
      </c>
      <c r="G4" s="6" t="s">
        <v>9</v>
      </c>
      <c r="H4" s="18" t="s">
        <v>10</v>
      </c>
      <c r="I4" s="51" t="s">
        <v>11</v>
      </c>
      <c r="J4" s="39" t="s">
        <v>9</v>
      </c>
      <c r="K4" s="50" t="s">
        <v>12</v>
      </c>
      <c r="L4" s="50" t="s">
        <v>13</v>
      </c>
      <c r="M4" s="50" t="s">
        <v>14</v>
      </c>
      <c r="N4" s="50" t="s">
        <v>12</v>
      </c>
      <c r="O4" s="50" t="s">
        <v>13</v>
      </c>
      <c r="P4" s="50" t="s">
        <v>14</v>
      </c>
      <c r="Q4" s="50" t="s">
        <v>12</v>
      </c>
      <c r="R4" s="50" t="s">
        <v>13</v>
      </c>
      <c r="S4" s="50" t="s">
        <v>14</v>
      </c>
      <c r="T4" s="50" t="s">
        <v>12</v>
      </c>
      <c r="U4" s="50" t="s">
        <v>13</v>
      </c>
      <c r="V4" s="50" t="s">
        <v>14</v>
      </c>
      <c r="W4" s="31"/>
      <c r="Y4" s="6" t="s">
        <v>20</v>
      </c>
      <c r="AA4" s="6" t="s">
        <v>5</v>
      </c>
      <c r="AB4" s="6" t="s">
        <v>6</v>
      </c>
      <c r="AC4" s="6" t="s">
        <v>7</v>
      </c>
      <c r="AD4" s="6" t="s">
        <v>8</v>
      </c>
      <c r="AE4" s="6" t="s">
        <v>9</v>
      </c>
      <c r="AF4" s="18" t="s">
        <v>10</v>
      </c>
      <c r="AG4" s="51" t="s">
        <v>11</v>
      </c>
      <c r="AH4" s="39" t="s">
        <v>9</v>
      </c>
      <c r="AI4" s="50" t="s">
        <v>12</v>
      </c>
      <c r="AJ4" s="50" t="s">
        <v>13</v>
      </c>
      <c r="AK4" s="50" t="s">
        <v>14</v>
      </c>
      <c r="AL4" s="50" t="s">
        <v>12</v>
      </c>
      <c r="AM4" s="50" t="s">
        <v>13</v>
      </c>
      <c r="AN4" s="50" t="s">
        <v>14</v>
      </c>
      <c r="AO4" s="50" t="s">
        <v>12</v>
      </c>
      <c r="AP4" s="50" t="s">
        <v>13</v>
      </c>
      <c r="AQ4" s="50" t="s">
        <v>14</v>
      </c>
      <c r="AR4" s="50" t="s">
        <v>12</v>
      </c>
      <c r="AS4" s="50" t="s">
        <v>13</v>
      </c>
      <c r="AT4" s="50" t="s">
        <v>14</v>
      </c>
      <c r="AU4" s="31"/>
    </row>
    <row r="5" spans="1:47" x14ac:dyDescent="0.25">
      <c r="A5">
        <v>0</v>
      </c>
      <c r="B5" t="s">
        <v>16</v>
      </c>
      <c r="C5">
        <v>25984</v>
      </c>
      <c r="D5">
        <v>32</v>
      </c>
      <c r="E5">
        <v>1</v>
      </c>
      <c r="F5">
        <v>16</v>
      </c>
      <c r="G5">
        <v>384.98</v>
      </c>
      <c r="H5" s="139">
        <v>30.382999999999999</v>
      </c>
      <c r="I5" s="33">
        <v>45607</v>
      </c>
      <c r="J5" s="37">
        <v>0.38212962962962965</v>
      </c>
      <c r="K5">
        <v>0</v>
      </c>
      <c r="L5">
        <v>0</v>
      </c>
      <c r="M5">
        <v>0</v>
      </c>
      <c r="N5">
        <v>0</v>
      </c>
      <c r="O5">
        <v>0</v>
      </c>
      <c r="P5">
        <v>0</v>
      </c>
      <c r="Q5">
        <v>0</v>
      </c>
      <c r="R5">
        <v>0</v>
      </c>
      <c r="S5">
        <v>0</v>
      </c>
      <c r="T5">
        <v>0</v>
      </c>
      <c r="U5">
        <v>0</v>
      </c>
      <c r="V5">
        <v>0</v>
      </c>
      <c r="W5" s="30">
        <f>AVERAGE(H5:H9)</f>
        <v>30.379399999999997</v>
      </c>
      <c r="X5" s="144"/>
      <c r="Y5">
        <v>0</v>
      </c>
      <c r="Z5" t="s">
        <v>16</v>
      </c>
      <c r="AA5">
        <v>25984</v>
      </c>
      <c r="AB5">
        <v>32</v>
      </c>
      <c r="AC5">
        <v>1</v>
      </c>
      <c r="AD5">
        <v>16</v>
      </c>
      <c r="AE5">
        <v>340.29</v>
      </c>
      <c r="AF5" s="139">
        <v>34.372999999999998</v>
      </c>
      <c r="AG5" s="33">
        <v>45608</v>
      </c>
      <c r="AH5" s="34">
        <v>0.79702546296296295</v>
      </c>
      <c r="AI5">
        <v>0</v>
      </c>
      <c r="AJ5">
        <v>0</v>
      </c>
      <c r="AK5">
        <v>0</v>
      </c>
      <c r="AL5">
        <v>0</v>
      </c>
      <c r="AM5">
        <v>0</v>
      </c>
      <c r="AN5">
        <v>0</v>
      </c>
      <c r="AO5">
        <v>0</v>
      </c>
      <c r="AP5">
        <v>0</v>
      </c>
      <c r="AQ5">
        <v>0</v>
      </c>
      <c r="AR5">
        <v>0</v>
      </c>
      <c r="AS5">
        <v>0</v>
      </c>
      <c r="AT5">
        <v>0</v>
      </c>
      <c r="AU5" s="30">
        <f>AVERAGE(AF5:AF9)</f>
        <v>34.288999999999994</v>
      </c>
    </row>
    <row r="6" spans="1:47" x14ac:dyDescent="0.25">
      <c r="A6">
        <v>1</v>
      </c>
      <c r="B6" t="s">
        <v>16</v>
      </c>
      <c r="C6">
        <v>25984</v>
      </c>
      <c r="D6">
        <v>32</v>
      </c>
      <c r="E6">
        <v>1</v>
      </c>
      <c r="F6">
        <v>16</v>
      </c>
      <c r="G6">
        <v>385.16</v>
      </c>
      <c r="H6" s="139">
        <v>30.369</v>
      </c>
      <c r="I6" s="33">
        <v>45607</v>
      </c>
      <c r="J6" s="37">
        <v>0.66202546296296294</v>
      </c>
      <c r="K6">
        <v>0</v>
      </c>
      <c r="L6">
        <v>0</v>
      </c>
      <c r="M6">
        <v>0</v>
      </c>
      <c r="N6">
        <v>0</v>
      </c>
      <c r="O6">
        <v>0</v>
      </c>
      <c r="P6">
        <v>0</v>
      </c>
      <c r="Q6">
        <v>0</v>
      </c>
      <c r="R6">
        <v>0</v>
      </c>
      <c r="S6">
        <v>0</v>
      </c>
      <c r="T6">
        <v>0</v>
      </c>
      <c r="U6">
        <v>0</v>
      </c>
      <c r="V6">
        <v>0</v>
      </c>
      <c r="W6" s="30">
        <f>W5</f>
        <v>30.379399999999997</v>
      </c>
      <c r="X6" s="144"/>
      <c r="Y6">
        <v>1</v>
      </c>
      <c r="Z6" t="s">
        <v>16</v>
      </c>
      <c r="AA6">
        <v>25984</v>
      </c>
      <c r="AB6">
        <v>32</v>
      </c>
      <c r="AC6">
        <v>1</v>
      </c>
      <c r="AD6">
        <v>16</v>
      </c>
      <c r="AE6">
        <v>340.67</v>
      </c>
      <c r="AF6" s="139">
        <v>34.335000000000001</v>
      </c>
      <c r="AG6" s="33">
        <v>45608</v>
      </c>
      <c r="AH6" s="34">
        <v>0.9585069444444444</v>
      </c>
      <c r="AI6">
        <v>0</v>
      </c>
      <c r="AJ6">
        <v>0</v>
      </c>
      <c r="AK6">
        <v>0</v>
      </c>
      <c r="AL6">
        <v>0</v>
      </c>
      <c r="AM6">
        <v>0</v>
      </c>
      <c r="AN6">
        <v>0</v>
      </c>
      <c r="AO6">
        <v>0</v>
      </c>
      <c r="AP6">
        <v>0</v>
      </c>
      <c r="AQ6">
        <v>0</v>
      </c>
      <c r="AR6">
        <v>0</v>
      </c>
      <c r="AS6">
        <v>0</v>
      </c>
      <c r="AT6">
        <v>0</v>
      </c>
      <c r="AU6" s="30">
        <f>AU5</f>
        <v>34.288999999999994</v>
      </c>
    </row>
    <row r="7" spans="1:47" x14ac:dyDescent="0.25">
      <c r="A7">
        <v>2</v>
      </c>
      <c r="B7" t="s">
        <v>16</v>
      </c>
      <c r="C7">
        <v>25984</v>
      </c>
      <c r="D7">
        <v>32</v>
      </c>
      <c r="E7">
        <v>1</v>
      </c>
      <c r="F7">
        <v>16</v>
      </c>
      <c r="G7">
        <v>385.09</v>
      </c>
      <c r="H7" s="139">
        <v>30.373999999999999</v>
      </c>
      <c r="I7" s="33">
        <v>45607</v>
      </c>
      <c r="J7" s="37">
        <v>0.92071759259259256</v>
      </c>
      <c r="K7">
        <v>0</v>
      </c>
      <c r="L7">
        <v>0</v>
      </c>
      <c r="M7">
        <v>0</v>
      </c>
      <c r="N7">
        <v>0</v>
      </c>
      <c r="O7">
        <v>0</v>
      </c>
      <c r="P7">
        <v>0</v>
      </c>
      <c r="Q7">
        <v>0</v>
      </c>
      <c r="R7">
        <v>0</v>
      </c>
      <c r="S7">
        <v>0</v>
      </c>
      <c r="T7">
        <v>0</v>
      </c>
      <c r="U7">
        <v>0</v>
      </c>
      <c r="V7">
        <v>0</v>
      </c>
      <c r="W7" s="30">
        <f t="shared" ref="W7:W9" si="2">W6</f>
        <v>30.379399999999997</v>
      </c>
      <c r="X7" s="144"/>
      <c r="Y7">
        <v>2</v>
      </c>
      <c r="Z7" t="s">
        <v>16</v>
      </c>
      <c r="AA7">
        <v>25984</v>
      </c>
      <c r="AB7">
        <v>32</v>
      </c>
      <c r="AC7">
        <v>1</v>
      </c>
      <c r="AD7">
        <v>16</v>
      </c>
      <c r="AE7">
        <v>342.42</v>
      </c>
      <c r="AF7" s="139">
        <v>34.158999999999999</v>
      </c>
      <c r="AG7" s="33">
        <v>45609</v>
      </c>
      <c r="AH7" s="34">
        <v>4.9513888888888892E-2</v>
      </c>
      <c r="AI7">
        <v>0</v>
      </c>
      <c r="AJ7">
        <v>0</v>
      </c>
      <c r="AK7">
        <v>0</v>
      </c>
      <c r="AL7">
        <v>0</v>
      </c>
      <c r="AM7">
        <v>0</v>
      </c>
      <c r="AN7">
        <v>0</v>
      </c>
      <c r="AO7">
        <v>0</v>
      </c>
      <c r="AP7">
        <v>0</v>
      </c>
      <c r="AQ7">
        <v>0</v>
      </c>
      <c r="AR7">
        <v>0</v>
      </c>
      <c r="AS7">
        <v>0</v>
      </c>
      <c r="AT7">
        <v>0</v>
      </c>
      <c r="AU7" s="30">
        <f t="shared" ref="AU7:AU9" si="3">AU6</f>
        <v>34.288999999999994</v>
      </c>
    </row>
    <row r="8" spans="1:47" x14ac:dyDescent="0.25">
      <c r="A8">
        <v>3</v>
      </c>
      <c r="B8" t="s">
        <v>16</v>
      </c>
      <c r="C8">
        <v>25984</v>
      </c>
      <c r="D8">
        <v>32</v>
      </c>
      <c r="E8">
        <v>1</v>
      </c>
      <c r="F8">
        <v>16</v>
      </c>
      <c r="G8">
        <v>385.09</v>
      </c>
      <c r="H8" s="139">
        <v>30.373999999999999</v>
      </c>
      <c r="I8" s="33">
        <v>45608</v>
      </c>
      <c r="J8" s="37">
        <v>3.3784722222222223E-2</v>
      </c>
      <c r="K8">
        <v>0</v>
      </c>
      <c r="L8">
        <v>0</v>
      </c>
      <c r="M8">
        <v>0</v>
      </c>
      <c r="N8">
        <v>0</v>
      </c>
      <c r="O8">
        <v>0</v>
      </c>
      <c r="P8">
        <v>0</v>
      </c>
      <c r="Q8">
        <v>0</v>
      </c>
      <c r="R8">
        <v>0</v>
      </c>
      <c r="S8">
        <v>0</v>
      </c>
      <c r="T8">
        <v>0</v>
      </c>
      <c r="U8">
        <v>0</v>
      </c>
      <c r="V8">
        <v>0</v>
      </c>
      <c r="W8" s="30">
        <f t="shared" si="2"/>
        <v>30.379399999999997</v>
      </c>
      <c r="X8" s="144"/>
      <c r="Y8">
        <v>3</v>
      </c>
      <c r="Z8" t="s">
        <v>16</v>
      </c>
      <c r="AA8">
        <v>25984</v>
      </c>
      <c r="AB8">
        <v>32</v>
      </c>
      <c r="AC8">
        <v>1</v>
      </c>
      <c r="AD8">
        <v>16</v>
      </c>
      <c r="AU8" s="30">
        <f t="shared" si="3"/>
        <v>34.288999999999994</v>
      </c>
    </row>
    <row r="9" spans="1:47" x14ac:dyDescent="0.25">
      <c r="A9">
        <v>4</v>
      </c>
      <c r="B9" t="s">
        <v>16</v>
      </c>
      <c r="C9">
        <v>25984</v>
      </c>
      <c r="D9">
        <v>32</v>
      </c>
      <c r="E9">
        <v>1</v>
      </c>
      <c r="F9">
        <v>16</v>
      </c>
      <c r="G9">
        <v>384.8</v>
      </c>
      <c r="H9" s="139">
        <v>30.396999999999998</v>
      </c>
      <c r="I9" s="33">
        <v>45608</v>
      </c>
      <c r="J9" s="37">
        <v>0.12649305555555557</v>
      </c>
      <c r="K9">
        <v>0</v>
      </c>
      <c r="L9">
        <v>0</v>
      </c>
      <c r="M9">
        <v>0</v>
      </c>
      <c r="N9">
        <v>0</v>
      </c>
      <c r="O9">
        <v>0</v>
      </c>
      <c r="P9">
        <v>0</v>
      </c>
      <c r="Q9">
        <v>0</v>
      </c>
      <c r="R9">
        <v>0</v>
      </c>
      <c r="S9">
        <v>0</v>
      </c>
      <c r="T9">
        <v>0</v>
      </c>
      <c r="U9">
        <v>0</v>
      </c>
      <c r="V9">
        <v>0</v>
      </c>
      <c r="W9" s="30">
        <f t="shared" si="2"/>
        <v>30.379399999999997</v>
      </c>
      <c r="X9" s="144"/>
      <c r="Y9">
        <v>4</v>
      </c>
      <c r="Z9" t="s">
        <v>16</v>
      </c>
      <c r="AA9">
        <v>25984</v>
      </c>
      <c r="AB9">
        <v>32</v>
      </c>
      <c r="AC9">
        <v>1</v>
      </c>
      <c r="AD9">
        <v>16</v>
      </c>
      <c r="AU9" s="30">
        <f t="shared" si="3"/>
        <v>34.288999999999994</v>
      </c>
    </row>
    <row r="10" spans="1:47" x14ac:dyDescent="0.25">
      <c r="A10">
        <v>0</v>
      </c>
      <c r="B10" t="s">
        <v>16</v>
      </c>
      <c r="C10">
        <v>27520</v>
      </c>
      <c r="D10">
        <v>32</v>
      </c>
      <c r="E10">
        <v>1</v>
      </c>
      <c r="F10">
        <v>16</v>
      </c>
      <c r="G10">
        <v>455.73</v>
      </c>
      <c r="H10" s="139">
        <v>30.491</v>
      </c>
      <c r="I10" s="33">
        <v>45607</v>
      </c>
      <c r="J10" s="37">
        <v>0.35217592592592595</v>
      </c>
      <c r="K10">
        <v>0</v>
      </c>
      <c r="L10">
        <v>0</v>
      </c>
      <c r="M10">
        <v>0</v>
      </c>
      <c r="N10">
        <v>0</v>
      </c>
      <c r="O10">
        <v>0</v>
      </c>
      <c r="P10">
        <v>0</v>
      </c>
      <c r="Q10">
        <v>0</v>
      </c>
      <c r="R10">
        <v>0</v>
      </c>
      <c r="S10">
        <v>0</v>
      </c>
      <c r="T10">
        <v>0</v>
      </c>
      <c r="U10">
        <v>0</v>
      </c>
      <c r="V10">
        <v>0</v>
      </c>
      <c r="W10" s="30">
        <f>AVERAGE(H10:H14)</f>
        <v>30.4788</v>
      </c>
      <c r="Y10">
        <v>0</v>
      </c>
      <c r="Z10" t="s">
        <v>16</v>
      </c>
      <c r="AA10">
        <v>27520</v>
      </c>
      <c r="AB10">
        <v>32</v>
      </c>
      <c r="AC10">
        <v>1</v>
      </c>
      <c r="AD10">
        <v>16</v>
      </c>
      <c r="AE10">
        <v>402.86</v>
      </c>
      <c r="AF10" s="139">
        <v>34.494</v>
      </c>
      <c r="AG10" s="33">
        <v>45608</v>
      </c>
      <c r="AH10" s="34">
        <v>0.76765046296296291</v>
      </c>
      <c r="AI10">
        <v>0</v>
      </c>
      <c r="AJ10">
        <v>0</v>
      </c>
      <c r="AK10">
        <v>0</v>
      </c>
      <c r="AL10">
        <v>0</v>
      </c>
      <c r="AM10">
        <v>0</v>
      </c>
      <c r="AN10">
        <v>0</v>
      </c>
      <c r="AO10">
        <v>0</v>
      </c>
      <c r="AP10">
        <v>0</v>
      </c>
      <c r="AQ10">
        <v>0</v>
      </c>
      <c r="AR10">
        <v>0</v>
      </c>
      <c r="AS10">
        <v>0</v>
      </c>
      <c r="AT10">
        <v>0</v>
      </c>
      <c r="AU10" s="30">
        <f t="shared" ref="AU10" si="4">AVERAGE(AF10:AF14)</f>
        <v>34.478750000000005</v>
      </c>
    </row>
    <row r="11" spans="1:47" x14ac:dyDescent="0.25">
      <c r="A11">
        <v>1</v>
      </c>
      <c r="B11" t="s">
        <v>16</v>
      </c>
      <c r="C11">
        <v>27520</v>
      </c>
      <c r="D11">
        <v>32</v>
      </c>
      <c r="E11">
        <v>1</v>
      </c>
      <c r="F11">
        <v>16</v>
      </c>
      <c r="G11">
        <v>455.9</v>
      </c>
      <c r="H11" s="139">
        <v>30.48</v>
      </c>
      <c r="I11" s="33">
        <v>45607</v>
      </c>
      <c r="J11" s="37">
        <v>0.44490740740740742</v>
      </c>
      <c r="K11">
        <v>0</v>
      </c>
      <c r="L11">
        <v>0</v>
      </c>
      <c r="M11">
        <v>0</v>
      </c>
      <c r="N11">
        <v>0</v>
      </c>
      <c r="O11">
        <v>0</v>
      </c>
      <c r="P11">
        <v>0</v>
      </c>
      <c r="Q11">
        <v>0</v>
      </c>
      <c r="R11">
        <v>0</v>
      </c>
      <c r="S11">
        <v>0</v>
      </c>
      <c r="T11">
        <v>0</v>
      </c>
      <c r="U11">
        <v>0</v>
      </c>
      <c r="V11">
        <v>0</v>
      </c>
      <c r="W11" s="30">
        <f>W10</f>
        <v>30.4788</v>
      </c>
      <c r="Y11">
        <v>1</v>
      </c>
      <c r="Z11" t="s">
        <v>16</v>
      </c>
      <c r="AA11">
        <v>27520</v>
      </c>
      <c r="AB11">
        <v>32</v>
      </c>
      <c r="AC11">
        <v>1</v>
      </c>
      <c r="AD11">
        <v>16</v>
      </c>
      <c r="AE11">
        <v>401.72</v>
      </c>
      <c r="AF11" s="139">
        <v>34.591000000000001</v>
      </c>
      <c r="AG11" s="33">
        <v>45608</v>
      </c>
      <c r="AH11" s="34">
        <v>0.92912037037037032</v>
      </c>
      <c r="AI11">
        <v>0</v>
      </c>
      <c r="AJ11">
        <v>0</v>
      </c>
      <c r="AK11">
        <v>0</v>
      </c>
      <c r="AL11">
        <v>0</v>
      </c>
      <c r="AM11">
        <v>0</v>
      </c>
      <c r="AN11">
        <v>0</v>
      </c>
      <c r="AO11">
        <v>0</v>
      </c>
      <c r="AP11">
        <v>0</v>
      </c>
      <c r="AQ11">
        <v>0</v>
      </c>
      <c r="AR11">
        <v>0</v>
      </c>
      <c r="AS11">
        <v>0</v>
      </c>
      <c r="AT11">
        <v>0</v>
      </c>
      <c r="AU11" s="30">
        <f t="shared" ref="AU11:AU34" si="5">AU10</f>
        <v>34.478750000000005</v>
      </c>
    </row>
    <row r="12" spans="1:47" x14ac:dyDescent="0.25">
      <c r="A12">
        <v>2</v>
      </c>
      <c r="B12" t="s">
        <v>16</v>
      </c>
      <c r="C12">
        <v>27520</v>
      </c>
      <c r="D12">
        <v>32</v>
      </c>
      <c r="E12">
        <v>1</v>
      </c>
      <c r="F12">
        <v>16</v>
      </c>
      <c r="G12">
        <v>456.26</v>
      </c>
      <c r="H12" s="139">
        <v>30.456</v>
      </c>
      <c r="I12" s="33">
        <v>45607</v>
      </c>
      <c r="J12" s="37">
        <v>0.7248148148148148</v>
      </c>
      <c r="K12">
        <v>0</v>
      </c>
      <c r="L12">
        <v>0</v>
      </c>
      <c r="M12">
        <v>0</v>
      </c>
      <c r="N12">
        <v>0</v>
      </c>
      <c r="O12">
        <v>0</v>
      </c>
      <c r="P12">
        <v>0</v>
      </c>
      <c r="Q12">
        <v>0</v>
      </c>
      <c r="R12">
        <v>0</v>
      </c>
      <c r="S12">
        <v>0</v>
      </c>
      <c r="T12">
        <v>0</v>
      </c>
      <c r="U12">
        <v>0</v>
      </c>
      <c r="V12">
        <v>0</v>
      </c>
      <c r="W12" s="30">
        <f t="shared" ref="W12:W14" si="6">W11</f>
        <v>30.4788</v>
      </c>
      <c r="Y12">
        <v>2</v>
      </c>
      <c r="Z12" t="s">
        <v>16</v>
      </c>
      <c r="AA12">
        <v>27520</v>
      </c>
      <c r="AB12">
        <v>32</v>
      </c>
      <c r="AC12">
        <v>1</v>
      </c>
      <c r="AD12">
        <v>16</v>
      </c>
      <c r="AE12">
        <v>401.24</v>
      </c>
      <c r="AF12" s="139">
        <v>34.631999999999998</v>
      </c>
      <c r="AG12" s="33">
        <v>45609</v>
      </c>
      <c r="AH12" s="34">
        <v>2.0092592592592592E-2</v>
      </c>
      <c r="AI12">
        <v>0</v>
      </c>
      <c r="AJ12">
        <v>0</v>
      </c>
      <c r="AK12">
        <v>0</v>
      </c>
      <c r="AL12">
        <v>0</v>
      </c>
      <c r="AM12">
        <v>0</v>
      </c>
      <c r="AN12">
        <v>0</v>
      </c>
      <c r="AO12">
        <v>0</v>
      </c>
      <c r="AP12">
        <v>0</v>
      </c>
      <c r="AQ12">
        <v>0</v>
      </c>
      <c r="AR12">
        <v>0</v>
      </c>
      <c r="AS12">
        <v>0</v>
      </c>
      <c r="AT12">
        <v>0</v>
      </c>
      <c r="AU12" s="30">
        <f t="shared" si="5"/>
        <v>34.478750000000005</v>
      </c>
    </row>
    <row r="13" spans="1:47" x14ac:dyDescent="0.25">
      <c r="A13">
        <v>3</v>
      </c>
      <c r="B13" t="s">
        <v>16</v>
      </c>
      <c r="C13">
        <v>27520</v>
      </c>
      <c r="D13">
        <v>32</v>
      </c>
      <c r="E13">
        <v>1</v>
      </c>
      <c r="F13">
        <v>16</v>
      </c>
      <c r="G13">
        <v>455.85</v>
      </c>
      <c r="H13" s="139">
        <v>30.484000000000002</v>
      </c>
      <c r="I13" s="33">
        <v>45608</v>
      </c>
      <c r="J13" s="37">
        <v>3.8194444444444443E-3</v>
      </c>
      <c r="K13">
        <v>0</v>
      </c>
      <c r="L13">
        <v>0</v>
      </c>
      <c r="M13">
        <v>0</v>
      </c>
      <c r="N13">
        <v>0</v>
      </c>
      <c r="O13">
        <v>0</v>
      </c>
      <c r="P13">
        <v>0</v>
      </c>
      <c r="Q13">
        <v>0</v>
      </c>
      <c r="R13">
        <v>0</v>
      </c>
      <c r="S13">
        <v>0</v>
      </c>
      <c r="T13">
        <v>0</v>
      </c>
      <c r="U13">
        <v>0</v>
      </c>
      <c r="V13">
        <v>0</v>
      </c>
      <c r="W13" s="30">
        <f t="shared" si="6"/>
        <v>30.4788</v>
      </c>
      <c r="Y13">
        <v>3</v>
      </c>
      <c r="Z13" t="s">
        <v>16</v>
      </c>
      <c r="AA13">
        <v>27520</v>
      </c>
      <c r="AB13">
        <v>32</v>
      </c>
      <c r="AC13">
        <v>1</v>
      </c>
      <c r="AD13">
        <v>16</v>
      </c>
      <c r="AE13">
        <v>406.34</v>
      </c>
      <c r="AF13" s="139">
        <v>34.198</v>
      </c>
      <c r="AG13" s="33">
        <v>45612</v>
      </c>
      <c r="AH13" s="34">
        <v>0.77056712962962959</v>
      </c>
      <c r="AI13">
        <v>0</v>
      </c>
      <c r="AJ13">
        <v>0</v>
      </c>
      <c r="AK13">
        <v>0</v>
      </c>
      <c r="AL13">
        <v>0</v>
      </c>
      <c r="AM13">
        <v>0</v>
      </c>
      <c r="AN13">
        <v>0</v>
      </c>
      <c r="AO13">
        <v>0</v>
      </c>
      <c r="AP13">
        <v>0</v>
      </c>
      <c r="AQ13">
        <v>0</v>
      </c>
      <c r="AR13">
        <v>0</v>
      </c>
      <c r="AS13">
        <v>0</v>
      </c>
      <c r="AT13">
        <v>0</v>
      </c>
      <c r="AU13" s="30">
        <f t="shared" si="5"/>
        <v>34.478750000000005</v>
      </c>
    </row>
    <row r="14" spans="1:47" x14ac:dyDescent="0.25">
      <c r="A14">
        <v>4</v>
      </c>
      <c r="B14" t="s">
        <v>16</v>
      </c>
      <c r="C14">
        <v>27520</v>
      </c>
      <c r="D14">
        <v>32</v>
      </c>
      <c r="E14">
        <v>1</v>
      </c>
      <c r="F14">
        <v>16</v>
      </c>
      <c r="G14">
        <v>455.87</v>
      </c>
      <c r="H14" s="139">
        <v>30.483000000000001</v>
      </c>
      <c r="I14" s="33">
        <v>45608</v>
      </c>
      <c r="J14" s="37">
        <v>9.6527777777777782E-2</v>
      </c>
      <c r="K14">
        <v>0</v>
      </c>
      <c r="L14">
        <v>0</v>
      </c>
      <c r="M14">
        <v>0</v>
      </c>
      <c r="N14">
        <v>0</v>
      </c>
      <c r="O14">
        <v>0</v>
      </c>
      <c r="P14">
        <v>0</v>
      </c>
      <c r="Q14">
        <v>0</v>
      </c>
      <c r="R14">
        <v>0</v>
      </c>
      <c r="S14">
        <v>0</v>
      </c>
      <c r="T14">
        <v>0</v>
      </c>
      <c r="U14">
        <v>0</v>
      </c>
      <c r="V14">
        <v>0</v>
      </c>
      <c r="W14" s="30">
        <f t="shared" si="6"/>
        <v>30.4788</v>
      </c>
      <c r="Y14">
        <v>4</v>
      </c>
      <c r="Z14" t="s">
        <v>16</v>
      </c>
      <c r="AA14">
        <v>27520</v>
      </c>
      <c r="AB14">
        <v>32</v>
      </c>
      <c r="AC14">
        <v>1</v>
      </c>
      <c r="AD14">
        <v>16</v>
      </c>
      <c r="AU14" s="30">
        <f t="shared" si="5"/>
        <v>34.478750000000005</v>
      </c>
    </row>
    <row r="15" spans="1:47" x14ac:dyDescent="0.25">
      <c r="A15">
        <v>0</v>
      </c>
      <c r="B15" t="s">
        <v>16</v>
      </c>
      <c r="C15">
        <v>29056</v>
      </c>
      <c r="D15">
        <v>32</v>
      </c>
      <c r="E15">
        <v>1</v>
      </c>
      <c r="F15">
        <v>16</v>
      </c>
      <c r="G15">
        <v>527.30999999999995</v>
      </c>
      <c r="H15" s="139">
        <v>31.015999999999998</v>
      </c>
      <c r="I15" s="33">
        <v>45607</v>
      </c>
      <c r="J15" s="37">
        <v>0.4100462962962963</v>
      </c>
      <c r="K15">
        <v>0</v>
      </c>
      <c r="L15">
        <v>0</v>
      </c>
      <c r="M15">
        <v>0</v>
      </c>
      <c r="N15">
        <v>0</v>
      </c>
      <c r="O15">
        <v>0</v>
      </c>
      <c r="P15">
        <v>0</v>
      </c>
      <c r="Q15">
        <v>0</v>
      </c>
      <c r="R15">
        <v>0</v>
      </c>
      <c r="S15">
        <v>0</v>
      </c>
      <c r="T15">
        <v>0</v>
      </c>
      <c r="U15">
        <v>0</v>
      </c>
      <c r="V15">
        <v>0</v>
      </c>
      <c r="W15" s="30">
        <f t="shared" ref="W15" si="7">AVERAGE(H15:H19)</f>
        <v>30.998199999999997</v>
      </c>
      <c r="Y15">
        <v>0</v>
      </c>
      <c r="Z15" t="s">
        <v>16</v>
      </c>
      <c r="AA15">
        <v>29056</v>
      </c>
      <c r="AB15">
        <v>32</v>
      </c>
      <c r="AC15">
        <v>1</v>
      </c>
      <c r="AD15">
        <v>16</v>
      </c>
      <c r="AE15">
        <v>469.39</v>
      </c>
      <c r="AF15" s="139">
        <v>34.843000000000004</v>
      </c>
      <c r="AG15" s="33">
        <v>45608</v>
      </c>
      <c r="AH15" s="34">
        <v>0.82458333333333333</v>
      </c>
      <c r="AI15">
        <v>0</v>
      </c>
      <c r="AJ15">
        <v>0</v>
      </c>
      <c r="AK15">
        <v>0</v>
      </c>
      <c r="AL15">
        <v>0</v>
      </c>
      <c r="AM15">
        <v>0</v>
      </c>
      <c r="AN15">
        <v>0</v>
      </c>
      <c r="AO15">
        <v>0</v>
      </c>
      <c r="AP15">
        <v>0</v>
      </c>
      <c r="AQ15">
        <v>0</v>
      </c>
      <c r="AR15">
        <v>0</v>
      </c>
      <c r="AS15">
        <v>0</v>
      </c>
      <c r="AT15">
        <v>0</v>
      </c>
      <c r="AU15" s="30">
        <f t="shared" ref="AU15" si="8">AVERAGE(AF15:AF19)</f>
        <v>34.675999999999995</v>
      </c>
    </row>
    <row r="16" spans="1:47" x14ac:dyDescent="0.25">
      <c r="A16">
        <v>1</v>
      </c>
      <c r="B16" t="s">
        <v>16</v>
      </c>
      <c r="C16">
        <v>29056</v>
      </c>
      <c r="D16">
        <v>32</v>
      </c>
      <c r="E16">
        <v>1</v>
      </c>
      <c r="F16">
        <v>16</v>
      </c>
      <c r="G16">
        <v>527.66</v>
      </c>
      <c r="H16" s="139">
        <v>30.995000000000001</v>
      </c>
      <c r="I16" s="33">
        <v>45607</v>
      </c>
      <c r="J16" s="37">
        <v>0.68995370370370368</v>
      </c>
      <c r="K16">
        <v>0</v>
      </c>
      <c r="L16">
        <v>0</v>
      </c>
      <c r="M16">
        <v>0</v>
      </c>
      <c r="N16">
        <v>0</v>
      </c>
      <c r="O16">
        <v>0</v>
      </c>
      <c r="P16">
        <v>0</v>
      </c>
      <c r="Q16">
        <v>0</v>
      </c>
      <c r="R16">
        <v>0</v>
      </c>
      <c r="S16">
        <v>0</v>
      </c>
      <c r="T16">
        <v>0</v>
      </c>
      <c r="U16">
        <v>0</v>
      </c>
      <c r="V16">
        <v>0</v>
      </c>
      <c r="W16" s="30">
        <f t="shared" ref="W16:W79" si="9">W15</f>
        <v>30.998199999999997</v>
      </c>
      <c r="Y16">
        <v>1</v>
      </c>
      <c r="Z16" t="s">
        <v>16</v>
      </c>
      <c r="AA16">
        <v>29056</v>
      </c>
      <c r="AB16">
        <v>32</v>
      </c>
      <c r="AC16">
        <v>1</v>
      </c>
      <c r="AD16">
        <v>16</v>
      </c>
      <c r="AE16">
        <v>467.82</v>
      </c>
      <c r="AF16" s="139">
        <v>34.96</v>
      </c>
      <c r="AG16" s="33">
        <v>45608</v>
      </c>
      <c r="AH16" s="34">
        <v>0.98603009259259256</v>
      </c>
      <c r="AI16">
        <v>0</v>
      </c>
      <c r="AJ16">
        <v>0</v>
      </c>
      <c r="AK16">
        <v>0</v>
      </c>
      <c r="AL16">
        <v>0</v>
      </c>
      <c r="AM16">
        <v>0</v>
      </c>
      <c r="AN16">
        <v>0</v>
      </c>
      <c r="AO16">
        <v>0</v>
      </c>
      <c r="AP16">
        <v>0</v>
      </c>
      <c r="AQ16">
        <v>0</v>
      </c>
      <c r="AR16">
        <v>0</v>
      </c>
      <c r="AS16">
        <v>0</v>
      </c>
      <c r="AT16">
        <v>0</v>
      </c>
      <c r="AU16" s="30">
        <f t="shared" ref="AU16" si="10">AU15</f>
        <v>34.675999999999995</v>
      </c>
    </row>
    <row r="17" spans="1:47" x14ac:dyDescent="0.25">
      <c r="A17">
        <v>2</v>
      </c>
      <c r="B17" t="s">
        <v>16</v>
      </c>
      <c r="C17">
        <v>29056</v>
      </c>
      <c r="D17">
        <v>32</v>
      </c>
      <c r="E17">
        <v>1</v>
      </c>
      <c r="F17">
        <v>16</v>
      </c>
      <c r="G17">
        <v>528.75</v>
      </c>
      <c r="H17" s="139">
        <v>30.931000000000001</v>
      </c>
      <c r="I17" s="33">
        <v>45607</v>
      </c>
      <c r="J17" s="37">
        <v>0.96892361111111114</v>
      </c>
      <c r="K17">
        <v>0</v>
      </c>
      <c r="L17">
        <v>0</v>
      </c>
      <c r="M17">
        <v>0</v>
      </c>
      <c r="N17">
        <v>0</v>
      </c>
      <c r="O17">
        <v>0</v>
      </c>
      <c r="P17">
        <v>0</v>
      </c>
      <c r="Q17">
        <v>0</v>
      </c>
      <c r="R17">
        <v>0</v>
      </c>
      <c r="S17">
        <v>0</v>
      </c>
      <c r="T17">
        <v>0</v>
      </c>
      <c r="U17">
        <v>0</v>
      </c>
      <c r="V17">
        <v>0</v>
      </c>
      <c r="W17" s="30">
        <f t="shared" si="9"/>
        <v>30.998199999999997</v>
      </c>
      <c r="Y17">
        <v>2</v>
      </c>
      <c r="Z17" t="s">
        <v>16</v>
      </c>
      <c r="AA17">
        <v>29056</v>
      </c>
      <c r="AB17">
        <v>32</v>
      </c>
      <c r="AC17">
        <v>1</v>
      </c>
      <c r="AD17">
        <v>16</v>
      </c>
      <c r="AE17">
        <v>477.86</v>
      </c>
      <c r="AF17" s="139">
        <v>34.225000000000001</v>
      </c>
      <c r="AG17" s="33">
        <v>45612</v>
      </c>
      <c r="AH17" s="34">
        <v>0.73630787037037038</v>
      </c>
      <c r="AI17">
        <v>0</v>
      </c>
      <c r="AJ17">
        <v>0</v>
      </c>
      <c r="AK17">
        <v>0</v>
      </c>
      <c r="AL17">
        <v>0</v>
      </c>
      <c r="AM17">
        <v>0</v>
      </c>
      <c r="AN17">
        <v>0</v>
      </c>
      <c r="AO17">
        <v>0</v>
      </c>
      <c r="AP17">
        <v>0</v>
      </c>
      <c r="AQ17">
        <v>0</v>
      </c>
      <c r="AR17">
        <v>0</v>
      </c>
      <c r="AS17">
        <v>0</v>
      </c>
      <c r="AT17">
        <v>0</v>
      </c>
      <c r="AU17" s="30">
        <f t="shared" si="5"/>
        <v>34.675999999999995</v>
      </c>
    </row>
    <row r="18" spans="1:47" x14ac:dyDescent="0.25">
      <c r="A18">
        <v>3</v>
      </c>
      <c r="B18" t="s">
        <v>16</v>
      </c>
      <c r="C18">
        <v>29056</v>
      </c>
      <c r="D18">
        <v>32</v>
      </c>
      <c r="E18">
        <v>1</v>
      </c>
      <c r="F18">
        <v>16</v>
      </c>
      <c r="G18">
        <v>527.42999999999995</v>
      </c>
      <c r="H18" s="139">
        <v>31.009</v>
      </c>
      <c r="I18" s="33">
        <v>45608</v>
      </c>
      <c r="J18" s="37">
        <v>6.1724537037037036E-2</v>
      </c>
      <c r="K18">
        <v>0</v>
      </c>
      <c r="L18">
        <v>0</v>
      </c>
      <c r="M18">
        <v>0</v>
      </c>
      <c r="N18">
        <v>0</v>
      </c>
      <c r="O18">
        <v>0</v>
      </c>
      <c r="P18">
        <v>0</v>
      </c>
      <c r="Q18">
        <v>0</v>
      </c>
      <c r="R18">
        <v>0</v>
      </c>
      <c r="S18">
        <v>0</v>
      </c>
      <c r="T18">
        <v>0</v>
      </c>
      <c r="U18">
        <v>0</v>
      </c>
      <c r="V18">
        <v>0</v>
      </c>
      <c r="W18" s="30">
        <f t="shared" si="9"/>
        <v>30.998199999999997</v>
      </c>
      <c r="Y18">
        <v>3</v>
      </c>
      <c r="Z18" t="s">
        <v>16</v>
      </c>
      <c r="AA18">
        <v>29056</v>
      </c>
      <c r="AB18">
        <v>32</v>
      </c>
      <c r="AC18">
        <v>1</v>
      </c>
      <c r="AD18">
        <v>16</v>
      </c>
      <c r="AU18" s="30">
        <f t="shared" si="5"/>
        <v>34.675999999999995</v>
      </c>
    </row>
    <row r="19" spans="1:47" x14ac:dyDescent="0.25">
      <c r="A19">
        <v>4</v>
      </c>
      <c r="B19" t="s">
        <v>16</v>
      </c>
      <c r="C19">
        <v>29056</v>
      </c>
      <c r="D19">
        <v>32</v>
      </c>
      <c r="E19">
        <v>1</v>
      </c>
      <c r="F19">
        <v>16</v>
      </c>
      <c r="G19">
        <v>526.9</v>
      </c>
      <c r="H19" s="139">
        <v>31.04</v>
      </c>
      <c r="I19" s="33">
        <v>45608</v>
      </c>
      <c r="J19" s="37">
        <v>0.15440972222222221</v>
      </c>
      <c r="K19">
        <v>0</v>
      </c>
      <c r="L19">
        <v>0</v>
      </c>
      <c r="M19">
        <v>0</v>
      </c>
      <c r="N19">
        <v>0</v>
      </c>
      <c r="O19">
        <v>0</v>
      </c>
      <c r="P19">
        <v>0</v>
      </c>
      <c r="Q19">
        <v>0</v>
      </c>
      <c r="R19">
        <v>0</v>
      </c>
      <c r="S19">
        <v>0</v>
      </c>
      <c r="T19">
        <v>0</v>
      </c>
      <c r="U19">
        <v>0</v>
      </c>
      <c r="V19">
        <v>0</v>
      </c>
      <c r="W19" s="30">
        <f t="shared" si="9"/>
        <v>30.998199999999997</v>
      </c>
      <c r="Y19">
        <v>4</v>
      </c>
      <c r="Z19" t="s">
        <v>16</v>
      </c>
      <c r="AA19">
        <v>29056</v>
      </c>
      <c r="AB19">
        <v>32</v>
      </c>
      <c r="AC19">
        <v>1</v>
      </c>
      <c r="AD19">
        <v>16</v>
      </c>
      <c r="AU19" s="30">
        <f t="shared" si="5"/>
        <v>34.675999999999995</v>
      </c>
    </row>
    <row r="20" spans="1:47" x14ac:dyDescent="0.25">
      <c r="A20">
        <v>0</v>
      </c>
      <c r="B20" t="s">
        <v>16</v>
      </c>
      <c r="C20">
        <v>25984</v>
      </c>
      <c r="D20">
        <v>32</v>
      </c>
      <c r="E20">
        <v>2</v>
      </c>
      <c r="F20">
        <v>8</v>
      </c>
      <c r="G20">
        <v>368.87</v>
      </c>
      <c r="H20" s="139">
        <v>31.71</v>
      </c>
      <c r="I20" s="33">
        <v>45607</v>
      </c>
      <c r="J20" s="37">
        <v>0.38658564814814816</v>
      </c>
      <c r="K20">
        <v>0</v>
      </c>
      <c r="L20">
        <v>0</v>
      </c>
      <c r="M20">
        <v>0</v>
      </c>
      <c r="N20">
        <v>0</v>
      </c>
      <c r="O20">
        <v>0</v>
      </c>
      <c r="P20">
        <v>0</v>
      </c>
      <c r="Q20">
        <v>0</v>
      </c>
      <c r="R20">
        <v>0</v>
      </c>
      <c r="S20">
        <v>0</v>
      </c>
      <c r="T20">
        <v>0</v>
      </c>
      <c r="U20">
        <v>0</v>
      </c>
      <c r="V20">
        <v>0</v>
      </c>
      <c r="W20" s="30">
        <f t="shared" ref="W20" si="11">AVERAGE(H20:H24)</f>
        <v>31.669999999999998</v>
      </c>
      <c r="Y20">
        <v>0</v>
      </c>
      <c r="Z20" t="s">
        <v>16</v>
      </c>
      <c r="AA20">
        <v>25984</v>
      </c>
      <c r="AB20">
        <v>32</v>
      </c>
      <c r="AC20">
        <v>2</v>
      </c>
      <c r="AD20">
        <v>8</v>
      </c>
      <c r="AE20">
        <v>319.8</v>
      </c>
      <c r="AF20" s="139">
        <v>36.575000000000003</v>
      </c>
      <c r="AG20" s="33">
        <v>45608</v>
      </c>
      <c r="AH20" s="34">
        <v>0.80133101851851851</v>
      </c>
      <c r="AI20">
        <v>0</v>
      </c>
      <c r="AJ20">
        <v>0</v>
      </c>
      <c r="AK20">
        <v>0</v>
      </c>
      <c r="AL20">
        <v>0</v>
      </c>
      <c r="AM20">
        <v>0</v>
      </c>
      <c r="AN20">
        <v>0</v>
      </c>
      <c r="AO20">
        <v>0</v>
      </c>
      <c r="AP20">
        <v>0</v>
      </c>
      <c r="AQ20">
        <v>0</v>
      </c>
      <c r="AR20">
        <v>0</v>
      </c>
      <c r="AS20">
        <v>0</v>
      </c>
      <c r="AT20">
        <v>0</v>
      </c>
      <c r="AU20" s="30">
        <f t="shared" ref="AU20" si="12">AVERAGE(AF20:AF24)</f>
        <v>36.662999999999997</v>
      </c>
    </row>
    <row r="21" spans="1:47" x14ac:dyDescent="0.25">
      <c r="A21">
        <v>1</v>
      </c>
      <c r="B21" t="s">
        <v>16</v>
      </c>
      <c r="C21">
        <v>25984</v>
      </c>
      <c r="D21">
        <v>32</v>
      </c>
      <c r="E21">
        <v>2</v>
      </c>
      <c r="F21">
        <v>8</v>
      </c>
      <c r="G21">
        <v>369.23</v>
      </c>
      <c r="H21" s="139">
        <v>31.678999999999998</v>
      </c>
      <c r="I21" s="33">
        <v>45607</v>
      </c>
      <c r="J21" s="37">
        <v>0.66648148148148145</v>
      </c>
      <c r="K21">
        <v>0</v>
      </c>
      <c r="L21">
        <v>0</v>
      </c>
      <c r="M21">
        <v>0</v>
      </c>
      <c r="N21">
        <v>0</v>
      </c>
      <c r="O21">
        <v>0</v>
      </c>
      <c r="P21">
        <v>0</v>
      </c>
      <c r="Q21">
        <v>0</v>
      </c>
      <c r="R21">
        <v>0</v>
      </c>
      <c r="S21">
        <v>0</v>
      </c>
      <c r="T21">
        <v>0</v>
      </c>
      <c r="U21">
        <v>0</v>
      </c>
      <c r="V21">
        <v>0</v>
      </c>
      <c r="W21" s="30">
        <f t="shared" ref="W21:W84" si="13">W20</f>
        <v>31.669999999999998</v>
      </c>
      <c r="Y21">
        <v>1</v>
      </c>
      <c r="Z21" t="s">
        <v>16</v>
      </c>
      <c r="AA21">
        <v>25984</v>
      </c>
      <c r="AB21">
        <v>32</v>
      </c>
      <c r="AC21">
        <v>2</v>
      </c>
      <c r="AD21">
        <v>8</v>
      </c>
      <c r="AE21">
        <v>319.62</v>
      </c>
      <c r="AF21" s="139">
        <v>36.595999999999997</v>
      </c>
      <c r="AG21" s="33">
        <v>45608</v>
      </c>
      <c r="AH21" s="34">
        <v>0.96281249999999996</v>
      </c>
      <c r="AI21">
        <v>0</v>
      </c>
      <c r="AJ21">
        <v>0</v>
      </c>
      <c r="AK21">
        <v>0</v>
      </c>
      <c r="AL21">
        <v>0</v>
      </c>
      <c r="AM21">
        <v>0</v>
      </c>
      <c r="AN21">
        <v>0</v>
      </c>
      <c r="AO21">
        <v>0</v>
      </c>
      <c r="AP21">
        <v>0</v>
      </c>
      <c r="AQ21">
        <v>0</v>
      </c>
      <c r="AR21">
        <v>0</v>
      </c>
      <c r="AS21">
        <v>0</v>
      </c>
      <c r="AT21">
        <v>0</v>
      </c>
      <c r="AU21" s="30">
        <f t="shared" ref="AU21" si="14">AU20</f>
        <v>36.662999999999997</v>
      </c>
    </row>
    <row r="22" spans="1:47" x14ac:dyDescent="0.25">
      <c r="A22">
        <v>2</v>
      </c>
      <c r="B22" t="s">
        <v>16</v>
      </c>
      <c r="C22">
        <v>25984</v>
      </c>
      <c r="D22">
        <v>32</v>
      </c>
      <c r="E22">
        <v>2</v>
      </c>
      <c r="F22">
        <v>8</v>
      </c>
      <c r="G22">
        <v>369.75</v>
      </c>
      <c r="H22" s="139">
        <v>31.634</v>
      </c>
      <c r="I22" s="33">
        <v>45607</v>
      </c>
      <c r="J22" s="37">
        <v>0.94545138888888891</v>
      </c>
      <c r="K22">
        <v>0</v>
      </c>
      <c r="L22">
        <v>0</v>
      </c>
      <c r="M22">
        <v>0</v>
      </c>
      <c r="N22">
        <v>0</v>
      </c>
      <c r="O22">
        <v>0</v>
      </c>
      <c r="P22">
        <v>0</v>
      </c>
      <c r="Q22">
        <v>0</v>
      </c>
      <c r="R22">
        <v>0</v>
      </c>
      <c r="S22">
        <v>0</v>
      </c>
      <c r="T22">
        <v>0</v>
      </c>
      <c r="U22">
        <v>0</v>
      </c>
      <c r="V22">
        <v>0</v>
      </c>
      <c r="W22" s="30">
        <f t="shared" si="13"/>
        <v>31.669999999999998</v>
      </c>
      <c r="Y22">
        <v>2</v>
      </c>
      <c r="Z22" t="s">
        <v>16</v>
      </c>
      <c r="AA22">
        <v>25984</v>
      </c>
      <c r="AB22">
        <v>32</v>
      </c>
      <c r="AC22">
        <v>2</v>
      </c>
      <c r="AD22">
        <v>8</v>
      </c>
      <c r="AE22">
        <v>317.69</v>
      </c>
      <c r="AF22" s="139">
        <v>36.817999999999998</v>
      </c>
      <c r="AG22" s="33">
        <v>45609</v>
      </c>
      <c r="AH22" s="34">
        <v>5.3796296296296293E-2</v>
      </c>
      <c r="AI22">
        <v>0</v>
      </c>
      <c r="AJ22">
        <v>0</v>
      </c>
      <c r="AK22">
        <v>0</v>
      </c>
      <c r="AL22">
        <v>0</v>
      </c>
      <c r="AM22">
        <v>0</v>
      </c>
      <c r="AN22">
        <v>0</v>
      </c>
      <c r="AO22">
        <v>0</v>
      </c>
      <c r="AP22">
        <v>0</v>
      </c>
      <c r="AQ22">
        <v>0</v>
      </c>
      <c r="AR22">
        <v>0</v>
      </c>
      <c r="AS22">
        <v>0</v>
      </c>
      <c r="AT22">
        <v>0</v>
      </c>
      <c r="AU22" s="30">
        <f t="shared" si="5"/>
        <v>36.662999999999997</v>
      </c>
    </row>
    <row r="23" spans="1:47" x14ac:dyDescent="0.25">
      <c r="A23">
        <v>3</v>
      </c>
      <c r="B23" t="s">
        <v>16</v>
      </c>
      <c r="C23">
        <v>25984</v>
      </c>
      <c r="D23">
        <v>32</v>
      </c>
      <c r="E23">
        <v>2</v>
      </c>
      <c r="F23">
        <v>8</v>
      </c>
      <c r="G23">
        <v>369.64</v>
      </c>
      <c r="H23" s="139">
        <v>31.643999999999998</v>
      </c>
      <c r="I23" s="33">
        <v>45608</v>
      </c>
      <c r="J23" s="37">
        <v>3.8252314814814815E-2</v>
      </c>
      <c r="K23">
        <v>0</v>
      </c>
      <c r="L23">
        <v>0</v>
      </c>
      <c r="M23">
        <v>0</v>
      </c>
      <c r="N23">
        <v>0</v>
      </c>
      <c r="O23">
        <v>0</v>
      </c>
      <c r="P23">
        <v>0</v>
      </c>
      <c r="Q23">
        <v>0</v>
      </c>
      <c r="R23">
        <v>0</v>
      </c>
      <c r="S23">
        <v>0</v>
      </c>
      <c r="T23">
        <v>0</v>
      </c>
      <c r="U23">
        <v>0</v>
      </c>
      <c r="V23">
        <v>0</v>
      </c>
      <c r="W23" s="30">
        <f t="shared" si="13"/>
        <v>31.669999999999998</v>
      </c>
      <c r="Y23">
        <v>3</v>
      </c>
      <c r="Z23" t="s">
        <v>16</v>
      </c>
      <c r="AA23">
        <v>25984</v>
      </c>
      <c r="AB23">
        <v>32</v>
      </c>
      <c r="AC23">
        <v>2</v>
      </c>
      <c r="AD23">
        <v>8</v>
      </c>
      <c r="AU23" s="30">
        <f t="shared" si="5"/>
        <v>36.662999999999997</v>
      </c>
    </row>
    <row r="24" spans="1:47" x14ac:dyDescent="0.25">
      <c r="A24">
        <v>4</v>
      </c>
      <c r="B24" t="s">
        <v>16</v>
      </c>
      <c r="C24">
        <v>25984</v>
      </c>
      <c r="D24">
        <v>32</v>
      </c>
      <c r="E24">
        <v>2</v>
      </c>
      <c r="F24">
        <v>8</v>
      </c>
      <c r="G24">
        <v>369.18</v>
      </c>
      <c r="H24" s="139">
        <v>31.683</v>
      </c>
      <c r="I24" s="33">
        <v>45608</v>
      </c>
      <c r="J24" s="37">
        <v>0.13096064814814815</v>
      </c>
      <c r="K24">
        <v>0</v>
      </c>
      <c r="L24">
        <v>0</v>
      </c>
      <c r="M24">
        <v>0</v>
      </c>
      <c r="N24">
        <v>0</v>
      </c>
      <c r="O24">
        <v>0</v>
      </c>
      <c r="P24">
        <v>0</v>
      </c>
      <c r="Q24">
        <v>0</v>
      </c>
      <c r="R24">
        <v>0</v>
      </c>
      <c r="S24">
        <v>0</v>
      </c>
      <c r="T24">
        <v>0</v>
      </c>
      <c r="U24">
        <v>0</v>
      </c>
      <c r="V24">
        <v>0</v>
      </c>
      <c r="W24" s="30">
        <f t="shared" si="13"/>
        <v>31.669999999999998</v>
      </c>
      <c r="Y24">
        <v>4</v>
      </c>
      <c r="Z24" t="s">
        <v>16</v>
      </c>
      <c r="AA24">
        <v>25984</v>
      </c>
      <c r="AB24">
        <v>32</v>
      </c>
      <c r="AC24">
        <v>2</v>
      </c>
      <c r="AD24">
        <v>8</v>
      </c>
      <c r="AU24" s="30">
        <f t="shared" si="5"/>
        <v>36.662999999999997</v>
      </c>
    </row>
    <row r="25" spans="1:47" x14ac:dyDescent="0.25">
      <c r="A25">
        <v>0</v>
      </c>
      <c r="B25" t="s">
        <v>16</v>
      </c>
      <c r="C25">
        <v>27520</v>
      </c>
      <c r="D25">
        <v>32</v>
      </c>
      <c r="E25">
        <v>2</v>
      </c>
      <c r="F25">
        <v>8</v>
      </c>
      <c r="G25">
        <v>434.5</v>
      </c>
      <c r="H25" s="139">
        <v>31.981999999999999</v>
      </c>
      <c r="I25" s="33">
        <v>45607</v>
      </c>
      <c r="J25" s="37">
        <v>0.3574074074074074</v>
      </c>
      <c r="K25">
        <v>0</v>
      </c>
      <c r="L25">
        <v>0</v>
      </c>
      <c r="M25">
        <v>0</v>
      </c>
      <c r="N25">
        <v>0</v>
      </c>
      <c r="O25">
        <v>0</v>
      </c>
      <c r="P25">
        <v>0</v>
      </c>
      <c r="Q25">
        <v>0</v>
      </c>
      <c r="R25">
        <v>0</v>
      </c>
      <c r="S25">
        <v>0</v>
      </c>
      <c r="T25">
        <v>0</v>
      </c>
      <c r="U25">
        <v>0</v>
      </c>
      <c r="V25">
        <v>0</v>
      </c>
      <c r="W25" s="30">
        <f t="shared" ref="W25" si="15">AVERAGE(H25:H29)</f>
        <v>32.001600000000003</v>
      </c>
      <c r="Y25">
        <v>0</v>
      </c>
      <c r="Z25" t="s">
        <v>16</v>
      </c>
      <c r="AA25">
        <v>27520</v>
      </c>
      <c r="AB25">
        <v>32</v>
      </c>
      <c r="AC25">
        <v>2</v>
      </c>
      <c r="AD25">
        <v>8</v>
      </c>
      <c r="AE25">
        <v>372.82</v>
      </c>
      <c r="AF25" s="139">
        <v>37.273000000000003</v>
      </c>
      <c r="AG25" s="33">
        <v>45608</v>
      </c>
      <c r="AH25" s="34">
        <v>0.77262731481481484</v>
      </c>
      <c r="AI25">
        <v>0</v>
      </c>
      <c r="AJ25">
        <v>0</v>
      </c>
      <c r="AK25">
        <v>0</v>
      </c>
      <c r="AL25">
        <v>0</v>
      </c>
      <c r="AM25">
        <v>0</v>
      </c>
      <c r="AN25">
        <v>0</v>
      </c>
      <c r="AO25">
        <v>0</v>
      </c>
      <c r="AP25">
        <v>0</v>
      </c>
      <c r="AQ25">
        <v>0</v>
      </c>
      <c r="AR25">
        <v>0</v>
      </c>
      <c r="AS25">
        <v>0</v>
      </c>
      <c r="AT25">
        <v>0</v>
      </c>
      <c r="AU25" s="30">
        <f t="shared" ref="AU25" si="16">AVERAGE(AF25:AF29)</f>
        <v>36.519500000000001</v>
      </c>
    </row>
    <row r="26" spans="1:47" x14ac:dyDescent="0.25">
      <c r="A26">
        <v>1</v>
      </c>
      <c r="B26" t="s">
        <v>16</v>
      </c>
      <c r="C26">
        <v>27520</v>
      </c>
      <c r="D26">
        <v>32</v>
      </c>
      <c r="E26">
        <v>2</v>
      </c>
      <c r="F26">
        <v>8</v>
      </c>
      <c r="G26">
        <v>434.02</v>
      </c>
      <c r="H26" s="139">
        <v>32.017000000000003</v>
      </c>
      <c r="I26" s="33">
        <v>45607</v>
      </c>
      <c r="J26" s="37">
        <v>0.45012731481481483</v>
      </c>
      <c r="K26">
        <v>0</v>
      </c>
      <c r="L26">
        <v>0</v>
      </c>
      <c r="M26">
        <v>0</v>
      </c>
      <c r="N26">
        <v>0</v>
      </c>
      <c r="O26">
        <v>0</v>
      </c>
      <c r="P26">
        <v>0</v>
      </c>
      <c r="Q26">
        <v>0</v>
      </c>
      <c r="R26">
        <v>0</v>
      </c>
      <c r="S26">
        <v>0</v>
      </c>
      <c r="T26">
        <v>0</v>
      </c>
      <c r="U26">
        <v>0</v>
      </c>
      <c r="V26">
        <v>0</v>
      </c>
      <c r="W26" s="30">
        <f t="shared" ref="W26" si="17">W25</f>
        <v>32.001600000000003</v>
      </c>
      <c r="Y26">
        <v>1</v>
      </c>
      <c r="Z26" t="s">
        <v>16</v>
      </c>
      <c r="AA26">
        <v>27520</v>
      </c>
      <c r="AB26">
        <v>32</v>
      </c>
      <c r="AC26">
        <v>2</v>
      </c>
      <c r="AD26">
        <v>8</v>
      </c>
      <c r="AE26">
        <v>372.4</v>
      </c>
      <c r="AF26" s="139">
        <v>37.314</v>
      </c>
      <c r="AG26" s="33">
        <v>45608</v>
      </c>
      <c r="AH26" s="34">
        <v>0.93409722222222225</v>
      </c>
      <c r="AI26">
        <v>0</v>
      </c>
      <c r="AJ26">
        <v>0</v>
      </c>
      <c r="AK26">
        <v>0</v>
      </c>
      <c r="AL26">
        <v>0</v>
      </c>
      <c r="AM26">
        <v>0</v>
      </c>
      <c r="AN26">
        <v>0</v>
      </c>
      <c r="AO26">
        <v>0</v>
      </c>
      <c r="AP26">
        <v>0</v>
      </c>
      <c r="AQ26">
        <v>0</v>
      </c>
      <c r="AR26">
        <v>0</v>
      </c>
      <c r="AS26">
        <v>0</v>
      </c>
      <c r="AT26">
        <v>0</v>
      </c>
      <c r="AU26" s="30">
        <f t="shared" ref="AU26" si="18">AU25</f>
        <v>36.519500000000001</v>
      </c>
    </row>
    <row r="27" spans="1:47" x14ac:dyDescent="0.25">
      <c r="A27">
        <v>2</v>
      </c>
      <c r="B27" t="s">
        <v>16</v>
      </c>
      <c r="C27">
        <v>27520</v>
      </c>
      <c r="D27">
        <v>32</v>
      </c>
      <c r="E27">
        <v>2</v>
      </c>
      <c r="F27">
        <v>8</v>
      </c>
      <c r="G27">
        <v>434.5</v>
      </c>
      <c r="H27" s="139">
        <v>31.981000000000002</v>
      </c>
      <c r="I27" s="33">
        <v>45607</v>
      </c>
      <c r="J27" s="37">
        <v>0.73004629629629625</v>
      </c>
      <c r="K27">
        <v>0</v>
      </c>
      <c r="L27">
        <v>0</v>
      </c>
      <c r="M27">
        <v>0</v>
      </c>
      <c r="N27">
        <v>0</v>
      </c>
      <c r="O27">
        <v>0</v>
      </c>
      <c r="P27">
        <v>0</v>
      </c>
      <c r="Q27">
        <v>0</v>
      </c>
      <c r="R27">
        <v>0</v>
      </c>
      <c r="S27">
        <v>0</v>
      </c>
      <c r="T27">
        <v>0</v>
      </c>
      <c r="U27">
        <v>0</v>
      </c>
      <c r="V27">
        <v>0</v>
      </c>
      <c r="W27" s="30">
        <f t="shared" si="9"/>
        <v>32.001600000000003</v>
      </c>
      <c r="Y27">
        <v>2</v>
      </c>
      <c r="Z27" t="s">
        <v>16</v>
      </c>
      <c r="AA27">
        <v>27520</v>
      </c>
      <c r="AB27">
        <v>32</v>
      </c>
      <c r="AC27">
        <v>2</v>
      </c>
      <c r="AD27">
        <v>8</v>
      </c>
      <c r="AE27">
        <v>373.07</v>
      </c>
      <c r="AF27" s="139">
        <v>37.247999999999998</v>
      </c>
      <c r="AG27" s="33">
        <v>45609</v>
      </c>
      <c r="AH27" s="34">
        <v>2.508101851851852E-2</v>
      </c>
      <c r="AI27">
        <v>0</v>
      </c>
      <c r="AJ27">
        <v>0</v>
      </c>
      <c r="AK27">
        <v>0</v>
      </c>
      <c r="AL27">
        <v>0</v>
      </c>
      <c r="AM27">
        <v>0</v>
      </c>
      <c r="AN27">
        <v>0</v>
      </c>
      <c r="AO27">
        <v>0</v>
      </c>
      <c r="AP27">
        <v>0</v>
      </c>
      <c r="AQ27">
        <v>0</v>
      </c>
      <c r="AR27">
        <v>0</v>
      </c>
      <c r="AS27">
        <v>0</v>
      </c>
      <c r="AT27">
        <v>0</v>
      </c>
      <c r="AU27" s="30">
        <f t="shared" si="5"/>
        <v>36.519500000000001</v>
      </c>
    </row>
    <row r="28" spans="1:47" x14ac:dyDescent="0.25">
      <c r="A28">
        <v>3</v>
      </c>
      <c r="B28" t="s">
        <v>16</v>
      </c>
      <c r="C28">
        <v>27520</v>
      </c>
      <c r="D28">
        <v>32</v>
      </c>
      <c r="E28">
        <v>2</v>
      </c>
      <c r="F28">
        <v>8</v>
      </c>
      <c r="G28">
        <v>434.19</v>
      </c>
      <c r="H28" s="139">
        <v>32.005000000000003</v>
      </c>
      <c r="I28" s="33">
        <v>45608</v>
      </c>
      <c r="J28" s="37">
        <v>9.0509259259259258E-3</v>
      </c>
      <c r="K28">
        <v>0</v>
      </c>
      <c r="L28">
        <v>0</v>
      </c>
      <c r="M28">
        <v>0</v>
      </c>
      <c r="N28">
        <v>0</v>
      </c>
      <c r="O28">
        <v>0</v>
      </c>
      <c r="P28">
        <v>0</v>
      </c>
      <c r="Q28">
        <v>0</v>
      </c>
      <c r="R28">
        <v>0</v>
      </c>
      <c r="S28">
        <v>0</v>
      </c>
      <c r="T28">
        <v>0</v>
      </c>
      <c r="U28">
        <v>0</v>
      </c>
      <c r="V28">
        <v>0</v>
      </c>
      <c r="W28" s="30">
        <f t="shared" si="9"/>
        <v>32.001600000000003</v>
      </c>
      <c r="Y28">
        <v>3</v>
      </c>
      <c r="Z28" t="s">
        <v>16</v>
      </c>
      <c r="AA28">
        <v>27520</v>
      </c>
      <c r="AB28">
        <v>32</v>
      </c>
      <c r="AC28">
        <v>2</v>
      </c>
      <c r="AD28">
        <v>8</v>
      </c>
      <c r="AE28">
        <v>405.81</v>
      </c>
      <c r="AF28" s="139">
        <v>34.243000000000002</v>
      </c>
      <c r="AG28" s="33">
        <v>45612</v>
      </c>
      <c r="AH28" s="34">
        <v>0.94952546296296292</v>
      </c>
      <c r="AI28">
        <v>0</v>
      </c>
      <c r="AJ28">
        <v>0</v>
      </c>
      <c r="AK28">
        <v>0</v>
      </c>
      <c r="AL28">
        <v>0</v>
      </c>
      <c r="AM28">
        <v>0</v>
      </c>
      <c r="AN28">
        <v>0</v>
      </c>
      <c r="AO28">
        <v>0</v>
      </c>
      <c r="AP28">
        <v>0</v>
      </c>
      <c r="AQ28">
        <v>0</v>
      </c>
      <c r="AR28">
        <v>0</v>
      </c>
      <c r="AS28">
        <v>0</v>
      </c>
      <c r="AT28">
        <v>0</v>
      </c>
      <c r="AU28" s="30">
        <f t="shared" si="5"/>
        <v>36.519500000000001</v>
      </c>
    </row>
    <row r="29" spans="1:47" x14ac:dyDescent="0.25">
      <c r="A29">
        <v>4</v>
      </c>
      <c r="B29" t="s">
        <v>16</v>
      </c>
      <c r="C29">
        <v>27520</v>
      </c>
      <c r="D29">
        <v>32</v>
      </c>
      <c r="E29">
        <v>2</v>
      </c>
      <c r="F29">
        <v>8</v>
      </c>
      <c r="G29">
        <v>433.94</v>
      </c>
      <c r="H29" s="139">
        <v>32.023000000000003</v>
      </c>
      <c r="I29" s="33">
        <v>45608</v>
      </c>
      <c r="J29" s="37">
        <v>0.10175925925925926</v>
      </c>
      <c r="K29">
        <v>0</v>
      </c>
      <c r="L29">
        <v>0</v>
      </c>
      <c r="M29">
        <v>0</v>
      </c>
      <c r="N29">
        <v>0</v>
      </c>
      <c r="O29">
        <v>0</v>
      </c>
      <c r="P29">
        <v>0</v>
      </c>
      <c r="Q29">
        <v>0</v>
      </c>
      <c r="R29">
        <v>0</v>
      </c>
      <c r="S29">
        <v>0</v>
      </c>
      <c r="T29">
        <v>0</v>
      </c>
      <c r="U29">
        <v>0</v>
      </c>
      <c r="V29">
        <v>0</v>
      </c>
      <c r="W29" s="30">
        <f t="shared" si="9"/>
        <v>32.001600000000003</v>
      </c>
      <c r="Y29">
        <v>4</v>
      </c>
      <c r="Z29" t="s">
        <v>16</v>
      </c>
      <c r="AA29">
        <v>27520</v>
      </c>
      <c r="AB29">
        <v>32</v>
      </c>
      <c r="AC29">
        <v>2</v>
      </c>
      <c r="AD29">
        <v>8</v>
      </c>
      <c r="AU29" s="30">
        <f t="shared" si="5"/>
        <v>36.519500000000001</v>
      </c>
    </row>
    <row r="30" spans="1:47" x14ac:dyDescent="0.25">
      <c r="A30">
        <v>0</v>
      </c>
      <c r="B30" t="s">
        <v>16</v>
      </c>
      <c r="C30">
        <v>29056</v>
      </c>
      <c r="D30">
        <v>32</v>
      </c>
      <c r="E30">
        <v>2</v>
      </c>
      <c r="F30">
        <v>8</v>
      </c>
      <c r="G30">
        <v>506.89</v>
      </c>
      <c r="H30" s="139">
        <v>32.265000000000001</v>
      </c>
      <c r="I30" s="33">
        <v>45607</v>
      </c>
      <c r="J30" s="37">
        <v>0.41613425925925923</v>
      </c>
      <c r="K30">
        <v>0</v>
      </c>
      <c r="L30">
        <v>0</v>
      </c>
      <c r="M30">
        <v>0</v>
      </c>
      <c r="N30">
        <v>0</v>
      </c>
      <c r="O30">
        <v>0</v>
      </c>
      <c r="P30">
        <v>0</v>
      </c>
      <c r="Q30">
        <v>0</v>
      </c>
      <c r="R30">
        <v>0</v>
      </c>
      <c r="S30">
        <v>0</v>
      </c>
      <c r="T30">
        <v>0</v>
      </c>
      <c r="U30">
        <v>0</v>
      </c>
      <c r="V30">
        <v>0</v>
      </c>
      <c r="W30" s="30">
        <f t="shared" ref="W30" si="19">AVERAGE(H30:H34)</f>
        <v>32.257400000000004</v>
      </c>
      <c r="Y30">
        <v>0</v>
      </c>
      <c r="Z30" t="s">
        <v>16</v>
      </c>
      <c r="AA30">
        <v>29056</v>
      </c>
      <c r="AB30">
        <v>32</v>
      </c>
      <c r="AC30">
        <v>2</v>
      </c>
      <c r="AD30">
        <v>8</v>
      </c>
      <c r="AE30">
        <v>436.75</v>
      </c>
      <c r="AF30" s="139">
        <v>37.447000000000003</v>
      </c>
      <c r="AG30" s="33">
        <v>45608</v>
      </c>
      <c r="AH30" s="34">
        <v>0.83038194444444446</v>
      </c>
      <c r="AI30">
        <v>0</v>
      </c>
      <c r="AJ30">
        <v>0</v>
      </c>
      <c r="AK30">
        <v>0</v>
      </c>
      <c r="AL30">
        <v>0</v>
      </c>
      <c r="AM30">
        <v>0</v>
      </c>
      <c r="AN30">
        <v>0</v>
      </c>
      <c r="AO30">
        <v>0</v>
      </c>
      <c r="AP30">
        <v>0</v>
      </c>
      <c r="AQ30">
        <v>0</v>
      </c>
      <c r="AR30">
        <v>0</v>
      </c>
      <c r="AS30">
        <v>0</v>
      </c>
      <c r="AT30">
        <v>0</v>
      </c>
      <c r="AU30" s="30">
        <f t="shared" ref="AU30" si="20">AVERAGE(AF30:AF34)</f>
        <v>37.248333333333335</v>
      </c>
    </row>
    <row r="31" spans="1:47" x14ac:dyDescent="0.25">
      <c r="A31">
        <v>1</v>
      </c>
      <c r="B31" t="s">
        <v>16</v>
      </c>
      <c r="C31">
        <v>29056</v>
      </c>
      <c r="D31">
        <v>32</v>
      </c>
      <c r="E31">
        <v>2</v>
      </c>
      <c r="F31">
        <v>8</v>
      </c>
      <c r="G31">
        <v>506.95</v>
      </c>
      <c r="H31" s="139">
        <v>32.262</v>
      </c>
      <c r="I31" s="33">
        <v>45607</v>
      </c>
      <c r="J31" s="37">
        <v>0.69604166666666667</v>
      </c>
      <c r="K31">
        <v>0</v>
      </c>
      <c r="L31">
        <v>0</v>
      </c>
      <c r="M31">
        <v>0</v>
      </c>
      <c r="N31">
        <v>0</v>
      </c>
      <c r="O31">
        <v>0</v>
      </c>
      <c r="P31">
        <v>0</v>
      </c>
      <c r="Q31">
        <v>0</v>
      </c>
      <c r="R31">
        <v>0</v>
      </c>
      <c r="S31">
        <v>0</v>
      </c>
      <c r="T31">
        <v>0</v>
      </c>
      <c r="U31">
        <v>0</v>
      </c>
      <c r="V31">
        <v>0</v>
      </c>
      <c r="W31" s="30">
        <f t="shared" ref="W31" si="21">W30</f>
        <v>32.257400000000004</v>
      </c>
      <c r="Y31">
        <v>1</v>
      </c>
      <c r="Z31" t="s">
        <v>16</v>
      </c>
      <c r="AA31">
        <v>29056</v>
      </c>
      <c r="AB31">
        <v>32</v>
      </c>
      <c r="AC31">
        <v>2</v>
      </c>
      <c r="AD31">
        <v>8</v>
      </c>
      <c r="AE31">
        <v>435.7</v>
      </c>
      <c r="AF31" s="139">
        <v>37.536999999999999</v>
      </c>
      <c r="AG31" s="33">
        <v>45608</v>
      </c>
      <c r="AH31" s="34">
        <v>0.99181712962962965</v>
      </c>
      <c r="AI31">
        <v>0</v>
      </c>
      <c r="AJ31">
        <v>0</v>
      </c>
      <c r="AK31">
        <v>0</v>
      </c>
      <c r="AL31">
        <v>0</v>
      </c>
      <c r="AM31">
        <v>0</v>
      </c>
      <c r="AN31">
        <v>0</v>
      </c>
      <c r="AO31">
        <v>0</v>
      </c>
      <c r="AP31">
        <v>0</v>
      </c>
      <c r="AQ31">
        <v>0</v>
      </c>
      <c r="AR31">
        <v>0</v>
      </c>
      <c r="AS31">
        <v>0</v>
      </c>
      <c r="AT31">
        <v>0</v>
      </c>
      <c r="AU31" s="30">
        <f t="shared" ref="AU31" si="22">AU30</f>
        <v>37.248333333333335</v>
      </c>
    </row>
    <row r="32" spans="1:47" x14ac:dyDescent="0.25">
      <c r="A32">
        <v>2</v>
      </c>
      <c r="B32" t="s">
        <v>16</v>
      </c>
      <c r="C32">
        <v>29056</v>
      </c>
      <c r="D32">
        <v>32</v>
      </c>
      <c r="E32">
        <v>2</v>
      </c>
      <c r="F32">
        <v>8</v>
      </c>
      <c r="G32">
        <v>506.9</v>
      </c>
      <c r="H32" s="139">
        <v>32.265000000000001</v>
      </c>
      <c r="I32" s="33">
        <v>45607</v>
      </c>
      <c r="J32" s="37">
        <v>0.97501157407407413</v>
      </c>
      <c r="K32">
        <v>0</v>
      </c>
      <c r="L32">
        <v>0</v>
      </c>
      <c r="M32">
        <v>0</v>
      </c>
      <c r="N32">
        <v>0</v>
      </c>
      <c r="O32">
        <v>0</v>
      </c>
      <c r="P32">
        <v>0</v>
      </c>
      <c r="Q32">
        <v>0</v>
      </c>
      <c r="R32">
        <v>0</v>
      </c>
      <c r="S32">
        <v>0</v>
      </c>
      <c r="T32">
        <v>0</v>
      </c>
      <c r="U32">
        <v>0</v>
      </c>
      <c r="V32">
        <v>0</v>
      </c>
      <c r="W32" s="30">
        <f t="shared" si="13"/>
        <v>32.257400000000004</v>
      </c>
      <c r="Y32">
        <v>2</v>
      </c>
      <c r="Z32" t="s">
        <v>16</v>
      </c>
      <c r="AA32">
        <v>29056</v>
      </c>
      <c r="AB32">
        <v>32</v>
      </c>
      <c r="AC32">
        <v>2</v>
      </c>
      <c r="AD32">
        <v>8</v>
      </c>
      <c r="AE32">
        <v>444.9</v>
      </c>
      <c r="AF32" s="139">
        <v>36.761000000000003</v>
      </c>
      <c r="AG32" s="33">
        <v>45612</v>
      </c>
      <c r="AH32" s="34">
        <v>0.74219907407407404</v>
      </c>
      <c r="AI32">
        <v>0</v>
      </c>
      <c r="AJ32">
        <v>0</v>
      </c>
      <c r="AK32">
        <v>0</v>
      </c>
      <c r="AL32">
        <v>0</v>
      </c>
      <c r="AM32">
        <v>0</v>
      </c>
      <c r="AN32">
        <v>0</v>
      </c>
      <c r="AO32">
        <v>0</v>
      </c>
      <c r="AP32">
        <v>0</v>
      </c>
      <c r="AQ32">
        <v>0</v>
      </c>
      <c r="AR32">
        <v>0</v>
      </c>
      <c r="AS32">
        <v>0</v>
      </c>
      <c r="AT32">
        <v>0</v>
      </c>
      <c r="AU32" s="30">
        <f t="shared" si="5"/>
        <v>37.248333333333335</v>
      </c>
    </row>
    <row r="33" spans="1:47" x14ac:dyDescent="0.25">
      <c r="A33">
        <v>3</v>
      </c>
      <c r="B33" t="s">
        <v>16</v>
      </c>
      <c r="C33">
        <v>29056</v>
      </c>
      <c r="D33">
        <v>32</v>
      </c>
      <c r="E33">
        <v>2</v>
      </c>
      <c r="F33">
        <v>8</v>
      </c>
      <c r="G33">
        <v>507.13</v>
      </c>
      <c r="H33" s="139">
        <v>32.25</v>
      </c>
      <c r="I33" s="33">
        <v>45608</v>
      </c>
      <c r="J33" s="37">
        <v>6.7812499999999998E-2</v>
      </c>
      <c r="K33">
        <v>0</v>
      </c>
      <c r="L33">
        <v>0</v>
      </c>
      <c r="M33">
        <v>0</v>
      </c>
      <c r="N33">
        <v>0</v>
      </c>
      <c r="O33">
        <v>0</v>
      </c>
      <c r="P33">
        <v>0</v>
      </c>
      <c r="Q33">
        <v>0</v>
      </c>
      <c r="R33">
        <v>0</v>
      </c>
      <c r="S33">
        <v>0</v>
      </c>
      <c r="T33">
        <v>0</v>
      </c>
      <c r="U33">
        <v>0</v>
      </c>
      <c r="V33">
        <v>0</v>
      </c>
      <c r="W33" s="30">
        <f t="shared" si="13"/>
        <v>32.257400000000004</v>
      </c>
      <c r="Y33">
        <v>3</v>
      </c>
      <c r="Z33" t="s">
        <v>16</v>
      </c>
      <c r="AA33">
        <v>29056</v>
      </c>
      <c r="AB33">
        <v>32</v>
      </c>
      <c r="AC33">
        <v>2</v>
      </c>
      <c r="AD33">
        <v>8</v>
      </c>
      <c r="AU33" s="30">
        <f t="shared" si="5"/>
        <v>37.248333333333335</v>
      </c>
    </row>
    <row r="34" spans="1:47" x14ac:dyDescent="0.25">
      <c r="A34">
        <v>4</v>
      </c>
      <c r="B34" t="s">
        <v>16</v>
      </c>
      <c r="C34">
        <v>29056</v>
      </c>
      <c r="D34">
        <v>32</v>
      </c>
      <c r="E34">
        <v>2</v>
      </c>
      <c r="F34">
        <v>8</v>
      </c>
      <c r="G34">
        <v>507.2</v>
      </c>
      <c r="H34" s="139">
        <v>32.244999999999997</v>
      </c>
      <c r="I34" s="33">
        <v>45608</v>
      </c>
      <c r="J34" s="37">
        <v>0.16049768518518517</v>
      </c>
      <c r="K34">
        <v>0</v>
      </c>
      <c r="L34">
        <v>0</v>
      </c>
      <c r="M34">
        <v>0</v>
      </c>
      <c r="N34">
        <v>0</v>
      </c>
      <c r="O34">
        <v>0</v>
      </c>
      <c r="P34">
        <v>0</v>
      </c>
      <c r="Q34">
        <v>0</v>
      </c>
      <c r="R34">
        <v>0</v>
      </c>
      <c r="S34">
        <v>0</v>
      </c>
      <c r="T34">
        <v>0</v>
      </c>
      <c r="U34">
        <v>0</v>
      </c>
      <c r="V34">
        <v>0</v>
      </c>
      <c r="W34" s="30">
        <f t="shared" si="13"/>
        <v>32.257400000000004</v>
      </c>
      <c r="Y34">
        <v>4</v>
      </c>
      <c r="Z34" t="s">
        <v>16</v>
      </c>
      <c r="AA34">
        <v>29056</v>
      </c>
      <c r="AB34">
        <v>32</v>
      </c>
      <c r="AC34">
        <v>2</v>
      </c>
      <c r="AD34">
        <v>8</v>
      </c>
      <c r="AU34" s="30">
        <f t="shared" si="5"/>
        <v>37.248333333333335</v>
      </c>
    </row>
    <row r="35" spans="1:47" x14ac:dyDescent="0.25">
      <c r="A35">
        <v>0</v>
      </c>
      <c r="B35" t="s">
        <v>16</v>
      </c>
      <c r="C35">
        <v>25984</v>
      </c>
      <c r="D35">
        <v>32</v>
      </c>
      <c r="E35">
        <v>4</v>
      </c>
      <c r="F35">
        <v>4</v>
      </c>
      <c r="G35">
        <v>391.12</v>
      </c>
      <c r="H35" s="139">
        <v>29.905000000000001</v>
      </c>
      <c r="I35" s="33">
        <v>45607</v>
      </c>
      <c r="J35" s="37">
        <v>0.39129629629629631</v>
      </c>
      <c r="K35">
        <v>0</v>
      </c>
      <c r="L35">
        <v>0</v>
      </c>
      <c r="M35">
        <v>0</v>
      </c>
      <c r="N35">
        <v>0</v>
      </c>
      <c r="O35">
        <v>0</v>
      </c>
      <c r="P35">
        <v>0</v>
      </c>
      <c r="Q35">
        <v>0</v>
      </c>
      <c r="R35">
        <v>0</v>
      </c>
      <c r="S35">
        <v>0</v>
      </c>
      <c r="T35">
        <v>0</v>
      </c>
      <c r="U35">
        <v>0</v>
      </c>
      <c r="V35">
        <v>0</v>
      </c>
      <c r="W35" s="30">
        <f t="shared" ref="W35" si="23">AVERAGE(H35:H39)</f>
        <v>29.929600000000001</v>
      </c>
      <c r="Y35">
        <v>0</v>
      </c>
      <c r="Z35" t="s">
        <v>16</v>
      </c>
      <c r="AA35">
        <v>25984</v>
      </c>
      <c r="AB35">
        <v>32</v>
      </c>
      <c r="AC35">
        <v>4</v>
      </c>
      <c r="AD35">
        <v>4</v>
      </c>
      <c r="AE35">
        <v>338.86</v>
      </c>
      <c r="AF35" s="139">
        <v>34.518000000000001</v>
      </c>
      <c r="AG35" s="33">
        <v>45608</v>
      </c>
      <c r="AH35" s="34">
        <v>0.80585648148148148</v>
      </c>
      <c r="AI35">
        <v>0</v>
      </c>
      <c r="AJ35">
        <v>0</v>
      </c>
      <c r="AK35">
        <v>0</v>
      </c>
      <c r="AL35">
        <v>0</v>
      </c>
      <c r="AM35">
        <v>0</v>
      </c>
      <c r="AN35">
        <v>0</v>
      </c>
      <c r="AO35">
        <v>0</v>
      </c>
      <c r="AP35">
        <v>0</v>
      </c>
      <c r="AQ35">
        <v>0</v>
      </c>
      <c r="AR35">
        <v>0</v>
      </c>
      <c r="AS35">
        <v>0</v>
      </c>
      <c r="AT35">
        <v>0</v>
      </c>
      <c r="AU35" s="30">
        <f t="shared" ref="AU35" si="24">AVERAGE(AF35:AF39)</f>
        <v>34.479999999999997</v>
      </c>
    </row>
    <row r="36" spans="1:47" x14ac:dyDescent="0.25">
      <c r="A36">
        <v>1</v>
      </c>
      <c r="B36" t="s">
        <v>16</v>
      </c>
      <c r="C36">
        <v>25984</v>
      </c>
      <c r="D36">
        <v>32</v>
      </c>
      <c r="E36">
        <v>4</v>
      </c>
      <c r="F36">
        <v>4</v>
      </c>
      <c r="G36">
        <v>390.71</v>
      </c>
      <c r="H36" s="139">
        <v>29.937000000000001</v>
      </c>
      <c r="I36" s="33">
        <v>45607</v>
      </c>
      <c r="J36" s="37">
        <v>0.6711921296296296</v>
      </c>
      <c r="K36">
        <v>0</v>
      </c>
      <c r="L36">
        <v>0</v>
      </c>
      <c r="M36">
        <v>0</v>
      </c>
      <c r="N36">
        <v>0</v>
      </c>
      <c r="O36">
        <v>0</v>
      </c>
      <c r="P36">
        <v>0</v>
      </c>
      <c r="Q36">
        <v>0</v>
      </c>
      <c r="R36">
        <v>0</v>
      </c>
      <c r="S36">
        <v>0</v>
      </c>
      <c r="T36">
        <v>0</v>
      </c>
      <c r="U36">
        <v>0</v>
      </c>
      <c r="V36">
        <v>0</v>
      </c>
      <c r="W36" s="30">
        <f t="shared" ref="W36" si="25">W35</f>
        <v>29.929600000000001</v>
      </c>
      <c r="Y36">
        <v>1</v>
      </c>
      <c r="Z36" t="s">
        <v>16</v>
      </c>
      <c r="AA36">
        <v>25984</v>
      </c>
      <c r="AB36">
        <v>32</v>
      </c>
      <c r="AC36">
        <v>4</v>
      </c>
      <c r="AD36">
        <v>4</v>
      </c>
      <c r="AE36">
        <v>338.86</v>
      </c>
      <c r="AF36" s="139">
        <v>34.518000000000001</v>
      </c>
      <c r="AG36" s="33">
        <v>45608</v>
      </c>
      <c r="AH36" s="34">
        <v>0.96732638888888889</v>
      </c>
      <c r="AI36">
        <v>0</v>
      </c>
      <c r="AJ36">
        <v>0</v>
      </c>
      <c r="AK36">
        <v>0</v>
      </c>
      <c r="AL36">
        <v>0</v>
      </c>
      <c r="AM36">
        <v>0</v>
      </c>
      <c r="AN36">
        <v>0</v>
      </c>
      <c r="AO36">
        <v>0</v>
      </c>
      <c r="AP36">
        <v>0</v>
      </c>
      <c r="AQ36">
        <v>0</v>
      </c>
      <c r="AR36">
        <v>0</v>
      </c>
      <c r="AS36">
        <v>0</v>
      </c>
      <c r="AT36">
        <v>0</v>
      </c>
      <c r="AU36" s="30">
        <f t="shared" ref="AU36:AU99" si="26">AU35</f>
        <v>34.479999999999997</v>
      </c>
    </row>
    <row r="37" spans="1:47" x14ac:dyDescent="0.25">
      <c r="A37">
        <v>2</v>
      </c>
      <c r="B37" t="s">
        <v>16</v>
      </c>
      <c r="C37">
        <v>25984</v>
      </c>
      <c r="D37">
        <v>32</v>
      </c>
      <c r="E37">
        <v>4</v>
      </c>
      <c r="F37">
        <v>4</v>
      </c>
      <c r="G37">
        <v>390.62</v>
      </c>
      <c r="H37" s="139">
        <v>29.943999999999999</v>
      </c>
      <c r="I37" s="33">
        <v>45607</v>
      </c>
      <c r="J37" s="37">
        <v>0.95015046296296302</v>
      </c>
      <c r="K37">
        <v>0</v>
      </c>
      <c r="L37">
        <v>0</v>
      </c>
      <c r="M37">
        <v>0</v>
      </c>
      <c r="N37">
        <v>0</v>
      </c>
      <c r="O37">
        <v>0</v>
      </c>
      <c r="P37">
        <v>0</v>
      </c>
      <c r="Q37">
        <v>0</v>
      </c>
      <c r="R37">
        <v>0</v>
      </c>
      <c r="S37">
        <v>0</v>
      </c>
      <c r="T37">
        <v>0</v>
      </c>
      <c r="U37">
        <v>0</v>
      </c>
      <c r="V37">
        <v>0</v>
      </c>
      <c r="W37" s="30">
        <f t="shared" si="9"/>
        <v>29.929600000000001</v>
      </c>
      <c r="Y37">
        <v>2</v>
      </c>
      <c r="Z37" t="s">
        <v>16</v>
      </c>
      <c r="AA37">
        <v>25984</v>
      </c>
      <c r="AB37">
        <v>32</v>
      </c>
      <c r="AC37">
        <v>4</v>
      </c>
      <c r="AD37">
        <v>4</v>
      </c>
      <c r="AE37">
        <v>339.98</v>
      </c>
      <c r="AF37" s="139">
        <v>34.404000000000003</v>
      </c>
      <c r="AG37" s="33">
        <v>45609</v>
      </c>
      <c r="AH37" s="34">
        <v>5.8333333333333334E-2</v>
      </c>
      <c r="AI37">
        <v>0</v>
      </c>
      <c r="AJ37">
        <v>0</v>
      </c>
      <c r="AK37">
        <v>0</v>
      </c>
      <c r="AL37">
        <v>0</v>
      </c>
      <c r="AM37">
        <v>0</v>
      </c>
      <c r="AN37">
        <v>0</v>
      </c>
      <c r="AO37">
        <v>0</v>
      </c>
      <c r="AP37">
        <v>0</v>
      </c>
      <c r="AQ37">
        <v>0</v>
      </c>
      <c r="AR37">
        <v>0</v>
      </c>
      <c r="AS37">
        <v>0</v>
      </c>
      <c r="AT37">
        <v>0</v>
      </c>
      <c r="AU37" s="30">
        <f t="shared" si="26"/>
        <v>34.479999999999997</v>
      </c>
    </row>
    <row r="38" spans="1:47" x14ac:dyDescent="0.25">
      <c r="A38">
        <v>3</v>
      </c>
      <c r="B38" t="s">
        <v>16</v>
      </c>
      <c r="C38">
        <v>25984</v>
      </c>
      <c r="D38">
        <v>32</v>
      </c>
      <c r="E38">
        <v>4</v>
      </c>
      <c r="F38">
        <v>4</v>
      </c>
      <c r="G38">
        <v>391.34</v>
      </c>
      <c r="H38" s="139">
        <v>29.888999999999999</v>
      </c>
      <c r="I38" s="33">
        <v>45608</v>
      </c>
      <c r="J38" s="37">
        <v>4.296296296296296E-2</v>
      </c>
      <c r="K38">
        <v>0</v>
      </c>
      <c r="L38">
        <v>0</v>
      </c>
      <c r="M38">
        <v>0</v>
      </c>
      <c r="N38">
        <v>0</v>
      </c>
      <c r="O38">
        <v>0</v>
      </c>
      <c r="P38">
        <v>0</v>
      </c>
      <c r="Q38">
        <v>0</v>
      </c>
      <c r="R38">
        <v>0</v>
      </c>
      <c r="S38">
        <v>0</v>
      </c>
      <c r="T38">
        <v>0</v>
      </c>
      <c r="U38">
        <v>0</v>
      </c>
      <c r="V38">
        <v>0</v>
      </c>
      <c r="W38" s="30">
        <f t="shared" si="9"/>
        <v>29.929600000000001</v>
      </c>
      <c r="Y38">
        <v>3</v>
      </c>
      <c r="Z38" t="s">
        <v>16</v>
      </c>
      <c r="AA38">
        <v>25984</v>
      </c>
      <c r="AB38">
        <v>32</v>
      </c>
      <c r="AC38">
        <v>4</v>
      </c>
      <c r="AD38">
        <v>4</v>
      </c>
      <c r="AU38" s="30">
        <f t="shared" si="26"/>
        <v>34.479999999999997</v>
      </c>
    </row>
    <row r="39" spans="1:47" x14ac:dyDescent="0.25">
      <c r="A39">
        <v>4</v>
      </c>
      <c r="B39" t="s">
        <v>16</v>
      </c>
      <c r="C39">
        <v>25984</v>
      </c>
      <c r="D39">
        <v>32</v>
      </c>
      <c r="E39">
        <v>4</v>
      </c>
      <c r="F39">
        <v>4</v>
      </c>
      <c r="G39">
        <v>390.24</v>
      </c>
      <c r="H39" s="139">
        <v>29.972999999999999</v>
      </c>
      <c r="I39" s="33">
        <v>45608</v>
      </c>
      <c r="J39" s="37">
        <v>0.13565972222222222</v>
      </c>
      <c r="K39">
        <v>0</v>
      </c>
      <c r="L39">
        <v>0</v>
      </c>
      <c r="M39">
        <v>0</v>
      </c>
      <c r="N39">
        <v>0</v>
      </c>
      <c r="O39">
        <v>0</v>
      </c>
      <c r="P39">
        <v>0</v>
      </c>
      <c r="Q39">
        <v>0</v>
      </c>
      <c r="R39">
        <v>0</v>
      </c>
      <c r="S39">
        <v>0</v>
      </c>
      <c r="T39">
        <v>0</v>
      </c>
      <c r="U39">
        <v>0</v>
      </c>
      <c r="V39">
        <v>0</v>
      </c>
      <c r="W39" s="30">
        <f t="shared" si="9"/>
        <v>29.929600000000001</v>
      </c>
      <c r="Y39">
        <v>4</v>
      </c>
      <c r="Z39" t="s">
        <v>16</v>
      </c>
      <c r="AA39">
        <v>25984</v>
      </c>
      <c r="AB39">
        <v>32</v>
      </c>
      <c r="AC39">
        <v>4</v>
      </c>
      <c r="AD39">
        <v>4</v>
      </c>
      <c r="AU39" s="30">
        <f t="shared" si="26"/>
        <v>34.479999999999997</v>
      </c>
    </row>
    <row r="40" spans="1:47" x14ac:dyDescent="0.25">
      <c r="A40">
        <v>0</v>
      </c>
      <c r="B40" t="s">
        <v>16</v>
      </c>
      <c r="C40">
        <v>27520</v>
      </c>
      <c r="D40">
        <v>32</v>
      </c>
      <c r="E40">
        <v>4</v>
      </c>
      <c r="F40">
        <v>4</v>
      </c>
      <c r="G40">
        <v>455.36</v>
      </c>
      <c r="H40" s="139">
        <v>30.516999999999999</v>
      </c>
      <c r="I40" s="33">
        <v>45607</v>
      </c>
      <c r="J40" s="37">
        <v>0.36287037037037034</v>
      </c>
      <c r="K40">
        <v>0</v>
      </c>
      <c r="L40">
        <v>0</v>
      </c>
      <c r="M40">
        <v>0</v>
      </c>
      <c r="N40">
        <v>0</v>
      </c>
      <c r="O40">
        <v>0</v>
      </c>
      <c r="P40">
        <v>0</v>
      </c>
      <c r="Q40">
        <v>0</v>
      </c>
      <c r="R40">
        <v>0</v>
      </c>
      <c r="S40">
        <v>0</v>
      </c>
      <c r="T40">
        <v>0</v>
      </c>
      <c r="U40">
        <v>0</v>
      </c>
      <c r="V40">
        <v>0</v>
      </c>
      <c r="W40" s="30">
        <f t="shared" ref="W40" si="27">AVERAGE(H40:H44)</f>
        <v>30.479200000000002</v>
      </c>
      <c r="Y40">
        <v>0</v>
      </c>
      <c r="Z40" t="s">
        <v>16</v>
      </c>
      <c r="AA40">
        <v>27520</v>
      </c>
      <c r="AB40">
        <v>32</v>
      </c>
      <c r="AC40">
        <v>4</v>
      </c>
      <c r="AD40">
        <v>4</v>
      </c>
      <c r="AE40">
        <v>395.33</v>
      </c>
      <c r="AF40" s="139">
        <v>35.151000000000003</v>
      </c>
      <c r="AG40" s="33">
        <v>45608</v>
      </c>
      <c r="AH40" s="34">
        <v>0.77787037037037032</v>
      </c>
      <c r="AI40">
        <v>0</v>
      </c>
      <c r="AJ40">
        <v>0</v>
      </c>
      <c r="AK40">
        <v>0</v>
      </c>
      <c r="AL40">
        <v>0</v>
      </c>
      <c r="AM40">
        <v>0</v>
      </c>
      <c r="AN40">
        <v>0</v>
      </c>
      <c r="AO40">
        <v>0</v>
      </c>
      <c r="AP40">
        <v>0</v>
      </c>
      <c r="AQ40">
        <v>0</v>
      </c>
      <c r="AR40">
        <v>0</v>
      </c>
      <c r="AS40">
        <v>0</v>
      </c>
      <c r="AT40">
        <v>0</v>
      </c>
      <c r="AU40" s="30">
        <f t="shared" ref="AU40:AU100" si="28">AVERAGE(AF40:AF44)</f>
        <v>35.119</v>
      </c>
    </row>
    <row r="41" spans="1:47" x14ac:dyDescent="0.25">
      <c r="A41">
        <v>1</v>
      </c>
      <c r="B41" t="s">
        <v>16</v>
      </c>
      <c r="C41">
        <v>27520</v>
      </c>
      <c r="D41">
        <v>32</v>
      </c>
      <c r="E41">
        <v>4</v>
      </c>
      <c r="F41">
        <v>4</v>
      </c>
      <c r="G41">
        <v>455.64</v>
      </c>
      <c r="H41" s="139">
        <v>30.498000000000001</v>
      </c>
      <c r="I41" s="33">
        <v>45607</v>
      </c>
      <c r="J41" s="37">
        <v>0.45560185185185187</v>
      </c>
      <c r="K41">
        <v>0</v>
      </c>
      <c r="L41">
        <v>0</v>
      </c>
      <c r="M41">
        <v>0</v>
      </c>
      <c r="N41">
        <v>0</v>
      </c>
      <c r="O41">
        <v>0</v>
      </c>
      <c r="P41">
        <v>0</v>
      </c>
      <c r="Q41">
        <v>0</v>
      </c>
      <c r="R41">
        <v>0</v>
      </c>
      <c r="S41">
        <v>0</v>
      </c>
      <c r="T41">
        <v>0</v>
      </c>
      <c r="U41">
        <v>0</v>
      </c>
      <c r="V41">
        <v>0</v>
      </c>
      <c r="W41" s="30">
        <f t="shared" ref="W41" si="29">W40</f>
        <v>30.479200000000002</v>
      </c>
      <c r="Y41">
        <v>1</v>
      </c>
      <c r="Z41" t="s">
        <v>16</v>
      </c>
      <c r="AA41">
        <v>27520</v>
      </c>
      <c r="AB41">
        <v>32</v>
      </c>
      <c r="AC41">
        <v>4</v>
      </c>
      <c r="AD41">
        <v>4</v>
      </c>
      <c r="AE41">
        <v>395.45</v>
      </c>
      <c r="AF41" s="139">
        <v>35.14</v>
      </c>
      <c r="AG41" s="33">
        <v>45608</v>
      </c>
      <c r="AH41" s="34">
        <v>0.93934027777777773</v>
      </c>
      <c r="AI41">
        <v>0</v>
      </c>
      <c r="AJ41">
        <v>0</v>
      </c>
      <c r="AK41">
        <v>0</v>
      </c>
      <c r="AL41">
        <v>0</v>
      </c>
      <c r="AM41">
        <v>0</v>
      </c>
      <c r="AN41">
        <v>0</v>
      </c>
      <c r="AO41">
        <v>0</v>
      </c>
      <c r="AP41">
        <v>0</v>
      </c>
      <c r="AQ41">
        <v>0</v>
      </c>
      <c r="AR41">
        <v>0</v>
      </c>
      <c r="AS41">
        <v>0</v>
      </c>
      <c r="AT41">
        <v>0</v>
      </c>
      <c r="AU41" s="30">
        <f t="shared" ref="AU41:AU104" si="30">AU40</f>
        <v>35.119</v>
      </c>
    </row>
    <row r="42" spans="1:47" x14ac:dyDescent="0.25">
      <c r="A42">
        <v>2</v>
      </c>
      <c r="B42" t="s">
        <v>16</v>
      </c>
      <c r="C42">
        <v>27520</v>
      </c>
      <c r="D42">
        <v>32</v>
      </c>
      <c r="E42">
        <v>4</v>
      </c>
      <c r="F42">
        <v>4</v>
      </c>
      <c r="G42">
        <v>456.32</v>
      </c>
      <c r="H42" s="139">
        <v>30.452000000000002</v>
      </c>
      <c r="I42" s="33">
        <v>45607</v>
      </c>
      <c r="J42" s="37">
        <v>0.90145833333333336</v>
      </c>
      <c r="K42">
        <v>0</v>
      </c>
      <c r="L42">
        <v>0</v>
      </c>
      <c r="M42">
        <v>0</v>
      </c>
      <c r="N42">
        <v>0</v>
      </c>
      <c r="O42">
        <v>0</v>
      </c>
      <c r="P42">
        <v>0</v>
      </c>
      <c r="Q42">
        <v>0</v>
      </c>
      <c r="R42">
        <v>0</v>
      </c>
      <c r="S42">
        <v>0</v>
      </c>
      <c r="T42">
        <v>0</v>
      </c>
      <c r="U42">
        <v>0</v>
      </c>
      <c r="V42">
        <v>0</v>
      </c>
      <c r="W42" s="30">
        <f t="shared" si="13"/>
        <v>30.479200000000002</v>
      </c>
      <c r="Y42">
        <v>2</v>
      </c>
      <c r="Z42" t="s">
        <v>16</v>
      </c>
      <c r="AA42">
        <v>27520</v>
      </c>
      <c r="AB42">
        <v>32</v>
      </c>
      <c r="AC42">
        <v>4</v>
      </c>
      <c r="AD42">
        <v>4</v>
      </c>
      <c r="AE42">
        <v>396.34</v>
      </c>
      <c r="AF42" s="139">
        <v>35.061</v>
      </c>
      <c r="AG42" s="33">
        <v>45609</v>
      </c>
      <c r="AH42" s="34">
        <v>3.033564814814815E-2</v>
      </c>
      <c r="AI42">
        <v>0</v>
      </c>
      <c r="AJ42">
        <v>0</v>
      </c>
      <c r="AK42">
        <v>0</v>
      </c>
      <c r="AL42">
        <v>0</v>
      </c>
      <c r="AM42">
        <v>0</v>
      </c>
      <c r="AN42">
        <v>0</v>
      </c>
      <c r="AO42">
        <v>0</v>
      </c>
      <c r="AP42">
        <v>0</v>
      </c>
      <c r="AQ42">
        <v>0</v>
      </c>
      <c r="AR42">
        <v>0</v>
      </c>
      <c r="AS42">
        <v>0</v>
      </c>
      <c r="AT42">
        <v>0</v>
      </c>
      <c r="AU42" s="30">
        <f t="shared" si="30"/>
        <v>35.119</v>
      </c>
    </row>
    <row r="43" spans="1:47" x14ac:dyDescent="0.25">
      <c r="A43">
        <v>3</v>
      </c>
      <c r="B43" t="s">
        <v>16</v>
      </c>
      <c r="C43">
        <v>27520</v>
      </c>
      <c r="D43">
        <v>32</v>
      </c>
      <c r="E43">
        <v>4</v>
      </c>
      <c r="F43">
        <v>4</v>
      </c>
      <c r="G43">
        <v>456.5</v>
      </c>
      <c r="H43" s="139">
        <v>30.440999999999999</v>
      </c>
      <c r="I43" s="33">
        <v>45608</v>
      </c>
      <c r="J43" s="37">
        <v>1.4537037037037038E-2</v>
      </c>
      <c r="K43">
        <v>0</v>
      </c>
      <c r="L43">
        <v>0</v>
      </c>
      <c r="M43">
        <v>0</v>
      </c>
      <c r="N43">
        <v>0</v>
      </c>
      <c r="O43">
        <v>0</v>
      </c>
      <c r="P43">
        <v>0</v>
      </c>
      <c r="Q43">
        <v>0</v>
      </c>
      <c r="R43">
        <v>0</v>
      </c>
      <c r="S43">
        <v>0</v>
      </c>
      <c r="T43">
        <v>0</v>
      </c>
      <c r="U43">
        <v>0</v>
      </c>
      <c r="V43">
        <v>0</v>
      </c>
      <c r="W43" s="30">
        <f t="shared" si="13"/>
        <v>30.479200000000002</v>
      </c>
      <c r="Y43">
        <v>3</v>
      </c>
      <c r="Z43" t="s">
        <v>16</v>
      </c>
      <c r="AA43">
        <v>27520</v>
      </c>
      <c r="AB43">
        <v>32</v>
      </c>
      <c r="AC43">
        <v>4</v>
      </c>
      <c r="AD43">
        <v>4</v>
      </c>
      <c r="AE43">
        <v>395.63</v>
      </c>
      <c r="AF43" s="139">
        <v>35.124000000000002</v>
      </c>
      <c r="AG43" s="33">
        <v>45612</v>
      </c>
      <c r="AH43" s="34">
        <v>0.95476851851851852</v>
      </c>
      <c r="AI43">
        <v>0</v>
      </c>
      <c r="AJ43">
        <v>0</v>
      </c>
      <c r="AK43">
        <v>0</v>
      </c>
      <c r="AL43">
        <v>0</v>
      </c>
      <c r="AM43">
        <v>0</v>
      </c>
      <c r="AN43">
        <v>0</v>
      </c>
      <c r="AO43">
        <v>0</v>
      </c>
      <c r="AP43">
        <v>0</v>
      </c>
      <c r="AQ43">
        <v>0</v>
      </c>
      <c r="AR43">
        <v>0</v>
      </c>
      <c r="AS43">
        <v>0</v>
      </c>
      <c r="AT43">
        <v>0</v>
      </c>
      <c r="AU43" s="30">
        <f t="shared" si="30"/>
        <v>35.119</v>
      </c>
    </row>
    <row r="44" spans="1:47" x14ac:dyDescent="0.25">
      <c r="A44">
        <v>4</v>
      </c>
      <c r="B44" t="s">
        <v>16</v>
      </c>
      <c r="C44">
        <v>27520</v>
      </c>
      <c r="D44">
        <v>32</v>
      </c>
      <c r="E44">
        <v>4</v>
      </c>
      <c r="F44">
        <v>4</v>
      </c>
      <c r="G44">
        <v>455.78</v>
      </c>
      <c r="H44" s="139">
        <v>30.488</v>
      </c>
      <c r="I44" s="33">
        <v>45608</v>
      </c>
      <c r="J44" s="37">
        <v>0.1072337962962963</v>
      </c>
      <c r="K44">
        <v>0</v>
      </c>
      <c r="L44">
        <v>0</v>
      </c>
      <c r="M44">
        <v>0</v>
      </c>
      <c r="N44">
        <v>0</v>
      </c>
      <c r="O44">
        <v>0</v>
      </c>
      <c r="P44">
        <v>0</v>
      </c>
      <c r="Q44">
        <v>0</v>
      </c>
      <c r="R44">
        <v>0</v>
      </c>
      <c r="S44">
        <v>0</v>
      </c>
      <c r="T44">
        <v>0</v>
      </c>
      <c r="U44">
        <v>0</v>
      </c>
      <c r="V44">
        <v>0</v>
      </c>
      <c r="W44" s="30">
        <f t="shared" si="13"/>
        <v>30.479200000000002</v>
      </c>
      <c r="Y44">
        <v>4</v>
      </c>
      <c r="Z44" t="s">
        <v>16</v>
      </c>
      <c r="AA44">
        <v>27520</v>
      </c>
      <c r="AB44">
        <v>32</v>
      </c>
      <c r="AC44">
        <v>4</v>
      </c>
      <c r="AD44">
        <v>4</v>
      </c>
      <c r="AU44" s="30">
        <f t="shared" si="30"/>
        <v>35.119</v>
      </c>
    </row>
    <row r="45" spans="1:47" x14ac:dyDescent="0.25">
      <c r="A45">
        <v>0</v>
      </c>
      <c r="B45" t="s">
        <v>16</v>
      </c>
      <c r="C45">
        <v>29056</v>
      </c>
      <c r="D45">
        <v>32</v>
      </c>
      <c r="E45">
        <v>4</v>
      </c>
      <c r="F45">
        <v>4</v>
      </c>
      <c r="G45">
        <v>531.11</v>
      </c>
      <c r="H45" s="139">
        <v>30.794</v>
      </c>
      <c r="I45" s="33">
        <v>45607</v>
      </c>
      <c r="J45" s="37">
        <v>0.42249999999999999</v>
      </c>
      <c r="K45">
        <v>0</v>
      </c>
      <c r="L45">
        <v>0</v>
      </c>
      <c r="M45">
        <v>0</v>
      </c>
      <c r="N45">
        <v>0</v>
      </c>
      <c r="O45">
        <v>0</v>
      </c>
      <c r="P45">
        <v>0</v>
      </c>
      <c r="Q45">
        <v>0</v>
      </c>
      <c r="R45">
        <v>0</v>
      </c>
      <c r="S45">
        <v>0</v>
      </c>
      <c r="T45">
        <v>0</v>
      </c>
      <c r="U45">
        <v>0</v>
      </c>
      <c r="V45">
        <v>0</v>
      </c>
      <c r="W45" s="30">
        <f t="shared" ref="W45" si="31">AVERAGE(H45:H49)</f>
        <v>30.798199999999998</v>
      </c>
      <c r="Y45">
        <v>0</v>
      </c>
      <c r="Z45" t="s">
        <v>16</v>
      </c>
      <c r="AA45">
        <v>29056</v>
      </c>
      <c r="AB45">
        <v>32</v>
      </c>
      <c r="AC45">
        <v>4</v>
      </c>
      <c r="AD45">
        <v>4</v>
      </c>
      <c r="AE45">
        <v>460.49</v>
      </c>
      <c r="AF45" s="139">
        <v>35.515999999999998</v>
      </c>
      <c r="AG45" s="33">
        <v>45608</v>
      </c>
      <c r="AH45" s="34">
        <v>0.83644675925925926</v>
      </c>
      <c r="AI45">
        <v>0</v>
      </c>
      <c r="AJ45">
        <v>0</v>
      </c>
      <c r="AK45">
        <v>0</v>
      </c>
      <c r="AL45">
        <v>0</v>
      </c>
      <c r="AM45">
        <v>0</v>
      </c>
      <c r="AN45">
        <v>0</v>
      </c>
      <c r="AO45">
        <v>0</v>
      </c>
      <c r="AP45">
        <v>0</v>
      </c>
      <c r="AQ45">
        <v>0</v>
      </c>
      <c r="AR45">
        <v>0</v>
      </c>
      <c r="AS45">
        <v>0</v>
      </c>
      <c r="AT45">
        <v>0</v>
      </c>
      <c r="AU45" s="30">
        <f t="shared" ref="AU45:AU105" si="32">AVERAGE(AF45:AF49)</f>
        <v>35.536999999999999</v>
      </c>
    </row>
    <row r="46" spans="1:47" x14ac:dyDescent="0.25">
      <c r="A46">
        <v>1</v>
      </c>
      <c r="B46" t="s">
        <v>16</v>
      </c>
      <c r="C46">
        <v>29056</v>
      </c>
      <c r="D46">
        <v>32</v>
      </c>
      <c r="E46">
        <v>4</v>
      </c>
      <c r="F46">
        <v>4</v>
      </c>
      <c r="G46">
        <v>530.91999999999996</v>
      </c>
      <c r="H46" s="139">
        <v>30.805</v>
      </c>
      <c r="I46" s="33">
        <v>45607</v>
      </c>
      <c r="J46" s="37">
        <v>0.70240740740740737</v>
      </c>
      <c r="K46">
        <v>0</v>
      </c>
      <c r="L46">
        <v>0</v>
      </c>
      <c r="M46">
        <v>0</v>
      </c>
      <c r="N46">
        <v>0</v>
      </c>
      <c r="O46">
        <v>0</v>
      </c>
      <c r="P46">
        <v>0</v>
      </c>
      <c r="Q46">
        <v>0</v>
      </c>
      <c r="R46">
        <v>0</v>
      </c>
      <c r="S46">
        <v>0</v>
      </c>
      <c r="T46">
        <v>0</v>
      </c>
      <c r="U46">
        <v>0</v>
      </c>
      <c r="V46">
        <v>0</v>
      </c>
      <c r="W46" s="30">
        <f t="shared" ref="W46" si="33">W45</f>
        <v>30.798199999999998</v>
      </c>
      <c r="Y46">
        <v>1</v>
      </c>
      <c r="Z46" t="s">
        <v>16</v>
      </c>
      <c r="AA46">
        <v>29056</v>
      </c>
      <c r="AB46">
        <v>32</v>
      </c>
      <c r="AC46">
        <v>4</v>
      </c>
      <c r="AD46">
        <v>4</v>
      </c>
      <c r="AE46">
        <v>461.97</v>
      </c>
      <c r="AF46" s="139">
        <v>35.402999999999999</v>
      </c>
      <c r="AG46" s="33">
        <v>45608</v>
      </c>
      <c r="AH46" s="34">
        <v>0.99789351851851849</v>
      </c>
      <c r="AI46">
        <v>0</v>
      </c>
      <c r="AJ46">
        <v>0</v>
      </c>
      <c r="AK46">
        <v>0</v>
      </c>
      <c r="AL46">
        <v>0</v>
      </c>
      <c r="AM46">
        <v>0</v>
      </c>
      <c r="AN46">
        <v>0</v>
      </c>
      <c r="AO46">
        <v>0</v>
      </c>
      <c r="AP46">
        <v>0</v>
      </c>
      <c r="AQ46">
        <v>0</v>
      </c>
      <c r="AR46">
        <v>0</v>
      </c>
      <c r="AS46">
        <v>0</v>
      </c>
      <c r="AT46">
        <v>0</v>
      </c>
      <c r="AU46" s="30">
        <f t="shared" ref="AU46:AU109" si="34">AU45</f>
        <v>35.536999999999999</v>
      </c>
    </row>
    <row r="47" spans="1:47" x14ac:dyDescent="0.25">
      <c r="A47">
        <v>2</v>
      </c>
      <c r="B47" t="s">
        <v>16</v>
      </c>
      <c r="C47">
        <v>29056</v>
      </c>
      <c r="D47">
        <v>32</v>
      </c>
      <c r="E47">
        <v>4</v>
      </c>
      <c r="F47">
        <v>4</v>
      </c>
      <c r="G47">
        <v>531.34</v>
      </c>
      <c r="H47" s="139">
        <v>30.780999999999999</v>
      </c>
      <c r="I47" s="33">
        <v>45607</v>
      </c>
      <c r="J47" s="37">
        <v>0.98137731481481483</v>
      </c>
      <c r="K47">
        <v>0</v>
      </c>
      <c r="L47">
        <v>0</v>
      </c>
      <c r="M47">
        <v>0</v>
      </c>
      <c r="N47">
        <v>0</v>
      </c>
      <c r="O47">
        <v>0</v>
      </c>
      <c r="P47">
        <v>0</v>
      </c>
      <c r="Q47">
        <v>0</v>
      </c>
      <c r="R47">
        <v>0</v>
      </c>
      <c r="S47">
        <v>0</v>
      </c>
      <c r="T47">
        <v>0</v>
      </c>
      <c r="U47">
        <v>0</v>
      </c>
      <c r="V47">
        <v>0</v>
      </c>
      <c r="W47" s="30">
        <f t="shared" si="9"/>
        <v>30.798199999999998</v>
      </c>
      <c r="Y47">
        <v>2</v>
      </c>
      <c r="Z47" t="s">
        <v>16</v>
      </c>
      <c r="AA47">
        <v>29056</v>
      </c>
      <c r="AB47">
        <v>32</v>
      </c>
      <c r="AC47">
        <v>4</v>
      </c>
      <c r="AD47">
        <v>4</v>
      </c>
      <c r="AE47">
        <v>458.23</v>
      </c>
      <c r="AF47" s="139">
        <v>35.692</v>
      </c>
      <c r="AG47" s="33">
        <v>45612</v>
      </c>
      <c r="AH47" s="34">
        <v>0.74824074074074076</v>
      </c>
      <c r="AI47">
        <v>0</v>
      </c>
      <c r="AJ47">
        <v>0</v>
      </c>
      <c r="AK47">
        <v>0</v>
      </c>
      <c r="AL47">
        <v>0</v>
      </c>
      <c r="AM47">
        <v>0</v>
      </c>
      <c r="AN47">
        <v>0</v>
      </c>
      <c r="AO47">
        <v>0</v>
      </c>
      <c r="AP47">
        <v>0</v>
      </c>
      <c r="AQ47">
        <v>0</v>
      </c>
      <c r="AR47">
        <v>0</v>
      </c>
      <c r="AS47">
        <v>0</v>
      </c>
      <c r="AT47">
        <v>0</v>
      </c>
      <c r="AU47" s="30">
        <f t="shared" si="30"/>
        <v>35.536999999999999</v>
      </c>
    </row>
    <row r="48" spans="1:47" x14ac:dyDescent="0.25">
      <c r="A48">
        <v>3</v>
      </c>
      <c r="B48" t="s">
        <v>16</v>
      </c>
      <c r="C48">
        <v>29056</v>
      </c>
      <c r="D48">
        <v>32</v>
      </c>
      <c r="E48">
        <v>4</v>
      </c>
      <c r="F48">
        <v>4</v>
      </c>
      <c r="G48">
        <v>530.78</v>
      </c>
      <c r="H48" s="139">
        <v>30.812999999999999</v>
      </c>
      <c r="I48" s="33">
        <v>45608</v>
      </c>
      <c r="J48" s="37">
        <v>7.4178240740740739E-2</v>
      </c>
      <c r="K48">
        <v>0</v>
      </c>
      <c r="L48">
        <v>0</v>
      </c>
      <c r="M48">
        <v>0</v>
      </c>
      <c r="N48">
        <v>0</v>
      </c>
      <c r="O48">
        <v>0</v>
      </c>
      <c r="P48">
        <v>0</v>
      </c>
      <c r="Q48">
        <v>0</v>
      </c>
      <c r="R48">
        <v>0</v>
      </c>
      <c r="S48">
        <v>0</v>
      </c>
      <c r="T48">
        <v>0</v>
      </c>
      <c r="U48">
        <v>0</v>
      </c>
      <c r="V48">
        <v>0</v>
      </c>
      <c r="W48" s="30">
        <f t="shared" si="9"/>
        <v>30.798199999999998</v>
      </c>
      <c r="Y48">
        <v>3</v>
      </c>
      <c r="Z48" t="s">
        <v>16</v>
      </c>
      <c r="AA48">
        <v>29056</v>
      </c>
      <c r="AB48">
        <v>32</v>
      </c>
      <c r="AC48">
        <v>4</v>
      </c>
      <c r="AD48">
        <v>4</v>
      </c>
      <c r="AU48" s="30">
        <f t="shared" si="30"/>
        <v>35.536999999999999</v>
      </c>
    </row>
    <row r="49" spans="1:47" x14ac:dyDescent="0.25">
      <c r="A49">
        <v>4</v>
      </c>
      <c r="B49" t="s">
        <v>16</v>
      </c>
      <c r="C49">
        <v>29056</v>
      </c>
      <c r="D49">
        <v>32</v>
      </c>
      <c r="E49">
        <v>4</v>
      </c>
      <c r="F49">
        <v>4</v>
      </c>
      <c r="G49">
        <v>531.04999999999995</v>
      </c>
      <c r="H49" s="139">
        <v>30.797999999999998</v>
      </c>
      <c r="I49" s="33">
        <v>45608</v>
      </c>
      <c r="J49" s="37">
        <v>0.16686342592592593</v>
      </c>
      <c r="K49">
        <v>0</v>
      </c>
      <c r="L49">
        <v>0</v>
      </c>
      <c r="M49">
        <v>0</v>
      </c>
      <c r="N49">
        <v>0</v>
      </c>
      <c r="O49">
        <v>0</v>
      </c>
      <c r="P49">
        <v>0</v>
      </c>
      <c r="Q49">
        <v>0</v>
      </c>
      <c r="R49">
        <v>0</v>
      </c>
      <c r="S49">
        <v>0</v>
      </c>
      <c r="T49">
        <v>0</v>
      </c>
      <c r="U49">
        <v>0</v>
      </c>
      <c r="V49">
        <v>0</v>
      </c>
      <c r="W49" s="30">
        <f t="shared" si="9"/>
        <v>30.798199999999998</v>
      </c>
      <c r="Y49">
        <v>4</v>
      </c>
      <c r="Z49" t="s">
        <v>16</v>
      </c>
      <c r="AA49">
        <v>29056</v>
      </c>
      <c r="AB49">
        <v>32</v>
      </c>
      <c r="AC49">
        <v>4</v>
      </c>
      <c r="AD49">
        <v>4</v>
      </c>
      <c r="AU49" s="30">
        <f t="shared" si="30"/>
        <v>35.536999999999999</v>
      </c>
    </row>
    <row r="50" spans="1:47" x14ac:dyDescent="0.25">
      <c r="A50">
        <v>0</v>
      </c>
      <c r="B50" t="s">
        <v>16</v>
      </c>
      <c r="C50">
        <v>25984</v>
      </c>
      <c r="D50">
        <v>64</v>
      </c>
      <c r="E50">
        <v>1</v>
      </c>
      <c r="F50">
        <v>16</v>
      </c>
      <c r="G50">
        <v>341.7</v>
      </c>
      <c r="H50" s="139">
        <v>34.231000000000002</v>
      </c>
      <c r="I50" s="33">
        <v>45607</v>
      </c>
      <c r="J50" s="37">
        <v>0.39543981481481483</v>
      </c>
      <c r="K50">
        <v>0</v>
      </c>
      <c r="L50">
        <v>0</v>
      </c>
      <c r="M50">
        <v>0</v>
      </c>
      <c r="N50">
        <v>0</v>
      </c>
      <c r="O50">
        <v>0</v>
      </c>
      <c r="P50">
        <v>0</v>
      </c>
      <c r="Q50">
        <v>0</v>
      </c>
      <c r="R50">
        <v>0</v>
      </c>
      <c r="S50">
        <v>0</v>
      </c>
      <c r="T50">
        <v>0</v>
      </c>
      <c r="U50">
        <v>0</v>
      </c>
      <c r="V50">
        <v>0</v>
      </c>
      <c r="W50" s="30">
        <f t="shared" ref="W50" si="35">AVERAGE(H50:H54)</f>
        <v>34.211399999999998</v>
      </c>
      <c r="Y50">
        <v>0</v>
      </c>
      <c r="Z50" t="s">
        <v>16</v>
      </c>
      <c r="AA50">
        <v>25984</v>
      </c>
      <c r="AB50">
        <v>64</v>
      </c>
      <c r="AC50">
        <v>1</v>
      </c>
      <c r="AD50">
        <v>16</v>
      </c>
      <c r="AE50">
        <v>312.52999999999997</v>
      </c>
      <c r="AF50" s="139">
        <v>37.426000000000002</v>
      </c>
      <c r="AG50" s="33">
        <v>45608</v>
      </c>
      <c r="AH50" s="34">
        <v>0.8100694444444444</v>
      </c>
      <c r="AI50">
        <v>0</v>
      </c>
      <c r="AJ50">
        <v>0</v>
      </c>
      <c r="AK50">
        <v>0</v>
      </c>
      <c r="AL50">
        <v>0</v>
      </c>
      <c r="AM50">
        <v>0</v>
      </c>
      <c r="AN50">
        <v>0</v>
      </c>
      <c r="AO50">
        <v>0</v>
      </c>
      <c r="AP50">
        <v>0</v>
      </c>
      <c r="AQ50">
        <v>0</v>
      </c>
      <c r="AR50">
        <v>0</v>
      </c>
      <c r="AS50">
        <v>0</v>
      </c>
      <c r="AT50">
        <v>0</v>
      </c>
      <c r="AU50" s="30">
        <f t="shared" ref="AU50:AU110" si="36">AVERAGE(AF50:AF54)</f>
        <v>37.43566666666667</v>
      </c>
    </row>
    <row r="51" spans="1:47" x14ac:dyDescent="0.25">
      <c r="A51">
        <v>1</v>
      </c>
      <c r="B51" t="s">
        <v>16</v>
      </c>
      <c r="C51">
        <v>25984</v>
      </c>
      <c r="D51">
        <v>64</v>
      </c>
      <c r="E51">
        <v>1</v>
      </c>
      <c r="F51">
        <v>16</v>
      </c>
      <c r="G51">
        <v>341.97</v>
      </c>
      <c r="H51" s="139">
        <v>34.204000000000001</v>
      </c>
      <c r="I51" s="33">
        <v>45607</v>
      </c>
      <c r="J51" s="37">
        <v>0.67533564814814817</v>
      </c>
      <c r="K51">
        <v>0</v>
      </c>
      <c r="L51">
        <v>0</v>
      </c>
      <c r="M51">
        <v>0</v>
      </c>
      <c r="N51">
        <v>0</v>
      </c>
      <c r="O51">
        <v>0</v>
      </c>
      <c r="P51">
        <v>0</v>
      </c>
      <c r="Q51">
        <v>0</v>
      </c>
      <c r="R51">
        <v>0</v>
      </c>
      <c r="S51">
        <v>0</v>
      </c>
      <c r="T51">
        <v>0</v>
      </c>
      <c r="U51">
        <v>0</v>
      </c>
      <c r="V51">
        <v>0</v>
      </c>
      <c r="W51" s="30">
        <f t="shared" ref="W51" si="37">W50</f>
        <v>34.211399999999998</v>
      </c>
      <c r="Y51">
        <v>1</v>
      </c>
      <c r="Z51" t="s">
        <v>16</v>
      </c>
      <c r="AA51">
        <v>25984</v>
      </c>
      <c r="AB51">
        <v>64</v>
      </c>
      <c r="AC51">
        <v>1</v>
      </c>
      <c r="AD51">
        <v>16</v>
      </c>
      <c r="AE51">
        <v>312.17</v>
      </c>
      <c r="AF51" s="139">
        <v>37.469000000000001</v>
      </c>
      <c r="AG51" s="33">
        <v>45608</v>
      </c>
      <c r="AH51" s="34">
        <v>0.97155092592592596</v>
      </c>
      <c r="AI51">
        <v>0</v>
      </c>
      <c r="AJ51">
        <v>0</v>
      </c>
      <c r="AK51">
        <v>0</v>
      </c>
      <c r="AL51">
        <v>0</v>
      </c>
      <c r="AM51">
        <v>0</v>
      </c>
      <c r="AN51">
        <v>0</v>
      </c>
      <c r="AO51">
        <v>0</v>
      </c>
      <c r="AP51">
        <v>0</v>
      </c>
      <c r="AQ51">
        <v>0</v>
      </c>
      <c r="AR51">
        <v>0</v>
      </c>
      <c r="AS51">
        <v>0</v>
      </c>
      <c r="AT51">
        <v>0</v>
      </c>
      <c r="AU51" s="30">
        <f t="shared" ref="AU51:AU114" si="38">AU50</f>
        <v>37.43566666666667</v>
      </c>
    </row>
    <row r="52" spans="1:47" x14ac:dyDescent="0.25">
      <c r="A52">
        <v>2</v>
      </c>
      <c r="B52" t="s">
        <v>16</v>
      </c>
      <c r="C52">
        <v>25984</v>
      </c>
      <c r="D52">
        <v>64</v>
      </c>
      <c r="E52">
        <v>1</v>
      </c>
      <c r="F52">
        <v>16</v>
      </c>
      <c r="G52">
        <v>342</v>
      </c>
      <c r="H52" s="139">
        <v>34.201000000000001</v>
      </c>
      <c r="I52" s="33">
        <v>45607</v>
      </c>
      <c r="J52" s="37">
        <v>0.95430555555555552</v>
      </c>
      <c r="K52">
        <v>0</v>
      </c>
      <c r="L52">
        <v>0</v>
      </c>
      <c r="M52">
        <v>0</v>
      </c>
      <c r="N52">
        <v>0</v>
      </c>
      <c r="O52">
        <v>0</v>
      </c>
      <c r="P52">
        <v>0</v>
      </c>
      <c r="Q52">
        <v>0</v>
      </c>
      <c r="R52">
        <v>0</v>
      </c>
      <c r="S52">
        <v>0</v>
      </c>
      <c r="T52">
        <v>0</v>
      </c>
      <c r="U52">
        <v>0</v>
      </c>
      <c r="V52">
        <v>0</v>
      </c>
      <c r="W52" s="30">
        <f t="shared" si="13"/>
        <v>34.211399999999998</v>
      </c>
      <c r="Y52">
        <v>2</v>
      </c>
      <c r="Z52" t="s">
        <v>16</v>
      </c>
      <c r="AA52">
        <v>25984</v>
      </c>
      <c r="AB52">
        <v>64</v>
      </c>
      <c r="AC52">
        <v>1</v>
      </c>
      <c r="AD52">
        <v>16</v>
      </c>
      <c r="AE52">
        <v>312.64999999999998</v>
      </c>
      <c r="AF52" s="139">
        <v>37.411999999999999</v>
      </c>
      <c r="AG52" s="33">
        <v>45609</v>
      </c>
      <c r="AH52" s="34">
        <v>6.2546296296296294E-2</v>
      </c>
      <c r="AI52">
        <v>0</v>
      </c>
      <c r="AJ52">
        <v>0</v>
      </c>
      <c r="AK52">
        <v>0</v>
      </c>
      <c r="AL52">
        <v>0</v>
      </c>
      <c r="AM52">
        <v>0</v>
      </c>
      <c r="AN52">
        <v>0</v>
      </c>
      <c r="AO52">
        <v>0</v>
      </c>
      <c r="AP52">
        <v>0</v>
      </c>
      <c r="AQ52">
        <v>0</v>
      </c>
      <c r="AR52">
        <v>0</v>
      </c>
      <c r="AS52">
        <v>0</v>
      </c>
      <c r="AT52">
        <v>0</v>
      </c>
      <c r="AU52" s="30">
        <f t="shared" si="30"/>
        <v>37.43566666666667</v>
      </c>
    </row>
    <row r="53" spans="1:47" x14ac:dyDescent="0.25">
      <c r="A53">
        <v>3</v>
      </c>
      <c r="B53" t="s">
        <v>16</v>
      </c>
      <c r="C53">
        <v>25984</v>
      </c>
      <c r="D53">
        <v>64</v>
      </c>
      <c r="E53">
        <v>1</v>
      </c>
      <c r="F53">
        <v>16</v>
      </c>
      <c r="G53">
        <v>341.82</v>
      </c>
      <c r="H53" s="139">
        <v>34.219000000000001</v>
      </c>
      <c r="I53" s="33">
        <v>45608</v>
      </c>
      <c r="J53" s="37">
        <v>4.7106481481481478E-2</v>
      </c>
      <c r="K53">
        <v>0</v>
      </c>
      <c r="L53">
        <v>0</v>
      </c>
      <c r="M53">
        <v>0</v>
      </c>
      <c r="N53">
        <v>0</v>
      </c>
      <c r="O53">
        <v>0</v>
      </c>
      <c r="P53">
        <v>0</v>
      </c>
      <c r="Q53">
        <v>0</v>
      </c>
      <c r="R53">
        <v>0</v>
      </c>
      <c r="S53">
        <v>0</v>
      </c>
      <c r="T53">
        <v>0</v>
      </c>
      <c r="U53">
        <v>0</v>
      </c>
      <c r="V53">
        <v>0</v>
      </c>
      <c r="W53" s="30">
        <f t="shared" si="13"/>
        <v>34.211399999999998</v>
      </c>
      <c r="Y53">
        <v>3</v>
      </c>
      <c r="Z53" t="s">
        <v>16</v>
      </c>
      <c r="AA53">
        <v>25984</v>
      </c>
      <c r="AB53">
        <v>64</v>
      </c>
      <c r="AC53">
        <v>1</v>
      </c>
      <c r="AD53">
        <v>16</v>
      </c>
      <c r="AU53" s="30">
        <f t="shared" si="30"/>
        <v>37.43566666666667</v>
      </c>
    </row>
    <row r="54" spans="1:47" x14ac:dyDescent="0.25">
      <c r="A54">
        <v>4</v>
      </c>
      <c r="B54" t="s">
        <v>16</v>
      </c>
      <c r="C54">
        <v>25984</v>
      </c>
      <c r="D54">
        <v>64</v>
      </c>
      <c r="E54">
        <v>1</v>
      </c>
      <c r="F54">
        <v>16</v>
      </c>
      <c r="G54">
        <v>341.99</v>
      </c>
      <c r="H54" s="139">
        <v>34.201999999999998</v>
      </c>
      <c r="I54" s="33">
        <v>45608</v>
      </c>
      <c r="J54" s="37">
        <v>0.13980324074074074</v>
      </c>
      <c r="K54">
        <v>0</v>
      </c>
      <c r="L54">
        <v>0</v>
      </c>
      <c r="M54">
        <v>0</v>
      </c>
      <c r="N54">
        <v>0</v>
      </c>
      <c r="O54">
        <v>0</v>
      </c>
      <c r="P54">
        <v>0</v>
      </c>
      <c r="Q54">
        <v>0</v>
      </c>
      <c r="R54">
        <v>0</v>
      </c>
      <c r="S54">
        <v>0</v>
      </c>
      <c r="T54">
        <v>0</v>
      </c>
      <c r="U54">
        <v>0</v>
      </c>
      <c r="V54">
        <v>0</v>
      </c>
      <c r="W54" s="30">
        <f t="shared" si="13"/>
        <v>34.211399999999998</v>
      </c>
      <c r="Y54">
        <v>4</v>
      </c>
      <c r="Z54" t="s">
        <v>16</v>
      </c>
      <c r="AA54">
        <v>25984</v>
      </c>
      <c r="AB54">
        <v>64</v>
      </c>
      <c r="AC54">
        <v>1</v>
      </c>
      <c r="AD54">
        <v>16</v>
      </c>
      <c r="AU54" s="30">
        <f t="shared" si="30"/>
        <v>37.43566666666667</v>
      </c>
    </row>
    <row r="55" spans="1:47" x14ac:dyDescent="0.25">
      <c r="A55">
        <v>0</v>
      </c>
      <c r="B55" t="s">
        <v>16</v>
      </c>
      <c r="C55">
        <v>27520</v>
      </c>
      <c r="D55">
        <v>64</v>
      </c>
      <c r="E55">
        <v>1</v>
      </c>
      <c r="F55">
        <v>16</v>
      </c>
      <c r="G55">
        <v>403.33</v>
      </c>
      <c r="H55" s="139">
        <v>34.453000000000003</v>
      </c>
      <c r="I55" s="33">
        <v>45607</v>
      </c>
      <c r="J55" s="37">
        <v>0.36774305555555553</v>
      </c>
      <c r="K55">
        <v>0</v>
      </c>
      <c r="L55">
        <v>0</v>
      </c>
      <c r="M55">
        <v>0</v>
      </c>
      <c r="N55">
        <v>0</v>
      </c>
      <c r="O55">
        <v>0</v>
      </c>
      <c r="P55">
        <v>0</v>
      </c>
      <c r="Q55">
        <v>0</v>
      </c>
      <c r="R55">
        <v>0</v>
      </c>
      <c r="S55">
        <v>0</v>
      </c>
      <c r="T55">
        <v>0</v>
      </c>
      <c r="U55">
        <v>0</v>
      </c>
      <c r="V55">
        <v>0</v>
      </c>
      <c r="W55" s="30">
        <f t="shared" ref="W55" si="39">AVERAGE(H55:H59)</f>
        <v>34.4328</v>
      </c>
      <c r="Y55">
        <v>0</v>
      </c>
      <c r="Z55" t="s">
        <v>16</v>
      </c>
      <c r="AA55">
        <v>27520</v>
      </c>
      <c r="AB55">
        <v>64</v>
      </c>
      <c r="AC55">
        <v>1</v>
      </c>
      <c r="AD55">
        <v>16</v>
      </c>
      <c r="AE55">
        <v>367.03</v>
      </c>
      <c r="AF55" s="139">
        <v>37.860999999999997</v>
      </c>
      <c r="AG55" s="33">
        <v>45608</v>
      </c>
      <c r="AH55" s="34">
        <v>0.78277777777777779</v>
      </c>
      <c r="AI55">
        <v>0</v>
      </c>
      <c r="AJ55">
        <v>0</v>
      </c>
      <c r="AK55">
        <v>0</v>
      </c>
      <c r="AL55">
        <v>0</v>
      </c>
      <c r="AM55">
        <v>0</v>
      </c>
      <c r="AN55">
        <v>0</v>
      </c>
      <c r="AO55">
        <v>0</v>
      </c>
      <c r="AP55">
        <v>0</v>
      </c>
      <c r="AQ55">
        <v>0</v>
      </c>
      <c r="AR55">
        <v>0</v>
      </c>
      <c r="AS55">
        <v>0</v>
      </c>
      <c r="AT55">
        <v>0</v>
      </c>
      <c r="AU55" s="30">
        <f t="shared" ref="AU55:AU115" si="40">AVERAGE(AF55:AF59)</f>
        <v>37.871000000000002</v>
      </c>
    </row>
    <row r="56" spans="1:47" x14ac:dyDescent="0.25">
      <c r="A56">
        <v>1</v>
      </c>
      <c r="B56" t="s">
        <v>16</v>
      </c>
      <c r="C56">
        <v>27520</v>
      </c>
      <c r="D56">
        <v>64</v>
      </c>
      <c r="E56">
        <v>1</v>
      </c>
      <c r="F56">
        <v>16</v>
      </c>
      <c r="G56">
        <v>403.56</v>
      </c>
      <c r="H56" s="139">
        <v>34.433999999999997</v>
      </c>
      <c r="I56" s="33">
        <v>45607</v>
      </c>
      <c r="J56" s="37">
        <v>0.46047453703703706</v>
      </c>
      <c r="K56">
        <v>0</v>
      </c>
      <c r="L56">
        <v>0</v>
      </c>
      <c r="M56">
        <v>0</v>
      </c>
      <c r="N56">
        <v>0</v>
      </c>
      <c r="O56">
        <v>0</v>
      </c>
      <c r="P56">
        <v>0</v>
      </c>
      <c r="Q56">
        <v>0</v>
      </c>
      <c r="R56">
        <v>0</v>
      </c>
      <c r="S56">
        <v>0</v>
      </c>
      <c r="T56">
        <v>0</v>
      </c>
      <c r="U56">
        <v>0</v>
      </c>
      <c r="V56">
        <v>0</v>
      </c>
      <c r="W56" s="30">
        <f t="shared" ref="W56" si="41">W55</f>
        <v>34.4328</v>
      </c>
      <c r="Y56">
        <v>1</v>
      </c>
      <c r="Z56" t="s">
        <v>16</v>
      </c>
      <c r="AA56">
        <v>27520</v>
      </c>
      <c r="AB56">
        <v>64</v>
      </c>
      <c r="AC56">
        <v>1</v>
      </c>
      <c r="AD56">
        <v>16</v>
      </c>
      <c r="AE56">
        <v>366.94</v>
      </c>
      <c r="AF56" s="139">
        <v>37.869999999999997</v>
      </c>
      <c r="AG56" s="33">
        <v>45608</v>
      </c>
      <c r="AH56" s="34">
        <v>0.9442476851851852</v>
      </c>
      <c r="AI56">
        <v>0</v>
      </c>
      <c r="AJ56">
        <v>0</v>
      </c>
      <c r="AK56">
        <v>0</v>
      </c>
      <c r="AL56">
        <v>0</v>
      </c>
      <c r="AM56">
        <v>0</v>
      </c>
      <c r="AN56">
        <v>0</v>
      </c>
      <c r="AO56">
        <v>0</v>
      </c>
      <c r="AP56">
        <v>0</v>
      </c>
      <c r="AQ56">
        <v>0</v>
      </c>
      <c r="AR56">
        <v>0</v>
      </c>
      <c r="AS56">
        <v>0</v>
      </c>
      <c r="AT56">
        <v>0</v>
      </c>
      <c r="AU56" s="30">
        <f t="shared" ref="AU56:AU119" si="42">AU55</f>
        <v>37.871000000000002</v>
      </c>
    </row>
    <row r="57" spans="1:47" x14ac:dyDescent="0.25">
      <c r="A57">
        <v>2</v>
      </c>
      <c r="B57" t="s">
        <v>16</v>
      </c>
      <c r="C57">
        <v>27520</v>
      </c>
      <c r="D57">
        <v>64</v>
      </c>
      <c r="E57">
        <v>1</v>
      </c>
      <c r="F57">
        <v>16</v>
      </c>
      <c r="G57">
        <v>403.48</v>
      </c>
      <c r="H57" s="139">
        <v>34.441000000000003</v>
      </c>
      <c r="I57" s="33">
        <v>45607</v>
      </c>
      <c r="J57" s="37">
        <v>0.90633101851851849</v>
      </c>
      <c r="K57">
        <v>0</v>
      </c>
      <c r="L57">
        <v>0</v>
      </c>
      <c r="M57">
        <v>0</v>
      </c>
      <c r="N57">
        <v>0</v>
      </c>
      <c r="O57">
        <v>0</v>
      </c>
      <c r="P57">
        <v>0</v>
      </c>
      <c r="Q57">
        <v>0</v>
      </c>
      <c r="R57">
        <v>0</v>
      </c>
      <c r="S57">
        <v>0</v>
      </c>
      <c r="T57">
        <v>0</v>
      </c>
      <c r="U57">
        <v>0</v>
      </c>
      <c r="V57">
        <v>0</v>
      </c>
      <c r="W57" s="30">
        <f t="shared" si="9"/>
        <v>34.4328</v>
      </c>
      <c r="Y57">
        <v>2</v>
      </c>
      <c r="Z57" t="s">
        <v>16</v>
      </c>
      <c r="AA57">
        <v>27520</v>
      </c>
      <c r="AB57">
        <v>64</v>
      </c>
      <c r="AC57">
        <v>1</v>
      </c>
      <c r="AD57">
        <v>16</v>
      </c>
      <c r="AE57">
        <v>366.83</v>
      </c>
      <c r="AF57" s="139">
        <v>37.881999999999998</v>
      </c>
      <c r="AG57" s="33">
        <v>45609</v>
      </c>
      <c r="AH57" s="34">
        <v>3.5243055555555555E-2</v>
      </c>
      <c r="AI57">
        <v>0</v>
      </c>
      <c r="AJ57">
        <v>0</v>
      </c>
      <c r="AK57">
        <v>0</v>
      </c>
      <c r="AL57">
        <v>0</v>
      </c>
      <c r="AM57">
        <v>0</v>
      </c>
      <c r="AN57">
        <v>0</v>
      </c>
      <c r="AO57">
        <v>0</v>
      </c>
      <c r="AP57">
        <v>0</v>
      </c>
      <c r="AQ57">
        <v>0</v>
      </c>
      <c r="AR57">
        <v>0</v>
      </c>
      <c r="AS57">
        <v>0</v>
      </c>
      <c r="AT57">
        <v>0</v>
      </c>
      <c r="AU57" s="30">
        <f t="shared" si="30"/>
        <v>37.871000000000002</v>
      </c>
    </row>
    <row r="58" spans="1:47" x14ac:dyDescent="0.25">
      <c r="A58">
        <v>3</v>
      </c>
      <c r="B58" t="s">
        <v>16</v>
      </c>
      <c r="C58">
        <v>27520</v>
      </c>
      <c r="D58">
        <v>64</v>
      </c>
      <c r="E58">
        <v>1</v>
      </c>
      <c r="F58">
        <v>16</v>
      </c>
      <c r="G58">
        <v>403.71</v>
      </c>
      <c r="H58" s="139">
        <v>34.420999999999999</v>
      </c>
      <c r="I58" s="33">
        <v>45608</v>
      </c>
      <c r="J58" s="37">
        <v>1.9409722222222221E-2</v>
      </c>
      <c r="K58">
        <v>0</v>
      </c>
      <c r="L58">
        <v>0</v>
      </c>
      <c r="M58">
        <v>0</v>
      </c>
      <c r="N58">
        <v>0</v>
      </c>
      <c r="O58">
        <v>0</v>
      </c>
      <c r="P58">
        <v>0</v>
      </c>
      <c r="Q58">
        <v>0</v>
      </c>
      <c r="R58">
        <v>0</v>
      </c>
      <c r="S58">
        <v>0</v>
      </c>
      <c r="T58">
        <v>0</v>
      </c>
      <c r="U58">
        <v>0</v>
      </c>
      <c r="V58">
        <v>0</v>
      </c>
      <c r="W58" s="30">
        <f t="shared" si="9"/>
        <v>34.4328</v>
      </c>
      <c r="Y58">
        <v>3</v>
      </c>
      <c r="Z58" t="s">
        <v>16</v>
      </c>
      <c r="AA58">
        <v>27520</v>
      </c>
      <c r="AB58">
        <v>64</v>
      </c>
      <c r="AC58">
        <v>1</v>
      </c>
      <c r="AD58">
        <v>16</v>
      </c>
      <c r="AU58" s="30">
        <f t="shared" si="30"/>
        <v>37.871000000000002</v>
      </c>
    </row>
    <row r="59" spans="1:47" x14ac:dyDescent="0.25">
      <c r="A59">
        <v>4</v>
      </c>
      <c r="B59" t="s">
        <v>16</v>
      </c>
      <c r="C59">
        <v>27520</v>
      </c>
      <c r="D59">
        <v>64</v>
      </c>
      <c r="E59">
        <v>1</v>
      </c>
      <c r="F59">
        <v>16</v>
      </c>
      <c r="G59">
        <v>403.77</v>
      </c>
      <c r="H59" s="139">
        <v>34.414999999999999</v>
      </c>
      <c r="I59" s="33">
        <v>45608</v>
      </c>
      <c r="J59" s="37">
        <v>0.11210648148148149</v>
      </c>
      <c r="K59">
        <v>0</v>
      </c>
      <c r="L59">
        <v>0</v>
      </c>
      <c r="M59">
        <v>0</v>
      </c>
      <c r="N59">
        <v>0</v>
      </c>
      <c r="O59">
        <v>0</v>
      </c>
      <c r="P59">
        <v>0</v>
      </c>
      <c r="Q59">
        <v>0</v>
      </c>
      <c r="R59">
        <v>0</v>
      </c>
      <c r="S59">
        <v>0</v>
      </c>
      <c r="T59">
        <v>0</v>
      </c>
      <c r="U59">
        <v>0</v>
      </c>
      <c r="V59">
        <v>0</v>
      </c>
      <c r="W59" s="30">
        <f t="shared" si="9"/>
        <v>34.4328</v>
      </c>
      <c r="Y59">
        <v>4</v>
      </c>
      <c r="Z59" t="s">
        <v>16</v>
      </c>
      <c r="AA59">
        <v>27520</v>
      </c>
      <c r="AB59">
        <v>64</v>
      </c>
      <c r="AC59">
        <v>1</v>
      </c>
      <c r="AD59">
        <v>16</v>
      </c>
      <c r="AU59" s="30">
        <f t="shared" si="30"/>
        <v>37.871000000000002</v>
      </c>
    </row>
    <row r="60" spans="1:47" x14ac:dyDescent="0.25">
      <c r="A60">
        <v>0</v>
      </c>
      <c r="B60" t="s">
        <v>16</v>
      </c>
      <c r="C60">
        <v>29056</v>
      </c>
      <c r="D60">
        <v>64</v>
      </c>
      <c r="E60">
        <v>1</v>
      </c>
      <c r="F60">
        <v>16</v>
      </c>
      <c r="G60">
        <v>474.07</v>
      </c>
      <c r="H60" s="139">
        <v>34.499000000000002</v>
      </c>
      <c r="I60" s="33">
        <v>45607</v>
      </c>
      <c r="J60" s="37">
        <v>0.42821759259259257</v>
      </c>
      <c r="K60">
        <v>0</v>
      </c>
      <c r="L60">
        <v>0</v>
      </c>
      <c r="M60">
        <v>0</v>
      </c>
      <c r="N60">
        <v>0</v>
      </c>
      <c r="O60">
        <v>0</v>
      </c>
      <c r="P60">
        <v>0</v>
      </c>
      <c r="Q60">
        <v>0</v>
      </c>
      <c r="R60">
        <v>0</v>
      </c>
      <c r="S60">
        <v>0</v>
      </c>
      <c r="T60">
        <v>0</v>
      </c>
      <c r="U60">
        <v>0</v>
      </c>
      <c r="V60">
        <v>0</v>
      </c>
      <c r="W60" s="30">
        <f t="shared" ref="W60" si="43">AVERAGE(H60:H64)</f>
        <v>34.567800000000005</v>
      </c>
      <c r="Y60">
        <v>0</v>
      </c>
      <c r="Z60" t="s">
        <v>16</v>
      </c>
      <c r="AA60">
        <v>29056</v>
      </c>
      <c r="AB60">
        <v>64</v>
      </c>
      <c r="AC60">
        <v>1</v>
      </c>
      <c r="AD60">
        <v>16</v>
      </c>
      <c r="AE60">
        <v>428.49</v>
      </c>
      <c r="AF60" s="139">
        <v>38.168999999999997</v>
      </c>
      <c r="AG60" s="33">
        <v>45608</v>
      </c>
      <c r="AH60" s="34">
        <v>0.84214120370370371</v>
      </c>
      <c r="AI60">
        <v>0</v>
      </c>
      <c r="AJ60">
        <v>0</v>
      </c>
      <c r="AK60">
        <v>0</v>
      </c>
      <c r="AL60">
        <v>0</v>
      </c>
      <c r="AM60">
        <v>0</v>
      </c>
      <c r="AN60">
        <v>0</v>
      </c>
      <c r="AO60">
        <v>0</v>
      </c>
      <c r="AP60">
        <v>0</v>
      </c>
      <c r="AQ60">
        <v>0</v>
      </c>
      <c r="AR60">
        <v>0</v>
      </c>
      <c r="AS60">
        <v>0</v>
      </c>
      <c r="AT60">
        <v>0</v>
      </c>
      <c r="AU60" s="30">
        <f t="shared" ref="AU60:AU120" si="44">AVERAGE(AF60:AF64)</f>
        <v>38.05766666666667</v>
      </c>
    </row>
    <row r="61" spans="1:47" x14ac:dyDescent="0.25">
      <c r="A61">
        <v>1</v>
      </c>
      <c r="B61" t="s">
        <v>16</v>
      </c>
      <c r="C61">
        <v>29056</v>
      </c>
      <c r="D61">
        <v>64</v>
      </c>
      <c r="E61">
        <v>1</v>
      </c>
      <c r="F61">
        <v>16</v>
      </c>
      <c r="G61">
        <v>474</v>
      </c>
      <c r="H61" s="139">
        <v>34.503999999999998</v>
      </c>
      <c r="I61" s="33">
        <v>45607</v>
      </c>
      <c r="J61" s="37">
        <v>0.70811342592592597</v>
      </c>
      <c r="K61">
        <v>0</v>
      </c>
      <c r="L61">
        <v>0</v>
      </c>
      <c r="M61">
        <v>0</v>
      </c>
      <c r="N61">
        <v>0</v>
      </c>
      <c r="O61">
        <v>0</v>
      </c>
      <c r="P61">
        <v>0</v>
      </c>
      <c r="Q61">
        <v>0</v>
      </c>
      <c r="R61">
        <v>0</v>
      </c>
      <c r="S61">
        <v>0</v>
      </c>
      <c r="T61">
        <v>0</v>
      </c>
      <c r="U61">
        <v>0</v>
      </c>
      <c r="V61">
        <v>0</v>
      </c>
      <c r="W61" s="30">
        <f t="shared" ref="W61" si="45">W60</f>
        <v>34.567800000000005</v>
      </c>
      <c r="Y61">
        <v>1</v>
      </c>
      <c r="Z61" t="s">
        <v>16</v>
      </c>
      <c r="AA61">
        <v>29056</v>
      </c>
      <c r="AB61">
        <v>64</v>
      </c>
      <c r="AC61">
        <v>1</v>
      </c>
      <c r="AD61">
        <v>16</v>
      </c>
      <c r="AE61">
        <v>426.99</v>
      </c>
      <c r="AF61" s="139">
        <v>38.302999999999997</v>
      </c>
      <c r="AG61" s="33">
        <v>45609</v>
      </c>
      <c r="AH61" s="34">
        <v>3.5763888888888889E-3</v>
      </c>
      <c r="AI61">
        <v>0</v>
      </c>
      <c r="AJ61">
        <v>0</v>
      </c>
      <c r="AK61">
        <v>0</v>
      </c>
      <c r="AL61">
        <v>0</v>
      </c>
      <c r="AM61">
        <v>0</v>
      </c>
      <c r="AN61">
        <v>0</v>
      </c>
      <c r="AO61">
        <v>0</v>
      </c>
      <c r="AP61">
        <v>0</v>
      </c>
      <c r="AQ61">
        <v>0</v>
      </c>
      <c r="AR61">
        <v>0</v>
      </c>
      <c r="AS61">
        <v>0</v>
      </c>
      <c r="AT61">
        <v>0</v>
      </c>
      <c r="AU61" s="30">
        <f t="shared" ref="AU61:AU124" si="46">AU60</f>
        <v>38.05766666666667</v>
      </c>
    </row>
    <row r="62" spans="1:47" x14ac:dyDescent="0.25">
      <c r="A62">
        <v>2</v>
      </c>
      <c r="B62" t="s">
        <v>16</v>
      </c>
      <c r="C62">
        <v>29056</v>
      </c>
      <c r="D62">
        <v>64</v>
      </c>
      <c r="E62">
        <v>1</v>
      </c>
      <c r="F62">
        <v>16</v>
      </c>
      <c r="G62">
        <v>477.61</v>
      </c>
      <c r="H62" s="139">
        <v>34.243000000000002</v>
      </c>
      <c r="I62" s="33">
        <v>45607</v>
      </c>
      <c r="J62" s="37">
        <v>0.98712962962962958</v>
      </c>
      <c r="K62">
        <v>0</v>
      </c>
      <c r="L62">
        <v>0</v>
      </c>
      <c r="M62">
        <v>0</v>
      </c>
      <c r="N62">
        <v>0</v>
      </c>
      <c r="O62">
        <v>0</v>
      </c>
      <c r="P62">
        <v>0</v>
      </c>
      <c r="Q62">
        <v>0</v>
      </c>
      <c r="R62">
        <v>0</v>
      </c>
      <c r="S62">
        <v>0</v>
      </c>
      <c r="T62">
        <v>0</v>
      </c>
      <c r="U62">
        <v>0</v>
      </c>
      <c r="V62">
        <v>0</v>
      </c>
      <c r="W62" s="30">
        <f t="shared" si="13"/>
        <v>34.567800000000005</v>
      </c>
      <c r="Y62">
        <v>2</v>
      </c>
      <c r="Z62" t="s">
        <v>16</v>
      </c>
      <c r="AA62">
        <v>29056</v>
      </c>
      <c r="AB62">
        <v>64</v>
      </c>
      <c r="AC62">
        <v>1</v>
      </c>
      <c r="AD62">
        <v>16</v>
      </c>
      <c r="AE62">
        <v>433.81</v>
      </c>
      <c r="AF62" s="139">
        <v>37.701000000000001</v>
      </c>
      <c r="AG62" s="33">
        <v>45612</v>
      </c>
      <c r="AH62" s="34">
        <v>0.75399305555555551</v>
      </c>
      <c r="AI62">
        <v>0</v>
      </c>
      <c r="AJ62">
        <v>0</v>
      </c>
      <c r="AK62">
        <v>0</v>
      </c>
      <c r="AL62">
        <v>0</v>
      </c>
      <c r="AM62">
        <v>0</v>
      </c>
      <c r="AN62">
        <v>0</v>
      </c>
      <c r="AO62">
        <v>0</v>
      </c>
      <c r="AP62">
        <v>0</v>
      </c>
      <c r="AQ62">
        <v>0</v>
      </c>
      <c r="AR62">
        <v>0</v>
      </c>
      <c r="AS62">
        <v>0</v>
      </c>
      <c r="AT62">
        <v>0</v>
      </c>
      <c r="AU62" s="30">
        <f t="shared" si="30"/>
        <v>38.05766666666667</v>
      </c>
    </row>
    <row r="63" spans="1:47" x14ac:dyDescent="0.25">
      <c r="A63">
        <v>3</v>
      </c>
      <c r="B63" t="s">
        <v>16</v>
      </c>
      <c r="C63">
        <v>29056</v>
      </c>
      <c r="D63">
        <v>64</v>
      </c>
      <c r="E63">
        <v>1</v>
      </c>
      <c r="F63">
        <v>16</v>
      </c>
      <c r="G63">
        <v>470.3</v>
      </c>
      <c r="H63" s="139">
        <v>34.776000000000003</v>
      </c>
      <c r="I63" s="33">
        <v>45608</v>
      </c>
      <c r="J63" s="37">
        <v>7.9837962962962958E-2</v>
      </c>
      <c r="K63">
        <v>0</v>
      </c>
      <c r="L63">
        <v>0</v>
      </c>
      <c r="M63">
        <v>0</v>
      </c>
      <c r="N63">
        <v>0</v>
      </c>
      <c r="O63">
        <v>0</v>
      </c>
      <c r="P63">
        <v>0</v>
      </c>
      <c r="Q63">
        <v>0</v>
      </c>
      <c r="R63">
        <v>0</v>
      </c>
      <c r="S63">
        <v>0</v>
      </c>
      <c r="T63">
        <v>0</v>
      </c>
      <c r="U63">
        <v>0</v>
      </c>
      <c r="V63">
        <v>0</v>
      </c>
      <c r="W63" s="30">
        <f t="shared" si="13"/>
        <v>34.567800000000005</v>
      </c>
      <c r="Y63">
        <v>3</v>
      </c>
      <c r="Z63" t="s">
        <v>16</v>
      </c>
      <c r="AA63">
        <v>29056</v>
      </c>
      <c r="AB63">
        <v>64</v>
      </c>
      <c r="AC63">
        <v>1</v>
      </c>
      <c r="AD63">
        <v>16</v>
      </c>
      <c r="AU63" s="30">
        <f t="shared" si="30"/>
        <v>38.05766666666667</v>
      </c>
    </row>
    <row r="64" spans="1:47" x14ac:dyDescent="0.25">
      <c r="A64">
        <v>4</v>
      </c>
      <c r="B64" t="s">
        <v>16</v>
      </c>
      <c r="C64">
        <v>29056</v>
      </c>
      <c r="D64">
        <v>64</v>
      </c>
      <c r="E64">
        <v>1</v>
      </c>
      <c r="F64">
        <v>16</v>
      </c>
      <c r="G64">
        <v>469.73</v>
      </c>
      <c r="H64" s="139">
        <v>34.817</v>
      </c>
      <c r="I64" s="33">
        <v>45608</v>
      </c>
      <c r="J64" s="37">
        <v>0.17251157407407408</v>
      </c>
      <c r="K64">
        <v>0</v>
      </c>
      <c r="L64">
        <v>0</v>
      </c>
      <c r="M64">
        <v>0</v>
      </c>
      <c r="N64">
        <v>0</v>
      </c>
      <c r="O64">
        <v>0</v>
      </c>
      <c r="P64">
        <v>0</v>
      </c>
      <c r="Q64">
        <v>0</v>
      </c>
      <c r="R64">
        <v>0</v>
      </c>
      <c r="S64">
        <v>0</v>
      </c>
      <c r="T64">
        <v>0</v>
      </c>
      <c r="U64">
        <v>0</v>
      </c>
      <c r="V64">
        <v>0</v>
      </c>
      <c r="W64" s="30">
        <f t="shared" si="13"/>
        <v>34.567800000000005</v>
      </c>
      <c r="Y64">
        <v>4</v>
      </c>
      <c r="Z64" t="s">
        <v>16</v>
      </c>
      <c r="AA64">
        <v>29056</v>
      </c>
      <c r="AB64">
        <v>64</v>
      </c>
      <c r="AC64">
        <v>1</v>
      </c>
      <c r="AD64">
        <v>16</v>
      </c>
      <c r="AU64" s="30">
        <f t="shared" si="30"/>
        <v>38.05766666666667</v>
      </c>
    </row>
    <row r="65" spans="1:47" x14ac:dyDescent="0.25">
      <c r="A65">
        <v>0</v>
      </c>
      <c r="B65" t="s">
        <v>16</v>
      </c>
      <c r="C65">
        <v>25984</v>
      </c>
      <c r="D65">
        <v>64</v>
      </c>
      <c r="E65">
        <v>2</v>
      </c>
      <c r="F65">
        <v>8</v>
      </c>
      <c r="G65">
        <v>330.92</v>
      </c>
      <c r="H65" s="139">
        <v>35.345999999999997</v>
      </c>
      <c r="I65" s="33">
        <v>45607</v>
      </c>
      <c r="J65" s="37">
        <v>0.39945601851851853</v>
      </c>
      <c r="K65">
        <v>0</v>
      </c>
      <c r="L65">
        <v>0</v>
      </c>
      <c r="M65">
        <v>0</v>
      </c>
      <c r="N65">
        <v>0</v>
      </c>
      <c r="O65">
        <v>0</v>
      </c>
      <c r="P65">
        <v>0</v>
      </c>
      <c r="Q65">
        <v>0</v>
      </c>
      <c r="R65">
        <v>0</v>
      </c>
      <c r="S65">
        <v>0</v>
      </c>
      <c r="T65">
        <v>0</v>
      </c>
      <c r="U65">
        <v>0</v>
      </c>
      <c r="V65">
        <v>0</v>
      </c>
      <c r="W65" s="30">
        <f t="shared" ref="W65" si="47">AVERAGE(H65:H69)</f>
        <v>35.3446</v>
      </c>
      <c r="Y65">
        <v>0</v>
      </c>
      <c r="Z65" t="s">
        <v>16</v>
      </c>
      <c r="AA65">
        <v>25984</v>
      </c>
      <c r="AB65">
        <v>64</v>
      </c>
      <c r="AC65">
        <v>2</v>
      </c>
      <c r="AD65">
        <v>8</v>
      </c>
      <c r="AE65">
        <v>298.19</v>
      </c>
      <c r="AF65" s="139">
        <v>39.225999999999999</v>
      </c>
      <c r="AG65" s="33">
        <v>45608</v>
      </c>
      <c r="AH65" s="34">
        <v>0.81412037037037033</v>
      </c>
      <c r="AI65">
        <v>0</v>
      </c>
      <c r="AJ65">
        <v>0</v>
      </c>
      <c r="AK65">
        <v>0</v>
      </c>
      <c r="AL65">
        <v>0</v>
      </c>
      <c r="AM65">
        <v>0</v>
      </c>
      <c r="AN65">
        <v>0</v>
      </c>
      <c r="AO65">
        <v>0</v>
      </c>
      <c r="AP65">
        <v>0</v>
      </c>
      <c r="AQ65">
        <v>0</v>
      </c>
      <c r="AR65">
        <v>0</v>
      </c>
      <c r="AS65">
        <v>0</v>
      </c>
      <c r="AT65">
        <v>0</v>
      </c>
      <c r="AU65" s="30">
        <f t="shared" ref="AU65" si="48">AVERAGE(AF65:AF69)</f>
        <v>39.212666666666671</v>
      </c>
    </row>
    <row r="66" spans="1:47" x14ac:dyDescent="0.25">
      <c r="A66">
        <v>1</v>
      </c>
      <c r="B66" t="s">
        <v>16</v>
      </c>
      <c r="C66">
        <v>25984</v>
      </c>
      <c r="D66">
        <v>64</v>
      </c>
      <c r="E66">
        <v>2</v>
      </c>
      <c r="F66">
        <v>8</v>
      </c>
      <c r="G66">
        <v>330.85</v>
      </c>
      <c r="H66" s="139">
        <v>35.353999999999999</v>
      </c>
      <c r="I66" s="33">
        <v>45607</v>
      </c>
      <c r="J66" s="37">
        <v>0.67935185185185187</v>
      </c>
      <c r="K66">
        <v>0</v>
      </c>
      <c r="L66">
        <v>0</v>
      </c>
      <c r="M66">
        <v>0</v>
      </c>
      <c r="N66">
        <v>0</v>
      </c>
      <c r="O66">
        <v>0</v>
      </c>
      <c r="P66">
        <v>0</v>
      </c>
      <c r="Q66">
        <v>0</v>
      </c>
      <c r="R66">
        <v>0</v>
      </c>
      <c r="S66">
        <v>0</v>
      </c>
      <c r="T66">
        <v>0</v>
      </c>
      <c r="U66">
        <v>0</v>
      </c>
      <c r="V66">
        <v>0</v>
      </c>
      <c r="W66" s="30">
        <f t="shared" ref="W66" si="49">W65</f>
        <v>35.3446</v>
      </c>
      <c r="Y66">
        <v>1</v>
      </c>
      <c r="Z66" t="s">
        <v>16</v>
      </c>
      <c r="AA66">
        <v>25984</v>
      </c>
      <c r="AB66">
        <v>64</v>
      </c>
      <c r="AC66">
        <v>2</v>
      </c>
      <c r="AD66">
        <v>8</v>
      </c>
      <c r="AE66">
        <v>298.44</v>
      </c>
      <c r="AF66" s="139">
        <v>39.192999999999998</v>
      </c>
      <c r="AG66" s="33">
        <v>45608</v>
      </c>
      <c r="AH66" s="34">
        <v>0.97559027777777774</v>
      </c>
      <c r="AI66">
        <v>0</v>
      </c>
      <c r="AJ66">
        <v>0</v>
      </c>
      <c r="AK66">
        <v>0</v>
      </c>
      <c r="AL66">
        <v>0</v>
      </c>
      <c r="AM66">
        <v>0</v>
      </c>
      <c r="AN66">
        <v>0</v>
      </c>
      <c r="AO66">
        <v>0</v>
      </c>
      <c r="AP66">
        <v>0</v>
      </c>
      <c r="AQ66">
        <v>0</v>
      </c>
      <c r="AR66">
        <v>0</v>
      </c>
      <c r="AS66">
        <v>0</v>
      </c>
      <c r="AT66">
        <v>0</v>
      </c>
      <c r="AU66" s="30">
        <f t="shared" ref="AU66" si="50">AU65</f>
        <v>39.212666666666671</v>
      </c>
    </row>
    <row r="67" spans="1:47" x14ac:dyDescent="0.25">
      <c r="A67">
        <v>2</v>
      </c>
      <c r="B67" t="s">
        <v>16</v>
      </c>
      <c r="C67">
        <v>25984</v>
      </c>
      <c r="D67">
        <v>64</v>
      </c>
      <c r="E67">
        <v>2</v>
      </c>
      <c r="F67">
        <v>8</v>
      </c>
      <c r="G67">
        <v>330.87</v>
      </c>
      <c r="H67" s="139">
        <v>35.350999999999999</v>
      </c>
      <c r="I67" s="33">
        <v>45607</v>
      </c>
      <c r="J67" s="37">
        <v>0.95831018518518518</v>
      </c>
      <c r="K67">
        <v>0</v>
      </c>
      <c r="L67">
        <v>0</v>
      </c>
      <c r="M67">
        <v>0</v>
      </c>
      <c r="N67">
        <v>0</v>
      </c>
      <c r="O67">
        <v>0</v>
      </c>
      <c r="P67">
        <v>0</v>
      </c>
      <c r="Q67">
        <v>0</v>
      </c>
      <c r="R67">
        <v>0</v>
      </c>
      <c r="S67">
        <v>0</v>
      </c>
      <c r="T67">
        <v>0</v>
      </c>
      <c r="U67">
        <v>0</v>
      </c>
      <c r="V67">
        <v>0</v>
      </c>
      <c r="W67" s="30">
        <f t="shared" si="9"/>
        <v>35.3446</v>
      </c>
      <c r="Y67">
        <v>2</v>
      </c>
      <c r="Z67" t="s">
        <v>16</v>
      </c>
      <c r="AA67">
        <v>25984</v>
      </c>
      <c r="AB67">
        <v>64</v>
      </c>
      <c r="AC67">
        <v>2</v>
      </c>
      <c r="AD67">
        <v>8</v>
      </c>
      <c r="AE67">
        <v>298.25</v>
      </c>
      <c r="AF67" s="139">
        <v>39.219000000000001</v>
      </c>
      <c r="AG67" s="33">
        <v>45609</v>
      </c>
      <c r="AH67" s="34">
        <v>6.6597222222222224E-2</v>
      </c>
      <c r="AI67">
        <v>0</v>
      </c>
      <c r="AJ67">
        <v>0</v>
      </c>
      <c r="AK67">
        <v>0</v>
      </c>
      <c r="AL67">
        <v>0</v>
      </c>
      <c r="AM67">
        <v>0</v>
      </c>
      <c r="AN67">
        <v>0</v>
      </c>
      <c r="AO67">
        <v>0</v>
      </c>
      <c r="AP67">
        <v>0</v>
      </c>
      <c r="AQ67">
        <v>0</v>
      </c>
      <c r="AR67">
        <v>0</v>
      </c>
      <c r="AS67">
        <v>0</v>
      </c>
      <c r="AT67">
        <v>0</v>
      </c>
      <c r="AU67" s="30">
        <f t="shared" si="26"/>
        <v>39.212666666666671</v>
      </c>
    </row>
    <row r="68" spans="1:47" x14ac:dyDescent="0.25">
      <c r="A68">
        <v>3</v>
      </c>
      <c r="B68" t="s">
        <v>16</v>
      </c>
      <c r="C68">
        <v>25984</v>
      </c>
      <c r="D68">
        <v>64</v>
      </c>
      <c r="E68">
        <v>2</v>
      </c>
      <c r="F68">
        <v>8</v>
      </c>
      <c r="G68">
        <v>331.11</v>
      </c>
      <c r="H68" s="139">
        <v>35.326000000000001</v>
      </c>
      <c r="I68" s="33">
        <v>45608</v>
      </c>
      <c r="J68" s="37">
        <v>5.1122685185185188E-2</v>
      </c>
      <c r="K68">
        <v>0</v>
      </c>
      <c r="L68">
        <v>0</v>
      </c>
      <c r="M68">
        <v>0</v>
      </c>
      <c r="N68">
        <v>0</v>
      </c>
      <c r="O68">
        <v>0</v>
      </c>
      <c r="P68">
        <v>0</v>
      </c>
      <c r="Q68">
        <v>0</v>
      </c>
      <c r="R68">
        <v>0</v>
      </c>
      <c r="S68">
        <v>0</v>
      </c>
      <c r="T68">
        <v>0</v>
      </c>
      <c r="U68">
        <v>0</v>
      </c>
      <c r="V68">
        <v>0</v>
      </c>
      <c r="W68" s="30">
        <f t="shared" si="9"/>
        <v>35.3446</v>
      </c>
      <c r="Y68">
        <v>3</v>
      </c>
      <c r="Z68" t="s">
        <v>16</v>
      </c>
      <c r="AA68">
        <v>25984</v>
      </c>
      <c r="AB68">
        <v>64</v>
      </c>
      <c r="AC68">
        <v>2</v>
      </c>
      <c r="AD68">
        <v>8</v>
      </c>
      <c r="AU68" s="30">
        <f t="shared" si="26"/>
        <v>39.212666666666671</v>
      </c>
    </row>
    <row r="69" spans="1:47" x14ac:dyDescent="0.25">
      <c r="A69">
        <v>4</v>
      </c>
      <c r="B69" t="s">
        <v>16</v>
      </c>
      <c r="C69">
        <v>25984</v>
      </c>
      <c r="D69">
        <v>64</v>
      </c>
      <c r="E69">
        <v>2</v>
      </c>
      <c r="F69">
        <v>8</v>
      </c>
      <c r="G69">
        <v>330.92</v>
      </c>
      <c r="H69" s="139">
        <v>35.345999999999997</v>
      </c>
      <c r="I69" s="33">
        <v>45608</v>
      </c>
      <c r="J69" s="37">
        <v>0.14381944444444444</v>
      </c>
      <c r="K69">
        <v>0</v>
      </c>
      <c r="L69">
        <v>0</v>
      </c>
      <c r="M69">
        <v>0</v>
      </c>
      <c r="N69">
        <v>0</v>
      </c>
      <c r="O69">
        <v>0</v>
      </c>
      <c r="P69">
        <v>0</v>
      </c>
      <c r="Q69">
        <v>0</v>
      </c>
      <c r="R69">
        <v>0</v>
      </c>
      <c r="S69">
        <v>0</v>
      </c>
      <c r="T69">
        <v>0</v>
      </c>
      <c r="U69">
        <v>0</v>
      </c>
      <c r="V69">
        <v>0</v>
      </c>
      <c r="W69" s="30">
        <f t="shared" si="9"/>
        <v>35.3446</v>
      </c>
      <c r="Y69">
        <v>4</v>
      </c>
      <c r="Z69" t="s">
        <v>16</v>
      </c>
      <c r="AA69">
        <v>25984</v>
      </c>
      <c r="AB69">
        <v>64</v>
      </c>
      <c r="AC69">
        <v>2</v>
      </c>
      <c r="AD69">
        <v>8</v>
      </c>
      <c r="AU69" s="30">
        <f t="shared" si="26"/>
        <v>39.212666666666671</v>
      </c>
    </row>
    <row r="70" spans="1:47" x14ac:dyDescent="0.25">
      <c r="A70">
        <v>0</v>
      </c>
      <c r="B70" t="s">
        <v>16</v>
      </c>
      <c r="C70">
        <v>27520</v>
      </c>
      <c r="D70">
        <v>64</v>
      </c>
      <c r="E70">
        <v>2</v>
      </c>
      <c r="F70">
        <v>8</v>
      </c>
      <c r="G70">
        <v>387.7</v>
      </c>
      <c r="H70" s="139">
        <v>35.843000000000004</v>
      </c>
      <c r="I70" s="33">
        <v>45607</v>
      </c>
      <c r="J70" s="37">
        <v>0.37243055555555554</v>
      </c>
      <c r="K70">
        <v>0</v>
      </c>
      <c r="L70">
        <v>0</v>
      </c>
      <c r="M70">
        <v>0</v>
      </c>
      <c r="N70">
        <v>0</v>
      </c>
      <c r="O70">
        <v>0</v>
      </c>
      <c r="P70">
        <v>0</v>
      </c>
      <c r="Q70">
        <v>0</v>
      </c>
      <c r="R70">
        <v>0</v>
      </c>
      <c r="S70">
        <v>0</v>
      </c>
      <c r="T70">
        <v>0</v>
      </c>
      <c r="U70">
        <v>0</v>
      </c>
      <c r="V70">
        <v>0</v>
      </c>
      <c r="W70" s="30">
        <f t="shared" ref="W70" si="51">AVERAGE(H70:H74)</f>
        <v>35.817399999999999</v>
      </c>
      <c r="Y70">
        <v>0</v>
      </c>
      <c r="Z70" t="s">
        <v>16</v>
      </c>
      <c r="AA70">
        <v>27520</v>
      </c>
      <c r="AB70">
        <v>64</v>
      </c>
      <c r="AC70">
        <v>2</v>
      </c>
      <c r="AD70">
        <v>8</v>
      </c>
      <c r="AE70">
        <v>350.57</v>
      </c>
      <c r="AF70" s="139">
        <v>39.637999999999998</v>
      </c>
      <c r="AG70" s="33">
        <v>45608</v>
      </c>
      <c r="AH70" s="34">
        <v>0.78749999999999998</v>
      </c>
      <c r="AI70">
        <v>0</v>
      </c>
      <c r="AJ70">
        <v>0</v>
      </c>
      <c r="AK70">
        <v>0</v>
      </c>
      <c r="AL70">
        <v>0</v>
      </c>
      <c r="AM70">
        <v>0</v>
      </c>
      <c r="AN70">
        <v>0</v>
      </c>
      <c r="AO70">
        <v>0</v>
      </c>
      <c r="AP70">
        <v>0</v>
      </c>
      <c r="AQ70">
        <v>0</v>
      </c>
      <c r="AR70">
        <v>0</v>
      </c>
      <c r="AS70">
        <v>0</v>
      </c>
      <c r="AT70">
        <v>0</v>
      </c>
      <c r="AU70" s="30">
        <f t="shared" si="28"/>
        <v>39.650666666666666</v>
      </c>
    </row>
    <row r="71" spans="1:47" x14ac:dyDescent="0.25">
      <c r="A71">
        <v>1</v>
      </c>
      <c r="B71" t="s">
        <v>16</v>
      </c>
      <c r="C71">
        <v>27520</v>
      </c>
      <c r="D71">
        <v>64</v>
      </c>
      <c r="E71">
        <v>2</v>
      </c>
      <c r="F71">
        <v>8</v>
      </c>
      <c r="G71">
        <v>388.23</v>
      </c>
      <c r="H71" s="139">
        <v>35.792999999999999</v>
      </c>
      <c r="I71" s="33">
        <v>45607</v>
      </c>
      <c r="J71" s="37">
        <v>0.65233796296296298</v>
      </c>
      <c r="K71">
        <v>0</v>
      </c>
      <c r="L71">
        <v>0</v>
      </c>
      <c r="M71">
        <v>0</v>
      </c>
      <c r="N71">
        <v>0</v>
      </c>
      <c r="O71">
        <v>0</v>
      </c>
      <c r="P71">
        <v>0</v>
      </c>
      <c r="Q71">
        <v>0</v>
      </c>
      <c r="R71">
        <v>0</v>
      </c>
      <c r="S71">
        <v>0</v>
      </c>
      <c r="T71">
        <v>0</v>
      </c>
      <c r="U71">
        <v>0</v>
      </c>
      <c r="V71">
        <v>0</v>
      </c>
      <c r="W71" s="30">
        <f t="shared" ref="W71" si="52">W70</f>
        <v>35.817399999999999</v>
      </c>
      <c r="Y71">
        <v>1</v>
      </c>
      <c r="Z71" t="s">
        <v>16</v>
      </c>
      <c r="AA71">
        <v>27520</v>
      </c>
      <c r="AB71">
        <v>64</v>
      </c>
      <c r="AC71">
        <v>2</v>
      </c>
      <c r="AD71">
        <v>8</v>
      </c>
      <c r="AE71">
        <v>350.44</v>
      </c>
      <c r="AF71" s="139">
        <v>39.652999999999999</v>
      </c>
      <c r="AG71" s="33">
        <v>45608</v>
      </c>
      <c r="AH71" s="34">
        <v>0.94895833333333335</v>
      </c>
      <c r="AI71">
        <v>0</v>
      </c>
      <c r="AJ71">
        <v>0</v>
      </c>
      <c r="AK71">
        <v>0</v>
      </c>
      <c r="AL71">
        <v>0</v>
      </c>
      <c r="AM71">
        <v>0</v>
      </c>
      <c r="AN71">
        <v>0</v>
      </c>
      <c r="AO71">
        <v>0</v>
      </c>
      <c r="AP71">
        <v>0</v>
      </c>
      <c r="AQ71">
        <v>0</v>
      </c>
      <c r="AR71">
        <v>0</v>
      </c>
      <c r="AS71">
        <v>0</v>
      </c>
      <c r="AT71">
        <v>0</v>
      </c>
      <c r="AU71" s="30">
        <f t="shared" si="30"/>
        <v>39.650666666666666</v>
      </c>
    </row>
    <row r="72" spans="1:47" x14ac:dyDescent="0.25">
      <c r="A72">
        <v>2</v>
      </c>
      <c r="B72" t="s">
        <v>16</v>
      </c>
      <c r="C72">
        <v>27520</v>
      </c>
      <c r="D72">
        <v>64</v>
      </c>
      <c r="E72">
        <v>2</v>
      </c>
      <c r="F72">
        <v>8</v>
      </c>
      <c r="G72">
        <v>387.85</v>
      </c>
      <c r="H72" s="139">
        <v>35.828000000000003</v>
      </c>
      <c r="I72" s="33">
        <v>45607</v>
      </c>
      <c r="J72" s="37">
        <v>0.9110300925925926</v>
      </c>
      <c r="K72">
        <v>0</v>
      </c>
      <c r="L72">
        <v>0</v>
      </c>
      <c r="M72">
        <v>0</v>
      </c>
      <c r="N72">
        <v>0</v>
      </c>
      <c r="O72">
        <v>0</v>
      </c>
      <c r="P72">
        <v>0</v>
      </c>
      <c r="Q72">
        <v>0</v>
      </c>
      <c r="R72">
        <v>0</v>
      </c>
      <c r="S72">
        <v>0</v>
      </c>
      <c r="T72">
        <v>0</v>
      </c>
      <c r="U72">
        <v>0</v>
      </c>
      <c r="V72">
        <v>0</v>
      </c>
      <c r="W72" s="30">
        <f t="shared" si="13"/>
        <v>35.817399999999999</v>
      </c>
      <c r="Y72">
        <v>2</v>
      </c>
      <c r="Z72" t="s">
        <v>16</v>
      </c>
      <c r="AA72">
        <v>27520</v>
      </c>
      <c r="AB72">
        <v>64</v>
      </c>
      <c r="AC72">
        <v>2</v>
      </c>
      <c r="AD72">
        <v>8</v>
      </c>
      <c r="AE72">
        <v>350.37</v>
      </c>
      <c r="AF72" s="139">
        <v>39.661000000000001</v>
      </c>
      <c r="AG72" s="33">
        <v>45609</v>
      </c>
      <c r="AH72" s="34">
        <v>3.9953703703703707E-2</v>
      </c>
      <c r="AI72">
        <v>0</v>
      </c>
      <c r="AJ72">
        <v>0</v>
      </c>
      <c r="AK72">
        <v>0</v>
      </c>
      <c r="AL72">
        <v>0</v>
      </c>
      <c r="AM72">
        <v>0</v>
      </c>
      <c r="AN72">
        <v>0</v>
      </c>
      <c r="AO72">
        <v>0</v>
      </c>
      <c r="AP72">
        <v>0</v>
      </c>
      <c r="AQ72">
        <v>0</v>
      </c>
      <c r="AR72">
        <v>0</v>
      </c>
      <c r="AS72">
        <v>0</v>
      </c>
      <c r="AT72">
        <v>0</v>
      </c>
      <c r="AU72" s="30">
        <f t="shared" si="30"/>
        <v>39.650666666666666</v>
      </c>
    </row>
    <row r="73" spans="1:47" x14ac:dyDescent="0.25">
      <c r="A73">
        <v>3</v>
      </c>
      <c r="B73" t="s">
        <v>16</v>
      </c>
      <c r="C73">
        <v>27520</v>
      </c>
      <c r="D73">
        <v>64</v>
      </c>
      <c r="E73">
        <v>2</v>
      </c>
      <c r="F73">
        <v>8</v>
      </c>
      <c r="G73">
        <v>387.96</v>
      </c>
      <c r="H73" s="139">
        <v>35.817999999999998</v>
      </c>
      <c r="I73" s="33">
        <v>45608</v>
      </c>
      <c r="J73" s="37">
        <v>2.4097222222222221E-2</v>
      </c>
      <c r="K73">
        <v>0</v>
      </c>
      <c r="L73">
        <v>0</v>
      </c>
      <c r="M73">
        <v>0</v>
      </c>
      <c r="N73">
        <v>0</v>
      </c>
      <c r="O73">
        <v>0</v>
      </c>
      <c r="P73">
        <v>0</v>
      </c>
      <c r="Q73">
        <v>0</v>
      </c>
      <c r="R73">
        <v>0</v>
      </c>
      <c r="S73">
        <v>0</v>
      </c>
      <c r="T73">
        <v>0</v>
      </c>
      <c r="U73">
        <v>0</v>
      </c>
      <c r="V73">
        <v>0</v>
      </c>
      <c r="W73" s="30">
        <f t="shared" si="13"/>
        <v>35.817399999999999</v>
      </c>
      <c r="Y73">
        <v>3</v>
      </c>
      <c r="Z73" t="s">
        <v>16</v>
      </c>
      <c r="AA73">
        <v>27520</v>
      </c>
      <c r="AB73">
        <v>64</v>
      </c>
      <c r="AC73">
        <v>2</v>
      </c>
      <c r="AD73">
        <v>8</v>
      </c>
      <c r="AU73" s="30">
        <f t="shared" si="30"/>
        <v>39.650666666666666</v>
      </c>
    </row>
    <row r="74" spans="1:47" x14ac:dyDescent="0.25">
      <c r="A74">
        <v>4</v>
      </c>
      <c r="B74" t="s">
        <v>16</v>
      </c>
      <c r="C74">
        <v>27520</v>
      </c>
      <c r="D74">
        <v>64</v>
      </c>
      <c r="E74">
        <v>2</v>
      </c>
      <c r="F74">
        <v>8</v>
      </c>
      <c r="G74">
        <v>388.1</v>
      </c>
      <c r="H74" s="139">
        <v>35.805</v>
      </c>
      <c r="I74" s="33">
        <v>45608</v>
      </c>
      <c r="J74" s="37">
        <v>0.11680555555555555</v>
      </c>
      <c r="K74">
        <v>0</v>
      </c>
      <c r="L74">
        <v>0</v>
      </c>
      <c r="M74">
        <v>0</v>
      </c>
      <c r="N74">
        <v>0</v>
      </c>
      <c r="O74">
        <v>0</v>
      </c>
      <c r="P74">
        <v>0</v>
      </c>
      <c r="Q74">
        <v>0</v>
      </c>
      <c r="R74">
        <v>0</v>
      </c>
      <c r="S74">
        <v>0</v>
      </c>
      <c r="T74">
        <v>0</v>
      </c>
      <c r="U74">
        <v>0</v>
      </c>
      <c r="V74">
        <v>0</v>
      </c>
      <c r="W74" s="30">
        <f t="shared" si="13"/>
        <v>35.817399999999999</v>
      </c>
      <c r="Y74">
        <v>4</v>
      </c>
      <c r="Z74" t="s">
        <v>16</v>
      </c>
      <c r="AA74">
        <v>27520</v>
      </c>
      <c r="AB74">
        <v>64</v>
      </c>
      <c r="AC74">
        <v>2</v>
      </c>
      <c r="AD74">
        <v>8</v>
      </c>
      <c r="AU74" s="30">
        <f t="shared" si="30"/>
        <v>39.650666666666666</v>
      </c>
    </row>
    <row r="75" spans="1:47" x14ac:dyDescent="0.25">
      <c r="A75">
        <v>0</v>
      </c>
      <c r="B75" t="s">
        <v>16</v>
      </c>
      <c r="C75">
        <v>29056</v>
      </c>
      <c r="D75">
        <v>64</v>
      </c>
      <c r="E75">
        <v>2</v>
      </c>
      <c r="F75">
        <v>8</v>
      </c>
      <c r="G75">
        <v>452.61</v>
      </c>
      <c r="H75" s="139">
        <v>36.134</v>
      </c>
      <c r="I75" s="33">
        <v>45607</v>
      </c>
      <c r="J75" s="37">
        <v>0.43366898148148147</v>
      </c>
      <c r="K75">
        <v>0</v>
      </c>
      <c r="L75">
        <v>0</v>
      </c>
      <c r="M75">
        <v>0</v>
      </c>
      <c r="N75">
        <v>0</v>
      </c>
      <c r="O75">
        <v>0</v>
      </c>
      <c r="P75">
        <v>0</v>
      </c>
      <c r="Q75">
        <v>0</v>
      </c>
      <c r="R75">
        <v>0</v>
      </c>
      <c r="S75">
        <v>0</v>
      </c>
      <c r="T75">
        <v>0</v>
      </c>
      <c r="U75">
        <v>0</v>
      </c>
      <c r="V75">
        <v>0</v>
      </c>
      <c r="W75" s="30">
        <f t="shared" ref="W75" si="53">AVERAGE(H75:H79)</f>
        <v>36.141999999999996</v>
      </c>
      <c r="Y75">
        <v>0</v>
      </c>
      <c r="Z75" t="s">
        <v>16</v>
      </c>
      <c r="AA75">
        <v>29056</v>
      </c>
      <c r="AB75">
        <v>64</v>
      </c>
      <c r="AC75">
        <v>2</v>
      </c>
      <c r="AD75">
        <v>8</v>
      </c>
      <c r="AE75">
        <v>408.63</v>
      </c>
      <c r="AF75" s="139">
        <v>40.024000000000001</v>
      </c>
      <c r="AG75" s="33">
        <v>45608</v>
      </c>
      <c r="AH75" s="34">
        <v>0.84760416666666671</v>
      </c>
      <c r="AI75">
        <v>0</v>
      </c>
      <c r="AJ75">
        <v>0</v>
      </c>
      <c r="AK75">
        <v>0</v>
      </c>
      <c r="AL75">
        <v>0</v>
      </c>
      <c r="AM75">
        <v>0</v>
      </c>
      <c r="AN75">
        <v>0</v>
      </c>
      <c r="AO75">
        <v>0</v>
      </c>
      <c r="AP75">
        <v>0</v>
      </c>
      <c r="AQ75">
        <v>0</v>
      </c>
      <c r="AR75">
        <v>0</v>
      </c>
      <c r="AS75">
        <v>0</v>
      </c>
      <c r="AT75">
        <v>0</v>
      </c>
      <c r="AU75" s="30">
        <f t="shared" si="32"/>
        <v>39.977666666666671</v>
      </c>
    </row>
    <row r="76" spans="1:47" x14ac:dyDescent="0.25">
      <c r="A76">
        <v>1</v>
      </c>
      <c r="B76" t="s">
        <v>16</v>
      </c>
      <c r="C76">
        <v>29056</v>
      </c>
      <c r="D76">
        <v>64</v>
      </c>
      <c r="E76">
        <v>2</v>
      </c>
      <c r="F76">
        <v>8</v>
      </c>
      <c r="G76">
        <v>452.72</v>
      </c>
      <c r="H76" s="139">
        <v>36.125999999999998</v>
      </c>
      <c r="I76" s="33">
        <v>45607</v>
      </c>
      <c r="J76" s="37">
        <v>0.71357638888888886</v>
      </c>
      <c r="K76">
        <v>0</v>
      </c>
      <c r="L76">
        <v>0</v>
      </c>
      <c r="M76">
        <v>0</v>
      </c>
      <c r="N76">
        <v>0</v>
      </c>
      <c r="O76">
        <v>0</v>
      </c>
      <c r="P76">
        <v>0</v>
      </c>
      <c r="Q76">
        <v>0</v>
      </c>
      <c r="R76">
        <v>0</v>
      </c>
      <c r="S76">
        <v>0</v>
      </c>
      <c r="T76">
        <v>0</v>
      </c>
      <c r="U76">
        <v>0</v>
      </c>
      <c r="V76">
        <v>0</v>
      </c>
      <c r="W76" s="30">
        <f t="shared" ref="W76" si="54">W75</f>
        <v>36.141999999999996</v>
      </c>
      <c r="Y76">
        <v>1</v>
      </c>
      <c r="Z76" t="s">
        <v>16</v>
      </c>
      <c r="AA76">
        <v>29056</v>
      </c>
      <c r="AB76">
        <v>64</v>
      </c>
      <c r="AC76">
        <v>2</v>
      </c>
      <c r="AD76">
        <v>8</v>
      </c>
      <c r="AE76">
        <v>409.45</v>
      </c>
      <c r="AF76" s="139">
        <v>39.944000000000003</v>
      </c>
      <c r="AG76" s="33">
        <v>45609</v>
      </c>
      <c r="AH76" s="34">
        <v>9.0509259259259258E-3</v>
      </c>
      <c r="AI76">
        <v>0</v>
      </c>
      <c r="AJ76">
        <v>0</v>
      </c>
      <c r="AK76">
        <v>0</v>
      </c>
      <c r="AL76">
        <v>0</v>
      </c>
      <c r="AM76">
        <v>0</v>
      </c>
      <c r="AN76">
        <v>0</v>
      </c>
      <c r="AO76">
        <v>0</v>
      </c>
      <c r="AP76">
        <v>0</v>
      </c>
      <c r="AQ76">
        <v>0</v>
      </c>
      <c r="AR76">
        <v>0</v>
      </c>
      <c r="AS76">
        <v>0</v>
      </c>
      <c r="AT76">
        <v>0</v>
      </c>
      <c r="AU76" s="30">
        <f t="shared" si="34"/>
        <v>39.977666666666671</v>
      </c>
    </row>
    <row r="77" spans="1:47" x14ac:dyDescent="0.25">
      <c r="A77">
        <v>2</v>
      </c>
      <c r="B77" t="s">
        <v>16</v>
      </c>
      <c r="C77">
        <v>29056</v>
      </c>
      <c r="D77">
        <v>64</v>
      </c>
      <c r="E77">
        <v>2</v>
      </c>
      <c r="F77">
        <v>8</v>
      </c>
      <c r="G77">
        <v>452.54</v>
      </c>
      <c r="H77" s="139">
        <v>36.14</v>
      </c>
      <c r="I77" s="33">
        <v>45607</v>
      </c>
      <c r="J77" s="37">
        <v>0.99259259259259258</v>
      </c>
      <c r="K77">
        <v>0</v>
      </c>
      <c r="L77">
        <v>0</v>
      </c>
      <c r="M77">
        <v>0</v>
      </c>
      <c r="N77">
        <v>0</v>
      </c>
      <c r="O77">
        <v>0</v>
      </c>
      <c r="P77">
        <v>0</v>
      </c>
      <c r="Q77">
        <v>0</v>
      </c>
      <c r="R77">
        <v>0</v>
      </c>
      <c r="S77">
        <v>0</v>
      </c>
      <c r="T77">
        <v>0</v>
      </c>
      <c r="U77">
        <v>0</v>
      </c>
      <c r="V77">
        <v>0</v>
      </c>
      <c r="W77" s="30">
        <f t="shared" si="9"/>
        <v>36.141999999999996</v>
      </c>
      <c r="Y77">
        <v>2</v>
      </c>
      <c r="Z77" t="s">
        <v>16</v>
      </c>
      <c r="AA77">
        <v>29056</v>
      </c>
      <c r="AB77">
        <v>64</v>
      </c>
      <c r="AC77">
        <v>2</v>
      </c>
      <c r="AD77">
        <v>8</v>
      </c>
      <c r="AE77">
        <v>409.24</v>
      </c>
      <c r="AF77" s="139">
        <v>39.965000000000003</v>
      </c>
      <c r="AG77" s="33">
        <v>45612</v>
      </c>
      <c r="AH77" s="34">
        <v>0.75945601851851852</v>
      </c>
      <c r="AI77">
        <v>0</v>
      </c>
      <c r="AJ77">
        <v>0</v>
      </c>
      <c r="AK77">
        <v>0</v>
      </c>
      <c r="AL77">
        <v>0</v>
      </c>
      <c r="AM77">
        <v>0</v>
      </c>
      <c r="AN77">
        <v>0</v>
      </c>
      <c r="AO77">
        <v>0</v>
      </c>
      <c r="AP77">
        <v>0</v>
      </c>
      <c r="AQ77">
        <v>0</v>
      </c>
      <c r="AR77">
        <v>0</v>
      </c>
      <c r="AS77">
        <v>0</v>
      </c>
      <c r="AT77">
        <v>0</v>
      </c>
      <c r="AU77" s="30">
        <f t="shared" si="30"/>
        <v>39.977666666666671</v>
      </c>
    </row>
    <row r="78" spans="1:47" x14ac:dyDescent="0.25">
      <c r="A78">
        <v>3</v>
      </c>
      <c r="B78" t="s">
        <v>16</v>
      </c>
      <c r="C78">
        <v>29056</v>
      </c>
      <c r="D78">
        <v>64</v>
      </c>
      <c r="E78">
        <v>2</v>
      </c>
      <c r="F78">
        <v>8</v>
      </c>
      <c r="G78">
        <v>452.24</v>
      </c>
      <c r="H78" s="139">
        <v>36.164000000000001</v>
      </c>
      <c r="I78" s="33">
        <v>45608</v>
      </c>
      <c r="J78" s="37">
        <v>8.5289351851851852E-2</v>
      </c>
      <c r="K78">
        <v>0</v>
      </c>
      <c r="L78">
        <v>0</v>
      </c>
      <c r="M78">
        <v>0</v>
      </c>
      <c r="N78">
        <v>0</v>
      </c>
      <c r="O78">
        <v>0</v>
      </c>
      <c r="P78">
        <v>0</v>
      </c>
      <c r="Q78">
        <v>0</v>
      </c>
      <c r="R78">
        <v>0</v>
      </c>
      <c r="S78">
        <v>0</v>
      </c>
      <c r="T78">
        <v>0</v>
      </c>
      <c r="U78">
        <v>0</v>
      </c>
      <c r="V78">
        <v>0</v>
      </c>
      <c r="W78" s="30">
        <f t="shared" si="9"/>
        <v>36.141999999999996</v>
      </c>
      <c r="Y78">
        <v>3</v>
      </c>
      <c r="Z78" t="s">
        <v>16</v>
      </c>
      <c r="AA78">
        <v>29056</v>
      </c>
      <c r="AB78">
        <v>64</v>
      </c>
      <c r="AC78">
        <v>2</v>
      </c>
      <c r="AD78">
        <v>8</v>
      </c>
      <c r="AU78" s="30">
        <f t="shared" si="30"/>
        <v>39.977666666666671</v>
      </c>
    </row>
    <row r="79" spans="1:47" x14ac:dyDescent="0.25">
      <c r="A79">
        <v>4</v>
      </c>
      <c r="B79" t="s">
        <v>16</v>
      </c>
      <c r="C79">
        <v>29056</v>
      </c>
      <c r="D79">
        <v>64</v>
      </c>
      <c r="E79">
        <v>2</v>
      </c>
      <c r="F79">
        <v>8</v>
      </c>
      <c r="G79">
        <v>452.47</v>
      </c>
      <c r="H79" s="139">
        <v>36.146000000000001</v>
      </c>
      <c r="I79" s="33">
        <v>45608</v>
      </c>
      <c r="J79" s="37">
        <v>0.17797453703703703</v>
      </c>
      <c r="K79">
        <v>0</v>
      </c>
      <c r="L79">
        <v>0</v>
      </c>
      <c r="M79">
        <v>0</v>
      </c>
      <c r="N79">
        <v>0</v>
      </c>
      <c r="O79">
        <v>0</v>
      </c>
      <c r="P79">
        <v>0</v>
      </c>
      <c r="Q79">
        <v>0</v>
      </c>
      <c r="R79">
        <v>0</v>
      </c>
      <c r="S79">
        <v>0</v>
      </c>
      <c r="T79">
        <v>0</v>
      </c>
      <c r="U79">
        <v>0</v>
      </c>
      <c r="V79">
        <v>0</v>
      </c>
      <c r="W79" s="30">
        <f t="shared" si="9"/>
        <v>36.141999999999996</v>
      </c>
      <c r="Y79">
        <v>4</v>
      </c>
      <c r="Z79" t="s">
        <v>16</v>
      </c>
      <c r="AA79">
        <v>29056</v>
      </c>
      <c r="AB79">
        <v>64</v>
      </c>
      <c r="AC79">
        <v>2</v>
      </c>
      <c r="AD79">
        <v>8</v>
      </c>
      <c r="AU79" s="30">
        <f t="shared" si="30"/>
        <v>39.977666666666671</v>
      </c>
    </row>
    <row r="80" spans="1:47" x14ac:dyDescent="0.25">
      <c r="A80">
        <v>0</v>
      </c>
      <c r="B80" t="s">
        <v>16</v>
      </c>
      <c r="C80">
        <v>25984</v>
      </c>
      <c r="D80">
        <v>64</v>
      </c>
      <c r="E80">
        <v>4</v>
      </c>
      <c r="F80">
        <v>4</v>
      </c>
      <c r="G80">
        <v>353.47</v>
      </c>
      <c r="H80" s="139">
        <v>33.091999999999999</v>
      </c>
      <c r="I80" s="33">
        <v>45607</v>
      </c>
      <c r="J80" s="37">
        <v>0.40372685185185186</v>
      </c>
      <c r="K80">
        <v>0</v>
      </c>
      <c r="L80">
        <v>0</v>
      </c>
      <c r="M80">
        <v>0</v>
      </c>
      <c r="N80">
        <v>0</v>
      </c>
      <c r="O80">
        <v>0</v>
      </c>
      <c r="P80">
        <v>0</v>
      </c>
      <c r="Q80">
        <v>0</v>
      </c>
      <c r="R80">
        <v>0</v>
      </c>
      <c r="S80">
        <v>0</v>
      </c>
      <c r="T80">
        <v>0</v>
      </c>
      <c r="U80">
        <v>0</v>
      </c>
      <c r="V80">
        <v>0</v>
      </c>
      <c r="W80" s="30">
        <f t="shared" ref="W80" si="55">AVERAGE(H80:H84)</f>
        <v>33.131599999999999</v>
      </c>
      <c r="Y80">
        <v>0</v>
      </c>
      <c r="Z80" t="s">
        <v>16</v>
      </c>
      <c r="AA80">
        <v>25984</v>
      </c>
      <c r="AB80">
        <v>64</v>
      </c>
      <c r="AC80">
        <v>4</v>
      </c>
      <c r="AD80">
        <v>4</v>
      </c>
      <c r="AE80">
        <v>319.88</v>
      </c>
      <c r="AF80" s="139">
        <v>36.566000000000003</v>
      </c>
      <c r="AG80" s="33">
        <v>45608</v>
      </c>
      <c r="AH80" s="34">
        <v>0.81841435185185185</v>
      </c>
      <c r="AI80">
        <v>0</v>
      </c>
      <c r="AJ80">
        <v>0</v>
      </c>
      <c r="AK80">
        <v>0</v>
      </c>
      <c r="AL80">
        <v>0</v>
      </c>
      <c r="AM80">
        <v>0</v>
      </c>
      <c r="AN80">
        <v>0</v>
      </c>
      <c r="AO80">
        <v>0</v>
      </c>
      <c r="AP80">
        <v>0</v>
      </c>
      <c r="AQ80">
        <v>0</v>
      </c>
      <c r="AR80">
        <v>0</v>
      </c>
      <c r="AS80">
        <v>0</v>
      </c>
      <c r="AT80">
        <v>0</v>
      </c>
      <c r="AU80" s="30">
        <f t="shared" si="36"/>
        <v>36.622333333333337</v>
      </c>
    </row>
    <row r="81" spans="1:47" x14ac:dyDescent="0.25">
      <c r="A81">
        <v>1</v>
      </c>
      <c r="B81" t="s">
        <v>16</v>
      </c>
      <c r="C81">
        <v>25984</v>
      </c>
      <c r="D81">
        <v>64</v>
      </c>
      <c r="E81">
        <v>4</v>
      </c>
      <c r="F81">
        <v>4</v>
      </c>
      <c r="G81">
        <v>353.14</v>
      </c>
      <c r="H81" s="139">
        <v>33.122</v>
      </c>
      <c r="I81" s="33">
        <v>45607</v>
      </c>
      <c r="J81" s="37">
        <v>0.68362268518518521</v>
      </c>
      <c r="K81">
        <v>0</v>
      </c>
      <c r="L81">
        <v>0</v>
      </c>
      <c r="M81">
        <v>0</v>
      </c>
      <c r="N81">
        <v>0</v>
      </c>
      <c r="O81">
        <v>0</v>
      </c>
      <c r="P81">
        <v>0</v>
      </c>
      <c r="Q81">
        <v>0</v>
      </c>
      <c r="R81">
        <v>0</v>
      </c>
      <c r="S81">
        <v>0</v>
      </c>
      <c r="T81">
        <v>0</v>
      </c>
      <c r="U81">
        <v>0</v>
      </c>
      <c r="V81">
        <v>0</v>
      </c>
      <c r="W81" s="30">
        <f t="shared" ref="W81" si="56">W80</f>
        <v>33.131599999999999</v>
      </c>
      <c r="Y81">
        <v>1</v>
      </c>
      <c r="Z81" t="s">
        <v>16</v>
      </c>
      <c r="AA81">
        <v>25984</v>
      </c>
      <c r="AB81">
        <v>64</v>
      </c>
      <c r="AC81">
        <v>4</v>
      </c>
      <c r="AD81">
        <v>4</v>
      </c>
      <c r="AE81">
        <v>318.97000000000003</v>
      </c>
      <c r="AF81" s="139">
        <v>36.67</v>
      </c>
      <c r="AG81" s="33">
        <v>45608</v>
      </c>
      <c r="AH81" s="34">
        <v>0.97988425925925926</v>
      </c>
      <c r="AI81">
        <v>0</v>
      </c>
      <c r="AJ81">
        <v>0</v>
      </c>
      <c r="AK81">
        <v>0</v>
      </c>
      <c r="AL81">
        <v>0</v>
      </c>
      <c r="AM81">
        <v>0</v>
      </c>
      <c r="AN81">
        <v>0</v>
      </c>
      <c r="AO81">
        <v>0</v>
      </c>
      <c r="AP81">
        <v>0</v>
      </c>
      <c r="AQ81">
        <v>0</v>
      </c>
      <c r="AR81">
        <v>0</v>
      </c>
      <c r="AS81">
        <v>0</v>
      </c>
      <c r="AT81">
        <v>0</v>
      </c>
      <c r="AU81" s="30">
        <f t="shared" si="38"/>
        <v>36.622333333333337</v>
      </c>
    </row>
    <row r="82" spans="1:47" x14ac:dyDescent="0.25">
      <c r="A82">
        <v>2</v>
      </c>
      <c r="B82" t="s">
        <v>16</v>
      </c>
      <c r="C82">
        <v>25984</v>
      </c>
      <c r="D82">
        <v>64</v>
      </c>
      <c r="E82">
        <v>4</v>
      </c>
      <c r="F82">
        <v>4</v>
      </c>
      <c r="G82">
        <v>352.67</v>
      </c>
      <c r="H82" s="139">
        <v>33.165999999999997</v>
      </c>
      <c r="I82" s="33">
        <v>45607</v>
      </c>
      <c r="J82" s="37">
        <v>0.96258101851851852</v>
      </c>
      <c r="K82">
        <v>0</v>
      </c>
      <c r="L82">
        <v>0</v>
      </c>
      <c r="M82">
        <v>0</v>
      </c>
      <c r="N82">
        <v>0</v>
      </c>
      <c r="O82">
        <v>0</v>
      </c>
      <c r="P82">
        <v>0</v>
      </c>
      <c r="Q82">
        <v>0</v>
      </c>
      <c r="R82">
        <v>0</v>
      </c>
      <c r="S82">
        <v>0</v>
      </c>
      <c r="T82">
        <v>0</v>
      </c>
      <c r="U82">
        <v>0</v>
      </c>
      <c r="V82">
        <v>0</v>
      </c>
      <c r="W82" s="30">
        <f t="shared" si="13"/>
        <v>33.131599999999999</v>
      </c>
      <c r="Y82">
        <v>2</v>
      </c>
      <c r="Z82" t="s">
        <v>16</v>
      </c>
      <c r="AA82">
        <v>25984</v>
      </c>
      <c r="AB82">
        <v>64</v>
      </c>
      <c r="AC82">
        <v>4</v>
      </c>
      <c r="AD82">
        <v>4</v>
      </c>
      <c r="AE82">
        <v>319.31</v>
      </c>
      <c r="AF82" s="139">
        <v>36.631</v>
      </c>
      <c r="AG82" s="33">
        <v>45609</v>
      </c>
      <c r="AH82" s="34">
        <v>7.0891203703703706E-2</v>
      </c>
      <c r="AI82">
        <v>0</v>
      </c>
      <c r="AJ82">
        <v>0</v>
      </c>
      <c r="AK82">
        <v>0</v>
      </c>
      <c r="AL82">
        <v>0</v>
      </c>
      <c r="AM82">
        <v>0</v>
      </c>
      <c r="AN82">
        <v>0</v>
      </c>
      <c r="AO82">
        <v>0</v>
      </c>
      <c r="AP82">
        <v>0</v>
      </c>
      <c r="AQ82">
        <v>0</v>
      </c>
      <c r="AR82">
        <v>0</v>
      </c>
      <c r="AS82">
        <v>0</v>
      </c>
      <c r="AT82">
        <v>0</v>
      </c>
      <c r="AU82" s="30">
        <f t="shared" si="30"/>
        <v>36.622333333333337</v>
      </c>
    </row>
    <row r="83" spans="1:47" x14ac:dyDescent="0.25">
      <c r="A83">
        <v>3</v>
      </c>
      <c r="B83" t="s">
        <v>16</v>
      </c>
      <c r="C83">
        <v>25984</v>
      </c>
      <c r="D83">
        <v>64</v>
      </c>
      <c r="E83">
        <v>4</v>
      </c>
      <c r="F83">
        <v>4</v>
      </c>
      <c r="G83">
        <v>353.07</v>
      </c>
      <c r="H83" s="139">
        <v>33.128999999999998</v>
      </c>
      <c r="I83" s="33">
        <v>45608</v>
      </c>
      <c r="J83" s="37">
        <v>5.5393518518518516E-2</v>
      </c>
      <c r="K83">
        <v>0</v>
      </c>
      <c r="L83">
        <v>0</v>
      </c>
      <c r="M83">
        <v>0</v>
      </c>
      <c r="N83">
        <v>0</v>
      </c>
      <c r="O83">
        <v>0</v>
      </c>
      <c r="P83">
        <v>0</v>
      </c>
      <c r="Q83">
        <v>0</v>
      </c>
      <c r="R83">
        <v>0</v>
      </c>
      <c r="S83">
        <v>0</v>
      </c>
      <c r="T83">
        <v>0</v>
      </c>
      <c r="U83">
        <v>0</v>
      </c>
      <c r="V83">
        <v>0</v>
      </c>
      <c r="W83" s="30">
        <f t="shared" si="13"/>
        <v>33.131599999999999</v>
      </c>
      <c r="Y83">
        <v>3</v>
      </c>
      <c r="Z83" t="s">
        <v>16</v>
      </c>
      <c r="AA83">
        <v>25984</v>
      </c>
      <c r="AB83">
        <v>64</v>
      </c>
      <c r="AC83">
        <v>4</v>
      </c>
      <c r="AD83">
        <v>4</v>
      </c>
      <c r="AU83" s="30">
        <f t="shared" si="30"/>
        <v>36.622333333333337</v>
      </c>
    </row>
    <row r="84" spans="1:47" x14ac:dyDescent="0.25">
      <c r="A84">
        <v>4</v>
      </c>
      <c r="B84" t="s">
        <v>16</v>
      </c>
      <c r="C84">
        <v>25984</v>
      </c>
      <c r="D84">
        <v>64</v>
      </c>
      <c r="E84">
        <v>4</v>
      </c>
      <c r="F84">
        <v>4</v>
      </c>
      <c r="G84">
        <v>352.86</v>
      </c>
      <c r="H84" s="139">
        <v>33.149000000000001</v>
      </c>
      <c r="I84" s="33">
        <v>45608</v>
      </c>
      <c r="J84" s="37">
        <v>0.14809027777777778</v>
      </c>
      <c r="K84">
        <v>0</v>
      </c>
      <c r="L84">
        <v>0</v>
      </c>
      <c r="M84">
        <v>0</v>
      </c>
      <c r="N84">
        <v>0</v>
      </c>
      <c r="O84">
        <v>0</v>
      </c>
      <c r="P84">
        <v>0</v>
      </c>
      <c r="Q84">
        <v>0</v>
      </c>
      <c r="R84">
        <v>0</v>
      </c>
      <c r="S84">
        <v>0</v>
      </c>
      <c r="T84">
        <v>0</v>
      </c>
      <c r="U84">
        <v>0</v>
      </c>
      <c r="V84">
        <v>0</v>
      </c>
      <c r="W84" s="30">
        <f t="shared" si="13"/>
        <v>33.131599999999999</v>
      </c>
      <c r="Y84">
        <v>4</v>
      </c>
      <c r="Z84" t="s">
        <v>16</v>
      </c>
      <c r="AA84">
        <v>25984</v>
      </c>
      <c r="AB84">
        <v>64</v>
      </c>
      <c r="AC84">
        <v>4</v>
      </c>
      <c r="AD84">
        <v>4</v>
      </c>
      <c r="AU84" s="30">
        <f t="shared" si="30"/>
        <v>36.622333333333337</v>
      </c>
    </row>
    <row r="85" spans="1:47" x14ac:dyDescent="0.25">
      <c r="A85">
        <v>0</v>
      </c>
      <c r="B85" t="s">
        <v>16</v>
      </c>
      <c r="C85">
        <v>27520</v>
      </c>
      <c r="D85">
        <v>64</v>
      </c>
      <c r="E85">
        <v>4</v>
      </c>
      <c r="F85">
        <v>4</v>
      </c>
      <c r="G85">
        <v>418.96</v>
      </c>
      <c r="H85" s="139">
        <v>33.167999999999999</v>
      </c>
      <c r="I85" s="33">
        <v>45607</v>
      </c>
      <c r="J85" s="37">
        <v>0.37748842592592591</v>
      </c>
      <c r="K85">
        <v>0</v>
      </c>
      <c r="L85">
        <v>0</v>
      </c>
      <c r="M85">
        <v>0</v>
      </c>
      <c r="N85">
        <v>0</v>
      </c>
      <c r="O85">
        <v>0</v>
      </c>
      <c r="P85">
        <v>0</v>
      </c>
      <c r="Q85">
        <v>0</v>
      </c>
      <c r="R85">
        <v>0</v>
      </c>
      <c r="S85">
        <v>0</v>
      </c>
      <c r="T85">
        <v>0</v>
      </c>
      <c r="U85">
        <v>0</v>
      </c>
      <c r="V85">
        <v>0</v>
      </c>
      <c r="W85" s="30">
        <f t="shared" ref="W85" si="57">AVERAGE(H85:H89)</f>
        <v>33.183</v>
      </c>
      <c r="Y85">
        <v>0</v>
      </c>
      <c r="Z85" t="s">
        <v>16</v>
      </c>
      <c r="AA85">
        <v>27520</v>
      </c>
      <c r="AB85">
        <v>64</v>
      </c>
      <c r="AC85">
        <v>4</v>
      </c>
      <c r="AD85">
        <v>4</v>
      </c>
      <c r="AE85">
        <v>374.46</v>
      </c>
      <c r="AF85" s="139">
        <v>37.11</v>
      </c>
      <c r="AG85" s="33">
        <v>45608</v>
      </c>
      <c r="AH85" s="34">
        <v>0.79248842592592594</v>
      </c>
      <c r="AI85">
        <v>0</v>
      </c>
      <c r="AJ85">
        <v>0</v>
      </c>
      <c r="AK85">
        <v>0</v>
      </c>
      <c r="AL85">
        <v>0</v>
      </c>
      <c r="AM85">
        <v>0</v>
      </c>
      <c r="AN85">
        <v>0</v>
      </c>
      <c r="AO85">
        <v>0</v>
      </c>
      <c r="AP85">
        <v>0</v>
      </c>
      <c r="AQ85">
        <v>0</v>
      </c>
      <c r="AR85">
        <v>0</v>
      </c>
      <c r="AS85">
        <v>0</v>
      </c>
      <c r="AT85">
        <v>0</v>
      </c>
      <c r="AU85" s="30">
        <f t="shared" si="40"/>
        <v>37.081333333333333</v>
      </c>
    </row>
    <row r="86" spans="1:47" x14ac:dyDescent="0.25">
      <c r="A86">
        <v>1</v>
      </c>
      <c r="B86" t="s">
        <v>16</v>
      </c>
      <c r="C86">
        <v>27520</v>
      </c>
      <c r="D86">
        <v>64</v>
      </c>
      <c r="E86">
        <v>4</v>
      </c>
      <c r="F86">
        <v>4</v>
      </c>
      <c r="G86">
        <v>418.49</v>
      </c>
      <c r="H86" s="139">
        <v>33.204999999999998</v>
      </c>
      <c r="I86" s="33">
        <v>45607</v>
      </c>
      <c r="J86" s="37">
        <v>0.65738425925925925</v>
      </c>
      <c r="K86">
        <v>0</v>
      </c>
      <c r="L86">
        <v>0</v>
      </c>
      <c r="M86">
        <v>0</v>
      </c>
      <c r="N86">
        <v>0</v>
      </c>
      <c r="O86">
        <v>0</v>
      </c>
      <c r="P86">
        <v>0</v>
      </c>
      <c r="Q86">
        <v>0</v>
      </c>
      <c r="R86">
        <v>0</v>
      </c>
      <c r="S86">
        <v>0</v>
      </c>
      <c r="T86">
        <v>0</v>
      </c>
      <c r="U86">
        <v>0</v>
      </c>
      <c r="V86">
        <v>0</v>
      </c>
      <c r="W86" s="30">
        <f t="shared" ref="W86:W149" si="58">W85</f>
        <v>33.183</v>
      </c>
      <c r="Y86">
        <v>1</v>
      </c>
      <c r="Z86" t="s">
        <v>16</v>
      </c>
      <c r="AA86">
        <v>27520</v>
      </c>
      <c r="AB86">
        <v>64</v>
      </c>
      <c r="AC86">
        <v>4</v>
      </c>
      <c r="AD86">
        <v>4</v>
      </c>
      <c r="AE86">
        <v>375.17</v>
      </c>
      <c r="AF86" s="139">
        <v>37.04</v>
      </c>
      <c r="AG86" s="33">
        <v>45608</v>
      </c>
      <c r="AH86" s="34">
        <v>0.95396990740740739</v>
      </c>
      <c r="AI86">
        <v>0</v>
      </c>
      <c r="AJ86">
        <v>0</v>
      </c>
      <c r="AK86">
        <v>0</v>
      </c>
      <c r="AL86">
        <v>0</v>
      </c>
      <c r="AM86">
        <v>0</v>
      </c>
      <c r="AN86">
        <v>0</v>
      </c>
      <c r="AO86">
        <v>0</v>
      </c>
      <c r="AP86">
        <v>0</v>
      </c>
      <c r="AQ86">
        <v>0</v>
      </c>
      <c r="AR86">
        <v>0</v>
      </c>
      <c r="AS86">
        <v>0</v>
      </c>
      <c r="AT86">
        <v>0</v>
      </c>
      <c r="AU86" s="30">
        <f t="shared" si="42"/>
        <v>37.081333333333333</v>
      </c>
    </row>
    <row r="87" spans="1:47" x14ac:dyDescent="0.25">
      <c r="A87">
        <v>2</v>
      </c>
      <c r="B87" t="s">
        <v>16</v>
      </c>
      <c r="C87">
        <v>27520</v>
      </c>
      <c r="D87">
        <v>64</v>
      </c>
      <c r="E87">
        <v>4</v>
      </c>
      <c r="F87">
        <v>4</v>
      </c>
      <c r="G87">
        <v>418.73</v>
      </c>
      <c r="H87" s="139">
        <v>33.186</v>
      </c>
      <c r="I87" s="33">
        <v>45607</v>
      </c>
      <c r="J87" s="37">
        <v>0.91607638888888887</v>
      </c>
      <c r="K87">
        <v>0</v>
      </c>
      <c r="L87">
        <v>0</v>
      </c>
      <c r="M87">
        <v>0</v>
      </c>
      <c r="N87">
        <v>0</v>
      </c>
      <c r="O87">
        <v>0</v>
      </c>
      <c r="P87">
        <v>0</v>
      </c>
      <c r="Q87">
        <v>0</v>
      </c>
      <c r="R87">
        <v>0</v>
      </c>
      <c r="S87">
        <v>0</v>
      </c>
      <c r="T87">
        <v>0</v>
      </c>
      <c r="U87">
        <v>0</v>
      </c>
      <c r="V87">
        <v>0</v>
      </c>
      <c r="W87" s="30">
        <f t="shared" si="58"/>
        <v>33.183</v>
      </c>
      <c r="Y87">
        <v>2</v>
      </c>
      <c r="Z87" t="s">
        <v>16</v>
      </c>
      <c r="AA87">
        <v>27520</v>
      </c>
      <c r="AB87">
        <v>64</v>
      </c>
      <c r="AC87">
        <v>4</v>
      </c>
      <c r="AD87">
        <v>4</v>
      </c>
      <c r="AE87">
        <v>374.61</v>
      </c>
      <c r="AF87" s="139">
        <v>37.094000000000001</v>
      </c>
      <c r="AG87" s="33">
        <v>45609</v>
      </c>
      <c r="AH87" s="34">
        <v>4.4953703703703704E-2</v>
      </c>
      <c r="AI87">
        <v>0</v>
      </c>
      <c r="AJ87">
        <v>0</v>
      </c>
      <c r="AK87">
        <v>0</v>
      </c>
      <c r="AL87">
        <v>0</v>
      </c>
      <c r="AM87">
        <v>0</v>
      </c>
      <c r="AN87">
        <v>0</v>
      </c>
      <c r="AO87">
        <v>0</v>
      </c>
      <c r="AP87">
        <v>0</v>
      </c>
      <c r="AQ87">
        <v>0</v>
      </c>
      <c r="AR87">
        <v>0</v>
      </c>
      <c r="AS87">
        <v>0</v>
      </c>
      <c r="AT87">
        <v>0</v>
      </c>
      <c r="AU87" s="30">
        <f t="shared" si="30"/>
        <v>37.081333333333333</v>
      </c>
    </row>
    <row r="88" spans="1:47" x14ac:dyDescent="0.25">
      <c r="A88">
        <v>3</v>
      </c>
      <c r="B88" t="s">
        <v>16</v>
      </c>
      <c r="C88">
        <v>27520</v>
      </c>
      <c r="D88">
        <v>64</v>
      </c>
      <c r="E88">
        <v>4</v>
      </c>
      <c r="F88">
        <v>4</v>
      </c>
      <c r="G88">
        <v>418.44</v>
      </c>
      <c r="H88" s="139">
        <v>33.209000000000003</v>
      </c>
      <c r="I88" s="33">
        <v>45608</v>
      </c>
      <c r="J88" s="37">
        <v>2.914351851851852E-2</v>
      </c>
      <c r="K88">
        <v>0</v>
      </c>
      <c r="L88">
        <v>0</v>
      </c>
      <c r="M88">
        <v>0</v>
      </c>
      <c r="N88">
        <v>0</v>
      </c>
      <c r="O88">
        <v>0</v>
      </c>
      <c r="P88">
        <v>0</v>
      </c>
      <c r="Q88">
        <v>0</v>
      </c>
      <c r="R88">
        <v>0</v>
      </c>
      <c r="S88">
        <v>0</v>
      </c>
      <c r="T88">
        <v>0</v>
      </c>
      <c r="U88">
        <v>0</v>
      </c>
      <c r="V88">
        <v>0</v>
      </c>
      <c r="W88" s="30">
        <f t="shared" si="58"/>
        <v>33.183</v>
      </c>
      <c r="Y88">
        <v>3</v>
      </c>
      <c r="Z88" t="s">
        <v>16</v>
      </c>
      <c r="AA88">
        <v>27520</v>
      </c>
      <c r="AB88">
        <v>64</v>
      </c>
      <c r="AC88">
        <v>4</v>
      </c>
      <c r="AD88">
        <v>4</v>
      </c>
      <c r="AU88" s="30">
        <f t="shared" si="30"/>
        <v>37.081333333333333</v>
      </c>
    </row>
    <row r="89" spans="1:47" x14ac:dyDescent="0.25">
      <c r="A89">
        <v>4</v>
      </c>
      <c r="B89" t="s">
        <v>16</v>
      </c>
      <c r="C89">
        <v>27520</v>
      </c>
      <c r="D89">
        <v>64</v>
      </c>
      <c r="E89">
        <v>4</v>
      </c>
      <c r="F89">
        <v>4</v>
      </c>
      <c r="G89">
        <v>419.23</v>
      </c>
      <c r="H89" s="139">
        <v>33.146999999999998</v>
      </c>
      <c r="I89" s="33">
        <v>45608</v>
      </c>
      <c r="J89" s="37">
        <v>0.12185185185185185</v>
      </c>
      <c r="K89">
        <v>0</v>
      </c>
      <c r="L89">
        <v>0</v>
      </c>
      <c r="M89">
        <v>0</v>
      </c>
      <c r="N89">
        <v>0</v>
      </c>
      <c r="O89">
        <v>0</v>
      </c>
      <c r="P89">
        <v>0</v>
      </c>
      <c r="Q89">
        <v>0</v>
      </c>
      <c r="R89">
        <v>0</v>
      </c>
      <c r="S89">
        <v>0</v>
      </c>
      <c r="T89">
        <v>0</v>
      </c>
      <c r="U89">
        <v>0</v>
      </c>
      <c r="V89">
        <v>0</v>
      </c>
      <c r="W89" s="30">
        <f t="shared" si="58"/>
        <v>33.183</v>
      </c>
      <c r="Y89">
        <v>4</v>
      </c>
      <c r="Z89" t="s">
        <v>16</v>
      </c>
      <c r="AA89">
        <v>27520</v>
      </c>
      <c r="AB89">
        <v>64</v>
      </c>
      <c r="AC89">
        <v>4</v>
      </c>
      <c r="AD89">
        <v>4</v>
      </c>
      <c r="AU89" s="30">
        <f t="shared" si="30"/>
        <v>37.081333333333333</v>
      </c>
    </row>
    <row r="90" spans="1:47" x14ac:dyDescent="0.25">
      <c r="A90">
        <v>0</v>
      </c>
      <c r="B90" t="s">
        <v>16</v>
      </c>
      <c r="C90">
        <v>29056</v>
      </c>
      <c r="D90">
        <v>64</v>
      </c>
      <c r="E90">
        <v>4</v>
      </c>
      <c r="F90">
        <v>4</v>
      </c>
      <c r="G90">
        <v>478.25</v>
      </c>
      <c r="H90" s="139">
        <v>34.197000000000003</v>
      </c>
      <c r="I90" s="33">
        <v>45607</v>
      </c>
      <c r="J90" s="37">
        <v>0.43942129629629628</v>
      </c>
      <c r="K90">
        <v>0</v>
      </c>
      <c r="L90">
        <v>0</v>
      </c>
      <c r="M90">
        <v>0</v>
      </c>
      <c r="N90">
        <v>0</v>
      </c>
      <c r="O90">
        <v>0</v>
      </c>
      <c r="P90">
        <v>0</v>
      </c>
      <c r="Q90">
        <v>0</v>
      </c>
      <c r="R90">
        <v>0</v>
      </c>
      <c r="S90">
        <v>0</v>
      </c>
      <c r="T90">
        <v>0</v>
      </c>
      <c r="U90">
        <v>0</v>
      </c>
      <c r="V90">
        <v>0</v>
      </c>
      <c r="W90" s="30">
        <f t="shared" ref="W90" si="59">AVERAGE(H90:H94)</f>
        <v>34.186</v>
      </c>
      <c r="Y90">
        <v>0</v>
      </c>
      <c r="Z90" t="s">
        <v>16</v>
      </c>
      <c r="AA90">
        <v>29056</v>
      </c>
      <c r="AB90">
        <v>64</v>
      </c>
      <c r="AC90">
        <v>4</v>
      </c>
      <c r="AD90">
        <v>4</v>
      </c>
      <c r="AE90">
        <v>431.96</v>
      </c>
      <c r="AF90" s="139">
        <v>37.862000000000002</v>
      </c>
      <c r="AG90" s="33">
        <v>45608</v>
      </c>
      <c r="AH90" s="34">
        <v>0.92380787037037038</v>
      </c>
      <c r="AI90">
        <v>0</v>
      </c>
      <c r="AJ90">
        <v>0</v>
      </c>
      <c r="AK90">
        <v>0</v>
      </c>
      <c r="AL90">
        <v>0</v>
      </c>
      <c r="AM90">
        <v>0</v>
      </c>
      <c r="AN90">
        <v>0</v>
      </c>
      <c r="AO90">
        <v>0</v>
      </c>
      <c r="AP90">
        <v>0</v>
      </c>
      <c r="AQ90">
        <v>0</v>
      </c>
      <c r="AR90">
        <v>0</v>
      </c>
      <c r="AS90">
        <v>0</v>
      </c>
      <c r="AT90">
        <v>0</v>
      </c>
      <c r="AU90" s="30">
        <f t="shared" si="44"/>
        <v>37.832000000000001</v>
      </c>
    </row>
    <row r="91" spans="1:47" x14ac:dyDescent="0.25">
      <c r="A91">
        <v>1</v>
      </c>
      <c r="B91" t="s">
        <v>16</v>
      </c>
      <c r="C91">
        <v>29056</v>
      </c>
      <c r="D91">
        <v>64</v>
      </c>
      <c r="E91">
        <v>4</v>
      </c>
      <c r="F91">
        <v>4</v>
      </c>
      <c r="G91">
        <v>478.46</v>
      </c>
      <c r="H91" s="139">
        <v>34.183</v>
      </c>
      <c r="I91" s="33">
        <v>45607</v>
      </c>
      <c r="J91" s="37">
        <v>0.71932870370370372</v>
      </c>
      <c r="K91">
        <v>0</v>
      </c>
      <c r="L91">
        <v>0</v>
      </c>
      <c r="M91">
        <v>0</v>
      </c>
      <c r="N91">
        <v>0</v>
      </c>
      <c r="O91">
        <v>0</v>
      </c>
      <c r="P91">
        <v>0</v>
      </c>
      <c r="Q91">
        <v>0</v>
      </c>
      <c r="R91">
        <v>0</v>
      </c>
      <c r="S91">
        <v>0</v>
      </c>
      <c r="T91">
        <v>0</v>
      </c>
      <c r="U91">
        <v>0</v>
      </c>
      <c r="V91">
        <v>0</v>
      </c>
      <c r="W91" s="30">
        <f t="shared" ref="W91:W154" si="60">W90</f>
        <v>34.186</v>
      </c>
      <c r="Y91">
        <v>1</v>
      </c>
      <c r="Z91" t="s">
        <v>16</v>
      </c>
      <c r="AA91">
        <v>29056</v>
      </c>
      <c r="AB91">
        <v>64</v>
      </c>
      <c r="AC91">
        <v>4</v>
      </c>
      <c r="AD91">
        <v>4</v>
      </c>
      <c r="AE91">
        <v>432.59</v>
      </c>
      <c r="AF91" s="139">
        <v>37.807000000000002</v>
      </c>
      <c r="AG91" s="33">
        <v>45609</v>
      </c>
      <c r="AH91" s="34">
        <v>1.4791666666666667E-2</v>
      </c>
      <c r="AI91">
        <v>0</v>
      </c>
      <c r="AJ91">
        <v>0</v>
      </c>
      <c r="AK91">
        <v>0</v>
      </c>
      <c r="AL91">
        <v>0</v>
      </c>
      <c r="AM91">
        <v>0</v>
      </c>
      <c r="AN91">
        <v>0</v>
      </c>
      <c r="AO91">
        <v>0</v>
      </c>
      <c r="AP91">
        <v>0</v>
      </c>
      <c r="AQ91">
        <v>0</v>
      </c>
      <c r="AR91">
        <v>0</v>
      </c>
      <c r="AS91">
        <v>0</v>
      </c>
      <c r="AT91">
        <v>0</v>
      </c>
      <c r="AU91" s="30">
        <f t="shared" si="46"/>
        <v>37.832000000000001</v>
      </c>
    </row>
    <row r="92" spans="1:47" x14ac:dyDescent="0.25">
      <c r="A92">
        <v>2</v>
      </c>
      <c r="B92" t="s">
        <v>16</v>
      </c>
      <c r="C92">
        <v>29056</v>
      </c>
      <c r="D92">
        <v>64</v>
      </c>
      <c r="E92">
        <v>4</v>
      </c>
      <c r="F92">
        <v>4</v>
      </c>
      <c r="G92">
        <v>478.09</v>
      </c>
      <c r="H92" s="139">
        <v>34.209000000000003</v>
      </c>
      <c r="I92" s="33">
        <v>45607</v>
      </c>
      <c r="J92" s="37">
        <v>0.99834490740740744</v>
      </c>
      <c r="K92">
        <v>0</v>
      </c>
      <c r="L92">
        <v>0</v>
      </c>
      <c r="M92">
        <v>0</v>
      </c>
      <c r="N92">
        <v>0</v>
      </c>
      <c r="O92">
        <v>0</v>
      </c>
      <c r="P92">
        <v>0</v>
      </c>
      <c r="Q92">
        <v>0</v>
      </c>
      <c r="R92">
        <v>0</v>
      </c>
      <c r="S92">
        <v>0</v>
      </c>
      <c r="T92">
        <v>0</v>
      </c>
      <c r="U92">
        <v>0</v>
      </c>
      <c r="V92">
        <v>0</v>
      </c>
      <c r="W92" s="30">
        <f t="shared" si="60"/>
        <v>34.186</v>
      </c>
      <c r="Y92">
        <v>2</v>
      </c>
      <c r="Z92" t="s">
        <v>16</v>
      </c>
      <c r="AA92">
        <v>29056</v>
      </c>
      <c r="AB92">
        <v>64</v>
      </c>
      <c r="AC92">
        <v>4</v>
      </c>
      <c r="AD92">
        <v>4</v>
      </c>
      <c r="AE92">
        <v>432.37</v>
      </c>
      <c r="AF92" s="139">
        <v>37.826999999999998</v>
      </c>
      <c r="AG92" s="33">
        <v>45612</v>
      </c>
      <c r="AH92" s="34">
        <v>0.76519675925925923</v>
      </c>
      <c r="AI92">
        <v>0</v>
      </c>
      <c r="AJ92">
        <v>0</v>
      </c>
      <c r="AK92">
        <v>0</v>
      </c>
      <c r="AL92">
        <v>0</v>
      </c>
      <c r="AM92">
        <v>0</v>
      </c>
      <c r="AN92">
        <v>0</v>
      </c>
      <c r="AO92">
        <v>0</v>
      </c>
      <c r="AP92">
        <v>0</v>
      </c>
      <c r="AQ92">
        <v>0</v>
      </c>
      <c r="AR92">
        <v>0</v>
      </c>
      <c r="AS92">
        <v>0</v>
      </c>
      <c r="AT92">
        <v>0</v>
      </c>
      <c r="AU92" s="30">
        <f t="shared" si="30"/>
        <v>37.832000000000001</v>
      </c>
    </row>
    <row r="93" spans="1:47" x14ac:dyDescent="0.25">
      <c r="A93">
        <v>3</v>
      </c>
      <c r="B93" t="s">
        <v>16</v>
      </c>
      <c r="C93">
        <v>29056</v>
      </c>
      <c r="D93">
        <v>64</v>
      </c>
      <c r="E93">
        <v>4</v>
      </c>
      <c r="F93">
        <v>4</v>
      </c>
      <c r="G93">
        <v>478.96</v>
      </c>
      <c r="H93" s="139">
        <v>34.146999999999998</v>
      </c>
      <c r="I93" s="33">
        <v>45608</v>
      </c>
      <c r="J93" s="37">
        <v>9.105324074074074E-2</v>
      </c>
      <c r="K93">
        <v>0</v>
      </c>
      <c r="L93">
        <v>0</v>
      </c>
      <c r="M93">
        <v>0</v>
      </c>
      <c r="N93">
        <v>0</v>
      </c>
      <c r="O93">
        <v>0</v>
      </c>
      <c r="P93">
        <v>0</v>
      </c>
      <c r="Q93">
        <v>0</v>
      </c>
      <c r="R93">
        <v>0</v>
      </c>
      <c r="S93">
        <v>0</v>
      </c>
      <c r="T93">
        <v>0</v>
      </c>
      <c r="U93">
        <v>0</v>
      </c>
      <c r="V93">
        <v>0</v>
      </c>
      <c r="W93" s="30">
        <f t="shared" si="60"/>
        <v>34.186</v>
      </c>
      <c r="Y93">
        <v>3</v>
      </c>
      <c r="Z93" t="s">
        <v>16</v>
      </c>
      <c r="AA93">
        <v>29056</v>
      </c>
      <c r="AB93">
        <v>64</v>
      </c>
      <c r="AC93">
        <v>4</v>
      </c>
      <c r="AD93">
        <v>4</v>
      </c>
      <c r="AU93" s="30">
        <f t="shared" si="30"/>
        <v>37.832000000000001</v>
      </c>
    </row>
    <row r="94" spans="1:47" x14ac:dyDescent="0.25">
      <c r="A94">
        <v>4</v>
      </c>
      <c r="B94" t="s">
        <v>16</v>
      </c>
      <c r="C94">
        <v>29056</v>
      </c>
      <c r="D94">
        <v>64</v>
      </c>
      <c r="E94">
        <v>4</v>
      </c>
      <c r="F94">
        <v>4</v>
      </c>
      <c r="G94">
        <v>478.3</v>
      </c>
      <c r="H94" s="139">
        <v>34.194000000000003</v>
      </c>
      <c r="I94" s="33">
        <v>45608</v>
      </c>
      <c r="J94" s="37">
        <v>0.18372685185185186</v>
      </c>
      <c r="K94">
        <v>0</v>
      </c>
      <c r="L94">
        <v>0</v>
      </c>
      <c r="M94">
        <v>0</v>
      </c>
      <c r="N94">
        <v>0</v>
      </c>
      <c r="O94">
        <v>0</v>
      </c>
      <c r="P94">
        <v>0</v>
      </c>
      <c r="Q94">
        <v>0</v>
      </c>
      <c r="R94">
        <v>0</v>
      </c>
      <c r="S94">
        <v>0</v>
      </c>
      <c r="T94">
        <v>0</v>
      </c>
      <c r="U94">
        <v>0</v>
      </c>
      <c r="V94">
        <v>0</v>
      </c>
      <c r="W94" s="30">
        <f t="shared" si="60"/>
        <v>34.186</v>
      </c>
      <c r="Y94">
        <v>4</v>
      </c>
      <c r="Z94" t="s">
        <v>16</v>
      </c>
      <c r="AA94">
        <v>29056</v>
      </c>
      <c r="AB94">
        <v>64</v>
      </c>
      <c r="AC94">
        <v>4</v>
      </c>
      <c r="AD94">
        <v>4</v>
      </c>
      <c r="AU94" s="30">
        <f t="shared" si="30"/>
        <v>37.832000000000001</v>
      </c>
    </row>
    <row r="95" spans="1:47" x14ac:dyDescent="0.25">
      <c r="A95">
        <v>0</v>
      </c>
      <c r="B95" t="s">
        <v>16</v>
      </c>
      <c r="C95">
        <v>25920</v>
      </c>
      <c r="D95">
        <v>96</v>
      </c>
      <c r="E95">
        <v>1</v>
      </c>
      <c r="F95">
        <v>16</v>
      </c>
      <c r="G95">
        <v>338.84</v>
      </c>
      <c r="H95" s="17">
        <v>34.265000000000001</v>
      </c>
      <c r="I95" s="33">
        <v>45318</v>
      </c>
      <c r="J95" s="37">
        <v>0.91738425925925926</v>
      </c>
      <c r="K95">
        <v>0</v>
      </c>
      <c r="L95">
        <v>0</v>
      </c>
      <c r="M95">
        <v>0</v>
      </c>
      <c r="N95">
        <v>0</v>
      </c>
      <c r="O95">
        <v>0</v>
      </c>
      <c r="P95">
        <v>0</v>
      </c>
      <c r="Q95">
        <v>0</v>
      </c>
      <c r="R95">
        <v>0</v>
      </c>
      <c r="S95">
        <v>0</v>
      </c>
      <c r="T95">
        <v>0</v>
      </c>
      <c r="U95">
        <v>0</v>
      </c>
      <c r="V95">
        <v>0</v>
      </c>
      <c r="W95" s="30">
        <f t="shared" ref="W95" si="61">AVERAGE(H95:H99)</f>
        <v>34.2776</v>
      </c>
      <c r="Y95">
        <v>0</v>
      </c>
      <c r="Z95" t="s">
        <v>16</v>
      </c>
      <c r="AA95">
        <v>25920</v>
      </c>
      <c r="AB95">
        <v>96</v>
      </c>
      <c r="AC95">
        <v>1</v>
      </c>
      <c r="AD95">
        <v>16</v>
      </c>
      <c r="AE95">
        <v>303.06</v>
      </c>
      <c r="AF95" s="17">
        <v>38.311</v>
      </c>
      <c r="AG95" s="33">
        <v>45314</v>
      </c>
      <c r="AH95" s="34">
        <v>0.74758101851851855</v>
      </c>
      <c r="AI95">
        <v>0</v>
      </c>
      <c r="AJ95">
        <v>0</v>
      </c>
      <c r="AK95">
        <v>0</v>
      </c>
      <c r="AL95">
        <v>0</v>
      </c>
      <c r="AM95">
        <v>0</v>
      </c>
      <c r="AN95">
        <v>0</v>
      </c>
      <c r="AO95">
        <v>0</v>
      </c>
      <c r="AP95">
        <v>0</v>
      </c>
      <c r="AQ95">
        <v>0</v>
      </c>
      <c r="AR95">
        <v>0</v>
      </c>
      <c r="AS95">
        <v>0</v>
      </c>
      <c r="AT95">
        <v>0</v>
      </c>
      <c r="AU95" s="30">
        <f t="shared" ref="AU95" si="62">AVERAGE(AF95:AF99)</f>
        <v>38.321000000000005</v>
      </c>
    </row>
    <row r="96" spans="1:47" x14ac:dyDescent="0.25">
      <c r="A96">
        <v>1</v>
      </c>
      <c r="B96" t="s">
        <v>16</v>
      </c>
      <c r="C96">
        <v>25920</v>
      </c>
      <c r="D96">
        <v>96</v>
      </c>
      <c r="E96">
        <v>1</v>
      </c>
      <c r="F96">
        <v>16</v>
      </c>
      <c r="G96">
        <v>338.41</v>
      </c>
      <c r="H96" s="17">
        <v>34.308999999999997</v>
      </c>
      <c r="I96" s="33">
        <v>45318</v>
      </c>
      <c r="J96" s="37">
        <v>2.4918981481481483E-2</v>
      </c>
      <c r="K96">
        <v>0</v>
      </c>
      <c r="L96">
        <v>0</v>
      </c>
      <c r="M96">
        <v>0</v>
      </c>
      <c r="N96">
        <v>0</v>
      </c>
      <c r="O96">
        <v>0</v>
      </c>
      <c r="P96">
        <v>0</v>
      </c>
      <c r="Q96">
        <v>0</v>
      </c>
      <c r="R96">
        <v>0</v>
      </c>
      <c r="S96">
        <v>0</v>
      </c>
      <c r="T96">
        <v>0</v>
      </c>
      <c r="U96">
        <v>0</v>
      </c>
      <c r="V96">
        <v>0</v>
      </c>
      <c r="W96" s="30">
        <f t="shared" ref="W96" si="63">W95</f>
        <v>34.2776</v>
      </c>
      <c r="Y96">
        <v>1</v>
      </c>
      <c r="Z96" t="s">
        <v>16</v>
      </c>
      <c r="AA96">
        <v>25920</v>
      </c>
      <c r="AB96">
        <v>96</v>
      </c>
      <c r="AC96">
        <v>1</v>
      </c>
      <c r="AD96">
        <v>16</v>
      </c>
      <c r="AE96">
        <v>302.77</v>
      </c>
      <c r="AF96" s="17">
        <v>38.347999999999999</v>
      </c>
      <c r="AG96" s="33">
        <v>45314</v>
      </c>
      <c r="AH96" s="34">
        <v>0.77033564814814814</v>
      </c>
      <c r="AI96">
        <v>0</v>
      </c>
      <c r="AJ96">
        <v>0</v>
      </c>
      <c r="AK96">
        <v>0</v>
      </c>
      <c r="AL96">
        <v>0</v>
      </c>
      <c r="AM96">
        <v>0</v>
      </c>
      <c r="AN96">
        <v>0</v>
      </c>
      <c r="AO96">
        <v>0</v>
      </c>
      <c r="AP96">
        <v>0</v>
      </c>
      <c r="AQ96">
        <v>0</v>
      </c>
      <c r="AR96">
        <v>0</v>
      </c>
      <c r="AS96">
        <v>0</v>
      </c>
      <c r="AT96">
        <v>0</v>
      </c>
      <c r="AU96" s="30">
        <f t="shared" ref="AU96" si="64">AU95</f>
        <v>38.321000000000005</v>
      </c>
    </row>
    <row r="97" spans="1:47" x14ac:dyDescent="0.25">
      <c r="A97">
        <v>2</v>
      </c>
      <c r="B97" t="s">
        <v>16</v>
      </c>
      <c r="C97">
        <v>25920</v>
      </c>
      <c r="D97">
        <v>96</v>
      </c>
      <c r="E97">
        <v>1</v>
      </c>
      <c r="F97">
        <v>16</v>
      </c>
      <c r="G97">
        <v>338.61</v>
      </c>
      <c r="H97" s="17">
        <v>34.289000000000001</v>
      </c>
      <c r="I97" s="33">
        <v>45318</v>
      </c>
      <c r="J97" s="37">
        <v>0.28435185185185186</v>
      </c>
      <c r="K97">
        <v>0</v>
      </c>
      <c r="L97">
        <v>0</v>
      </c>
      <c r="M97">
        <v>0</v>
      </c>
      <c r="N97">
        <v>0</v>
      </c>
      <c r="O97">
        <v>0</v>
      </c>
      <c r="P97">
        <v>0</v>
      </c>
      <c r="Q97">
        <v>0</v>
      </c>
      <c r="R97">
        <v>0</v>
      </c>
      <c r="S97">
        <v>0</v>
      </c>
      <c r="T97">
        <v>0</v>
      </c>
      <c r="U97">
        <v>0</v>
      </c>
      <c r="V97">
        <v>0</v>
      </c>
      <c r="W97" s="30">
        <f t="shared" si="58"/>
        <v>34.2776</v>
      </c>
      <c r="Y97">
        <v>2</v>
      </c>
      <c r="Z97" t="s">
        <v>16</v>
      </c>
      <c r="AA97">
        <v>25920</v>
      </c>
      <c r="AB97">
        <v>96</v>
      </c>
      <c r="AC97">
        <v>1</v>
      </c>
      <c r="AD97">
        <v>16</v>
      </c>
      <c r="AE97">
        <v>303.2</v>
      </c>
      <c r="AF97" s="17">
        <v>38.293999999999997</v>
      </c>
      <c r="AG97" s="33">
        <v>45314</v>
      </c>
      <c r="AH97" s="34">
        <v>0.89804398148148146</v>
      </c>
      <c r="AI97">
        <v>0</v>
      </c>
      <c r="AJ97">
        <v>0</v>
      </c>
      <c r="AK97">
        <v>0</v>
      </c>
      <c r="AL97">
        <v>0</v>
      </c>
      <c r="AM97">
        <v>0</v>
      </c>
      <c r="AN97">
        <v>0</v>
      </c>
      <c r="AO97">
        <v>0</v>
      </c>
      <c r="AP97">
        <v>0</v>
      </c>
      <c r="AQ97">
        <v>0</v>
      </c>
      <c r="AR97">
        <v>0</v>
      </c>
      <c r="AS97">
        <v>0</v>
      </c>
      <c r="AT97">
        <v>0</v>
      </c>
      <c r="AU97" s="30">
        <f t="shared" si="26"/>
        <v>38.321000000000005</v>
      </c>
    </row>
    <row r="98" spans="1:47" x14ac:dyDescent="0.25">
      <c r="A98">
        <v>3</v>
      </c>
      <c r="B98" t="s">
        <v>16</v>
      </c>
      <c r="C98">
        <v>25920</v>
      </c>
      <c r="D98">
        <v>96</v>
      </c>
      <c r="E98">
        <v>1</v>
      </c>
      <c r="F98">
        <v>16</v>
      </c>
      <c r="G98">
        <v>338.79</v>
      </c>
      <c r="H98" s="17">
        <v>34.270000000000003</v>
      </c>
      <c r="I98" s="33">
        <v>45318</v>
      </c>
      <c r="J98" s="37">
        <v>0.54366898148148146</v>
      </c>
      <c r="K98">
        <v>0</v>
      </c>
      <c r="L98">
        <v>0</v>
      </c>
      <c r="M98">
        <v>0</v>
      </c>
      <c r="N98">
        <v>0</v>
      </c>
      <c r="O98">
        <v>0</v>
      </c>
      <c r="P98">
        <v>0</v>
      </c>
      <c r="Q98">
        <v>0</v>
      </c>
      <c r="R98">
        <v>0</v>
      </c>
      <c r="S98">
        <v>0</v>
      </c>
      <c r="T98">
        <v>0</v>
      </c>
      <c r="U98">
        <v>0</v>
      </c>
      <c r="V98">
        <v>0</v>
      </c>
      <c r="W98" s="30">
        <f t="shared" si="58"/>
        <v>34.2776</v>
      </c>
      <c r="Y98">
        <v>3</v>
      </c>
      <c r="Z98" t="s">
        <v>16</v>
      </c>
      <c r="AA98">
        <v>25920</v>
      </c>
      <c r="AB98">
        <v>96</v>
      </c>
      <c r="AC98">
        <v>1</v>
      </c>
      <c r="AD98">
        <v>16</v>
      </c>
      <c r="AE98">
        <v>302.83</v>
      </c>
      <c r="AF98" s="17">
        <v>38.340000000000003</v>
      </c>
      <c r="AG98" s="33">
        <v>45315</v>
      </c>
      <c r="AH98" s="34">
        <v>0.16427083333333334</v>
      </c>
      <c r="AI98">
        <v>0</v>
      </c>
      <c r="AJ98">
        <v>0</v>
      </c>
      <c r="AK98">
        <v>0</v>
      </c>
      <c r="AL98">
        <v>0</v>
      </c>
      <c r="AM98">
        <v>0</v>
      </c>
      <c r="AN98">
        <v>0</v>
      </c>
      <c r="AO98">
        <v>0</v>
      </c>
      <c r="AP98">
        <v>0</v>
      </c>
      <c r="AQ98">
        <v>0</v>
      </c>
      <c r="AR98">
        <v>0</v>
      </c>
      <c r="AS98">
        <v>0</v>
      </c>
      <c r="AT98">
        <v>0</v>
      </c>
      <c r="AU98" s="30">
        <f t="shared" si="26"/>
        <v>38.321000000000005</v>
      </c>
    </row>
    <row r="99" spans="1:47" x14ac:dyDescent="0.25">
      <c r="A99">
        <v>4</v>
      </c>
      <c r="B99" t="s">
        <v>16</v>
      </c>
      <c r="C99">
        <v>25920</v>
      </c>
      <c r="D99">
        <v>96</v>
      </c>
      <c r="E99">
        <v>1</v>
      </c>
      <c r="F99">
        <v>16</v>
      </c>
      <c r="G99">
        <v>338.94</v>
      </c>
      <c r="H99" s="17">
        <v>34.255000000000003</v>
      </c>
      <c r="I99" s="33">
        <v>45318</v>
      </c>
      <c r="J99" s="37">
        <v>0.80303240740740733</v>
      </c>
      <c r="K99">
        <v>0</v>
      </c>
      <c r="L99">
        <v>0</v>
      </c>
      <c r="M99">
        <v>0</v>
      </c>
      <c r="N99">
        <v>0</v>
      </c>
      <c r="O99">
        <v>0</v>
      </c>
      <c r="P99">
        <v>0</v>
      </c>
      <c r="Q99">
        <v>0</v>
      </c>
      <c r="R99">
        <v>0</v>
      </c>
      <c r="S99">
        <v>0</v>
      </c>
      <c r="T99">
        <v>0</v>
      </c>
      <c r="U99">
        <v>0</v>
      </c>
      <c r="V99">
        <v>0</v>
      </c>
      <c r="W99" s="30">
        <f t="shared" si="58"/>
        <v>34.2776</v>
      </c>
      <c r="Y99">
        <v>4</v>
      </c>
      <c r="Z99" t="s">
        <v>16</v>
      </c>
      <c r="AA99">
        <v>25920</v>
      </c>
      <c r="AB99">
        <v>96</v>
      </c>
      <c r="AC99">
        <v>1</v>
      </c>
      <c r="AD99">
        <v>16</v>
      </c>
      <c r="AE99">
        <v>303.05</v>
      </c>
      <c r="AF99" s="17">
        <v>38.311999999999998</v>
      </c>
      <c r="AG99" s="33">
        <v>45318</v>
      </c>
      <c r="AH99" s="34">
        <v>2.0162037037037037E-2</v>
      </c>
      <c r="AI99">
        <v>0</v>
      </c>
      <c r="AJ99">
        <v>0</v>
      </c>
      <c r="AK99">
        <v>0</v>
      </c>
      <c r="AL99">
        <v>0</v>
      </c>
      <c r="AM99">
        <v>0</v>
      </c>
      <c r="AN99">
        <v>0</v>
      </c>
      <c r="AO99">
        <v>0</v>
      </c>
      <c r="AP99">
        <v>0</v>
      </c>
      <c r="AQ99">
        <v>0</v>
      </c>
      <c r="AR99">
        <v>0</v>
      </c>
      <c r="AS99">
        <v>0</v>
      </c>
      <c r="AT99">
        <v>0</v>
      </c>
      <c r="AU99" s="30">
        <f t="shared" si="26"/>
        <v>38.321000000000005</v>
      </c>
    </row>
    <row r="100" spans="1:47" x14ac:dyDescent="0.25">
      <c r="A100">
        <v>0</v>
      </c>
      <c r="B100" t="s">
        <v>16</v>
      </c>
      <c r="C100">
        <v>27456</v>
      </c>
      <c r="D100">
        <v>96</v>
      </c>
      <c r="E100">
        <v>1</v>
      </c>
      <c r="F100">
        <v>16</v>
      </c>
      <c r="G100">
        <v>399.28</v>
      </c>
      <c r="H100" s="17">
        <v>34.561</v>
      </c>
      <c r="I100" s="33">
        <v>45318</v>
      </c>
      <c r="J100" s="37">
        <v>0.83837962962962964</v>
      </c>
      <c r="K100">
        <v>0</v>
      </c>
      <c r="L100">
        <v>0</v>
      </c>
      <c r="M100">
        <v>0</v>
      </c>
      <c r="N100">
        <v>0</v>
      </c>
      <c r="O100">
        <v>0</v>
      </c>
      <c r="P100">
        <v>0</v>
      </c>
      <c r="Q100">
        <v>0</v>
      </c>
      <c r="R100">
        <v>0</v>
      </c>
      <c r="S100">
        <v>0</v>
      </c>
      <c r="T100">
        <v>0</v>
      </c>
      <c r="U100">
        <v>0</v>
      </c>
      <c r="V100">
        <v>0</v>
      </c>
      <c r="W100" s="30">
        <f t="shared" ref="W100" si="65">AVERAGE(H100:H104)</f>
        <v>34.5822</v>
      </c>
      <c r="Y100">
        <v>0</v>
      </c>
      <c r="Z100" t="s">
        <v>16</v>
      </c>
      <c r="AA100">
        <v>27456</v>
      </c>
      <c r="AB100">
        <v>96</v>
      </c>
      <c r="AC100">
        <v>1</v>
      </c>
      <c r="AD100">
        <v>16</v>
      </c>
      <c r="AE100">
        <v>357.03</v>
      </c>
      <c r="AF100" s="17">
        <v>38.65</v>
      </c>
      <c r="AG100" s="33">
        <v>45314</v>
      </c>
      <c r="AH100" s="34">
        <v>0.79049768518518526</v>
      </c>
      <c r="AI100">
        <v>0</v>
      </c>
      <c r="AJ100">
        <v>0</v>
      </c>
      <c r="AK100">
        <v>0</v>
      </c>
      <c r="AL100">
        <v>0</v>
      </c>
      <c r="AM100">
        <v>0</v>
      </c>
      <c r="AN100">
        <v>0</v>
      </c>
      <c r="AO100">
        <v>0</v>
      </c>
      <c r="AP100">
        <v>0</v>
      </c>
      <c r="AQ100">
        <v>0</v>
      </c>
      <c r="AR100">
        <v>0</v>
      </c>
      <c r="AS100">
        <v>0</v>
      </c>
      <c r="AT100">
        <v>0</v>
      </c>
      <c r="AU100" s="30">
        <f t="shared" si="28"/>
        <v>38.726399999999998</v>
      </c>
    </row>
    <row r="101" spans="1:47" x14ac:dyDescent="0.25">
      <c r="A101">
        <v>1</v>
      </c>
      <c r="B101" t="s">
        <v>16</v>
      </c>
      <c r="C101">
        <v>27456</v>
      </c>
      <c r="D101">
        <v>96</v>
      </c>
      <c r="E101">
        <v>1</v>
      </c>
      <c r="F101">
        <v>16</v>
      </c>
      <c r="G101">
        <v>398.6</v>
      </c>
      <c r="H101" s="17">
        <v>34.619999999999997</v>
      </c>
      <c r="I101" s="33">
        <v>45318</v>
      </c>
      <c r="J101" s="37">
        <v>0.10056712962962962</v>
      </c>
      <c r="K101">
        <v>0</v>
      </c>
      <c r="L101">
        <v>0</v>
      </c>
      <c r="M101">
        <v>0</v>
      </c>
      <c r="N101">
        <v>0</v>
      </c>
      <c r="O101">
        <v>0</v>
      </c>
      <c r="P101">
        <v>0</v>
      </c>
      <c r="Q101">
        <v>0</v>
      </c>
      <c r="R101">
        <v>0</v>
      </c>
      <c r="S101">
        <v>0</v>
      </c>
      <c r="T101">
        <v>0</v>
      </c>
      <c r="U101">
        <v>0</v>
      </c>
      <c r="V101">
        <v>0</v>
      </c>
      <c r="W101" s="30">
        <f t="shared" ref="W101" si="66">W100</f>
        <v>34.5822</v>
      </c>
      <c r="Y101">
        <v>1</v>
      </c>
      <c r="Z101" t="s">
        <v>16</v>
      </c>
      <c r="AA101">
        <v>27456</v>
      </c>
      <c r="AB101">
        <v>96</v>
      </c>
      <c r="AC101">
        <v>1</v>
      </c>
      <c r="AD101">
        <v>16</v>
      </c>
      <c r="AE101">
        <v>355.76</v>
      </c>
      <c r="AF101" s="17">
        <v>38.787999999999997</v>
      </c>
      <c r="AG101" s="33">
        <v>45314</v>
      </c>
      <c r="AH101" s="34">
        <v>0.93260416666666668</v>
      </c>
      <c r="AI101">
        <v>0</v>
      </c>
      <c r="AJ101">
        <v>0</v>
      </c>
      <c r="AK101">
        <v>0</v>
      </c>
      <c r="AL101">
        <v>0</v>
      </c>
      <c r="AM101">
        <v>0</v>
      </c>
      <c r="AN101">
        <v>0</v>
      </c>
      <c r="AO101">
        <v>0</v>
      </c>
      <c r="AP101">
        <v>0</v>
      </c>
      <c r="AQ101">
        <v>0</v>
      </c>
      <c r="AR101">
        <v>0</v>
      </c>
      <c r="AS101">
        <v>0</v>
      </c>
      <c r="AT101">
        <v>0</v>
      </c>
      <c r="AU101" s="30">
        <f t="shared" si="30"/>
        <v>38.726399999999998</v>
      </c>
    </row>
    <row r="102" spans="1:47" x14ac:dyDescent="0.25">
      <c r="A102">
        <v>2</v>
      </c>
      <c r="B102" t="s">
        <v>16</v>
      </c>
      <c r="C102">
        <v>27456</v>
      </c>
      <c r="D102">
        <v>96</v>
      </c>
      <c r="E102">
        <v>1</v>
      </c>
      <c r="F102">
        <v>16</v>
      </c>
      <c r="G102">
        <v>398.9</v>
      </c>
      <c r="H102" s="17">
        <v>34.593000000000004</v>
      </c>
      <c r="I102" s="33">
        <v>45318</v>
      </c>
      <c r="J102" s="37">
        <v>0.20533564814814817</v>
      </c>
      <c r="K102">
        <v>0</v>
      </c>
      <c r="L102">
        <v>0</v>
      </c>
      <c r="M102">
        <v>0</v>
      </c>
      <c r="N102">
        <v>0</v>
      </c>
      <c r="O102">
        <v>0</v>
      </c>
      <c r="P102">
        <v>0</v>
      </c>
      <c r="Q102">
        <v>0</v>
      </c>
      <c r="R102">
        <v>0</v>
      </c>
      <c r="S102">
        <v>0</v>
      </c>
      <c r="T102">
        <v>0</v>
      </c>
      <c r="U102">
        <v>0</v>
      </c>
      <c r="V102">
        <v>0</v>
      </c>
      <c r="W102" s="30">
        <f t="shared" si="60"/>
        <v>34.5822</v>
      </c>
      <c r="Y102">
        <v>2</v>
      </c>
      <c r="Z102" t="s">
        <v>16</v>
      </c>
      <c r="AA102">
        <v>27456</v>
      </c>
      <c r="AB102">
        <v>96</v>
      </c>
      <c r="AC102">
        <v>1</v>
      </c>
      <c r="AD102">
        <v>16</v>
      </c>
      <c r="AE102">
        <v>355.91</v>
      </c>
      <c r="AF102" s="17">
        <v>38.771999999999998</v>
      </c>
      <c r="AG102" s="33">
        <v>45318</v>
      </c>
      <c r="AH102" s="34">
        <v>1.119212962962963E-2</v>
      </c>
      <c r="AI102">
        <v>0</v>
      </c>
      <c r="AJ102">
        <v>0</v>
      </c>
      <c r="AK102">
        <v>0</v>
      </c>
      <c r="AL102">
        <v>0</v>
      </c>
      <c r="AM102">
        <v>0</v>
      </c>
      <c r="AN102">
        <v>0</v>
      </c>
      <c r="AO102">
        <v>0</v>
      </c>
      <c r="AP102">
        <v>0</v>
      </c>
      <c r="AQ102">
        <v>0</v>
      </c>
      <c r="AR102">
        <v>0</v>
      </c>
      <c r="AS102">
        <v>0</v>
      </c>
      <c r="AT102">
        <v>0</v>
      </c>
      <c r="AU102" s="30">
        <f t="shared" si="30"/>
        <v>38.726399999999998</v>
      </c>
    </row>
    <row r="103" spans="1:47" x14ac:dyDescent="0.25">
      <c r="A103">
        <v>3</v>
      </c>
      <c r="B103" t="s">
        <v>16</v>
      </c>
      <c r="C103">
        <v>27456</v>
      </c>
      <c r="D103">
        <v>96</v>
      </c>
      <c r="E103">
        <v>1</v>
      </c>
      <c r="F103">
        <v>16</v>
      </c>
      <c r="G103">
        <v>399.26</v>
      </c>
      <c r="H103" s="17">
        <v>34.561999999999998</v>
      </c>
      <c r="I103" s="33">
        <v>45318</v>
      </c>
      <c r="J103" s="37">
        <v>0.46462962962962967</v>
      </c>
      <c r="K103">
        <v>0</v>
      </c>
      <c r="L103">
        <v>0</v>
      </c>
      <c r="M103">
        <v>0</v>
      </c>
      <c r="N103">
        <v>0</v>
      </c>
      <c r="O103">
        <v>0</v>
      </c>
      <c r="P103">
        <v>0</v>
      </c>
      <c r="Q103">
        <v>0</v>
      </c>
      <c r="R103">
        <v>0</v>
      </c>
      <c r="S103">
        <v>0</v>
      </c>
      <c r="T103">
        <v>0</v>
      </c>
      <c r="U103">
        <v>0</v>
      </c>
      <c r="V103">
        <v>0</v>
      </c>
      <c r="W103" s="30">
        <f t="shared" si="60"/>
        <v>34.5822</v>
      </c>
      <c r="Y103">
        <v>3</v>
      </c>
      <c r="Z103" t="s">
        <v>16</v>
      </c>
      <c r="AA103">
        <v>27456</v>
      </c>
      <c r="AB103">
        <v>96</v>
      </c>
      <c r="AC103">
        <v>1</v>
      </c>
      <c r="AD103">
        <v>16</v>
      </c>
      <c r="AE103">
        <v>355.93</v>
      </c>
      <c r="AF103" s="17">
        <v>38.768999999999998</v>
      </c>
      <c r="AG103" s="33">
        <v>45315</v>
      </c>
      <c r="AH103" s="34">
        <v>8.2928240740740733E-2</v>
      </c>
      <c r="AI103">
        <v>0</v>
      </c>
      <c r="AJ103">
        <v>0</v>
      </c>
      <c r="AK103">
        <v>0</v>
      </c>
      <c r="AL103">
        <v>0</v>
      </c>
      <c r="AM103">
        <v>0</v>
      </c>
      <c r="AN103">
        <v>0</v>
      </c>
      <c r="AO103">
        <v>0</v>
      </c>
      <c r="AP103">
        <v>0</v>
      </c>
      <c r="AQ103">
        <v>0</v>
      </c>
      <c r="AR103">
        <v>0</v>
      </c>
      <c r="AS103">
        <v>0</v>
      </c>
      <c r="AT103">
        <v>0</v>
      </c>
      <c r="AU103" s="30">
        <f t="shared" si="30"/>
        <v>38.726399999999998</v>
      </c>
    </row>
    <row r="104" spans="1:47" x14ac:dyDescent="0.25">
      <c r="A104">
        <v>4</v>
      </c>
      <c r="B104" t="s">
        <v>16</v>
      </c>
      <c r="C104">
        <v>27456</v>
      </c>
      <c r="D104">
        <v>96</v>
      </c>
      <c r="E104">
        <v>1</v>
      </c>
      <c r="F104">
        <v>16</v>
      </c>
      <c r="G104">
        <v>399.12</v>
      </c>
      <c r="H104" s="17">
        <v>34.575000000000003</v>
      </c>
      <c r="I104" s="33">
        <v>45318</v>
      </c>
      <c r="J104" s="37">
        <v>0.72398148148148145</v>
      </c>
      <c r="K104">
        <v>0</v>
      </c>
      <c r="L104">
        <v>0</v>
      </c>
      <c r="M104">
        <v>0</v>
      </c>
      <c r="N104">
        <v>0</v>
      </c>
      <c r="O104">
        <v>0</v>
      </c>
      <c r="P104">
        <v>0</v>
      </c>
      <c r="Q104">
        <v>0</v>
      </c>
      <c r="R104">
        <v>0</v>
      </c>
      <c r="S104">
        <v>0</v>
      </c>
      <c r="T104">
        <v>0</v>
      </c>
      <c r="U104">
        <v>0</v>
      </c>
      <c r="V104">
        <v>0</v>
      </c>
      <c r="W104" s="30">
        <f t="shared" si="60"/>
        <v>34.5822</v>
      </c>
      <c r="Y104">
        <v>4</v>
      </c>
      <c r="Z104" t="s">
        <v>16</v>
      </c>
      <c r="AA104">
        <v>27456</v>
      </c>
      <c r="AB104">
        <v>96</v>
      </c>
      <c r="AC104">
        <v>1</v>
      </c>
      <c r="AD104">
        <v>16</v>
      </c>
      <c r="AE104">
        <v>357</v>
      </c>
      <c r="AF104" s="17">
        <v>38.652999999999999</v>
      </c>
      <c r="AG104" s="33">
        <v>45318</v>
      </c>
      <c r="AH104" s="34">
        <v>0.19996527777777776</v>
      </c>
      <c r="AI104">
        <v>0</v>
      </c>
      <c r="AJ104">
        <v>0</v>
      </c>
      <c r="AK104">
        <v>0</v>
      </c>
      <c r="AL104">
        <v>0</v>
      </c>
      <c r="AM104">
        <v>0</v>
      </c>
      <c r="AN104">
        <v>0</v>
      </c>
      <c r="AO104">
        <v>0</v>
      </c>
      <c r="AP104">
        <v>0</v>
      </c>
      <c r="AQ104">
        <v>0</v>
      </c>
      <c r="AR104">
        <v>0</v>
      </c>
      <c r="AS104">
        <v>0</v>
      </c>
      <c r="AT104">
        <v>0</v>
      </c>
      <c r="AU104" s="30">
        <f t="shared" si="30"/>
        <v>38.726399999999998</v>
      </c>
    </row>
    <row r="105" spans="1:47" x14ac:dyDescent="0.25">
      <c r="A105">
        <v>0</v>
      </c>
      <c r="B105" t="s">
        <v>16</v>
      </c>
      <c r="C105">
        <v>28992</v>
      </c>
      <c r="D105">
        <v>96</v>
      </c>
      <c r="E105">
        <v>1</v>
      </c>
      <c r="F105">
        <v>16</v>
      </c>
      <c r="G105">
        <v>465.25</v>
      </c>
      <c r="H105" s="17">
        <v>34.921999999999997</v>
      </c>
      <c r="I105" s="33">
        <v>45318</v>
      </c>
      <c r="J105" s="37">
        <v>7.8819444444444432E-3</v>
      </c>
      <c r="K105">
        <v>0</v>
      </c>
      <c r="L105">
        <v>0</v>
      </c>
      <c r="M105">
        <v>0</v>
      </c>
      <c r="N105">
        <v>0</v>
      </c>
      <c r="O105">
        <v>0</v>
      </c>
      <c r="P105">
        <v>0</v>
      </c>
      <c r="Q105">
        <v>0</v>
      </c>
      <c r="R105">
        <v>0</v>
      </c>
      <c r="S105">
        <v>0</v>
      </c>
      <c r="T105">
        <v>0</v>
      </c>
      <c r="U105">
        <v>0</v>
      </c>
      <c r="V105">
        <v>0</v>
      </c>
      <c r="W105" s="30">
        <f t="shared" ref="W105" si="67">AVERAGE(H105:H109)</f>
        <v>34.921199999999999</v>
      </c>
      <c r="Y105">
        <v>0</v>
      </c>
      <c r="Z105" t="s">
        <v>16</v>
      </c>
      <c r="AA105">
        <v>28992</v>
      </c>
      <c r="AB105">
        <v>96</v>
      </c>
      <c r="AC105">
        <v>1</v>
      </c>
      <c r="AD105">
        <v>16</v>
      </c>
      <c r="AE105">
        <v>414.42</v>
      </c>
      <c r="AF105" s="17">
        <v>39.204999999999998</v>
      </c>
      <c r="AG105" s="33">
        <v>45314</v>
      </c>
      <c r="AH105" s="34">
        <v>0.83805555555555555</v>
      </c>
      <c r="AI105">
        <v>0</v>
      </c>
      <c r="AJ105">
        <v>0</v>
      </c>
      <c r="AK105">
        <v>0</v>
      </c>
      <c r="AL105">
        <v>0</v>
      </c>
      <c r="AM105">
        <v>0</v>
      </c>
      <c r="AN105">
        <v>0</v>
      </c>
      <c r="AO105">
        <v>0</v>
      </c>
      <c r="AP105">
        <v>0</v>
      </c>
      <c r="AQ105">
        <v>0</v>
      </c>
      <c r="AR105">
        <v>0</v>
      </c>
      <c r="AS105">
        <v>0</v>
      </c>
      <c r="AT105">
        <v>0</v>
      </c>
      <c r="AU105" s="30">
        <f t="shared" si="32"/>
        <v>39.218000000000004</v>
      </c>
    </row>
    <row r="106" spans="1:47" x14ac:dyDescent="0.25">
      <c r="A106">
        <v>1</v>
      </c>
      <c r="B106" t="s">
        <v>16</v>
      </c>
      <c r="C106">
        <v>28992</v>
      </c>
      <c r="D106">
        <v>96</v>
      </c>
      <c r="E106">
        <v>1</v>
      </c>
      <c r="F106">
        <v>16</v>
      </c>
      <c r="G106">
        <v>465.04</v>
      </c>
      <c r="H106" s="17">
        <v>34.936999999999998</v>
      </c>
      <c r="I106" s="33">
        <v>45318</v>
      </c>
      <c r="J106" s="37">
        <v>0.11275462962962964</v>
      </c>
      <c r="K106">
        <v>0</v>
      </c>
      <c r="L106">
        <v>0</v>
      </c>
      <c r="M106">
        <v>0</v>
      </c>
      <c r="N106">
        <v>0</v>
      </c>
      <c r="O106">
        <v>0</v>
      </c>
      <c r="P106">
        <v>0</v>
      </c>
      <c r="Q106">
        <v>0</v>
      </c>
      <c r="R106">
        <v>0</v>
      </c>
      <c r="S106">
        <v>0</v>
      </c>
      <c r="T106">
        <v>0</v>
      </c>
      <c r="U106">
        <v>0</v>
      </c>
      <c r="V106">
        <v>0</v>
      </c>
      <c r="W106" s="30">
        <f t="shared" ref="W106" si="68">W105</f>
        <v>34.921199999999999</v>
      </c>
      <c r="Y106">
        <v>1</v>
      </c>
      <c r="Z106" t="s">
        <v>16</v>
      </c>
      <c r="AA106">
        <v>28992</v>
      </c>
      <c r="AB106">
        <v>96</v>
      </c>
      <c r="AC106">
        <v>1</v>
      </c>
      <c r="AD106">
        <v>16</v>
      </c>
      <c r="AE106">
        <v>414</v>
      </c>
      <c r="AF106" s="17">
        <v>39.244</v>
      </c>
      <c r="AG106" s="33">
        <v>45318</v>
      </c>
      <c r="AH106" s="34">
        <v>0.1834837962962963</v>
      </c>
      <c r="AI106">
        <v>0</v>
      </c>
      <c r="AJ106">
        <v>0</v>
      </c>
      <c r="AK106">
        <v>0</v>
      </c>
      <c r="AL106">
        <v>0</v>
      </c>
      <c r="AM106">
        <v>0</v>
      </c>
      <c r="AN106">
        <v>0</v>
      </c>
      <c r="AO106">
        <v>0</v>
      </c>
      <c r="AP106">
        <v>0</v>
      </c>
      <c r="AQ106">
        <v>0</v>
      </c>
      <c r="AR106">
        <v>0</v>
      </c>
      <c r="AS106">
        <v>0</v>
      </c>
      <c r="AT106">
        <v>0</v>
      </c>
      <c r="AU106" s="30">
        <f t="shared" si="34"/>
        <v>39.218000000000004</v>
      </c>
    </row>
    <row r="107" spans="1:47" x14ac:dyDescent="0.25">
      <c r="A107">
        <v>2</v>
      </c>
      <c r="B107" t="s">
        <v>16</v>
      </c>
      <c r="C107">
        <v>28992</v>
      </c>
      <c r="D107">
        <v>96</v>
      </c>
      <c r="E107">
        <v>1</v>
      </c>
      <c r="F107">
        <v>16</v>
      </c>
      <c r="G107">
        <v>465.11</v>
      </c>
      <c r="H107" s="17">
        <v>34.932000000000002</v>
      </c>
      <c r="I107" s="33">
        <v>45318</v>
      </c>
      <c r="J107" s="37">
        <v>0.37212962962962964</v>
      </c>
      <c r="K107">
        <v>0</v>
      </c>
      <c r="L107">
        <v>0</v>
      </c>
      <c r="M107">
        <v>0</v>
      </c>
      <c r="N107">
        <v>0</v>
      </c>
      <c r="O107">
        <v>0</v>
      </c>
      <c r="P107">
        <v>0</v>
      </c>
      <c r="Q107">
        <v>0</v>
      </c>
      <c r="R107">
        <v>0</v>
      </c>
      <c r="S107">
        <v>0</v>
      </c>
      <c r="T107">
        <v>0</v>
      </c>
      <c r="U107">
        <v>0</v>
      </c>
      <c r="V107">
        <v>0</v>
      </c>
      <c r="W107" s="30">
        <f t="shared" si="58"/>
        <v>34.921199999999999</v>
      </c>
      <c r="Y107">
        <v>2</v>
      </c>
      <c r="Z107" t="s">
        <v>16</v>
      </c>
      <c r="AA107">
        <v>28992</v>
      </c>
      <c r="AB107">
        <v>96</v>
      </c>
      <c r="AC107">
        <v>1</v>
      </c>
      <c r="AD107">
        <v>16</v>
      </c>
      <c r="AE107">
        <v>413.85</v>
      </c>
      <c r="AF107" s="17">
        <v>39.258000000000003</v>
      </c>
      <c r="AG107" s="33">
        <v>45314</v>
      </c>
      <c r="AH107" s="34">
        <v>0.9883912037037037</v>
      </c>
      <c r="AI107">
        <v>0</v>
      </c>
      <c r="AJ107">
        <v>0</v>
      </c>
      <c r="AK107">
        <v>0</v>
      </c>
      <c r="AL107">
        <v>0</v>
      </c>
      <c r="AM107">
        <v>0</v>
      </c>
      <c r="AN107">
        <v>0</v>
      </c>
      <c r="AO107">
        <v>0</v>
      </c>
      <c r="AP107">
        <v>0</v>
      </c>
      <c r="AQ107">
        <v>0</v>
      </c>
      <c r="AR107">
        <v>0</v>
      </c>
      <c r="AS107">
        <v>0</v>
      </c>
      <c r="AT107">
        <v>0</v>
      </c>
      <c r="AU107" s="30">
        <f t="shared" si="34"/>
        <v>39.218000000000004</v>
      </c>
    </row>
    <row r="108" spans="1:47" x14ac:dyDescent="0.25">
      <c r="A108">
        <v>3</v>
      </c>
      <c r="B108" t="s">
        <v>16</v>
      </c>
      <c r="C108">
        <v>28992</v>
      </c>
      <c r="D108">
        <v>96</v>
      </c>
      <c r="E108">
        <v>1</v>
      </c>
      <c r="F108">
        <v>16</v>
      </c>
      <c r="G108">
        <v>465.06</v>
      </c>
      <c r="H108" s="17">
        <v>34.935000000000002</v>
      </c>
      <c r="I108" s="33">
        <v>45318</v>
      </c>
      <c r="J108" s="37">
        <v>0.63143518518518515</v>
      </c>
      <c r="K108">
        <v>0</v>
      </c>
      <c r="L108">
        <v>0</v>
      </c>
      <c r="M108">
        <v>0</v>
      </c>
      <c r="N108">
        <v>0</v>
      </c>
      <c r="O108">
        <v>0</v>
      </c>
      <c r="P108">
        <v>0</v>
      </c>
      <c r="Q108">
        <v>0</v>
      </c>
      <c r="R108">
        <v>0</v>
      </c>
      <c r="S108">
        <v>0</v>
      </c>
      <c r="T108">
        <v>0</v>
      </c>
      <c r="U108">
        <v>0</v>
      </c>
      <c r="V108">
        <v>0</v>
      </c>
      <c r="W108" s="30">
        <f t="shared" si="58"/>
        <v>34.921199999999999</v>
      </c>
      <c r="Y108">
        <v>3</v>
      </c>
      <c r="Z108" t="s">
        <v>16</v>
      </c>
      <c r="AA108">
        <v>28992</v>
      </c>
      <c r="AB108">
        <v>96</v>
      </c>
      <c r="AC108">
        <v>1</v>
      </c>
      <c r="AD108">
        <v>16</v>
      </c>
      <c r="AE108">
        <v>414.76</v>
      </c>
      <c r="AF108" s="17">
        <v>39.173000000000002</v>
      </c>
      <c r="AG108" s="33">
        <v>45315</v>
      </c>
      <c r="AH108" s="34">
        <v>0.25462962962962959</v>
      </c>
      <c r="AI108">
        <v>0</v>
      </c>
      <c r="AJ108">
        <v>0</v>
      </c>
      <c r="AK108">
        <v>0</v>
      </c>
      <c r="AL108">
        <v>0</v>
      </c>
      <c r="AM108">
        <v>0</v>
      </c>
      <c r="AN108">
        <v>0</v>
      </c>
      <c r="AO108">
        <v>0</v>
      </c>
      <c r="AP108">
        <v>0</v>
      </c>
      <c r="AQ108">
        <v>0</v>
      </c>
      <c r="AR108">
        <v>0</v>
      </c>
      <c r="AS108">
        <v>0</v>
      </c>
      <c r="AT108">
        <v>0</v>
      </c>
      <c r="AU108" s="30">
        <f t="shared" si="34"/>
        <v>39.218000000000004</v>
      </c>
    </row>
    <row r="109" spans="1:47" x14ac:dyDescent="0.25">
      <c r="A109">
        <v>4</v>
      </c>
      <c r="B109" t="s">
        <v>16</v>
      </c>
      <c r="C109">
        <v>28992</v>
      </c>
      <c r="D109">
        <v>96</v>
      </c>
      <c r="E109">
        <v>1</v>
      </c>
      <c r="F109">
        <v>16</v>
      </c>
      <c r="G109">
        <v>465.8</v>
      </c>
      <c r="H109" s="17">
        <v>34.880000000000003</v>
      </c>
      <c r="I109" s="33">
        <v>45318</v>
      </c>
      <c r="J109" s="37">
        <v>0.89082175925925933</v>
      </c>
      <c r="K109">
        <v>0</v>
      </c>
      <c r="L109">
        <v>0</v>
      </c>
      <c r="M109">
        <v>0</v>
      </c>
      <c r="N109">
        <v>0</v>
      </c>
      <c r="O109">
        <v>0</v>
      </c>
      <c r="P109">
        <v>0</v>
      </c>
      <c r="Q109">
        <v>0</v>
      </c>
      <c r="R109">
        <v>0</v>
      </c>
      <c r="S109">
        <v>0</v>
      </c>
      <c r="T109">
        <v>0</v>
      </c>
      <c r="U109">
        <v>0</v>
      </c>
      <c r="V109">
        <v>0</v>
      </c>
      <c r="W109" s="30">
        <f t="shared" si="58"/>
        <v>34.921199999999999</v>
      </c>
      <c r="Y109">
        <v>4</v>
      </c>
      <c r="Z109" t="s">
        <v>16</v>
      </c>
      <c r="AA109">
        <v>28992</v>
      </c>
      <c r="AB109">
        <v>96</v>
      </c>
      <c r="AC109">
        <v>1</v>
      </c>
      <c r="AD109">
        <v>16</v>
      </c>
      <c r="AE109">
        <v>414.36</v>
      </c>
      <c r="AF109" s="17">
        <v>39.21</v>
      </c>
      <c r="AG109" s="33">
        <v>45318</v>
      </c>
      <c r="AH109" s="34">
        <v>0.11060185185185185</v>
      </c>
      <c r="AI109">
        <v>0</v>
      </c>
      <c r="AJ109">
        <v>0</v>
      </c>
      <c r="AK109">
        <v>0</v>
      </c>
      <c r="AL109">
        <v>0</v>
      </c>
      <c r="AM109">
        <v>0</v>
      </c>
      <c r="AN109">
        <v>0</v>
      </c>
      <c r="AO109">
        <v>0</v>
      </c>
      <c r="AP109">
        <v>0</v>
      </c>
      <c r="AQ109">
        <v>0</v>
      </c>
      <c r="AR109">
        <v>0</v>
      </c>
      <c r="AS109">
        <v>0</v>
      </c>
      <c r="AT109">
        <v>0</v>
      </c>
      <c r="AU109" s="30">
        <f t="shared" si="34"/>
        <v>39.218000000000004</v>
      </c>
    </row>
    <row r="110" spans="1:47" x14ac:dyDescent="0.25">
      <c r="A110">
        <v>0</v>
      </c>
      <c r="B110" t="s">
        <v>16</v>
      </c>
      <c r="C110">
        <v>25920</v>
      </c>
      <c r="D110">
        <v>96</v>
      </c>
      <c r="E110">
        <v>2</v>
      </c>
      <c r="F110">
        <v>8</v>
      </c>
      <c r="G110">
        <v>329.06</v>
      </c>
      <c r="H110" s="17">
        <v>35.283999999999999</v>
      </c>
      <c r="I110" s="33">
        <v>45318</v>
      </c>
      <c r="J110" s="37">
        <v>0.92138888888888892</v>
      </c>
      <c r="K110">
        <v>0</v>
      </c>
      <c r="L110">
        <v>0</v>
      </c>
      <c r="M110">
        <v>0</v>
      </c>
      <c r="N110">
        <v>0</v>
      </c>
      <c r="O110">
        <v>0</v>
      </c>
      <c r="P110">
        <v>0</v>
      </c>
      <c r="Q110">
        <v>0</v>
      </c>
      <c r="R110">
        <v>0</v>
      </c>
      <c r="S110">
        <v>0</v>
      </c>
      <c r="T110">
        <v>0</v>
      </c>
      <c r="U110">
        <v>0</v>
      </c>
      <c r="V110">
        <v>0</v>
      </c>
      <c r="W110" s="30">
        <f t="shared" ref="W110" si="69">AVERAGE(H110:H114)</f>
        <v>35.272999999999996</v>
      </c>
      <c r="Y110">
        <v>0</v>
      </c>
      <c r="Z110" t="s">
        <v>16</v>
      </c>
      <c r="AA110">
        <v>25920</v>
      </c>
      <c r="AB110">
        <v>96</v>
      </c>
      <c r="AC110">
        <v>2</v>
      </c>
      <c r="AD110">
        <v>8</v>
      </c>
      <c r="AE110">
        <v>290.44</v>
      </c>
      <c r="AF110" s="17">
        <v>39.975999999999999</v>
      </c>
      <c r="AG110" s="33">
        <v>45314</v>
      </c>
      <c r="AH110" s="34">
        <v>0.75153935185185183</v>
      </c>
      <c r="AI110">
        <v>0</v>
      </c>
      <c r="AJ110">
        <v>0</v>
      </c>
      <c r="AK110">
        <v>0</v>
      </c>
      <c r="AL110">
        <v>0</v>
      </c>
      <c r="AM110">
        <v>0</v>
      </c>
      <c r="AN110">
        <v>0</v>
      </c>
      <c r="AO110">
        <v>0</v>
      </c>
      <c r="AP110">
        <v>0</v>
      </c>
      <c r="AQ110">
        <v>0</v>
      </c>
      <c r="AR110">
        <v>0</v>
      </c>
      <c r="AS110">
        <v>0</v>
      </c>
      <c r="AT110">
        <v>0</v>
      </c>
      <c r="AU110" s="30">
        <f t="shared" si="36"/>
        <v>39.905199999999994</v>
      </c>
    </row>
    <row r="111" spans="1:47" x14ac:dyDescent="0.25">
      <c r="A111">
        <v>1</v>
      </c>
      <c r="B111" t="s">
        <v>16</v>
      </c>
      <c r="C111">
        <v>25920</v>
      </c>
      <c r="D111">
        <v>96</v>
      </c>
      <c r="E111">
        <v>2</v>
      </c>
      <c r="F111">
        <v>8</v>
      </c>
      <c r="G111">
        <v>328.93</v>
      </c>
      <c r="H111" s="17">
        <v>35.298000000000002</v>
      </c>
      <c r="I111" s="33">
        <v>45318</v>
      </c>
      <c r="J111" s="37">
        <v>2.8912037037037038E-2</v>
      </c>
      <c r="K111">
        <v>0</v>
      </c>
      <c r="L111">
        <v>0</v>
      </c>
      <c r="M111">
        <v>0</v>
      </c>
      <c r="N111">
        <v>0</v>
      </c>
      <c r="O111">
        <v>0</v>
      </c>
      <c r="P111">
        <v>0</v>
      </c>
      <c r="Q111">
        <v>0</v>
      </c>
      <c r="R111">
        <v>0</v>
      </c>
      <c r="S111">
        <v>0</v>
      </c>
      <c r="T111">
        <v>0</v>
      </c>
      <c r="U111">
        <v>0</v>
      </c>
      <c r="V111">
        <v>0</v>
      </c>
      <c r="W111" s="30">
        <f t="shared" ref="W111" si="70">W110</f>
        <v>35.272999999999996</v>
      </c>
      <c r="Y111">
        <v>1</v>
      </c>
      <c r="Z111" t="s">
        <v>16</v>
      </c>
      <c r="AA111">
        <v>25920</v>
      </c>
      <c r="AB111">
        <v>96</v>
      </c>
      <c r="AC111">
        <v>2</v>
      </c>
      <c r="AD111">
        <v>8</v>
      </c>
      <c r="AE111">
        <v>290.94</v>
      </c>
      <c r="AF111" s="17">
        <v>39.906999999999996</v>
      </c>
      <c r="AG111" s="33">
        <v>45314</v>
      </c>
      <c r="AH111" s="34">
        <v>0.77429398148148154</v>
      </c>
      <c r="AI111">
        <v>0</v>
      </c>
      <c r="AJ111">
        <v>0</v>
      </c>
      <c r="AK111">
        <v>0</v>
      </c>
      <c r="AL111">
        <v>0</v>
      </c>
      <c r="AM111">
        <v>0</v>
      </c>
      <c r="AN111">
        <v>0</v>
      </c>
      <c r="AO111">
        <v>0</v>
      </c>
      <c r="AP111">
        <v>0</v>
      </c>
      <c r="AQ111">
        <v>0</v>
      </c>
      <c r="AR111">
        <v>0</v>
      </c>
      <c r="AS111">
        <v>0</v>
      </c>
      <c r="AT111">
        <v>0</v>
      </c>
      <c r="AU111" s="30">
        <f t="shared" si="38"/>
        <v>39.905199999999994</v>
      </c>
    </row>
    <row r="112" spans="1:47" x14ac:dyDescent="0.25">
      <c r="A112">
        <v>2</v>
      </c>
      <c r="B112" t="s">
        <v>16</v>
      </c>
      <c r="C112">
        <v>25920</v>
      </c>
      <c r="D112">
        <v>96</v>
      </c>
      <c r="E112">
        <v>2</v>
      </c>
      <c r="F112">
        <v>8</v>
      </c>
      <c r="G112">
        <v>329.28</v>
      </c>
      <c r="H112" s="17">
        <v>35.261000000000003</v>
      </c>
      <c r="I112" s="33">
        <v>45318</v>
      </c>
      <c r="J112" s="37">
        <v>0.28835648148148146</v>
      </c>
      <c r="K112">
        <v>0</v>
      </c>
      <c r="L112">
        <v>0</v>
      </c>
      <c r="M112">
        <v>0</v>
      </c>
      <c r="N112">
        <v>0</v>
      </c>
      <c r="O112">
        <v>0</v>
      </c>
      <c r="P112">
        <v>0</v>
      </c>
      <c r="Q112">
        <v>0</v>
      </c>
      <c r="R112">
        <v>0</v>
      </c>
      <c r="S112">
        <v>0</v>
      </c>
      <c r="T112">
        <v>0</v>
      </c>
      <c r="U112">
        <v>0</v>
      </c>
      <c r="V112">
        <v>0</v>
      </c>
      <c r="W112" s="30">
        <f t="shared" si="60"/>
        <v>35.272999999999996</v>
      </c>
      <c r="Y112">
        <v>2</v>
      </c>
      <c r="Z112" t="s">
        <v>16</v>
      </c>
      <c r="AA112">
        <v>25920</v>
      </c>
      <c r="AB112">
        <v>96</v>
      </c>
      <c r="AC112">
        <v>2</v>
      </c>
      <c r="AD112">
        <v>8</v>
      </c>
      <c r="AE112">
        <v>291.41000000000003</v>
      </c>
      <c r="AF112" s="17">
        <v>39.843000000000004</v>
      </c>
      <c r="AG112" s="33">
        <v>45318</v>
      </c>
      <c r="AH112" s="34">
        <v>0.2973263888888889</v>
      </c>
      <c r="AI112">
        <v>0</v>
      </c>
      <c r="AJ112">
        <v>0</v>
      </c>
      <c r="AK112">
        <v>0</v>
      </c>
      <c r="AL112">
        <v>0</v>
      </c>
      <c r="AM112">
        <v>0</v>
      </c>
      <c r="AN112">
        <v>0</v>
      </c>
      <c r="AO112">
        <v>0</v>
      </c>
      <c r="AP112">
        <v>0</v>
      </c>
      <c r="AQ112">
        <v>0</v>
      </c>
      <c r="AR112">
        <v>0</v>
      </c>
      <c r="AS112">
        <v>0</v>
      </c>
      <c r="AT112">
        <v>0</v>
      </c>
      <c r="AU112" s="30">
        <f t="shared" si="38"/>
        <v>39.905199999999994</v>
      </c>
    </row>
    <row r="113" spans="1:47" x14ac:dyDescent="0.25">
      <c r="A113">
        <v>3</v>
      </c>
      <c r="B113" t="s">
        <v>16</v>
      </c>
      <c r="C113">
        <v>25920</v>
      </c>
      <c r="D113">
        <v>96</v>
      </c>
      <c r="E113">
        <v>2</v>
      </c>
      <c r="F113">
        <v>8</v>
      </c>
      <c r="G113">
        <v>329.44</v>
      </c>
      <c r="H113" s="17">
        <v>35.243000000000002</v>
      </c>
      <c r="I113" s="33">
        <v>45318</v>
      </c>
      <c r="J113" s="37">
        <v>0.54767361111111112</v>
      </c>
      <c r="K113">
        <v>0</v>
      </c>
      <c r="L113">
        <v>0</v>
      </c>
      <c r="M113">
        <v>0</v>
      </c>
      <c r="N113">
        <v>0</v>
      </c>
      <c r="O113">
        <v>0</v>
      </c>
      <c r="P113">
        <v>0</v>
      </c>
      <c r="Q113">
        <v>0</v>
      </c>
      <c r="R113">
        <v>0</v>
      </c>
      <c r="S113">
        <v>0</v>
      </c>
      <c r="T113">
        <v>0</v>
      </c>
      <c r="U113">
        <v>0</v>
      </c>
      <c r="V113">
        <v>0</v>
      </c>
      <c r="W113" s="30">
        <f t="shared" si="60"/>
        <v>35.272999999999996</v>
      </c>
      <c r="Y113">
        <v>3</v>
      </c>
      <c r="Z113" t="s">
        <v>16</v>
      </c>
      <c r="AA113">
        <v>25920</v>
      </c>
      <c r="AB113">
        <v>96</v>
      </c>
      <c r="AC113">
        <v>2</v>
      </c>
      <c r="AD113">
        <v>8</v>
      </c>
      <c r="AE113">
        <v>291.32</v>
      </c>
      <c r="AF113" s="17">
        <v>39.854999999999997</v>
      </c>
      <c r="AG113" s="33">
        <v>45315</v>
      </c>
      <c r="AH113" s="34">
        <v>0.16824074074074072</v>
      </c>
      <c r="AI113">
        <v>0</v>
      </c>
      <c r="AJ113">
        <v>0</v>
      </c>
      <c r="AK113">
        <v>0</v>
      </c>
      <c r="AL113">
        <v>0</v>
      </c>
      <c r="AM113">
        <v>0</v>
      </c>
      <c r="AN113">
        <v>0</v>
      </c>
      <c r="AO113">
        <v>0</v>
      </c>
      <c r="AP113">
        <v>0</v>
      </c>
      <c r="AQ113">
        <v>0</v>
      </c>
      <c r="AR113">
        <v>0</v>
      </c>
      <c r="AS113">
        <v>0</v>
      </c>
      <c r="AT113">
        <v>0</v>
      </c>
      <c r="AU113" s="30">
        <f t="shared" si="38"/>
        <v>39.905199999999994</v>
      </c>
    </row>
    <row r="114" spans="1:47" x14ac:dyDescent="0.25">
      <c r="A114">
        <v>4</v>
      </c>
      <c r="B114" t="s">
        <v>16</v>
      </c>
      <c r="C114">
        <v>25920</v>
      </c>
      <c r="D114">
        <v>96</v>
      </c>
      <c r="E114">
        <v>2</v>
      </c>
      <c r="F114">
        <v>8</v>
      </c>
      <c r="G114">
        <v>329.11</v>
      </c>
      <c r="H114" s="17">
        <v>35.279000000000003</v>
      </c>
      <c r="I114" s="33">
        <v>45318</v>
      </c>
      <c r="J114" s="37">
        <v>0.80702546296296296</v>
      </c>
      <c r="K114">
        <v>0</v>
      </c>
      <c r="L114">
        <v>0</v>
      </c>
      <c r="M114">
        <v>0</v>
      </c>
      <c r="N114">
        <v>0</v>
      </c>
      <c r="O114">
        <v>0</v>
      </c>
      <c r="P114">
        <v>0</v>
      </c>
      <c r="Q114">
        <v>0</v>
      </c>
      <c r="R114">
        <v>0</v>
      </c>
      <c r="S114">
        <v>0</v>
      </c>
      <c r="T114">
        <v>0</v>
      </c>
      <c r="U114">
        <v>0</v>
      </c>
      <c r="V114">
        <v>0</v>
      </c>
      <c r="W114" s="30">
        <f t="shared" si="60"/>
        <v>35.272999999999996</v>
      </c>
      <c r="Y114">
        <v>4</v>
      </c>
      <c r="Z114" t="s">
        <v>16</v>
      </c>
      <c r="AA114">
        <v>25920</v>
      </c>
      <c r="AB114">
        <v>96</v>
      </c>
      <c r="AC114">
        <v>2</v>
      </c>
      <c r="AD114">
        <v>8</v>
      </c>
      <c r="AE114">
        <v>290.66000000000003</v>
      </c>
      <c r="AF114" s="17">
        <v>39.945</v>
      </c>
      <c r="AG114" s="33">
        <v>45318</v>
      </c>
      <c r="AH114" s="34">
        <v>2.4120370370370372E-2</v>
      </c>
      <c r="AI114">
        <v>0</v>
      </c>
      <c r="AJ114">
        <v>0</v>
      </c>
      <c r="AK114">
        <v>0</v>
      </c>
      <c r="AL114">
        <v>0</v>
      </c>
      <c r="AM114">
        <v>0</v>
      </c>
      <c r="AN114">
        <v>0</v>
      </c>
      <c r="AO114">
        <v>0</v>
      </c>
      <c r="AP114">
        <v>0</v>
      </c>
      <c r="AQ114">
        <v>0</v>
      </c>
      <c r="AR114">
        <v>0</v>
      </c>
      <c r="AS114">
        <v>0</v>
      </c>
      <c r="AT114">
        <v>0</v>
      </c>
      <c r="AU114" s="30">
        <f t="shared" si="38"/>
        <v>39.905199999999994</v>
      </c>
    </row>
    <row r="115" spans="1:47" x14ac:dyDescent="0.25">
      <c r="A115">
        <v>0</v>
      </c>
      <c r="B115" t="s">
        <v>16</v>
      </c>
      <c r="C115">
        <v>27456</v>
      </c>
      <c r="D115">
        <v>96</v>
      </c>
      <c r="E115">
        <v>2</v>
      </c>
      <c r="F115">
        <v>8</v>
      </c>
      <c r="G115">
        <v>386.69</v>
      </c>
      <c r="H115" s="17">
        <v>35.686</v>
      </c>
      <c r="I115" s="33">
        <v>45318</v>
      </c>
      <c r="J115" s="37">
        <v>0.84305555555555556</v>
      </c>
      <c r="K115">
        <v>0</v>
      </c>
      <c r="L115">
        <v>0</v>
      </c>
      <c r="M115">
        <v>0</v>
      </c>
      <c r="N115">
        <v>0</v>
      </c>
      <c r="O115">
        <v>0</v>
      </c>
      <c r="P115">
        <v>0</v>
      </c>
      <c r="Q115">
        <v>0</v>
      </c>
      <c r="R115">
        <v>0</v>
      </c>
      <c r="S115">
        <v>0</v>
      </c>
      <c r="T115">
        <v>0</v>
      </c>
      <c r="U115">
        <v>0</v>
      </c>
      <c r="V115">
        <v>0</v>
      </c>
      <c r="W115" s="30">
        <f t="shared" ref="W115" si="71">AVERAGE(H115:H119)</f>
        <v>35.705600000000004</v>
      </c>
      <c r="Y115">
        <v>0</v>
      </c>
      <c r="Z115" t="s">
        <v>16</v>
      </c>
      <c r="AA115">
        <v>27456</v>
      </c>
      <c r="AB115">
        <v>96</v>
      </c>
      <c r="AC115">
        <v>2</v>
      </c>
      <c r="AD115">
        <v>8</v>
      </c>
      <c r="AE115">
        <v>341.07</v>
      </c>
      <c r="AF115" s="17">
        <v>40.459000000000003</v>
      </c>
      <c r="AG115" s="33">
        <v>45314</v>
      </c>
      <c r="AH115" s="34">
        <v>0.79510416666666661</v>
      </c>
      <c r="AI115">
        <v>0</v>
      </c>
      <c r="AJ115">
        <v>0</v>
      </c>
      <c r="AK115">
        <v>0</v>
      </c>
      <c r="AL115">
        <v>0</v>
      </c>
      <c r="AM115">
        <v>0</v>
      </c>
      <c r="AN115">
        <v>0</v>
      </c>
      <c r="AO115">
        <v>0</v>
      </c>
      <c r="AP115">
        <v>0</v>
      </c>
      <c r="AQ115">
        <v>0</v>
      </c>
      <c r="AR115">
        <v>0</v>
      </c>
      <c r="AS115">
        <v>0</v>
      </c>
      <c r="AT115">
        <v>0</v>
      </c>
      <c r="AU115" s="30">
        <f t="shared" si="40"/>
        <v>40.427200000000006</v>
      </c>
    </row>
    <row r="116" spans="1:47" x14ac:dyDescent="0.25">
      <c r="A116">
        <v>1</v>
      </c>
      <c r="B116" t="s">
        <v>16</v>
      </c>
      <c r="C116">
        <v>27456</v>
      </c>
      <c r="D116">
        <v>96</v>
      </c>
      <c r="E116">
        <v>2</v>
      </c>
      <c r="F116">
        <v>8</v>
      </c>
      <c r="G116">
        <v>386.47</v>
      </c>
      <c r="H116" s="17">
        <v>35.706000000000003</v>
      </c>
      <c r="I116" s="33">
        <v>45318</v>
      </c>
      <c r="J116" s="37">
        <v>0.10523148148148148</v>
      </c>
      <c r="K116">
        <v>0</v>
      </c>
      <c r="L116">
        <v>0</v>
      </c>
      <c r="M116">
        <v>0</v>
      </c>
      <c r="N116">
        <v>0</v>
      </c>
      <c r="O116">
        <v>0</v>
      </c>
      <c r="P116">
        <v>0</v>
      </c>
      <c r="Q116">
        <v>0</v>
      </c>
      <c r="R116">
        <v>0</v>
      </c>
      <c r="S116">
        <v>0</v>
      </c>
      <c r="T116">
        <v>0</v>
      </c>
      <c r="U116">
        <v>0</v>
      </c>
      <c r="V116">
        <v>0</v>
      </c>
      <c r="W116" s="30">
        <f t="shared" ref="W116" si="72">W115</f>
        <v>35.705600000000004</v>
      </c>
      <c r="Y116">
        <v>1</v>
      </c>
      <c r="Z116" t="s">
        <v>16</v>
      </c>
      <c r="AA116">
        <v>27456</v>
      </c>
      <c r="AB116">
        <v>96</v>
      </c>
      <c r="AC116">
        <v>2</v>
      </c>
      <c r="AD116">
        <v>8</v>
      </c>
      <c r="AE116">
        <v>341.03</v>
      </c>
      <c r="AF116" s="17">
        <v>40.463000000000001</v>
      </c>
      <c r="AG116" s="33">
        <v>45314</v>
      </c>
      <c r="AH116" s="34">
        <v>0.9371990740740741</v>
      </c>
      <c r="AI116">
        <v>0</v>
      </c>
      <c r="AJ116">
        <v>0</v>
      </c>
      <c r="AK116">
        <v>0</v>
      </c>
      <c r="AL116">
        <v>0</v>
      </c>
      <c r="AM116">
        <v>0</v>
      </c>
      <c r="AN116">
        <v>0</v>
      </c>
      <c r="AO116">
        <v>0</v>
      </c>
      <c r="AP116">
        <v>0</v>
      </c>
      <c r="AQ116">
        <v>0</v>
      </c>
      <c r="AR116">
        <v>0</v>
      </c>
      <c r="AS116">
        <v>0</v>
      </c>
      <c r="AT116">
        <v>0</v>
      </c>
      <c r="AU116" s="30">
        <f t="shared" si="42"/>
        <v>40.427200000000006</v>
      </c>
    </row>
    <row r="117" spans="1:47" x14ac:dyDescent="0.25">
      <c r="A117">
        <v>2</v>
      </c>
      <c r="B117" t="s">
        <v>16</v>
      </c>
      <c r="C117">
        <v>27456</v>
      </c>
      <c r="D117">
        <v>96</v>
      </c>
      <c r="E117">
        <v>2</v>
      </c>
      <c r="F117">
        <v>8</v>
      </c>
      <c r="G117">
        <v>386.42</v>
      </c>
      <c r="H117" s="17">
        <v>35.71</v>
      </c>
      <c r="I117" s="33">
        <v>45318</v>
      </c>
      <c r="J117" s="37">
        <v>0.21001157407407409</v>
      </c>
      <c r="K117">
        <v>0</v>
      </c>
      <c r="L117">
        <v>0</v>
      </c>
      <c r="M117">
        <v>0</v>
      </c>
      <c r="N117">
        <v>0</v>
      </c>
      <c r="O117">
        <v>0</v>
      </c>
      <c r="P117">
        <v>0</v>
      </c>
      <c r="Q117">
        <v>0</v>
      </c>
      <c r="R117">
        <v>0</v>
      </c>
      <c r="S117">
        <v>0</v>
      </c>
      <c r="T117">
        <v>0</v>
      </c>
      <c r="U117">
        <v>0</v>
      </c>
      <c r="V117">
        <v>0</v>
      </c>
      <c r="W117" s="30">
        <f t="shared" si="58"/>
        <v>35.705600000000004</v>
      </c>
      <c r="Y117">
        <v>2</v>
      </c>
      <c r="Z117" t="s">
        <v>16</v>
      </c>
      <c r="AA117">
        <v>27456</v>
      </c>
      <c r="AB117">
        <v>96</v>
      </c>
      <c r="AC117">
        <v>2</v>
      </c>
      <c r="AD117">
        <v>8</v>
      </c>
      <c r="AE117">
        <v>341.37</v>
      </c>
      <c r="AF117" s="17">
        <v>40.423000000000002</v>
      </c>
      <c r="AG117" s="33">
        <v>45318</v>
      </c>
      <c r="AH117" s="34">
        <v>1.579861111111111E-2</v>
      </c>
      <c r="AI117">
        <v>0</v>
      </c>
      <c r="AJ117">
        <v>0</v>
      </c>
      <c r="AK117">
        <v>0</v>
      </c>
      <c r="AL117">
        <v>0</v>
      </c>
      <c r="AM117">
        <v>0</v>
      </c>
      <c r="AN117">
        <v>0</v>
      </c>
      <c r="AO117">
        <v>0</v>
      </c>
      <c r="AP117">
        <v>0</v>
      </c>
      <c r="AQ117">
        <v>0</v>
      </c>
      <c r="AR117">
        <v>0</v>
      </c>
      <c r="AS117">
        <v>0</v>
      </c>
      <c r="AT117">
        <v>0</v>
      </c>
      <c r="AU117" s="30">
        <f t="shared" si="42"/>
        <v>40.427200000000006</v>
      </c>
    </row>
    <row r="118" spans="1:47" x14ac:dyDescent="0.25">
      <c r="A118">
        <v>3</v>
      </c>
      <c r="B118" t="s">
        <v>16</v>
      </c>
      <c r="C118">
        <v>27456</v>
      </c>
      <c r="D118">
        <v>96</v>
      </c>
      <c r="E118">
        <v>2</v>
      </c>
      <c r="F118">
        <v>8</v>
      </c>
      <c r="G118">
        <v>386.25</v>
      </c>
      <c r="H118" s="17">
        <v>35.725999999999999</v>
      </c>
      <c r="I118" s="33">
        <v>45318</v>
      </c>
      <c r="J118" s="37">
        <v>0.46930555555555559</v>
      </c>
      <c r="K118">
        <v>0</v>
      </c>
      <c r="L118">
        <v>0</v>
      </c>
      <c r="M118">
        <v>0</v>
      </c>
      <c r="N118">
        <v>0</v>
      </c>
      <c r="O118">
        <v>0</v>
      </c>
      <c r="P118">
        <v>0</v>
      </c>
      <c r="Q118">
        <v>0</v>
      </c>
      <c r="R118">
        <v>0</v>
      </c>
      <c r="S118">
        <v>0</v>
      </c>
      <c r="T118">
        <v>0</v>
      </c>
      <c r="U118">
        <v>0</v>
      </c>
      <c r="V118">
        <v>0</v>
      </c>
      <c r="W118" s="30">
        <f t="shared" si="58"/>
        <v>35.705600000000004</v>
      </c>
      <c r="Y118">
        <v>3</v>
      </c>
      <c r="Z118" t="s">
        <v>16</v>
      </c>
      <c r="AA118">
        <v>27456</v>
      </c>
      <c r="AB118">
        <v>96</v>
      </c>
      <c r="AC118">
        <v>2</v>
      </c>
      <c r="AD118">
        <v>8</v>
      </c>
      <c r="AE118">
        <v>341.56</v>
      </c>
      <c r="AF118" s="17">
        <v>40.401000000000003</v>
      </c>
      <c r="AG118" s="33">
        <v>45315</v>
      </c>
      <c r="AH118" s="34">
        <v>8.7534722222222208E-2</v>
      </c>
      <c r="AI118">
        <v>0</v>
      </c>
      <c r="AJ118">
        <v>0</v>
      </c>
      <c r="AK118">
        <v>0</v>
      </c>
      <c r="AL118">
        <v>0</v>
      </c>
      <c r="AM118">
        <v>0</v>
      </c>
      <c r="AN118">
        <v>0</v>
      </c>
      <c r="AO118">
        <v>0</v>
      </c>
      <c r="AP118">
        <v>0</v>
      </c>
      <c r="AQ118">
        <v>0</v>
      </c>
      <c r="AR118">
        <v>0</v>
      </c>
      <c r="AS118">
        <v>0</v>
      </c>
      <c r="AT118">
        <v>0</v>
      </c>
      <c r="AU118" s="30">
        <f t="shared" si="42"/>
        <v>40.427200000000006</v>
      </c>
    </row>
    <row r="119" spans="1:47" x14ac:dyDescent="0.25">
      <c r="A119">
        <v>4</v>
      </c>
      <c r="B119" t="s">
        <v>16</v>
      </c>
      <c r="C119">
        <v>27456</v>
      </c>
      <c r="D119">
        <v>96</v>
      </c>
      <c r="E119">
        <v>2</v>
      </c>
      <c r="F119">
        <v>8</v>
      </c>
      <c r="G119">
        <v>386.54</v>
      </c>
      <c r="H119" s="17">
        <v>35.700000000000003</v>
      </c>
      <c r="I119" s="33">
        <v>45318</v>
      </c>
      <c r="J119" s="37">
        <v>0.72865740740740748</v>
      </c>
      <c r="K119">
        <v>0</v>
      </c>
      <c r="L119">
        <v>0</v>
      </c>
      <c r="M119">
        <v>0</v>
      </c>
      <c r="N119">
        <v>0</v>
      </c>
      <c r="O119">
        <v>0</v>
      </c>
      <c r="P119">
        <v>0</v>
      </c>
      <c r="Q119">
        <v>0</v>
      </c>
      <c r="R119">
        <v>0</v>
      </c>
      <c r="S119">
        <v>0</v>
      </c>
      <c r="T119">
        <v>0</v>
      </c>
      <c r="U119">
        <v>0</v>
      </c>
      <c r="V119">
        <v>0</v>
      </c>
      <c r="W119" s="30">
        <f t="shared" si="58"/>
        <v>35.705600000000004</v>
      </c>
      <c r="Y119">
        <v>4</v>
      </c>
      <c r="Z119" t="s">
        <v>16</v>
      </c>
      <c r="AA119">
        <v>27456</v>
      </c>
      <c r="AB119">
        <v>96</v>
      </c>
      <c r="AC119">
        <v>2</v>
      </c>
      <c r="AD119">
        <v>8</v>
      </c>
      <c r="AE119">
        <v>341.65</v>
      </c>
      <c r="AF119" s="17">
        <v>40.39</v>
      </c>
      <c r="AG119" s="33">
        <v>45318</v>
      </c>
      <c r="AH119" s="34">
        <v>0.37259259259259259</v>
      </c>
      <c r="AI119">
        <v>0</v>
      </c>
      <c r="AJ119">
        <v>0</v>
      </c>
      <c r="AK119">
        <v>0</v>
      </c>
      <c r="AL119">
        <v>0</v>
      </c>
      <c r="AM119">
        <v>0</v>
      </c>
      <c r="AN119">
        <v>0</v>
      </c>
      <c r="AO119">
        <v>0</v>
      </c>
      <c r="AP119">
        <v>0</v>
      </c>
      <c r="AQ119">
        <v>0</v>
      </c>
      <c r="AR119">
        <v>0</v>
      </c>
      <c r="AS119">
        <v>0</v>
      </c>
      <c r="AT119">
        <v>0</v>
      </c>
      <c r="AU119" s="30">
        <f t="shared" si="42"/>
        <v>40.427200000000006</v>
      </c>
    </row>
    <row r="120" spans="1:47" x14ac:dyDescent="0.25">
      <c r="A120">
        <v>0</v>
      </c>
      <c r="B120" t="s">
        <v>16</v>
      </c>
      <c r="C120">
        <v>28992</v>
      </c>
      <c r="D120">
        <v>96</v>
      </c>
      <c r="E120">
        <v>2</v>
      </c>
      <c r="F120">
        <v>8</v>
      </c>
      <c r="G120">
        <v>453.56</v>
      </c>
      <c r="H120" s="17">
        <v>35.822000000000003</v>
      </c>
      <c r="I120" s="33">
        <v>45318</v>
      </c>
      <c r="J120" s="37">
        <v>1.3344907407407408E-2</v>
      </c>
      <c r="K120">
        <v>0</v>
      </c>
      <c r="L120">
        <v>0</v>
      </c>
      <c r="M120">
        <v>0</v>
      </c>
      <c r="N120">
        <v>0</v>
      </c>
      <c r="O120">
        <v>0</v>
      </c>
      <c r="P120">
        <v>0</v>
      </c>
      <c r="Q120">
        <v>0</v>
      </c>
      <c r="R120">
        <v>0</v>
      </c>
      <c r="S120">
        <v>0</v>
      </c>
      <c r="T120">
        <v>0</v>
      </c>
      <c r="U120">
        <v>0</v>
      </c>
      <c r="V120">
        <v>0</v>
      </c>
      <c r="W120" s="30">
        <f t="shared" ref="W120" si="73">AVERAGE(H120:H124)</f>
        <v>35.811799999999998</v>
      </c>
      <c r="Y120">
        <v>0</v>
      </c>
      <c r="Z120" t="s">
        <v>16</v>
      </c>
      <c r="AA120">
        <v>28992</v>
      </c>
      <c r="AB120">
        <v>96</v>
      </c>
      <c r="AC120">
        <v>2</v>
      </c>
      <c r="AD120">
        <v>8</v>
      </c>
      <c r="AE120">
        <v>397.53</v>
      </c>
      <c r="AF120" s="17">
        <v>40.871000000000002</v>
      </c>
      <c r="AG120" s="33">
        <v>45314</v>
      </c>
      <c r="AH120" s="34">
        <v>0.84337962962962953</v>
      </c>
      <c r="AI120">
        <v>0</v>
      </c>
      <c r="AJ120">
        <v>0</v>
      </c>
      <c r="AK120">
        <v>0</v>
      </c>
      <c r="AL120">
        <v>0</v>
      </c>
      <c r="AM120">
        <v>0</v>
      </c>
      <c r="AN120">
        <v>0</v>
      </c>
      <c r="AO120">
        <v>0</v>
      </c>
      <c r="AP120">
        <v>0</v>
      </c>
      <c r="AQ120">
        <v>0</v>
      </c>
      <c r="AR120">
        <v>0</v>
      </c>
      <c r="AS120">
        <v>0</v>
      </c>
      <c r="AT120">
        <v>0</v>
      </c>
      <c r="AU120" s="30">
        <f t="shared" si="44"/>
        <v>40.822799999999994</v>
      </c>
    </row>
    <row r="121" spans="1:47" x14ac:dyDescent="0.25">
      <c r="A121">
        <v>1</v>
      </c>
      <c r="B121" t="s">
        <v>16</v>
      </c>
      <c r="C121">
        <v>28992</v>
      </c>
      <c r="D121">
        <v>96</v>
      </c>
      <c r="E121">
        <v>2</v>
      </c>
      <c r="F121">
        <v>8</v>
      </c>
      <c r="G121">
        <v>453.8</v>
      </c>
      <c r="H121" s="17">
        <v>35.802</v>
      </c>
      <c r="I121" s="33">
        <v>45318</v>
      </c>
      <c r="J121" s="37">
        <v>0.11821759259259258</v>
      </c>
      <c r="K121">
        <v>0</v>
      </c>
      <c r="L121">
        <v>0</v>
      </c>
      <c r="M121">
        <v>0</v>
      </c>
      <c r="N121">
        <v>0</v>
      </c>
      <c r="O121">
        <v>0</v>
      </c>
      <c r="P121">
        <v>0</v>
      </c>
      <c r="Q121">
        <v>0</v>
      </c>
      <c r="R121">
        <v>0</v>
      </c>
      <c r="S121">
        <v>0</v>
      </c>
      <c r="T121">
        <v>0</v>
      </c>
      <c r="U121">
        <v>0</v>
      </c>
      <c r="V121">
        <v>0</v>
      </c>
      <c r="W121" s="30">
        <f t="shared" ref="W121" si="74">W120</f>
        <v>35.811799999999998</v>
      </c>
      <c r="Y121">
        <v>1</v>
      </c>
      <c r="Z121" t="s">
        <v>16</v>
      </c>
      <c r="AA121">
        <v>28992</v>
      </c>
      <c r="AB121">
        <v>96</v>
      </c>
      <c r="AC121">
        <v>2</v>
      </c>
      <c r="AD121">
        <v>8</v>
      </c>
      <c r="AE121">
        <v>398.6</v>
      </c>
      <c r="AF121" s="17">
        <v>40.76</v>
      </c>
      <c r="AG121" s="33">
        <v>45317</v>
      </c>
      <c r="AH121" s="34">
        <v>0.99660879629629628</v>
      </c>
      <c r="AI121">
        <v>0</v>
      </c>
      <c r="AJ121">
        <v>0</v>
      </c>
      <c r="AK121">
        <v>0</v>
      </c>
      <c r="AL121">
        <v>0</v>
      </c>
      <c r="AM121">
        <v>0</v>
      </c>
      <c r="AN121">
        <v>0</v>
      </c>
      <c r="AO121">
        <v>0</v>
      </c>
      <c r="AP121">
        <v>0</v>
      </c>
      <c r="AQ121">
        <v>0</v>
      </c>
      <c r="AR121">
        <v>0</v>
      </c>
      <c r="AS121">
        <v>0</v>
      </c>
      <c r="AT121">
        <v>0</v>
      </c>
      <c r="AU121" s="30">
        <f t="shared" si="46"/>
        <v>40.822799999999994</v>
      </c>
    </row>
    <row r="122" spans="1:47" x14ac:dyDescent="0.25">
      <c r="A122">
        <v>2</v>
      </c>
      <c r="B122" t="s">
        <v>16</v>
      </c>
      <c r="C122">
        <v>28992</v>
      </c>
      <c r="D122">
        <v>96</v>
      </c>
      <c r="E122">
        <v>2</v>
      </c>
      <c r="F122">
        <v>8</v>
      </c>
      <c r="G122">
        <v>453.64</v>
      </c>
      <c r="H122" s="17">
        <v>35.814999999999998</v>
      </c>
      <c r="I122" s="33">
        <v>45318</v>
      </c>
      <c r="J122" s="37">
        <v>0.37760416666666669</v>
      </c>
      <c r="K122">
        <v>0</v>
      </c>
      <c r="L122">
        <v>0</v>
      </c>
      <c r="M122">
        <v>0</v>
      </c>
      <c r="N122">
        <v>0</v>
      </c>
      <c r="O122">
        <v>0</v>
      </c>
      <c r="P122">
        <v>0</v>
      </c>
      <c r="Q122">
        <v>0</v>
      </c>
      <c r="R122">
        <v>0</v>
      </c>
      <c r="S122">
        <v>0</v>
      </c>
      <c r="T122">
        <v>0</v>
      </c>
      <c r="U122">
        <v>0</v>
      </c>
      <c r="V122">
        <v>0</v>
      </c>
      <c r="W122" s="30">
        <f t="shared" si="60"/>
        <v>35.811799999999998</v>
      </c>
      <c r="Y122">
        <v>2</v>
      </c>
      <c r="Z122" t="s">
        <v>16</v>
      </c>
      <c r="AA122">
        <v>28992</v>
      </c>
      <c r="AB122">
        <v>96</v>
      </c>
      <c r="AC122">
        <v>2</v>
      </c>
      <c r="AD122">
        <v>8</v>
      </c>
      <c r="AE122">
        <v>397.85</v>
      </c>
      <c r="AF122" s="17">
        <v>40.837000000000003</v>
      </c>
      <c r="AG122" s="33">
        <v>45318</v>
      </c>
      <c r="AH122" s="34">
        <v>0.3142476851851852</v>
      </c>
      <c r="AI122">
        <v>0</v>
      </c>
      <c r="AJ122">
        <v>0</v>
      </c>
      <c r="AK122">
        <v>0</v>
      </c>
      <c r="AL122">
        <v>0</v>
      </c>
      <c r="AM122">
        <v>0</v>
      </c>
      <c r="AN122">
        <v>0</v>
      </c>
      <c r="AO122">
        <v>0</v>
      </c>
      <c r="AP122">
        <v>0</v>
      </c>
      <c r="AQ122">
        <v>0</v>
      </c>
      <c r="AR122">
        <v>0</v>
      </c>
      <c r="AS122">
        <v>0</v>
      </c>
      <c r="AT122">
        <v>0</v>
      </c>
      <c r="AU122" s="30">
        <f t="shared" si="46"/>
        <v>40.822799999999994</v>
      </c>
    </row>
    <row r="123" spans="1:47" x14ac:dyDescent="0.25">
      <c r="A123">
        <v>3</v>
      </c>
      <c r="B123" t="s">
        <v>16</v>
      </c>
      <c r="C123">
        <v>28992</v>
      </c>
      <c r="D123">
        <v>96</v>
      </c>
      <c r="E123">
        <v>2</v>
      </c>
      <c r="F123">
        <v>8</v>
      </c>
      <c r="G123">
        <v>453.79</v>
      </c>
      <c r="H123" s="17">
        <v>35.802999999999997</v>
      </c>
      <c r="I123" s="33">
        <v>45318</v>
      </c>
      <c r="J123" s="37">
        <v>0.6369097222222222</v>
      </c>
      <c r="K123">
        <v>0</v>
      </c>
      <c r="L123">
        <v>0</v>
      </c>
      <c r="M123">
        <v>0</v>
      </c>
      <c r="N123">
        <v>0</v>
      </c>
      <c r="O123">
        <v>0</v>
      </c>
      <c r="P123">
        <v>0</v>
      </c>
      <c r="Q123">
        <v>0</v>
      </c>
      <c r="R123">
        <v>0</v>
      </c>
      <c r="S123">
        <v>0</v>
      </c>
      <c r="T123">
        <v>0</v>
      </c>
      <c r="U123">
        <v>0</v>
      </c>
      <c r="V123">
        <v>0</v>
      </c>
      <c r="W123" s="30">
        <f t="shared" si="60"/>
        <v>35.811799999999998</v>
      </c>
      <c r="Y123">
        <v>3</v>
      </c>
      <c r="Z123" t="s">
        <v>16</v>
      </c>
      <c r="AA123">
        <v>28992</v>
      </c>
      <c r="AB123">
        <v>96</v>
      </c>
      <c r="AC123">
        <v>2</v>
      </c>
      <c r="AD123">
        <v>8</v>
      </c>
      <c r="AE123">
        <v>397.94</v>
      </c>
      <c r="AF123" s="17">
        <v>40.828000000000003</v>
      </c>
      <c r="AG123" s="33">
        <v>45315</v>
      </c>
      <c r="AH123" s="34">
        <v>0.25996527777777778</v>
      </c>
      <c r="AI123">
        <v>0</v>
      </c>
      <c r="AJ123">
        <v>0</v>
      </c>
      <c r="AK123">
        <v>0</v>
      </c>
      <c r="AL123">
        <v>0</v>
      </c>
      <c r="AM123">
        <v>0</v>
      </c>
      <c r="AN123">
        <v>0</v>
      </c>
      <c r="AO123">
        <v>0</v>
      </c>
      <c r="AP123">
        <v>0</v>
      </c>
      <c r="AQ123">
        <v>0</v>
      </c>
      <c r="AR123">
        <v>0</v>
      </c>
      <c r="AS123">
        <v>0</v>
      </c>
      <c r="AT123">
        <v>0</v>
      </c>
      <c r="AU123" s="30">
        <f t="shared" si="46"/>
        <v>40.822799999999994</v>
      </c>
    </row>
    <row r="124" spans="1:47" x14ac:dyDescent="0.25">
      <c r="A124">
        <v>4</v>
      </c>
      <c r="B124" t="s">
        <v>16</v>
      </c>
      <c r="C124">
        <v>28992</v>
      </c>
      <c r="D124">
        <v>96</v>
      </c>
      <c r="E124">
        <v>2</v>
      </c>
      <c r="F124">
        <v>8</v>
      </c>
      <c r="G124">
        <v>453.62</v>
      </c>
      <c r="H124" s="17">
        <v>35.817</v>
      </c>
      <c r="I124" s="33">
        <v>45318</v>
      </c>
      <c r="J124" s="37">
        <v>0.89629629629629637</v>
      </c>
      <c r="K124">
        <v>0</v>
      </c>
      <c r="L124">
        <v>0</v>
      </c>
      <c r="M124">
        <v>0</v>
      </c>
      <c r="N124">
        <v>0</v>
      </c>
      <c r="O124">
        <v>0</v>
      </c>
      <c r="P124">
        <v>0</v>
      </c>
      <c r="Q124">
        <v>0</v>
      </c>
      <c r="R124">
        <v>0</v>
      </c>
      <c r="S124">
        <v>0</v>
      </c>
      <c r="T124">
        <v>0</v>
      </c>
      <c r="U124">
        <v>0</v>
      </c>
      <c r="V124">
        <v>0</v>
      </c>
      <c r="W124" s="30">
        <f t="shared" si="60"/>
        <v>35.811799999999998</v>
      </c>
      <c r="Y124">
        <v>4</v>
      </c>
      <c r="Z124" t="s">
        <v>16</v>
      </c>
      <c r="AA124">
        <v>28992</v>
      </c>
      <c r="AB124">
        <v>96</v>
      </c>
      <c r="AC124">
        <v>2</v>
      </c>
      <c r="AD124">
        <v>8</v>
      </c>
      <c r="AE124">
        <v>398.04</v>
      </c>
      <c r="AF124" s="17">
        <v>40.817999999999998</v>
      </c>
      <c r="AG124" s="33">
        <v>45318</v>
      </c>
      <c r="AH124" s="34">
        <v>0.11593750000000001</v>
      </c>
      <c r="AI124">
        <v>0</v>
      </c>
      <c r="AJ124">
        <v>0</v>
      </c>
      <c r="AK124">
        <v>0</v>
      </c>
      <c r="AL124">
        <v>0</v>
      </c>
      <c r="AM124">
        <v>0</v>
      </c>
      <c r="AN124">
        <v>0</v>
      </c>
      <c r="AO124">
        <v>0</v>
      </c>
      <c r="AP124">
        <v>0</v>
      </c>
      <c r="AQ124">
        <v>0</v>
      </c>
      <c r="AR124">
        <v>0</v>
      </c>
      <c r="AS124">
        <v>0</v>
      </c>
      <c r="AT124">
        <v>0</v>
      </c>
      <c r="AU124" s="30">
        <f t="shared" si="46"/>
        <v>40.822799999999994</v>
      </c>
    </row>
    <row r="125" spans="1:47" x14ac:dyDescent="0.25">
      <c r="A125">
        <v>0</v>
      </c>
      <c r="B125" t="s">
        <v>16</v>
      </c>
      <c r="C125">
        <v>25920</v>
      </c>
      <c r="D125">
        <v>96</v>
      </c>
      <c r="E125">
        <v>4</v>
      </c>
      <c r="F125">
        <v>4</v>
      </c>
      <c r="G125">
        <v>346.85</v>
      </c>
      <c r="H125" s="17">
        <v>33.473999999999997</v>
      </c>
      <c r="I125" s="33">
        <v>45318</v>
      </c>
      <c r="J125" s="37">
        <v>0.92557870370370365</v>
      </c>
      <c r="K125">
        <v>0</v>
      </c>
      <c r="L125">
        <v>0</v>
      </c>
      <c r="M125">
        <v>0</v>
      </c>
      <c r="N125">
        <v>0</v>
      </c>
      <c r="O125">
        <v>0</v>
      </c>
      <c r="P125">
        <v>0</v>
      </c>
      <c r="Q125">
        <v>0</v>
      </c>
      <c r="R125">
        <v>0</v>
      </c>
      <c r="S125">
        <v>0</v>
      </c>
      <c r="T125">
        <v>0</v>
      </c>
      <c r="U125">
        <v>0</v>
      </c>
      <c r="V125">
        <v>0</v>
      </c>
      <c r="W125" s="30">
        <f t="shared" ref="W125" si="75">AVERAGE(H125:H129)</f>
        <v>33.491399999999999</v>
      </c>
      <c r="Y125">
        <v>0</v>
      </c>
      <c r="Z125" t="s">
        <v>16</v>
      </c>
      <c r="AA125">
        <v>25920</v>
      </c>
      <c r="AB125">
        <v>96</v>
      </c>
      <c r="AC125">
        <v>4</v>
      </c>
      <c r="AD125">
        <v>4</v>
      </c>
      <c r="AE125">
        <v>314.67</v>
      </c>
      <c r="AF125" s="17">
        <v>36.898000000000003</v>
      </c>
      <c r="AG125" s="33">
        <v>45314</v>
      </c>
      <c r="AH125" s="34">
        <v>0.75577546296296294</v>
      </c>
      <c r="AI125">
        <v>0</v>
      </c>
      <c r="AJ125">
        <v>0</v>
      </c>
      <c r="AK125">
        <v>0</v>
      </c>
      <c r="AL125">
        <v>0</v>
      </c>
      <c r="AM125">
        <v>0</v>
      </c>
      <c r="AN125">
        <v>0</v>
      </c>
      <c r="AO125">
        <v>0</v>
      </c>
      <c r="AP125">
        <v>0</v>
      </c>
      <c r="AQ125">
        <v>0</v>
      </c>
      <c r="AR125">
        <v>0</v>
      </c>
      <c r="AS125">
        <v>0</v>
      </c>
      <c r="AT125">
        <v>0</v>
      </c>
      <c r="AU125" s="30">
        <f t="shared" ref="AU125" si="76">AVERAGE(AF125:AF129)</f>
        <v>36.926400000000001</v>
      </c>
    </row>
    <row r="126" spans="1:47" x14ac:dyDescent="0.25">
      <c r="A126">
        <v>1</v>
      </c>
      <c r="B126" t="s">
        <v>16</v>
      </c>
      <c r="C126">
        <v>25920</v>
      </c>
      <c r="D126">
        <v>96</v>
      </c>
      <c r="E126">
        <v>4</v>
      </c>
      <c r="F126">
        <v>4</v>
      </c>
      <c r="G126">
        <v>346.38</v>
      </c>
      <c r="H126" s="17">
        <v>33.520000000000003</v>
      </c>
      <c r="I126" s="33">
        <v>45318</v>
      </c>
      <c r="J126" s="37">
        <v>3.3101851851851848E-2</v>
      </c>
      <c r="K126">
        <v>0</v>
      </c>
      <c r="L126">
        <v>0</v>
      </c>
      <c r="M126">
        <v>0</v>
      </c>
      <c r="N126">
        <v>0</v>
      </c>
      <c r="O126">
        <v>0</v>
      </c>
      <c r="P126">
        <v>0</v>
      </c>
      <c r="Q126">
        <v>0</v>
      </c>
      <c r="R126">
        <v>0</v>
      </c>
      <c r="S126">
        <v>0</v>
      </c>
      <c r="T126">
        <v>0</v>
      </c>
      <c r="U126">
        <v>0</v>
      </c>
      <c r="V126">
        <v>0</v>
      </c>
      <c r="W126" s="30">
        <f t="shared" ref="W126" si="77">W125</f>
        <v>33.491399999999999</v>
      </c>
      <c r="Y126">
        <v>1</v>
      </c>
      <c r="Z126" t="s">
        <v>16</v>
      </c>
      <c r="AA126">
        <v>25920</v>
      </c>
      <c r="AB126">
        <v>96</v>
      </c>
      <c r="AC126">
        <v>4</v>
      </c>
      <c r="AD126">
        <v>4</v>
      </c>
      <c r="AE126">
        <v>314.25</v>
      </c>
      <c r="AF126" s="17">
        <v>36.947000000000003</v>
      </c>
      <c r="AG126" s="33">
        <v>45314</v>
      </c>
      <c r="AH126" s="34">
        <v>0.7785185185185185</v>
      </c>
      <c r="AI126">
        <v>0</v>
      </c>
      <c r="AJ126">
        <v>0</v>
      </c>
      <c r="AK126">
        <v>0</v>
      </c>
      <c r="AL126">
        <v>0</v>
      </c>
      <c r="AM126">
        <v>0</v>
      </c>
      <c r="AN126">
        <v>0</v>
      </c>
      <c r="AO126">
        <v>0</v>
      </c>
      <c r="AP126">
        <v>0</v>
      </c>
      <c r="AQ126">
        <v>0</v>
      </c>
      <c r="AR126">
        <v>0</v>
      </c>
      <c r="AS126">
        <v>0</v>
      </c>
      <c r="AT126">
        <v>0</v>
      </c>
      <c r="AU126" s="30">
        <f t="shared" ref="AU126:AU189" si="78">AU125</f>
        <v>36.926400000000001</v>
      </c>
    </row>
    <row r="127" spans="1:47" x14ac:dyDescent="0.25">
      <c r="A127">
        <v>2</v>
      </c>
      <c r="B127" t="s">
        <v>16</v>
      </c>
      <c r="C127">
        <v>25920</v>
      </c>
      <c r="D127">
        <v>96</v>
      </c>
      <c r="E127">
        <v>4</v>
      </c>
      <c r="F127">
        <v>4</v>
      </c>
      <c r="G127">
        <v>346.76</v>
      </c>
      <c r="H127" s="17">
        <v>33.482999999999997</v>
      </c>
      <c r="I127" s="33">
        <v>45318</v>
      </c>
      <c r="J127" s="37">
        <v>0.29255787037037034</v>
      </c>
      <c r="K127">
        <v>0</v>
      </c>
      <c r="L127">
        <v>0</v>
      </c>
      <c r="M127">
        <v>0</v>
      </c>
      <c r="N127">
        <v>0</v>
      </c>
      <c r="O127">
        <v>0</v>
      </c>
      <c r="P127">
        <v>0</v>
      </c>
      <c r="Q127">
        <v>0</v>
      </c>
      <c r="R127">
        <v>0</v>
      </c>
      <c r="S127">
        <v>0</v>
      </c>
      <c r="T127">
        <v>0</v>
      </c>
      <c r="U127">
        <v>0</v>
      </c>
      <c r="V127">
        <v>0</v>
      </c>
      <c r="W127" s="30">
        <f t="shared" si="58"/>
        <v>33.491399999999999</v>
      </c>
      <c r="Y127">
        <v>2</v>
      </c>
      <c r="Z127" t="s">
        <v>16</v>
      </c>
      <c r="AA127">
        <v>25920</v>
      </c>
      <c r="AB127">
        <v>96</v>
      </c>
      <c r="AC127">
        <v>4</v>
      </c>
      <c r="AD127">
        <v>4</v>
      </c>
      <c r="AE127">
        <v>314.38</v>
      </c>
      <c r="AF127" s="17">
        <v>36.932000000000002</v>
      </c>
      <c r="AG127" s="33">
        <v>45314</v>
      </c>
      <c r="AH127" s="34">
        <v>0.90623842592592585</v>
      </c>
      <c r="AI127">
        <v>0</v>
      </c>
      <c r="AJ127">
        <v>0</v>
      </c>
      <c r="AK127">
        <v>0</v>
      </c>
      <c r="AL127">
        <v>0</v>
      </c>
      <c r="AM127">
        <v>0</v>
      </c>
      <c r="AN127">
        <v>0</v>
      </c>
      <c r="AO127">
        <v>0</v>
      </c>
      <c r="AP127">
        <v>0</v>
      </c>
      <c r="AQ127">
        <v>0</v>
      </c>
      <c r="AR127">
        <v>0</v>
      </c>
      <c r="AS127">
        <v>0</v>
      </c>
      <c r="AT127">
        <v>0</v>
      </c>
      <c r="AU127" s="30">
        <f t="shared" si="78"/>
        <v>36.926400000000001</v>
      </c>
    </row>
    <row r="128" spans="1:47" x14ac:dyDescent="0.25">
      <c r="A128">
        <v>3</v>
      </c>
      <c r="B128" t="s">
        <v>16</v>
      </c>
      <c r="C128">
        <v>25920</v>
      </c>
      <c r="D128">
        <v>96</v>
      </c>
      <c r="E128">
        <v>4</v>
      </c>
      <c r="F128">
        <v>4</v>
      </c>
      <c r="G128">
        <v>346.42</v>
      </c>
      <c r="H128" s="17">
        <v>33.515999999999998</v>
      </c>
      <c r="I128" s="33">
        <v>45318</v>
      </c>
      <c r="J128" s="37">
        <v>0.55186342592592597</v>
      </c>
      <c r="K128">
        <v>0</v>
      </c>
      <c r="L128">
        <v>0</v>
      </c>
      <c r="M128">
        <v>0</v>
      </c>
      <c r="N128">
        <v>0</v>
      </c>
      <c r="O128">
        <v>0</v>
      </c>
      <c r="P128">
        <v>0</v>
      </c>
      <c r="Q128">
        <v>0</v>
      </c>
      <c r="R128">
        <v>0</v>
      </c>
      <c r="S128">
        <v>0</v>
      </c>
      <c r="T128">
        <v>0</v>
      </c>
      <c r="U128">
        <v>0</v>
      </c>
      <c r="V128">
        <v>0</v>
      </c>
      <c r="W128" s="30">
        <f t="shared" si="58"/>
        <v>33.491399999999999</v>
      </c>
      <c r="Y128">
        <v>3</v>
      </c>
      <c r="Z128" t="s">
        <v>16</v>
      </c>
      <c r="AA128">
        <v>25920</v>
      </c>
      <c r="AB128">
        <v>96</v>
      </c>
      <c r="AC128">
        <v>4</v>
      </c>
      <c r="AD128">
        <v>4</v>
      </c>
      <c r="AE128">
        <v>314.29000000000002</v>
      </c>
      <c r="AF128" s="17">
        <v>36.942</v>
      </c>
      <c r="AG128" s="33">
        <v>45315</v>
      </c>
      <c r="AH128" s="34">
        <v>0.17246527777777776</v>
      </c>
      <c r="AI128">
        <v>0</v>
      </c>
      <c r="AJ128">
        <v>0</v>
      </c>
      <c r="AK128">
        <v>0</v>
      </c>
      <c r="AL128">
        <v>0</v>
      </c>
      <c r="AM128">
        <v>0</v>
      </c>
      <c r="AN128">
        <v>0</v>
      </c>
      <c r="AO128">
        <v>0</v>
      </c>
      <c r="AP128">
        <v>0</v>
      </c>
      <c r="AQ128">
        <v>0</v>
      </c>
      <c r="AR128">
        <v>0</v>
      </c>
      <c r="AS128">
        <v>0</v>
      </c>
      <c r="AT128">
        <v>0</v>
      </c>
      <c r="AU128" s="30">
        <f t="shared" si="78"/>
        <v>36.926400000000001</v>
      </c>
    </row>
    <row r="129" spans="1:47" x14ac:dyDescent="0.25">
      <c r="A129">
        <v>4</v>
      </c>
      <c r="B129" t="s">
        <v>16</v>
      </c>
      <c r="C129">
        <v>25920</v>
      </c>
      <c r="D129">
        <v>96</v>
      </c>
      <c r="E129">
        <v>4</v>
      </c>
      <c r="F129">
        <v>4</v>
      </c>
      <c r="G129">
        <v>346.96</v>
      </c>
      <c r="H129" s="17">
        <v>33.463999999999999</v>
      </c>
      <c r="I129" s="33">
        <v>45318</v>
      </c>
      <c r="J129" s="37">
        <v>0.81122685185185184</v>
      </c>
      <c r="K129">
        <v>0</v>
      </c>
      <c r="L129">
        <v>0</v>
      </c>
      <c r="M129">
        <v>0</v>
      </c>
      <c r="N129">
        <v>0</v>
      </c>
      <c r="O129">
        <v>0</v>
      </c>
      <c r="P129">
        <v>0</v>
      </c>
      <c r="Q129">
        <v>0</v>
      </c>
      <c r="R129">
        <v>0</v>
      </c>
      <c r="S129">
        <v>0</v>
      </c>
      <c r="T129">
        <v>0</v>
      </c>
      <c r="U129">
        <v>0</v>
      </c>
      <c r="V129">
        <v>0</v>
      </c>
      <c r="W129" s="30">
        <f t="shared" si="58"/>
        <v>33.491399999999999</v>
      </c>
      <c r="Y129">
        <v>4</v>
      </c>
      <c r="Z129" t="s">
        <v>16</v>
      </c>
      <c r="AA129">
        <v>25920</v>
      </c>
      <c r="AB129">
        <v>96</v>
      </c>
      <c r="AC129">
        <v>4</v>
      </c>
      <c r="AD129">
        <v>4</v>
      </c>
      <c r="AE129">
        <v>314.54000000000002</v>
      </c>
      <c r="AF129" s="17">
        <v>36.912999999999997</v>
      </c>
      <c r="AG129" s="33">
        <v>45318</v>
      </c>
      <c r="AH129" s="34">
        <v>2.8356481481481483E-2</v>
      </c>
      <c r="AI129">
        <v>0</v>
      </c>
      <c r="AJ129">
        <v>0</v>
      </c>
      <c r="AK129">
        <v>0</v>
      </c>
      <c r="AL129">
        <v>0</v>
      </c>
      <c r="AM129">
        <v>0</v>
      </c>
      <c r="AN129">
        <v>0</v>
      </c>
      <c r="AO129">
        <v>0</v>
      </c>
      <c r="AP129">
        <v>0</v>
      </c>
      <c r="AQ129">
        <v>0</v>
      </c>
      <c r="AR129">
        <v>0</v>
      </c>
      <c r="AS129">
        <v>0</v>
      </c>
      <c r="AT129">
        <v>0</v>
      </c>
      <c r="AU129" s="30">
        <f t="shared" si="78"/>
        <v>36.926400000000001</v>
      </c>
    </row>
    <row r="130" spans="1:47" x14ac:dyDescent="0.25">
      <c r="A130">
        <v>0</v>
      </c>
      <c r="B130" t="s">
        <v>16</v>
      </c>
      <c r="C130">
        <v>27456</v>
      </c>
      <c r="D130">
        <v>96</v>
      </c>
      <c r="E130">
        <v>4</v>
      </c>
      <c r="F130">
        <v>4</v>
      </c>
      <c r="G130">
        <v>410.73</v>
      </c>
      <c r="H130" s="17">
        <v>33.597000000000001</v>
      </c>
      <c r="I130" s="33">
        <v>45318</v>
      </c>
      <c r="J130" s="37">
        <v>0.8480092592592593</v>
      </c>
      <c r="K130">
        <v>0</v>
      </c>
      <c r="L130">
        <v>0</v>
      </c>
      <c r="M130">
        <v>0</v>
      </c>
      <c r="N130">
        <v>0</v>
      </c>
      <c r="O130">
        <v>0</v>
      </c>
      <c r="P130">
        <v>0</v>
      </c>
      <c r="Q130">
        <v>0</v>
      </c>
      <c r="R130">
        <v>0</v>
      </c>
      <c r="S130">
        <v>0</v>
      </c>
      <c r="T130">
        <v>0</v>
      </c>
      <c r="U130">
        <v>0</v>
      </c>
      <c r="V130">
        <v>0</v>
      </c>
      <c r="W130" s="30">
        <f t="shared" ref="W130" si="79">AVERAGE(H130:H134)</f>
        <v>33.5608</v>
      </c>
      <c r="Y130">
        <v>0</v>
      </c>
      <c r="Z130" t="s">
        <v>16</v>
      </c>
      <c r="AA130">
        <v>27456</v>
      </c>
      <c r="AB130">
        <v>96</v>
      </c>
      <c r="AC130">
        <v>4</v>
      </c>
      <c r="AD130">
        <v>4</v>
      </c>
      <c r="AE130">
        <v>367.62</v>
      </c>
      <c r="AF130" s="17">
        <v>37.536000000000001</v>
      </c>
      <c r="AG130" s="33">
        <v>45314</v>
      </c>
      <c r="AH130" s="34">
        <v>0.80002314814814823</v>
      </c>
      <c r="AI130">
        <v>0</v>
      </c>
      <c r="AJ130">
        <v>0</v>
      </c>
      <c r="AK130">
        <v>0</v>
      </c>
      <c r="AL130">
        <v>0</v>
      </c>
      <c r="AM130">
        <v>0</v>
      </c>
      <c r="AN130">
        <v>0</v>
      </c>
      <c r="AO130">
        <v>0</v>
      </c>
      <c r="AP130">
        <v>0</v>
      </c>
      <c r="AQ130">
        <v>0</v>
      </c>
      <c r="AR130">
        <v>0</v>
      </c>
      <c r="AS130">
        <v>0</v>
      </c>
      <c r="AT130">
        <v>0</v>
      </c>
      <c r="AU130" s="30">
        <f t="shared" ref="AU130:AU190" si="80">AVERAGE(AF130:AF134)</f>
        <v>37.4848</v>
      </c>
    </row>
    <row r="131" spans="1:47" x14ac:dyDescent="0.25">
      <c r="A131">
        <v>1</v>
      </c>
      <c r="B131" t="s">
        <v>16</v>
      </c>
      <c r="C131">
        <v>27456</v>
      </c>
      <c r="D131">
        <v>96</v>
      </c>
      <c r="E131">
        <v>4</v>
      </c>
      <c r="F131">
        <v>4</v>
      </c>
      <c r="G131">
        <v>411.2</v>
      </c>
      <c r="H131" s="17">
        <v>33.558999999999997</v>
      </c>
      <c r="I131" s="33">
        <v>45318</v>
      </c>
      <c r="J131" s="37">
        <v>0.11019675925925926</v>
      </c>
      <c r="K131">
        <v>0</v>
      </c>
      <c r="L131">
        <v>0</v>
      </c>
      <c r="M131">
        <v>0</v>
      </c>
      <c r="N131">
        <v>0</v>
      </c>
      <c r="O131">
        <v>0</v>
      </c>
      <c r="P131">
        <v>0</v>
      </c>
      <c r="Q131">
        <v>0</v>
      </c>
      <c r="R131">
        <v>0</v>
      </c>
      <c r="S131">
        <v>0</v>
      </c>
      <c r="T131">
        <v>0</v>
      </c>
      <c r="U131">
        <v>0</v>
      </c>
      <c r="V131">
        <v>0</v>
      </c>
      <c r="W131" s="30">
        <f t="shared" ref="W131" si="81">W130</f>
        <v>33.5608</v>
      </c>
      <c r="Y131">
        <v>1</v>
      </c>
      <c r="Z131" t="s">
        <v>16</v>
      </c>
      <c r="AA131">
        <v>27456</v>
      </c>
      <c r="AB131">
        <v>96</v>
      </c>
      <c r="AC131">
        <v>4</v>
      </c>
      <c r="AD131">
        <v>4</v>
      </c>
      <c r="AE131">
        <v>368.14</v>
      </c>
      <c r="AF131" s="17">
        <v>37.482999999999997</v>
      </c>
      <c r="AG131" s="33">
        <v>45314</v>
      </c>
      <c r="AH131" s="34">
        <v>0.9421180555555555</v>
      </c>
      <c r="AI131">
        <v>0</v>
      </c>
      <c r="AJ131">
        <v>0</v>
      </c>
      <c r="AK131">
        <v>0</v>
      </c>
      <c r="AL131">
        <v>0</v>
      </c>
      <c r="AM131">
        <v>0</v>
      </c>
      <c r="AN131">
        <v>0</v>
      </c>
      <c r="AO131">
        <v>0</v>
      </c>
      <c r="AP131">
        <v>0</v>
      </c>
      <c r="AQ131">
        <v>0</v>
      </c>
      <c r="AR131">
        <v>0</v>
      </c>
      <c r="AS131">
        <v>0</v>
      </c>
      <c r="AT131">
        <v>0</v>
      </c>
      <c r="AU131" s="30">
        <f t="shared" ref="AU131:AU194" si="82">AU130</f>
        <v>37.4848</v>
      </c>
    </row>
    <row r="132" spans="1:47" x14ac:dyDescent="0.25">
      <c r="A132">
        <v>2</v>
      </c>
      <c r="B132" t="s">
        <v>16</v>
      </c>
      <c r="C132">
        <v>27456</v>
      </c>
      <c r="D132">
        <v>96</v>
      </c>
      <c r="E132">
        <v>4</v>
      </c>
      <c r="F132">
        <v>4</v>
      </c>
      <c r="G132">
        <v>410.92</v>
      </c>
      <c r="H132" s="17">
        <v>33.582000000000001</v>
      </c>
      <c r="I132" s="33">
        <v>45318</v>
      </c>
      <c r="J132" s="37">
        <v>0.21496527777777777</v>
      </c>
      <c r="K132">
        <v>0</v>
      </c>
      <c r="L132">
        <v>0</v>
      </c>
      <c r="M132">
        <v>0</v>
      </c>
      <c r="N132">
        <v>0</v>
      </c>
      <c r="O132">
        <v>0</v>
      </c>
      <c r="P132">
        <v>0</v>
      </c>
      <c r="Q132">
        <v>0</v>
      </c>
      <c r="R132">
        <v>0</v>
      </c>
      <c r="S132">
        <v>0</v>
      </c>
      <c r="T132">
        <v>0</v>
      </c>
      <c r="U132">
        <v>0</v>
      </c>
      <c r="V132">
        <v>0</v>
      </c>
      <c r="W132" s="30">
        <f t="shared" si="60"/>
        <v>33.5608</v>
      </c>
      <c r="Y132">
        <v>2</v>
      </c>
      <c r="Z132" t="s">
        <v>16</v>
      </c>
      <c r="AA132">
        <v>27456</v>
      </c>
      <c r="AB132">
        <v>96</v>
      </c>
      <c r="AC132">
        <v>4</v>
      </c>
      <c r="AD132">
        <v>4</v>
      </c>
      <c r="AE132">
        <v>368.07</v>
      </c>
      <c r="AF132" s="17">
        <v>37.491</v>
      </c>
      <c r="AG132" s="33">
        <v>45318</v>
      </c>
      <c r="AH132" s="34">
        <v>9.9710648148148159E-2</v>
      </c>
      <c r="AI132">
        <v>0</v>
      </c>
      <c r="AJ132">
        <v>0</v>
      </c>
      <c r="AK132">
        <v>0</v>
      </c>
      <c r="AL132">
        <v>0</v>
      </c>
      <c r="AM132">
        <v>0</v>
      </c>
      <c r="AN132">
        <v>0</v>
      </c>
      <c r="AO132">
        <v>0</v>
      </c>
      <c r="AP132">
        <v>0</v>
      </c>
      <c r="AQ132">
        <v>0</v>
      </c>
      <c r="AR132">
        <v>0</v>
      </c>
      <c r="AS132">
        <v>0</v>
      </c>
      <c r="AT132">
        <v>0</v>
      </c>
      <c r="AU132" s="30">
        <f t="shared" si="82"/>
        <v>37.4848</v>
      </c>
    </row>
    <row r="133" spans="1:47" x14ac:dyDescent="0.25">
      <c r="A133">
        <v>3</v>
      </c>
      <c r="B133" t="s">
        <v>16</v>
      </c>
      <c r="C133">
        <v>27456</v>
      </c>
      <c r="D133">
        <v>96</v>
      </c>
      <c r="E133">
        <v>4</v>
      </c>
      <c r="F133">
        <v>4</v>
      </c>
      <c r="G133">
        <v>411.24</v>
      </c>
      <c r="H133" s="17">
        <v>33.555</v>
      </c>
      <c r="I133" s="33">
        <v>45318</v>
      </c>
      <c r="J133" s="37">
        <v>0.47427083333333336</v>
      </c>
      <c r="K133">
        <v>0</v>
      </c>
      <c r="L133">
        <v>0</v>
      </c>
      <c r="M133">
        <v>0</v>
      </c>
      <c r="N133">
        <v>0</v>
      </c>
      <c r="O133">
        <v>0</v>
      </c>
      <c r="P133">
        <v>0</v>
      </c>
      <c r="Q133">
        <v>0</v>
      </c>
      <c r="R133">
        <v>0</v>
      </c>
      <c r="S133">
        <v>0</v>
      </c>
      <c r="T133">
        <v>0</v>
      </c>
      <c r="U133">
        <v>0</v>
      </c>
      <c r="V133">
        <v>0</v>
      </c>
      <c r="W133" s="30">
        <f t="shared" si="60"/>
        <v>33.5608</v>
      </c>
      <c r="Y133">
        <v>3</v>
      </c>
      <c r="Z133" t="s">
        <v>16</v>
      </c>
      <c r="AA133">
        <v>27456</v>
      </c>
      <c r="AB133">
        <v>96</v>
      </c>
      <c r="AC133">
        <v>4</v>
      </c>
      <c r="AD133">
        <v>4</v>
      </c>
      <c r="AE133">
        <v>368.26</v>
      </c>
      <c r="AF133" s="17">
        <v>37.472000000000001</v>
      </c>
      <c r="AG133" s="33">
        <v>45315</v>
      </c>
      <c r="AH133" s="34">
        <v>9.2465277777777785E-2</v>
      </c>
      <c r="AI133">
        <v>0</v>
      </c>
      <c r="AJ133">
        <v>0</v>
      </c>
      <c r="AK133">
        <v>0</v>
      </c>
      <c r="AL133">
        <v>0</v>
      </c>
      <c r="AM133">
        <v>0</v>
      </c>
      <c r="AN133">
        <v>0</v>
      </c>
      <c r="AO133">
        <v>0</v>
      </c>
      <c r="AP133">
        <v>0</v>
      </c>
      <c r="AQ133">
        <v>0</v>
      </c>
      <c r="AR133">
        <v>0</v>
      </c>
      <c r="AS133">
        <v>0</v>
      </c>
      <c r="AT133">
        <v>0</v>
      </c>
      <c r="AU133" s="30">
        <f t="shared" si="82"/>
        <v>37.4848</v>
      </c>
    </row>
    <row r="134" spans="1:47" x14ac:dyDescent="0.25">
      <c r="A134">
        <v>4</v>
      </c>
      <c r="B134" t="s">
        <v>16</v>
      </c>
      <c r="C134">
        <v>27456</v>
      </c>
      <c r="D134">
        <v>96</v>
      </c>
      <c r="E134">
        <v>4</v>
      </c>
      <c r="F134">
        <v>4</v>
      </c>
      <c r="G134">
        <v>411.78</v>
      </c>
      <c r="H134" s="17">
        <v>33.511000000000003</v>
      </c>
      <c r="I134" s="33">
        <v>45318</v>
      </c>
      <c r="J134" s="37">
        <v>0.73362268518518514</v>
      </c>
      <c r="K134">
        <v>0</v>
      </c>
      <c r="L134">
        <v>0</v>
      </c>
      <c r="M134">
        <v>0</v>
      </c>
      <c r="N134">
        <v>0</v>
      </c>
      <c r="O134">
        <v>0</v>
      </c>
      <c r="P134">
        <v>0</v>
      </c>
      <c r="Q134">
        <v>0</v>
      </c>
      <c r="R134">
        <v>0</v>
      </c>
      <c r="S134">
        <v>0</v>
      </c>
      <c r="T134">
        <v>0</v>
      </c>
      <c r="U134">
        <v>0</v>
      </c>
      <c r="V134">
        <v>0</v>
      </c>
      <c r="W134" s="30">
        <f t="shared" si="60"/>
        <v>33.5608</v>
      </c>
      <c r="Y134">
        <v>4</v>
      </c>
      <c r="Z134" t="s">
        <v>16</v>
      </c>
      <c r="AA134">
        <v>27456</v>
      </c>
      <c r="AB134">
        <v>96</v>
      </c>
      <c r="AC134">
        <v>4</v>
      </c>
      <c r="AD134">
        <v>4</v>
      </c>
      <c r="AE134">
        <v>368.55</v>
      </c>
      <c r="AF134" s="17">
        <v>37.442</v>
      </c>
      <c r="AG134" s="33">
        <v>45318</v>
      </c>
      <c r="AH134" s="34">
        <v>6.5046296296296302E-3</v>
      </c>
      <c r="AI134">
        <v>0</v>
      </c>
      <c r="AJ134">
        <v>0</v>
      </c>
      <c r="AK134">
        <v>0</v>
      </c>
      <c r="AL134">
        <v>0</v>
      </c>
      <c r="AM134">
        <v>0</v>
      </c>
      <c r="AN134">
        <v>0</v>
      </c>
      <c r="AO134">
        <v>0</v>
      </c>
      <c r="AP134">
        <v>0</v>
      </c>
      <c r="AQ134">
        <v>0</v>
      </c>
      <c r="AR134">
        <v>0</v>
      </c>
      <c r="AS134">
        <v>0</v>
      </c>
      <c r="AT134">
        <v>0</v>
      </c>
      <c r="AU134" s="30">
        <f t="shared" si="82"/>
        <v>37.4848</v>
      </c>
    </row>
    <row r="135" spans="1:47" x14ac:dyDescent="0.25">
      <c r="A135">
        <v>0</v>
      </c>
      <c r="B135" t="s">
        <v>16</v>
      </c>
      <c r="C135">
        <v>28992</v>
      </c>
      <c r="D135">
        <v>96</v>
      </c>
      <c r="E135">
        <v>4</v>
      </c>
      <c r="F135">
        <v>4</v>
      </c>
      <c r="G135">
        <v>469.49</v>
      </c>
      <c r="H135" s="17">
        <v>34.606000000000002</v>
      </c>
      <c r="I135" s="33">
        <v>45318</v>
      </c>
      <c r="J135" s="37">
        <v>1.9004629629629632E-2</v>
      </c>
      <c r="K135">
        <v>0</v>
      </c>
      <c r="L135">
        <v>0</v>
      </c>
      <c r="M135">
        <v>0</v>
      </c>
      <c r="N135">
        <v>0</v>
      </c>
      <c r="O135">
        <v>0</v>
      </c>
      <c r="P135">
        <v>0</v>
      </c>
      <c r="Q135">
        <v>0</v>
      </c>
      <c r="R135">
        <v>0</v>
      </c>
      <c r="S135">
        <v>0</v>
      </c>
      <c r="T135">
        <v>0</v>
      </c>
      <c r="U135">
        <v>0</v>
      </c>
      <c r="V135">
        <v>0</v>
      </c>
      <c r="W135" s="30">
        <f t="shared" ref="W135" si="83">AVERAGE(H135:H139)</f>
        <v>34.614800000000002</v>
      </c>
      <c r="Y135">
        <v>0</v>
      </c>
      <c r="Z135" t="s">
        <v>16</v>
      </c>
      <c r="AA135">
        <v>28992</v>
      </c>
      <c r="AB135">
        <v>96</v>
      </c>
      <c r="AC135">
        <v>4</v>
      </c>
      <c r="AD135">
        <v>4</v>
      </c>
      <c r="AE135">
        <v>424.24</v>
      </c>
      <c r="AF135" s="17">
        <v>38.296999999999997</v>
      </c>
      <c r="AG135" s="33">
        <v>45314</v>
      </c>
      <c r="AH135" s="34">
        <v>0.84901620370370379</v>
      </c>
      <c r="AI135">
        <v>0</v>
      </c>
      <c r="AJ135">
        <v>0</v>
      </c>
      <c r="AK135">
        <v>0</v>
      </c>
      <c r="AL135">
        <v>0</v>
      </c>
      <c r="AM135">
        <v>0</v>
      </c>
      <c r="AN135">
        <v>0</v>
      </c>
      <c r="AO135">
        <v>0</v>
      </c>
      <c r="AP135">
        <v>0</v>
      </c>
      <c r="AQ135">
        <v>0</v>
      </c>
      <c r="AR135">
        <v>0</v>
      </c>
      <c r="AS135">
        <v>0</v>
      </c>
      <c r="AT135">
        <v>0</v>
      </c>
      <c r="AU135" s="30">
        <f t="shared" ref="AU135:AU195" si="84">AVERAGE(AF135:AF139)</f>
        <v>38.264200000000002</v>
      </c>
    </row>
    <row r="136" spans="1:47" x14ac:dyDescent="0.25">
      <c r="A136">
        <v>1</v>
      </c>
      <c r="B136" t="s">
        <v>16</v>
      </c>
      <c r="C136">
        <v>28992</v>
      </c>
      <c r="D136">
        <v>96</v>
      </c>
      <c r="E136">
        <v>4</v>
      </c>
      <c r="F136">
        <v>4</v>
      </c>
      <c r="G136">
        <v>469.53</v>
      </c>
      <c r="H136" s="17">
        <v>34.603000000000002</v>
      </c>
      <c r="I136" s="33">
        <v>45318</v>
      </c>
      <c r="J136" s="37">
        <v>0.12387731481481483</v>
      </c>
      <c r="K136">
        <v>0</v>
      </c>
      <c r="L136">
        <v>0</v>
      </c>
      <c r="M136">
        <v>0</v>
      </c>
      <c r="N136">
        <v>0</v>
      </c>
      <c r="O136">
        <v>0</v>
      </c>
      <c r="P136">
        <v>0</v>
      </c>
      <c r="Q136">
        <v>0</v>
      </c>
      <c r="R136">
        <v>0</v>
      </c>
      <c r="S136">
        <v>0</v>
      </c>
      <c r="T136">
        <v>0</v>
      </c>
      <c r="U136">
        <v>0</v>
      </c>
      <c r="V136">
        <v>0</v>
      </c>
      <c r="W136" s="30">
        <f t="shared" ref="W136" si="85">W135</f>
        <v>34.614800000000002</v>
      </c>
      <c r="Y136">
        <v>1</v>
      </c>
      <c r="Z136" t="s">
        <v>16</v>
      </c>
      <c r="AA136">
        <v>28992</v>
      </c>
      <c r="AB136">
        <v>96</v>
      </c>
      <c r="AC136">
        <v>4</v>
      </c>
      <c r="AD136">
        <v>4</v>
      </c>
      <c r="AE136">
        <v>424.66</v>
      </c>
      <c r="AF136" s="17">
        <v>38.259</v>
      </c>
      <c r="AG136" s="33">
        <v>45318</v>
      </c>
      <c r="AH136" s="34">
        <v>0.27048611111111109</v>
      </c>
      <c r="AI136">
        <v>0</v>
      </c>
      <c r="AJ136">
        <v>0</v>
      </c>
      <c r="AK136">
        <v>0</v>
      </c>
      <c r="AL136">
        <v>0</v>
      </c>
      <c r="AM136">
        <v>0</v>
      </c>
      <c r="AN136">
        <v>0</v>
      </c>
      <c r="AO136">
        <v>0</v>
      </c>
      <c r="AP136">
        <v>0</v>
      </c>
      <c r="AQ136">
        <v>0</v>
      </c>
      <c r="AR136">
        <v>0</v>
      </c>
      <c r="AS136">
        <v>0</v>
      </c>
      <c r="AT136">
        <v>0</v>
      </c>
      <c r="AU136" s="30">
        <f t="shared" ref="AU136:AU199" si="86">AU135</f>
        <v>38.264200000000002</v>
      </c>
    </row>
    <row r="137" spans="1:47" x14ac:dyDescent="0.25">
      <c r="A137">
        <v>2</v>
      </c>
      <c r="B137" t="s">
        <v>16</v>
      </c>
      <c r="C137">
        <v>28992</v>
      </c>
      <c r="D137">
        <v>96</v>
      </c>
      <c r="E137">
        <v>4</v>
      </c>
      <c r="F137">
        <v>4</v>
      </c>
      <c r="G137">
        <v>469.34</v>
      </c>
      <c r="H137" s="17">
        <v>34.616999999999997</v>
      </c>
      <c r="I137" s="33">
        <v>45318</v>
      </c>
      <c r="J137" s="37">
        <v>0.38325231481481481</v>
      </c>
      <c r="K137">
        <v>0</v>
      </c>
      <c r="L137">
        <v>0</v>
      </c>
      <c r="M137">
        <v>0</v>
      </c>
      <c r="N137">
        <v>0</v>
      </c>
      <c r="O137">
        <v>0</v>
      </c>
      <c r="P137">
        <v>0</v>
      </c>
      <c r="Q137">
        <v>0</v>
      </c>
      <c r="R137">
        <v>0</v>
      </c>
      <c r="S137">
        <v>0</v>
      </c>
      <c r="T137">
        <v>0</v>
      </c>
      <c r="U137">
        <v>0</v>
      </c>
      <c r="V137">
        <v>0</v>
      </c>
      <c r="W137" s="30">
        <f t="shared" si="58"/>
        <v>34.614800000000002</v>
      </c>
      <c r="Y137">
        <v>2</v>
      </c>
      <c r="Z137" t="s">
        <v>16</v>
      </c>
      <c r="AA137">
        <v>28992</v>
      </c>
      <c r="AB137">
        <v>96</v>
      </c>
      <c r="AC137">
        <v>4</v>
      </c>
      <c r="AD137">
        <v>4</v>
      </c>
      <c r="AE137">
        <v>424.44</v>
      </c>
      <c r="AF137" s="17">
        <v>38.279000000000003</v>
      </c>
      <c r="AG137" s="33">
        <v>45314</v>
      </c>
      <c r="AH137" s="34">
        <v>0.99937500000000001</v>
      </c>
      <c r="AI137">
        <v>0</v>
      </c>
      <c r="AJ137">
        <v>0</v>
      </c>
      <c r="AK137">
        <v>0</v>
      </c>
      <c r="AL137">
        <v>0</v>
      </c>
      <c r="AM137">
        <v>0</v>
      </c>
      <c r="AN137">
        <v>0</v>
      </c>
      <c r="AO137">
        <v>0</v>
      </c>
      <c r="AP137">
        <v>0</v>
      </c>
      <c r="AQ137">
        <v>0</v>
      </c>
      <c r="AR137">
        <v>0</v>
      </c>
      <c r="AS137">
        <v>0</v>
      </c>
      <c r="AT137">
        <v>25</v>
      </c>
      <c r="AU137" s="30">
        <f t="shared" si="82"/>
        <v>38.264200000000002</v>
      </c>
    </row>
    <row r="138" spans="1:47" x14ac:dyDescent="0.25">
      <c r="A138">
        <v>3</v>
      </c>
      <c r="B138" t="s">
        <v>16</v>
      </c>
      <c r="C138">
        <v>28992</v>
      </c>
      <c r="D138">
        <v>96</v>
      </c>
      <c r="E138">
        <v>4</v>
      </c>
      <c r="F138">
        <v>4</v>
      </c>
      <c r="G138">
        <v>469.38</v>
      </c>
      <c r="H138" s="17">
        <v>34.613999999999997</v>
      </c>
      <c r="I138" s="33">
        <v>45318</v>
      </c>
      <c r="J138" s="37">
        <v>0.64255787037037038</v>
      </c>
      <c r="K138">
        <v>0</v>
      </c>
      <c r="L138">
        <v>0</v>
      </c>
      <c r="M138">
        <v>0</v>
      </c>
      <c r="N138">
        <v>0</v>
      </c>
      <c r="O138">
        <v>0</v>
      </c>
      <c r="P138">
        <v>0</v>
      </c>
      <c r="Q138">
        <v>0</v>
      </c>
      <c r="R138">
        <v>0</v>
      </c>
      <c r="S138">
        <v>0</v>
      </c>
      <c r="T138">
        <v>0</v>
      </c>
      <c r="U138">
        <v>0</v>
      </c>
      <c r="V138">
        <v>0</v>
      </c>
      <c r="W138" s="30">
        <f t="shared" si="58"/>
        <v>34.614800000000002</v>
      </c>
      <c r="Y138">
        <v>3</v>
      </c>
      <c r="Z138" t="s">
        <v>16</v>
      </c>
      <c r="AA138">
        <v>28992</v>
      </c>
      <c r="AB138">
        <v>96</v>
      </c>
      <c r="AC138">
        <v>4</v>
      </c>
      <c r="AD138">
        <v>4</v>
      </c>
      <c r="AE138">
        <v>425.58</v>
      </c>
      <c r="AF138" s="17">
        <v>38.176000000000002</v>
      </c>
      <c r="AG138" s="33">
        <v>45315</v>
      </c>
      <c r="AH138" s="34">
        <v>0.26561342592592591</v>
      </c>
      <c r="AI138">
        <v>0</v>
      </c>
      <c r="AJ138">
        <v>0</v>
      </c>
      <c r="AK138">
        <v>0</v>
      </c>
      <c r="AL138">
        <v>0</v>
      </c>
      <c r="AM138">
        <v>0</v>
      </c>
      <c r="AN138">
        <v>0</v>
      </c>
      <c r="AO138">
        <v>0</v>
      </c>
      <c r="AP138">
        <v>0</v>
      </c>
      <c r="AQ138">
        <v>0</v>
      </c>
      <c r="AR138">
        <v>0</v>
      </c>
      <c r="AS138">
        <v>0</v>
      </c>
      <c r="AT138">
        <v>0</v>
      </c>
      <c r="AU138" s="30">
        <f t="shared" si="82"/>
        <v>38.264200000000002</v>
      </c>
    </row>
    <row r="139" spans="1:47" x14ac:dyDescent="0.25">
      <c r="A139">
        <v>4</v>
      </c>
      <c r="B139" t="s">
        <v>16</v>
      </c>
      <c r="C139">
        <v>28992</v>
      </c>
      <c r="D139">
        <v>96</v>
      </c>
      <c r="E139">
        <v>4</v>
      </c>
      <c r="F139">
        <v>4</v>
      </c>
      <c r="G139">
        <v>469.11</v>
      </c>
      <c r="H139" s="17">
        <v>34.634</v>
      </c>
      <c r="I139" s="33">
        <v>45317</v>
      </c>
      <c r="J139" s="37">
        <v>0.99851851851851858</v>
      </c>
      <c r="K139">
        <v>0</v>
      </c>
      <c r="L139">
        <v>0</v>
      </c>
      <c r="M139">
        <v>0</v>
      </c>
      <c r="N139">
        <v>0</v>
      </c>
      <c r="O139">
        <v>0</v>
      </c>
      <c r="P139">
        <v>0</v>
      </c>
      <c r="Q139">
        <v>0</v>
      </c>
      <c r="R139">
        <v>0</v>
      </c>
      <c r="S139">
        <v>0</v>
      </c>
      <c r="T139">
        <v>0</v>
      </c>
      <c r="U139">
        <v>0</v>
      </c>
      <c r="V139">
        <v>0</v>
      </c>
      <c r="W139" s="30">
        <f t="shared" si="58"/>
        <v>34.614800000000002</v>
      </c>
      <c r="Y139">
        <v>4</v>
      </c>
      <c r="Z139" t="s">
        <v>16</v>
      </c>
      <c r="AA139">
        <v>28992</v>
      </c>
      <c r="AB139">
        <v>96</v>
      </c>
      <c r="AC139">
        <v>4</v>
      </c>
      <c r="AD139">
        <v>4</v>
      </c>
      <c r="AE139">
        <v>424.09</v>
      </c>
      <c r="AF139" s="17">
        <v>38.31</v>
      </c>
      <c r="AG139" s="33">
        <v>45318</v>
      </c>
      <c r="AH139" s="34">
        <v>0.12157407407407407</v>
      </c>
      <c r="AI139">
        <v>0</v>
      </c>
      <c r="AJ139">
        <v>0</v>
      </c>
      <c r="AK139">
        <v>0</v>
      </c>
      <c r="AL139">
        <v>0</v>
      </c>
      <c r="AM139">
        <v>0</v>
      </c>
      <c r="AN139">
        <v>0</v>
      </c>
      <c r="AO139">
        <v>0</v>
      </c>
      <c r="AP139">
        <v>0</v>
      </c>
      <c r="AQ139">
        <v>0</v>
      </c>
      <c r="AR139">
        <v>0</v>
      </c>
      <c r="AS139">
        <v>0</v>
      </c>
      <c r="AT139">
        <v>0</v>
      </c>
      <c r="AU139" s="30">
        <f t="shared" si="82"/>
        <v>38.264200000000002</v>
      </c>
    </row>
    <row r="140" spans="1:47" x14ac:dyDescent="0.25">
      <c r="A140">
        <v>0</v>
      </c>
      <c r="B140" t="s">
        <v>16</v>
      </c>
      <c r="C140">
        <v>25984</v>
      </c>
      <c r="D140">
        <v>128</v>
      </c>
      <c r="E140">
        <v>1</v>
      </c>
      <c r="F140">
        <v>16</v>
      </c>
      <c r="G140">
        <v>340.22</v>
      </c>
      <c r="H140" s="17">
        <v>34.380000000000003</v>
      </c>
      <c r="I140" s="33">
        <v>45318</v>
      </c>
      <c r="J140" s="37">
        <v>0.90511574074074075</v>
      </c>
      <c r="K140">
        <v>0</v>
      </c>
      <c r="L140">
        <v>0</v>
      </c>
      <c r="M140">
        <v>0</v>
      </c>
      <c r="N140">
        <v>0</v>
      </c>
      <c r="O140">
        <v>0</v>
      </c>
      <c r="P140">
        <v>0</v>
      </c>
      <c r="Q140">
        <v>0</v>
      </c>
      <c r="R140">
        <v>0</v>
      </c>
      <c r="S140">
        <v>0</v>
      </c>
      <c r="T140">
        <v>0</v>
      </c>
      <c r="U140">
        <v>0</v>
      </c>
      <c r="V140">
        <v>0</v>
      </c>
      <c r="W140" s="30">
        <f t="shared" ref="W140" si="87">AVERAGE(H140:H144)</f>
        <v>34.385000000000005</v>
      </c>
      <c r="Y140">
        <v>0</v>
      </c>
      <c r="Z140" t="s">
        <v>16</v>
      </c>
      <c r="AA140">
        <v>25984</v>
      </c>
      <c r="AB140">
        <v>128</v>
      </c>
      <c r="AC140">
        <v>1</v>
      </c>
      <c r="AD140">
        <v>16</v>
      </c>
      <c r="AE140">
        <v>318.37</v>
      </c>
      <c r="AF140" s="17">
        <v>36.738999999999997</v>
      </c>
      <c r="AG140" s="33">
        <v>45314</v>
      </c>
      <c r="AH140" s="34">
        <v>0.85925925925925928</v>
      </c>
      <c r="AI140">
        <v>0</v>
      </c>
      <c r="AJ140">
        <v>0</v>
      </c>
      <c r="AK140">
        <v>0</v>
      </c>
      <c r="AL140">
        <v>0</v>
      </c>
      <c r="AM140">
        <v>0</v>
      </c>
      <c r="AN140">
        <v>0</v>
      </c>
      <c r="AO140">
        <v>0</v>
      </c>
      <c r="AP140">
        <v>0</v>
      </c>
      <c r="AQ140">
        <v>0</v>
      </c>
      <c r="AR140">
        <v>0</v>
      </c>
      <c r="AS140">
        <v>0</v>
      </c>
      <c r="AT140">
        <v>0</v>
      </c>
      <c r="AU140" s="30">
        <f t="shared" ref="AU140:AU200" si="88">AVERAGE(AF140:AF144)</f>
        <v>36.763799999999996</v>
      </c>
    </row>
    <row r="141" spans="1:47" x14ac:dyDescent="0.25">
      <c r="A141">
        <v>1</v>
      </c>
      <c r="B141" t="s">
        <v>16</v>
      </c>
      <c r="C141">
        <v>25984</v>
      </c>
      <c r="D141">
        <v>128</v>
      </c>
      <c r="E141">
        <v>1</v>
      </c>
      <c r="F141">
        <v>16</v>
      </c>
      <c r="G141">
        <v>340.06</v>
      </c>
      <c r="H141" s="17">
        <v>34.396000000000001</v>
      </c>
      <c r="I141" s="33">
        <v>45318</v>
      </c>
      <c r="J141" s="37">
        <v>1.2650462962962962E-2</v>
      </c>
      <c r="K141">
        <v>0</v>
      </c>
      <c r="L141">
        <v>0</v>
      </c>
      <c r="M141">
        <v>0</v>
      </c>
      <c r="N141">
        <v>0</v>
      </c>
      <c r="O141">
        <v>0</v>
      </c>
      <c r="P141">
        <v>0</v>
      </c>
      <c r="Q141">
        <v>0</v>
      </c>
      <c r="R141">
        <v>0</v>
      </c>
      <c r="S141">
        <v>0</v>
      </c>
      <c r="T141">
        <v>0</v>
      </c>
      <c r="U141">
        <v>0</v>
      </c>
      <c r="V141">
        <v>0</v>
      </c>
      <c r="W141" s="30">
        <f t="shared" ref="W141" si="89">W140</f>
        <v>34.385000000000005</v>
      </c>
      <c r="Y141">
        <v>1</v>
      </c>
      <c r="Z141" t="s">
        <v>16</v>
      </c>
      <c r="AA141">
        <v>25984</v>
      </c>
      <c r="AB141">
        <v>128</v>
      </c>
      <c r="AC141">
        <v>1</v>
      </c>
      <c r="AD141">
        <v>16</v>
      </c>
      <c r="AE141">
        <v>317.91000000000003</v>
      </c>
      <c r="AF141" s="17">
        <v>36.792999999999999</v>
      </c>
      <c r="AG141" s="33">
        <v>45314</v>
      </c>
      <c r="AH141" s="34">
        <v>0.75780092592592585</v>
      </c>
      <c r="AI141">
        <v>0</v>
      </c>
      <c r="AJ141">
        <v>0</v>
      </c>
      <c r="AK141">
        <v>0</v>
      </c>
      <c r="AL141">
        <v>0</v>
      </c>
      <c r="AM141">
        <v>0</v>
      </c>
      <c r="AN141">
        <v>0</v>
      </c>
      <c r="AO141">
        <v>0</v>
      </c>
      <c r="AP141">
        <v>0</v>
      </c>
      <c r="AQ141">
        <v>0</v>
      </c>
      <c r="AR141">
        <v>0</v>
      </c>
      <c r="AS141">
        <v>0</v>
      </c>
      <c r="AT141">
        <v>0</v>
      </c>
      <c r="AU141" s="30">
        <f t="shared" ref="AU141:AU204" si="90">AU140</f>
        <v>36.763799999999996</v>
      </c>
    </row>
    <row r="142" spans="1:47" x14ac:dyDescent="0.25">
      <c r="A142">
        <v>2</v>
      </c>
      <c r="B142" t="s">
        <v>16</v>
      </c>
      <c r="C142">
        <v>25984</v>
      </c>
      <c r="D142">
        <v>128</v>
      </c>
      <c r="E142">
        <v>1</v>
      </c>
      <c r="F142">
        <v>16</v>
      </c>
      <c r="G142">
        <v>340.12</v>
      </c>
      <c r="H142" s="17">
        <v>34.39</v>
      </c>
      <c r="I142" s="33">
        <v>45318</v>
      </c>
      <c r="J142" s="37">
        <v>0.27208333333333334</v>
      </c>
      <c r="K142">
        <v>0</v>
      </c>
      <c r="L142">
        <v>0</v>
      </c>
      <c r="M142">
        <v>0</v>
      </c>
      <c r="N142">
        <v>0</v>
      </c>
      <c r="O142">
        <v>0</v>
      </c>
      <c r="P142">
        <v>0</v>
      </c>
      <c r="Q142">
        <v>0</v>
      </c>
      <c r="R142">
        <v>0</v>
      </c>
      <c r="S142">
        <v>0</v>
      </c>
      <c r="T142">
        <v>0</v>
      </c>
      <c r="U142">
        <v>0</v>
      </c>
      <c r="V142">
        <v>0</v>
      </c>
      <c r="W142" s="30">
        <f t="shared" si="60"/>
        <v>34.385000000000005</v>
      </c>
      <c r="Y142">
        <v>2</v>
      </c>
      <c r="Z142" t="s">
        <v>16</v>
      </c>
      <c r="AA142">
        <v>25984</v>
      </c>
      <c r="AB142">
        <v>128</v>
      </c>
      <c r="AC142">
        <v>1</v>
      </c>
      <c r="AD142">
        <v>16</v>
      </c>
      <c r="AE142">
        <v>318.47000000000003</v>
      </c>
      <c r="AF142" s="17">
        <v>36.728000000000002</v>
      </c>
      <c r="AG142" s="33">
        <v>45318</v>
      </c>
      <c r="AH142" s="34">
        <v>0.28902777777777777</v>
      </c>
      <c r="AI142">
        <v>0</v>
      </c>
      <c r="AJ142">
        <v>0</v>
      </c>
      <c r="AK142">
        <v>0</v>
      </c>
      <c r="AL142">
        <v>0</v>
      </c>
      <c r="AM142">
        <v>0</v>
      </c>
      <c r="AN142">
        <v>0</v>
      </c>
      <c r="AO142">
        <v>0</v>
      </c>
      <c r="AP142">
        <v>0</v>
      </c>
      <c r="AQ142">
        <v>0</v>
      </c>
      <c r="AR142">
        <v>0</v>
      </c>
      <c r="AS142">
        <v>0</v>
      </c>
      <c r="AT142">
        <v>0</v>
      </c>
      <c r="AU142" s="30">
        <f t="shared" si="82"/>
        <v>36.763799999999996</v>
      </c>
    </row>
    <row r="143" spans="1:47" x14ac:dyDescent="0.25">
      <c r="A143">
        <v>3</v>
      </c>
      <c r="B143" t="s">
        <v>16</v>
      </c>
      <c r="C143">
        <v>25984</v>
      </c>
      <c r="D143">
        <v>128</v>
      </c>
      <c r="E143">
        <v>1</v>
      </c>
      <c r="F143">
        <v>16</v>
      </c>
      <c r="G143">
        <v>340.29</v>
      </c>
      <c r="H143" s="17">
        <v>34.372</v>
      </c>
      <c r="I143" s="33">
        <v>45318</v>
      </c>
      <c r="J143" s="37">
        <v>0.53138888888888891</v>
      </c>
      <c r="K143">
        <v>0</v>
      </c>
      <c r="L143">
        <v>0</v>
      </c>
      <c r="M143">
        <v>0</v>
      </c>
      <c r="N143">
        <v>0</v>
      </c>
      <c r="O143">
        <v>0</v>
      </c>
      <c r="P143">
        <v>0</v>
      </c>
      <c r="Q143">
        <v>0</v>
      </c>
      <c r="R143">
        <v>0</v>
      </c>
      <c r="S143">
        <v>0</v>
      </c>
      <c r="T143">
        <v>0</v>
      </c>
      <c r="U143">
        <v>0</v>
      </c>
      <c r="V143">
        <v>0</v>
      </c>
      <c r="W143" s="30">
        <f t="shared" si="60"/>
        <v>34.385000000000005</v>
      </c>
      <c r="Y143">
        <v>3</v>
      </c>
      <c r="Z143" t="s">
        <v>16</v>
      </c>
      <c r="AA143">
        <v>25984</v>
      </c>
      <c r="AB143">
        <v>128</v>
      </c>
      <c r="AC143">
        <v>1</v>
      </c>
      <c r="AD143">
        <v>16</v>
      </c>
      <c r="AE143">
        <v>318.39</v>
      </c>
      <c r="AF143" s="17">
        <v>36.737000000000002</v>
      </c>
      <c r="AG143" s="33">
        <v>45315</v>
      </c>
      <c r="AH143" s="34">
        <v>0.15172453703703703</v>
      </c>
      <c r="AI143">
        <v>0</v>
      </c>
      <c r="AJ143">
        <v>0</v>
      </c>
      <c r="AK143">
        <v>0</v>
      </c>
      <c r="AL143">
        <v>0</v>
      </c>
      <c r="AM143">
        <v>0</v>
      </c>
      <c r="AN143">
        <v>0</v>
      </c>
      <c r="AO143">
        <v>0</v>
      </c>
      <c r="AP143">
        <v>0</v>
      </c>
      <c r="AQ143">
        <v>0</v>
      </c>
      <c r="AR143">
        <v>0</v>
      </c>
      <c r="AS143">
        <v>0</v>
      </c>
      <c r="AT143">
        <v>0</v>
      </c>
      <c r="AU143" s="30">
        <f t="shared" si="82"/>
        <v>36.763799999999996</v>
      </c>
    </row>
    <row r="144" spans="1:47" x14ac:dyDescent="0.25">
      <c r="A144">
        <v>4</v>
      </c>
      <c r="B144" t="s">
        <v>16</v>
      </c>
      <c r="C144">
        <v>25984</v>
      </c>
      <c r="D144">
        <v>128</v>
      </c>
      <c r="E144">
        <v>1</v>
      </c>
      <c r="F144">
        <v>16</v>
      </c>
      <c r="G144">
        <v>340.15</v>
      </c>
      <c r="H144" s="17">
        <v>34.387</v>
      </c>
      <c r="I144" s="33">
        <v>45318</v>
      </c>
      <c r="J144" s="37">
        <v>0.79075231481481489</v>
      </c>
      <c r="K144">
        <v>0</v>
      </c>
      <c r="L144">
        <v>0</v>
      </c>
      <c r="M144">
        <v>0</v>
      </c>
      <c r="N144">
        <v>0</v>
      </c>
      <c r="O144">
        <v>0</v>
      </c>
      <c r="P144">
        <v>0</v>
      </c>
      <c r="Q144">
        <v>0</v>
      </c>
      <c r="R144">
        <v>0</v>
      </c>
      <c r="S144">
        <v>0</v>
      </c>
      <c r="T144">
        <v>0</v>
      </c>
      <c r="U144">
        <v>0</v>
      </c>
      <c r="V144">
        <v>0</v>
      </c>
      <c r="W144" s="30">
        <f t="shared" si="60"/>
        <v>34.385000000000005</v>
      </c>
      <c r="Y144">
        <v>4</v>
      </c>
      <c r="Z144" t="s">
        <v>16</v>
      </c>
      <c r="AA144">
        <v>25984</v>
      </c>
      <c r="AB144">
        <v>128</v>
      </c>
      <c r="AC144">
        <v>1</v>
      </c>
      <c r="AD144">
        <v>16</v>
      </c>
      <c r="AE144">
        <v>317.66000000000003</v>
      </c>
      <c r="AF144" s="17">
        <v>36.822000000000003</v>
      </c>
      <c r="AG144" s="33">
        <v>45318</v>
      </c>
      <c r="AH144" s="34">
        <v>7.6388888888888886E-3</v>
      </c>
      <c r="AI144">
        <v>0</v>
      </c>
      <c r="AJ144">
        <v>0</v>
      </c>
      <c r="AK144">
        <v>0</v>
      </c>
      <c r="AL144">
        <v>0</v>
      </c>
      <c r="AM144">
        <v>0</v>
      </c>
      <c r="AN144">
        <v>0</v>
      </c>
      <c r="AO144">
        <v>0</v>
      </c>
      <c r="AP144">
        <v>0</v>
      </c>
      <c r="AQ144">
        <v>0</v>
      </c>
      <c r="AR144">
        <v>0</v>
      </c>
      <c r="AS144">
        <v>0</v>
      </c>
      <c r="AT144">
        <v>0</v>
      </c>
      <c r="AU144" s="30">
        <f t="shared" si="82"/>
        <v>36.763799999999996</v>
      </c>
    </row>
    <row r="145" spans="1:47" x14ac:dyDescent="0.25">
      <c r="A145">
        <v>0</v>
      </c>
      <c r="B145" t="s">
        <v>16</v>
      </c>
      <c r="C145">
        <v>27520</v>
      </c>
      <c r="D145">
        <v>128</v>
      </c>
      <c r="E145">
        <v>1</v>
      </c>
      <c r="F145">
        <v>16</v>
      </c>
      <c r="G145">
        <v>400.5</v>
      </c>
      <c r="H145" s="17">
        <v>34.695999999999998</v>
      </c>
      <c r="I145" s="33">
        <v>45318</v>
      </c>
      <c r="J145" s="37">
        <v>0.82361111111111107</v>
      </c>
      <c r="K145">
        <v>0</v>
      </c>
      <c r="L145">
        <v>0</v>
      </c>
      <c r="M145">
        <v>0</v>
      </c>
      <c r="N145">
        <v>0</v>
      </c>
      <c r="O145">
        <v>0</v>
      </c>
      <c r="P145">
        <v>0</v>
      </c>
      <c r="Q145">
        <v>0</v>
      </c>
      <c r="R145">
        <v>0</v>
      </c>
      <c r="S145">
        <v>0</v>
      </c>
      <c r="T145">
        <v>0</v>
      </c>
      <c r="U145">
        <v>0</v>
      </c>
      <c r="V145">
        <v>0</v>
      </c>
      <c r="W145" s="30">
        <f t="shared" ref="W145" si="91">AVERAGE(H145:H149)</f>
        <v>34.683</v>
      </c>
      <c r="Y145">
        <v>0</v>
      </c>
      <c r="Z145" t="s">
        <v>16</v>
      </c>
      <c r="AA145">
        <v>27520</v>
      </c>
      <c r="AB145">
        <v>128</v>
      </c>
      <c r="AC145">
        <v>1</v>
      </c>
      <c r="AD145">
        <v>16</v>
      </c>
      <c r="AE145">
        <v>374.31</v>
      </c>
      <c r="AF145" s="17">
        <v>37.124000000000002</v>
      </c>
      <c r="AG145" s="33">
        <v>45314</v>
      </c>
      <c r="AH145" s="34">
        <v>0.77568287037037031</v>
      </c>
      <c r="AI145">
        <v>0</v>
      </c>
      <c r="AJ145">
        <v>0</v>
      </c>
      <c r="AK145">
        <v>0</v>
      </c>
      <c r="AL145">
        <v>0</v>
      </c>
      <c r="AM145">
        <v>0</v>
      </c>
      <c r="AN145">
        <v>0</v>
      </c>
      <c r="AO145">
        <v>0</v>
      </c>
      <c r="AP145">
        <v>0</v>
      </c>
      <c r="AQ145">
        <v>0</v>
      </c>
      <c r="AR145">
        <v>0</v>
      </c>
      <c r="AS145">
        <v>0</v>
      </c>
      <c r="AT145">
        <v>0</v>
      </c>
      <c r="AU145" s="30">
        <f t="shared" ref="AU145:AU205" si="92">AVERAGE(AF145:AF149)</f>
        <v>37.161000000000001</v>
      </c>
    </row>
    <row r="146" spans="1:47" x14ac:dyDescent="0.25">
      <c r="A146">
        <v>1</v>
      </c>
      <c r="B146" t="s">
        <v>16</v>
      </c>
      <c r="C146">
        <v>27520</v>
      </c>
      <c r="D146">
        <v>128</v>
      </c>
      <c r="E146">
        <v>1</v>
      </c>
      <c r="F146">
        <v>16</v>
      </c>
      <c r="G146">
        <v>400.91</v>
      </c>
      <c r="H146" s="17">
        <v>34.661000000000001</v>
      </c>
      <c r="I146" s="33">
        <v>45318</v>
      </c>
      <c r="J146" s="37">
        <v>8.5763888888888876E-2</v>
      </c>
      <c r="K146">
        <v>0</v>
      </c>
      <c r="L146">
        <v>0</v>
      </c>
      <c r="M146">
        <v>0</v>
      </c>
      <c r="N146">
        <v>0</v>
      </c>
      <c r="O146">
        <v>0</v>
      </c>
      <c r="P146">
        <v>0</v>
      </c>
      <c r="Q146">
        <v>0</v>
      </c>
      <c r="R146">
        <v>0</v>
      </c>
      <c r="S146">
        <v>0</v>
      </c>
      <c r="T146">
        <v>0</v>
      </c>
      <c r="U146">
        <v>0</v>
      </c>
      <c r="V146">
        <v>0</v>
      </c>
      <c r="W146" s="30">
        <f t="shared" ref="W146" si="93">W145</f>
        <v>34.683</v>
      </c>
      <c r="Y146">
        <v>1</v>
      </c>
      <c r="Z146" t="s">
        <v>16</v>
      </c>
      <c r="AA146">
        <v>27520</v>
      </c>
      <c r="AB146">
        <v>128</v>
      </c>
      <c r="AC146">
        <v>1</v>
      </c>
      <c r="AD146">
        <v>16</v>
      </c>
      <c r="AE146">
        <v>374.26</v>
      </c>
      <c r="AF146" s="17">
        <v>37.128999999999998</v>
      </c>
      <c r="AG146" s="33">
        <v>45314</v>
      </c>
      <c r="AH146" s="34">
        <v>0.91780092592592588</v>
      </c>
      <c r="AI146">
        <v>0</v>
      </c>
      <c r="AJ146">
        <v>0</v>
      </c>
      <c r="AK146">
        <v>0</v>
      </c>
      <c r="AL146">
        <v>0</v>
      </c>
      <c r="AM146">
        <v>0</v>
      </c>
      <c r="AN146">
        <v>0</v>
      </c>
      <c r="AO146">
        <v>0</v>
      </c>
      <c r="AP146">
        <v>0</v>
      </c>
      <c r="AQ146">
        <v>0</v>
      </c>
      <c r="AR146">
        <v>0</v>
      </c>
      <c r="AS146">
        <v>0</v>
      </c>
      <c r="AT146">
        <v>0</v>
      </c>
      <c r="AU146" s="30">
        <f t="shared" ref="AU146:AU209" si="94">AU145</f>
        <v>37.161000000000001</v>
      </c>
    </row>
    <row r="147" spans="1:47" x14ac:dyDescent="0.25">
      <c r="A147">
        <v>2</v>
      </c>
      <c r="B147" t="s">
        <v>16</v>
      </c>
      <c r="C147">
        <v>27520</v>
      </c>
      <c r="D147">
        <v>128</v>
      </c>
      <c r="E147">
        <v>1</v>
      </c>
      <c r="F147">
        <v>16</v>
      </c>
      <c r="G147">
        <v>400.58</v>
      </c>
      <c r="H147" s="17">
        <v>34.69</v>
      </c>
      <c r="I147" s="33">
        <v>45318</v>
      </c>
      <c r="J147" s="37">
        <v>0.1905324074074074</v>
      </c>
      <c r="K147">
        <v>0</v>
      </c>
      <c r="L147">
        <v>0</v>
      </c>
      <c r="M147">
        <v>0</v>
      </c>
      <c r="N147">
        <v>0</v>
      </c>
      <c r="O147">
        <v>0</v>
      </c>
      <c r="P147">
        <v>0</v>
      </c>
      <c r="Q147">
        <v>0</v>
      </c>
      <c r="R147">
        <v>0</v>
      </c>
      <c r="S147">
        <v>0</v>
      </c>
      <c r="T147">
        <v>0</v>
      </c>
      <c r="U147">
        <v>0</v>
      </c>
      <c r="V147">
        <v>0</v>
      </c>
      <c r="W147" s="30">
        <f t="shared" si="58"/>
        <v>34.683</v>
      </c>
      <c r="Y147">
        <v>2</v>
      </c>
      <c r="Z147" t="s">
        <v>16</v>
      </c>
      <c r="AA147">
        <v>27520</v>
      </c>
      <c r="AB147">
        <v>128</v>
      </c>
      <c r="AC147">
        <v>1</v>
      </c>
      <c r="AD147">
        <v>16</v>
      </c>
      <c r="AE147">
        <v>373.31</v>
      </c>
      <c r="AF147" s="17">
        <v>37.223999999999997</v>
      </c>
      <c r="AG147" s="33">
        <v>45317</v>
      </c>
      <c r="AH147" s="34">
        <v>0.99638888888888888</v>
      </c>
      <c r="AI147">
        <v>0</v>
      </c>
      <c r="AJ147">
        <v>0</v>
      </c>
      <c r="AK147">
        <v>0</v>
      </c>
      <c r="AL147">
        <v>0</v>
      </c>
      <c r="AM147">
        <v>0</v>
      </c>
      <c r="AN147">
        <v>0</v>
      </c>
      <c r="AO147">
        <v>0</v>
      </c>
      <c r="AP147">
        <v>0</v>
      </c>
      <c r="AQ147">
        <v>0</v>
      </c>
      <c r="AR147">
        <v>0</v>
      </c>
      <c r="AS147">
        <v>0</v>
      </c>
      <c r="AT147">
        <v>0</v>
      </c>
      <c r="AU147" s="30">
        <f t="shared" si="82"/>
        <v>37.161000000000001</v>
      </c>
    </row>
    <row r="148" spans="1:47" x14ac:dyDescent="0.25">
      <c r="A148">
        <v>3</v>
      </c>
      <c r="B148" t="s">
        <v>16</v>
      </c>
      <c r="C148">
        <v>27520</v>
      </c>
      <c r="D148">
        <v>128</v>
      </c>
      <c r="E148">
        <v>1</v>
      </c>
      <c r="F148">
        <v>16</v>
      </c>
      <c r="G148">
        <v>400.72</v>
      </c>
      <c r="H148" s="17">
        <v>34.677</v>
      </c>
      <c r="I148" s="33">
        <v>45318</v>
      </c>
      <c r="J148" s="37">
        <v>0.44982638888888887</v>
      </c>
      <c r="K148">
        <v>0</v>
      </c>
      <c r="L148">
        <v>0</v>
      </c>
      <c r="M148">
        <v>0</v>
      </c>
      <c r="N148">
        <v>0</v>
      </c>
      <c r="O148">
        <v>0</v>
      </c>
      <c r="P148">
        <v>0</v>
      </c>
      <c r="Q148">
        <v>0</v>
      </c>
      <c r="R148">
        <v>0</v>
      </c>
      <c r="S148">
        <v>0</v>
      </c>
      <c r="T148">
        <v>0</v>
      </c>
      <c r="U148">
        <v>0</v>
      </c>
      <c r="V148">
        <v>0</v>
      </c>
      <c r="W148" s="30">
        <f t="shared" si="58"/>
        <v>34.683</v>
      </c>
      <c r="Y148">
        <v>3</v>
      </c>
      <c r="Z148" t="s">
        <v>16</v>
      </c>
      <c r="AA148">
        <v>27520</v>
      </c>
      <c r="AB148">
        <v>128</v>
      </c>
      <c r="AC148">
        <v>1</v>
      </c>
      <c r="AD148">
        <v>16</v>
      </c>
      <c r="AE148">
        <v>373.98</v>
      </c>
      <c r="AF148" s="17">
        <v>37.156999999999996</v>
      </c>
      <c r="AG148" s="33">
        <v>45315</v>
      </c>
      <c r="AH148" s="34">
        <v>6.8136574074074072E-2</v>
      </c>
      <c r="AI148">
        <v>0</v>
      </c>
      <c r="AJ148">
        <v>0</v>
      </c>
      <c r="AK148">
        <v>0</v>
      </c>
      <c r="AL148">
        <v>0</v>
      </c>
      <c r="AM148">
        <v>0</v>
      </c>
      <c r="AN148">
        <v>0</v>
      </c>
      <c r="AO148">
        <v>0</v>
      </c>
      <c r="AP148">
        <v>0</v>
      </c>
      <c r="AQ148">
        <v>0</v>
      </c>
      <c r="AR148">
        <v>0</v>
      </c>
      <c r="AS148">
        <v>0</v>
      </c>
      <c r="AT148">
        <v>0</v>
      </c>
      <c r="AU148" s="30">
        <f t="shared" si="82"/>
        <v>37.161000000000001</v>
      </c>
    </row>
    <row r="149" spans="1:47" x14ac:dyDescent="0.25">
      <c r="A149">
        <v>4</v>
      </c>
      <c r="B149" t="s">
        <v>16</v>
      </c>
      <c r="C149">
        <v>27520</v>
      </c>
      <c r="D149">
        <v>128</v>
      </c>
      <c r="E149">
        <v>1</v>
      </c>
      <c r="F149">
        <v>16</v>
      </c>
      <c r="G149">
        <v>400.57</v>
      </c>
      <c r="H149" s="17">
        <v>34.691000000000003</v>
      </c>
      <c r="I149" s="33">
        <v>45318</v>
      </c>
      <c r="J149" s="37">
        <v>0.70917824074074076</v>
      </c>
      <c r="K149">
        <v>0</v>
      </c>
      <c r="L149">
        <v>0</v>
      </c>
      <c r="M149">
        <v>0</v>
      </c>
      <c r="N149">
        <v>0</v>
      </c>
      <c r="O149">
        <v>0</v>
      </c>
      <c r="P149">
        <v>0</v>
      </c>
      <c r="Q149">
        <v>0</v>
      </c>
      <c r="R149">
        <v>0</v>
      </c>
      <c r="S149">
        <v>0</v>
      </c>
      <c r="T149">
        <v>0</v>
      </c>
      <c r="U149">
        <v>0</v>
      </c>
      <c r="V149">
        <v>0</v>
      </c>
      <c r="W149" s="30">
        <f t="shared" si="58"/>
        <v>34.683</v>
      </c>
      <c r="Y149">
        <v>4</v>
      </c>
      <c r="Z149" t="s">
        <v>16</v>
      </c>
      <c r="AA149">
        <v>27520</v>
      </c>
      <c r="AB149">
        <v>128</v>
      </c>
      <c r="AC149">
        <v>1</v>
      </c>
      <c r="AD149">
        <v>16</v>
      </c>
      <c r="AE149">
        <v>373.84</v>
      </c>
      <c r="AF149" s="17">
        <v>37.170999999999999</v>
      </c>
      <c r="AG149" s="33">
        <v>45315</v>
      </c>
      <c r="AH149" s="34">
        <v>0.33434027777777775</v>
      </c>
      <c r="AI149">
        <v>0</v>
      </c>
      <c r="AJ149">
        <v>0</v>
      </c>
      <c r="AK149">
        <v>0</v>
      </c>
      <c r="AL149">
        <v>0</v>
      </c>
      <c r="AM149">
        <v>0</v>
      </c>
      <c r="AN149">
        <v>0</v>
      </c>
      <c r="AO149">
        <v>0</v>
      </c>
      <c r="AP149">
        <v>0</v>
      </c>
      <c r="AQ149">
        <v>0</v>
      </c>
      <c r="AR149">
        <v>0</v>
      </c>
      <c r="AS149">
        <v>0</v>
      </c>
      <c r="AT149">
        <v>0</v>
      </c>
      <c r="AU149" s="30">
        <f t="shared" si="82"/>
        <v>37.161000000000001</v>
      </c>
    </row>
    <row r="150" spans="1:47" x14ac:dyDescent="0.25">
      <c r="A150">
        <v>0</v>
      </c>
      <c r="B150" t="s">
        <v>16</v>
      </c>
      <c r="C150">
        <v>29056</v>
      </c>
      <c r="D150">
        <v>128</v>
      </c>
      <c r="E150">
        <v>1</v>
      </c>
      <c r="F150">
        <v>16</v>
      </c>
      <c r="G150">
        <v>467.24</v>
      </c>
      <c r="H150" s="17">
        <v>35.003</v>
      </c>
      <c r="I150" s="33">
        <v>45318</v>
      </c>
      <c r="J150" s="37">
        <v>9.8263888888888897E-3</v>
      </c>
      <c r="K150">
        <v>0</v>
      </c>
      <c r="L150">
        <v>0</v>
      </c>
      <c r="M150">
        <v>0</v>
      </c>
      <c r="N150">
        <v>0</v>
      </c>
      <c r="O150">
        <v>0</v>
      </c>
      <c r="P150">
        <v>0</v>
      </c>
      <c r="Q150">
        <v>0</v>
      </c>
      <c r="R150">
        <v>0</v>
      </c>
      <c r="S150">
        <v>0</v>
      </c>
      <c r="T150">
        <v>0</v>
      </c>
      <c r="U150">
        <v>0</v>
      </c>
      <c r="V150">
        <v>0</v>
      </c>
      <c r="W150" s="30">
        <f t="shared" ref="W150" si="95">AVERAGE(H150:H154)</f>
        <v>35.136199999999995</v>
      </c>
      <c r="Y150">
        <v>0</v>
      </c>
      <c r="Z150" t="s">
        <v>16</v>
      </c>
      <c r="AA150">
        <v>29056</v>
      </c>
      <c r="AB150">
        <v>128</v>
      </c>
      <c r="AC150">
        <v>1</v>
      </c>
      <c r="AD150">
        <v>16</v>
      </c>
      <c r="AE150">
        <v>433.24</v>
      </c>
      <c r="AF150" s="17">
        <v>37.75</v>
      </c>
      <c r="AG150" s="33">
        <v>45314</v>
      </c>
      <c r="AH150" s="34">
        <v>0.82122685185185185</v>
      </c>
      <c r="AI150">
        <v>0</v>
      </c>
      <c r="AJ150">
        <v>0</v>
      </c>
      <c r="AK150">
        <v>0</v>
      </c>
      <c r="AL150">
        <v>0</v>
      </c>
      <c r="AM150">
        <v>0</v>
      </c>
      <c r="AN150">
        <v>0</v>
      </c>
      <c r="AO150">
        <v>0</v>
      </c>
      <c r="AP150">
        <v>0</v>
      </c>
      <c r="AQ150">
        <v>0</v>
      </c>
      <c r="AR150">
        <v>0</v>
      </c>
      <c r="AS150">
        <v>0</v>
      </c>
      <c r="AT150">
        <v>0</v>
      </c>
      <c r="AU150" s="30">
        <f t="shared" ref="AU150:AU210" si="96">AVERAGE(AF150:AF154)</f>
        <v>37.728200000000001</v>
      </c>
    </row>
    <row r="151" spans="1:47" x14ac:dyDescent="0.25">
      <c r="A151">
        <v>1</v>
      </c>
      <c r="B151" t="s">
        <v>16</v>
      </c>
      <c r="C151">
        <v>29056</v>
      </c>
      <c r="D151">
        <v>128</v>
      </c>
      <c r="E151">
        <v>1</v>
      </c>
      <c r="F151">
        <v>16</v>
      </c>
      <c r="G151">
        <v>464.85</v>
      </c>
      <c r="H151" s="17">
        <v>35.183</v>
      </c>
      <c r="I151" s="33">
        <v>45318</v>
      </c>
      <c r="J151" s="37">
        <v>9.6122685185185186E-2</v>
      </c>
      <c r="K151">
        <v>0</v>
      </c>
      <c r="L151">
        <v>0</v>
      </c>
      <c r="M151">
        <v>0</v>
      </c>
      <c r="N151">
        <v>0</v>
      </c>
      <c r="O151">
        <v>0</v>
      </c>
      <c r="P151">
        <v>0</v>
      </c>
      <c r="Q151">
        <v>0</v>
      </c>
      <c r="R151">
        <v>0</v>
      </c>
      <c r="S151">
        <v>0</v>
      </c>
      <c r="T151">
        <v>0</v>
      </c>
      <c r="U151">
        <v>0</v>
      </c>
      <c r="V151">
        <v>0</v>
      </c>
      <c r="W151" s="30">
        <f t="shared" ref="W151" si="97">W150</f>
        <v>35.136199999999995</v>
      </c>
      <c r="Y151">
        <v>1</v>
      </c>
      <c r="Z151" t="s">
        <v>16</v>
      </c>
      <c r="AA151">
        <v>29056</v>
      </c>
      <c r="AB151">
        <v>128</v>
      </c>
      <c r="AC151">
        <v>1</v>
      </c>
      <c r="AD151">
        <v>16</v>
      </c>
      <c r="AE151">
        <v>432.85</v>
      </c>
      <c r="AF151" s="17">
        <v>37.783999999999999</v>
      </c>
      <c r="AG151" s="33">
        <v>45314</v>
      </c>
      <c r="AH151" s="34">
        <v>0.79177083333333342</v>
      </c>
      <c r="AI151">
        <v>0</v>
      </c>
      <c r="AJ151">
        <v>0</v>
      </c>
      <c r="AK151">
        <v>0</v>
      </c>
      <c r="AL151">
        <v>0</v>
      </c>
      <c r="AM151">
        <v>0</v>
      </c>
      <c r="AN151">
        <v>0</v>
      </c>
      <c r="AO151">
        <v>0</v>
      </c>
      <c r="AP151">
        <v>0</v>
      </c>
      <c r="AQ151">
        <v>0</v>
      </c>
      <c r="AR151">
        <v>0</v>
      </c>
      <c r="AS151">
        <v>0</v>
      </c>
      <c r="AT151">
        <v>0</v>
      </c>
      <c r="AU151" s="30">
        <f t="shared" ref="AU151:AU214" si="98">AU150</f>
        <v>37.728200000000001</v>
      </c>
    </row>
    <row r="152" spans="1:47" x14ac:dyDescent="0.25">
      <c r="A152">
        <v>2</v>
      </c>
      <c r="B152" t="s">
        <v>16</v>
      </c>
      <c r="C152">
        <v>29056</v>
      </c>
      <c r="D152">
        <v>128</v>
      </c>
      <c r="E152">
        <v>1</v>
      </c>
      <c r="F152">
        <v>16</v>
      </c>
      <c r="G152">
        <v>465.07</v>
      </c>
      <c r="H152" s="17">
        <v>35.165999999999997</v>
      </c>
      <c r="I152" s="33">
        <v>45318</v>
      </c>
      <c r="J152" s="37">
        <v>0.35550925925925925</v>
      </c>
      <c r="K152">
        <v>0</v>
      </c>
      <c r="L152">
        <v>0</v>
      </c>
      <c r="M152">
        <v>0</v>
      </c>
      <c r="N152">
        <v>0</v>
      </c>
      <c r="O152">
        <v>0</v>
      </c>
      <c r="P152">
        <v>0</v>
      </c>
      <c r="Q152">
        <v>0</v>
      </c>
      <c r="R152">
        <v>0</v>
      </c>
      <c r="S152">
        <v>0</v>
      </c>
      <c r="T152">
        <v>0</v>
      </c>
      <c r="U152">
        <v>0</v>
      </c>
      <c r="V152">
        <v>0</v>
      </c>
      <c r="W152" s="30">
        <f t="shared" si="60"/>
        <v>35.136199999999995</v>
      </c>
      <c r="Y152">
        <v>2</v>
      </c>
      <c r="Z152" t="s">
        <v>16</v>
      </c>
      <c r="AA152">
        <v>29056</v>
      </c>
      <c r="AB152">
        <v>128</v>
      </c>
      <c r="AC152">
        <v>1</v>
      </c>
      <c r="AD152">
        <v>16</v>
      </c>
      <c r="AE152">
        <v>435.38</v>
      </c>
      <c r="AF152" s="17">
        <v>37.564999999999998</v>
      </c>
      <c r="AG152" s="33">
        <v>45318</v>
      </c>
      <c r="AH152" s="34">
        <v>0.30312500000000003</v>
      </c>
      <c r="AI152">
        <v>0</v>
      </c>
      <c r="AJ152">
        <v>0</v>
      </c>
      <c r="AK152">
        <v>0</v>
      </c>
      <c r="AL152">
        <v>0</v>
      </c>
      <c r="AM152">
        <v>0</v>
      </c>
      <c r="AN152">
        <v>0</v>
      </c>
      <c r="AO152">
        <v>0</v>
      </c>
      <c r="AP152">
        <v>0</v>
      </c>
      <c r="AQ152">
        <v>0</v>
      </c>
      <c r="AR152">
        <v>0</v>
      </c>
      <c r="AS152">
        <v>0</v>
      </c>
      <c r="AT152">
        <v>0</v>
      </c>
      <c r="AU152" s="30">
        <f t="shared" si="82"/>
        <v>37.728200000000001</v>
      </c>
    </row>
    <row r="153" spans="1:47" x14ac:dyDescent="0.25">
      <c r="A153">
        <v>3</v>
      </c>
      <c r="B153" t="s">
        <v>16</v>
      </c>
      <c r="C153">
        <v>29056</v>
      </c>
      <c r="D153">
        <v>128</v>
      </c>
      <c r="E153">
        <v>1</v>
      </c>
      <c r="F153">
        <v>16</v>
      </c>
      <c r="G153">
        <v>465.07</v>
      </c>
      <c r="H153" s="17">
        <v>35.165999999999997</v>
      </c>
      <c r="I153" s="33">
        <v>45318</v>
      </c>
      <c r="J153" s="37">
        <v>0.61481481481481481</v>
      </c>
      <c r="K153">
        <v>0</v>
      </c>
      <c r="L153">
        <v>0</v>
      </c>
      <c r="M153">
        <v>0</v>
      </c>
      <c r="N153">
        <v>0</v>
      </c>
      <c r="O153">
        <v>0</v>
      </c>
      <c r="P153">
        <v>0</v>
      </c>
      <c r="Q153">
        <v>0</v>
      </c>
      <c r="R153">
        <v>0</v>
      </c>
      <c r="S153">
        <v>0</v>
      </c>
      <c r="T153">
        <v>0</v>
      </c>
      <c r="U153">
        <v>0</v>
      </c>
      <c r="V153">
        <v>0</v>
      </c>
      <c r="W153" s="30">
        <f t="shared" si="60"/>
        <v>35.136199999999995</v>
      </c>
      <c r="Y153">
        <v>3</v>
      </c>
      <c r="Z153" t="s">
        <v>16</v>
      </c>
      <c r="AA153">
        <v>29056</v>
      </c>
      <c r="AB153">
        <v>128</v>
      </c>
      <c r="AC153">
        <v>1</v>
      </c>
      <c r="AD153">
        <v>16</v>
      </c>
      <c r="AE153">
        <v>433.09</v>
      </c>
      <c r="AF153" s="17">
        <v>37.764000000000003</v>
      </c>
      <c r="AG153" s="33">
        <v>45315</v>
      </c>
      <c r="AH153" s="34">
        <v>0.23780092592592594</v>
      </c>
      <c r="AI153">
        <v>0</v>
      </c>
      <c r="AJ153">
        <v>0</v>
      </c>
      <c r="AK153">
        <v>0</v>
      </c>
      <c r="AL153">
        <v>0</v>
      </c>
      <c r="AM153">
        <v>0</v>
      </c>
      <c r="AN153">
        <v>0</v>
      </c>
      <c r="AO153">
        <v>0</v>
      </c>
      <c r="AP153">
        <v>0</v>
      </c>
      <c r="AQ153">
        <v>0</v>
      </c>
      <c r="AR153">
        <v>0</v>
      </c>
      <c r="AS153">
        <v>0</v>
      </c>
      <c r="AT153">
        <v>0</v>
      </c>
      <c r="AU153" s="30">
        <f t="shared" si="82"/>
        <v>37.728200000000001</v>
      </c>
    </row>
    <row r="154" spans="1:47" x14ac:dyDescent="0.25">
      <c r="A154">
        <v>4</v>
      </c>
      <c r="B154" t="s">
        <v>16</v>
      </c>
      <c r="C154">
        <v>29056</v>
      </c>
      <c r="D154">
        <v>128</v>
      </c>
      <c r="E154">
        <v>1</v>
      </c>
      <c r="F154">
        <v>16</v>
      </c>
      <c r="G154">
        <v>465.11</v>
      </c>
      <c r="H154" s="17">
        <v>35.162999999999997</v>
      </c>
      <c r="I154" s="33">
        <v>45318</v>
      </c>
      <c r="J154" s="37">
        <v>0.87418981481481473</v>
      </c>
      <c r="K154">
        <v>0</v>
      </c>
      <c r="L154">
        <v>0</v>
      </c>
      <c r="M154">
        <v>0</v>
      </c>
      <c r="N154">
        <v>0</v>
      </c>
      <c r="O154">
        <v>0</v>
      </c>
      <c r="P154">
        <v>0</v>
      </c>
      <c r="Q154">
        <v>0</v>
      </c>
      <c r="R154">
        <v>0</v>
      </c>
      <c r="S154">
        <v>0</v>
      </c>
      <c r="T154">
        <v>0</v>
      </c>
      <c r="U154">
        <v>0</v>
      </c>
      <c r="V154">
        <v>0</v>
      </c>
      <c r="W154" s="30">
        <f t="shared" si="60"/>
        <v>35.136199999999995</v>
      </c>
      <c r="Y154">
        <v>4</v>
      </c>
      <c r="Z154" t="s">
        <v>16</v>
      </c>
      <c r="AA154">
        <v>29056</v>
      </c>
      <c r="AB154">
        <v>128</v>
      </c>
      <c r="AC154">
        <v>1</v>
      </c>
      <c r="AD154">
        <v>16</v>
      </c>
      <c r="AE154">
        <v>432.93</v>
      </c>
      <c r="AF154" s="17">
        <v>37.777999999999999</v>
      </c>
      <c r="AG154" s="33">
        <v>45318</v>
      </c>
      <c r="AH154" s="34">
        <v>9.3784722222222228E-2</v>
      </c>
      <c r="AI154">
        <v>0</v>
      </c>
      <c r="AJ154">
        <v>0</v>
      </c>
      <c r="AK154">
        <v>0</v>
      </c>
      <c r="AL154">
        <v>0</v>
      </c>
      <c r="AM154">
        <v>0</v>
      </c>
      <c r="AN154">
        <v>0</v>
      </c>
      <c r="AO154">
        <v>0</v>
      </c>
      <c r="AP154">
        <v>0</v>
      </c>
      <c r="AQ154">
        <v>0</v>
      </c>
      <c r="AR154">
        <v>0</v>
      </c>
      <c r="AS154">
        <v>0</v>
      </c>
      <c r="AT154">
        <v>51</v>
      </c>
      <c r="AU154" s="30">
        <f t="shared" si="82"/>
        <v>37.728200000000001</v>
      </c>
    </row>
    <row r="155" spans="1:47" x14ac:dyDescent="0.25">
      <c r="A155">
        <v>0</v>
      </c>
      <c r="B155" t="s">
        <v>16</v>
      </c>
      <c r="C155">
        <v>25984</v>
      </c>
      <c r="D155">
        <v>128</v>
      </c>
      <c r="E155">
        <v>2</v>
      </c>
      <c r="F155">
        <v>8</v>
      </c>
      <c r="G155">
        <v>329.1</v>
      </c>
      <c r="H155" s="17">
        <v>35.542000000000002</v>
      </c>
      <c r="I155" s="33">
        <v>45318</v>
      </c>
      <c r="J155" s="37">
        <v>0.90910879629629626</v>
      </c>
      <c r="K155">
        <v>0</v>
      </c>
      <c r="L155">
        <v>0</v>
      </c>
      <c r="M155">
        <v>0</v>
      </c>
      <c r="N155">
        <v>0</v>
      </c>
      <c r="O155">
        <v>0</v>
      </c>
      <c r="P155">
        <v>0</v>
      </c>
      <c r="Q155">
        <v>0</v>
      </c>
      <c r="R155">
        <v>0</v>
      </c>
      <c r="S155">
        <v>0</v>
      </c>
      <c r="T155">
        <v>0</v>
      </c>
      <c r="U155">
        <v>0</v>
      </c>
      <c r="V155">
        <v>0</v>
      </c>
      <c r="W155" s="30">
        <f t="shared" ref="W155" si="99">AVERAGE(H155:H159)</f>
        <v>35.586399999999998</v>
      </c>
      <c r="Y155">
        <v>0</v>
      </c>
      <c r="Z155" t="s">
        <v>16</v>
      </c>
      <c r="AA155">
        <v>25984</v>
      </c>
      <c r="AB155">
        <v>128</v>
      </c>
      <c r="AC155">
        <v>2</v>
      </c>
      <c r="AD155">
        <v>8</v>
      </c>
      <c r="AE155">
        <v>302.56</v>
      </c>
      <c r="AF155" s="17">
        <v>38.658999999999999</v>
      </c>
      <c r="AG155" s="33">
        <v>45314</v>
      </c>
      <c r="AH155" s="34">
        <v>0.86336805555555562</v>
      </c>
      <c r="AI155">
        <v>0</v>
      </c>
      <c r="AJ155">
        <v>0</v>
      </c>
      <c r="AK155">
        <v>0</v>
      </c>
      <c r="AL155">
        <v>0</v>
      </c>
      <c r="AM155">
        <v>0</v>
      </c>
      <c r="AN155">
        <v>0</v>
      </c>
      <c r="AO155">
        <v>0</v>
      </c>
      <c r="AP155">
        <v>0</v>
      </c>
      <c r="AQ155">
        <v>0</v>
      </c>
      <c r="AR155">
        <v>0</v>
      </c>
      <c r="AS155">
        <v>0</v>
      </c>
      <c r="AT155">
        <v>0</v>
      </c>
      <c r="AU155" s="30">
        <f t="shared" ref="AU155" si="100">AVERAGE(AF155:AF159)</f>
        <v>38.663400000000003</v>
      </c>
    </row>
    <row r="156" spans="1:47" x14ac:dyDescent="0.25">
      <c r="A156">
        <v>1</v>
      </c>
      <c r="B156" t="s">
        <v>16</v>
      </c>
      <c r="C156">
        <v>25984</v>
      </c>
      <c r="D156">
        <v>128</v>
      </c>
      <c r="E156">
        <v>2</v>
      </c>
      <c r="F156">
        <v>8</v>
      </c>
      <c r="G156">
        <v>328.52</v>
      </c>
      <c r="H156" s="17">
        <v>35.603999999999999</v>
      </c>
      <c r="I156" s="33">
        <v>45318</v>
      </c>
      <c r="J156" s="37">
        <v>1.6643518518518519E-2</v>
      </c>
      <c r="K156">
        <v>0</v>
      </c>
      <c r="L156">
        <v>0</v>
      </c>
      <c r="M156">
        <v>0</v>
      </c>
      <c r="N156">
        <v>0</v>
      </c>
      <c r="O156">
        <v>0</v>
      </c>
      <c r="P156">
        <v>0</v>
      </c>
      <c r="Q156">
        <v>0</v>
      </c>
      <c r="R156">
        <v>0</v>
      </c>
      <c r="S156">
        <v>0</v>
      </c>
      <c r="T156">
        <v>0</v>
      </c>
      <c r="U156">
        <v>0</v>
      </c>
      <c r="V156">
        <v>0</v>
      </c>
      <c r="W156" s="30">
        <f t="shared" ref="W156:W219" si="101">W155</f>
        <v>35.586399999999998</v>
      </c>
      <c r="Y156">
        <v>1</v>
      </c>
      <c r="Z156" t="s">
        <v>16</v>
      </c>
      <c r="AA156">
        <v>25984</v>
      </c>
      <c r="AB156">
        <v>128</v>
      </c>
      <c r="AC156">
        <v>2</v>
      </c>
      <c r="AD156">
        <v>8</v>
      </c>
      <c r="AE156">
        <v>302.61</v>
      </c>
      <c r="AF156" s="17">
        <v>38.652000000000001</v>
      </c>
      <c r="AG156" s="33">
        <v>45314</v>
      </c>
      <c r="AH156" s="34">
        <v>0.7619097222222222</v>
      </c>
      <c r="AI156">
        <v>0</v>
      </c>
      <c r="AJ156">
        <v>0</v>
      </c>
      <c r="AK156">
        <v>0</v>
      </c>
      <c r="AL156">
        <v>0</v>
      </c>
      <c r="AM156">
        <v>0</v>
      </c>
      <c r="AN156">
        <v>0</v>
      </c>
      <c r="AO156">
        <v>0</v>
      </c>
      <c r="AP156">
        <v>0</v>
      </c>
      <c r="AQ156">
        <v>0</v>
      </c>
      <c r="AR156">
        <v>0</v>
      </c>
      <c r="AS156">
        <v>0</v>
      </c>
      <c r="AT156">
        <v>0</v>
      </c>
      <c r="AU156" s="30">
        <f t="shared" ref="AU156" si="102">AU155</f>
        <v>38.663400000000003</v>
      </c>
    </row>
    <row r="157" spans="1:47" x14ac:dyDescent="0.25">
      <c r="A157">
        <v>2</v>
      </c>
      <c r="B157" t="s">
        <v>16</v>
      </c>
      <c r="C157">
        <v>25984</v>
      </c>
      <c r="D157">
        <v>128</v>
      </c>
      <c r="E157">
        <v>2</v>
      </c>
      <c r="F157">
        <v>8</v>
      </c>
      <c r="G157">
        <v>328.53</v>
      </c>
      <c r="H157" s="17">
        <v>35.603000000000002</v>
      </c>
      <c r="I157" s="33">
        <v>45318</v>
      </c>
      <c r="J157" s="37">
        <v>0.27606481481481482</v>
      </c>
      <c r="K157">
        <v>0</v>
      </c>
      <c r="L157">
        <v>0</v>
      </c>
      <c r="M157">
        <v>0</v>
      </c>
      <c r="N157">
        <v>0</v>
      </c>
      <c r="O157">
        <v>0</v>
      </c>
      <c r="P157">
        <v>0</v>
      </c>
      <c r="Q157">
        <v>0</v>
      </c>
      <c r="R157">
        <v>0</v>
      </c>
      <c r="S157">
        <v>0</v>
      </c>
      <c r="T157">
        <v>0</v>
      </c>
      <c r="U157">
        <v>0</v>
      </c>
      <c r="V157">
        <v>0</v>
      </c>
      <c r="W157" s="30">
        <f t="shared" si="101"/>
        <v>35.586399999999998</v>
      </c>
      <c r="Y157">
        <v>2</v>
      </c>
      <c r="Z157" t="s">
        <v>16</v>
      </c>
      <c r="AA157">
        <v>25984</v>
      </c>
      <c r="AB157">
        <v>128</v>
      </c>
      <c r="AC157">
        <v>2</v>
      </c>
      <c r="AD157">
        <v>8</v>
      </c>
      <c r="AE157">
        <v>302.20999999999998</v>
      </c>
      <c r="AF157" s="17">
        <v>38.704000000000001</v>
      </c>
      <c r="AG157" s="33">
        <v>45318</v>
      </c>
      <c r="AH157" s="34">
        <v>4.5509259259259256E-2</v>
      </c>
      <c r="AI157">
        <v>0</v>
      </c>
      <c r="AJ157">
        <v>0</v>
      </c>
      <c r="AK157">
        <v>0</v>
      </c>
      <c r="AL157">
        <v>0</v>
      </c>
      <c r="AM157">
        <v>0</v>
      </c>
      <c r="AN157">
        <v>0</v>
      </c>
      <c r="AO157">
        <v>0</v>
      </c>
      <c r="AP157">
        <v>0</v>
      </c>
      <c r="AQ157">
        <v>0</v>
      </c>
      <c r="AR157">
        <v>0</v>
      </c>
      <c r="AS157">
        <v>0</v>
      </c>
      <c r="AT157">
        <v>0</v>
      </c>
      <c r="AU157" s="30">
        <f t="shared" si="78"/>
        <v>38.663400000000003</v>
      </c>
    </row>
    <row r="158" spans="1:47" x14ac:dyDescent="0.25">
      <c r="A158">
        <v>3</v>
      </c>
      <c r="B158" t="s">
        <v>16</v>
      </c>
      <c r="C158">
        <v>25984</v>
      </c>
      <c r="D158">
        <v>128</v>
      </c>
      <c r="E158">
        <v>2</v>
      </c>
      <c r="F158">
        <v>8</v>
      </c>
      <c r="G158">
        <v>328.6</v>
      </c>
      <c r="H158" s="17">
        <v>35.594999999999999</v>
      </c>
      <c r="I158" s="33">
        <v>45318</v>
      </c>
      <c r="J158" s="37">
        <v>0.53538194444444442</v>
      </c>
      <c r="K158">
        <v>0</v>
      </c>
      <c r="L158">
        <v>0</v>
      </c>
      <c r="M158">
        <v>0</v>
      </c>
      <c r="N158">
        <v>0</v>
      </c>
      <c r="O158">
        <v>0</v>
      </c>
      <c r="P158">
        <v>0</v>
      </c>
      <c r="Q158">
        <v>0</v>
      </c>
      <c r="R158">
        <v>0</v>
      </c>
      <c r="S158">
        <v>0</v>
      </c>
      <c r="T158">
        <v>0</v>
      </c>
      <c r="U158">
        <v>0</v>
      </c>
      <c r="V158">
        <v>0</v>
      </c>
      <c r="W158" s="30">
        <f t="shared" si="101"/>
        <v>35.586399999999998</v>
      </c>
      <c r="Y158">
        <v>3</v>
      </c>
      <c r="Z158" t="s">
        <v>16</v>
      </c>
      <c r="AA158">
        <v>25984</v>
      </c>
      <c r="AB158">
        <v>128</v>
      </c>
      <c r="AC158">
        <v>2</v>
      </c>
      <c r="AD158">
        <v>8</v>
      </c>
      <c r="AE158">
        <v>302.92</v>
      </c>
      <c r="AF158" s="17">
        <v>38.613</v>
      </c>
      <c r="AG158" s="33">
        <v>45315</v>
      </c>
      <c r="AH158" s="34">
        <v>0.15583333333333335</v>
      </c>
      <c r="AI158">
        <v>0</v>
      </c>
      <c r="AJ158">
        <v>0</v>
      </c>
      <c r="AK158">
        <v>0</v>
      </c>
      <c r="AL158">
        <v>0</v>
      </c>
      <c r="AM158">
        <v>0</v>
      </c>
      <c r="AN158">
        <v>0</v>
      </c>
      <c r="AO158">
        <v>0</v>
      </c>
      <c r="AP158">
        <v>0</v>
      </c>
      <c r="AQ158">
        <v>0</v>
      </c>
      <c r="AR158">
        <v>0</v>
      </c>
      <c r="AS158">
        <v>0</v>
      </c>
      <c r="AT158">
        <v>0</v>
      </c>
      <c r="AU158" s="30">
        <f t="shared" si="78"/>
        <v>38.663400000000003</v>
      </c>
    </row>
    <row r="159" spans="1:47" x14ac:dyDescent="0.25">
      <c r="A159">
        <v>4</v>
      </c>
      <c r="B159" t="s">
        <v>16</v>
      </c>
      <c r="C159">
        <v>25984</v>
      </c>
      <c r="D159">
        <v>128</v>
      </c>
      <c r="E159">
        <v>2</v>
      </c>
      <c r="F159">
        <v>8</v>
      </c>
      <c r="G159">
        <v>328.67</v>
      </c>
      <c r="H159" s="17">
        <v>35.588000000000001</v>
      </c>
      <c r="I159" s="33">
        <v>45318</v>
      </c>
      <c r="J159" s="37">
        <v>0.7947453703703703</v>
      </c>
      <c r="K159">
        <v>0</v>
      </c>
      <c r="L159">
        <v>0</v>
      </c>
      <c r="M159">
        <v>0</v>
      </c>
      <c r="N159">
        <v>0</v>
      </c>
      <c r="O159">
        <v>0</v>
      </c>
      <c r="P159">
        <v>0</v>
      </c>
      <c r="Q159">
        <v>0</v>
      </c>
      <c r="R159">
        <v>0</v>
      </c>
      <c r="S159">
        <v>0</v>
      </c>
      <c r="T159">
        <v>0</v>
      </c>
      <c r="U159">
        <v>0</v>
      </c>
      <c r="V159">
        <v>0</v>
      </c>
      <c r="W159" s="30">
        <f t="shared" si="101"/>
        <v>35.586399999999998</v>
      </c>
      <c r="Y159">
        <v>4</v>
      </c>
      <c r="Z159" t="s">
        <v>16</v>
      </c>
      <c r="AA159">
        <v>25984</v>
      </c>
      <c r="AB159">
        <v>128</v>
      </c>
      <c r="AC159">
        <v>2</v>
      </c>
      <c r="AD159">
        <v>8</v>
      </c>
      <c r="AE159">
        <v>302.33</v>
      </c>
      <c r="AF159" s="17">
        <v>38.689</v>
      </c>
      <c r="AG159" s="33">
        <v>45318</v>
      </c>
      <c r="AH159" s="34">
        <v>1.1736111111111109E-2</v>
      </c>
      <c r="AI159">
        <v>0</v>
      </c>
      <c r="AJ159">
        <v>0</v>
      </c>
      <c r="AK159">
        <v>0</v>
      </c>
      <c r="AL159">
        <v>0</v>
      </c>
      <c r="AM159">
        <v>0</v>
      </c>
      <c r="AN159">
        <v>0</v>
      </c>
      <c r="AO159">
        <v>0</v>
      </c>
      <c r="AP159">
        <v>0</v>
      </c>
      <c r="AQ159">
        <v>0</v>
      </c>
      <c r="AR159">
        <v>0</v>
      </c>
      <c r="AS159">
        <v>0</v>
      </c>
      <c r="AT159">
        <v>0</v>
      </c>
      <c r="AU159" s="30">
        <f t="shared" si="78"/>
        <v>38.663400000000003</v>
      </c>
    </row>
    <row r="160" spans="1:47" x14ac:dyDescent="0.25">
      <c r="A160">
        <v>0</v>
      </c>
      <c r="B160" t="s">
        <v>16</v>
      </c>
      <c r="C160">
        <v>27520</v>
      </c>
      <c r="D160">
        <v>128</v>
      </c>
      <c r="E160">
        <v>2</v>
      </c>
      <c r="F160">
        <v>8</v>
      </c>
      <c r="G160">
        <v>417.11</v>
      </c>
      <c r="H160" s="17">
        <v>33.314999999999998</v>
      </c>
      <c r="I160" s="33">
        <v>45318</v>
      </c>
      <c r="J160" s="37">
        <v>0.82863425925925915</v>
      </c>
      <c r="K160">
        <v>0</v>
      </c>
      <c r="L160">
        <v>0</v>
      </c>
      <c r="M160">
        <v>0</v>
      </c>
      <c r="N160">
        <v>0</v>
      </c>
      <c r="O160">
        <v>0</v>
      </c>
      <c r="P160">
        <v>0</v>
      </c>
      <c r="Q160">
        <v>0</v>
      </c>
      <c r="R160">
        <v>0</v>
      </c>
      <c r="S160">
        <v>0</v>
      </c>
      <c r="T160">
        <v>0</v>
      </c>
      <c r="U160">
        <v>0</v>
      </c>
      <c r="V160">
        <v>0</v>
      </c>
      <c r="W160" s="30">
        <f t="shared" ref="W160" si="103">AVERAGE(H160:H164)</f>
        <v>33.168999999999997</v>
      </c>
      <c r="Y160">
        <v>0</v>
      </c>
      <c r="Z160" t="s">
        <v>16</v>
      </c>
      <c r="AA160">
        <v>27520</v>
      </c>
      <c r="AB160">
        <v>128</v>
      </c>
      <c r="AC160">
        <v>2</v>
      </c>
      <c r="AD160">
        <v>8</v>
      </c>
      <c r="AE160">
        <v>373.02</v>
      </c>
      <c r="AF160" s="17">
        <v>37.253</v>
      </c>
      <c r="AG160" s="33">
        <v>45314</v>
      </c>
      <c r="AH160" s="34">
        <v>0.78065972222222213</v>
      </c>
      <c r="AI160">
        <v>0</v>
      </c>
      <c r="AJ160">
        <v>0</v>
      </c>
      <c r="AK160">
        <v>0</v>
      </c>
      <c r="AL160">
        <v>0</v>
      </c>
      <c r="AM160">
        <v>0</v>
      </c>
      <c r="AN160">
        <v>0</v>
      </c>
      <c r="AO160">
        <v>0</v>
      </c>
      <c r="AP160">
        <v>0</v>
      </c>
      <c r="AQ160">
        <v>0</v>
      </c>
      <c r="AR160">
        <v>0</v>
      </c>
      <c r="AS160">
        <v>0</v>
      </c>
      <c r="AT160">
        <v>0</v>
      </c>
      <c r="AU160" s="30">
        <f t="shared" si="80"/>
        <v>37.246400000000001</v>
      </c>
    </row>
    <row r="161" spans="1:47" x14ac:dyDescent="0.25">
      <c r="A161">
        <v>1</v>
      </c>
      <c r="B161" t="s">
        <v>16</v>
      </c>
      <c r="C161">
        <v>27520</v>
      </c>
      <c r="D161">
        <v>128</v>
      </c>
      <c r="E161">
        <v>2</v>
      </c>
      <c r="F161">
        <v>8</v>
      </c>
      <c r="G161">
        <v>419.27</v>
      </c>
      <c r="H161" s="17">
        <v>33.143000000000001</v>
      </c>
      <c r="I161" s="33">
        <v>45318</v>
      </c>
      <c r="J161" s="37">
        <v>9.0810185185185188E-2</v>
      </c>
      <c r="K161">
        <v>0</v>
      </c>
      <c r="L161">
        <v>0</v>
      </c>
      <c r="M161">
        <v>0</v>
      </c>
      <c r="N161">
        <v>0</v>
      </c>
      <c r="O161">
        <v>0</v>
      </c>
      <c r="P161">
        <v>0</v>
      </c>
      <c r="Q161">
        <v>0</v>
      </c>
      <c r="R161">
        <v>0</v>
      </c>
      <c r="S161">
        <v>0</v>
      </c>
      <c r="T161">
        <v>0</v>
      </c>
      <c r="U161">
        <v>0</v>
      </c>
      <c r="V161">
        <v>0</v>
      </c>
      <c r="W161" s="30">
        <f t="shared" ref="W161:W224" si="104">W160</f>
        <v>33.168999999999997</v>
      </c>
      <c r="Y161">
        <v>1</v>
      </c>
      <c r="Z161" t="s">
        <v>16</v>
      </c>
      <c r="AA161">
        <v>27520</v>
      </c>
      <c r="AB161">
        <v>128</v>
      </c>
      <c r="AC161">
        <v>2</v>
      </c>
      <c r="AD161">
        <v>8</v>
      </c>
      <c r="AE161">
        <v>373.18</v>
      </c>
      <c r="AF161" s="17">
        <v>37.237000000000002</v>
      </c>
      <c r="AG161" s="33">
        <v>45314</v>
      </c>
      <c r="AH161" s="34">
        <v>0.92277777777777781</v>
      </c>
      <c r="AI161">
        <v>0</v>
      </c>
      <c r="AJ161">
        <v>0</v>
      </c>
      <c r="AK161">
        <v>0</v>
      </c>
      <c r="AL161">
        <v>0</v>
      </c>
      <c r="AM161">
        <v>0</v>
      </c>
      <c r="AN161">
        <v>0</v>
      </c>
      <c r="AO161">
        <v>0</v>
      </c>
      <c r="AP161">
        <v>0</v>
      </c>
      <c r="AQ161">
        <v>0</v>
      </c>
      <c r="AR161">
        <v>0</v>
      </c>
      <c r="AS161">
        <v>0</v>
      </c>
      <c r="AT161">
        <v>0</v>
      </c>
      <c r="AU161" s="30">
        <f t="shared" si="82"/>
        <v>37.246400000000001</v>
      </c>
    </row>
    <row r="162" spans="1:47" x14ac:dyDescent="0.25">
      <c r="A162">
        <v>2</v>
      </c>
      <c r="B162" t="s">
        <v>16</v>
      </c>
      <c r="C162">
        <v>27520</v>
      </c>
      <c r="D162">
        <v>128</v>
      </c>
      <c r="E162">
        <v>2</v>
      </c>
      <c r="F162">
        <v>8</v>
      </c>
      <c r="G162">
        <v>419.5</v>
      </c>
      <c r="H162" s="17">
        <v>33.125999999999998</v>
      </c>
      <c r="I162" s="33">
        <v>45318</v>
      </c>
      <c r="J162" s="37">
        <v>0.19559027777777779</v>
      </c>
      <c r="K162">
        <v>0</v>
      </c>
      <c r="L162">
        <v>0</v>
      </c>
      <c r="M162">
        <v>0</v>
      </c>
      <c r="N162">
        <v>0</v>
      </c>
      <c r="O162">
        <v>0</v>
      </c>
      <c r="P162">
        <v>0</v>
      </c>
      <c r="Q162">
        <v>0</v>
      </c>
      <c r="R162">
        <v>0</v>
      </c>
      <c r="S162">
        <v>0</v>
      </c>
      <c r="T162">
        <v>0</v>
      </c>
      <c r="U162">
        <v>0</v>
      </c>
      <c r="V162">
        <v>0</v>
      </c>
      <c r="W162" s="30">
        <f t="shared" si="104"/>
        <v>33.168999999999997</v>
      </c>
      <c r="Y162">
        <v>2</v>
      </c>
      <c r="Z162" t="s">
        <v>16</v>
      </c>
      <c r="AA162">
        <v>27520</v>
      </c>
      <c r="AB162">
        <v>128</v>
      </c>
      <c r="AC162">
        <v>2</v>
      </c>
      <c r="AD162">
        <v>8</v>
      </c>
      <c r="AE162">
        <v>373.29</v>
      </c>
      <c r="AF162" s="17">
        <v>37.225999999999999</v>
      </c>
      <c r="AG162" s="33">
        <v>45318</v>
      </c>
      <c r="AH162" s="34">
        <v>1.3773148148148147E-3</v>
      </c>
      <c r="AI162">
        <v>0</v>
      </c>
      <c r="AJ162">
        <v>0</v>
      </c>
      <c r="AK162">
        <v>0</v>
      </c>
      <c r="AL162">
        <v>0</v>
      </c>
      <c r="AM162">
        <v>0</v>
      </c>
      <c r="AN162">
        <v>0</v>
      </c>
      <c r="AO162">
        <v>0</v>
      </c>
      <c r="AP162">
        <v>0</v>
      </c>
      <c r="AQ162">
        <v>0</v>
      </c>
      <c r="AR162">
        <v>0</v>
      </c>
      <c r="AS162">
        <v>0</v>
      </c>
      <c r="AT162">
        <v>0</v>
      </c>
      <c r="AU162" s="30">
        <f t="shared" si="82"/>
        <v>37.246400000000001</v>
      </c>
    </row>
    <row r="163" spans="1:47" x14ac:dyDescent="0.25">
      <c r="A163">
        <v>3</v>
      </c>
      <c r="B163" t="s">
        <v>16</v>
      </c>
      <c r="C163">
        <v>27520</v>
      </c>
      <c r="D163">
        <v>128</v>
      </c>
      <c r="E163">
        <v>2</v>
      </c>
      <c r="F163">
        <v>8</v>
      </c>
      <c r="G163">
        <v>419.38</v>
      </c>
      <c r="H163" s="17">
        <v>33.134999999999998</v>
      </c>
      <c r="I163" s="33">
        <v>45318</v>
      </c>
      <c r="J163" s="37">
        <v>0.45488425925925924</v>
      </c>
      <c r="K163">
        <v>0</v>
      </c>
      <c r="L163">
        <v>0</v>
      </c>
      <c r="M163">
        <v>0</v>
      </c>
      <c r="N163">
        <v>0</v>
      </c>
      <c r="O163">
        <v>0</v>
      </c>
      <c r="P163">
        <v>0</v>
      </c>
      <c r="Q163">
        <v>0</v>
      </c>
      <c r="R163">
        <v>0</v>
      </c>
      <c r="S163">
        <v>0</v>
      </c>
      <c r="T163">
        <v>0</v>
      </c>
      <c r="U163">
        <v>0</v>
      </c>
      <c r="V163">
        <v>0</v>
      </c>
      <c r="W163" s="30">
        <f t="shared" si="104"/>
        <v>33.168999999999997</v>
      </c>
      <c r="Y163">
        <v>3</v>
      </c>
      <c r="Z163" t="s">
        <v>16</v>
      </c>
      <c r="AA163">
        <v>27520</v>
      </c>
      <c r="AB163">
        <v>128</v>
      </c>
      <c r="AC163">
        <v>2</v>
      </c>
      <c r="AD163">
        <v>8</v>
      </c>
      <c r="AE163">
        <v>373.01</v>
      </c>
      <c r="AF163" s="17">
        <v>37.253</v>
      </c>
      <c r="AG163" s="33">
        <v>45315</v>
      </c>
      <c r="AH163" s="34">
        <v>7.3113425925925915E-2</v>
      </c>
      <c r="AI163">
        <v>0</v>
      </c>
      <c r="AJ163">
        <v>0</v>
      </c>
      <c r="AK163">
        <v>0</v>
      </c>
      <c r="AL163">
        <v>0</v>
      </c>
      <c r="AM163">
        <v>0</v>
      </c>
      <c r="AN163">
        <v>0</v>
      </c>
      <c r="AO163">
        <v>0</v>
      </c>
      <c r="AP163">
        <v>0</v>
      </c>
      <c r="AQ163">
        <v>0</v>
      </c>
      <c r="AR163">
        <v>0</v>
      </c>
      <c r="AS163">
        <v>0</v>
      </c>
      <c r="AT163">
        <v>0</v>
      </c>
      <c r="AU163" s="30">
        <f t="shared" si="82"/>
        <v>37.246400000000001</v>
      </c>
    </row>
    <row r="164" spans="1:47" x14ac:dyDescent="0.25">
      <c r="A164">
        <v>4</v>
      </c>
      <c r="B164" t="s">
        <v>16</v>
      </c>
      <c r="C164">
        <v>27520</v>
      </c>
      <c r="D164">
        <v>128</v>
      </c>
      <c r="E164">
        <v>2</v>
      </c>
      <c r="F164">
        <v>8</v>
      </c>
      <c r="G164">
        <v>419.49</v>
      </c>
      <c r="H164" s="17">
        <v>33.125999999999998</v>
      </c>
      <c r="I164" s="33">
        <v>45318</v>
      </c>
      <c r="J164" s="37">
        <v>0.71423611111111107</v>
      </c>
      <c r="K164">
        <v>0</v>
      </c>
      <c r="L164">
        <v>0</v>
      </c>
      <c r="M164">
        <v>0</v>
      </c>
      <c r="N164">
        <v>0</v>
      </c>
      <c r="O164">
        <v>0</v>
      </c>
      <c r="P164">
        <v>0</v>
      </c>
      <c r="Q164">
        <v>0</v>
      </c>
      <c r="R164">
        <v>0</v>
      </c>
      <c r="S164">
        <v>0</v>
      </c>
      <c r="T164">
        <v>0</v>
      </c>
      <c r="U164">
        <v>0</v>
      </c>
      <c r="V164">
        <v>0</v>
      </c>
      <c r="W164" s="30">
        <f t="shared" si="104"/>
        <v>33.168999999999997</v>
      </c>
      <c r="Y164">
        <v>4</v>
      </c>
      <c r="Z164" t="s">
        <v>16</v>
      </c>
      <c r="AA164">
        <v>27520</v>
      </c>
      <c r="AB164">
        <v>128</v>
      </c>
      <c r="AC164">
        <v>2</v>
      </c>
      <c r="AD164">
        <v>8</v>
      </c>
      <c r="AE164">
        <v>372.92</v>
      </c>
      <c r="AF164" s="17">
        <v>37.262999999999998</v>
      </c>
      <c r="AG164" s="33">
        <v>45318</v>
      </c>
      <c r="AH164" s="34">
        <v>0.19925925925925925</v>
      </c>
      <c r="AI164">
        <v>0</v>
      </c>
      <c r="AJ164">
        <v>0</v>
      </c>
      <c r="AK164">
        <v>0</v>
      </c>
      <c r="AL164">
        <v>0</v>
      </c>
      <c r="AM164">
        <v>0</v>
      </c>
      <c r="AN164">
        <v>0</v>
      </c>
      <c r="AO164">
        <v>0</v>
      </c>
      <c r="AP164">
        <v>0</v>
      </c>
      <c r="AQ164">
        <v>0</v>
      </c>
      <c r="AR164">
        <v>0</v>
      </c>
      <c r="AS164">
        <v>0</v>
      </c>
      <c r="AT164">
        <v>0</v>
      </c>
      <c r="AU164" s="30">
        <f t="shared" si="82"/>
        <v>37.246400000000001</v>
      </c>
    </row>
    <row r="165" spans="1:47" x14ac:dyDescent="0.25">
      <c r="A165">
        <v>0</v>
      </c>
      <c r="B165" t="s">
        <v>16</v>
      </c>
      <c r="C165">
        <v>29056</v>
      </c>
      <c r="D165">
        <v>128</v>
      </c>
      <c r="E165">
        <v>2</v>
      </c>
      <c r="F165">
        <v>8</v>
      </c>
      <c r="G165">
        <v>448.15</v>
      </c>
      <c r="H165" s="17">
        <v>36.494999999999997</v>
      </c>
      <c r="I165" s="33">
        <v>45317</v>
      </c>
      <c r="J165" s="37">
        <v>0.99664351851851851</v>
      </c>
      <c r="K165">
        <v>0</v>
      </c>
      <c r="L165">
        <v>0</v>
      </c>
      <c r="M165">
        <v>0</v>
      </c>
      <c r="N165">
        <v>0</v>
      </c>
      <c r="O165">
        <v>0</v>
      </c>
      <c r="P165">
        <v>0</v>
      </c>
      <c r="Q165">
        <v>0</v>
      </c>
      <c r="R165">
        <v>0</v>
      </c>
      <c r="S165">
        <v>0</v>
      </c>
      <c r="T165">
        <v>0</v>
      </c>
      <c r="U165">
        <v>0</v>
      </c>
      <c r="V165">
        <v>0</v>
      </c>
      <c r="W165" s="30">
        <f t="shared" ref="W165" si="105">AVERAGE(H165:H169)</f>
        <v>36.606199999999994</v>
      </c>
      <c r="Y165">
        <v>0</v>
      </c>
      <c r="Z165" t="s">
        <v>16</v>
      </c>
      <c r="AA165">
        <v>29056</v>
      </c>
      <c r="AB165">
        <v>128</v>
      </c>
      <c r="AC165">
        <v>2</v>
      </c>
      <c r="AD165">
        <v>8</v>
      </c>
      <c r="AE165">
        <v>412.56</v>
      </c>
      <c r="AF165" s="17">
        <v>39.643000000000001</v>
      </c>
      <c r="AG165" s="33">
        <v>45314</v>
      </c>
      <c r="AH165" s="34">
        <v>0.82673611111111101</v>
      </c>
      <c r="AI165">
        <v>0</v>
      </c>
      <c r="AJ165">
        <v>0</v>
      </c>
      <c r="AK165">
        <v>0</v>
      </c>
      <c r="AL165">
        <v>0</v>
      </c>
      <c r="AM165">
        <v>0</v>
      </c>
      <c r="AN165">
        <v>0</v>
      </c>
      <c r="AO165">
        <v>0</v>
      </c>
      <c r="AP165">
        <v>0</v>
      </c>
      <c r="AQ165">
        <v>0</v>
      </c>
      <c r="AR165">
        <v>0</v>
      </c>
      <c r="AS165">
        <v>0</v>
      </c>
      <c r="AT165">
        <v>0</v>
      </c>
      <c r="AU165" s="30">
        <f t="shared" si="84"/>
        <v>39.651400000000002</v>
      </c>
    </row>
    <row r="166" spans="1:47" x14ac:dyDescent="0.25">
      <c r="A166">
        <v>1</v>
      </c>
      <c r="B166" t="s">
        <v>16</v>
      </c>
      <c r="C166">
        <v>29056</v>
      </c>
      <c r="D166">
        <v>128</v>
      </c>
      <c r="E166">
        <v>2</v>
      </c>
      <c r="F166">
        <v>8</v>
      </c>
      <c r="G166">
        <v>446.41</v>
      </c>
      <c r="H166" s="17">
        <v>36.637</v>
      </c>
      <c r="I166" s="33">
        <v>45318</v>
      </c>
      <c r="J166" s="37">
        <v>0.10150462962962963</v>
      </c>
      <c r="K166">
        <v>0</v>
      </c>
      <c r="L166">
        <v>0</v>
      </c>
      <c r="M166">
        <v>0</v>
      </c>
      <c r="N166">
        <v>0</v>
      </c>
      <c r="O166">
        <v>0</v>
      </c>
      <c r="P166">
        <v>0</v>
      </c>
      <c r="Q166">
        <v>0</v>
      </c>
      <c r="R166">
        <v>0</v>
      </c>
      <c r="S166">
        <v>0</v>
      </c>
      <c r="T166">
        <v>0</v>
      </c>
      <c r="U166">
        <v>0</v>
      </c>
      <c r="V166">
        <v>0</v>
      </c>
      <c r="W166" s="30">
        <f t="shared" ref="W166" si="106">W165</f>
        <v>36.606199999999994</v>
      </c>
      <c r="Y166">
        <v>1</v>
      </c>
      <c r="Z166" t="s">
        <v>16</v>
      </c>
      <c r="AA166">
        <v>29056</v>
      </c>
      <c r="AB166">
        <v>128</v>
      </c>
      <c r="AC166">
        <v>2</v>
      </c>
      <c r="AD166">
        <v>8</v>
      </c>
      <c r="AE166">
        <v>412.81</v>
      </c>
      <c r="AF166" s="17">
        <v>39.618000000000002</v>
      </c>
      <c r="AG166" s="33">
        <v>45314</v>
      </c>
      <c r="AH166" s="34">
        <v>0.79729166666666673</v>
      </c>
      <c r="AI166">
        <v>0</v>
      </c>
      <c r="AJ166">
        <v>0</v>
      </c>
      <c r="AK166">
        <v>0</v>
      </c>
      <c r="AL166">
        <v>0</v>
      </c>
      <c r="AM166">
        <v>0</v>
      </c>
      <c r="AN166">
        <v>0</v>
      </c>
      <c r="AO166">
        <v>0</v>
      </c>
      <c r="AP166">
        <v>0</v>
      </c>
      <c r="AQ166">
        <v>0</v>
      </c>
      <c r="AR166">
        <v>0</v>
      </c>
      <c r="AS166">
        <v>0</v>
      </c>
      <c r="AT166">
        <v>0</v>
      </c>
      <c r="AU166" s="30">
        <f t="shared" si="86"/>
        <v>39.651400000000002</v>
      </c>
    </row>
    <row r="167" spans="1:47" x14ac:dyDescent="0.25">
      <c r="A167">
        <v>2</v>
      </c>
      <c r="B167" t="s">
        <v>16</v>
      </c>
      <c r="C167">
        <v>29056</v>
      </c>
      <c r="D167">
        <v>128</v>
      </c>
      <c r="E167">
        <v>2</v>
      </c>
      <c r="F167">
        <v>8</v>
      </c>
      <c r="G167">
        <v>446.42</v>
      </c>
      <c r="H167" s="17">
        <v>36.636000000000003</v>
      </c>
      <c r="I167" s="33">
        <v>45318</v>
      </c>
      <c r="J167" s="37">
        <v>0.36090277777777779</v>
      </c>
      <c r="K167">
        <v>0</v>
      </c>
      <c r="L167">
        <v>0</v>
      </c>
      <c r="M167">
        <v>0</v>
      </c>
      <c r="N167">
        <v>0</v>
      </c>
      <c r="O167">
        <v>0</v>
      </c>
      <c r="P167">
        <v>0</v>
      </c>
      <c r="Q167">
        <v>0</v>
      </c>
      <c r="R167">
        <v>0</v>
      </c>
      <c r="S167">
        <v>0</v>
      </c>
      <c r="T167">
        <v>0</v>
      </c>
      <c r="U167">
        <v>0</v>
      </c>
      <c r="V167">
        <v>0</v>
      </c>
      <c r="W167" s="30">
        <f t="shared" si="101"/>
        <v>36.606199999999994</v>
      </c>
      <c r="Y167">
        <v>2</v>
      </c>
      <c r="Z167" t="s">
        <v>16</v>
      </c>
      <c r="AA167">
        <v>29056</v>
      </c>
      <c r="AB167">
        <v>128</v>
      </c>
      <c r="AC167">
        <v>2</v>
      </c>
      <c r="AD167">
        <v>8</v>
      </c>
      <c r="AE167">
        <v>411.92</v>
      </c>
      <c r="AF167" s="17">
        <v>39.704000000000001</v>
      </c>
      <c r="AG167" s="33">
        <v>45318</v>
      </c>
      <c r="AH167" s="34">
        <v>0.10627314814814814</v>
      </c>
      <c r="AI167">
        <v>0</v>
      </c>
      <c r="AJ167">
        <v>0</v>
      </c>
      <c r="AK167">
        <v>0</v>
      </c>
      <c r="AL167">
        <v>0</v>
      </c>
      <c r="AM167">
        <v>0</v>
      </c>
      <c r="AN167">
        <v>0</v>
      </c>
      <c r="AO167">
        <v>0</v>
      </c>
      <c r="AP167">
        <v>0</v>
      </c>
      <c r="AQ167">
        <v>0</v>
      </c>
      <c r="AR167">
        <v>0</v>
      </c>
      <c r="AS167">
        <v>0</v>
      </c>
      <c r="AT167">
        <v>0</v>
      </c>
      <c r="AU167" s="30">
        <f t="shared" si="82"/>
        <v>39.651400000000002</v>
      </c>
    </row>
    <row r="168" spans="1:47" x14ac:dyDescent="0.25">
      <c r="A168">
        <v>3</v>
      </c>
      <c r="B168" t="s">
        <v>16</v>
      </c>
      <c r="C168">
        <v>29056</v>
      </c>
      <c r="D168">
        <v>128</v>
      </c>
      <c r="E168">
        <v>2</v>
      </c>
      <c r="F168">
        <v>8</v>
      </c>
      <c r="G168">
        <v>446.29</v>
      </c>
      <c r="H168" s="17">
        <v>36.646000000000001</v>
      </c>
      <c r="I168" s="33">
        <v>45318</v>
      </c>
      <c r="J168" s="37">
        <v>0.62020833333333336</v>
      </c>
      <c r="K168">
        <v>0</v>
      </c>
      <c r="L168">
        <v>0</v>
      </c>
      <c r="M168">
        <v>0</v>
      </c>
      <c r="N168">
        <v>0</v>
      </c>
      <c r="O168">
        <v>0</v>
      </c>
      <c r="P168">
        <v>0</v>
      </c>
      <c r="Q168">
        <v>0</v>
      </c>
      <c r="R168">
        <v>0</v>
      </c>
      <c r="S168">
        <v>0</v>
      </c>
      <c r="T168">
        <v>0</v>
      </c>
      <c r="U168">
        <v>0</v>
      </c>
      <c r="V168">
        <v>0</v>
      </c>
      <c r="W168" s="30">
        <f t="shared" si="101"/>
        <v>36.606199999999994</v>
      </c>
      <c r="Y168">
        <v>3</v>
      </c>
      <c r="Z168" t="s">
        <v>16</v>
      </c>
      <c r="AA168">
        <v>29056</v>
      </c>
      <c r="AB168">
        <v>128</v>
      </c>
      <c r="AC168">
        <v>2</v>
      </c>
      <c r="AD168">
        <v>8</v>
      </c>
      <c r="AE168">
        <v>412.95</v>
      </c>
      <c r="AF168" s="17">
        <v>39.606000000000002</v>
      </c>
      <c r="AG168" s="33">
        <v>45315</v>
      </c>
      <c r="AH168" s="34">
        <v>0.24332175925925925</v>
      </c>
      <c r="AI168">
        <v>0</v>
      </c>
      <c r="AJ168">
        <v>0</v>
      </c>
      <c r="AK168">
        <v>0</v>
      </c>
      <c r="AL168">
        <v>0</v>
      </c>
      <c r="AM168">
        <v>0</v>
      </c>
      <c r="AN168">
        <v>0</v>
      </c>
      <c r="AO168">
        <v>0</v>
      </c>
      <c r="AP168">
        <v>0</v>
      </c>
      <c r="AQ168">
        <v>0</v>
      </c>
      <c r="AR168">
        <v>0</v>
      </c>
      <c r="AS168">
        <v>0</v>
      </c>
      <c r="AT168">
        <v>0</v>
      </c>
      <c r="AU168" s="30">
        <f t="shared" si="82"/>
        <v>39.651400000000002</v>
      </c>
    </row>
    <row r="169" spans="1:47" x14ac:dyDescent="0.25">
      <c r="A169">
        <v>4</v>
      </c>
      <c r="B169" t="s">
        <v>16</v>
      </c>
      <c r="C169">
        <v>29056</v>
      </c>
      <c r="D169">
        <v>128</v>
      </c>
      <c r="E169">
        <v>2</v>
      </c>
      <c r="F169">
        <v>8</v>
      </c>
      <c r="G169">
        <v>446.65</v>
      </c>
      <c r="H169" s="17">
        <v>36.616999999999997</v>
      </c>
      <c r="I169" s="33">
        <v>45318</v>
      </c>
      <c r="J169" s="37">
        <v>0.87958333333333327</v>
      </c>
      <c r="K169">
        <v>0</v>
      </c>
      <c r="L169">
        <v>0</v>
      </c>
      <c r="M169">
        <v>0</v>
      </c>
      <c r="N169">
        <v>0</v>
      </c>
      <c r="O169">
        <v>0</v>
      </c>
      <c r="P169">
        <v>0</v>
      </c>
      <c r="Q169">
        <v>0</v>
      </c>
      <c r="R169">
        <v>0</v>
      </c>
      <c r="S169">
        <v>0</v>
      </c>
      <c r="T169">
        <v>0</v>
      </c>
      <c r="U169">
        <v>0</v>
      </c>
      <c r="V169">
        <v>0</v>
      </c>
      <c r="W169" s="30">
        <f t="shared" si="101"/>
        <v>36.606199999999994</v>
      </c>
      <c r="Y169">
        <v>4</v>
      </c>
      <c r="Z169" t="s">
        <v>16</v>
      </c>
      <c r="AA169">
        <v>29056</v>
      </c>
      <c r="AB169">
        <v>128</v>
      </c>
      <c r="AC169">
        <v>2</v>
      </c>
      <c r="AD169">
        <v>8</v>
      </c>
      <c r="AE169">
        <v>412.11</v>
      </c>
      <c r="AF169" s="17">
        <v>39.686</v>
      </c>
      <c r="AG169">
        <v>45318</v>
      </c>
      <c r="AH169">
        <v>0.39298611111111109</v>
      </c>
      <c r="AI169">
        <v>0</v>
      </c>
      <c r="AJ169">
        <v>0</v>
      </c>
      <c r="AK169">
        <v>0</v>
      </c>
      <c r="AL169">
        <v>0</v>
      </c>
      <c r="AM169">
        <v>0</v>
      </c>
      <c r="AN169">
        <v>0</v>
      </c>
      <c r="AO169">
        <v>0</v>
      </c>
      <c r="AP169">
        <v>0</v>
      </c>
      <c r="AQ169">
        <v>0</v>
      </c>
      <c r="AR169">
        <v>0</v>
      </c>
      <c r="AS169">
        <v>0</v>
      </c>
      <c r="AT169">
        <v>941</v>
      </c>
      <c r="AU169" s="30">
        <f t="shared" si="82"/>
        <v>39.651400000000002</v>
      </c>
    </row>
    <row r="170" spans="1:47" x14ac:dyDescent="0.25">
      <c r="A170">
        <v>0</v>
      </c>
      <c r="B170" t="s">
        <v>16</v>
      </c>
      <c r="C170">
        <v>25984</v>
      </c>
      <c r="D170">
        <v>128</v>
      </c>
      <c r="E170">
        <v>4</v>
      </c>
      <c r="F170">
        <v>4</v>
      </c>
      <c r="G170">
        <v>344.15</v>
      </c>
      <c r="H170" s="17">
        <v>33.987000000000002</v>
      </c>
      <c r="I170" s="33">
        <v>45318</v>
      </c>
      <c r="J170" s="37">
        <v>0.91327546296296302</v>
      </c>
      <c r="K170">
        <v>0</v>
      </c>
      <c r="L170">
        <v>0</v>
      </c>
      <c r="M170">
        <v>0</v>
      </c>
      <c r="N170">
        <v>0</v>
      </c>
      <c r="O170">
        <v>0</v>
      </c>
      <c r="P170">
        <v>0</v>
      </c>
      <c r="Q170">
        <v>0</v>
      </c>
      <c r="R170">
        <v>0</v>
      </c>
      <c r="S170">
        <v>0</v>
      </c>
      <c r="T170">
        <v>0</v>
      </c>
      <c r="U170">
        <v>0</v>
      </c>
      <c r="V170">
        <v>0</v>
      </c>
      <c r="W170" s="30">
        <f t="shared" ref="W170" si="107">AVERAGE(H170:H174)</f>
        <v>33.941200000000002</v>
      </c>
      <c r="Y170">
        <v>0</v>
      </c>
      <c r="Z170" t="s">
        <v>16</v>
      </c>
      <c r="AA170">
        <v>25984</v>
      </c>
      <c r="AB170">
        <v>128</v>
      </c>
      <c r="AC170">
        <v>4</v>
      </c>
      <c r="AD170">
        <v>4</v>
      </c>
      <c r="AE170">
        <v>323.70999999999998</v>
      </c>
      <c r="AF170" s="17">
        <v>36.134</v>
      </c>
      <c r="AG170" s="33">
        <v>45314</v>
      </c>
      <c r="AH170" s="34">
        <v>0.74348379629629635</v>
      </c>
      <c r="AI170">
        <v>0</v>
      </c>
      <c r="AJ170">
        <v>0</v>
      </c>
      <c r="AK170">
        <v>0</v>
      </c>
      <c r="AL170">
        <v>0</v>
      </c>
      <c r="AM170">
        <v>0</v>
      </c>
      <c r="AN170">
        <v>0</v>
      </c>
      <c r="AO170">
        <v>0</v>
      </c>
      <c r="AP170">
        <v>0</v>
      </c>
      <c r="AQ170">
        <v>0</v>
      </c>
      <c r="AR170">
        <v>0</v>
      </c>
      <c r="AS170">
        <v>0</v>
      </c>
      <c r="AT170">
        <v>0</v>
      </c>
      <c r="AU170" s="30">
        <f t="shared" si="88"/>
        <v>36.145400000000002</v>
      </c>
    </row>
    <row r="171" spans="1:47" x14ac:dyDescent="0.25">
      <c r="A171">
        <v>1</v>
      </c>
      <c r="B171" t="s">
        <v>16</v>
      </c>
      <c r="C171">
        <v>25984</v>
      </c>
      <c r="D171">
        <v>128</v>
      </c>
      <c r="E171">
        <v>4</v>
      </c>
      <c r="F171">
        <v>4</v>
      </c>
      <c r="G171">
        <v>344.55</v>
      </c>
      <c r="H171" s="17">
        <v>33.947000000000003</v>
      </c>
      <c r="I171" s="33">
        <v>45318</v>
      </c>
      <c r="J171" s="37">
        <v>2.0810185185185185E-2</v>
      </c>
      <c r="K171">
        <v>0</v>
      </c>
      <c r="L171">
        <v>0</v>
      </c>
      <c r="M171">
        <v>0</v>
      </c>
      <c r="N171">
        <v>0</v>
      </c>
      <c r="O171">
        <v>0</v>
      </c>
      <c r="P171">
        <v>0</v>
      </c>
      <c r="Q171">
        <v>0</v>
      </c>
      <c r="R171">
        <v>0</v>
      </c>
      <c r="S171">
        <v>0</v>
      </c>
      <c r="T171">
        <v>0</v>
      </c>
      <c r="U171">
        <v>0</v>
      </c>
      <c r="V171">
        <v>0</v>
      </c>
      <c r="W171" s="30">
        <f t="shared" ref="W171" si="108">W170</f>
        <v>33.941200000000002</v>
      </c>
      <c r="Y171">
        <v>1</v>
      </c>
      <c r="Z171" t="s">
        <v>16</v>
      </c>
      <c r="AA171">
        <v>25984</v>
      </c>
      <c r="AB171">
        <v>128</v>
      </c>
      <c r="AC171">
        <v>4</v>
      </c>
      <c r="AD171">
        <v>4</v>
      </c>
      <c r="AE171">
        <v>323.23</v>
      </c>
      <c r="AF171" s="17">
        <v>36.186999999999998</v>
      </c>
      <c r="AG171" s="33">
        <v>45314</v>
      </c>
      <c r="AH171" s="34">
        <v>0.76623842592592595</v>
      </c>
      <c r="AI171">
        <v>0</v>
      </c>
      <c r="AJ171">
        <v>0</v>
      </c>
      <c r="AK171">
        <v>0</v>
      </c>
      <c r="AL171">
        <v>0</v>
      </c>
      <c r="AM171">
        <v>0</v>
      </c>
      <c r="AN171">
        <v>0</v>
      </c>
      <c r="AO171">
        <v>0</v>
      </c>
      <c r="AP171">
        <v>0</v>
      </c>
      <c r="AQ171">
        <v>0</v>
      </c>
      <c r="AR171">
        <v>0</v>
      </c>
      <c r="AS171">
        <v>0</v>
      </c>
      <c r="AT171">
        <v>0</v>
      </c>
      <c r="AU171" s="30">
        <f t="shared" si="90"/>
        <v>36.145400000000002</v>
      </c>
    </row>
    <row r="172" spans="1:47" x14ac:dyDescent="0.25">
      <c r="A172">
        <v>2</v>
      </c>
      <c r="B172" t="s">
        <v>16</v>
      </c>
      <c r="C172">
        <v>25984</v>
      </c>
      <c r="D172">
        <v>128</v>
      </c>
      <c r="E172">
        <v>4</v>
      </c>
      <c r="F172">
        <v>4</v>
      </c>
      <c r="G172">
        <v>345.03</v>
      </c>
      <c r="H172" s="17">
        <v>33.901000000000003</v>
      </c>
      <c r="I172" s="33">
        <v>45318</v>
      </c>
      <c r="J172" s="37">
        <v>0.2802546296296296</v>
      </c>
      <c r="K172">
        <v>0</v>
      </c>
      <c r="L172">
        <v>0</v>
      </c>
      <c r="M172">
        <v>0</v>
      </c>
      <c r="N172">
        <v>0</v>
      </c>
      <c r="O172">
        <v>0</v>
      </c>
      <c r="P172">
        <v>0</v>
      </c>
      <c r="Q172">
        <v>0</v>
      </c>
      <c r="R172">
        <v>0</v>
      </c>
      <c r="S172">
        <v>0</v>
      </c>
      <c r="T172">
        <v>0</v>
      </c>
      <c r="U172">
        <v>0</v>
      </c>
      <c r="V172">
        <v>0</v>
      </c>
      <c r="W172" s="30">
        <f t="shared" si="104"/>
        <v>33.941200000000002</v>
      </c>
      <c r="Y172">
        <v>2</v>
      </c>
      <c r="Z172" t="s">
        <v>16</v>
      </c>
      <c r="AA172">
        <v>25984</v>
      </c>
      <c r="AB172">
        <v>128</v>
      </c>
      <c r="AC172">
        <v>4</v>
      </c>
      <c r="AD172">
        <v>4</v>
      </c>
      <c r="AE172">
        <v>323.58</v>
      </c>
      <c r="AF172" s="17">
        <v>36.148000000000003</v>
      </c>
      <c r="AG172" s="33">
        <v>45318</v>
      </c>
      <c r="AH172" s="34">
        <v>0.29336805555555556</v>
      </c>
      <c r="AI172">
        <v>0</v>
      </c>
      <c r="AJ172">
        <v>0</v>
      </c>
      <c r="AK172">
        <v>0</v>
      </c>
      <c r="AL172">
        <v>0</v>
      </c>
      <c r="AM172">
        <v>0</v>
      </c>
      <c r="AN172">
        <v>0</v>
      </c>
      <c r="AO172">
        <v>0</v>
      </c>
      <c r="AP172">
        <v>0</v>
      </c>
      <c r="AQ172">
        <v>0</v>
      </c>
      <c r="AR172">
        <v>0</v>
      </c>
      <c r="AS172">
        <v>0</v>
      </c>
      <c r="AT172">
        <v>0</v>
      </c>
      <c r="AU172" s="30">
        <f t="shared" si="82"/>
        <v>36.145400000000002</v>
      </c>
    </row>
    <row r="173" spans="1:47" x14ac:dyDescent="0.25">
      <c r="A173">
        <v>3</v>
      </c>
      <c r="B173" t="s">
        <v>16</v>
      </c>
      <c r="C173">
        <v>25984</v>
      </c>
      <c r="D173">
        <v>128</v>
      </c>
      <c r="E173">
        <v>4</v>
      </c>
      <c r="F173">
        <v>4</v>
      </c>
      <c r="G173">
        <v>344.75</v>
      </c>
      <c r="H173" s="17">
        <v>33.927999999999997</v>
      </c>
      <c r="I173" s="33">
        <v>45318</v>
      </c>
      <c r="J173" s="37">
        <v>0.53956018518518511</v>
      </c>
      <c r="K173">
        <v>0</v>
      </c>
      <c r="L173">
        <v>0</v>
      </c>
      <c r="M173">
        <v>0</v>
      </c>
      <c r="N173">
        <v>0</v>
      </c>
      <c r="O173">
        <v>0</v>
      </c>
      <c r="P173">
        <v>0</v>
      </c>
      <c r="Q173">
        <v>0</v>
      </c>
      <c r="R173">
        <v>0</v>
      </c>
      <c r="S173">
        <v>0</v>
      </c>
      <c r="T173">
        <v>0</v>
      </c>
      <c r="U173">
        <v>0</v>
      </c>
      <c r="V173">
        <v>0</v>
      </c>
      <c r="W173" s="30">
        <f t="shared" si="104"/>
        <v>33.941200000000002</v>
      </c>
      <c r="Y173">
        <v>3</v>
      </c>
      <c r="Z173" t="s">
        <v>16</v>
      </c>
      <c r="AA173">
        <v>25984</v>
      </c>
      <c r="AB173">
        <v>128</v>
      </c>
      <c r="AC173">
        <v>4</v>
      </c>
      <c r="AD173">
        <v>4</v>
      </c>
      <c r="AE173">
        <v>324.39999999999998</v>
      </c>
      <c r="AF173" s="17">
        <v>36.057000000000002</v>
      </c>
      <c r="AG173" s="33">
        <v>45315</v>
      </c>
      <c r="AH173" s="34">
        <v>0.16018518518518518</v>
      </c>
      <c r="AI173">
        <v>0</v>
      </c>
      <c r="AJ173">
        <v>0</v>
      </c>
      <c r="AK173">
        <v>0</v>
      </c>
      <c r="AL173">
        <v>0</v>
      </c>
      <c r="AM173">
        <v>0</v>
      </c>
      <c r="AN173">
        <v>0</v>
      </c>
      <c r="AO173">
        <v>0</v>
      </c>
      <c r="AP173">
        <v>0</v>
      </c>
      <c r="AQ173">
        <v>0</v>
      </c>
      <c r="AR173">
        <v>0</v>
      </c>
      <c r="AS173">
        <v>0</v>
      </c>
      <c r="AT173">
        <v>0</v>
      </c>
      <c r="AU173" s="30">
        <f t="shared" si="82"/>
        <v>36.145400000000002</v>
      </c>
    </row>
    <row r="174" spans="1:47" x14ac:dyDescent="0.25">
      <c r="A174">
        <v>4</v>
      </c>
      <c r="B174" t="s">
        <v>16</v>
      </c>
      <c r="C174">
        <v>25984</v>
      </c>
      <c r="D174">
        <v>128</v>
      </c>
      <c r="E174">
        <v>4</v>
      </c>
      <c r="F174">
        <v>4</v>
      </c>
      <c r="G174">
        <v>344.6</v>
      </c>
      <c r="H174" s="17">
        <v>33.942999999999998</v>
      </c>
      <c r="I174" s="33">
        <v>45318</v>
      </c>
      <c r="J174" s="37">
        <v>0.79891203703703706</v>
      </c>
      <c r="K174">
        <v>0</v>
      </c>
      <c r="L174">
        <v>0</v>
      </c>
      <c r="M174">
        <v>0</v>
      </c>
      <c r="N174">
        <v>0</v>
      </c>
      <c r="O174">
        <v>0</v>
      </c>
      <c r="P174">
        <v>0</v>
      </c>
      <c r="Q174">
        <v>0</v>
      </c>
      <c r="R174">
        <v>0</v>
      </c>
      <c r="S174">
        <v>0</v>
      </c>
      <c r="T174">
        <v>0</v>
      </c>
      <c r="U174">
        <v>0</v>
      </c>
      <c r="V174">
        <v>0</v>
      </c>
      <c r="W174" s="30">
        <f t="shared" si="104"/>
        <v>33.941200000000002</v>
      </c>
      <c r="Y174">
        <v>4</v>
      </c>
      <c r="Z174" t="s">
        <v>16</v>
      </c>
      <c r="AA174">
        <v>25984</v>
      </c>
      <c r="AB174">
        <v>128</v>
      </c>
      <c r="AC174">
        <v>4</v>
      </c>
      <c r="AD174">
        <v>4</v>
      </c>
      <c r="AE174">
        <v>323.11</v>
      </c>
      <c r="AF174" s="17">
        <v>36.201000000000001</v>
      </c>
      <c r="AG174" s="33">
        <v>45318</v>
      </c>
      <c r="AH174" s="34">
        <v>1.6064814814814813E-2</v>
      </c>
      <c r="AI174">
        <v>0</v>
      </c>
      <c r="AJ174">
        <v>0</v>
      </c>
      <c r="AK174">
        <v>0</v>
      </c>
      <c r="AL174">
        <v>0</v>
      </c>
      <c r="AM174">
        <v>0</v>
      </c>
      <c r="AN174">
        <v>0</v>
      </c>
      <c r="AO174">
        <v>0</v>
      </c>
      <c r="AP174">
        <v>0</v>
      </c>
      <c r="AQ174">
        <v>0</v>
      </c>
      <c r="AR174">
        <v>0</v>
      </c>
      <c r="AS174">
        <v>0</v>
      </c>
      <c r="AT174">
        <v>0</v>
      </c>
      <c r="AU174" s="30">
        <f t="shared" si="82"/>
        <v>36.145400000000002</v>
      </c>
    </row>
    <row r="175" spans="1:47" x14ac:dyDescent="0.25">
      <c r="A175">
        <v>0</v>
      </c>
      <c r="B175" t="s">
        <v>16</v>
      </c>
      <c r="C175">
        <v>27520</v>
      </c>
      <c r="D175">
        <v>128</v>
      </c>
      <c r="E175">
        <v>4</v>
      </c>
      <c r="F175">
        <v>4</v>
      </c>
      <c r="G175">
        <v>407.21</v>
      </c>
      <c r="H175" s="17">
        <v>34.125</v>
      </c>
      <c r="I175" s="33">
        <v>45318</v>
      </c>
      <c r="J175" s="37">
        <v>0.83355324074074078</v>
      </c>
      <c r="K175">
        <v>0</v>
      </c>
      <c r="L175">
        <v>0</v>
      </c>
      <c r="M175">
        <v>0</v>
      </c>
      <c r="N175">
        <v>0</v>
      </c>
      <c r="O175">
        <v>0</v>
      </c>
      <c r="P175">
        <v>0</v>
      </c>
      <c r="Q175">
        <v>0</v>
      </c>
      <c r="R175">
        <v>0</v>
      </c>
      <c r="S175">
        <v>0</v>
      </c>
      <c r="T175">
        <v>0</v>
      </c>
      <c r="U175">
        <v>0</v>
      </c>
      <c r="V175">
        <v>0</v>
      </c>
      <c r="W175" s="30">
        <f t="shared" ref="W175" si="109">AVERAGE(H175:H179)</f>
        <v>34.083399999999997</v>
      </c>
      <c r="Y175">
        <v>0</v>
      </c>
      <c r="Z175" t="s">
        <v>16</v>
      </c>
      <c r="AA175">
        <v>27520</v>
      </c>
      <c r="AB175">
        <v>128</v>
      </c>
      <c r="AC175">
        <v>4</v>
      </c>
      <c r="AD175">
        <v>4</v>
      </c>
      <c r="AE175">
        <v>379.39</v>
      </c>
      <c r="AF175" s="17">
        <v>36.627000000000002</v>
      </c>
      <c r="AG175" s="33">
        <v>45314</v>
      </c>
      <c r="AH175" s="34">
        <v>0.78571759259259266</v>
      </c>
      <c r="AI175">
        <v>0</v>
      </c>
      <c r="AJ175">
        <v>0</v>
      </c>
      <c r="AK175">
        <v>0</v>
      </c>
      <c r="AL175">
        <v>0</v>
      </c>
      <c r="AM175">
        <v>0</v>
      </c>
      <c r="AN175">
        <v>0</v>
      </c>
      <c r="AO175">
        <v>0</v>
      </c>
      <c r="AP175">
        <v>0</v>
      </c>
      <c r="AQ175">
        <v>0</v>
      </c>
      <c r="AR175">
        <v>0</v>
      </c>
      <c r="AS175">
        <v>0</v>
      </c>
      <c r="AT175">
        <v>0</v>
      </c>
      <c r="AU175" s="30">
        <f t="shared" si="92"/>
        <v>36.644599999999997</v>
      </c>
    </row>
    <row r="176" spans="1:47" x14ac:dyDescent="0.25">
      <c r="A176">
        <v>1</v>
      </c>
      <c r="B176" t="s">
        <v>16</v>
      </c>
      <c r="C176">
        <v>27520</v>
      </c>
      <c r="D176">
        <v>128</v>
      </c>
      <c r="E176">
        <v>4</v>
      </c>
      <c r="F176">
        <v>4</v>
      </c>
      <c r="G176">
        <v>408.37</v>
      </c>
      <c r="H176" s="17">
        <v>34.027999999999999</v>
      </c>
      <c r="I176" s="33">
        <v>45318</v>
      </c>
      <c r="J176" s="37">
        <v>9.5740740740740737E-2</v>
      </c>
      <c r="K176">
        <v>0</v>
      </c>
      <c r="L176">
        <v>0</v>
      </c>
      <c r="M176">
        <v>0</v>
      </c>
      <c r="N176">
        <v>0</v>
      </c>
      <c r="O176">
        <v>0</v>
      </c>
      <c r="P176">
        <v>0</v>
      </c>
      <c r="Q176">
        <v>0</v>
      </c>
      <c r="R176">
        <v>0</v>
      </c>
      <c r="S176">
        <v>0</v>
      </c>
      <c r="T176">
        <v>0</v>
      </c>
      <c r="U176">
        <v>0</v>
      </c>
      <c r="V176">
        <v>0</v>
      </c>
      <c r="W176" s="30">
        <f t="shared" ref="W176" si="110">W175</f>
        <v>34.083399999999997</v>
      </c>
      <c r="Y176">
        <v>1</v>
      </c>
      <c r="Z176" t="s">
        <v>16</v>
      </c>
      <c r="AA176">
        <v>27520</v>
      </c>
      <c r="AB176">
        <v>128</v>
      </c>
      <c r="AC176">
        <v>4</v>
      </c>
      <c r="AD176">
        <v>4</v>
      </c>
      <c r="AE176">
        <v>379.13</v>
      </c>
      <c r="AF176" s="17">
        <v>36.652000000000001</v>
      </c>
      <c r="AG176" s="33">
        <v>45314</v>
      </c>
      <c r="AH176" s="34">
        <v>0.92782407407407408</v>
      </c>
      <c r="AI176">
        <v>0</v>
      </c>
      <c r="AJ176">
        <v>0</v>
      </c>
      <c r="AK176">
        <v>0</v>
      </c>
      <c r="AL176">
        <v>0</v>
      </c>
      <c r="AM176">
        <v>0</v>
      </c>
      <c r="AN176">
        <v>0</v>
      </c>
      <c r="AO176">
        <v>0</v>
      </c>
      <c r="AP176">
        <v>0</v>
      </c>
      <c r="AQ176">
        <v>0</v>
      </c>
      <c r="AR176">
        <v>0</v>
      </c>
      <c r="AS176">
        <v>0</v>
      </c>
      <c r="AT176">
        <v>0</v>
      </c>
      <c r="AU176" s="30">
        <f t="shared" si="94"/>
        <v>36.644599999999997</v>
      </c>
    </row>
    <row r="177" spans="1:47" x14ac:dyDescent="0.25">
      <c r="A177">
        <v>2</v>
      </c>
      <c r="B177" t="s">
        <v>16</v>
      </c>
      <c r="C177">
        <v>27520</v>
      </c>
      <c r="D177">
        <v>128</v>
      </c>
      <c r="E177">
        <v>4</v>
      </c>
      <c r="F177">
        <v>4</v>
      </c>
      <c r="G177">
        <v>407.75</v>
      </c>
      <c r="H177" s="17">
        <v>34.079000000000001</v>
      </c>
      <c r="I177" s="33">
        <v>45318</v>
      </c>
      <c r="J177" s="37">
        <v>0.20052083333333334</v>
      </c>
      <c r="K177">
        <v>0</v>
      </c>
      <c r="L177">
        <v>0</v>
      </c>
      <c r="M177">
        <v>0</v>
      </c>
      <c r="N177">
        <v>0</v>
      </c>
      <c r="O177">
        <v>0</v>
      </c>
      <c r="P177">
        <v>0</v>
      </c>
      <c r="Q177">
        <v>0</v>
      </c>
      <c r="R177">
        <v>0</v>
      </c>
      <c r="S177">
        <v>0</v>
      </c>
      <c r="T177">
        <v>0</v>
      </c>
      <c r="U177">
        <v>0</v>
      </c>
      <c r="V177">
        <v>0</v>
      </c>
      <c r="W177" s="30">
        <f t="shared" si="101"/>
        <v>34.083399999999997</v>
      </c>
      <c r="Y177">
        <v>2</v>
      </c>
      <c r="Z177" t="s">
        <v>16</v>
      </c>
      <c r="AA177">
        <v>27520</v>
      </c>
      <c r="AB177">
        <v>128</v>
      </c>
      <c r="AC177">
        <v>4</v>
      </c>
      <c r="AD177">
        <v>4</v>
      </c>
      <c r="AE177">
        <v>379.24</v>
      </c>
      <c r="AF177" s="17">
        <v>36.642000000000003</v>
      </c>
      <c r="AG177" s="33">
        <v>45318</v>
      </c>
      <c r="AH177" s="34">
        <v>6.4236111111111117E-3</v>
      </c>
      <c r="AI177">
        <v>0</v>
      </c>
      <c r="AJ177">
        <v>0</v>
      </c>
      <c r="AK177">
        <v>0</v>
      </c>
      <c r="AL177">
        <v>0</v>
      </c>
      <c r="AM177">
        <v>0</v>
      </c>
      <c r="AN177">
        <v>0</v>
      </c>
      <c r="AO177">
        <v>0</v>
      </c>
      <c r="AP177">
        <v>0</v>
      </c>
      <c r="AQ177">
        <v>0</v>
      </c>
      <c r="AR177">
        <v>0</v>
      </c>
      <c r="AS177">
        <v>0</v>
      </c>
      <c r="AT177">
        <v>0</v>
      </c>
      <c r="AU177" s="30">
        <f t="shared" si="82"/>
        <v>36.644599999999997</v>
      </c>
    </row>
    <row r="178" spans="1:47" x14ac:dyDescent="0.25">
      <c r="A178">
        <v>3</v>
      </c>
      <c r="B178" t="s">
        <v>16</v>
      </c>
      <c r="C178">
        <v>27520</v>
      </c>
      <c r="D178">
        <v>128</v>
      </c>
      <c r="E178">
        <v>4</v>
      </c>
      <c r="F178">
        <v>4</v>
      </c>
      <c r="G178">
        <v>407.39</v>
      </c>
      <c r="H178" s="17">
        <v>34.11</v>
      </c>
      <c r="I178" s="33">
        <v>45318</v>
      </c>
      <c r="J178" s="37">
        <v>0.45980324074074069</v>
      </c>
      <c r="K178">
        <v>0</v>
      </c>
      <c r="L178">
        <v>0</v>
      </c>
      <c r="M178">
        <v>0</v>
      </c>
      <c r="N178">
        <v>0</v>
      </c>
      <c r="O178">
        <v>0</v>
      </c>
      <c r="P178">
        <v>0</v>
      </c>
      <c r="Q178">
        <v>0</v>
      </c>
      <c r="R178">
        <v>0</v>
      </c>
      <c r="S178">
        <v>0</v>
      </c>
      <c r="T178">
        <v>0</v>
      </c>
      <c r="U178">
        <v>0</v>
      </c>
      <c r="V178">
        <v>0</v>
      </c>
      <c r="W178" s="30">
        <f t="shared" si="101"/>
        <v>34.083399999999997</v>
      </c>
      <c r="Y178">
        <v>3</v>
      </c>
      <c r="Z178" t="s">
        <v>16</v>
      </c>
      <c r="AA178">
        <v>27520</v>
      </c>
      <c r="AB178">
        <v>128</v>
      </c>
      <c r="AC178">
        <v>4</v>
      </c>
      <c r="AD178">
        <v>4</v>
      </c>
      <c r="AE178">
        <v>378.81</v>
      </c>
      <c r="AF178" s="17">
        <v>36.683</v>
      </c>
      <c r="AG178" s="33">
        <v>45315</v>
      </c>
      <c r="AH178" s="34">
        <v>7.8159722222222214E-2</v>
      </c>
      <c r="AI178">
        <v>0</v>
      </c>
      <c r="AJ178">
        <v>0</v>
      </c>
      <c r="AK178">
        <v>0</v>
      </c>
      <c r="AL178">
        <v>0</v>
      </c>
      <c r="AM178">
        <v>0</v>
      </c>
      <c r="AN178">
        <v>0</v>
      </c>
      <c r="AO178">
        <v>0</v>
      </c>
      <c r="AP178">
        <v>0</v>
      </c>
      <c r="AQ178">
        <v>0</v>
      </c>
      <c r="AR178">
        <v>0</v>
      </c>
      <c r="AS178">
        <v>0</v>
      </c>
      <c r="AT178">
        <v>0</v>
      </c>
      <c r="AU178" s="30">
        <f t="shared" si="82"/>
        <v>36.644599999999997</v>
      </c>
    </row>
    <row r="179" spans="1:47" x14ac:dyDescent="0.25">
      <c r="A179">
        <v>4</v>
      </c>
      <c r="B179" t="s">
        <v>16</v>
      </c>
      <c r="C179">
        <v>27520</v>
      </c>
      <c r="D179">
        <v>128</v>
      </c>
      <c r="E179">
        <v>4</v>
      </c>
      <c r="F179">
        <v>4</v>
      </c>
      <c r="G179">
        <v>407.81</v>
      </c>
      <c r="H179" s="17">
        <v>34.075000000000003</v>
      </c>
      <c r="I179" s="33">
        <v>45318</v>
      </c>
      <c r="J179" s="37">
        <v>0.71915509259259258</v>
      </c>
      <c r="K179">
        <v>0</v>
      </c>
      <c r="L179">
        <v>0</v>
      </c>
      <c r="M179">
        <v>0</v>
      </c>
      <c r="N179">
        <v>0</v>
      </c>
      <c r="O179">
        <v>0</v>
      </c>
      <c r="P179">
        <v>0</v>
      </c>
      <c r="Q179">
        <v>0</v>
      </c>
      <c r="R179">
        <v>0</v>
      </c>
      <c r="S179">
        <v>0</v>
      </c>
      <c r="T179">
        <v>0</v>
      </c>
      <c r="U179">
        <v>0</v>
      </c>
      <c r="V179">
        <v>0</v>
      </c>
      <c r="W179" s="30">
        <f t="shared" si="101"/>
        <v>34.083399999999997</v>
      </c>
      <c r="Y179">
        <v>4</v>
      </c>
      <c r="Z179" t="s">
        <v>16</v>
      </c>
      <c r="AA179">
        <v>27520</v>
      </c>
      <c r="AB179">
        <v>128</v>
      </c>
      <c r="AC179">
        <v>4</v>
      </c>
      <c r="AD179">
        <v>4</v>
      </c>
      <c r="AE179">
        <v>379.47</v>
      </c>
      <c r="AF179" s="17">
        <v>36.619</v>
      </c>
      <c r="AG179" s="33">
        <v>45318</v>
      </c>
      <c r="AH179" s="34">
        <v>0.19517361111111109</v>
      </c>
      <c r="AI179">
        <v>0</v>
      </c>
      <c r="AJ179">
        <v>0</v>
      </c>
      <c r="AK179">
        <v>0</v>
      </c>
      <c r="AL179">
        <v>0</v>
      </c>
      <c r="AM179">
        <v>0</v>
      </c>
      <c r="AN179">
        <v>0</v>
      </c>
      <c r="AO179">
        <v>0</v>
      </c>
      <c r="AP179">
        <v>0</v>
      </c>
      <c r="AQ179">
        <v>0</v>
      </c>
      <c r="AR179">
        <v>0</v>
      </c>
      <c r="AS179">
        <v>0</v>
      </c>
      <c r="AT179">
        <v>87</v>
      </c>
      <c r="AU179" s="30">
        <f t="shared" si="82"/>
        <v>36.644599999999997</v>
      </c>
    </row>
    <row r="180" spans="1:47" x14ac:dyDescent="0.25">
      <c r="A180">
        <v>0</v>
      </c>
      <c r="B180" t="s">
        <v>16</v>
      </c>
      <c r="C180">
        <v>29056</v>
      </c>
      <c r="D180">
        <v>128</v>
      </c>
      <c r="E180">
        <v>4</v>
      </c>
      <c r="F180">
        <v>4</v>
      </c>
      <c r="G180">
        <v>467.13</v>
      </c>
      <c r="H180" s="17">
        <v>35.012</v>
      </c>
      <c r="I180" s="33">
        <v>45318</v>
      </c>
      <c r="J180" s="37">
        <v>2.2800925925925927E-3</v>
      </c>
      <c r="K180">
        <v>0</v>
      </c>
      <c r="L180">
        <v>0</v>
      </c>
      <c r="M180">
        <v>0</v>
      </c>
      <c r="N180">
        <v>0</v>
      </c>
      <c r="O180">
        <v>0</v>
      </c>
      <c r="P180">
        <v>0</v>
      </c>
      <c r="Q180">
        <v>0</v>
      </c>
      <c r="R180">
        <v>0</v>
      </c>
      <c r="S180">
        <v>0</v>
      </c>
      <c r="T180">
        <v>0</v>
      </c>
      <c r="U180">
        <v>0</v>
      </c>
      <c r="V180">
        <v>0</v>
      </c>
      <c r="W180" s="30">
        <f t="shared" ref="W180" si="111">AVERAGE(H180:H184)</f>
        <v>35.007199999999997</v>
      </c>
      <c r="Y180">
        <v>0</v>
      </c>
      <c r="Z180" t="s">
        <v>16</v>
      </c>
      <c r="AA180">
        <v>29056</v>
      </c>
      <c r="AB180">
        <v>128</v>
      </c>
      <c r="AC180">
        <v>4</v>
      </c>
      <c r="AD180">
        <v>4</v>
      </c>
      <c r="AE180">
        <v>437.57</v>
      </c>
      <c r="AF180" s="17">
        <v>37.377000000000002</v>
      </c>
      <c r="AG180" s="33">
        <v>45314</v>
      </c>
      <c r="AH180" s="34">
        <v>0.83253472222222225</v>
      </c>
      <c r="AI180">
        <v>0</v>
      </c>
      <c r="AJ180">
        <v>0</v>
      </c>
      <c r="AK180">
        <v>0</v>
      </c>
      <c r="AL180">
        <v>0</v>
      </c>
      <c r="AM180">
        <v>0</v>
      </c>
      <c r="AN180">
        <v>0</v>
      </c>
      <c r="AO180">
        <v>0</v>
      </c>
      <c r="AP180">
        <v>0</v>
      </c>
      <c r="AQ180">
        <v>0</v>
      </c>
      <c r="AR180">
        <v>0</v>
      </c>
      <c r="AS180">
        <v>0</v>
      </c>
      <c r="AT180">
        <v>0</v>
      </c>
      <c r="AU180" s="30">
        <f t="shared" si="96"/>
        <v>37.4208</v>
      </c>
    </row>
    <row r="181" spans="1:47" x14ac:dyDescent="0.25">
      <c r="A181">
        <v>1</v>
      </c>
      <c r="B181" t="s">
        <v>16</v>
      </c>
      <c r="C181">
        <v>29056</v>
      </c>
      <c r="D181">
        <v>128</v>
      </c>
      <c r="E181">
        <v>4</v>
      </c>
      <c r="F181">
        <v>4</v>
      </c>
      <c r="G181">
        <v>468.03</v>
      </c>
      <c r="H181" s="17">
        <v>34.944000000000003</v>
      </c>
      <c r="I181" s="33">
        <v>45318</v>
      </c>
      <c r="J181" s="37">
        <v>0.10714120370370371</v>
      </c>
      <c r="K181">
        <v>0</v>
      </c>
      <c r="L181">
        <v>0</v>
      </c>
      <c r="M181">
        <v>0</v>
      </c>
      <c r="N181">
        <v>0</v>
      </c>
      <c r="O181">
        <v>0</v>
      </c>
      <c r="P181">
        <v>0</v>
      </c>
      <c r="Q181">
        <v>0</v>
      </c>
      <c r="R181">
        <v>0</v>
      </c>
      <c r="S181">
        <v>0</v>
      </c>
      <c r="T181">
        <v>0</v>
      </c>
      <c r="U181">
        <v>0</v>
      </c>
      <c r="V181">
        <v>0</v>
      </c>
      <c r="W181" s="30">
        <f t="shared" ref="W181" si="112">W180</f>
        <v>35.007199999999997</v>
      </c>
      <c r="Y181">
        <v>1</v>
      </c>
      <c r="Z181" t="s">
        <v>16</v>
      </c>
      <c r="AA181">
        <v>29056</v>
      </c>
      <c r="AB181">
        <v>128</v>
      </c>
      <c r="AC181">
        <v>4</v>
      </c>
      <c r="AD181">
        <v>4</v>
      </c>
      <c r="AE181">
        <v>437.09</v>
      </c>
      <c r="AF181" s="17">
        <v>37.417999999999999</v>
      </c>
      <c r="AG181" s="33">
        <v>45314</v>
      </c>
      <c r="AH181" s="34">
        <v>0.8030787037037036</v>
      </c>
      <c r="AI181">
        <v>0</v>
      </c>
      <c r="AJ181">
        <v>0</v>
      </c>
      <c r="AK181">
        <v>0</v>
      </c>
      <c r="AL181">
        <v>0</v>
      </c>
      <c r="AM181">
        <v>0</v>
      </c>
      <c r="AN181">
        <v>0</v>
      </c>
      <c r="AO181">
        <v>0</v>
      </c>
      <c r="AP181">
        <v>0</v>
      </c>
      <c r="AQ181">
        <v>0</v>
      </c>
      <c r="AR181">
        <v>0</v>
      </c>
      <c r="AS181">
        <v>0</v>
      </c>
      <c r="AT181">
        <v>0</v>
      </c>
      <c r="AU181" s="30">
        <f t="shared" si="98"/>
        <v>37.4208</v>
      </c>
    </row>
    <row r="182" spans="1:47" x14ac:dyDescent="0.25">
      <c r="A182">
        <v>2</v>
      </c>
      <c r="B182" t="s">
        <v>16</v>
      </c>
      <c r="C182">
        <v>29056</v>
      </c>
      <c r="D182">
        <v>128</v>
      </c>
      <c r="E182">
        <v>4</v>
      </c>
      <c r="F182">
        <v>4</v>
      </c>
      <c r="G182">
        <v>466.98</v>
      </c>
      <c r="H182" s="17">
        <v>35.023000000000003</v>
      </c>
      <c r="I182" s="33">
        <v>45318</v>
      </c>
      <c r="J182" s="37">
        <v>0.36652777777777779</v>
      </c>
      <c r="K182">
        <v>0</v>
      </c>
      <c r="L182">
        <v>0</v>
      </c>
      <c r="M182">
        <v>0</v>
      </c>
      <c r="N182">
        <v>0</v>
      </c>
      <c r="O182">
        <v>0</v>
      </c>
      <c r="P182">
        <v>0</v>
      </c>
      <c r="Q182">
        <v>0</v>
      </c>
      <c r="R182">
        <v>0</v>
      </c>
      <c r="S182">
        <v>0</v>
      </c>
      <c r="T182">
        <v>0</v>
      </c>
      <c r="U182">
        <v>0</v>
      </c>
      <c r="V182">
        <v>0</v>
      </c>
      <c r="W182" s="30">
        <f t="shared" si="104"/>
        <v>35.007199999999997</v>
      </c>
      <c r="Y182">
        <v>2</v>
      </c>
      <c r="Z182" t="s">
        <v>16</v>
      </c>
      <c r="AA182">
        <v>29056</v>
      </c>
      <c r="AB182">
        <v>128</v>
      </c>
      <c r="AC182">
        <v>4</v>
      </c>
      <c r="AD182">
        <v>4</v>
      </c>
      <c r="AE182">
        <v>436.8</v>
      </c>
      <c r="AF182" s="17">
        <v>37.442999999999998</v>
      </c>
      <c r="AG182" s="33">
        <v>45318</v>
      </c>
      <c r="AH182" s="34">
        <v>0.30891203703703701</v>
      </c>
      <c r="AI182">
        <v>0</v>
      </c>
      <c r="AJ182">
        <v>0</v>
      </c>
      <c r="AK182">
        <v>0</v>
      </c>
      <c r="AL182">
        <v>0</v>
      </c>
      <c r="AM182">
        <v>0</v>
      </c>
      <c r="AN182">
        <v>0</v>
      </c>
      <c r="AO182">
        <v>0</v>
      </c>
      <c r="AP182">
        <v>0</v>
      </c>
      <c r="AQ182">
        <v>0</v>
      </c>
      <c r="AR182">
        <v>0</v>
      </c>
      <c r="AS182">
        <v>0</v>
      </c>
      <c r="AT182">
        <v>0</v>
      </c>
      <c r="AU182" s="30">
        <f t="shared" si="82"/>
        <v>37.4208</v>
      </c>
    </row>
    <row r="183" spans="1:47" x14ac:dyDescent="0.25">
      <c r="A183">
        <v>3</v>
      </c>
      <c r="B183" t="s">
        <v>16</v>
      </c>
      <c r="C183">
        <v>29056</v>
      </c>
      <c r="D183">
        <v>128</v>
      </c>
      <c r="E183">
        <v>4</v>
      </c>
      <c r="F183">
        <v>4</v>
      </c>
      <c r="G183">
        <v>466.99</v>
      </c>
      <c r="H183" s="17">
        <v>35.021999999999998</v>
      </c>
      <c r="I183" s="33">
        <v>45318</v>
      </c>
      <c r="J183" s="37">
        <v>0.62583333333333335</v>
      </c>
      <c r="K183">
        <v>0</v>
      </c>
      <c r="L183">
        <v>0</v>
      </c>
      <c r="M183">
        <v>0</v>
      </c>
      <c r="N183">
        <v>0</v>
      </c>
      <c r="O183">
        <v>0</v>
      </c>
      <c r="P183">
        <v>0</v>
      </c>
      <c r="Q183">
        <v>0</v>
      </c>
      <c r="R183">
        <v>0</v>
      </c>
      <c r="S183">
        <v>0</v>
      </c>
      <c r="T183">
        <v>0</v>
      </c>
      <c r="U183">
        <v>0</v>
      </c>
      <c r="V183">
        <v>0</v>
      </c>
      <c r="W183" s="30">
        <f t="shared" si="104"/>
        <v>35.007199999999997</v>
      </c>
      <c r="Y183">
        <v>3</v>
      </c>
      <c r="Z183" t="s">
        <v>16</v>
      </c>
      <c r="AA183">
        <v>29056</v>
      </c>
      <c r="AB183">
        <v>128</v>
      </c>
      <c r="AC183">
        <v>4</v>
      </c>
      <c r="AD183">
        <v>4</v>
      </c>
      <c r="AE183">
        <v>436.58</v>
      </c>
      <c r="AF183" s="17">
        <v>37.462000000000003</v>
      </c>
      <c r="AG183" s="33">
        <v>45315</v>
      </c>
      <c r="AH183" s="34">
        <v>0.24910879629629631</v>
      </c>
      <c r="AI183">
        <v>0</v>
      </c>
      <c r="AJ183">
        <v>0</v>
      </c>
      <c r="AK183">
        <v>0</v>
      </c>
      <c r="AL183">
        <v>0</v>
      </c>
      <c r="AM183">
        <v>0</v>
      </c>
      <c r="AN183">
        <v>0</v>
      </c>
      <c r="AO183">
        <v>0</v>
      </c>
      <c r="AP183">
        <v>0</v>
      </c>
      <c r="AQ183">
        <v>0</v>
      </c>
      <c r="AR183">
        <v>0</v>
      </c>
      <c r="AS183">
        <v>0</v>
      </c>
      <c r="AT183">
        <v>0</v>
      </c>
      <c r="AU183" s="30">
        <f t="shared" si="82"/>
        <v>37.4208</v>
      </c>
    </row>
    <row r="184" spans="1:47" x14ac:dyDescent="0.25">
      <c r="A184">
        <v>4</v>
      </c>
      <c r="B184" t="s">
        <v>16</v>
      </c>
      <c r="C184">
        <v>29056</v>
      </c>
      <c r="D184">
        <v>128</v>
      </c>
      <c r="E184">
        <v>4</v>
      </c>
      <c r="F184">
        <v>4</v>
      </c>
      <c r="G184">
        <v>466.82</v>
      </c>
      <c r="H184" s="17">
        <v>35.034999999999997</v>
      </c>
      <c r="I184" s="33">
        <v>45318</v>
      </c>
      <c r="J184" s="37">
        <v>0.88520833333333337</v>
      </c>
      <c r="K184">
        <v>0</v>
      </c>
      <c r="L184">
        <v>0</v>
      </c>
      <c r="M184">
        <v>0</v>
      </c>
      <c r="N184">
        <v>0</v>
      </c>
      <c r="O184">
        <v>0</v>
      </c>
      <c r="P184">
        <v>0</v>
      </c>
      <c r="Q184">
        <v>0</v>
      </c>
      <c r="R184">
        <v>0</v>
      </c>
      <c r="S184">
        <v>0</v>
      </c>
      <c r="T184">
        <v>0</v>
      </c>
      <c r="U184">
        <v>0</v>
      </c>
      <c r="V184">
        <v>0</v>
      </c>
      <c r="W184" s="30">
        <f t="shared" si="104"/>
        <v>35.007199999999997</v>
      </c>
      <c r="Y184">
        <v>4</v>
      </c>
      <c r="Z184" t="s">
        <v>16</v>
      </c>
      <c r="AA184">
        <v>29056</v>
      </c>
      <c r="AB184">
        <v>128</v>
      </c>
      <c r="AC184">
        <v>4</v>
      </c>
      <c r="AD184">
        <v>4</v>
      </c>
      <c r="AE184">
        <v>437.25</v>
      </c>
      <c r="AF184" s="17">
        <v>37.404000000000003</v>
      </c>
      <c r="AG184" s="33">
        <v>45318</v>
      </c>
      <c r="AH184" s="34">
        <v>0.10508101851851852</v>
      </c>
      <c r="AI184">
        <v>0</v>
      </c>
      <c r="AJ184">
        <v>0</v>
      </c>
      <c r="AK184">
        <v>0</v>
      </c>
      <c r="AL184">
        <v>0</v>
      </c>
      <c r="AM184">
        <v>0</v>
      </c>
      <c r="AN184">
        <v>0</v>
      </c>
      <c r="AO184">
        <v>0</v>
      </c>
      <c r="AP184">
        <v>0</v>
      </c>
      <c r="AQ184">
        <v>0</v>
      </c>
      <c r="AR184">
        <v>0</v>
      </c>
      <c r="AS184">
        <v>0</v>
      </c>
      <c r="AT184">
        <v>0</v>
      </c>
      <c r="AU184" s="30">
        <f t="shared" si="82"/>
        <v>37.4208</v>
      </c>
    </row>
    <row r="185" spans="1:47" x14ac:dyDescent="0.25">
      <c r="A185">
        <v>0</v>
      </c>
      <c r="B185" t="s">
        <v>16</v>
      </c>
      <c r="C185">
        <v>25920</v>
      </c>
      <c r="D185">
        <v>160</v>
      </c>
      <c r="E185">
        <v>1</v>
      </c>
      <c r="F185">
        <v>16</v>
      </c>
      <c r="G185">
        <v>332.29</v>
      </c>
      <c r="H185" s="17">
        <v>34.941000000000003</v>
      </c>
      <c r="I185" s="33">
        <v>45318</v>
      </c>
      <c r="J185" s="37">
        <v>0.8809027777777777</v>
      </c>
      <c r="K185">
        <v>0</v>
      </c>
      <c r="L185">
        <v>0</v>
      </c>
      <c r="M185">
        <v>0</v>
      </c>
      <c r="N185">
        <v>0</v>
      </c>
      <c r="O185">
        <v>0</v>
      </c>
      <c r="P185">
        <v>0</v>
      </c>
      <c r="Q185">
        <v>0</v>
      </c>
      <c r="R185">
        <v>0</v>
      </c>
      <c r="S185">
        <v>0</v>
      </c>
      <c r="T185">
        <v>0</v>
      </c>
      <c r="U185">
        <v>0</v>
      </c>
      <c r="V185">
        <v>0</v>
      </c>
      <c r="W185" s="30">
        <f t="shared" ref="W185" si="113">AVERAGE(H185:H189)</f>
        <v>34.936199999999999</v>
      </c>
      <c r="Y185">
        <v>0</v>
      </c>
      <c r="Z185" t="s">
        <v>16</v>
      </c>
      <c r="AA185">
        <v>25920</v>
      </c>
      <c r="AB185">
        <v>160</v>
      </c>
      <c r="AC185">
        <v>1</v>
      </c>
      <c r="AD185">
        <v>16</v>
      </c>
      <c r="AE185">
        <v>312.22000000000003</v>
      </c>
      <c r="AF185" s="17">
        <v>37.186999999999998</v>
      </c>
      <c r="AG185" s="33">
        <v>45314</v>
      </c>
      <c r="AH185" s="34">
        <v>0.834050925925926</v>
      </c>
      <c r="AI185">
        <v>0</v>
      </c>
      <c r="AJ185">
        <v>0</v>
      </c>
      <c r="AK185">
        <v>0</v>
      </c>
      <c r="AL185">
        <v>0</v>
      </c>
      <c r="AM185">
        <v>0</v>
      </c>
      <c r="AN185">
        <v>0</v>
      </c>
      <c r="AO185">
        <v>0</v>
      </c>
      <c r="AP185">
        <v>0</v>
      </c>
      <c r="AQ185">
        <v>0</v>
      </c>
      <c r="AR185">
        <v>0</v>
      </c>
      <c r="AS185">
        <v>0</v>
      </c>
      <c r="AT185">
        <v>0</v>
      </c>
      <c r="AU185" s="30">
        <f t="shared" ref="AU185" si="114">AVERAGE(AF185:AF189)</f>
        <v>37.193599999999989</v>
      </c>
    </row>
    <row r="186" spans="1:47" x14ac:dyDescent="0.25">
      <c r="A186">
        <v>1</v>
      </c>
      <c r="B186" t="s">
        <v>16</v>
      </c>
      <c r="C186">
        <v>25920</v>
      </c>
      <c r="D186">
        <v>160</v>
      </c>
      <c r="E186">
        <v>1</v>
      </c>
      <c r="F186">
        <v>16</v>
      </c>
      <c r="G186">
        <v>332.54</v>
      </c>
      <c r="H186" s="17">
        <v>34.914999999999999</v>
      </c>
      <c r="I186" s="33">
        <v>45318</v>
      </c>
      <c r="J186" s="37">
        <v>0.143125</v>
      </c>
      <c r="K186">
        <v>0</v>
      </c>
      <c r="L186">
        <v>0</v>
      </c>
      <c r="M186">
        <v>0</v>
      </c>
      <c r="N186">
        <v>0</v>
      </c>
      <c r="O186">
        <v>0</v>
      </c>
      <c r="P186">
        <v>0</v>
      </c>
      <c r="Q186">
        <v>0</v>
      </c>
      <c r="R186">
        <v>0</v>
      </c>
      <c r="S186">
        <v>0</v>
      </c>
      <c r="T186">
        <v>0</v>
      </c>
      <c r="U186">
        <v>0</v>
      </c>
      <c r="V186">
        <v>0</v>
      </c>
      <c r="W186" s="30">
        <f t="shared" ref="W186" si="115">W185</f>
        <v>34.936199999999999</v>
      </c>
      <c r="Y186">
        <v>1</v>
      </c>
      <c r="Z186" t="s">
        <v>16</v>
      </c>
      <c r="AA186">
        <v>25920</v>
      </c>
      <c r="AB186">
        <v>160</v>
      </c>
      <c r="AC186">
        <v>1</v>
      </c>
      <c r="AD186">
        <v>16</v>
      </c>
      <c r="AE186">
        <v>311.98</v>
      </c>
      <c r="AF186" s="17">
        <v>37.216000000000001</v>
      </c>
      <c r="AG186" s="33">
        <v>45314</v>
      </c>
      <c r="AH186" s="34">
        <v>0.97614583333333327</v>
      </c>
      <c r="AI186">
        <v>0</v>
      </c>
      <c r="AJ186">
        <v>0</v>
      </c>
      <c r="AK186">
        <v>0</v>
      </c>
      <c r="AL186">
        <v>0</v>
      </c>
      <c r="AM186">
        <v>0</v>
      </c>
      <c r="AN186">
        <v>0</v>
      </c>
      <c r="AO186">
        <v>0</v>
      </c>
      <c r="AP186">
        <v>0</v>
      </c>
      <c r="AQ186">
        <v>0</v>
      </c>
      <c r="AR186">
        <v>0</v>
      </c>
      <c r="AS186">
        <v>0</v>
      </c>
      <c r="AT186">
        <v>0</v>
      </c>
      <c r="AU186" s="30">
        <f t="shared" ref="AU186" si="116">AU185</f>
        <v>37.193599999999989</v>
      </c>
    </row>
    <row r="187" spans="1:47" x14ac:dyDescent="0.25">
      <c r="A187">
        <v>2</v>
      </c>
      <c r="B187" t="s">
        <v>16</v>
      </c>
      <c r="C187">
        <v>25920</v>
      </c>
      <c r="D187">
        <v>160</v>
      </c>
      <c r="E187">
        <v>1</v>
      </c>
      <c r="F187">
        <v>16</v>
      </c>
      <c r="G187">
        <v>332.29</v>
      </c>
      <c r="H187" s="17">
        <v>34.941000000000003</v>
      </c>
      <c r="I187" s="33">
        <v>45318</v>
      </c>
      <c r="J187" s="37">
        <v>0.24787037037037038</v>
      </c>
      <c r="K187">
        <v>0</v>
      </c>
      <c r="L187">
        <v>0</v>
      </c>
      <c r="M187">
        <v>0</v>
      </c>
      <c r="N187">
        <v>0</v>
      </c>
      <c r="O187">
        <v>0</v>
      </c>
      <c r="P187">
        <v>0</v>
      </c>
      <c r="Q187">
        <v>0</v>
      </c>
      <c r="R187">
        <v>0</v>
      </c>
      <c r="S187">
        <v>0</v>
      </c>
      <c r="T187">
        <v>0</v>
      </c>
      <c r="U187">
        <v>0</v>
      </c>
      <c r="V187">
        <v>0</v>
      </c>
      <c r="W187" s="30">
        <f t="shared" si="101"/>
        <v>34.936199999999999</v>
      </c>
      <c r="Y187">
        <v>2</v>
      </c>
      <c r="Z187" t="s">
        <v>16</v>
      </c>
      <c r="AA187">
        <v>25920</v>
      </c>
      <c r="AB187">
        <v>160</v>
      </c>
      <c r="AC187">
        <v>1</v>
      </c>
      <c r="AD187">
        <v>16</v>
      </c>
      <c r="AE187">
        <v>312.75</v>
      </c>
      <c r="AF187" s="17">
        <v>37.124000000000002</v>
      </c>
      <c r="AG187" s="33">
        <v>45318</v>
      </c>
      <c r="AH187" s="34">
        <v>0.28474537037037034</v>
      </c>
      <c r="AI187">
        <v>0</v>
      </c>
      <c r="AJ187">
        <v>0</v>
      </c>
      <c r="AK187">
        <v>0</v>
      </c>
      <c r="AL187">
        <v>0</v>
      </c>
      <c r="AM187">
        <v>0</v>
      </c>
      <c r="AN187">
        <v>0</v>
      </c>
      <c r="AO187">
        <v>0</v>
      </c>
      <c r="AP187">
        <v>0</v>
      </c>
      <c r="AQ187">
        <v>0</v>
      </c>
      <c r="AR187">
        <v>0</v>
      </c>
      <c r="AS187">
        <v>0</v>
      </c>
      <c r="AT187">
        <v>0</v>
      </c>
      <c r="AU187" s="30">
        <f t="shared" si="78"/>
        <v>37.193599999999989</v>
      </c>
    </row>
    <row r="188" spans="1:47" x14ac:dyDescent="0.25">
      <c r="A188">
        <v>3</v>
      </c>
      <c r="B188" t="s">
        <v>16</v>
      </c>
      <c r="C188">
        <v>25920</v>
      </c>
      <c r="D188">
        <v>160</v>
      </c>
      <c r="E188">
        <v>1</v>
      </c>
      <c r="F188">
        <v>16</v>
      </c>
      <c r="G188">
        <v>332.18</v>
      </c>
      <c r="H188" s="17">
        <v>34.953000000000003</v>
      </c>
      <c r="I188" s="33">
        <v>45318</v>
      </c>
      <c r="J188" s="37">
        <v>0.50717592592592597</v>
      </c>
      <c r="K188">
        <v>0</v>
      </c>
      <c r="L188">
        <v>0</v>
      </c>
      <c r="M188">
        <v>0</v>
      </c>
      <c r="N188">
        <v>0</v>
      </c>
      <c r="O188">
        <v>0</v>
      </c>
      <c r="P188">
        <v>0</v>
      </c>
      <c r="Q188">
        <v>0</v>
      </c>
      <c r="R188">
        <v>0</v>
      </c>
      <c r="S188">
        <v>0</v>
      </c>
      <c r="T188">
        <v>0</v>
      </c>
      <c r="U188">
        <v>0</v>
      </c>
      <c r="V188">
        <v>0</v>
      </c>
      <c r="W188" s="30">
        <f t="shared" si="101"/>
        <v>34.936199999999999</v>
      </c>
      <c r="Y188">
        <v>3</v>
      </c>
      <c r="Z188" t="s">
        <v>16</v>
      </c>
      <c r="AA188">
        <v>25920</v>
      </c>
      <c r="AB188">
        <v>160</v>
      </c>
      <c r="AC188">
        <v>1</v>
      </c>
      <c r="AD188">
        <v>16</v>
      </c>
      <c r="AE188">
        <v>312.07</v>
      </c>
      <c r="AF188" s="17">
        <v>37.204999999999998</v>
      </c>
      <c r="AG188" s="33">
        <v>45315</v>
      </c>
      <c r="AH188" s="34">
        <v>0.12649305555555554</v>
      </c>
      <c r="AI188">
        <v>0</v>
      </c>
      <c r="AJ188">
        <v>0</v>
      </c>
      <c r="AK188">
        <v>0</v>
      </c>
      <c r="AL188">
        <v>0</v>
      </c>
      <c r="AM188">
        <v>0</v>
      </c>
      <c r="AN188">
        <v>0</v>
      </c>
      <c r="AO188">
        <v>0</v>
      </c>
      <c r="AP188">
        <v>0</v>
      </c>
      <c r="AQ188">
        <v>0</v>
      </c>
      <c r="AR188">
        <v>0</v>
      </c>
      <c r="AS188">
        <v>0</v>
      </c>
      <c r="AT188">
        <v>0</v>
      </c>
      <c r="AU188" s="30">
        <f t="shared" si="78"/>
        <v>37.193599999999989</v>
      </c>
    </row>
    <row r="189" spans="1:47" x14ac:dyDescent="0.25">
      <c r="A189">
        <v>4</v>
      </c>
      <c r="B189" t="s">
        <v>16</v>
      </c>
      <c r="C189">
        <v>25920</v>
      </c>
      <c r="D189">
        <v>160</v>
      </c>
      <c r="E189">
        <v>1</v>
      </c>
      <c r="F189">
        <v>16</v>
      </c>
      <c r="G189">
        <v>332.38</v>
      </c>
      <c r="H189" s="17">
        <v>34.930999999999997</v>
      </c>
      <c r="I189" s="33">
        <v>45318</v>
      </c>
      <c r="J189" s="37">
        <v>0.76653935185185185</v>
      </c>
      <c r="K189">
        <v>0</v>
      </c>
      <c r="L189">
        <v>0</v>
      </c>
      <c r="M189">
        <v>0</v>
      </c>
      <c r="N189">
        <v>0</v>
      </c>
      <c r="O189">
        <v>0</v>
      </c>
      <c r="P189">
        <v>0</v>
      </c>
      <c r="Q189">
        <v>0</v>
      </c>
      <c r="R189">
        <v>0</v>
      </c>
      <c r="S189">
        <v>0</v>
      </c>
      <c r="T189">
        <v>0</v>
      </c>
      <c r="U189">
        <v>0</v>
      </c>
      <c r="V189">
        <v>0</v>
      </c>
      <c r="W189" s="30">
        <f t="shared" si="101"/>
        <v>34.936199999999999</v>
      </c>
      <c r="Y189">
        <v>4</v>
      </c>
      <c r="Z189" t="s">
        <v>16</v>
      </c>
      <c r="AA189">
        <v>25920</v>
      </c>
      <c r="AB189">
        <v>160</v>
      </c>
      <c r="AC189">
        <v>1</v>
      </c>
      <c r="AD189">
        <v>16</v>
      </c>
      <c r="AE189">
        <v>311.81</v>
      </c>
      <c r="AF189" s="17">
        <v>37.235999999999997</v>
      </c>
      <c r="AG189" s="33">
        <v>45318</v>
      </c>
      <c r="AH189" s="34">
        <v>0.2132523148148148</v>
      </c>
      <c r="AI189">
        <v>0</v>
      </c>
      <c r="AJ189">
        <v>0</v>
      </c>
      <c r="AK189">
        <v>0</v>
      </c>
      <c r="AL189">
        <v>0</v>
      </c>
      <c r="AM189">
        <v>0</v>
      </c>
      <c r="AN189">
        <v>0</v>
      </c>
      <c r="AO189">
        <v>0</v>
      </c>
      <c r="AP189">
        <v>0</v>
      </c>
      <c r="AQ189">
        <v>0</v>
      </c>
      <c r="AR189">
        <v>0</v>
      </c>
      <c r="AS189">
        <v>0</v>
      </c>
      <c r="AT189">
        <v>0</v>
      </c>
      <c r="AU189" s="30">
        <f t="shared" si="78"/>
        <v>37.193599999999989</v>
      </c>
    </row>
    <row r="190" spans="1:47" x14ac:dyDescent="0.25">
      <c r="A190">
        <v>0</v>
      </c>
      <c r="B190" t="s">
        <v>16</v>
      </c>
      <c r="C190">
        <v>27520</v>
      </c>
      <c r="D190">
        <v>160</v>
      </c>
      <c r="E190">
        <v>1</v>
      </c>
      <c r="F190">
        <v>16</v>
      </c>
      <c r="G190">
        <v>394.69</v>
      </c>
      <c r="H190" s="17">
        <v>35.207000000000001</v>
      </c>
      <c r="I190" s="33">
        <v>45318</v>
      </c>
      <c r="J190" s="37">
        <v>0.79493055555555558</v>
      </c>
      <c r="K190">
        <v>0</v>
      </c>
      <c r="L190">
        <v>0</v>
      </c>
      <c r="M190">
        <v>0</v>
      </c>
      <c r="N190">
        <v>0</v>
      </c>
      <c r="O190">
        <v>0</v>
      </c>
      <c r="P190">
        <v>0</v>
      </c>
      <c r="Q190">
        <v>0</v>
      </c>
      <c r="R190">
        <v>0</v>
      </c>
      <c r="S190">
        <v>0</v>
      </c>
      <c r="T190">
        <v>0</v>
      </c>
      <c r="U190">
        <v>0</v>
      </c>
      <c r="V190">
        <v>0</v>
      </c>
      <c r="W190" s="30">
        <f t="shared" ref="W190" si="117">AVERAGE(H190:H194)</f>
        <v>35.2102</v>
      </c>
      <c r="Y190">
        <v>0</v>
      </c>
      <c r="Z190" t="s">
        <v>16</v>
      </c>
      <c r="AA190">
        <v>27520</v>
      </c>
      <c r="AB190">
        <v>160</v>
      </c>
      <c r="AC190">
        <v>1</v>
      </c>
      <c r="AD190">
        <v>16</v>
      </c>
      <c r="AE190">
        <v>371.6</v>
      </c>
      <c r="AF190" s="17">
        <v>37.396000000000001</v>
      </c>
      <c r="AG190" s="33">
        <v>45314</v>
      </c>
      <c r="AH190" s="34">
        <v>0.74623842592592593</v>
      </c>
      <c r="AI190">
        <v>0</v>
      </c>
      <c r="AJ190">
        <v>0</v>
      </c>
      <c r="AK190">
        <v>0</v>
      </c>
      <c r="AL190">
        <v>0</v>
      </c>
      <c r="AM190">
        <v>0</v>
      </c>
      <c r="AN190">
        <v>0</v>
      </c>
      <c r="AO190">
        <v>0</v>
      </c>
      <c r="AP190">
        <v>0</v>
      </c>
      <c r="AQ190">
        <v>0</v>
      </c>
      <c r="AR190">
        <v>0</v>
      </c>
      <c r="AS190">
        <v>0</v>
      </c>
      <c r="AT190">
        <v>0</v>
      </c>
      <c r="AU190" s="30">
        <f t="shared" si="80"/>
        <v>37.431200000000004</v>
      </c>
    </row>
    <row r="191" spans="1:47" x14ac:dyDescent="0.25">
      <c r="A191">
        <v>1</v>
      </c>
      <c r="B191" t="s">
        <v>16</v>
      </c>
      <c r="C191">
        <v>27520</v>
      </c>
      <c r="D191">
        <v>160</v>
      </c>
      <c r="E191">
        <v>1</v>
      </c>
      <c r="F191">
        <v>16</v>
      </c>
      <c r="G191">
        <v>394.61</v>
      </c>
      <c r="H191" s="17">
        <v>35.213999999999999</v>
      </c>
      <c r="I191" s="33">
        <v>45318</v>
      </c>
      <c r="J191" s="37">
        <v>5.708333333333334E-2</v>
      </c>
      <c r="K191">
        <v>0</v>
      </c>
      <c r="L191">
        <v>0</v>
      </c>
      <c r="M191">
        <v>0</v>
      </c>
      <c r="N191">
        <v>0</v>
      </c>
      <c r="O191">
        <v>0</v>
      </c>
      <c r="P191">
        <v>0</v>
      </c>
      <c r="Q191">
        <v>0</v>
      </c>
      <c r="R191">
        <v>0</v>
      </c>
      <c r="S191">
        <v>0</v>
      </c>
      <c r="T191">
        <v>0</v>
      </c>
      <c r="U191">
        <v>0</v>
      </c>
      <c r="V191">
        <v>0</v>
      </c>
      <c r="W191" s="30">
        <f t="shared" ref="W191" si="118">W190</f>
        <v>35.2102</v>
      </c>
      <c r="Y191">
        <v>1</v>
      </c>
      <c r="Z191" t="s">
        <v>16</v>
      </c>
      <c r="AA191">
        <v>27520</v>
      </c>
      <c r="AB191">
        <v>160</v>
      </c>
      <c r="AC191">
        <v>1</v>
      </c>
      <c r="AD191">
        <v>16</v>
      </c>
      <c r="AE191">
        <v>371.17</v>
      </c>
      <c r="AF191" s="17">
        <v>37.438000000000002</v>
      </c>
      <c r="AG191" s="33">
        <v>45314</v>
      </c>
      <c r="AH191" s="34">
        <v>0.7492361111111111</v>
      </c>
      <c r="AI191">
        <v>0</v>
      </c>
      <c r="AJ191">
        <v>0</v>
      </c>
      <c r="AK191">
        <v>0</v>
      </c>
      <c r="AL191">
        <v>0</v>
      </c>
      <c r="AM191">
        <v>0</v>
      </c>
      <c r="AN191">
        <v>0</v>
      </c>
      <c r="AO191">
        <v>0</v>
      </c>
      <c r="AP191">
        <v>0</v>
      </c>
      <c r="AQ191">
        <v>0</v>
      </c>
      <c r="AR191">
        <v>0</v>
      </c>
      <c r="AS191">
        <v>0</v>
      </c>
      <c r="AT191">
        <v>0</v>
      </c>
      <c r="AU191" s="30">
        <f t="shared" si="82"/>
        <v>37.431200000000004</v>
      </c>
    </row>
    <row r="192" spans="1:47" x14ac:dyDescent="0.25">
      <c r="A192">
        <v>2</v>
      </c>
      <c r="B192" t="s">
        <v>16</v>
      </c>
      <c r="C192">
        <v>27520</v>
      </c>
      <c r="D192">
        <v>160</v>
      </c>
      <c r="E192">
        <v>1</v>
      </c>
      <c r="F192">
        <v>16</v>
      </c>
      <c r="G192">
        <v>394.9</v>
      </c>
      <c r="H192" s="17">
        <v>35.189</v>
      </c>
      <c r="I192" s="33">
        <v>45318</v>
      </c>
      <c r="J192" s="37">
        <v>0.16186342592592592</v>
      </c>
      <c r="K192">
        <v>0</v>
      </c>
      <c r="L192">
        <v>0</v>
      </c>
      <c r="M192">
        <v>0</v>
      </c>
      <c r="N192">
        <v>0</v>
      </c>
      <c r="O192">
        <v>0</v>
      </c>
      <c r="P192">
        <v>0</v>
      </c>
      <c r="Q192">
        <v>0</v>
      </c>
      <c r="R192">
        <v>0</v>
      </c>
      <c r="S192">
        <v>0</v>
      </c>
      <c r="T192">
        <v>0</v>
      </c>
      <c r="U192">
        <v>0</v>
      </c>
      <c r="V192">
        <v>0</v>
      </c>
      <c r="W192" s="30">
        <f t="shared" si="104"/>
        <v>35.2102</v>
      </c>
      <c r="Y192">
        <v>2</v>
      </c>
      <c r="Z192" t="s">
        <v>16</v>
      </c>
      <c r="AA192">
        <v>27520</v>
      </c>
      <c r="AB192">
        <v>160</v>
      </c>
      <c r="AC192">
        <v>1</v>
      </c>
      <c r="AD192">
        <v>16</v>
      </c>
      <c r="AE192">
        <v>371.26</v>
      </c>
      <c r="AF192" s="17">
        <v>37.429000000000002</v>
      </c>
      <c r="AG192" s="33">
        <v>45318</v>
      </c>
      <c r="AH192" s="34">
        <v>1.5740740740740741E-3</v>
      </c>
      <c r="AI192">
        <v>0</v>
      </c>
      <c r="AJ192">
        <v>0</v>
      </c>
      <c r="AK192">
        <v>0</v>
      </c>
      <c r="AL192">
        <v>0</v>
      </c>
      <c r="AM192">
        <v>0</v>
      </c>
      <c r="AN192">
        <v>0</v>
      </c>
      <c r="AO192">
        <v>0</v>
      </c>
      <c r="AP192">
        <v>0</v>
      </c>
      <c r="AQ192">
        <v>0</v>
      </c>
      <c r="AR192">
        <v>0</v>
      </c>
      <c r="AS192">
        <v>0</v>
      </c>
      <c r="AT192">
        <v>0</v>
      </c>
      <c r="AU192" s="30">
        <f t="shared" si="82"/>
        <v>37.431200000000004</v>
      </c>
    </row>
    <row r="193" spans="1:47" x14ac:dyDescent="0.25">
      <c r="A193">
        <v>3</v>
      </c>
      <c r="B193" t="s">
        <v>16</v>
      </c>
      <c r="C193">
        <v>27520</v>
      </c>
      <c r="D193">
        <v>160</v>
      </c>
      <c r="E193">
        <v>1</v>
      </c>
      <c r="F193">
        <v>16</v>
      </c>
      <c r="G193">
        <v>394.55</v>
      </c>
      <c r="H193" s="17">
        <v>35.219000000000001</v>
      </c>
      <c r="I193" s="33">
        <v>45318</v>
      </c>
      <c r="J193" s="37">
        <v>0.42115740740740742</v>
      </c>
      <c r="K193">
        <v>0</v>
      </c>
      <c r="L193">
        <v>0</v>
      </c>
      <c r="M193">
        <v>0</v>
      </c>
      <c r="N193">
        <v>0</v>
      </c>
      <c r="O193">
        <v>0</v>
      </c>
      <c r="P193">
        <v>0</v>
      </c>
      <c r="Q193">
        <v>0</v>
      </c>
      <c r="R193">
        <v>0</v>
      </c>
      <c r="S193">
        <v>0</v>
      </c>
      <c r="T193">
        <v>0</v>
      </c>
      <c r="U193">
        <v>0</v>
      </c>
      <c r="V193">
        <v>0</v>
      </c>
      <c r="W193" s="30">
        <f t="shared" si="104"/>
        <v>35.2102</v>
      </c>
      <c r="Y193">
        <v>3</v>
      </c>
      <c r="Z193" t="s">
        <v>16</v>
      </c>
      <c r="AA193">
        <v>27520</v>
      </c>
      <c r="AB193">
        <v>160</v>
      </c>
      <c r="AC193">
        <v>1</v>
      </c>
      <c r="AD193">
        <v>16</v>
      </c>
      <c r="AE193">
        <v>371.59</v>
      </c>
      <c r="AF193" s="17">
        <v>37.396000000000001</v>
      </c>
      <c r="AG193" s="33">
        <v>45315</v>
      </c>
      <c r="AH193" s="34">
        <v>3.8692129629629632E-2</v>
      </c>
      <c r="AI193">
        <v>0</v>
      </c>
      <c r="AJ193">
        <v>0</v>
      </c>
      <c r="AK193">
        <v>0</v>
      </c>
      <c r="AL193">
        <v>0</v>
      </c>
      <c r="AM193">
        <v>0</v>
      </c>
      <c r="AN193">
        <v>0</v>
      </c>
      <c r="AO193">
        <v>0</v>
      </c>
      <c r="AP193">
        <v>0</v>
      </c>
      <c r="AQ193">
        <v>0</v>
      </c>
      <c r="AR193">
        <v>0</v>
      </c>
      <c r="AS193">
        <v>0</v>
      </c>
      <c r="AT193">
        <v>0</v>
      </c>
      <c r="AU193" s="30">
        <f t="shared" si="82"/>
        <v>37.431200000000004</v>
      </c>
    </row>
    <row r="194" spans="1:47" x14ac:dyDescent="0.25">
      <c r="A194">
        <v>4</v>
      </c>
      <c r="B194" t="s">
        <v>16</v>
      </c>
      <c r="C194">
        <v>27520</v>
      </c>
      <c r="D194">
        <v>160</v>
      </c>
      <c r="E194">
        <v>1</v>
      </c>
      <c r="F194">
        <v>16</v>
      </c>
      <c r="G194">
        <v>394.53</v>
      </c>
      <c r="H194" s="17">
        <v>35.222000000000001</v>
      </c>
      <c r="I194" s="33">
        <v>45318</v>
      </c>
      <c r="J194" s="37">
        <v>0.68049768518518527</v>
      </c>
      <c r="K194">
        <v>0</v>
      </c>
      <c r="L194">
        <v>0</v>
      </c>
      <c r="M194">
        <v>0</v>
      </c>
      <c r="N194">
        <v>0</v>
      </c>
      <c r="O194">
        <v>0</v>
      </c>
      <c r="P194">
        <v>0</v>
      </c>
      <c r="Q194">
        <v>0</v>
      </c>
      <c r="R194">
        <v>0</v>
      </c>
      <c r="S194">
        <v>0</v>
      </c>
      <c r="T194">
        <v>0</v>
      </c>
      <c r="U194">
        <v>0</v>
      </c>
      <c r="V194">
        <v>0</v>
      </c>
      <c r="W194" s="30">
        <f t="shared" si="104"/>
        <v>35.2102</v>
      </c>
      <c r="Y194">
        <v>4</v>
      </c>
      <c r="Z194" t="s">
        <v>16</v>
      </c>
      <c r="AA194">
        <v>27520</v>
      </c>
      <c r="AB194">
        <v>160</v>
      </c>
      <c r="AC194">
        <v>1</v>
      </c>
      <c r="AD194">
        <v>16</v>
      </c>
      <c r="AE194">
        <v>370.59</v>
      </c>
      <c r="AF194" s="17">
        <v>37.497</v>
      </c>
      <c r="AG194" s="33">
        <v>45318</v>
      </c>
      <c r="AH194" s="34">
        <v>0.3580787037037037</v>
      </c>
      <c r="AI194">
        <v>0</v>
      </c>
      <c r="AJ194">
        <v>0</v>
      </c>
      <c r="AK194">
        <v>0</v>
      </c>
      <c r="AL194">
        <v>0</v>
      </c>
      <c r="AM194">
        <v>0</v>
      </c>
      <c r="AN194">
        <v>0</v>
      </c>
      <c r="AO194">
        <v>0</v>
      </c>
      <c r="AP194">
        <v>0</v>
      </c>
      <c r="AQ194">
        <v>0</v>
      </c>
      <c r="AR194">
        <v>0</v>
      </c>
      <c r="AS194">
        <v>0</v>
      </c>
      <c r="AT194">
        <v>0</v>
      </c>
      <c r="AU194" s="30">
        <f t="shared" si="82"/>
        <v>37.431200000000004</v>
      </c>
    </row>
    <row r="195" spans="1:47" x14ac:dyDescent="0.25">
      <c r="A195">
        <v>0</v>
      </c>
      <c r="B195" t="s">
        <v>16</v>
      </c>
      <c r="C195">
        <v>28960</v>
      </c>
      <c r="D195">
        <v>160</v>
      </c>
      <c r="E195">
        <v>1</v>
      </c>
      <c r="F195">
        <v>16</v>
      </c>
      <c r="G195">
        <v>457.56</v>
      </c>
      <c r="H195" s="17">
        <v>35.390999999999998</v>
      </c>
      <c r="I195" s="33">
        <v>45318</v>
      </c>
      <c r="J195" s="37">
        <v>0.95592592592592596</v>
      </c>
      <c r="K195">
        <v>0</v>
      </c>
      <c r="L195">
        <v>0</v>
      </c>
      <c r="M195">
        <v>0</v>
      </c>
      <c r="N195">
        <v>0</v>
      </c>
      <c r="O195">
        <v>0</v>
      </c>
      <c r="P195">
        <v>0</v>
      </c>
      <c r="Q195">
        <v>0</v>
      </c>
      <c r="R195">
        <v>0</v>
      </c>
      <c r="S195">
        <v>0</v>
      </c>
      <c r="T195">
        <v>0</v>
      </c>
      <c r="U195">
        <v>0</v>
      </c>
      <c r="V195">
        <v>0</v>
      </c>
      <c r="W195" s="30">
        <f t="shared" ref="W195" si="119">AVERAGE(H195:H199)</f>
        <v>35.655200000000001</v>
      </c>
      <c r="Y195">
        <v>0</v>
      </c>
      <c r="Z195" t="s">
        <v>16</v>
      </c>
      <c r="AA195">
        <v>28960</v>
      </c>
      <c r="AB195">
        <v>160</v>
      </c>
      <c r="AC195">
        <v>1</v>
      </c>
      <c r="AD195">
        <v>16</v>
      </c>
      <c r="AE195">
        <v>434.57</v>
      </c>
      <c r="AF195" s="17">
        <v>37.262999999999998</v>
      </c>
      <c r="AG195" s="33">
        <v>45314</v>
      </c>
      <c r="AH195" s="34">
        <v>0.78736111111111118</v>
      </c>
      <c r="AI195">
        <v>0</v>
      </c>
      <c r="AJ195">
        <v>0</v>
      </c>
      <c r="AK195">
        <v>0</v>
      </c>
      <c r="AL195">
        <v>0</v>
      </c>
      <c r="AM195">
        <v>0</v>
      </c>
      <c r="AN195">
        <v>0</v>
      </c>
      <c r="AO195">
        <v>0</v>
      </c>
      <c r="AP195">
        <v>0</v>
      </c>
      <c r="AQ195">
        <v>0</v>
      </c>
      <c r="AR195">
        <v>0</v>
      </c>
      <c r="AS195">
        <v>0</v>
      </c>
      <c r="AT195">
        <v>0</v>
      </c>
      <c r="AU195" s="30">
        <f t="shared" si="84"/>
        <v>37.611800000000002</v>
      </c>
    </row>
    <row r="196" spans="1:47" x14ac:dyDescent="0.25">
      <c r="A196">
        <v>1</v>
      </c>
      <c r="B196" t="s">
        <v>16</v>
      </c>
      <c r="C196">
        <v>28960</v>
      </c>
      <c r="D196">
        <v>160</v>
      </c>
      <c r="E196">
        <v>1</v>
      </c>
      <c r="F196">
        <v>16</v>
      </c>
      <c r="G196">
        <v>454.95</v>
      </c>
      <c r="H196" s="17">
        <v>35.593000000000004</v>
      </c>
      <c r="I196" s="33">
        <v>45318</v>
      </c>
      <c r="J196" s="37">
        <v>6.3344907407407405E-2</v>
      </c>
      <c r="K196">
        <v>0</v>
      </c>
      <c r="L196">
        <v>0</v>
      </c>
      <c r="M196">
        <v>0</v>
      </c>
      <c r="N196">
        <v>0</v>
      </c>
      <c r="O196">
        <v>0</v>
      </c>
      <c r="P196">
        <v>0</v>
      </c>
      <c r="Q196">
        <v>0</v>
      </c>
      <c r="R196">
        <v>0</v>
      </c>
      <c r="S196">
        <v>0</v>
      </c>
      <c r="T196">
        <v>0</v>
      </c>
      <c r="U196">
        <v>0</v>
      </c>
      <c r="V196">
        <v>0</v>
      </c>
      <c r="W196" s="30">
        <f t="shared" ref="W196" si="120">W195</f>
        <v>35.655200000000001</v>
      </c>
      <c r="Y196">
        <v>1</v>
      </c>
      <c r="Z196" t="s">
        <v>16</v>
      </c>
      <c r="AA196">
        <v>28960</v>
      </c>
      <c r="AB196">
        <v>160</v>
      </c>
      <c r="AC196">
        <v>1</v>
      </c>
      <c r="AD196">
        <v>16</v>
      </c>
      <c r="AE196">
        <v>433.11</v>
      </c>
      <c r="AF196" s="17">
        <v>37.387999999999998</v>
      </c>
      <c r="AG196" s="33">
        <v>45314</v>
      </c>
      <c r="AH196" s="34">
        <v>0.75788194444444434</v>
      </c>
      <c r="AI196">
        <v>0</v>
      </c>
      <c r="AJ196">
        <v>0</v>
      </c>
      <c r="AK196">
        <v>0</v>
      </c>
      <c r="AL196">
        <v>0</v>
      </c>
      <c r="AM196">
        <v>0</v>
      </c>
      <c r="AN196">
        <v>0</v>
      </c>
      <c r="AO196">
        <v>0</v>
      </c>
      <c r="AP196">
        <v>0</v>
      </c>
      <c r="AQ196">
        <v>0</v>
      </c>
      <c r="AR196">
        <v>0</v>
      </c>
      <c r="AS196">
        <v>0</v>
      </c>
      <c r="AT196">
        <v>0</v>
      </c>
      <c r="AU196" s="30">
        <f t="shared" si="86"/>
        <v>37.611800000000002</v>
      </c>
    </row>
    <row r="197" spans="1:47" x14ac:dyDescent="0.25">
      <c r="A197">
        <v>2</v>
      </c>
      <c r="B197" t="s">
        <v>16</v>
      </c>
      <c r="C197">
        <v>28960</v>
      </c>
      <c r="D197">
        <v>160</v>
      </c>
      <c r="E197">
        <v>1</v>
      </c>
      <c r="F197">
        <v>16</v>
      </c>
      <c r="G197">
        <v>452.59</v>
      </c>
      <c r="H197" s="17">
        <v>35.779000000000003</v>
      </c>
      <c r="I197" s="33">
        <v>45318</v>
      </c>
      <c r="J197" s="37">
        <v>0.32276620370370374</v>
      </c>
      <c r="K197">
        <v>0</v>
      </c>
      <c r="L197">
        <v>0</v>
      </c>
      <c r="M197">
        <v>0</v>
      </c>
      <c r="N197">
        <v>0</v>
      </c>
      <c r="O197">
        <v>0</v>
      </c>
      <c r="P197">
        <v>0</v>
      </c>
      <c r="Q197">
        <v>0</v>
      </c>
      <c r="R197">
        <v>0</v>
      </c>
      <c r="S197">
        <v>0</v>
      </c>
      <c r="T197">
        <v>0</v>
      </c>
      <c r="U197">
        <v>0</v>
      </c>
      <c r="V197">
        <v>0</v>
      </c>
      <c r="W197" s="30">
        <f t="shared" si="101"/>
        <v>35.655200000000001</v>
      </c>
      <c r="Y197">
        <v>2</v>
      </c>
      <c r="Z197" t="s">
        <v>16</v>
      </c>
      <c r="AA197">
        <v>28960</v>
      </c>
      <c r="AB197">
        <v>160</v>
      </c>
      <c r="AC197">
        <v>1</v>
      </c>
      <c r="AD197">
        <v>16</v>
      </c>
      <c r="AE197">
        <v>435.06</v>
      </c>
      <c r="AF197" s="17">
        <v>37.220999999999997</v>
      </c>
      <c r="AG197" s="33">
        <v>45318</v>
      </c>
      <c r="AH197" s="34">
        <v>7.2662037037037039E-2</v>
      </c>
      <c r="AI197">
        <v>0</v>
      </c>
      <c r="AJ197">
        <v>0</v>
      </c>
      <c r="AK197">
        <v>0</v>
      </c>
      <c r="AL197">
        <v>0</v>
      </c>
      <c r="AM197">
        <v>0</v>
      </c>
      <c r="AN197">
        <v>0</v>
      </c>
      <c r="AO197">
        <v>0</v>
      </c>
      <c r="AP197">
        <v>0</v>
      </c>
      <c r="AQ197">
        <v>0</v>
      </c>
      <c r="AR197">
        <v>0</v>
      </c>
      <c r="AS197">
        <v>0</v>
      </c>
      <c r="AT197">
        <v>0</v>
      </c>
      <c r="AU197" s="30">
        <f t="shared" si="86"/>
        <v>37.611800000000002</v>
      </c>
    </row>
    <row r="198" spans="1:47" x14ac:dyDescent="0.25">
      <c r="A198">
        <v>3</v>
      </c>
      <c r="B198" t="s">
        <v>16</v>
      </c>
      <c r="C198">
        <v>28960</v>
      </c>
      <c r="D198">
        <v>160</v>
      </c>
      <c r="E198">
        <v>1</v>
      </c>
      <c r="F198">
        <v>16</v>
      </c>
      <c r="G198">
        <v>452.6</v>
      </c>
      <c r="H198" s="17">
        <v>35.777999999999999</v>
      </c>
      <c r="I198" s="33">
        <v>45318</v>
      </c>
      <c r="J198" s="37">
        <v>0.58207175925925925</v>
      </c>
      <c r="K198">
        <v>0</v>
      </c>
      <c r="L198">
        <v>0</v>
      </c>
      <c r="M198">
        <v>0</v>
      </c>
      <c r="N198">
        <v>0</v>
      </c>
      <c r="O198">
        <v>0</v>
      </c>
      <c r="P198">
        <v>0</v>
      </c>
      <c r="Q198">
        <v>0</v>
      </c>
      <c r="R198">
        <v>0</v>
      </c>
      <c r="S198">
        <v>0</v>
      </c>
      <c r="T198">
        <v>0</v>
      </c>
      <c r="U198">
        <v>0</v>
      </c>
      <c r="V198">
        <v>0</v>
      </c>
      <c r="W198" s="30">
        <f t="shared" si="101"/>
        <v>35.655200000000001</v>
      </c>
      <c r="Y198">
        <v>3</v>
      </c>
      <c r="Z198" t="s">
        <v>16</v>
      </c>
      <c r="AA198">
        <v>28960</v>
      </c>
      <c r="AB198">
        <v>160</v>
      </c>
      <c r="AC198">
        <v>1</v>
      </c>
      <c r="AD198">
        <v>16</v>
      </c>
      <c r="AE198">
        <v>425.31</v>
      </c>
      <c r="AF198" s="17">
        <v>38.075000000000003</v>
      </c>
      <c r="AG198" s="33">
        <v>45318</v>
      </c>
      <c r="AH198" s="34">
        <v>0.14053240740740741</v>
      </c>
      <c r="AI198">
        <v>0</v>
      </c>
      <c r="AJ198">
        <v>0</v>
      </c>
      <c r="AK198">
        <v>0</v>
      </c>
      <c r="AL198">
        <v>0</v>
      </c>
      <c r="AM198">
        <v>0</v>
      </c>
      <c r="AN198">
        <v>0</v>
      </c>
      <c r="AO198">
        <v>0</v>
      </c>
      <c r="AP198">
        <v>0</v>
      </c>
      <c r="AQ198">
        <v>0</v>
      </c>
      <c r="AR198">
        <v>0</v>
      </c>
      <c r="AS198">
        <v>0</v>
      </c>
      <c r="AT198">
        <v>0</v>
      </c>
      <c r="AU198" s="30">
        <f t="shared" si="86"/>
        <v>37.611800000000002</v>
      </c>
    </row>
    <row r="199" spans="1:47" x14ac:dyDescent="0.25">
      <c r="A199">
        <v>4</v>
      </c>
      <c r="B199" t="s">
        <v>16</v>
      </c>
      <c r="C199">
        <v>28960</v>
      </c>
      <c r="D199">
        <v>160</v>
      </c>
      <c r="E199">
        <v>1</v>
      </c>
      <c r="F199">
        <v>16</v>
      </c>
      <c r="G199">
        <v>453.15</v>
      </c>
      <c r="H199" s="17">
        <v>35.734999999999999</v>
      </c>
      <c r="I199" s="33">
        <v>45318</v>
      </c>
      <c r="J199" s="37">
        <v>0.84144675925925927</v>
      </c>
      <c r="K199">
        <v>0</v>
      </c>
      <c r="L199">
        <v>0</v>
      </c>
      <c r="M199">
        <v>0</v>
      </c>
      <c r="N199">
        <v>0</v>
      </c>
      <c r="O199">
        <v>0</v>
      </c>
      <c r="P199">
        <v>0</v>
      </c>
      <c r="Q199">
        <v>0</v>
      </c>
      <c r="R199">
        <v>0</v>
      </c>
      <c r="S199">
        <v>0</v>
      </c>
      <c r="T199">
        <v>0</v>
      </c>
      <c r="U199">
        <v>0</v>
      </c>
      <c r="V199">
        <v>0</v>
      </c>
      <c r="W199" s="30">
        <f t="shared" si="101"/>
        <v>35.655200000000001</v>
      </c>
      <c r="Y199">
        <v>4</v>
      </c>
      <c r="Z199" t="s">
        <v>16</v>
      </c>
      <c r="AA199">
        <v>28960</v>
      </c>
      <c r="AB199">
        <v>160</v>
      </c>
      <c r="AC199">
        <v>1</v>
      </c>
      <c r="AD199">
        <v>16</v>
      </c>
      <c r="AE199">
        <v>424.89</v>
      </c>
      <c r="AF199" s="17">
        <v>38.112000000000002</v>
      </c>
      <c r="AG199" s="33">
        <v>45318</v>
      </c>
      <c r="AH199" s="34">
        <v>0.38747685185185188</v>
      </c>
      <c r="AI199">
        <v>0</v>
      </c>
      <c r="AJ199">
        <v>0</v>
      </c>
      <c r="AK199">
        <v>0</v>
      </c>
      <c r="AL199">
        <v>0</v>
      </c>
      <c r="AM199">
        <v>0</v>
      </c>
      <c r="AN199">
        <v>0</v>
      </c>
      <c r="AO199">
        <v>0</v>
      </c>
      <c r="AP199">
        <v>0</v>
      </c>
      <c r="AQ199">
        <v>0</v>
      </c>
      <c r="AR199">
        <v>0</v>
      </c>
      <c r="AS199">
        <v>0</v>
      </c>
      <c r="AT199">
        <v>333</v>
      </c>
      <c r="AU199" s="30">
        <f t="shared" si="86"/>
        <v>37.611800000000002</v>
      </c>
    </row>
    <row r="200" spans="1:47" x14ac:dyDescent="0.25">
      <c r="A200">
        <v>0</v>
      </c>
      <c r="B200" t="s">
        <v>16</v>
      </c>
      <c r="C200">
        <v>25920</v>
      </c>
      <c r="D200">
        <v>160</v>
      </c>
      <c r="E200">
        <v>2</v>
      </c>
      <c r="F200">
        <v>8</v>
      </c>
      <c r="G200">
        <v>315.56</v>
      </c>
      <c r="H200" s="17">
        <v>36.792999999999999</v>
      </c>
      <c r="I200" s="33">
        <v>45318</v>
      </c>
      <c r="J200" s="37">
        <v>0.88474537037037038</v>
      </c>
      <c r="K200">
        <v>0</v>
      </c>
      <c r="L200">
        <v>0</v>
      </c>
      <c r="M200">
        <v>0</v>
      </c>
      <c r="N200">
        <v>0</v>
      </c>
      <c r="O200">
        <v>0</v>
      </c>
      <c r="P200">
        <v>0</v>
      </c>
      <c r="Q200">
        <v>0</v>
      </c>
      <c r="R200">
        <v>0</v>
      </c>
      <c r="S200">
        <v>0</v>
      </c>
      <c r="T200">
        <v>0</v>
      </c>
      <c r="U200">
        <v>0</v>
      </c>
      <c r="V200">
        <v>0</v>
      </c>
      <c r="W200" s="30">
        <f t="shared" ref="W200" si="121">AVERAGE(H200:H204)</f>
        <v>36.776600000000002</v>
      </c>
      <c r="Y200">
        <v>0</v>
      </c>
      <c r="Z200" t="s">
        <v>16</v>
      </c>
      <c r="AA200">
        <v>25920</v>
      </c>
      <c r="AB200">
        <v>160</v>
      </c>
      <c r="AC200">
        <v>2</v>
      </c>
      <c r="AD200">
        <v>8</v>
      </c>
      <c r="AE200">
        <v>297.82</v>
      </c>
      <c r="AF200" s="17">
        <v>38.984000000000002</v>
      </c>
      <c r="AG200" s="33">
        <v>45314</v>
      </c>
      <c r="AH200" s="34">
        <v>0.83810185185185182</v>
      </c>
      <c r="AI200">
        <v>0</v>
      </c>
      <c r="AJ200">
        <v>0</v>
      </c>
      <c r="AK200">
        <v>0</v>
      </c>
      <c r="AL200">
        <v>0</v>
      </c>
      <c r="AM200">
        <v>0</v>
      </c>
      <c r="AN200">
        <v>0</v>
      </c>
      <c r="AO200">
        <v>0</v>
      </c>
      <c r="AP200">
        <v>0</v>
      </c>
      <c r="AQ200">
        <v>0</v>
      </c>
      <c r="AR200">
        <v>0</v>
      </c>
      <c r="AS200">
        <v>0</v>
      </c>
      <c r="AT200">
        <v>0</v>
      </c>
      <c r="AU200" s="30">
        <f t="shared" si="88"/>
        <v>38.984200000000001</v>
      </c>
    </row>
    <row r="201" spans="1:47" x14ac:dyDescent="0.25">
      <c r="A201">
        <v>1</v>
      </c>
      <c r="B201" t="s">
        <v>16</v>
      </c>
      <c r="C201">
        <v>25920</v>
      </c>
      <c r="D201">
        <v>160</v>
      </c>
      <c r="E201">
        <v>2</v>
      </c>
      <c r="F201">
        <v>8</v>
      </c>
      <c r="G201">
        <v>315.8</v>
      </c>
      <c r="H201" s="17">
        <v>36.765000000000001</v>
      </c>
      <c r="I201" s="33">
        <v>45318</v>
      </c>
      <c r="J201" s="37">
        <v>0.14696759259259259</v>
      </c>
      <c r="K201">
        <v>0</v>
      </c>
      <c r="L201">
        <v>0</v>
      </c>
      <c r="M201">
        <v>0</v>
      </c>
      <c r="N201">
        <v>0</v>
      </c>
      <c r="O201">
        <v>0</v>
      </c>
      <c r="P201">
        <v>0</v>
      </c>
      <c r="Q201">
        <v>0</v>
      </c>
      <c r="R201">
        <v>0</v>
      </c>
      <c r="S201">
        <v>0</v>
      </c>
      <c r="T201">
        <v>0</v>
      </c>
      <c r="U201">
        <v>0</v>
      </c>
      <c r="V201">
        <v>0</v>
      </c>
      <c r="W201" s="30">
        <f t="shared" ref="W201" si="122">W200</f>
        <v>36.776600000000002</v>
      </c>
      <c r="Y201">
        <v>1</v>
      </c>
      <c r="Z201" t="s">
        <v>16</v>
      </c>
      <c r="AA201">
        <v>25920</v>
      </c>
      <c r="AB201">
        <v>160</v>
      </c>
      <c r="AC201">
        <v>2</v>
      </c>
      <c r="AD201">
        <v>8</v>
      </c>
      <c r="AE201">
        <v>297.93</v>
      </c>
      <c r="AF201" s="17">
        <v>38.97</v>
      </c>
      <c r="AG201" s="33">
        <v>45314</v>
      </c>
      <c r="AH201" s="34">
        <v>0.98019675925925931</v>
      </c>
      <c r="AI201">
        <v>0</v>
      </c>
      <c r="AJ201">
        <v>0</v>
      </c>
      <c r="AK201">
        <v>0</v>
      </c>
      <c r="AL201">
        <v>0</v>
      </c>
      <c r="AM201">
        <v>0</v>
      </c>
      <c r="AN201">
        <v>0</v>
      </c>
      <c r="AO201">
        <v>0</v>
      </c>
      <c r="AP201">
        <v>0</v>
      </c>
      <c r="AQ201">
        <v>0</v>
      </c>
      <c r="AR201">
        <v>0</v>
      </c>
      <c r="AS201">
        <v>0</v>
      </c>
      <c r="AT201">
        <v>0</v>
      </c>
      <c r="AU201" s="30">
        <f t="shared" si="90"/>
        <v>38.984200000000001</v>
      </c>
    </row>
    <row r="202" spans="1:47" x14ac:dyDescent="0.25">
      <c r="A202">
        <v>2</v>
      </c>
      <c r="B202" t="s">
        <v>16</v>
      </c>
      <c r="C202">
        <v>25920</v>
      </c>
      <c r="D202">
        <v>160</v>
      </c>
      <c r="E202">
        <v>2</v>
      </c>
      <c r="F202">
        <v>8</v>
      </c>
      <c r="G202">
        <v>315.77</v>
      </c>
      <c r="H202" s="17">
        <v>36.768999999999998</v>
      </c>
      <c r="I202" s="33">
        <v>45318</v>
      </c>
      <c r="J202" s="37">
        <v>0.25171296296296297</v>
      </c>
      <c r="K202">
        <v>0</v>
      </c>
      <c r="L202">
        <v>0</v>
      </c>
      <c r="M202">
        <v>0</v>
      </c>
      <c r="N202">
        <v>0</v>
      </c>
      <c r="O202">
        <v>0</v>
      </c>
      <c r="P202">
        <v>0</v>
      </c>
      <c r="Q202">
        <v>0</v>
      </c>
      <c r="R202">
        <v>0</v>
      </c>
      <c r="S202">
        <v>0</v>
      </c>
      <c r="T202">
        <v>0</v>
      </c>
      <c r="U202">
        <v>0</v>
      </c>
      <c r="V202">
        <v>0</v>
      </c>
      <c r="W202" s="30">
        <f t="shared" si="104"/>
        <v>36.776600000000002</v>
      </c>
      <c r="Y202">
        <v>2</v>
      </c>
      <c r="Z202" t="s">
        <v>16</v>
      </c>
      <c r="AA202">
        <v>25920</v>
      </c>
      <c r="AB202">
        <v>160</v>
      </c>
      <c r="AC202">
        <v>2</v>
      </c>
      <c r="AD202">
        <v>8</v>
      </c>
      <c r="AE202">
        <v>297.95999999999998</v>
      </c>
      <c r="AF202" s="17">
        <v>38.966999999999999</v>
      </c>
      <c r="AG202" s="33">
        <v>45318</v>
      </c>
      <c r="AH202" s="34">
        <v>2.4537037037037038E-2</v>
      </c>
      <c r="AI202">
        <v>0</v>
      </c>
      <c r="AJ202">
        <v>0</v>
      </c>
      <c r="AK202">
        <v>0</v>
      </c>
      <c r="AL202">
        <v>0</v>
      </c>
      <c r="AM202">
        <v>0</v>
      </c>
      <c r="AN202">
        <v>0</v>
      </c>
      <c r="AO202">
        <v>0</v>
      </c>
      <c r="AP202">
        <v>0</v>
      </c>
      <c r="AQ202">
        <v>0</v>
      </c>
      <c r="AR202">
        <v>0</v>
      </c>
      <c r="AS202">
        <v>0</v>
      </c>
      <c r="AT202">
        <v>0</v>
      </c>
      <c r="AU202" s="30">
        <f t="shared" si="90"/>
        <v>38.984200000000001</v>
      </c>
    </row>
    <row r="203" spans="1:47" x14ac:dyDescent="0.25">
      <c r="A203">
        <v>3</v>
      </c>
      <c r="B203" t="s">
        <v>16</v>
      </c>
      <c r="C203">
        <v>25920</v>
      </c>
      <c r="D203">
        <v>160</v>
      </c>
      <c r="E203">
        <v>2</v>
      </c>
      <c r="F203">
        <v>8</v>
      </c>
      <c r="G203">
        <v>315.67</v>
      </c>
      <c r="H203" s="17">
        <v>36.78</v>
      </c>
      <c r="I203" s="33">
        <v>45318</v>
      </c>
      <c r="J203" s="37">
        <v>0.51101851851851854</v>
      </c>
      <c r="K203">
        <v>0</v>
      </c>
      <c r="L203">
        <v>0</v>
      </c>
      <c r="M203">
        <v>0</v>
      </c>
      <c r="N203">
        <v>0</v>
      </c>
      <c r="O203">
        <v>0</v>
      </c>
      <c r="P203">
        <v>0</v>
      </c>
      <c r="Q203">
        <v>0</v>
      </c>
      <c r="R203">
        <v>0</v>
      </c>
      <c r="S203">
        <v>0</v>
      </c>
      <c r="T203">
        <v>0</v>
      </c>
      <c r="U203">
        <v>0</v>
      </c>
      <c r="V203">
        <v>0</v>
      </c>
      <c r="W203" s="30">
        <f t="shared" si="104"/>
        <v>36.776600000000002</v>
      </c>
      <c r="Y203">
        <v>3</v>
      </c>
      <c r="Z203" t="s">
        <v>16</v>
      </c>
      <c r="AA203">
        <v>25920</v>
      </c>
      <c r="AB203">
        <v>160</v>
      </c>
      <c r="AC203">
        <v>2</v>
      </c>
      <c r="AD203">
        <v>8</v>
      </c>
      <c r="AE203">
        <v>297.74</v>
      </c>
      <c r="AF203" s="17">
        <v>38.996000000000002</v>
      </c>
      <c r="AG203" s="33">
        <v>45315</v>
      </c>
      <c r="AH203" s="34">
        <v>0.13054398148148147</v>
      </c>
      <c r="AI203">
        <v>0</v>
      </c>
      <c r="AJ203">
        <v>0</v>
      </c>
      <c r="AK203">
        <v>0</v>
      </c>
      <c r="AL203">
        <v>0</v>
      </c>
      <c r="AM203">
        <v>0</v>
      </c>
      <c r="AN203">
        <v>0</v>
      </c>
      <c r="AO203">
        <v>0</v>
      </c>
      <c r="AP203">
        <v>0</v>
      </c>
      <c r="AQ203">
        <v>0</v>
      </c>
      <c r="AR203">
        <v>0</v>
      </c>
      <c r="AS203">
        <v>0</v>
      </c>
      <c r="AT203">
        <v>0</v>
      </c>
      <c r="AU203" s="30">
        <f t="shared" si="90"/>
        <v>38.984200000000001</v>
      </c>
    </row>
    <row r="204" spans="1:47" x14ac:dyDescent="0.25">
      <c r="A204">
        <v>4</v>
      </c>
      <c r="B204" t="s">
        <v>16</v>
      </c>
      <c r="C204">
        <v>25920</v>
      </c>
      <c r="D204">
        <v>160</v>
      </c>
      <c r="E204">
        <v>2</v>
      </c>
      <c r="F204">
        <v>8</v>
      </c>
      <c r="G204">
        <v>315.70999999999998</v>
      </c>
      <c r="H204" s="17">
        <v>36.776000000000003</v>
      </c>
      <c r="I204" s="33">
        <v>45318</v>
      </c>
      <c r="J204" s="37">
        <v>0.77038194444444441</v>
      </c>
      <c r="K204">
        <v>0</v>
      </c>
      <c r="L204">
        <v>0</v>
      </c>
      <c r="M204">
        <v>0</v>
      </c>
      <c r="N204">
        <v>0</v>
      </c>
      <c r="O204">
        <v>0</v>
      </c>
      <c r="P204">
        <v>0</v>
      </c>
      <c r="Q204">
        <v>0</v>
      </c>
      <c r="R204">
        <v>0</v>
      </c>
      <c r="S204">
        <v>0</v>
      </c>
      <c r="T204">
        <v>0</v>
      </c>
      <c r="U204">
        <v>0</v>
      </c>
      <c r="V204">
        <v>0</v>
      </c>
      <c r="W204" s="30">
        <f t="shared" si="104"/>
        <v>36.776600000000002</v>
      </c>
      <c r="Y204">
        <v>4</v>
      </c>
      <c r="Z204" t="s">
        <v>16</v>
      </c>
      <c r="AA204">
        <v>25920</v>
      </c>
      <c r="AB204">
        <v>160</v>
      </c>
      <c r="AC204">
        <v>2</v>
      </c>
      <c r="AD204">
        <v>8</v>
      </c>
      <c r="AE204">
        <v>297.68</v>
      </c>
      <c r="AF204" s="17">
        <v>39.003999999999998</v>
      </c>
      <c r="AG204" s="33">
        <v>45318</v>
      </c>
      <c r="AH204" s="34">
        <v>0.21730324074074073</v>
      </c>
      <c r="AI204">
        <v>0</v>
      </c>
      <c r="AJ204">
        <v>0</v>
      </c>
      <c r="AK204">
        <v>0</v>
      </c>
      <c r="AL204">
        <v>0</v>
      </c>
      <c r="AM204">
        <v>0</v>
      </c>
      <c r="AN204">
        <v>0</v>
      </c>
      <c r="AO204">
        <v>0</v>
      </c>
      <c r="AP204">
        <v>0</v>
      </c>
      <c r="AQ204">
        <v>0</v>
      </c>
      <c r="AR204">
        <v>0</v>
      </c>
      <c r="AS204">
        <v>0</v>
      </c>
      <c r="AT204">
        <v>0</v>
      </c>
      <c r="AU204" s="30">
        <f t="shared" si="90"/>
        <v>38.984200000000001</v>
      </c>
    </row>
    <row r="205" spans="1:47" x14ac:dyDescent="0.25">
      <c r="A205">
        <v>0</v>
      </c>
      <c r="B205" t="s">
        <v>16</v>
      </c>
      <c r="C205">
        <v>27520</v>
      </c>
      <c r="D205">
        <v>160</v>
      </c>
      <c r="E205">
        <v>2</v>
      </c>
      <c r="F205">
        <v>8</v>
      </c>
      <c r="G205">
        <v>373.51</v>
      </c>
      <c r="H205" s="17">
        <v>37.203000000000003</v>
      </c>
      <c r="I205" s="33">
        <v>45318</v>
      </c>
      <c r="J205" s="37">
        <v>0.79945601851851855</v>
      </c>
      <c r="K205">
        <v>0</v>
      </c>
      <c r="L205">
        <v>0</v>
      </c>
      <c r="M205">
        <v>0</v>
      </c>
      <c r="N205">
        <v>0</v>
      </c>
      <c r="O205">
        <v>0</v>
      </c>
      <c r="P205">
        <v>0</v>
      </c>
      <c r="Q205">
        <v>0</v>
      </c>
      <c r="R205">
        <v>0</v>
      </c>
      <c r="S205">
        <v>0</v>
      </c>
      <c r="T205">
        <v>0</v>
      </c>
      <c r="U205">
        <v>0</v>
      </c>
      <c r="V205">
        <v>0</v>
      </c>
      <c r="W205" s="30">
        <f t="shared" ref="W205" si="123">AVERAGE(H205:H209)</f>
        <v>37.213000000000001</v>
      </c>
      <c r="Y205">
        <v>0</v>
      </c>
      <c r="Z205" t="s">
        <v>16</v>
      </c>
      <c r="AA205">
        <v>27520</v>
      </c>
      <c r="AB205">
        <v>160</v>
      </c>
      <c r="AC205">
        <v>2</v>
      </c>
      <c r="AD205">
        <v>8</v>
      </c>
      <c r="AE205">
        <v>351.79</v>
      </c>
      <c r="AF205" s="17">
        <v>39.500999999999998</v>
      </c>
      <c r="AG205" s="33">
        <v>45314</v>
      </c>
      <c r="AH205" s="34">
        <v>0.75097222222222226</v>
      </c>
      <c r="AI205">
        <v>0</v>
      </c>
      <c r="AJ205">
        <v>0</v>
      </c>
      <c r="AK205">
        <v>0</v>
      </c>
      <c r="AL205">
        <v>0</v>
      </c>
      <c r="AM205">
        <v>0</v>
      </c>
      <c r="AN205">
        <v>0</v>
      </c>
      <c r="AO205">
        <v>0</v>
      </c>
      <c r="AP205">
        <v>0</v>
      </c>
      <c r="AQ205">
        <v>0</v>
      </c>
      <c r="AR205">
        <v>0</v>
      </c>
      <c r="AS205">
        <v>0</v>
      </c>
      <c r="AT205">
        <v>0</v>
      </c>
      <c r="AU205" s="30">
        <f t="shared" si="92"/>
        <v>39.4938</v>
      </c>
    </row>
    <row r="206" spans="1:47" x14ac:dyDescent="0.25">
      <c r="A206">
        <v>1</v>
      </c>
      <c r="B206" t="s">
        <v>16</v>
      </c>
      <c r="C206">
        <v>27520</v>
      </c>
      <c r="D206">
        <v>160</v>
      </c>
      <c r="E206">
        <v>2</v>
      </c>
      <c r="F206">
        <v>8</v>
      </c>
      <c r="G206">
        <v>373.54</v>
      </c>
      <c r="H206" s="17">
        <v>37.201000000000001</v>
      </c>
      <c r="I206" s="33">
        <v>45318</v>
      </c>
      <c r="J206" s="37">
        <v>6.1608796296296293E-2</v>
      </c>
      <c r="K206">
        <v>0</v>
      </c>
      <c r="L206">
        <v>0</v>
      </c>
      <c r="M206">
        <v>0</v>
      </c>
      <c r="N206">
        <v>0</v>
      </c>
      <c r="O206">
        <v>0</v>
      </c>
      <c r="P206">
        <v>0</v>
      </c>
      <c r="Q206">
        <v>0</v>
      </c>
      <c r="R206">
        <v>0</v>
      </c>
      <c r="S206">
        <v>0</v>
      </c>
      <c r="T206">
        <v>0</v>
      </c>
      <c r="U206">
        <v>0</v>
      </c>
      <c r="V206">
        <v>0</v>
      </c>
      <c r="W206" s="30">
        <f t="shared" ref="W206" si="124">W205</f>
        <v>37.213000000000001</v>
      </c>
      <c r="Y206">
        <v>1</v>
      </c>
      <c r="Z206" t="s">
        <v>16</v>
      </c>
      <c r="AA206">
        <v>27520</v>
      </c>
      <c r="AB206">
        <v>160</v>
      </c>
      <c r="AC206">
        <v>2</v>
      </c>
      <c r="AD206">
        <v>8</v>
      </c>
      <c r="AE206">
        <v>352.01</v>
      </c>
      <c r="AF206" s="17">
        <v>39.475999999999999</v>
      </c>
      <c r="AG206" s="33">
        <v>45314</v>
      </c>
      <c r="AH206" s="34">
        <v>0.89310185185185187</v>
      </c>
      <c r="AI206">
        <v>0</v>
      </c>
      <c r="AJ206">
        <v>0</v>
      </c>
      <c r="AK206">
        <v>0</v>
      </c>
      <c r="AL206">
        <v>0</v>
      </c>
      <c r="AM206">
        <v>0</v>
      </c>
      <c r="AN206">
        <v>0</v>
      </c>
      <c r="AO206">
        <v>0</v>
      </c>
      <c r="AP206">
        <v>0</v>
      </c>
      <c r="AQ206">
        <v>0</v>
      </c>
      <c r="AR206">
        <v>0</v>
      </c>
      <c r="AS206">
        <v>0</v>
      </c>
      <c r="AT206">
        <v>0</v>
      </c>
      <c r="AU206" s="30">
        <f t="shared" si="94"/>
        <v>39.4938</v>
      </c>
    </row>
    <row r="207" spans="1:47" x14ac:dyDescent="0.25">
      <c r="A207">
        <v>2</v>
      </c>
      <c r="B207" t="s">
        <v>16</v>
      </c>
      <c r="C207">
        <v>27520</v>
      </c>
      <c r="D207">
        <v>160</v>
      </c>
      <c r="E207">
        <v>2</v>
      </c>
      <c r="F207">
        <v>8</v>
      </c>
      <c r="G207">
        <v>373.5</v>
      </c>
      <c r="H207" s="17">
        <v>37.204999999999998</v>
      </c>
      <c r="I207" s="33">
        <v>45318</v>
      </c>
      <c r="J207" s="37">
        <v>0.16638888888888889</v>
      </c>
      <c r="K207">
        <v>0</v>
      </c>
      <c r="L207">
        <v>0</v>
      </c>
      <c r="M207">
        <v>0</v>
      </c>
      <c r="N207">
        <v>0</v>
      </c>
      <c r="O207">
        <v>0</v>
      </c>
      <c r="P207">
        <v>0</v>
      </c>
      <c r="Q207">
        <v>0</v>
      </c>
      <c r="R207">
        <v>0</v>
      </c>
      <c r="S207">
        <v>0</v>
      </c>
      <c r="T207">
        <v>0</v>
      </c>
      <c r="U207">
        <v>0</v>
      </c>
      <c r="V207">
        <v>0</v>
      </c>
      <c r="W207" s="30">
        <f t="shared" si="101"/>
        <v>37.213000000000001</v>
      </c>
      <c r="Y207">
        <v>2</v>
      </c>
      <c r="Z207" t="s">
        <v>16</v>
      </c>
      <c r="AA207">
        <v>27520</v>
      </c>
      <c r="AB207">
        <v>160</v>
      </c>
      <c r="AC207">
        <v>2</v>
      </c>
      <c r="AD207">
        <v>8</v>
      </c>
      <c r="AE207">
        <v>352.29</v>
      </c>
      <c r="AF207" s="17">
        <v>39.445</v>
      </c>
      <c r="AG207" s="33">
        <v>45318</v>
      </c>
      <c r="AH207" s="34">
        <v>0.2225462962962963</v>
      </c>
      <c r="AI207">
        <v>0</v>
      </c>
      <c r="AJ207">
        <v>0</v>
      </c>
      <c r="AK207">
        <v>0</v>
      </c>
      <c r="AL207">
        <v>0</v>
      </c>
      <c r="AM207">
        <v>0</v>
      </c>
      <c r="AN207">
        <v>0</v>
      </c>
      <c r="AO207">
        <v>0</v>
      </c>
      <c r="AP207">
        <v>0</v>
      </c>
      <c r="AQ207">
        <v>0</v>
      </c>
      <c r="AR207">
        <v>0</v>
      </c>
      <c r="AS207">
        <v>0</v>
      </c>
      <c r="AT207">
        <v>0</v>
      </c>
      <c r="AU207" s="30">
        <f t="shared" si="94"/>
        <v>39.4938</v>
      </c>
    </row>
    <row r="208" spans="1:47" x14ac:dyDescent="0.25">
      <c r="A208">
        <v>3</v>
      </c>
      <c r="B208" t="s">
        <v>16</v>
      </c>
      <c r="C208">
        <v>27520</v>
      </c>
      <c r="D208">
        <v>160</v>
      </c>
      <c r="E208">
        <v>2</v>
      </c>
      <c r="F208">
        <v>8</v>
      </c>
      <c r="G208">
        <v>373.18</v>
      </c>
      <c r="H208" s="17">
        <v>37.237000000000002</v>
      </c>
      <c r="I208" s="33">
        <v>45318</v>
      </c>
      <c r="J208" s="37">
        <v>0.42568287037037034</v>
      </c>
      <c r="K208">
        <v>0</v>
      </c>
      <c r="L208">
        <v>0</v>
      </c>
      <c r="M208">
        <v>0</v>
      </c>
      <c r="N208">
        <v>0</v>
      </c>
      <c r="O208">
        <v>0</v>
      </c>
      <c r="P208">
        <v>0</v>
      </c>
      <c r="Q208">
        <v>0</v>
      </c>
      <c r="R208">
        <v>0</v>
      </c>
      <c r="S208">
        <v>0</v>
      </c>
      <c r="T208">
        <v>0</v>
      </c>
      <c r="U208">
        <v>0</v>
      </c>
      <c r="V208">
        <v>0</v>
      </c>
      <c r="W208" s="30">
        <f t="shared" si="101"/>
        <v>37.213000000000001</v>
      </c>
      <c r="Y208">
        <v>3</v>
      </c>
      <c r="Z208" t="s">
        <v>16</v>
      </c>
      <c r="AA208">
        <v>27520</v>
      </c>
      <c r="AB208">
        <v>160</v>
      </c>
      <c r="AC208">
        <v>2</v>
      </c>
      <c r="AD208">
        <v>8</v>
      </c>
      <c r="AE208">
        <v>351.7</v>
      </c>
      <c r="AF208" s="17">
        <v>39.511000000000003</v>
      </c>
      <c r="AG208" s="33">
        <v>45315</v>
      </c>
      <c r="AH208" s="34">
        <v>4.3425925925925923E-2</v>
      </c>
      <c r="AI208">
        <v>0</v>
      </c>
      <c r="AJ208">
        <v>0</v>
      </c>
      <c r="AK208">
        <v>0</v>
      </c>
      <c r="AL208">
        <v>0</v>
      </c>
      <c r="AM208">
        <v>0</v>
      </c>
      <c r="AN208">
        <v>0</v>
      </c>
      <c r="AO208">
        <v>0</v>
      </c>
      <c r="AP208">
        <v>0</v>
      </c>
      <c r="AQ208">
        <v>0</v>
      </c>
      <c r="AR208">
        <v>0</v>
      </c>
      <c r="AS208">
        <v>0</v>
      </c>
      <c r="AT208">
        <v>0</v>
      </c>
      <c r="AU208" s="30">
        <f t="shared" si="94"/>
        <v>39.4938</v>
      </c>
    </row>
    <row r="209" spans="1:47" x14ac:dyDescent="0.25">
      <c r="A209">
        <v>4</v>
      </c>
      <c r="B209" t="s">
        <v>16</v>
      </c>
      <c r="C209">
        <v>27520</v>
      </c>
      <c r="D209">
        <v>160</v>
      </c>
      <c r="E209">
        <v>2</v>
      </c>
      <c r="F209">
        <v>8</v>
      </c>
      <c r="G209">
        <v>373.36</v>
      </c>
      <c r="H209" s="17">
        <v>37.219000000000001</v>
      </c>
      <c r="I209" s="33">
        <v>45318</v>
      </c>
      <c r="J209" s="37">
        <v>0.68502314814814813</v>
      </c>
      <c r="K209">
        <v>0</v>
      </c>
      <c r="L209">
        <v>0</v>
      </c>
      <c r="M209">
        <v>0</v>
      </c>
      <c r="N209">
        <v>0</v>
      </c>
      <c r="O209">
        <v>0</v>
      </c>
      <c r="P209">
        <v>0</v>
      </c>
      <c r="Q209">
        <v>0</v>
      </c>
      <c r="R209">
        <v>0</v>
      </c>
      <c r="S209">
        <v>0</v>
      </c>
      <c r="T209">
        <v>0</v>
      </c>
      <c r="U209">
        <v>0</v>
      </c>
      <c r="V209">
        <v>0</v>
      </c>
      <c r="W209" s="30">
        <f t="shared" si="101"/>
        <v>37.213000000000001</v>
      </c>
      <c r="Y209">
        <v>4</v>
      </c>
      <c r="Z209" t="s">
        <v>16</v>
      </c>
      <c r="AA209">
        <v>27520</v>
      </c>
      <c r="AB209">
        <v>160</v>
      </c>
      <c r="AC209">
        <v>2</v>
      </c>
      <c r="AD209">
        <v>8</v>
      </c>
      <c r="AE209">
        <v>351.47</v>
      </c>
      <c r="AF209" s="17">
        <v>39.536000000000001</v>
      </c>
      <c r="AG209" s="33">
        <v>45318</v>
      </c>
      <c r="AH209" s="34">
        <v>0.18447916666666667</v>
      </c>
      <c r="AI209">
        <v>0</v>
      </c>
      <c r="AJ209">
        <v>0</v>
      </c>
      <c r="AK209">
        <v>0</v>
      </c>
      <c r="AL209">
        <v>0</v>
      </c>
      <c r="AM209">
        <v>0</v>
      </c>
      <c r="AN209">
        <v>0</v>
      </c>
      <c r="AO209">
        <v>0</v>
      </c>
      <c r="AP209">
        <v>0</v>
      </c>
      <c r="AQ209">
        <v>0</v>
      </c>
      <c r="AR209">
        <v>0</v>
      </c>
      <c r="AS209">
        <v>0</v>
      </c>
      <c r="AT209">
        <v>0</v>
      </c>
      <c r="AU209" s="30">
        <f t="shared" si="94"/>
        <v>39.4938</v>
      </c>
    </row>
    <row r="210" spans="1:47" x14ac:dyDescent="0.25">
      <c r="A210">
        <v>0</v>
      </c>
      <c r="B210" t="s">
        <v>16</v>
      </c>
      <c r="C210">
        <v>28960</v>
      </c>
      <c r="D210">
        <v>160</v>
      </c>
      <c r="E210">
        <v>2</v>
      </c>
      <c r="F210">
        <v>8</v>
      </c>
      <c r="G210">
        <v>433.34</v>
      </c>
      <c r="H210" s="17">
        <v>37.369</v>
      </c>
      <c r="I210" s="33">
        <v>45318</v>
      </c>
      <c r="J210" s="37">
        <v>0.9611574074074074</v>
      </c>
      <c r="K210">
        <v>0</v>
      </c>
      <c r="L210">
        <v>0</v>
      </c>
      <c r="M210">
        <v>0</v>
      </c>
      <c r="N210">
        <v>0</v>
      </c>
      <c r="O210">
        <v>0</v>
      </c>
      <c r="P210">
        <v>0</v>
      </c>
      <c r="Q210">
        <v>0</v>
      </c>
      <c r="R210">
        <v>0</v>
      </c>
      <c r="S210">
        <v>0</v>
      </c>
      <c r="T210">
        <v>0</v>
      </c>
      <c r="U210">
        <v>0</v>
      </c>
      <c r="V210">
        <v>0</v>
      </c>
      <c r="W210" s="30">
        <f t="shared" ref="W210" si="125">AVERAGE(H210:H214)</f>
        <v>37.409800000000004</v>
      </c>
      <c r="Y210">
        <v>0</v>
      </c>
      <c r="Z210" t="s">
        <v>16</v>
      </c>
      <c r="AA210">
        <v>28960</v>
      </c>
      <c r="AB210">
        <v>160</v>
      </c>
      <c r="AC210">
        <v>2</v>
      </c>
      <c r="AD210">
        <v>8</v>
      </c>
      <c r="AE210">
        <v>405.22</v>
      </c>
      <c r="AF210" s="17">
        <v>39.962000000000003</v>
      </c>
      <c r="AG210" s="33">
        <v>45314</v>
      </c>
      <c r="AH210" s="34">
        <v>0.7927777777777778</v>
      </c>
      <c r="AI210">
        <v>0</v>
      </c>
      <c r="AJ210">
        <v>0</v>
      </c>
      <c r="AK210">
        <v>0</v>
      </c>
      <c r="AL210">
        <v>0</v>
      </c>
      <c r="AM210">
        <v>0</v>
      </c>
      <c r="AN210">
        <v>0</v>
      </c>
      <c r="AO210">
        <v>0</v>
      </c>
      <c r="AP210">
        <v>0</v>
      </c>
      <c r="AQ210">
        <v>0</v>
      </c>
      <c r="AR210">
        <v>0</v>
      </c>
      <c r="AS210">
        <v>0</v>
      </c>
      <c r="AT210">
        <v>0</v>
      </c>
      <c r="AU210" s="30">
        <f t="shared" si="96"/>
        <v>39.890799999999999</v>
      </c>
    </row>
    <row r="211" spans="1:47" x14ac:dyDescent="0.25">
      <c r="A211">
        <v>1</v>
      </c>
      <c r="B211" t="s">
        <v>16</v>
      </c>
      <c r="C211">
        <v>28960</v>
      </c>
      <c r="D211">
        <v>160</v>
      </c>
      <c r="E211">
        <v>2</v>
      </c>
      <c r="F211">
        <v>8</v>
      </c>
      <c r="G211">
        <v>432.98</v>
      </c>
      <c r="H211" s="17">
        <v>37.4</v>
      </c>
      <c r="I211" s="33">
        <v>45318</v>
      </c>
      <c r="J211" s="37">
        <v>6.8576388888888895E-2</v>
      </c>
      <c r="K211">
        <v>0</v>
      </c>
      <c r="L211">
        <v>0</v>
      </c>
      <c r="M211">
        <v>0</v>
      </c>
      <c r="N211">
        <v>0</v>
      </c>
      <c r="O211">
        <v>0</v>
      </c>
      <c r="P211">
        <v>0</v>
      </c>
      <c r="Q211">
        <v>0</v>
      </c>
      <c r="R211">
        <v>0</v>
      </c>
      <c r="S211">
        <v>0</v>
      </c>
      <c r="T211">
        <v>0</v>
      </c>
      <c r="U211">
        <v>0</v>
      </c>
      <c r="V211">
        <v>0</v>
      </c>
      <c r="W211" s="30">
        <f t="shared" ref="W211" si="126">W210</f>
        <v>37.409800000000004</v>
      </c>
      <c r="Y211">
        <v>1</v>
      </c>
      <c r="Z211" t="s">
        <v>16</v>
      </c>
      <c r="AA211">
        <v>28960</v>
      </c>
      <c r="AB211">
        <v>160</v>
      </c>
      <c r="AC211">
        <v>2</v>
      </c>
      <c r="AD211">
        <v>8</v>
      </c>
      <c r="AE211">
        <v>406.67</v>
      </c>
      <c r="AF211" s="17">
        <v>39.82</v>
      </c>
      <c r="AG211" s="33">
        <v>45314</v>
      </c>
      <c r="AH211" s="34">
        <v>0.76332175925925927</v>
      </c>
      <c r="AI211">
        <v>0</v>
      </c>
      <c r="AJ211">
        <v>0</v>
      </c>
      <c r="AK211">
        <v>0</v>
      </c>
      <c r="AL211">
        <v>0</v>
      </c>
      <c r="AM211">
        <v>0</v>
      </c>
      <c r="AN211">
        <v>0</v>
      </c>
      <c r="AO211">
        <v>0</v>
      </c>
      <c r="AP211">
        <v>0</v>
      </c>
      <c r="AQ211">
        <v>0</v>
      </c>
      <c r="AR211">
        <v>0</v>
      </c>
      <c r="AS211">
        <v>0</v>
      </c>
      <c r="AT211">
        <v>0</v>
      </c>
      <c r="AU211" s="30">
        <f t="shared" si="98"/>
        <v>39.890799999999999</v>
      </c>
    </row>
    <row r="212" spans="1:47" x14ac:dyDescent="0.25">
      <c r="A212">
        <v>2</v>
      </c>
      <c r="B212" t="s">
        <v>16</v>
      </c>
      <c r="C212">
        <v>28960</v>
      </c>
      <c r="D212">
        <v>160</v>
      </c>
      <c r="E212">
        <v>2</v>
      </c>
      <c r="F212">
        <v>8</v>
      </c>
      <c r="G212">
        <v>432.76</v>
      </c>
      <c r="H212" s="17">
        <v>37.418999999999997</v>
      </c>
      <c r="I212" s="33">
        <v>45318</v>
      </c>
      <c r="J212" s="37">
        <v>0.32799768518518518</v>
      </c>
      <c r="K212">
        <v>0</v>
      </c>
      <c r="L212">
        <v>0</v>
      </c>
      <c r="M212">
        <v>0</v>
      </c>
      <c r="N212">
        <v>0</v>
      </c>
      <c r="O212">
        <v>0</v>
      </c>
      <c r="P212">
        <v>0</v>
      </c>
      <c r="Q212">
        <v>0</v>
      </c>
      <c r="R212">
        <v>0</v>
      </c>
      <c r="S212">
        <v>0</v>
      </c>
      <c r="T212">
        <v>0</v>
      </c>
      <c r="U212">
        <v>0</v>
      </c>
      <c r="V212">
        <v>0</v>
      </c>
      <c r="W212" s="30">
        <f t="shared" si="104"/>
        <v>37.409800000000004</v>
      </c>
      <c r="Y212">
        <v>2</v>
      </c>
      <c r="Z212" t="s">
        <v>16</v>
      </c>
      <c r="AA212">
        <v>28960</v>
      </c>
      <c r="AB212">
        <v>160</v>
      </c>
      <c r="AC212">
        <v>2</v>
      </c>
      <c r="AD212">
        <v>8</v>
      </c>
      <c r="AE212">
        <v>405.66</v>
      </c>
      <c r="AF212" s="17">
        <v>39.917999999999999</v>
      </c>
      <c r="AG212" s="33">
        <v>45318</v>
      </c>
      <c r="AH212" s="34">
        <v>7.8090277777777786E-2</v>
      </c>
      <c r="AI212">
        <v>0</v>
      </c>
      <c r="AJ212">
        <v>0</v>
      </c>
      <c r="AK212">
        <v>0</v>
      </c>
      <c r="AL212">
        <v>0</v>
      </c>
      <c r="AM212">
        <v>0</v>
      </c>
      <c r="AN212">
        <v>0</v>
      </c>
      <c r="AO212">
        <v>0</v>
      </c>
      <c r="AP212">
        <v>0</v>
      </c>
      <c r="AQ212">
        <v>0</v>
      </c>
      <c r="AR212">
        <v>0</v>
      </c>
      <c r="AS212">
        <v>0</v>
      </c>
      <c r="AT212">
        <v>0</v>
      </c>
      <c r="AU212" s="30">
        <f t="shared" si="98"/>
        <v>39.890799999999999</v>
      </c>
    </row>
    <row r="213" spans="1:47" x14ac:dyDescent="0.25">
      <c r="A213">
        <v>3</v>
      </c>
      <c r="B213" t="s">
        <v>16</v>
      </c>
      <c r="C213">
        <v>28960</v>
      </c>
      <c r="D213">
        <v>160</v>
      </c>
      <c r="E213">
        <v>2</v>
      </c>
      <c r="F213">
        <v>8</v>
      </c>
      <c r="G213">
        <v>432.62</v>
      </c>
      <c r="H213" s="17">
        <v>37.430999999999997</v>
      </c>
      <c r="I213" s="33">
        <v>45318</v>
      </c>
      <c r="J213" s="37">
        <v>0.5873032407407407</v>
      </c>
      <c r="K213">
        <v>0</v>
      </c>
      <c r="L213">
        <v>0</v>
      </c>
      <c r="M213">
        <v>0</v>
      </c>
      <c r="N213">
        <v>0</v>
      </c>
      <c r="O213">
        <v>0</v>
      </c>
      <c r="P213">
        <v>0</v>
      </c>
      <c r="Q213">
        <v>0</v>
      </c>
      <c r="R213">
        <v>0</v>
      </c>
      <c r="S213">
        <v>0</v>
      </c>
      <c r="T213">
        <v>0</v>
      </c>
      <c r="U213">
        <v>0</v>
      </c>
      <c r="V213">
        <v>0</v>
      </c>
      <c r="W213" s="30">
        <f t="shared" si="104"/>
        <v>37.409800000000004</v>
      </c>
      <c r="Y213">
        <v>3</v>
      </c>
      <c r="Z213" t="s">
        <v>16</v>
      </c>
      <c r="AA213">
        <v>28960</v>
      </c>
      <c r="AB213">
        <v>160</v>
      </c>
      <c r="AC213">
        <v>2</v>
      </c>
      <c r="AD213">
        <v>8</v>
      </c>
      <c r="AE213">
        <v>405.61</v>
      </c>
      <c r="AF213" s="17">
        <v>39.923000000000002</v>
      </c>
      <c r="AG213" s="33">
        <v>45318</v>
      </c>
      <c r="AH213" s="34">
        <v>0.14596064814814816</v>
      </c>
      <c r="AI213">
        <v>0</v>
      </c>
      <c r="AJ213">
        <v>0</v>
      </c>
      <c r="AK213">
        <v>0</v>
      </c>
      <c r="AL213">
        <v>0</v>
      </c>
      <c r="AM213">
        <v>0</v>
      </c>
      <c r="AN213">
        <v>0</v>
      </c>
      <c r="AO213">
        <v>0</v>
      </c>
      <c r="AP213">
        <v>0</v>
      </c>
      <c r="AQ213">
        <v>0</v>
      </c>
      <c r="AR213">
        <v>0</v>
      </c>
      <c r="AS213">
        <v>0</v>
      </c>
      <c r="AT213">
        <v>0</v>
      </c>
      <c r="AU213" s="30">
        <f t="shared" si="98"/>
        <v>39.890799999999999</v>
      </c>
    </row>
    <row r="214" spans="1:47" x14ac:dyDescent="0.25">
      <c r="A214">
        <v>4</v>
      </c>
      <c r="B214" t="s">
        <v>16</v>
      </c>
      <c r="C214">
        <v>28960</v>
      </c>
      <c r="D214">
        <v>160</v>
      </c>
      <c r="E214">
        <v>2</v>
      </c>
      <c r="F214">
        <v>8</v>
      </c>
      <c r="G214">
        <v>432.64</v>
      </c>
      <c r="H214" s="17">
        <v>37.43</v>
      </c>
      <c r="I214" s="33">
        <v>45318</v>
      </c>
      <c r="J214" s="37">
        <v>0.84667824074074083</v>
      </c>
      <c r="K214">
        <v>0</v>
      </c>
      <c r="L214">
        <v>0</v>
      </c>
      <c r="M214">
        <v>0</v>
      </c>
      <c r="N214">
        <v>0</v>
      </c>
      <c r="O214">
        <v>0</v>
      </c>
      <c r="P214">
        <v>0</v>
      </c>
      <c r="Q214">
        <v>0</v>
      </c>
      <c r="R214">
        <v>0</v>
      </c>
      <c r="S214">
        <v>0</v>
      </c>
      <c r="T214">
        <v>0</v>
      </c>
      <c r="U214">
        <v>0</v>
      </c>
      <c r="V214">
        <v>0</v>
      </c>
      <c r="W214" s="30">
        <f t="shared" si="104"/>
        <v>37.409800000000004</v>
      </c>
      <c r="Y214">
        <v>4</v>
      </c>
      <c r="Z214" t="s">
        <v>16</v>
      </c>
      <c r="AA214">
        <v>28960</v>
      </c>
      <c r="AB214">
        <v>160</v>
      </c>
      <c r="AC214">
        <v>2</v>
      </c>
      <c r="AD214">
        <v>8</v>
      </c>
      <c r="AE214">
        <v>406.56</v>
      </c>
      <c r="AF214" s="17">
        <v>39.831000000000003</v>
      </c>
      <c r="AG214" s="33">
        <v>45318</v>
      </c>
      <c r="AH214" s="34">
        <v>6.5358796296296304E-2</v>
      </c>
      <c r="AI214">
        <v>0</v>
      </c>
      <c r="AJ214">
        <v>0</v>
      </c>
      <c r="AK214">
        <v>0</v>
      </c>
      <c r="AL214">
        <v>0</v>
      </c>
      <c r="AM214">
        <v>0</v>
      </c>
      <c r="AN214">
        <v>0</v>
      </c>
      <c r="AO214">
        <v>0</v>
      </c>
      <c r="AP214">
        <v>0</v>
      </c>
      <c r="AQ214">
        <v>0</v>
      </c>
      <c r="AR214">
        <v>0</v>
      </c>
      <c r="AS214">
        <v>0</v>
      </c>
      <c r="AT214">
        <v>51</v>
      </c>
      <c r="AU214" s="30">
        <f t="shared" si="98"/>
        <v>39.890799999999999</v>
      </c>
    </row>
    <row r="215" spans="1:47" x14ac:dyDescent="0.25">
      <c r="A215">
        <v>0</v>
      </c>
      <c r="B215" t="s">
        <v>16</v>
      </c>
      <c r="C215">
        <v>25920</v>
      </c>
      <c r="D215">
        <v>160</v>
      </c>
      <c r="E215">
        <v>4</v>
      </c>
      <c r="F215">
        <v>4</v>
      </c>
      <c r="G215">
        <v>337.09</v>
      </c>
      <c r="H215" s="17">
        <v>34.442999999999998</v>
      </c>
      <c r="I215" s="33">
        <v>45318</v>
      </c>
      <c r="J215" s="37">
        <v>0.88883101851851853</v>
      </c>
      <c r="K215">
        <v>0</v>
      </c>
      <c r="L215">
        <v>0</v>
      </c>
      <c r="M215">
        <v>0</v>
      </c>
      <c r="N215">
        <v>0</v>
      </c>
      <c r="O215">
        <v>0</v>
      </c>
      <c r="P215">
        <v>0</v>
      </c>
      <c r="Q215">
        <v>0</v>
      </c>
      <c r="R215">
        <v>0</v>
      </c>
      <c r="S215">
        <v>0</v>
      </c>
      <c r="T215">
        <v>0</v>
      </c>
      <c r="U215">
        <v>0</v>
      </c>
      <c r="V215">
        <v>0</v>
      </c>
      <c r="W215" s="30">
        <f t="shared" ref="W215" si="127">AVERAGE(H215:H219)</f>
        <v>34.449799999999996</v>
      </c>
      <c r="Y215">
        <v>0</v>
      </c>
      <c r="Z215" t="s">
        <v>16</v>
      </c>
      <c r="AA215">
        <v>25920</v>
      </c>
      <c r="AB215">
        <v>160</v>
      </c>
      <c r="AC215">
        <v>4</v>
      </c>
      <c r="AD215">
        <v>4</v>
      </c>
      <c r="AE215">
        <v>319.18</v>
      </c>
      <c r="AF215" s="17">
        <v>36.375999999999998</v>
      </c>
      <c r="AG215" s="33">
        <v>45314</v>
      </c>
      <c r="AH215" s="34">
        <v>0.8423842592592593</v>
      </c>
      <c r="AI215">
        <v>0</v>
      </c>
      <c r="AJ215">
        <v>0</v>
      </c>
      <c r="AK215">
        <v>0</v>
      </c>
      <c r="AL215">
        <v>0</v>
      </c>
      <c r="AM215">
        <v>0</v>
      </c>
      <c r="AN215">
        <v>0</v>
      </c>
      <c r="AO215">
        <v>0</v>
      </c>
      <c r="AP215">
        <v>0</v>
      </c>
      <c r="AQ215">
        <v>0</v>
      </c>
      <c r="AR215">
        <v>0</v>
      </c>
      <c r="AS215">
        <v>0</v>
      </c>
      <c r="AT215">
        <v>0</v>
      </c>
      <c r="AU215" s="30">
        <f t="shared" ref="AU215" si="128">AVERAGE(AF215:AF219)</f>
        <v>36.384399999999999</v>
      </c>
    </row>
    <row r="216" spans="1:47" x14ac:dyDescent="0.25">
      <c r="A216">
        <v>1</v>
      </c>
      <c r="B216" t="s">
        <v>16</v>
      </c>
      <c r="C216">
        <v>25920</v>
      </c>
      <c r="D216">
        <v>160</v>
      </c>
      <c r="E216">
        <v>4</v>
      </c>
      <c r="F216">
        <v>4</v>
      </c>
      <c r="G216">
        <v>336.81</v>
      </c>
      <c r="H216" s="17">
        <v>34.472000000000001</v>
      </c>
      <c r="I216" s="33">
        <v>45317</v>
      </c>
      <c r="J216" s="37">
        <v>0.99636574074074069</v>
      </c>
      <c r="K216">
        <v>0</v>
      </c>
      <c r="L216">
        <v>0</v>
      </c>
      <c r="M216">
        <v>0</v>
      </c>
      <c r="N216">
        <v>0</v>
      </c>
      <c r="O216">
        <v>0</v>
      </c>
      <c r="P216">
        <v>0</v>
      </c>
      <c r="Q216">
        <v>0</v>
      </c>
      <c r="R216">
        <v>0</v>
      </c>
      <c r="S216">
        <v>0</v>
      </c>
      <c r="T216">
        <v>0</v>
      </c>
      <c r="U216">
        <v>0</v>
      </c>
      <c r="V216">
        <v>0</v>
      </c>
      <c r="W216" s="30">
        <f t="shared" ref="W216" si="129">W215</f>
        <v>34.449799999999996</v>
      </c>
      <c r="Y216">
        <v>1</v>
      </c>
      <c r="Z216" t="s">
        <v>16</v>
      </c>
      <c r="AA216">
        <v>25920</v>
      </c>
      <c r="AB216">
        <v>160</v>
      </c>
      <c r="AC216">
        <v>4</v>
      </c>
      <c r="AD216">
        <v>4</v>
      </c>
      <c r="AE216">
        <v>319.11</v>
      </c>
      <c r="AF216" s="17">
        <v>36.384</v>
      </c>
      <c r="AG216" s="33">
        <v>45314</v>
      </c>
      <c r="AH216" s="34">
        <v>0.98447916666666668</v>
      </c>
      <c r="AI216">
        <v>0</v>
      </c>
      <c r="AJ216">
        <v>0</v>
      </c>
      <c r="AK216">
        <v>0</v>
      </c>
      <c r="AL216">
        <v>0</v>
      </c>
      <c r="AM216">
        <v>0</v>
      </c>
      <c r="AN216">
        <v>0</v>
      </c>
      <c r="AO216">
        <v>0</v>
      </c>
      <c r="AP216">
        <v>0</v>
      </c>
      <c r="AQ216">
        <v>0</v>
      </c>
      <c r="AR216">
        <v>0</v>
      </c>
      <c r="AS216">
        <v>0</v>
      </c>
      <c r="AT216">
        <v>0</v>
      </c>
      <c r="AU216" s="30">
        <f t="shared" ref="AU216:AU249" si="130">AU215</f>
        <v>36.384399999999999</v>
      </c>
    </row>
    <row r="217" spans="1:47" x14ac:dyDescent="0.25">
      <c r="A217">
        <v>2</v>
      </c>
      <c r="B217" t="s">
        <v>16</v>
      </c>
      <c r="C217">
        <v>25920</v>
      </c>
      <c r="D217">
        <v>160</v>
      </c>
      <c r="E217">
        <v>4</v>
      </c>
      <c r="F217">
        <v>4</v>
      </c>
      <c r="G217">
        <v>337.16</v>
      </c>
      <c r="H217" s="17">
        <v>34.436</v>
      </c>
      <c r="I217" s="33">
        <v>45318</v>
      </c>
      <c r="J217" s="37">
        <v>0.25581018518518517</v>
      </c>
      <c r="K217">
        <v>0</v>
      </c>
      <c r="L217">
        <v>0</v>
      </c>
      <c r="M217">
        <v>0</v>
      </c>
      <c r="N217">
        <v>0</v>
      </c>
      <c r="O217">
        <v>0</v>
      </c>
      <c r="P217">
        <v>0</v>
      </c>
      <c r="Q217">
        <v>0</v>
      </c>
      <c r="R217">
        <v>0</v>
      </c>
      <c r="S217">
        <v>0</v>
      </c>
      <c r="T217">
        <v>0</v>
      </c>
      <c r="U217">
        <v>0</v>
      </c>
      <c r="V217">
        <v>0</v>
      </c>
      <c r="W217" s="30">
        <f t="shared" si="101"/>
        <v>34.449799999999996</v>
      </c>
      <c r="Y217">
        <v>2</v>
      </c>
      <c r="Z217" t="s">
        <v>16</v>
      </c>
      <c r="AA217">
        <v>25920</v>
      </c>
      <c r="AB217">
        <v>160</v>
      </c>
      <c r="AC217">
        <v>4</v>
      </c>
      <c r="AD217">
        <v>4</v>
      </c>
      <c r="AE217">
        <v>319.04000000000002</v>
      </c>
      <c r="AF217" s="17">
        <v>36.392000000000003</v>
      </c>
      <c r="AG217" s="33">
        <v>45318</v>
      </c>
      <c r="AH217" s="34">
        <v>2.8819444444444443E-2</v>
      </c>
      <c r="AI217">
        <v>0</v>
      </c>
      <c r="AJ217">
        <v>0</v>
      </c>
      <c r="AK217">
        <v>0</v>
      </c>
      <c r="AL217">
        <v>0</v>
      </c>
      <c r="AM217">
        <v>0</v>
      </c>
      <c r="AN217">
        <v>0</v>
      </c>
      <c r="AO217">
        <v>0</v>
      </c>
      <c r="AP217">
        <v>0</v>
      </c>
      <c r="AQ217">
        <v>0</v>
      </c>
      <c r="AR217">
        <v>0</v>
      </c>
      <c r="AS217">
        <v>0</v>
      </c>
      <c r="AT217">
        <v>0</v>
      </c>
      <c r="AU217" s="30">
        <f t="shared" si="130"/>
        <v>36.384399999999999</v>
      </c>
    </row>
    <row r="218" spans="1:47" x14ac:dyDescent="0.25">
      <c r="A218">
        <v>3</v>
      </c>
      <c r="B218" t="s">
        <v>16</v>
      </c>
      <c r="C218">
        <v>25920</v>
      </c>
      <c r="D218">
        <v>160</v>
      </c>
      <c r="E218">
        <v>4</v>
      </c>
      <c r="F218">
        <v>4</v>
      </c>
      <c r="G218">
        <v>337.05</v>
      </c>
      <c r="H218" s="17">
        <v>34.447000000000003</v>
      </c>
      <c r="I218" s="33">
        <v>45318</v>
      </c>
      <c r="J218" s="37">
        <v>0.5151041666666667</v>
      </c>
      <c r="K218">
        <v>0</v>
      </c>
      <c r="L218">
        <v>0</v>
      </c>
      <c r="M218">
        <v>0</v>
      </c>
      <c r="N218">
        <v>0</v>
      </c>
      <c r="O218">
        <v>0</v>
      </c>
      <c r="P218">
        <v>0</v>
      </c>
      <c r="Q218">
        <v>0</v>
      </c>
      <c r="R218">
        <v>0</v>
      </c>
      <c r="S218">
        <v>0</v>
      </c>
      <c r="T218">
        <v>0</v>
      </c>
      <c r="U218">
        <v>0</v>
      </c>
      <c r="V218">
        <v>0</v>
      </c>
      <c r="W218" s="30">
        <f t="shared" si="101"/>
        <v>34.449799999999996</v>
      </c>
      <c r="Y218">
        <v>3</v>
      </c>
      <c r="Z218" t="s">
        <v>16</v>
      </c>
      <c r="AA218">
        <v>25920</v>
      </c>
      <c r="AB218">
        <v>160</v>
      </c>
      <c r="AC218">
        <v>4</v>
      </c>
      <c r="AD218">
        <v>4</v>
      </c>
      <c r="AE218">
        <v>319.39</v>
      </c>
      <c r="AF218" s="17">
        <v>36.351999999999997</v>
      </c>
      <c r="AG218" s="33">
        <v>45315</v>
      </c>
      <c r="AH218" s="34">
        <v>0.13483796296296297</v>
      </c>
      <c r="AI218">
        <v>0</v>
      </c>
      <c r="AJ218">
        <v>0</v>
      </c>
      <c r="AK218">
        <v>0</v>
      </c>
      <c r="AL218">
        <v>0</v>
      </c>
      <c r="AM218">
        <v>0</v>
      </c>
      <c r="AN218">
        <v>0</v>
      </c>
      <c r="AO218">
        <v>0</v>
      </c>
      <c r="AP218">
        <v>0</v>
      </c>
      <c r="AQ218">
        <v>0</v>
      </c>
      <c r="AR218">
        <v>0</v>
      </c>
      <c r="AS218">
        <v>0</v>
      </c>
      <c r="AT218">
        <v>0</v>
      </c>
      <c r="AU218" s="30">
        <f t="shared" si="130"/>
        <v>36.384399999999999</v>
      </c>
    </row>
    <row r="219" spans="1:47" x14ac:dyDescent="0.25">
      <c r="A219">
        <v>4</v>
      </c>
      <c r="B219" t="s">
        <v>16</v>
      </c>
      <c r="C219">
        <v>25920</v>
      </c>
      <c r="D219">
        <v>160</v>
      </c>
      <c r="E219">
        <v>4</v>
      </c>
      <c r="F219">
        <v>4</v>
      </c>
      <c r="G219">
        <v>337.01</v>
      </c>
      <c r="H219" s="17">
        <v>34.451000000000001</v>
      </c>
      <c r="I219" s="33">
        <v>45318</v>
      </c>
      <c r="J219" s="37">
        <v>0.77446759259259268</v>
      </c>
      <c r="K219">
        <v>0</v>
      </c>
      <c r="L219">
        <v>0</v>
      </c>
      <c r="M219">
        <v>0</v>
      </c>
      <c r="N219">
        <v>0</v>
      </c>
      <c r="O219">
        <v>0</v>
      </c>
      <c r="P219">
        <v>0</v>
      </c>
      <c r="Q219">
        <v>0</v>
      </c>
      <c r="R219">
        <v>0</v>
      </c>
      <c r="S219">
        <v>0</v>
      </c>
      <c r="T219">
        <v>0</v>
      </c>
      <c r="U219">
        <v>0</v>
      </c>
      <c r="V219">
        <v>0</v>
      </c>
      <c r="W219" s="30">
        <f t="shared" si="101"/>
        <v>34.449799999999996</v>
      </c>
      <c r="Y219">
        <v>4</v>
      </c>
      <c r="Z219" t="s">
        <v>16</v>
      </c>
      <c r="AA219">
        <v>25920</v>
      </c>
      <c r="AB219">
        <v>160</v>
      </c>
      <c r="AC219">
        <v>4</v>
      </c>
      <c r="AD219">
        <v>4</v>
      </c>
      <c r="AE219">
        <v>318.81</v>
      </c>
      <c r="AF219" s="17">
        <v>36.417999999999999</v>
      </c>
      <c r="AG219" s="33">
        <v>45318</v>
      </c>
      <c r="AH219" s="34">
        <v>0.38179398148148147</v>
      </c>
      <c r="AI219">
        <v>0</v>
      </c>
      <c r="AJ219">
        <v>0</v>
      </c>
      <c r="AK219">
        <v>0</v>
      </c>
      <c r="AL219">
        <v>0</v>
      </c>
      <c r="AM219">
        <v>0</v>
      </c>
      <c r="AN219">
        <v>0</v>
      </c>
      <c r="AO219">
        <v>0</v>
      </c>
      <c r="AP219">
        <v>0</v>
      </c>
      <c r="AQ219">
        <v>0</v>
      </c>
      <c r="AR219">
        <v>0</v>
      </c>
      <c r="AS219">
        <v>0</v>
      </c>
      <c r="AT219">
        <v>0</v>
      </c>
      <c r="AU219" s="30">
        <f t="shared" si="130"/>
        <v>36.384399999999999</v>
      </c>
    </row>
    <row r="220" spans="1:47" x14ac:dyDescent="0.25">
      <c r="A220">
        <v>0</v>
      </c>
      <c r="B220" t="s">
        <v>16</v>
      </c>
      <c r="C220">
        <v>27520</v>
      </c>
      <c r="D220">
        <v>160</v>
      </c>
      <c r="E220">
        <v>4</v>
      </c>
      <c r="F220">
        <v>4</v>
      </c>
      <c r="G220">
        <v>394.42</v>
      </c>
      <c r="H220" s="17">
        <v>35.231999999999999</v>
      </c>
      <c r="I220" s="33">
        <v>45318</v>
      </c>
      <c r="J220" s="37">
        <v>0.804224537037037</v>
      </c>
      <c r="K220">
        <v>0</v>
      </c>
      <c r="L220">
        <v>0</v>
      </c>
      <c r="M220">
        <v>0</v>
      </c>
      <c r="N220">
        <v>0</v>
      </c>
      <c r="O220">
        <v>0</v>
      </c>
      <c r="P220">
        <v>0</v>
      </c>
      <c r="Q220">
        <v>0</v>
      </c>
      <c r="R220">
        <v>0</v>
      </c>
      <c r="S220">
        <v>0</v>
      </c>
      <c r="T220">
        <v>0</v>
      </c>
      <c r="U220">
        <v>0</v>
      </c>
      <c r="V220">
        <v>0</v>
      </c>
      <c r="W220" s="30">
        <f t="shared" ref="W220" si="131">AVERAGE(H220:H224)</f>
        <v>35.293399999999998</v>
      </c>
      <c r="Y220">
        <v>0</v>
      </c>
      <c r="Z220" t="s">
        <v>16</v>
      </c>
      <c r="AA220">
        <v>27520</v>
      </c>
      <c r="AB220">
        <v>160</v>
      </c>
      <c r="AC220">
        <v>4</v>
      </c>
      <c r="AD220">
        <v>4</v>
      </c>
      <c r="AE220">
        <v>374.4</v>
      </c>
      <c r="AF220" s="17">
        <v>37.115000000000002</v>
      </c>
      <c r="AG220" s="33">
        <v>45314</v>
      </c>
      <c r="AH220" s="34">
        <v>0.75596064814814812</v>
      </c>
      <c r="AI220">
        <v>0</v>
      </c>
      <c r="AJ220">
        <v>0</v>
      </c>
      <c r="AK220">
        <v>0</v>
      </c>
      <c r="AL220">
        <v>0</v>
      </c>
      <c r="AM220">
        <v>0</v>
      </c>
      <c r="AN220">
        <v>0</v>
      </c>
      <c r="AO220">
        <v>0</v>
      </c>
      <c r="AP220">
        <v>0</v>
      </c>
      <c r="AQ220">
        <v>0</v>
      </c>
      <c r="AR220">
        <v>0</v>
      </c>
      <c r="AS220">
        <v>0</v>
      </c>
      <c r="AT220">
        <v>0</v>
      </c>
      <c r="AU220" s="30">
        <f t="shared" ref="AU220:AU250" si="132">AVERAGE(AF220:AF224)</f>
        <v>37.156199999999998</v>
      </c>
    </row>
    <row r="221" spans="1:47" x14ac:dyDescent="0.25">
      <c r="A221">
        <v>1</v>
      </c>
      <c r="B221" t="s">
        <v>16</v>
      </c>
      <c r="C221">
        <v>27520</v>
      </c>
      <c r="D221">
        <v>160</v>
      </c>
      <c r="E221">
        <v>4</v>
      </c>
      <c r="F221">
        <v>4</v>
      </c>
      <c r="G221">
        <v>393.64</v>
      </c>
      <c r="H221" s="17">
        <v>35.301000000000002</v>
      </c>
      <c r="I221" s="33">
        <v>45318</v>
      </c>
      <c r="J221" s="37">
        <v>6.6365740740740739E-2</v>
      </c>
      <c r="K221">
        <v>0</v>
      </c>
      <c r="L221">
        <v>0</v>
      </c>
      <c r="M221">
        <v>0</v>
      </c>
      <c r="N221">
        <v>0</v>
      </c>
      <c r="O221">
        <v>0</v>
      </c>
      <c r="P221">
        <v>0</v>
      </c>
      <c r="Q221">
        <v>0</v>
      </c>
      <c r="R221">
        <v>0</v>
      </c>
      <c r="S221">
        <v>0</v>
      </c>
      <c r="T221">
        <v>0</v>
      </c>
      <c r="U221">
        <v>0</v>
      </c>
      <c r="V221">
        <v>0</v>
      </c>
      <c r="W221" s="30">
        <f t="shared" ref="W221" si="133">W220</f>
        <v>35.293399999999998</v>
      </c>
      <c r="Y221">
        <v>1</v>
      </c>
      <c r="Z221" t="s">
        <v>16</v>
      </c>
      <c r="AA221">
        <v>27520</v>
      </c>
      <c r="AB221">
        <v>160</v>
      </c>
      <c r="AC221">
        <v>4</v>
      </c>
      <c r="AD221">
        <v>4</v>
      </c>
      <c r="AE221">
        <v>373.74</v>
      </c>
      <c r="AF221" s="17">
        <v>37.180999999999997</v>
      </c>
      <c r="AG221" s="33">
        <v>45314</v>
      </c>
      <c r="AH221" s="34">
        <v>0.89807870370370368</v>
      </c>
      <c r="AI221">
        <v>0</v>
      </c>
      <c r="AJ221">
        <v>0</v>
      </c>
      <c r="AK221">
        <v>0</v>
      </c>
      <c r="AL221">
        <v>0</v>
      </c>
      <c r="AM221">
        <v>0</v>
      </c>
      <c r="AN221">
        <v>0</v>
      </c>
      <c r="AO221">
        <v>0</v>
      </c>
      <c r="AP221">
        <v>0</v>
      </c>
      <c r="AQ221">
        <v>0</v>
      </c>
      <c r="AR221">
        <v>0</v>
      </c>
      <c r="AS221">
        <v>0</v>
      </c>
      <c r="AT221">
        <v>0</v>
      </c>
      <c r="AU221" s="30">
        <f t="shared" ref="AU221:AU284" si="134">AU220</f>
        <v>37.156199999999998</v>
      </c>
    </row>
    <row r="222" spans="1:47" x14ac:dyDescent="0.25">
      <c r="A222">
        <v>2</v>
      </c>
      <c r="B222" t="s">
        <v>16</v>
      </c>
      <c r="C222">
        <v>27520</v>
      </c>
      <c r="D222">
        <v>160</v>
      </c>
      <c r="E222">
        <v>4</v>
      </c>
      <c r="F222">
        <v>4</v>
      </c>
      <c r="G222">
        <v>393.38</v>
      </c>
      <c r="H222" s="17">
        <v>35.325000000000003</v>
      </c>
      <c r="I222" s="33">
        <v>45318</v>
      </c>
      <c r="J222" s="37">
        <v>0.17114583333333333</v>
      </c>
      <c r="K222">
        <v>0</v>
      </c>
      <c r="L222">
        <v>0</v>
      </c>
      <c r="M222">
        <v>0</v>
      </c>
      <c r="N222">
        <v>0</v>
      </c>
      <c r="O222">
        <v>0</v>
      </c>
      <c r="P222">
        <v>0</v>
      </c>
      <c r="Q222">
        <v>0</v>
      </c>
      <c r="R222">
        <v>0</v>
      </c>
      <c r="S222">
        <v>0</v>
      </c>
      <c r="T222">
        <v>0</v>
      </c>
      <c r="U222">
        <v>0</v>
      </c>
      <c r="V222">
        <v>0</v>
      </c>
      <c r="W222" s="30">
        <f t="shared" si="104"/>
        <v>35.293399999999998</v>
      </c>
      <c r="Y222">
        <v>2</v>
      </c>
      <c r="Z222" t="s">
        <v>16</v>
      </c>
      <c r="AA222">
        <v>27520</v>
      </c>
      <c r="AB222">
        <v>160</v>
      </c>
      <c r="AC222">
        <v>4</v>
      </c>
      <c r="AD222">
        <v>4</v>
      </c>
      <c r="AE222">
        <v>373.95</v>
      </c>
      <c r="AF222" s="17">
        <v>37.159999999999997</v>
      </c>
      <c r="AG222" s="33">
        <v>45318</v>
      </c>
      <c r="AH222" s="34">
        <v>0.22752314814814814</v>
      </c>
      <c r="AI222">
        <v>0</v>
      </c>
      <c r="AJ222">
        <v>0</v>
      </c>
      <c r="AK222">
        <v>0</v>
      </c>
      <c r="AL222">
        <v>0</v>
      </c>
      <c r="AM222">
        <v>0</v>
      </c>
      <c r="AN222">
        <v>0</v>
      </c>
      <c r="AO222">
        <v>0</v>
      </c>
      <c r="AP222">
        <v>0</v>
      </c>
      <c r="AQ222">
        <v>0</v>
      </c>
      <c r="AR222">
        <v>0</v>
      </c>
      <c r="AS222">
        <v>0</v>
      </c>
      <c r="AT222">
        <v>0</v>
      </c>
      <c r="AU222" s="30">
        <f t="shared" si="134"/>
        <v>37.156199999999998</v>
      </c>
    </row>
    <row r="223" spans="1:47" x14ac:dyDescent="0.25">
      <c r="A223">
        <v>3</v>
      </c>
      <c r="B223" t="s">
        <v>16</v>
      </c>
      <c r="C223">
        <v>27520</v>
      </c>
      <c r="D223">
        <v>160</v>
      </c>
      <c r="E223">
        <v>4</v>
      </c>
      <c r="F223">
        <v>4</v>
      </c>
      <c r="G223">
        <v>393.75</v>
      </c>
      <c r="H223" s="17">
        <v>35.290999999999997</v>
      </c>
      <c r="I223" s="33">
        <v>45318</v>
      </c>
      <c r="J223" s="37">
        <v>0.4304398148148148</v>
      </c>
      <c r="K223">
        <v>0</v>
      </c>
      <c r="L223">
        <v>0</v>
      </c>
      <c r="M223">
        <v>0</v>
      </c>
      <c r="N223">
        <v>0</v>
      </c>
      <c r="O223">
        <v>0</v>
      </c>
      <c r="P223">
        <v>0</v>
      </c>
      <c r="Q223">
        <v>0</v>
      </c>
      <c r="R223">
        <v>0</v>
      </c>
      <c r="S223">
        <v>0</v>
      </c>
      <c r="T223">
        <v>0</v>
      </c>
      <c r="U223">
        <v>0</v>
      </c>
      <c r="V223">
        <v>0</v>
      </c>
      <c r="W223" s="30">
        <f t="shared" si="104"/>
        <v>35.293399999999998</v>
      </c>
      <c r="Y223">
        <v>3</v>
      </c>
      <c r="Z223" t="s">
        <v>16</v>
      </c>
      <c r="AA223">
        <v>27520</v>
      </c>
      <c r="AB223">
        <v>160</v>
      </c>
      <c r="AC223">
        <v>4</v>
      </c>
      <c r="AD223">
        <v>4</v>
      </c>
      <c r="AE223">
        <v>373.88</v>
      </c>
      <c r="AF223" s="17">
        <v>37.167000000000002</v>
      </c>
      <c r="AG223" s="33">
        <v>45315</v>
      </c>
      <c r="AH223" s="34">
        <v>4.8402777777777774E-2</v>
      </c>
      <c r="AI223">
        <v>0</v>
      </c>
      <c r="AJ223">
        <v>0</v>
      </c>
      <c r="AK223">
        <v>0</v>
      </c>
      <c r="AL223">
        <v>0</v>
      </c>
      <c r="AM223">
        <v>0</v>
      </c>
      <c r="AN223">
        <v>0</v>
      </c>
      <c r="AO223">
        <v>0</v>
      </c>
      <c r="AP223">
        <v>0</v>
      </c>
      <c r="AQ223">
        <v>0</v>
      </c>
      <c r="AR223">
        <v>0</v>
      </c>
      <c r="AS223">
        <v>0</v>
      </c>
      <c r="AT223">
        <v>0</v>
      </c>
      <c r="AU223" s="30">
        <f t="shared" si="134"/>
        <v>37.156199999999998</v>
      </c>
    </row>
    <row r="224" spans="1:47" x14ac:dyDescent="0.25">
      <c r="A224">
        <v>4</v>
      </c>
      <c r="B224" t="s">
        <v>16</v>
      </c>
      <c r="C224">
        <v>27520</v>
      </c>
      <c r="D224">
        <v>160</v>
      </c>
      <c r="E224">
        <v>4</v>
      </c>
      <c r="F224">
        <v>4</v>
      </c>
      <c r="G224">
        <v>393.45</v>
      </c>
      <c r="H224" s="17">
        <v>35.317999999999998</v>
      </c>
      <c r="I224" s="33">
        <v>45318</v>
      </c>
      <c r="J224" s="37">
        <v>0.68978009259259254</v>
      </c>
      <c r="K224">
        <v>0</v>
      </c>
      <c r="L224">
        <v>0</v>
      </c>
      <c r="M224">
        <v>0</v>
      </c>
      <c r="N224">
        <v>0</v>
      </c>
      <c r="O224">
        <v>0</v>
      </c>
      <c r="P224">
        <v>0</v>
      </c>
      <c r="Q224">
        <v>0</v>
      </c>
      <c r="R224">
        <v>0</v>
      </c>
      <c r="S224">
        <v>0</v>
      </c>
      <c r="T224">
        <v>0</v>
      </c>
      <c r="U224">
        <v>0</v>
      </c>
      <c r="V224">
        <v>0</v>
      </c>
      <c r="W224" s="30">
        <f t="shared" si="104"/>
        <v>35.293399999999998</v>
      </c>
      <c r="Y224">
        <v>4</v>
      </c>
      <c r="Z224" t="s">
        <v>16</v>
      </c>
      <c r="AA224">
        <v>27520</v>
      </c>
      <c r="AB224">
        <v>160</v>
      </c>
      <c r="AC224">
        <v>4</v>
      </c>
      <c r="AD224">
        <v>4</v>
      </c>
      <c r="AE224">
        <v>373.97</v>
      </c>
      <c r="AF224" s="17">
        <v>37.158000000000001</v>
      </c>
      <c r="AG224" s="33">
        <v>45318</v>
      </c>
      <c r="AH224" s="34">
        <v>0.18945601851851854</v>
      </c>
      <c r="AI224">
        <v>0</v>
      </c>
      <c r="AJ224">
        <v>0</v>
      </c>
      <c r="AK224">
        <v>0</v>
      </c>
      <c r="AL224">
        <v>0</v>
      </c>
      <c r="AM224">
        <v>0</v>
      </c>
      <c r="AN224">
        <v>0</v>
      </c>
      <c r="AO224">
        <v>0</v>
      </c>
      <c r="AP224">
        <v>0</v>
      </c>
      <c r="AQ224">
        <v>0</v>
      </c>
      <c r="AR224">
        <v>0</v>
      </c>
      <c r="AS224">
        <v>0</v>
      </c>
      <c r="AT224">
        <v>0</v>
      </c>
      <c r="AU224" s="30">
        <f t="shared" si="134"/>
        <v>37.156199999999998</v>
      </c>
    </row>
    <row r="225" spans="1:47" x14ac:dyDescent="0.25">
      <c r="A225">
        <v>0</v>
      </c>
      <c r="B225" t="s">
        <v>16</v>
      </c>
      <c r="C225">
        <v>28960</v>
      </c>
      <c r="D225">
        <v>160</v>
      </c>
      <c r="E225">
        <v>4</v>
      </c>
      <c r="F225">
        <v>4</v>
      </c>
      <c r="G225">
        <v>452.46</v>
      </c>
      <c r="H225" s="17">
        <v>35.789000000000001</v>
      </c>
      <c r="I225" s="33">
        <v>45318</v>
      </c>
      <c r="J225" s="37">
        <v>0.9666203703703703</v>
      </c>
      <c r="K225">
        <v>0</v>
      </c>
      <c r="L225">
        <v>0</v>
      </c>
      <c r="M225">
        <v>0</v>
      </c>
      <c r="N225">
        <v>0</v>
      </c>
      <c r="O225">
        <v>0</v>
      </c>
      <c r="P225">
        <v>0</v>
      </c>
      <c r="Q225">
        <v>0</v>
      </c>
      <c r="R225">
        <v>0</v>
      </c>
      <c r="S225">
        <v>0</v>
      </c>
      <c r="T225">
        <v>0</v>
      </c>
      <c r="U225">
        <v>0</v>
      </c>
      <c r="V225">
        <v>0</v>
      </c>
      <c r="W225" s="30">
        <f t="shared" ref="W225" si="135">AVERAGE(H225:H229)</f>
        <v>35.791200000000003</v>
      </c>
      <c r="Y225">
        <v>0</v>
      </c>
      <c r="Z225" t="s">
        <v>16</v>
      </c>
      <c r="AA225">
        <v>28960</v>
      </c>
      <c r="AB225">
        <v>160</v>
      </c>
      <c r="AC225">
        <v>4</v>
      </c>
      <c r="AD225">
        <v>4</v>
      </c>
      <c r="AE225">
        <v>429.39</v>
      </c>
      <c r="AF225" s="17">
        <v>37.713000000000001</v>
      </c>
      <c r="AG225" s="33">
        <v>45314</v>
      </c>
      <c r="AH225" s="34">
        <v>0.7984837962962964</v>
      </c>
      <c r="AI225">
        <v>0</v>
      </c>
      <c r="AJ225">
        <v>0</v>
      </c>
      <c r="AK225">
        <v>0</v>
      </c>
      <c r="AL225">
        <v>0</v>
      </c>
      <c r="AM225">
        <v>0</v>
      </c>
      <c r="AN225">
        <v>0</v>
      </c>
      <c r="AO225">
        <v>0</v>
      </c>
      <c r="AP225">
        <v>0</v>
      </c>
      <c r="AQ225">
        <v>0</v>
      </c>
      <c r="AR225">
        <v>0</v>
      </c>
      <c r="AS225">
        <v>0</v>
      </c>
      <c r="AT225">
        <v>0</v>
      </c>
      <c r="AU225" s="30">
        <f t="shared" ref="AU225:AU255" si="136">AVERAGE(AF225:AF229)</f>
        <v>37.708200000000005</v>
      </c>
    </row>
    <row r="226" spans="1:47" x14ac:dyDescent="0.25">
      <c r="A226">
        <v>1</v>
      </c>
      <c r="B226" t="s">
        <v>16</v>
      </c>
      <c r="C226">
        <v>28960</v>
      </c>
      <c r="D226">
        <v>160</v>
      </c>
      <c r="E226">
        <v>4</v>
      </c>
      <c r="F226">
        <v>4</v>
      </c>
      <c r="G226">
        <v>452.1</v>
      </c>
      <c r="H226" s="17">
        <v>35.817999999999998</v>
      </c>
      <c r="I226" s="33">
        <v>45318</v>
      </c>
      <c r="J226" s="37">
        <v>7.402777777777779E-2</v>
      </c>
      <c r="K226">
        <v>0</v>
      </c>
      <c r="L226">
        <v>0</v>
      </c>
      <c r="M226">
        <v>0</v>
      </c>
      <c r="N226">
        <v>0</v>
      </c>
      <c r="O226">
        <v>0</v>
      </c>
      <c r="P226">
        <v>0</v>
      </c>
      <c r="Q226">
        <v>0</v>
      </c>
      <c r="R226">
        <v>0</v>
      </c>
      <c r="S226">
        <v>0</v>
      </c>
      <c r="T226">
        <v>0</v>
      </c>
      <c r="U226">
        <v>0</v>
      </c>
      <c r="V226">
        <v>0</v>
      </c>
      <c r="W226" s="30">
        <f t="shared" ref="W226:W269" si="137">W225</f>
        <v>35.791200000000003</v>
      </c>
      <c r="Y226">
        <v>1</v>
      </c>
      <c r="Z226" t="s">
        <v>16</v>
      </c>
      <c r="AA226">
        <v>28960</v>
      </c>
      <c r="AB226">
        <v>160</v>
      </c>
      <c r="AC226">
        <v>4</v>
      </c>
      <c r="AD226">
        <v>4</v>
      </c>
      <c r="AE226">
        <v>429.67</v>
      </c>
      <c r="AF226" s="17">
        <v>37.688000000000002</v>
      </c>
      <c r="AG226" s="33">
        <v>45314</v>
      </c>
      <c r="AH226" s="34">
        <v>0.76902777777777775</v>
      </c>
      <c r="AI226">
        <v>0</v>
      </c>
      <c r="AJ226">
        <v>0</v>
      </c>
      <c r="AK226">
        <v>0</v>
      </c>
      <c r="AL226">
        <v>0</v>
      </c>
      <c r="AM226">
        <v>0</v>
      </c>
      <c r="AN226">
        <v>0</v>
      </c>
      <c r="AO226">
        <v>0</v>
      </c>
      <c r="AP226">
        <v>0</v>
      </c>
      <c r="AQ226">
        <v>0</v>
      </c>
      <c r="AR226">
        <v>0</v>
      </c>
      <c r="AS226">
        <v>0</v>
      </c>
      <c r="AT226">
        <v>0</v>
      </c>
      <c r="AU226" s="30">
        <f t="shared" ref="AU226:AU256" si="138">AU225</f>
        <v>37.708200000000005</v>
      </c>
    </row>
    <row r="227" spans="1:47" x14ac:dyDescent="0.25">
      <c r="A227">
        <v>2</v>
      </c>
      <c r="B227" t="s">
        <v>16</v>
      </c>
      <c r="C227">
        <v>28960</v>
      </c>
      <c r="D227">
        <v>160</v>
      </c>
      <c r="E227">
        <v>4</v>
      </c>
      <c r="F227">
        <v>4</v>
      </c>
      <c r="G227">
        <v>452.51</v>
      </c>
      <c r="H227" s="17">
        <v>35.786000000000001</v>
      </c>
      <c r="I227" s="33">
        <v>45318</v>
      </c>
      <c r="J227" s="37">
        <v>0.33346064814814813</v>
      </c>
      <c r="K227">
        <v>0</v>
      </c>
      <c r="L227">
        <v>0</v>
      </c>
      <c r="M227">
        <v>0</v>
      </c>
      <c r="N227">
        <v>0</v>
      </c>
      <c r="O227">
        <v>0</v>
      </c>
      <c r="P227">
        <v>0</v>
      </c>
      <c r="Q227">
        <v>0</v>
      </c>
      <c r="R227">
        <v>0</v>
      </c>
      <c r="S227">
        <v>0</v>
      </c>
      <c r="T227">
        <v>0</v>
      </c>
      <c r="U227">
        <v>0</v>
      </c>
      <c r="V227">
        <v>0</v>
      </c>
      <c r="W227" s="30">
        <f t="shared" si="137"/>
        <v>35.791200000000003</v>
      </c>
      <c r="Y227">
        <v>2</v>
      </c>
      <c r="Z227" t="s">
        <v>16</v>
      </c>
      <c r="AA227">
        <v>28960</v>
      </c>
      <c r="AB227">
        <v>160</v>
      </c>
      <c r="AC227">
        <v>4</v>
      </c>
      <c r="AD227">
        <v>4</v>
      </c>
      <c r="AE227">
        <v>429.38</v>
      </c>
      <c r="AF227" s="17">
        <v>37.713999999999999</v>
      </c>
      <c r="AG227" s="33">
        <v>45318</v>
      </c>
      <c r="AH227" s="34">
        <v>8.3796296296296299E-2</v>
      </c>
      <c r="AI227">
        <v>0</v>
      </c>
      <c r="AJ227">
        <v>0</v>
      </c>
      <c r="AK227">
        <v>0</v>
      </c>
      <c r="AL227">
        <v>0</v>
      </c>
      <c r="AM227">
        <v>0</v>
      </c>
      <c r="AN227">
        <v>0</v>
      </c>
      <c r="AO227">
        <v>0</v>
      </c>
      <c r="AP227">
        <v>0</v>
      </c>
      <c r="AQ227">
        <v>0</v>
      </c>
      <c r="AR227">
        <v>0</v>
      </c>
      <c r="AS227">
        <v>0</v>
      </c>
      <c r="AT227">
        <v>0</v>
      </c>
      <c r="AU227" s="30">
        <f t="shared" si="134"/>
        <v>37.708200000000005</v>
      </c>
    </row>
    <row r="228" spans="1:47" x14ac:dyDescent="0.25">
      <c r="A228">
        <v>3</v>
      </c>
      <c r="B228" t="s">
        <v>16</v>
      </c>
      <c r="C228">
        <v>28960</v>
      </c>
      <c r="D228">
        <v>160</v>
      </c>
      <c r="E228">
        <v>4</v>
      </c>
      <c r="F228">
        <v>4</v>
      </c>
      <c r="G228">
        <v>452.77</v>
      </c>
      <c r="H228" s="17">
        <v>35.765000000000001</v>
      </c>
      <c r="I228" s="33">
        <v>45318</v>
      </c>
      <c r="J228" s="37">
        <v>0.59275462962962966</v>
      </c>
      <c r="K228">
        <v>0</v>
      </c>
      <c r="L228">
        <v>0</v>
      </c>
      <c r="M228">
        <v>0</v>
      </c>
      <c r="N228">
        <v>0</v>
      </c>
      <c r="O228">
        <v>0</v>
      </c>
      <c r="P228">
        <v>0</v>
      </c>
      <c r="Q228">
        <v>0</v>
      </c>
      <c r="R228">
        <v>0</v>
      </c>
      <c r="S228">
        <v>0</v>
      </c>
      <c r="T228">
        <v>0</v>
      </c>
      <c r="U228">
        <v>0</v>
      </c>
      <c r="V228">
        <v>0</v>
      </c>
      <c r="W228" s="30">
        <f t="shared" si="137"/>
        <v>35.791200000000003</v>
      </c>
      <c r="Y228">
        <v>3</v>
      </c>
      <c r="Z228" t="s">
        <v>16</v>
      </c>
      <c r="AA228">
        <v>28960</v>
      </c>
      <c r="AB228">
        <v>160</v>
      </c>
      <c r="AC228">
        <v>4</v>
      </c>
      <c r="AD228">
        <v>4</v>
      </c>
      <c r="AE228">
        <v>429.82</v>
      </c>
      <c r="AF228" s="17">
        <v>37.674999999999997</v>
      </c>
      <c r="AG228" s="33">
        <v>45318</v>
      </c>
      <c r="AH228" s="34">
        <v>0.15166666666666667</v>
      </c>
      <c r="AI228">
        <v>0</v>
      </c>
      <c r="AJ228">
        <v>0</v>
      </c>
      <c r="AK228">
        <v>0</v>
      </c>
      <c r="AL228">
        <v>0</v>
      </c>
      <c r="AM228">
        <v>0</v>
      </c>
      <c r="AN228">
        <v>0</v>
      </c>
      <c r="AO228">
        <v>0</v>
      </c>
      <c r="AP228">
        <v>0</v>
      </c>
      <c r="AQ228">
        <v>0</v>
      </c>
      <c r="AR228">
        <v>0</v>
      </c>
      <c r="AS228">
        <v>0</v>
      </c>
      <c r="AT228">
        <v>0</v>
      </c>
      <c r="AU228" s="30">
        <f t="shared" si="134"/>
        <v>37.708200000000005</v>
      </c>
    </row>
    <row r="229" spans="1:47" x14ac:dyDescent="0.25">
      <c r="A229">
        <v>4</v>
      </c>
      <c r="B229" t="s">
        <v>16</v>
      </c>
      <c r="C229">
        <v>28960</v>
      </c>
      <c r="D229">
        <v>160</v>
      </c>
      <c r="E229">
        <v>4</v>
      </c>
      <c r="F229">
        <v>4</v>
      </c>
      <c r="G229">
        <v>452.36</v>
      </c>
      <c r="H229" s="17">
        <v>35.798000000000002</v>
      </c>
      <c r="I229" s="33">
        <v>45318</v>
      </c>
      <c r="J229" s="37">
        <v>0.85212962962962957</v>
      </c>
      <c r="K229">
        <v>0</v>
      </c>
      <c r="L229">
        <v>0</v>
      </c>
      <c r="M229">
        <v>0</v>
      </c>
      <c r="N229">
        <v>0</v>
      </c>
      <c r="O229">
        <v>0</v>
      </c>
      <c r="P229">
        <v>0</v>
      </c>
      <c r="Q229">
        <v>0</v>
      </c>
      <c r="R229">
        <v>0</v>
      </c>
      <c r="S229">
        <v>0</v>
      </c>
      <c r="T229">
        <v>0</v>
      </c>
      <c r="U229">
        <v>0</v>
      </c>
      <c r="V229">
        <v>0</v>
      </c>
      <c r="W229" s="30">
        <f t="shared" si="137"/>
        <v>35.791200000000003</v>
      </c>
      <c r="Y229">
        <v>4</v>
      </c>
      <c r="Z229" t="s">
        <v>16</v>
      </c>
      <c r="AA229">
        <v>28960</v>
      </c>
      <c r="AB229">
        <v>160</v>
      </c>
      <c r="AC229">
        <v>4</v>
      </c>
      <c r="AD229">
        <v>4</v>
      </c>
      <c r="AE229">
        <v>428.96</v>
      </c>
      <c r="AF229" s="17">
        <v>37.750999999999998</v>
      </c>
      <c r="AG229" s="33">
        <v>45318</v>
      </c>
      <c r="AH229" s="34">
        <v>7.105324074074075E-2</v>
      </c>
      <c r="AI229">
        <v>0</v>
      </c>
      <c r="AJ229">
        <v>0</v>
      </c>
      <c r="AK229">
        <v>0</v>
      </c>
      <c r="AL229">
        <v>0</v>
      </c>
      <c r="AM229">
        <v>0</v>
      </c>
      <c r="AN229">
        <v>0</v>
      </c>
      <c r="AO229">
        <v>0</v>
      </c>
      <c r="AP229">
        <v>0</v>
      </c>
      <c r="AQ229">
        <v>0</v>
      </c>
      <c r="AR229">
        <v>0</v>
      </c>
      <c r="AS229">
        <v>0</v>
      </c>
      <c r="AT229">
        <v>77</v>
      </c>
      <c r="AU229" s="30">
        <f t="shared" si="134"/>
        <v>37.708200000000005</v>
      </c>
    </row>
    <row r="230" spans="1:47" x14ac:dyDescent="0.25">
      <c r="A230">
        <v>0</v>
      </c>
      <c r="B230" t="s">
        <v>16</v>
      </c>
      <c r="C230">
        <v>25920</v>
      </c>
      <c r="D230">
        <v>192</v>
      </c>
      <c r="E230">
        <v>1</v>
      </c>
      <c r="F230">
        <v>16</v>
      </c>
      <c r="G230">
        <v>340.6</v>
      </c>
      <c r="H230" s="17">
        <v>34.088000000000001</v>
      </c>
      <c r="I230" s="33">
        <v>45318</v>
      </c>
      <c r="J230" s="37">
        <v>0.89296296296296296</v>
      </c>
      <c r="K230">
        <v>0</v>
      </c>
      <c r="L230">
        <v>0</v>
      </c>
      <c r="M230">
        <v>0</v>
      </c>
      <c r="N230">
        <v>0</v>
      </c>
      <c r="O230">
        <v>0</v>
      </c>
      <c r="P230">
        <v>0</v>
      </c>
      <c r="Q230">
        <v>0</v>
      </c>
      <c r="R230">
        <v>0</v>
      </c>
      <c r="S230">
        <v>0</v>
      </c>
      <c r="T230">
        <v>0</v>
      </c>
      <c r="U230">
        <v>0</v>
      </c>
      <c r="V230">
        <v>0</v>
      </c>
      <c r="W230" s="30">
        <f t="shared" ref="W230" si="139">AVERAGE(H230:H234)</f>
        <v>34.085400000000007</v>
      </c>
      <c r="Y230">
        <v>0</v>
      </c>
      <c r="Z230" t="s">
        <v>16</v>
      </c>
      <c r="AA230">
        <v>25920</v>
      </c>
      <c r="AB230">
        <v>192</v>
      </c>
      <c r="AC230">
        <v>1</v>
      </c>
      <c r="AD230">
        <v>16</v>
      </c>
      <c r="AE230">
        <v>315.43</v>
      </c>
      <c r="AF230" s="17">
        <v>36.808999999999997</v>
      </c>
      <c r="AG230" s="33">
        <v>45314</v>
      </c>
      <c r="AH230" s="34">
        <v>0.84665509259259253</v>
      </c>
      <c r="AI230">
        <v>0</v>
      </c>
      <c r="AJ230">
        <v>0</v>
      </c>
      <c r="AK230">
        <v>0</v>
      </c>
      <c r="AL230">
        <v>0</v>
      </c>
      <c r="AM230">
        <v>0</v>
      </c>
      <c r="AN230">
        <v>0</v>
      </c>
      <c r="AO230">
        <v>0</v>
      </c>
      <c r="AP230">
        <v>0</v>
      </c>
      <c r="AQ230">
        <v>0</v>
      </c>
      <c r="AR230">
        <v>0</v>
      </c>
      <c r="AS230">
        <v>0</v>
      </c>
      <c r="AT230">
        <v>0</v>
      </c>
      <c r="AU230" s="30">
        <f t="shared" ref="AU230:AU260" si="140">AVERAGE(AF230:AF234)</f>
        <v>36.800399999999996</v>
      </c>
    </row>
    <row r="231" spans="1:47" x14ac:dyDescent="0.25">
      <c r="A231">
        <v>1</v>
      </c>
      <c r="B231" t="s">
        <v>16</v>
      </c>
      <c r="C231">
        <v>25920</v>
      </c>
      <c r="D231">
        <v>192</v>
      </c>
      <c r="E231">
        <v>1</v>
      </c>
      <c r="F231">
        <v>16</v>
      </c>
      <c r="G231">
        <v>340.55</v>
      </c>
      <c r="H231" s="17">
        <v>34.093000000000004</v>
      </c>
      <c r="I231" s="33">
        <v>45318</v>
      </c>
      <c r="J231" s="37">
        <v>5.0925925925925921E-4</v>
      </c>
      <c r="K231">
        <v>0</v>
      </c>
      <c r="L231">
        <v>0</v>
      </c>
      <c r="M231">
        <v>0</v>
      </c>
      <c r="N231">
        <v>0</v>
      </c>
      <c r="O231">
        <v>0</v>
      </c>
      <c r="P231">
        <v>0</v>
      </c>
      <c r="Q231">
        <v>0</v>
      </c>
      <c r="R231">
        <v>0</v>
      </c>
      <c r="S231">
        <v>0</v>
      </c>
      <c r="T231">
        <v>0</v>
      </c>
      <c r="U231">
        <v>0</v>
      </c>
      <c r="V231">
        <v>0</v>
      </c>
      <c r="W231" s="30">
        <f t="shared" ref="W231:W294" si="141">W230</f>
        <v>34.085400000000007</v>
      </c>
      <c r="Y231">
        <v>1</v>
      </c>
      <c r="Z231" t="s">
        <v>16</v>
      </c>
      <c r="AA231">
        <v>25920</v>
      </c>
      <c r="AB231">
        <v>192</v>
      </c>
      <c r="AC231">
        <v>1</v>
      </c>
      <c r="AD231">
        <v>16</v>
      </c>
      <c r="AE231">
        <v>315.35000000000002</v>
      </c>
      <c r="AF231" s="17">
        <v>36.817999999999998</v>
      </c>
      <c r="AG231" s="33">
        <v>45314</v>
      </c>
      <c r="AH231" s="34">
        <v>0.98875000000000002</v>
      </c>
      <c r="AI231">
        <v>0</v>
      </c>
      <c r="AJ231">
        <v>0</v>
      </c>
      <c r="AK231">
        <v>0</v>
      </c>
      <c r="AL231">
        <v>0</v>
      </c>
      <c r="AM231">
        <v>0</v>
      </c>
      <c r="AN231">
        <v>0</v>
      </c>
      <c r="AO231">
        <v>0</v>
      </c>
      <c r="AP231">
        <v>0</v>
      </c>
      <c r="AQ231">
        <v>0</v>
      </c>
      <c r="AR231">
        <v>0</v>
      </c>
      <c r="AS231">
        <v>0</v>
      </c>
      <c r="AT231">
        <v>0</v>
      </c>
      <c r="AU231" s="30">
        <f t="shared" ref="AU231:AU261" si="142">AU230</f>
        <v>36.800399999999996</v>
      </c>
    </row>
    <row r="232" spans="1:47" x14ac:dyDescent="0.25">
      <c r="A232">
        <v>2</v>
      </c>
      <c r="B232" t="s">
        <v>16</v>
      </c>
      <c r="C232">
        <v>25920</v>
      </c>
      <c r="D232">
        <v>192</v>
      </c>
      <c r="E232">
        <v>1</v>
      </c>
      <c r="F232">
        <v>16</v>
      </c>
      <c r="G232">
        <v>340.47</v>
      </c>
      <c r="H232" s="17">
        <v>34.101999999999997</v>
      </c>
      <c r="I232" s="33">
        <v>45318</v>
      </c>
      <c r="J232" s="37">
        <v>0.25994212962962965</v>
      </c>
      <c r="K232">
        <v>0</v>
      </c>
      <c r="L232">
        <v>0</v>
      </c>
      <c r="M232">
        <v>0</v>
      </c>
      <c r="N232">
        <v>0</v>
      </c>
      <c r="O232">
        <v>0</v>
      </c>
      <c r="P232">
        <v>0</v>
      </c>
      <c r="Q232">
        <v>0</v>
      </c>
      <c r="R232">
        <v>0</v>
      </c>
      <c r="S232">
        <v>0</v>
      </c>
      <c r="T232">
        <v>0</v>
      </c>
      <c r="U232">
        <v>0</v>
      </c>
      <c r="V232">
        <v>0</v>
      </c>
      <c r="W232" s="30">
        <f t="shared" si="141"/>
        <v>34.085400000000007</v>
      </c>
      <c r="Y232">
        <v>2</v>
      </c>
      <c r="Z232" t="s">
        <v>16</v>
      </c>
      <c r="AA232">
        <v>25920</v>
      </c>
      <c r="AB232">
        <v>192</v>
      </c>
      <c r="AC232">
        <v>1</v>
      </c>
      <c r="AD232">
        <v>16</v>
      </c>
      <c r="AE232">
        <v>315.47000000000003</v>
      </c>
      <c r="AF232" s="17">
        <v>36.804000000000002</v>
      </c>
      <c r="AG232" s="33">
        <v>45318</v>
      </c>
      <c r="AH232" s="34">
        <v>3.3090277777777781E-2</v>
      </c>
      <c r="AI232">
        <v>0</v>
      </c>
      <c r="AJ232">
        <v>0</v>
      </c>
      <c r="AK232">
        <v>0</v>
      </c>
      <c r="AL232">
        <v>0</v>
      </c>
      <c r="AM232">
        <v>0</v>
      </c>
      <c r="AN232">
        <v>0</v>
      </c>
      <c r="AO232">
        <v>0</v>
      </c>
      <c r="AP232">
        <v>0</v>
      </c>
      <c r="AQ232">
        <v>0</v>
      </c>
      <c r="AR232">
        <v>0</v>
      </c>
      <c r="AS232">
        <v>0</v>
      </c>
      <c r="AT232">
        <v>0</v>
      </c>
      <c r="AU232" s="30">
        <f t="shared" si="134"/>
        <v>36.800399999999996</v>
      </c>
    </row>
    <row r="233" spans="1:47" x14ac:dyDescent="0.25">
      <c r="A233">
        <v>3</v>
      </c>
      <c r="B233" t="s">
        <v>16</v>
      </c>
      <c r="C233">
        <v>25920</v>
      </c>
      <c r="D233">
        <v>192</v>
      </c>
      <c r="E233">
        <v>1</v>
      </c>
      <c r="F233">
        <v>16</v>
      </c>
      <c r="G233">
        <v>340.84</v>
      </c>
      <c r="H233" s="17">
        <v>34.064999999999998</v>
      </c>
      <c r="I233" s="33">
        <v>45318</v>
      </c>
      <c r="J233" s="37">
        <v>0.51924768518518516</v>
      </c>
      <c r="K233">
        <v>0</v>
      </c>
      <c r="L233">
        <v>0</v>
      </c>
      <c r="M233">
        <v>0</v>
      </c>
      <c r="N233">
        <v>0</v>
      </c>
      <c r="O233">
        <v>0</v>
      </c>
      <c r="P233">
        <v>0</v>
      </c>
      <c r="Q233">
        <v>0</v>
      </c>
      <c r="R233">
        <v>0</v>
      </c>
      <c r="S233">
        <v>0</v>
      </c>
      <c r="T233">
        <v>0</v>
      </c>
      <c r="U233">
        <v>0</v>
      </c>
      <c r="V233">
        <v>0</v>
      </c>
      <c r="W233" s="30">
        <f t="shared" si="141"/>
        <v>34.085400000000007</v>
      </c>
      <c r="Y233">
        <v>3</v>
      </c>
      <c r="Z233" t="s">
        <v>16</v>
      </c>
      <c r="AA233">
        <v>25920</v>
      </c>
      <c r="AB233">
        <v>192</v>
      </c>
      <c r="AC233">
        <v>1</v>
      </c>
      <c r="AD233">
        <v>16</v>
      </c>
      <c r="AE233">
        <v>315.61</v>
      </c>
      <c r="AF233" s="17">
        <v>36.786999999999999</v>
      </c>
      <c r="AG233" s="33">
        <v>45315</v>
      </c>
      <c r="AH233" s="34">
        <v>0.1391087962962963</v>
      </c>
      <c r="AI233">
        <v>0</v>
      </c>
      <c r="AJ233">
        <v>0</v>
      </c>
      <c r="AK233">
        <v>0</v>
      </c>
      <c r="AL233">
        <v>0</v>
      </c>
      <c r="AM233">
        <v>0</v>
      </c>
      <c r="AN233">
        <v>0</v>
      </c>
      <c r="AO233">
        <v>0</v>
      </c>
      <c r="AP233">
        <v>0</v>
      </c>
      <c r="AQ233">
        <v>0</v>
      </c>
      <c r="AR233">
        <v>0</v>
      </c>
      <c r="AS233">
        <v>0</v>
      </c>
      <c r="AT233">
        <v>0</v>
      </c>
      <c r="AU233" s="30">
        <f t="shared" si="134"/>
        <v>36.800399999999996</v>
      </c>
    </row>
    <row r="234" spans="1:47" x14ac:dyDescent="0.25">
      <c r="A234">
        <v>4</v>
      </c>
      <c r="B234" t="s">
        <v>16</v>
      </c>
      <c r="C234">
        <v>25920</v>
      </c>
      <c r="D234">
        <v>192</v>
      </c>
      <c r="E234">
        <v>1</v>
      </c>
      <c r="F234">
        <v>16</v>
      </c>
      <c r="G234">
        <v>340.7</v>
      </c>
      <c r="H234" s="17">
        <v>34.079000000000001</v>
      </c>
      <c r="I234" s="33">
        <v>45318</v>
      </c>
      <c r="J234" s="37">
        <v>0.77861111111111114</v>
      </c>
      <c r="K234">
        <v>0</v>
      </c>
      <c r="L234">
        <v>0</v>
      </c>
      <c r="M234">
        <v>0</v>
      </c>
      <c r="N234">
        <v>0</v>
      </c>
      <c r="O234">
        <v>0</v>
      </c>
      <c r="P234">
        <v>0</v>
      </c>
      <c r="Q234">
        <v>0</v>
      </c>
      <c r="R234">
        <v>0</v>
      </c>
      <c r="S234">
        <v>0</v>
      </c>
      <c r="T234">
        <v>0</v>
      </c>
      <c r="U234">
        <v>0</v>
      </c>
      <c r="V234">
        <v>0</v>
      </c>
      <c r="W234" s="30">
        <f t="shared" si="141"/>
        <v>34.085400000000007</v>
      </c>
      <c r="Y234">
        <v>4</v>
      </c>
      <c r="Z234" t="s">
        <v>16</v>
      </c>
      <c r="AA234">
        <v>25920</v>
      </c>
      <c r="AB234">
        <v>192</v>
      </c>
      <c r="AC234">
        <v>1</v>
      </c>
      <c r="AD234">
        <v>16</v>
      </c>
      <c r="AE234">
        <v>315.64</v>
      </c>
      <c r="AF234" s="17">
        <v>36.783999999999999</v>
      </c>
      <c r="AG234" s="33">
        <v>45318</v>
      </c>
      <c r="AH234" s="34">
        <v>5.3136574074074072E-2</v>
      </c>
      <c r="AI234">
        <v>0</v>
      </c>
      <c r="AJ234">
        <v>0</v>
      </c>
      <c r="AK234">
        <v>0</v>
      </c>
      <c r="AL234">
        <v>0</v>
      </c>
      <c r="AM234">
        <v>0</v>
      </c>
      <c r="AN234">
        <v>0</v>
      </c>
      <c r="AO234">
        <v>0</v>
      </c>
      <c r="AP234">
        <v>0</v>
      </c>
      <c r="AQ234">
        <v>0</v>
      </c>
      <c r="AR234">
        <v>0</v>
      </c>
      <c r="AS234">
        <v>0</v>
      </c>
      <c r="AT234">
        <v>0</v>
      </c>
      <c r="AU234" s="30">
        <f t="shared" si="134"/>
        <v>36.800399999999996</v>
      </c>
    </row>
    <row r="235" spans="1:47" x14ac:dyDescent="0.25">
      <c r="A235">
        <v>0</v>
      </c>
      <c r="B235" t="s">
        <v>16</v>
      </c>
      <c r="C235">
        <v>27456</v>
      </c>
      <c r="D235">
        <v>192</v>
      </c>
      <c r="E235">
        <v>1</v>
      </c>
      <c r="F235">
        <v>16</v>
      </c>
      <c r="G235">
        <v>399.98</v>
      </c>
      <c r="H235" s="17">
        <v>34.5</v>
      </c>
      <c r="I235" s="33">
        <v>45318</v>
      </c>
      <c r="J235" s="37">
        <v>0.80905092592592587</v>
      </c>
      <c r="K235">
        <v>0</v>
      </c>
      <c r="L235">
        <v>0</v>
      </c>
      <c r="M235">
        <v>0</v>
      </c>
      <c r="N235">
        <v>0</v>
      </c>
      <c r="O235">
        <v>0</v>
      </c>
      <c r="P235">
        <v>0</v>
      </c>
      <c r="Q235">
        <v>0</v>
      </c>
      <c r="R235">
        <v>0</v>
      </c>
      <c r="S235">
        <v>0</v>
      </c>
      <c r="T235">
        <v>0</v>
      </c>
      <c r="U235">
        <v>0</v>
      </c>
      <c r="V235">
        <v>0</v>
      </c>
      <c r="W235" s="30">
        <f t="shared" ref="W235" si="143">AVERAGE(H235:H239)</f>
        <v>34.595199999999991</v>
      </c>
      <c r="Y235">
        <v>0</v>
      </c>
      <c r="Z235" t="s">
        <v>16</v>
      </c>
      <c r="AA235">
        <v>27456</v>
      </c>
      <c r="AB235">
        <v>192</v>
      </c>
      <c r="AC235">
        <v>1</v>
      </c>
      <c r="AD235">
        <v>16</v>
      </c>
      <c r="AE235">
        <v>369.32</v>
      </c>
      <c r="AF235" s="17">
        <v>37.363999999999997</v>
      </c>
      <c r="AG235" s="33">
        <v>45314</v>
      </c>
      <c r="AH235" s="34">
        <v>0.76087962962962974</v>
      </c>
      <c r="AI235">
        <v>0</v>
      </c>
      <c r="AJ235">
        <v>0</v>
      </c>
      <c r="AK235">
        <v>0</v>
      </c>
      <c r="AL235">
        <v>0</v>
      </c>
      <c r="AM235">
        <v>0</v>
      </c>
      <c r="AN235">
        <v>0</v>
      </c>
      <c r="AO235">
        <v>0</v>
      </c>
      <c r="AP235">
        <v>0</v>
      </c>
      <c r="AQ235">
        <v>0</v>
      </c>
      <c r="AR235">
        <v>0</v>
      </c>
      <c r="AS235">
        <v>0</v>
      </c>
      <c r="AT235">
        <v>0</v>
      </c>
      <c r="AU235" s="30">
        <f t="shared" ref="AU235:AU265" si="144">AVERAGE(AF235:AF239)</f>
        <v>37.366599999999991</v>
      </c>
    </row>
    <row r="236" spans="1:47" x14ac:dyDescent="0.25">
      <c r="A236">
        <v>1</v>
      </c>
      <c r="B236" t="s">
        <v>16</v>
      </c>
      <c r="C236">
        <v>27456</v>
      </c>
      <c r="D236">
        <v>192</v>
      </c>
      <c r="E236">
        <v>1</v>
      </c>
      <c r="F236">
        <v>16</v>
      </c>
      <c r="G236">
        <v>398.59</v>
      </c>
      <c r="H236" s="17">
        <v>34.619999999999997</v>
      </c>
      <c r="I236" s="33">
        <v>45318</v>
      </c>
      <c r="J236" s="37">
        <v>7.1180555555555566E-2</v>
      </c>
      <c r="K236">
        <v>0</v>
      </c>
      <c r="L236">
        <v>0</v>
      </c>
      <c r="M236">
        <v>0</v>
      </c>
      <c r="N236">
        <v>0</v>
      </c>
      <c r="O236">
        <v>0</v>
      </c>
      <c r="P236">
        <v>0</v>
      </c>
      <c r="Q236">
        <v>0</v>
      </c>
      <c r="R236">
        <v>0</v>
      </c>
      <c r="S236">
        <v>0</v>
      </c>
      <c r="T236">
        <v>0</v>
      </c>
      <c r="U236">
        <v>0</v>
      </c>
      <c r="V236">
        <v>0</v>
      </c>
      <c r="W236" s="30">
        <f t="shared" ref="W236" si="145">W235</f>
        <v>34.595199999999991</v>
      </c>
      <c r="Y236">
        <v>1</v>
      </c>
      <c r="Z236" t="s">
        <v>16</v>
      </c>
      <c r="AA236">
        <v>27456</v>
      </c>
      <c r="AB236">
        <v>192</v>
      </c>
      <c r="AC236">
        <v>1</v>
      </c>
      <c r="AD236">
        <v>16</v>
      </c>
      <c r="AE236">
        <v>369.26</v>
      </c>
      <c r="AF236" s="17">
        <v>37.369999999999997</v>
      </c>
      <c r="AG236" s="33">
        <v>45314</v>
      </c>
      <c r="AH236" s="34">
        <v>0.90300925925925923</v>
      </c>
      <c r="AI236">
        <v>0</v>
      </c>
      <c r="AJ236">
        <v>0</v>
      </c>
      <c r="AK236">
        <v>0</v>
      </c>
      <c r="AL236">
        <v>0</v>
      </c>
      <c r="AM236">
        <v>0</v>
      </c>
      <c r="AN236">
        <v>0</v>
      </c>
      <c r="AO236">
        <v>0</v>
      </c>
      <c r="AP236">
        <v>0</v>
      </c>
      <c r="AQ236">
        <v>0</v>
      </c>
      <c r="AR236">
        <v>0</v>
      </c>
      <c r="AS236">
        <v>0</v>
      </c>
      <c r="AT236">
        <v>0</v>
      </c>
      <c r="AU236" s="30">
        <f t="shared" ref="AU236:AU266" si="146">AU235</f>
        <v>37.366599999999991</v>
      </c>
    </row>
    <row r="237" spans="1:47" x14ac:dyDescent="0.25">
      <c r="A237">
        <v>2</v>
      </c>
      <c r="B237" t="s">
        <v>16</v>
      </c>
      <c r="C237">
        <v>27456</v>
      </c>
      <c r="D237">
        <v>192</v>
      </c>
      <c r="E237">
        <v>1</v>
      </c>
      <c r="F237">
        <v>16</v>
      </c>
      <c r="G237">
        <v>398.62</v>
      </c>
      <c r="H237" s="17">
        <v>34.616999999999997</v>
      </c>
      <c r="I237" s="33">
        <v>45318</v>
      </c>
      <c r="J237" s="37">
        <v>0.17596064814814816</v>
      </c>
      <c r="K237">
        <v>0</v>
      </c>
      <c r="L237">
        <v>0</v>
      </c>
      <c r="M237">
        <v>0</v>
      </c>
      <c r="N237">
        <v>0</v>
      </c>
      <c r="O237">
        <v>0</v>
      </c>
      <c r="P237">
        <v>0</v>
      </c>
      <c r="Q237">
        <v>0</v>
      </c>
      <c r="R237">
        <v>0</v>
      </c>
      <c r="S237">
        <v>0</v>
      </c>
      <c r="T237">
        <v>0</v>
      </c>
      <c r="U237">
        <v>0</v>
      </c>
      <c r="V237">
        <v>0</v>
      </c>
      <c r="W237" s="30">
        <f t="shared" si="137"/>
        <v>34.595199999999991</v>
      </c>
      <c r="Y237">
        <v>2</v>
      </c>
      <c r="Z237" t="s">
        <v>16</v>
      </c>
      <c r="AA237">
        <v>27456</v>
      </c>
      <c r="AB237">
        <v>192</v>
      </c>
      <c r="AC237">
        <v>1</v>
      </c>
      <c r="AD237">
        <v>16</v>
      </c>
      <c r="AE237">
        <v>369.49</v>
      </c>
      <c r="AF237" s="17">
        <v>37.345999999999997</v>
      </c>
      <c r="AG237" s="33">
        <v>45318</v>
      </c>
      <c r="AH237" s="34">
        <v>0.23245370370370369</v>
      </c>
      <c r="AI237">
        <v>0</v>
      </c>
      <c r="AJ237">
        <v>0</v>
      </c>
      <c r="AK237">
        <v>0</v>
      </c>
      <c r="AL237">
        <v>0</v>
      </c>
      <c r="AM237">
        <v>0</v>
      </c>
      <c r="AN237">
        <v>0</v>
      </c>
      <c r="AO237">
        <v>0</v>
      </c>
      <c r="AP237">
        <v>0</v>
      </c>
      <c r="AQ237">
        <v>0</v>
      </c>
      <c r="AR237">
        <v>0</v>
      </c>
      <c r="AS237">
        <v>0</v>
      </c>
      <c r="AT237">
        <v>0</v>
      </c>
      <c r="AU237" s="30">
        <f t="shared" si="134"/>
        <v>37.366599999999991</v>
      </c>
    </row>
    <row r="238" spans="1:47" x14ac:dyDescent="0.25">
      <c r="A238">
        <v>3</v>
      </c>
      <c r="B238" t="s">
        <v>16</v>
      </c>
      <c r="C238">
        <v>27456</v>
      </c>
      <c r="D238">
        <v>192</v>
      </c>
      <c r="E238">
        <v>1</v>
      </c>
      <c r="F238">
        <v>16</v>
      </c>
      <c r="G238">
        <v>398.56</v>
      </c>
      <c r="H238" s="17">
        <v>34.622</v>
      </c>
      <c r="I238" s="33">
        <v>45318</v>
      </c>
      <c r="J238" s="37">
        <v>0.43525462962962963</v>
      </c>
      <c r="K238">
        <v>0</v>
      </c>
      <c r="L238">
        <v>0</v>
      </c>
      <c r="M238">
        <v>0</v>
      </c>
      <c r="N238">
        <v>0</v>
      </c>
      <c r="O238">
        <v>0</v>
      </c>
      <c r="P238">
        <v>0</v>
      </c>
      <c r="Q238">
        <v>0</v>
      </c>
      <c r="R238">
        <v>0</v>
      </c>
      <c r="S238">
        <v>0</v>
      </c>
      <c r="T238">
        <v>0</v>
      </c>
      <c r="U238">
        <v>0</v>
      </c>
      <c r="V238">
        <v>0</v>
      </c>
      <c r="W238" s="30">
        <f t="shared" si="137"/>
        <v>34.595199999999991</v>
      </c>
      <c r="Y238">
        <v>3</v>
      </c>
      <c r="Z238" t="s">
        <v>16</v>
      </c>
      <c r="AA238">
        <v>27456</v>
      </c>
      <c r="AB238">
        <v>192</v>
      </c>
      <c r="AC238">
        <v>1</v>
      </c>
      <c r="AD238">
        <v>16</v>
      </c>
      <c r="AE238">
        <v>369.04</v>
      </c>
      <c r="AF238" s="17">
        <v>37.392000000000003</v>
      </c>
      <c r="AG238" s="33">
        <v>45315</v>
      </c>
      <c r="AH238" s="34">
        <v>5.3333333333333337E-2</v>
      </c>
      <c r="AI238">
        <v>0</v>
      </c>
      <c r="AJ238">
        <v>0</v>
      </c>
      <c r="AK238">
        <v>0</v>
      </c>
      <c r="AL238">
        <v>0</v>
      </c>
      <c r="AM238">
        <v>0</v>
      </c>
      <c r="AN238">
        <v>0</v>
      </c>
      <c r="AO238">
        <v>0</v>
      </c>
      <c r="AP238">
        <v>0</v>
      </c>
      <c r="AQ238">
        <v>0</v>
      </c>
      <c r="AR238">
        <v>0</v>
      </c>
      <c r="AS238">
        <v>0</v>
      </c>
      <c r="AT238">
        <v>0</v>
      </c>
      <c r="AU238" s="30">
        <f t="shared" si="134"/>
        <v>37.366599999999991</v>
      </c>
    </row>
    <row r="239" spans="1:47" x14ac:dyDescent="0.25">
      <c r="A239">
        <v>4</v>
      </c>
      <c r="B239" t="s">
        <v>16</v>
      </c>
      <c r="C239">
        <v>27456</v>
      </c>
      <c r="D239">
        <v>192</v>
      </c>
      <c r="E239">
        <v>1</v>
      </c>
      <c r="F239">
        <v>16</v>
      </c>
      <c r="G239">
        <v>398.62</v>
      </c>
      <c r="H239" s="17">
        <v>34.616999999999997</v>
      </c>
      <c r="I239" s="33">
        <v>45318</v>
      </c>
      <c r="J239" s="37">
        <v>0.69459490740740737</v>
      </c>
      <c r="K239">
        <v>0</v>
      </c>
      <c r="L239">
        <v>0</v>
      </c>
      <c r="M239">
        <v>0</v>
      </c>
      <c r="N239">
        <v>0</v>
      </c>
      <c r="O239">
        <v>0</v>
      </c>
      <c r="P239">
        <v>0</v>
      </c>
      <c r="Q239">
        <v>0</v>
      </c>
      <c r="R239">
        <v>0</v>
      </c>
      <c r="S239">
        <v>0</v>
      </c>
      <c r="T239">
        <v>0</v>
      </c>
      <c r="U239">
        <v>0</v>
      </c>
      <c r="V239">
        <v>0</v>
      </c>
      <c r="W239" s="30">
        <f t="shared" si="137"/>
        <v>34.595199999999991</v>
      </c>
      <c r="Y239">
        <v>4</v>
      </c>
      <c r="Z239" t="s">
        <v>16</v>
      </c>
      <c r="AA239">
        <v>27456</v>
      </c>
      <c r="AB239">
        <v>192</v>
      </c>
      <c r="AC239">
        <v>1</v>
      </c>
      <c r="AD239">
        <v>16</v>
      </c>
      <c r="AE239">
        <v>369.35</v>
      </c>
      <c r="AF239" s="17">
        <v>37.360999999999997</v>
      </c>
      <c r="AG239" s="33">
        <v>45318</v>
      </c>
      <c r="AH239" s="34">
        <v>0.36300925925925925</v>
      </c>
      <c r="AI239">
        <v>0</v>
      </c>
      <c r="AJ239">
        <v>0</v>
      </c>
      <c r="AK239">
        <v>0</v>
      </c>
      <c r="AL239">
        <v>0</v>
      </c>
      <c r="AM239">
        <v>0</v>
      </c>
      <c r="AN239">
        <v>0</v>
      </c>
      <c r="AO239">
        <v>0</v>
      </c>
      <c r="AP239">
        <v>0</v>
      </c>
      <c r="AQ239">
        <v>0</v>
      </c>
      <c r="AR239">
        <v>0</v>
      </c>
      <c r="AS239">
        <v>0</v>
      </c>
      <c r="AT239">
        <v>200</v>
      </c>
      <c r="AU239" s="30">
        <f t="shared" si="134"/>
        <v>37.366599999999991</v>
      </c>
    </row>
    <row r="240" spans="1:47" x14ac:dyDescent="0.25">
      <c r="A240">
        <v>0</v>
      </c>
      <c r="B240" t="s">
        <v>16</v>
      </c>
      <c r="C240">
        <v>28992</v>
      </c>
      <c r="D240">
        <v>192</v>
      </c>
      <c r="E240">
        <v>1</v>
      </c>
      <c r="F240">
        <v>16</v>
      </c>
      <c r="G240">
        <v>468.32</v>
      </c>
      <c r="H240" s="17">
        <v>34.692999999999998</v>
      </c>
      <c r="I240" s="33">
        <v>45318</v>
      </c>
      <c r="J240" s="37">
        <v>0.97232638888888889</v>
      </c>
      <c r="K240">
        <v>0</v>
      </c>
      <c r="L240">
        <v>0</v>
      </c>
      <c r="M240">
        <v>0</v>
      </c>
      <c r="N240">
        <v>0</v>
      </c>
      <c r="O240">
        <v>0</v>
      </c>
      <c r="P240">
        <v>0</v>
      </c>
      <c r="Q240">
        <v>0</v>
      </c>
      <c r="R240">
        <v>0</v>
      </c>
      <c r="S240">
        <v>0</v>
      </c>
      <c r="T240">
        <v>0</v>
      </c>
      <c r="U240">
        <v>0</v>
      </c>
      <c r="V240">
        <v>0</v>
      </c>
      <c r="W240" s="30">
        <f t="shared" ref="W240" si="147">AVERAGE(H240:H244)</f>
        <v>34.7804</v>
      </c>
      <c r="Y240">
        <v>0</v>
      </c>
      <c r="Z240" t="s">
        <v>16</v>
      </c>
      <c r="AA240">
        <v>28992</v>
      </c>
      <c r="AB240">
        <v>192</v>
      </c>
      <c r="AC240">
        <v>1</v>
      </c>
      <c r="AD240">
        <v>16</v>
      </c>
      <c r="AE240">
        <v>434.59</v>
      </c>
      <c r="AF240" s="17">
        <v>37.384999999999998</v>
      </c>
      <c r="AG240" s="33">
        <v>45314</v>
      </c>
      <c r="AH240" s="34">
        <v>0.80431712962962953</v>
      </c>
      <c r="AI240">
        <v>0</v>
      </c>
      <c r="AJ240">
        <v>0</v>
      </c>
      <c r="AK240">
        <v>0</v>
      </c>
      <c r="AL240">
        <v>0</v>
      </c>
      <c r="AM240">
        <v>0</v>
      </c>
      <c r="AN240">
        <v>0</v>
      </c>
      <c r="AO240">
        <v>0</v>
      </c>
      <c r="AP240">
        <v>0</v>
      </c>
      <c r="AQ240">
        <v>0</v>
      </c>
      <c r="AR240">
        <v>0</v>
      </c>
      <c r="AS240">
        <v>0</v>
      </c>
      <c r="AT240">
        <v>0</v>
      </c>
      <c r="AU240" s="30">
        <f t="shared" ref="AU240:AU300" si="148">AVERAGE(AF240:AF244)</f>
        <v>37.399000000000001</v>
      </c>
    </row>
    <row r="241" spans="1:47" x14ac:dyDescent="0.25">
      <c r="A241">
        <v>1</v>
      </c>
      <c r="B241" t="s">
        <v>16</v>
      </c>
      <c r="C241">
        <v>28992</v>
      </c>
      <c r="D241">
        <v>192</v>
      </c>
      <c r="E241">
        <v>1</v>
      </c>
      <c r="F241">
        <v>16</v>
      </c>
      <c r="G241">
        <v>468.21</v>
      </c>
      <c r="H241" s="17">
        <v>34.700000000000003</v>
      </c>
      <c r="I241" s="33">
        <v>45318</v>
      </c>
      <c r="J241" s="37">
        <v>7.9733796296296303E-2</v>
      </c>
      <c r="K241">
        <v>0</v>
      </c>
      <c r="L241">
        <v>0</v>
      </c>
      <c r="M241">
        <v>0</v>
      </c>
      <c r="N241">
        <v>0</v>
      </c>
      <c r="O241">
        <v>0</v>
      </c>
      <c r="P241">
        <v>0</v>
      </c>
      <c r="Q241">
        <v>0</v>
      </c>
      <c r="R241">
        <v>0</v>
      </c>
      <c r="S241">
        <v>0</v>
      </c>
      <c r="T241">
        <v>0</v>
      </c>
      <c r="U241">
        <v>0</v>
      </c>
      <c r="V241">
        <v>0</v>
      </c>
      <c r="W241" s="30">
        <f t="shared" ref="W241" si="149">W240</f>
        <v>34.7804</v>
      </c>
      <c r="Y241">
        <v>1</v>
      </c>
      <c r="Z241" t="s">
        <v>16</v>
      </c>
      <c r="AA241">
        <v>28992</v>
      </c>
      <c r="AB241">
        <v>192</v>
      </c>
      <c r="AC241">
        <v>1</v>
      </c>
      <c r="AD241">
        <v>16</v>
      </c>
      <c r="AE241">
        <v>435.43</v>
      </c>
      <c r="AF241" s="17">
        <v>37.313000000000002</v>
      </c>
      <c r="AG241" s="33">
        <v>45314</v>
      </c>
      <c r="AH241" s="34">
        <v>0.77488425925925919</v>
      </c>
      <c r="AI241">
        <v>0</v>
      </c>
      <c r="AJ241">
        <v>0</v>
      </c>
      <c r="AK241">
        <v>0</v>
      </c>
      <c r="AL241">
        <v>0</v>
      </c>
      <c r="AM241">
        <v>0</v>
      </c>
      <c r="AN241">
        <v>0</v>
      </c>
      <c r="AO241">
        <v>0</v>
      </c>
      <c r="AP241">
        <v>0</v>
      </c>
      <c r="AQ241">
        <v>0</v>
      </c>
      <c r="AR241">
        <v>0</v>
      </c>
      <c r="AS241">
        <v>0</v>
      </c>
      <c r="AT241">
        <v>0</v>
      </c>
      <c r="AU241" s="30">
        <f t="shared" ref="AU241:AU304" si="150">AU240</f>
        <v>37.399000000000001</v>
      </c>
    </row>
    <row r="242" spans="1:47" x14ac:dyDescent="0.25">
      <c r="A242">
        <v>2</v>
      </c>
      <c r="B242" t="s">
        <v>16</v>
      </c>
      <c r="C242">
        <v>28992</v>
      </c>
      <c r="D242">
        <v>192</v>
      </c>
      <c r="E242">
        <v>1</v>
      </c>
      <c r="F242">
        <v>16</v>
      </c>
      <c r="G242">
        <v>466.02</v>
      </c>
      <c r="H242" s="17">
        <v>34.863999999999997</v>
      </c>
      <c r="I242" s="33">
        <v>45318</v>
      </c>
      <c r="J242" s="37">
        <v>0.33913194444444444</v>
      </c>
      <c r="K242">
        <v>0</v>
      </c>
      <c r="L242">
        <v>0</v>
      </c>
      <c r="M242">
        <v>0</v>
      </c>
      <c r="N242">
        <v>0</v>
      </c>
      <c r="O242">
        <v>0</v>
      </c>
      <c r="P242">
        <v>0</v>
      </c>
      <c r="Q242">
        <v>0</v>
      </c>
      <c r="R242">
        <v>0</v>
      </c>
      <c r="S242">
        <v>0</v>
      </c>
      <c r="T242">
        <v>0</v>
      </c>
      <c r="U242">
        <v>0</v>
      </c>
      <c r="V242">
        <v>0</v>
      </c>
      <c r="W242" s="30">
        <f t="shared" si="141"/>
        <v>34.7804</v>
      </c>
      <c r="Y242">
        <v>2</v>
      </c>
      <c r="Z242" t="s">
        <v>16</v>
      </c>
      <c r="AA242">
        <v>28992</v>
      </c>
      <c r="AB242">
        <v>192</v>
      </c>
      <c r="AC242">
        <v>1</v>
      </c>
      <c r="AD242">
        <v>16</v>
      </c>
      <c r="AE242">
        <v>435.62</v>
      </c>
      <c r="AF242" s="17">
        <v>37.296999999999997</v>
      </c>
      <c r="AG242" s="33">
        <v>45318</v>
      </c>
      <c r="AH242" s="34">
        <v>8.9641203703703709E-2</v>
      </c>
      <c r="AI242">
        <v>0</v>
      </c>
      <c r="AJ242">
        <v>0</v>
      </c>
      <c r="AK242">
        <v>0</v>
      </c>
      <c r="AL242">
        <v>0</v>
      </c>
      <c r="AM242">
        <v>0</v>
      </c>
      <c r="AN242">
        <v>0</v>
      </c>
      <c r="AO242">
        <v>0</v>
      </c>
      <c r="AP242">
        <v>0</v>
      </c>
      <c r="AQ242">
        <v>0</v>
      </c>
      <c r="AR242">
        <v>0</v>
      </c>
      <c r="AS242">
        <v>0</v>
      </c>
      <c r="AT242">
        <v>0</v>
      </c>
      <c r="AU242" s="30">
        <f t="shared" si="134"/>
        <v>37.399000000000001</v>
      </c>
    </row>
    <row r="243" spans="1:47" x14ac:dyDescent="0.25">
      <c r="A243">
        <v>3</v>
      </c>
      <c r="B243" t="s">
        <v>16</v>
      </c>
      <c r="C243">
        <v>28992</v>
      </c>
      <c r="D243">
        <v>192</v>
      </c>
      <c r="E243">
        <v>1</v>
      </c>
      <c r="F243">
        <v>16</v>
      </c>
      <c r="G243">
        <v>466.62</v>
      </c>
      <c r="H243" s="17">
        <v>34.819000000000003</v>
      </c>
      <c r="I243" s="33">
        <v>45318</v>
      </c>
      <c r="J243" s="37">
        <v>0.59843750000000007</v>
      </c>
      <c r="K243">
        <v>0</v>
      </c>
      <c r="L243">
        <v>0</v>
      </c>
      <c r="M243">
        <v>0</v>
      </c>
      <c r="N243">
        <v>0</v>
      </c>
      <c r="O243">
        <v>0</v>
      </c>
      <c r="P243">
        <v>0</v>
      </c>
      <c r="Q243">
        <v>0</v>
      </c>
      <c r="R243">
        <v>0</v>
      </c>
      <c r="S243">
        <v>0</v>
      </c>
      <c r="T243">
        <v>0</v>
      </c>
      <c r="U243">
        <v>0</v>
      </c>
      <c r="V243">
        <v>0</v>
      </c>
      <c r="W243" s="30">
        <f t="shared" si="141"/>
        <v>34.7804</v>
      </c>
      <c r="Y243">
        <v>3</v>
      </c>
      <c r="Z243" t="s">
        <v>16</v>
      </c>
      <c r="AA243">
        <v>28992</v>
      </c>
      <c r="AB243">
        <v>192</v>
      </c>
      <c r="AC243">
        <v>1</v>
      </c>
      <c r="AD243">
        <v>16</v>
      </c>
      <c r="AE243">
        <v>431.01</v>
      </c>
      <c r="AF243" s="17">
        <v>37.695</v>
      </c>
      <c r="AG243" s="33">
        <v>45318</v>
      </c>
      <c r="AH243" s="34">
        <v>0.15745370370370371</v>
      </c>
      <c r="AI243">
        <v>0</v>
      </c>
      <c r="AJ243">
        <v>0</v>
      </c>
      <c r="AK243">
        <v>0</v>
      </c>
      <c r="AL243">
        <v>0</v>
      </c>
      <c r="AM243">
        <v>0</v>
      </c>
      <c r="AN243">
        <v>0</v>
      </c>
      <c r="AO243">
        <v>0</v>
      </c>
      <c r="AP243">
        <v>0</v>
      </c>
      <c r="AQ243">
        <v>0</v>
      </c>
      <c r="AR243">
        <v>0</v>
      </c>
      <c r="AS243">
        <v>0</v>
      </c>
      <c r="AT243">
        <v>0</v>
      </c>
      <c r="AU243" s="30">
        <f t="shared" si="134"/>
        <v>37.399000000000001</v>
      </c>
    </row>
    <row r="244" spans="1:47" x14ac:dyDescent="0.25">
      <c r="A244">
        <v>4</v>
      </c>
      <c r="B244" t="s">
        <v>16</v>
      </c>
      <c r="C244">
        <v>28992</v>
      </c>
      <c r="D244">
        <v>192</v>
      </c>
      <c r="E244">
        <v>1</v>
      </c>
      <c r="F244">
        <v>16</v>
      </c>
      <c r="G244">
        <v>466.52</v>
      </c>
      <c r="H244" s="17">
        <v>34.826000000000001</v>
      </c>
      <c r="I244" s="33">
        <v>45318</v>
      </c>
      <c r="J244" s="37">
        <v>0.85780092592592594</v>
      </c>
      <c r="K244">
        <v>0</v>
      </c>
      <c r="L244">
        <v>0</v>
      </c>
      <c r="M244">
        <v>0</v>
      </c>
      <c r="N244">
        <v>0</v>
      </c>
      <c r="O244">
        <v>0</v>
      </c>
      <c r="P244">
        <v>0</v>
      </c>
      <c r="Q244">
        <v>0</v>
      </c>
      <c r="R244">
        <v>0</v>
      </c>
      <c r="S244">
        <v>0</v>
      </c>
      <c r="T244">
        <v>0</v>
      </c>
      <c r="U244">
        <v>0</v>
      </c>
      <c r="V244">
        <v>0</v>
      </c>
      <c r="W244" s="30">
        <f t="shared" si="141"/>
        <v>34.7804</v>
      </c>
      <c r="Y244">
        <v>4</v>
      </c>
      <c r="Z244" t="s">
        <v>16</v>
      </c>
      <c r="AA244">
        <v>28992</v>
      </c>
      <c r="AB244">
        <v>192</v>
      </c>
      <c r="AC244">
        <v>1</v>
      </c>
      <c r="AD244">
        <v>16</v>
      </c>
      <c r="AE244">
        <v>435.53</v>
      </c>
      <c r="AF244" s="17">
        <v>37.305</v>
      </c>
      <c r="AG244" s="33">
        <v>45318</v>
      </c>
      <c r="AH244" s="34">
        <v>7.6886574074074079E-2</v>
      </c>
      <c r="AI244">
        <v>0</v>
      </c>
      <c r="AJ244">
        <v>0</v>
      </c>
      <c r="AK244">
        <v>0</v>
      </c>
      <c r="AL244">
        <v>0</v>
      </c>
      <c r="AM244">
        <v>0</v>
      </c>
      <c r="AN244">
        <v>0</v>
      </c>
      <c r="AO244">
        <v>0</v>
      </c>
      <c r="AP244">
        <v>0</v>
      </c>
      <c r="AQ244">
        <v>0</v>
      </c>
      <c r="AR244">
        <v>0</v>
      </c>
      <c r="AS244">
        <v>0</v>
      </c>
      <c r="AT244">
        <v>0</v>
      </c>
      <c r="AU244" s="30">
        <f t="shared" si="134"/>
        <v>37.399000000000001</v>
      </c>
    </row>
    <row r="245" spans="1:47" x14ac:dyDescent="0.25">
      <c r="A245">
        <v>0</v>
      </c>
      <c r="B245" t="s">
        <v>16</v>
      </c>
      <c r="C245">
        <v>25920</v>
      </c>
      <c r="D245">
        <v>192</v>
      </c>
      <c r="E245">
        <v>2</v>
      </c>
      <c r="F245">
        <v>8</v>
      </c>
      <c r="G245">
        <v>321.8</v>
      </c>
      <c r="H245" s="17">
        <v>36.08</v>
      </c>
      <c r="I245" s="33">
        <v>45318</v>
      </c>
      <c r="J245" s="37">
        <v>0.89687499999999998</v>
      </c>
      <c r="K245">
        <v>0</v>
      </c>
      <c r="L245">
        <v>0</v>
      </c>
      <c r="M245">
        <v>0</v>
      </c>
      <c r="N245">
        <v>0</v>
      </c>
      <c r="O245">
        <v>0</v>
      </c>
      <c r="P245">
        <v>0</v>
      </c>
      <c r="Q245">
        <v>0</v>
      </c>
      <c r="R245">
        <v>0</v>
      </c>
      <c r="S245">
        <v>0</v>
      </c>
      <c r="T245">
        <v>0</v>
      </c>
      <c r="U245">
        <v>0</v>
      </c>
      <c r="V245">
        <v>0</v>
      </c>
      <c r="W245" s="30">
        <f t="shared" ref="W245" si="151">AVERAGE(H245:H249)</f>
        <v>36.126199999999997</v>
      </c>
      <c r="Y245">
        <v>0</v>
      </c>
      <c r="Z245" t="s">
        <v>16</v>
      </c>
      <c r="AA245">
        <v>25920</v>
      </c>
      <c r="AB245">
        <v>192</v>
      </c>
      <c r="AC245">
        <v>2</v>
      </c>
      <c r="AD245">
        <v>8</v>
      </c>
      <c r="AE245">
        <v>298.44</v>
      </c>
      <c r="AF245" s="17">
        <v>38.904000000000003</v>
      </c>
      <c r="AG245" s="33">
        <v>45314</v>
      </c>
      <c r="AH245" s="34">
        <v>0.85070601851851846</v>
      </c>
      <c r="AI245">
        <v>0</v>
      </c>
      <c r="AJ245">
        <v>0</v>
      </c>
      <c r="AK245">
        <v>0</v>
      </c>
      <c r="AL245">
        <v>0</v>
      </c>
      <c r="AM245">
        <v>0</v>
      </c>
      <c r="AN245">
        <v>0</v>
      </c>
      <c r="AO245">
        <v>0</v>
      </c>
      <c r="AP245">
        <v>0</v>
      </c>
      <c r="AQ245">
        <v>0</v>
      </c>
      <c r="AR245">
        <v>0</v>
      </c>
      <c r="AS245">
        <v>0</v>
      </c>
      <c r="AT245">
        <v>0</v>
      </c>
      <c r="AU245" s="30">
        <f t="shared" ref="AU245" si="152">AVERAGE(AF245:AF249)</f>
        <v>38.909799999999997</v>
      </c>
    </row>
    <row r="246" spans="1:47" x14ac:dyDescent="0.25">
      <c r="A246">
        <v>1</v>
      </c>
      <c r="B246" t="s">
        <v>16</v>
      </c>
      <c r="C246">
        <v>25920</v>
      </c>
      <c r="D246">
        <v>192</v>
      </c>
      <c r="E246">
        <v>2</v>
      </c>
      <c r="F246">
        <v>8</v>
      </c>
      <c r="G246">
        <v>321.43</v>
      </c>
      <c r="H246" s="17">
        <v>36.121000000000002</v>
      </c>
      <c r="I246" s="33">
        <v>45318</v>
      </c>
      <c r="J246" s="37">
        <v>4.409722222222222E-3</v>
      </c>
      <c r="K246">
        <v>0</v>
      </c>
      <c r="L246">
        <v>0</v>
      </c>
      <c r="M246">
        <v>0</v>
      </c>
      <c r="N246">
        <v>0</v>
      </c>
      <c r="O246">
        <v>0</v>
      </c>
      <c r="P246">
        <v>0</v>
      </c>
      <c r="Q246">
        <v>0</v>
      </c>
      <c r="R246">
        <v>0</v>
      </c>
      <c r="S246">
        <v>0</v>
      </c>
      <c r="T246">
        <v>0</v>
      </c>
      <c r="U246">
        <v>0</v>
      </c>
      <c r="V246">
        <v>0</v>
      </c>
      <c r="W246" s="30">
        <f t="shared" ref="W246" si="153">W245</f>
        <v>36.126199999999997</v>
      </c>
      <c r="Y246">
        <v>1</v>
      </c>
      <c r="Z246" t="s">
        <v>16</v>
      </c>
      <c r="AA246">
        <v>25920</v>
      </c>
      <c r="AB246">
        <v>192</v>
      </c>
      <c r="AC246">
        <v>2</v>
      </c>
      <c r="AD246">
        <v>8</v>
      </c>
      <c r="AE246">
        <v>298.48</v>
      </c>
      <c r="AF246" s="17">
        <v>38.899000000000001</v>
      </c>
      <c r="AG246" s="33">
        <v>45314</v>
      </c>
      <c r="AH246" s="34">
        <v>0.99280092592592595</v>
      </c>
      <c r="AI246">
        <v>0</v>
      </c>
      <c r="AJ246">
        <v>0</v>
      </c>
      <c r="AK246">
        <v>0</v>
      </c>
      <c r="AL246">
        <v>0</v>
      </c>
      <c r="AM246">
        <v>0</v>
      </c>
      <c r="AN246">
        <v>0</v>
      </c>
      <c r="AO246">
        <v>0</v>
      </c>
      <c r="AP246">
        <v>0</v>
      </c>
      <c r="AQ246">
        <v>0</v>
      </c>
      <c r="AR246">
        <v>0</v>
      </c>
      <c r="AS246">
        <v>0</v>
      </c>
      <c r="AT246">
        <v>0</v>
      </c>
      <c r="AU246" s="30">
        <f t="shared" ref="AU246" si="154">AU245</f>
        <v>38.909799999999997</v>
      </c>
    </row>
    <row r="247" spans="1:47" x14ac:dyDescent="0.25">
      <c r="A247">
        <v>2</v>
      </c>
      <c r="B247" t="s">
        <v>16</v>
      </c>
      <c r="C247">
        <v>25920</v>
      </c>
      <c r="D247">
        <v>192</v>
      </c>
      <c r="E247">
        <v>2</v>
      </c>
      <c r="F247">
        <v>8</v>
      </c>
      <c r="G247">
        <v>320.98</v>
      </c>
      <c r="H247" s="17">
        <v>36.171999999999997</v>
      </c>
      <c r="I247" s="33">
        <v>45318</v>
      </c>
      <c r="J247" s="37">
        <v>0.26384259259259263</v>
      </c>
      <c r="K247">
        <v>0</v>
      </c>
      <c r="L247">
        <v>0</v>
      </c>
      <c r="M247">
        <v>0</v>
      </c>
      <c r="N247">
        <v>0</v>
      </c>
      <c r="O247">
        <v>0</v>
      </c>
      <c r="P247">
        <v>0</v>
      </c>
      <c r="Q247">
        <v>0</v>
      </c>
      <c r="R247">
        <v>0</v>
      </c>
      <c r="S247">
        <v>0</v>
      </c>
      <c r="T247">
        <v>0</v>
      </c>
      <c r="U247">
        <v>0</v>
      </c>
      <c r="V247">
        <v>0</v>
      </c>
      <c r="W247" s="30">
        <f t="shared" si="137"/>
        <v>36.126199999999997</v>
      </c>
      <c r="Y247">
        <v>2</v>
      </c>
      <c r="Z247" t="s">
        <v>16</v>
      </c>
      <c r="AA247">
        <v>25920</v>
      </c>
      <c r="AB247">
        <v>192</v>
      </c>
      <c r="AC247">
        <v>2</v>
      </c>
      <c r="AD247">
        <v>8</v>
      </c>
      <c r="AE247">
        <v>298.11</v>
      </c>
      <c r="AF247" s="17">
        <v>38.947000000000003</v>
      </c>
      <c r="AG247" s="33">
        <v>45318</v>
      </c>
      <c r="AH247" s="34">
        <v>3.712962962962963E-2</v>
      </c>
      <c r="AI247">
        <v>0</v>
      </c>
      <c r="AJ247">
        <v>0</v>
      </c>
      <c r="AK247">
        <v>0</v>
      </c>
      <c r="AL247">
        <v>0</v>
      </c>
      <c r="AM247">
        <v>0</v>
      </c>
      <c r="AN247">
        <v>0</v>
      </c>
      <c r="AO247">
        <v>0</v>
      </c>
      <c r="AP247">
        <v>0</v>
      </c>
      <c r="AQ247">
        <v>0</v>
      </c>
      <c r="AR247">
        <v>0</v>
      </c>
      <c r="AS247">
        <v>0</v>
      </c>
      <c r="AT247">
        <v>0</v>
      </c>
      <c r="AU247" s="30">
        <f t="shared" si="130"/>
        <v>38.909799999999997</v>
      </c>
    </row>
    <row r="248" spans="1:47" x14ac:dyDescent="0.25">
      <c r="A248">
        <v>3</v>
      </c>
      <c r="B248" t="s">
        <v>16</v>
      </c>
      <c r="C248">
        <v>25920</v>
      </c>
      <c r="D248">
        <v>192</v>
      </c>
      <c r="E248">
        <v>2</v>
      </c>
      <c r="F248">
        <v>8</v>
      </c>
      <c r="G248">
        <v>321.43</v>
      </c>
      <c r="H248" s="17">
        <v>36.122</v>
      </c>
      <c r="I248" s="33">
        <v>45318</v>
      </c>
      <c r="J248" s="37">
        <v>0.52314814814814814</v>
      </c>
      <c r="K248">
        <v>0</v>
      </c>
      <c r="L248">
        <v>0</v>
      </c>
      <c r="M248">
        <v>0</v>
      </c>
      <c r="N248">
        <v>0</v>
      </c>
      <c r="O248">
        <v>0</v>
      </c>
      <c r="P248">
        <v>0</v>
      </c>
      <c r="Q248">
        <v>0</v>
      </c>
      <c r="R248">
        <v>0</v>
      </c>
      <c r="S248">
        <v>0</v>
      </c>
      <c r="T248">
        <v>0</v>
      </c>
      <c r="U248">
        <v>0</v>
      </c>
      <c r="V248">
        <v>0</v>
      </c>
      <c r="W248" s="30">
        <f t="shared" si="137"/>
        <v>36.126199999999997</v>
      </c>
      <c r="Y248">
        <v>3</v>
      </c>
      <c r="Z248" t="s">
        <v>16</v>
      </c>
      <c r="AA248">
        <v>25920</v>
      </c>
      <c r="AB248">
        <v>192</v>
      </c>
      <c r="AC248">
        <v>2</v>
      </c>
      <c r="AD248">
        <v>8</v>
      </c>
      <c r="AE248">
        <v>298.64</v>
      </c>
      <c r="AF248" s="17">
        <v>38.878</v>
      </c>
      <c r="AG248" s="33">
        <v>45318</v>
      </c>
      <c r="AH248" s="34">
        <v>0.32881944444444444</v>
      </c>
      <c r="AI248">
        <v>0</v>
      </c>
      <c r="AJ248">
        <v>0</v>
      </c>
      <c r="AK248">
        <v>0</v>
      </c>
      <c r="AL248">
        <v>0</v>
      </c>
      <c r="AM248">
        <v>0</v>
      </c>
      <c r="AN248">
        <v>0</v>
      </c>
      <c r="AO248">
        <v>0</v>
      </c>
      <c r="AP248">
        <v>0</v>
      </c>
      <c r="AQ248">
        <v>0</v>
      </c>
      <c r="AR248">
        <v>0</v>
      </c>
      <c r="AS248">
        <v>0</v>
      </c>
      <c r="AT248">
        <v>0</v>
      </c>
      <c r="AU248" s="30">
        <f t="shared" si="130"/>
        <v>38.909799999999997</v>
      </c>
    </row>
    <row r="249" spans="1:47" x14ac:dyDescent="0.25">
      <c r="A249">
        <v>4</v>
      </c>
      <c r="B249" t="s">
        <v>16</v>
      </c>
      <c r="C249">
        <v>25920</v>
      </c>
      <c r="D249">
        <v>192</v>
      </c>
      <c r="E249">
        <v>2</v>
      </c>
      <c r="F249">
        <v>8</v>
      </c>
      <c r="G249">
        <v>321.3</v>
      </c>
      <c r="H249" s="17">
        <v>36.136000000000003</v>
      </c>
      <c r="I249" s="33">
        <v>45318</v>
      </c>
      <c r="J249" s="37">
        <v>0.78251157407407401</v>
      </c>
      <c r="K249">
        <v>0</v>
      </c>
      <c r="L249">
        <v>0</v>
      </c>
      <c r="M249">
        <v>0</v>
      </c>
      <c r="N249">
        <v>0</v>
      </c>
      <c r="O249">
        <v>0</v>
      </c>
      <c r="P249">
        <v>0</v>
      </c>
      <c r="Q249">
        <v>0</v>
      </c>
      <c r="R249">
        <v>0</v>
      </c>
      <c r="S249">
        <v>0</v>
      </c>
      <c r="T249">
        <v>0</v>
      </c>
      <c r="U249">
        <v>0</v>
      </c>
      <c r="V249">
        <v>0</v>
      </c>
      <c r="W249" s="30">
        <f t="shared" si="137"/>
        <v>36.126199999999997</v>
      </c>
      <c r="Y249">
        <v>4</v>
      </c>
      <c r="Z249" t="s">
        <v>16</v>
      </c>
      <c r="AA249">
        <v>25920</v>
      </c>
      <c r="AB249">
        <v>192</v>
      </c>
      <c r="AC249">
        <v>2</v>
      </c>
      <c r="AD249">
        <v>8</v>
      </c>
      <c r="AE249">
        <v>298.31</v>
      </c>
      <c r="AF249" s="17">
        <v>38.920999999999999</v>
      </c>
      <c r="AG249" s="33">
        <v>45317</v>
      </c>
      <c r="AH249" s="34">
        <v>0.99907407407407411</v>
      </c>
      <c r="AI249">
        <v>0</v>
      </c>
      <c r="AJ249">
        <v>0</v>
      </c>
      <c r="AK249">
        <v>0</v>
      </c>
      <c r="AL249">
        <v>0</v>
      </c>
      <c r="AM249">
        <v>0</v>
      </c>
      <c r="AN249">
        <v>0</v>
      </c>
      <c r="AO249">
        <v>0</v>
      </c>
      <c r="AP249">
        <v>0</v>
      </c>
      <c r="AQ249">
        <v>0</v>
      </c>
      <c r="AR249">
        <v>0</v>
      </c>
      <c r="AS249">
        <v>0</v>
      </c>
      <c r="AT249">
        <v>0</v>
      </c>
      <c r="AU249" s="30">
        <f t="shared" si="130"/>
        <v>38.909799999999997</v>
      </c>
    </row>
    <row r="250" spans="1:47" x14ac:dyDescent="0.25">
      <c r="A250">
        <v>0</v>
      </c>
      <c r="B250" t="s">
        <v>16</v>
      </c>
      <c r="C250">
        <v>27456</v>
      </c>
      <c r="D250">
        <v>192</v>
      </c>
      <c r="E250">
        <v>2</v>
      </c>
      <c r="F250">
        <v>8</v>
      </c>
      <c r="G250">
        <v>403.52</v>
      </c>
      <c r="H250" s="17">
        <v>34.198</v>
      </c>
      <c r="I250" s="33">
        <v>45318</v>
      </c>
      <c r="J250" s="37">
        <v>0.81392361111111111</v>
      </c>
      <c r="K250">
        <v>0</v>
      </c>
      <c r="L250">
        <v>0</v>
      </c>
      <c r="M250">
        <v>0</v>
      </c>
      <c r="N250">
        <v>0</v>
      </c>
      <c r="O250">
        <v>0</v>
      </c>
      <c r="P250">
        <v>0</v>
      </c>
      <c r="Q250">
        <v>0</v>
      </c>
      <c r="R250">
        <v>0</v>
      </c>
      <c r="S250">
        <v>0</v>
      </c>
      <c r="T250">
        <v>0</v>
      </c>
      <c r="U250">
        <v>0</v>
      </c>
      <c r="V250">
        <v>0</v>
      </c>
      <c r="W250" s="30">
        <f t="shared" ref="W250" si="155">AVERAGE(H250:H254)</f>
        <v>34.068399999999997</v>
      </c>
      <c r="Y250">
        <v>0</v>
      </c>
      <c r="Z250" t="s">
        <v>16</v>
      </c>
      <c r="AA250">
        <v>27456</v>
      </c>
      <c r="AB250">
        <v>192</v>
      </c>
      <c r="AC250">
        <v>2</v>
      </c>
      <c r="AD250">
        <v>8</v>
      </c>
      <c r="AE250">
        <v>359.55</v>
      </c>
      <c r="AF250" s="17">
        <v>38.380000000000003</v>
      </c>
      <c r="AG250" s="33">
        <v>45314</v>
      </c>
      <c r="AH250" s="34">
        <v>0.76570601851851849</v>
      </c>
      <c r="AI250">
        <v>0</v>
      </c>
      <c r="AJ250">
        <v>0</v>
      </c>
      <c r="AK250">
        <v>0</v>
      </c>
      <c r="AL250">
        <v>0</v>
      </c>
      <c r="AM250">
        <v>0</v>
      </c>
      <c r="AN250">
        <v>0</v>
      </c>
      <c r="AO250">
        <v>0</v>
      </c>
      <c r="AP250">
        <v>0</v>
      </c>
      <c r="AQ250">
        <v>0</v>
      </c>
      <c r="AR250">
        <v>0</v>
      </c>
      <c r="AS250">
        <v>0</v>
      </c>
      <c r="AT250">
        <v>0</v>
      </c>
      <c r="AU250" s="30">
        <f t="shared" si="132"/>
        <v>38.365200000000002</v>
      </c>
    </row>
    <row r="251" spans="1:47" x14ac:dyDescent="0.25">
      <c r="A251">
        <v>1</v>
      </c>
      <c r="B251" t="s">
        <v>16</v>
      </c>
      <c r="C251">
        <v>27456</v>
      </c>
      <c r="D251">
        <v>192</v>
      </c>
      <c r="E251">
        <v>2</v>
      </c>
      <c r="F251">
        <v>8</v>
      </c>
      <c r="G251">
        <v>405.33</v>
      </c>
      <c r="H251" s="17">
        <v>34.045000000000002</v>
      </c>
      <c r="I251" s="33">
        <v>45318</v>
      </c>
      <c r="J251" s="37">
        <v>7.6076388888888888E-2</v>
      </c>
      <c r="K251">
        <v>0</v>
      </c>
      <c r="L251">
        <v>0</v>
      </c>
      <c r="M251">
        <v>0</v>
      </c>
      <c r="N251">
        <v>0</v>
      </c>
      <c r="O251">
        <v>0</v>
      </c>
      <c r="P251">
        <v>0</v>
      </c>
      <c r="Q251">
        <v>0</v>
      </c>
      <c r="R251">
        <v>0</v>
      </c>
      <c r="S251">
        <v>0</v>
      </c>
      <c r="T251">
        <v>0</v>
      </c>
      <c r="U251">
        <v>0</v>
      </c>
      <c r="V251">
        <v>0</v>
      </c>
      <c r="W251" s="30">
        <f t="shared" ref="W251" si="156">W250</f>
        <v>34.068399999999997</v>
      </c>
      <c r="Y251">
        <v>1</v>
      </c>
      <c r="Z251" t="s">
        <v>16</v>
      </c>
      <c r="AA251">
        <v>27456</v>
      </c>
      <c r="AB251">
        <v>192</v>
      </c>
      <c r="AC251">
        <v>2</v>
      </c>
      <c r="AD251">
        <v>8</v>
      </c>
      <c r="AE251">
        <v>359.56</v>
      </c>
      <c r="AF251" s="17">
        <v>38.378</v>
      </c>
      <c r="AG251" s="33">
        <v>45314</v>
      </c>
      <c r="AH251" s="34">
        <v>0.90782407407407406</v>
      </c>
      <c r="AI251">
        <v>0</v>
      </c>
      <c r="AJ251">
        <v>0</v>
      </c>
      <c r="AK251">
        <v>0</v>
      </c>
      <c r="AL251">
        <v>0</v>
      </c>
      <c r="AM251">
        <v>0</v>
      </c>
      <c r="AN251">
        <v>0</v>
      </c>
      <c r="AO251">
        <v>0</v>
      </c>
      <c r="AP251">
        <v>0</v>
      </c>
      <c r="AQ251">
        <v>0</v>
      </c>
      <c r="AR251">
        <v>0</v>
      </c>
      <c r="AS251">
        <v>0</v>
      </c>
      <c r="AT251">
        <v>0</v>
      </c>
      <c r="AU251" s="30">
        <f t="shared" si="134"/>
        <v>38.365200000000002</v>
      </c>
    </row>
    <row r="252" spans="1:47" x14ac:dyDescent="0.25">
      <c r="A252">
        <v>2</v>
      </c>
      <c r="B252" t="s">
        <v>16</v>
      </c>
      <c r="C252">
        <v>27456</v>
      </c>
      <c r="D252">
        <v>192</v>
      </c>
      <c r="E252">
        <v>2</v>
      </c>
      <c r="F252">
        <v>8</v>
      </c>
      <c r="G252">
        <v>405.26</v>
      </c>
      <c r="H252" s="17">
        <v>34.049999999999997</v>
      </c>
      <c r="I252" s="33">
        <v>45318</v>
      </c>
      <c r="J252" s="37">
        <v>0.18085648148148148</v>
      </c>
      <c r="K252">
        <v>0</v>
      </c>
      <c r="L252">
        <v>0</v>
      </c>
      <c r="M252">
        <v>0</v>
      </c>
      <c r="N252">
        <v>0</v>
      </c>
      <c r="O252">
        <v>0</v>
      </c>
      <c r="P252">
        <v>0</v>
      </c>
      <c r="Q252">
        <v>0</v>
      </c>
      <c r="R252">
        <v>0</v>
      </c>
      <c r="S252">
        <v>0</v>
      </c>
      <c r="T252">
        <v>0</v>
      </c>
      <c r="U252">
        <v>0</v>
      </c>
      <c r="V252">
        <v>0</v>
      </c>
      <c r="W252" s="30">
        <f t="shared" si="141"/>
        <v>34.068399999999997</v>
      </c>
      <c r="Y252">
        <v>2</v>
      </c>
      <c r="Z252" t="s">
        <v>16</v>
      </c>
      <c r="AA252">
        <v>27456</v>
      </c>
      <c r="AB252">
        <v>192</v>
      </c>
      <c r="AC252">
        <v>2</v>
      </c>
      <c r="AD252">
        <v>8</v>
      </c>
      <c r="AE252">
        <v>359.26</v>
      </c>
      <c r="AF252" s="17">
        <v>38.409999999999997</v>
      </c>
      <c r="AG252" s="33">
        <v>45318</v>
      </c>
      <c r="AH252" s="34">
        <v>0.23726851851851852</v>
      </c>
      <c r="AI252">
        <v>0</v>
      </c>
      <c r="AJ252">
        <v>0</v>
      </c>
      <c r="AK252">
        <v>0</v>
      </c>
      <c r="AL252">
        <v>0</v>
      </c>
      <c r="AM252">
        <v>0</v>
      </c>
      <c r="AN252">
        <v>0</v>
      </c>
      <c r="AO252">
        <v>0</v>
      </c>
      <c r="AP252">
        <v>0</v>
      </c>
      <c r="AQ252">
        <v>0</v>
      </c>
      <c r="AR252">
        <v>0</v>
      </c>
      <c r="AS252">
        <v>0</v>
      </c>
      <c r="AT252">
        <v>0</v>
      </c>
      <c r="AU252" s="30">
        <f t="shared" si="134"/>
        <v>38.365200000000002</v>
      </c>
    </row>
    <row r="253" spans="1:47" x14ac:dyDescent="0.25">
      <c r="A253">
        <v>3</v>
      </c>
      <c r="B253" t="s">
        <v>16</v>
      </c>
      <c r="C253">
        <v>27456</v>
      </c>
      <c r="D253">
        <v>192</v>
      </c>
      <c r="E253">
        <v>2</v>
      </c>
      <c r="F253">
        <v>8</v>
      </c>
      <c r="G253">
        <v>405.49</v>
      </c>
      <c r="H253" s="17">
        <v>34.030999999999999</v>
      </c>
      <c r="I253" s="33">
        <v>45318</v>
      </c>
      <c r="J253" s="37">
        <v>0.44015046296296295</v>
      </c>
      <c r="K253">
        <v>0</v>
      </c>
      <c r="L253">
        <v>0</v>
      </c>
      <c r="M253">
        <v>0</v>
      </c>
      <c r="N253">
        <v>0</v>
      </c>
      <c r="O253">
        <v>0</v>
      </c>
      <c r="P253">
        <v>0</v>
      </c>
      <c r="Q253">
        <v>0</v>
      </c>
      <c r="R253">
        <v>0</v>
      </c>
      <c r="S253">
        <v>0</v>
      </c>
      <c r="T253">
        <v>0</v>
      </c>
      <c r="U253">
        <v>0</v>
      </c>
      <c r="V253">
        <v>0</v>
      </c>
      <c r="W253" s="30">
        <f t="shared" si="141"/>
        <v>34.068399999999997</v>
      </c>
      <c r="Y253">
        <v>3</v>
      </c>
      <c r="Z253" t="s">
        <v>16</v>
      </c>
      <c r="AA253">
        <v>27456</v>
      </c>
      <c r="AB253">
        <v>192</v>
      </c>
      <c r="AC253">
        <v>2</v>
      </c>
      <c r="AD253">
        <v>8</v>
      </c>
      <c r="AE253">
        <v>360.5</v>
      </c>
      <c r="AF253" s="17">
        <v>38.277999999999999</v>
      </c>
      <c r="AG253" s="33">
        <v>45315</v>
      </c>
      <c r="AH253" s="34">
        <v>5.8159722222222217E-2</v>
      </c>
      <c r="AI253">
        <v>0</v>
      </c>
      <c r="AJ253">
        <v>0</v>
      </c>
      <c r="AK253">
        <v>0</v>
      </c>
      <c r="AL253">
        <v>0</v>
      </c>
      <c r="AM253">
        <v>0</v>
      </c>
      <c r="AN253">
        <v>0</v>
      </c>
      <c r="AO253">
        <v>0</v>
      </c>
      <c r="AP253">
        <v>0</v>
      </c>
      <c r="AQ253">
        <v>0</v>
      </c>
      <c r="AR253">
        <v>0</v>
      </c>
      <c r="AS253">
        <v>0</v>
      </c>
      <c r="AT253">
        <v>0</v>
      </c>
      <c r="AU253" s="30">
        <f t="shared" si="134"/>
        <v>38.365200000000002</v>
      </c>
    </row>
    <row r="254" spans="1:47" x14ac:dyDescent="0.25">
      <c r="A254">
        <v>4</v>
      </c>
      <c r="B254" t="s">
        <v>16</v>
      </c>
      <c r="C254">
        <v>27456</v>
      </c>
      <c r="D254">
        <v>192</v>
      </c>
      <c r="E254">
        <v>2</v>
      </c>
      <c r="F254">
        <v>8</v>
      </c>
      <c r="G254">
        <v>405.65</v>
      </c>
      <c r="H254" s="17">
        <v>34.018000000000001</v>
      </c>
      <c r="I254" s="33">
        <v>45318</v>
      </c>
      <c r="J254" s="37">
        <v>0.69950231481481484</v>
      </c>
      <c r="K254">
        <v>0</v>
      </c>
      <c r="L254">
        <v>0</v>
      </c>
      <c r="M254">
        <v>0</v>
      </c>
      <c r="N254">
        <v>0</v>
      </c>
      <c r="O254">
        <v>0</v>
      </c>
      <c r="P254">
        <v>0</v>
      </c>
      <c r="Q254">
        <v>0</v>
      </c>
      <c r="R254">
        <v>0</v>
      </c>
      <c r="S254">
        <v>0</v>
      </c>
      <c r="T254">
        <v>0</v>
      </c>
      <c r="U254">
        <v>0</v>
      </c>
      <c r="V254">
        <v>0</v>
      </c>
      <c r="W254" s="30">
        <f t="shared" si="141"/>
        <v>34.068399999999997</v>
      </c>
      <c r="Y254">
        <v>4</v>
      </c>
      <c r="Z254" t="s">
        <v>16</v>
      </c>
      <c r="AA254">
        <v>27456</v>
      </c>
      <c r="AB254">
        <v>192</v>
      </c>
      <c r="AC254">
        <v>2</v>
      </c>
      <c r="AD254">
        <v>8</v>
      </c>
      <c r="AE254">
        <v>359.54</v>
      </c>
      <c r="AF254" s="17">
        <v>38.380000000000003</v>
      </c>
      <c r="AG254" s="33">
        <v>45318</v>
      </c>
      <c r="AH254" s="34">
        <v>0.1942824074074074</v>
      </c>
      <c r="AI254">
        <v>0</v>
      </c>
      <c r="AJ254">
        <v>0</v>
      </c>
      <c r="AK254">
        <v>0</v>
      </c>
      <c r="AL254">
        <v>0</v>
      </c>
      <c r="AM254">
        <v>0</v>
      </c>
      <c r="AN254">
        <v>0</v>
      </c>
      <c r="AO254">
        <v>0</v>
      </c>
      <c r="AP254">
        <v>0</v>
      </c>
      <c r="AQ254">
        <v>0</v>
      </c>
      <c r="AR254">
        <v>0</v>
      </c>
      <c r="AS254">
        <v>0</v>
      </c>
      <c r="AT254">
        <v>0</v>
      </c>
      <c r="AU254" s="30">
        <f t="shared" si="134"/>
        <v>38.365200000000002</v>
      </c>
    </row>
    <row r="255" spans="1:47" x14ac:dyDescent="0.25">
      <c r="A255">
        <v>0</v>
      </c>
      <c r="B255" t="s">
        <v>16</v>
      </c>
      <c r="C255">
        <v>28992</v>
      </c>
      <c r="D255">
        <v>192</v>
      </c>
      <c r="E255">
        <v>2</v>
      </c>
      <c r="F255">
        <v>8</v>
      </c>
      <c r="G255">
        <v>439.32</v>
      </c>
      <c r="H255" s="17">
        <v>36.981999999999999</v>
      </c>
      <c r="I255" s="33">
        <v>45317</v>
      </c>
      <c r="J255" s="37">
        <v>0.99866898148148142</v>
      </c>
      <c r="K255">
        <v>0</v>
      </c>
      <c r="L255">
        <v>0</v>
      </c>
      <c r="M255">
        <v>0</v>
      </c>
      <c r="N255">
        <v>0</v>
      </c>
      <c r="O255">
        <v>0</v>
      </c>
      <c r="P255">
        <v>0</v>
      </c>
      <c r="Q255">
        <v>0</v>
      </c>
      <c r="R255">
        <v>0</v>
      </c>
      <c r="S255">
        <v>0</v>
      </c>
      <c r="T255">
        <v>0</v>
      </c>
      <c r="U255">
        <v>0</v>
      </c>
      <c r="V255">
        <v>0</v>
      </c>
      <c r="W255" s="30">
        <f t="shared" ref="W255" si="157">AVERAGE(H255:H259)</f>
        <v>37.263400000000004</v>
      </c>
      <c r="Y255">
        <v>0</v>
      </c>
      <c r="Z255" t="s">
        <v>16</v>
      </c>
      <c r="AA255">
        <v>28992</v>
      </c>
      <c r="AB255">
        <v>192</v>
      </c>
      <c r="AC255">
        <v>2</v>
      </c>
      <c r="AD255">
        <v>8</v>
      </c>
      <c r="AE255">
        <v>405.55</v>
      </c>
      <c r="AF255" s="17">
        <v>40.061999999999998</v>
      </c>
      <c r="AG255" s="33">
        <v>45314</v>
      </c>
      <c r="AH255" s="34">
        <v>0.80974537037037031</v>
      </c>
      <c r="AI255">
        <v>0</v>
      </c>
      <c r="AJ255">
        <v>0</v>
      </c>
      <c r="AK255">
        <v>0</v>
      </c>
      <c r="AL255">
        <v>0</v>
      </c>
      <c r="AM255">
        <v>0</v>
      </c>
      <c r="AN255">
        <v>0</v>
      </c>
      <c r="AO255">
        <v>0</v>
      </c>
      <c r="AP255">
        <v>0</v>
      </c>
      <c r="AQ255">
        <v>0</v>
      </c>
      <c r="AR255">
        <v>0</v>
      </c>
      <c r="AS255">
        <v>0</v>
      </c>
      <c r="AT255">
        <v>0</v>
      </c>
      <c r="AU255" s="30">
        <f t="shared" si="136"/>
        <v>40.033200000000001</v>
      </c>
    </row>
    <row r="256" spans="1:47" x14ac:dyDescent="0.25">
      <c r="A256">
        <v>1</v>
      </c>
      <c r="B256" t="s">
        <v>16</v>
      </c>
      <c r="C256">
        <v>28992</v>
      </c>
      <c r="D256">
        <v>192</v>
      </c>
      <c r="E256">
        <v>2</v>
      </c>
      <c r="F256">
        <v>8</v>
      </c>
      <c r="G256">
        <v>435.4</v>
      </c>
      <c r="H256" s="17">
        <v>37.316000000000003</v>
      </c>
      <c r="I256" s="33">
        <v>45318</v>
      </c>
      <c r="J256" s="37">
        <v>8.4988425925925926E-2</v>
      </c>
      <c r="K256">
        <v>0</v>
      </c>
      <c r="L256">
        <v>0</v>
      </c>
      <c r="M256">
        <v>0</v>
      </c>
      <c r="N256">
        <v>0</v>
      </c>
      <c r="O256">
        <v>0</v>
      </c>
      <c r="P256">
        <v>0</v>
      </c>
      <c r="Q256">
        <v>0</v>
      </c>
      <c r="R256">
        <v>0</v>
      </c>
      <c r="S256">
        <v>0</v>
      </c>
      <c r="T256">
        <v>0</v>
      </c>
      <c r="U256">
        <v>0</v>
      </c>
      <c r="V256">
        <v>0</v>
      </c>
      <c r="W256" s="30">
        <f t="shared" ref="W256" si="158">W255</f>
        <v>37.263400000000004</v>
      </c>
      <c r="Y256">
        <v>1</v>
      </c>
      <c r="Z256" t="s">
        <v>16</v>
      </c>
      <c r="AA256">
        <v>28992</v>
      </c>
      <c r="AB256">
        <v>192</v>
      </c>
      <c r="AC256">
        <v>2</v>
      </c>
      <c r="AD256">
        <v>8</v>
      </c>
      <c r="AE256">
        <v>405.63</v>
      </c>
      <c r="AF256" s="17">
        <v>40.054000000000002</v>
      </c>
      <c r="AG256" s="33">
        <v>45318</v>
      </c>
      <c r="AH256" s="34">
        <v>0.26484953703703701</v>
      </c>
      <c r="AI256">
        <v>0</v>
      </c>
      <c r="AJ256">
        <v>0</v>
      </c>
      <c r="AK256">
        <v>0</v>
      </c>
      <c r="AL256">
        <v>0</v>
      </c>
      <c r="AM256">
        <v>0</v>
      </c>
      <c r="AN256">
        <v>0</v>
      </c>
      <c r="AO256">
        <v>0</v>
      </c>
      <c r="AP256">
        <v>0</v>
      </c>
      <c r="AQ256">
        <v>0</v>
      </c>
      <c r="AR256">
        <v>0</v>
      </c>
      <c r="AS256">
        <v>0</v>
      </c>
      <c r="AT256">
        <v>0</v>
      </c>
      <c r="AU256" s="30">
        <f t="shared" si="138"/>
        <v>40.033200000000001</v>
      </c>
    </row>
    <row r="257" spans="1:47" x14ac:dyDescent="0.25">
      <c r="A257">
        <v>2</v>
      </c>
      <c r="B257" t="s">
        <v>16</v>
      </c>
      <c r="C257">
        <v>28992</v>
      </c>
      <c r="D257">
        <v>192</v>
      </c>
      <c r="E257">
        <v>2</v>
      </c>
      <c r="F257">
        <v>8</v>
      </c>
      <c r="G257">
        <v>434.99</v>
      </c>
      <c r="H257" s="17">
        <v>37.350999999999999</v>
      </c>
      <c r="I257" s="33">
        <v>45318</v>
      </c>
      <c r="J257" s="37">
        <v>0.34438657407407408</v>
      </c>
      <c r="K257">
        <v>0</v>
      </c>
      <c r="L257">
        <v>0</v>
      </c>
      <c r="M257">
        <v>0</v>
      </c>
      <c r="N257">
        <v>0</v>
      </c>
      <c r="O257">
        <v>0</v>
      </c>
      <c r="P257">
        <v>0</v>
      </c>
      <c r="Q257">
        <v>0</v>
      </c>
      <c r="R257">
        <v>0</v>
      </c>
      <c r="S257">
        <v>0</v>
      </c>
      <c r="T257">
        <v>0</v>
      </c>
      <c r="U257">
        <v>0</v>
      </c>
      <c r="V257">
        <v>0</v>
      </c>
      <c r="W257" s="30">
        <f t="shared" si="137"/>
        <v>37.263400000000004</v>
      </c>
      <c r="Y257">
        <v>2</v>
      </c>
      <c r="Z257" t="s">
        <v>16</v>
      </c>
      <c r="AA257">
        <v>28992</v>
      </c>
      <c r="AB257">
        <v>192</v>
      </c>
      <c r="AC257">
        <v>2</v>
      </c>
      <c r="AD257">
        <v>8</v>
      </c>
      <c r="AE257">
        <v>405.91</v>
      </c>
      <c r="AF257" s="17">
        <v>40.027000000000001</v>
      </c>
      <c r="AG257" s="33">
        <v>45318</v>
      </c>
      <c r="AH257" s="34">
        <v>9.5069444444444443E-2</v>
      </c>
      <c r="AI257">
        <v>0</v>
      </c>
      <c r="AJ257">
        <v>0</v>
      </c>
      <c r="AK257">
        <v>0</v>
      </c>
      <c r="AL257">
        <v>0</v>
      </c>
      <c r="AM257">
        <v>0</v>
      </c>
      <c r="AN257">
        <v>0</v>
      </c>
      <c r="AO257">
        <v>0</v>
      </c>
      <c r="AP257">
        <v>0</v>
      </c>
      <c r="AQ257">
        <v>0</v>
      </c>
      <c r="AR257">
        <v>0</v>
      </c>
      <c r="AS257">
        <v>0</v>
      </c>
      <c r="AT257">
        <v>0</v>
      </c>
      <c r="AU257" s="30">
        <f t="shared" si="134"/>
        <v>40.033200000000001</v>
      </c>
    </row>
    <row r="258" spans="1:47" x14ac:dyDescent="0.25">
      <c r="A258">
        <v>3</v>
      </c>
      <c r="B258" t="s">
        <v>16</v>
      </c>
      <c r="C258">
        <v>28992</v>
      </c>
      <c r="D258">
        <v>192</v>
      </c>
      <c r="E258">
        <v>2</v>
      </c>
      <c r="F258">
        <v>8</v>
      </c>
      <c r="G258">
        <v>434.99</v>
      </c>
      <c r="H258" s="17">
        <v>37.350999999999999</v>
      </c>
      <c r="I258" s="33">
        <v>45318</v>
      </c>
      <c r="J258" s="37">
        <v>0.6036921296296297</v>
      </c>
      <c r="K258">
        <v>0</v>
      </c>
      <c r="L258">
        <v>0</v>
      </c>
      <c r="M258">
        <v>0</v>
      </c>
      <c r="N258">
        <v>0</v>
      </c>
      <c r="O258">
        <v>0</v>
      </c>
      <c r="P258">
        <v>0</v>
      </c>
      <c r="Q258">
        <v>0</v>
      </c>
      <c r="R258">
        <v>0</v>
      </c>
      <c r="S258">
        <v>0</v>
      </c>
      <c r="T258">
        <v>0</v>
      </c>
      <c r="U258">
        <v>0</v>
      </c>
      <c r="V258">
        <v>0</v>
      </c>
      <c r="W258" s="30">
        <f t="shared" si="137"/>
        <v>37.263400000000004</v>
      </c>
      <c r="Y258">
        <v>3</v>
      </c>
      <c r="Z258" t="s">
        <v>16</v>
      </c>
      <c r="AA258">
        <v>28992</v>
      </c>
      <c r="AB258">
        <v>192</v>
      </c>
      <c r="AC258">
        <v>2</v>
      </c>
      <c r="AD258">
        <v>8</v>
      </c>
      <c r="AE258">
        <v>405.8</v>
      </c>
      <c r="AF258" s="17">
        <v>40.037999999999997</v>
      </c>
      <c r="AG258" s="33">
        <v>45318</v>
      </c>
      <c r="AH258" s="34">
        <v>0.16288194444444445</v>
      </c>
      <c r="AI258">
        <v>0</v>
      </c>
      <c r="AJ258">
        <v>0</v>
      </c>
      <c r="AK258">
        <v>0</v>
      </c>
      <c r="AL258">
        <v>0</v>
      </c>
      <c r="AM258">
        <v>0</v>
      </c>
      <c r="AN258">
        <v>0</v>
      </c>
      <c r="AO258">
        <v>0</v>
      </c>
      <c r="AP258">
        <v>0</v>
      </c>
      <c r="AQ258">
        <v>0</v>
      </c>
      <c r="AR258">
        <v>0</v>
      </c>
      <c r="AS258">
        <v>0</v>
      </c>
      <c r="AT258">
        <v>0</v>
      </c>
      <c r="AU258" s="30">
        <f t="shared" si="134"/>
        <v>40.033200000000001</v>
      </c>
    </row>
    <row r="259" spans="1:47" x14ac:dyDescent="0.25">
      <c r="A259">
        <v>4</v>
      </c>
      <c r="B259" t="s">
        <v>16</v>
      </c>
      <c r="C259">
        <v>28992</v>
      </c>
      <c r="D259">
        <v>192</v>
      </c>
      <c r="E259">
        <v>2</v>
      </c>
      <c r="F259">
        <v>8</v>
      </c>
      <c r="G259">
        <v>435.38</v>
      </c>
      <c r="H259" s="17">
        <v>37.317</v>
      </c>
      <c r="I259" s="33">
        <v>45318</v>
      </c>
      <c r="J259" s="37">
        <v>0.86306712962962961</v>
      </c>
      <c r="K259">
        <v>0</v>
      </c>
      <c r="L259">
        <v>0</v>
      </c>
      <c r="M259">
        <v>0</v>
      </c>
      <c r="N259">
        <v>0</v>
      </c>
      <c r="O259">
        <v>0</v>
      </c>
      <c r="P259">
        <v>0</v>
      </c>
      <c r="Q259">
        <v>0</v>
      </c>
      <c r="R259">
        <v>0</v>
      </c>
      <c r="S259">
        <v>0</v>
      </c>
      <c r="T259">
        <v>0</v>
      </c>
      <c r="U259">
        <v>0</v>
      </c>
      <c r="V259">
        <v>0</v>
      </c>
      <c r="W259" s="30">
        <f t="shared" si="137"/>
        <v>37.263400000000004</v>
      </c>
      <c r="Y259">
        <v>4</v>
      </c>
      <c r="Z259" t="s">
        <v>16</v>
      </c>
      <c r="AA259">
        <v>28992</v>
      </c>
      <c r="AB259">
        <v>192</v>
      </c>
      <c r="AC259">
        <v>2</v>
      </c>
      <c r="AD259">
        <v>8</v>
      </c>
      <c r="AE259">
        <v>406.33</v>
      </c>
      <c r="AF259" s="17">
        <v>39.984999999999999</v>
      </c>
      <c r="AG259" s="33">
        <v>45318</v>
      </c>
      <c r="AH259" s="34">
        <v>0.22274305555555554</v>
      </c>
      <c r="AI259">
        <v>0</v>
      </c>
      <c r="AJ259">
        <v>0</v>
      </c>
      <c r="AK259">
        <v>0</v>
      </c>
      <c r="AL259">
        <v>0</v>
      </c>
      <c r="AM259">
        <v>0</v>
      </c>
      <c r="AN259">
        <v>0</v>
      </c>
      <c r="AO259">
        <v>0</v>
      </c>
      <c r="AP259">
        <v>0</v>
      </c>
      <c r="AQ259">
        <v>0</v>
      </c>
      <c r="AR259">
        <v>0</v>
      </c>
      <c r="AS259">
        <v>0</v>
      </c>
      <c r="AT259">
        <v>0</v>
      </c>
      <c r="AU259" s="30">
        <f t="shared" si="134"/>
        <v>40.033200000000001</v>
      </c>
    </row>
    <row r="260" spans="1:47" x14ac:dyDescent="0.25">
      <c r="A260">
        <v>0</v>
      </c>
      <c r="B260" t="s">
        <v>16</v>
      </c>
      <c r="C260">
        <v>25920</v>
      </c>
      <c r="D260">
        <v>192</v>
      </c>
      <c r="E260">
        <v>4</v>
      </c>
      <c r="F260">
        <v>4</v>
      </c>
      <c r="G260">
        <v>338.86</v>
      </c>
      <c r="H260" s="17">
        <v>34.262999999999998</v>
      </c>
      <c r="I260" s="33">
        <v>45318</v>
      </c>
      <c r="J260" s="37">
        <v>0.90098379629629621</v>
      </c>
      <c r="K260">
        <v>0</v>
      </c>
      <c r="L260">
        <v>0</v>
      </c>
      <c r="M260">
        <v>0</v>
      </c>
      <c r="N260">
        <v>0</v>
      </c>
      <c r="O260">
        <v>0</v>
      </c>
      <c r="P260">
        <v>0</v>
      </c>
      <c r="Q260">
        <v>0</v>
      </c>
      <c r="R260">
        <v>0</v>
      </c>
      <c r="S260">
        <v>0</v>
      </c>
      <c r="T260">
        <v>0</v>
      </c>
      <c r="U260">
        <v>0</v>
      </c>
      <c r="V260">
        <v>0</v>
      </c>
      <c r="W260" s="30">
        <f t="shared" ref="W260" si="159">AVERAGE(H260:H264)</f>
        <v>34.244</v>
      </c>
      <c r="Y260">
        <v>0</v>
      </c>
      <c r="Z260" t="s">
        <v>16</v>
      </c>
      <c r="AA260">
        <v>25920</v>
      </c>
      <c r="AB260">
        <v>192</v>
      </c>
      <c r="AC260">
        <v>4</v>
      </c>
      <c r="AD260">
        <v>4</v>
      </c>
      <c r="AE260">
        <v>318.61</v>
      </c>
      <c r="AF260" s="17">
        <v>36.441000000000003</v>
      </c>
      <c r="AG260" s="33">
        <v>45314</v>
      </c>
      <c r="AH260" s="34">
        <v>0.8549768518518519</v>
      </c>
      <c r="AI260">
        <v>0</v>
      </c>
      <c r="AJ260">
        <v>0</v>
      </c>
      <c r="AK260">
        <v>0</v>
      </c>
      <c r="AL260">
        <v>0</v>
      </c>
      <c r="AM260">
        <v>0</v>
      </c>
      <c r="AN260">
        <v>0</v>
      </c>
      <c r="AO260">
        <v>0</v>
      </c>
      <c r="AP260">
        <v>0</v>
      </c>
      <c r="AQ260">
        <v>0</v>
      </c>
      <c r="AR260">
        <v>0</v>
      </c>
      <c r="AS260">
        <v>0</v>
      </c>
      <c r="AT260">
        <v>0</v>
      </c>
      <c r="AU260" s="30">
        <f t="shared" si="140"/>
        <v>36.431400000000004</v>
      </c>
    </row>
    <row r="261" spans="1:47" x14ac:dyDescent="0.25">
      <c r="A261">
        <v>1</v>
      </c>
      <c r="B261" t="s">
        <v>16</v>
      </c>
      <c r="C261">
        <v>25920</v>
      </c>
      <c r="D261">
        <v>192</v>
      </c>
      <c r="E261">
        <v>4</v>
      </c>
      <c r="F261">
        <v>4</v>
      </c>
      <c r="G261">
        <v>339.21</v>
      </c>
      <c r="H261" s="17">
        <v>34.228000000000002</v>
      </c>
      <c r="I261" s="33">
        <v>45318</v>
      </c>
      <c r="J261" s="37">
        <v>8.5300925925925926E-3</v>
      </c>
      <c r="K261">
        <v>0</v>
      </c>
      <c r="L261">
        <v>0</v>
      </c>
      <c r="M261">
        <v>0</v>
      </c>
      <c r="N261">
        <v>0</v>
      </c>
      <c r="O261">
        <v>0</v>
      </c>
      <c r="P261">
        <v>0</v>
      </c>
      <c r="Q261">
        <v>0</v>
      </c>
      <c r="R261">
        <v>0</v>
      </c>
      <c r="S261">
        <v>0</v>
      </c>
      <c r="T261">
        <v>0</v>
      </c>
      <c r="U261">
        <v>0</v>
      </c>
      <c r="V261">
        <v>0</v>
      </c>
      <c r="W261" s="30">
        <f t="shared" ref="W261" si="160">W260</f>
        <v>34.244</v>
      </c>
      <c r="Y261">
        <v>1</v>
      </c>
      <c r="Z261" t="s">
        <v>16</v>
      </c>
      <c r="AA261">
        <v>25920</v>
      </c>
      <c r="AB261">
        <v>192</v>
      </c>
      <c r="AC261">
        <v>4</v>
      </c>
      <c r="AD261">
        <v>4</v>
      </c>
      <c r="AE261">
        <v>318.68</v>
      </c>
      <c r="AF261" s="17">
        <v>36.433</v>
      </c>
      <c r="AG261" s="33">
        <v>45314</v>
      </c>
      <c r="AH261" s="34">
        <v>0.75351851851851848</v>
      </c>
      <c r="AI261">
        <v>0</v>
      </c>
      <c r="AJ261">
        <v>0</v>
      </c>
      <c r="AK261">
        <v>0</v>
      </c>
      <c r="AL261">
        <v>0</v>
      </c>
      <c r="AM261">
        <v>0</v>
      </c>
      <c r="AN261">
        <v>0</v>
      </c>
      <c r="AO261">
        <v>0</v>
      </c>
      <c r="AP261">
        <v>0</v>
      </c>
      <c r="AQ261">
        <v>0</v>
      </c>
      <c r="AR261">
        <v>0</v>
      </c>
      <c r="AS261">
        <v>0</v>
      </c>
      <c r="AT261">
        <v>0</v>
      </c>
      <c r="AU261" s="30">
        <f t="shared" si="142"/>
        <v>36.431400000000004</v>
      </c>
    </row>
    <row r="262" spans="1:47" x14ac:dyDescent="0.25">
      <c r="A262">
        <v>2</v>
      </c>
      <c r="B262" t="s">
        <v>16</v>
      </c>
      <c r="C262">
        <v>25920</v>
      </c>
      <c r="D262">
        <v>192</v>
      </c>
      <c r="E262">
        <v>4</v>
      </c>
      <c r="F262">
        <v>4</v>
      </c>
      <c r="G262">
        <v>339.02</v>
      </c>
      <c r="H262" s="17">
        <v>34.247999999999998</v>
      </c>
      <c r="I262" s="33">
        <v>45318</v>
      </c>
      <c r="J262" s="37">
        <v>0.26795138888888886</v>
      </c>
      <c r="K262">
        <v>0</v>
      </c>
      <c r="L262">
        <v>0</v>
      </c>
      <c r="M262">
        <v>0</v>
      </c>
      <c r="N262">
        <v>0</v>
      </c>
      <c r="O262">
        <v>0</v>
      </c>
      <c r="P262">
        <v>0</v>
      </c>
      <c r="Q262">
        <v>0</v>
      </c>
      <c r="R262">
        <v>0</v>
      </c>
      <c r="S262">
        <v>0</v>
      </c>
      <c r="T262">
        <v>0</v>
      </c>
      <c r="U262">
        <v>0</v>
      </c>
      <c r="V262">
        <v>0</v>
      </c>
      <c r="W262" s="30">
        <f t="shared" si="141"/>
        <v>34.244</v>
      </c>
      <c r="Y262">
        <v>2</v>
      </c>
      <c r="Z262" t="s">
        <v>16</v>
      </c>
      <c r="AA262">
        <v>25920</v>
      </c>
      <c r="AB262">
        <v>192</v>
      </c>
      <c r="AC262">
        <v>4</v>
      </c>
      <c r="AD262">
        <v>4</v>
      </c>
      <c r="AE262">
        <v>318.49</v>
      </c>
      <c r="AF262" s="17">
        <v>36.454999999999998</v>
      </c>
      <c r="AG262" s="33">
        <v>45318</v>
      </c>
      <c r="AH262" s="34">
        <v>4.1412037037037039E-2</v>
      </c>
      <c r="AI262">
        <v>0</v>
      </c>
      <c r="AJ262">
        <v>0</v>
      </c>
      <c r="AK262">
        <v>0</v>
      </c>
      <c r="AL262">
        <v>0</v>
      </c>
      <c r="AM262">
        <v>0</v>
      </c>
      <c r="AN262">
        <v>0</v>
      </c>
      <c r="AO262">
        <v>0</v>
      </c>
      <c r="AP262">
        <v>0</v>
      </c>
      <c r="AQ262">
        <v>0</v>
      </c>
      <c r="AR262">
        <v>0</v>
      </c>
      <c r="AS262">
        <v>0</v>
      </c>
      <c r="AT262">
        <v>0</v>
      </c>
      <c r="AU262" s="30">
        <f t="shared" si="134"/>
        <v>36.431400000000004</v>
      </c>
    </row>
    <row r="263" spans="1:47" x14ac:dyDescent="0.25">
      <c r="A263">
        <v>3</v>
      </c>
      <c r="B263" t="s">
        <v>16</v>
      </c>
      <c r="C263">
        <v>25920</v>
      </c>
      <c r="D263">
        <v>192</v>
      </c>
      <c r="E263">
        <v>4</v>
      </c>
      <c r="F263">
        <v>4</v>
      </c>
      <c r="G263">
        <v>339.25</v>
      </c>
      <c r="H263" s="17">
        <v>34.223999999999997</v>
      </c>
      <c r="I263" s="33">
        <v>45318</v>
      </c>
      <c r="J263" s="37">
        <v>0.52725694444444449</v>
      </c>
      <c r="K263">
        <v>0</v>
      </c>
      <c r="L263">
        <v>0</v>
      </c>
      <c r="M263">
        <v>0</v>
      </c>
      <c r="N263">
        <v>0</v>
      </c>
      <c r="O263">
        <v>0</v>
      </c>
      <c r="P263">
        <v>0</v>
      </c>
      <c r="Q263">
        <v>0</v>
      </c>
      <c r="R263">
        <v>0</v>
      </c>
      <c r="S263">
        <v>0</v>
      </c>
      <c r="T263">
        <v>0</v>
      </c>
      <c r="U263">
        <v>0</v>
      </c>
      <c r="V263">
        <v>0</v>
      </c>
      <c r="W263" s="30">
        <f t="shared" si="141"/>
        <v>34.244</v>
      </c>
      <c r="Y263">
        <v>3</v>
      </c>
      <c r="Z263" t="s">
        <v>16</v>
      </c>
      <c r="AA263">
        <v>25920</v>
      </c>
      <c r="AB263">
        <v>192</v>
      </c>
      <c r="AC263">
        <v>4</v>
      </c>
      <c r="AD263">
        <v>4</v>
      </c>
      <c r="AE263">
        <v>318.73</v>
      </c>
      <c r="AF263" s="17">
        <v>36.427</v>
      </c>
      <c r="AG263" s="33">
        <v>45315</v>
      </c>
      <c r="AH263" s="34">
        <v>0.14744212962962963</v>
      </c>
      <c r="AI263">
        <v>0</v>
      </c>
      <c r="AJ263">
        <v>0</v>
      </c>
      <c r="AK263">
        <v>0</v>
      </c>
      <c r="AL263">
        <v>0</v>
      </c>
      <c r="AM263">
        <v>0</v>
      </c>
      <c r="AN263">
        <v>0</v>
      </c>
      <c r="AO263">
        <v>0</v>
      </c>
      <c r="AP263">
        <v>0</v>
      </c>
      <c r="AQ263">
        <v>0</v>
      </c>
      <c r="AR263">
        <v>0</v>
      </c>
      <c r="AS263">
        <v>0</v>
      </c>
      <c r="AT263">
        <v>0</v>
      </c>
      <c r="AU263" s="30">
        <f t="shared" si="134"/>
        <v>36.431400000000004</v>
      </c>
    </row>
    <row r="264" spans="1:47" x14ac:dyDescent="0.25">
      <c r="A264">
        <v>4</v>
      </c>
      <c r="B264" t="s">
        <v>16</v>
      </c>
      <c r="C264">
        <v>25920</v>
      </c>
      <c r="D264">
        <v>192</v>
      </c>
      <c r="E264">
        <v>4</v>
      </c>
      <c r="F264">
        <v>4</v>
      </c>
      <c r="G264">
        <v>338.92</v>
      </c>
      <c r="H264" s="17">
        <v>34.256999999999998</v>
      </c>
      <c r="I264" s="33">
        <v>45318</v>
      </c>
      <c r="J264" s="37">
        <v>0.78662037037037036</v>
      </c>
      <c r="K264">
        <v>0</v>
      </c>
      <c r="L264">
        <v>0</v>
      </c>
      <c r="M264">
        <v>0</v>
      </c>
      <c r="N264">
        <v>0</v>
      </c>
      <c r="O264">
        <v>0</v>
      </c>
      <c r="P264">
        <v>0</v>
      </c>
      <c r="Q264">
        <v>0</v>
      </c>
      <c r="R264">
        <v>0</v>
      </c>
      <c r="S264">
        <v>0</v>
      </c>
      <c r="T264">
        <v>0</v>
      </c>
      <c r="U264">
        <v>0</v>
      </c>
      <c r="V264">
        <v>0</v>
      </c>
      <c r="W264" s="30">
        <f t="shared" si="141"/>
        <v>34.244</v>
      </c>
      <c r="Y264">
        <v>4</v>
      </c>
      <c r="Z264" t="s">
        <v>16</v>
      </c>
      <c r="AA264">
        <v>25920</v>
      </c>
      <c r="AB264">
        <v>192</v>
      </c>
      <c r="AC264">
        <v>4</v>
      </c>
      <c r="AD264">
        <v>4</v>
      </c>
      <c r="AE264">
        <v>318.95999999999998</v>
      </c>
      <c r="AF264" s="17">
        <v>36.401000000000003</v>
      </c>
      <c r="AG264" s="33">
        <v>45318</v>
      </c>
      <c r="AH264" s="34">
        <v>3.3564814814814811E-3</v>
      </c>
      <c r="AI264">
        <v>0</v>
      </c>
      <c r="AJ264">
        <v>0</v>
      </c>
      <c r="AK264">
        <v>0</v>
      </c>
      <c r="AL264">
        <v>0</v>
      </c>
      <c r="AM264">
        <v>0</v>
      </c>
      <c r="AN264">
        <v>0</v>
      </c>
      <c r="AO264">
        <v>0</v>
      </c>
      <c r="AP264">
        <v>0</v>
      </c>
      <c r="AQ264">
        <v>0</v>
      </c>
      <c r="AR264">
        <v>0</v>
      </c>
      <c r="AS264">
        <v>0</v>
      </c>
      <c r="AT264">
        <v>0</v>
      </c>
      <c r="AU264" s="30">
        <f t="shared" si="134"/>
        <v>36.431400000000004</v>
      </c>
    </row>
    <row r="265" spans="1:47" x14ac:dyDescent="0.25">
      <c r="A265">
        <v>0</v>
      </c>
      <c r="B265" t="s">
        <v>16</v>
      </c>
      <c r="C265">
        <v>27456</v>
      </c>
      <c r="D265">
        <v>192</v>
      </c>
      <c r="E265">
        <v>4</v>
      </c>
      <c r="F265">
        <v>4</v>
      </c>
      <c r="G265">
        <v>400.26</v>
      </c>
      <c r="H265" s="17">
        <v>34.475000000000001</v>
      </c>
      <c r="I265" s="33">
        <v>45318</v>
      </c>
      <c r="J265" s="37">
        <v>0.81876157407407402</v>
      </c>
      <c r="K265">
        <v>0</v>
      </c>
      <c r="L265">
        <v>0</v>
      </c>
      <c r="M265">
        <v>0</v>
      </c>
      <c r="N265">
        <v>0</v>
      </c>
      <c r="O265">
        <v>0</v>
      </c>
      <c r="P265">
        <v>0</v>
      </c>
      <c r="Q265">
        <v>0</v>
      </c>
      <c r="R265">
        <v>0</v>
      </c>
      <c r="S265">
        <v>0</v>
      </c>
      <c r="T265">
        <v>0</v>
      </c>
      <c r="U265">
        <v>0</v>
      </c>
      <c r="V265">
        <v>0</v>
      </c>
      <c r="W265" s="30">
        <f t="shared" ref="W265" si="161">AVERAGE(H265:H269)</f>
        <v>34.468399999999995</v>
      </c>
      <c r="Y265">
        <v>0</v>
      </c>
      <c r="Z265" t="s">
        <v>16</v>
      </c>
      <c r="AA265">
        <v>27456</v>
      </c>
      <c r="AB265">
        <v>192</v>
      </c>
      <c r="AC265">
        <v>4</v>
      </c>
      <c r="AD265">
        <v>4</v>
      </c>
      <c r="AE265">
        <v>373.14</v>
      </c>
      <c r="AF265" s="17">
        <v>36.981999999999999</v>
      </c>
      <c r="AG265" s="33">
        <v>45314</v>
      </c>
      <c r="AH265" s="34">
        <v>0.77068287037037031</v>
      </c>
      <c r="AI265">
        <v>0</v>
      </c>
      <c r="AJ265">
        <v>0</v>
      </c>
      <c r="AK265">
        <v>0</v>
      </c>
      <c r="AL265">
        <v>0</v>
      </c>
      <c r="AM265">
        <v>0</v>
      </c>
      <c r="AN265">
        <v>0</v>
      </c>
      <c r="AO265">
        <v>0</v>
      </c>
      <c r="AP265">
        <v>0</v>
      </c>
      <c r="AQ265">
        <v>0</v>
      </c>
      <c r="AR265">
        <v>0</v>
      </c>
      <c r="AS265">
        <v>0</v>
      </c>
      <c r="AT265">
        <v>0</v>
      </c>
      <c r="AU265" s="30">
        <f t="shared" si="144"/>
        <v>36.992399999999996</v>
      </c>
    </row>
    <row r="266" spans="1:47" x14ac:dyDescent="0.25">
      <c r="A266">
        <v>1</v>
      </c>
      <c r="B266" t="s">
        <v>16</v>
      </c>
      <c r="C266">
        <v>27456</v>
      </c>
      <c r="D266">
        <v>192</v>
      </c>
      <c r="E266">
        <v>4</v>
      </c>
      <c r="F266">
        <v>4</v>
      </c>
      <c r="G266">
        <v>400.58</v>
      </c>
      <c r="H266" s="17">
        <v>34.448</v>
      </c>
      <c r="I266" s="33">
        <v>45318</v>
      </c>
      <c r="J266" s="37">
        <v>8.0914351851851848E-2</v>
      </c>
      <c r="K266">
        <v>0</v>
      </c>
      <c r="L266">
        <v>0</v>
      </c>
      <c r="M266">
        <v>0</v>
      </c>
      <c r="N266">
        <v>0</v>
      </c>
      <c r="O266">
        <v>0</v>
      </c>
      <c r="P266">
        <v>0</v>
      </c>
      <c r="Q266">
        <v>0</v>
      </c>
      <c r="R266">
        <v>0</v>
      </c>
      <c r="S266">
        <v>0</v>
      </c>
      <c r="T266">
        <v>0</v>
      </c>
      <c r="U266">
        <v>0</v>
      </c>
      <c r="V266">
        <v>0</v>
      </c>
      <c r="W266" s="30">
        <f t="shared" ref="W266" si="162">W265</f>
        <v>34.468399999999995</v>
      </c>
      <c r="Y266">
        <v>1</v>
      </c>
      <c r="Z266" t="s">
        <v>16</v>
      </c>
      <c r="AA266">
        <v>27456</v>
      </c>
      <c r="AB266">
        <v>192</v>
      </c>
      <c r="AC266">
        <v>4</v>
      </c>
      <c r="AD266">
        <v>4</v>
      </c>
      <c r="AE266">
        <v>372.62</v>
      </c>
      <c r="AF266" s="17">
        <v>37.033000000000001</v>
      </c>
      <c r="AG266" s="33">
        <v>45314</v>
      </c>
      <c r="AH266" s="34">
        <v>0.91280092592592599</v>
      </c>
      <c r="AI266">
        <v>0</v>
      </c>
      <c r="AJ266">
        <v>0</v>
      </c>
      <c r="AK266">
        <v>0</v>
      </c>
      <c r="AL266">
        <v>0</v>
      </c>
      <c r="AM266">
        <v>0</v>
      </c>
      <c r="AN266">
        <v>0</v>
      </c>
      <c r="AO266">
        <v>0</v>
      </c>
      <c r="AP266">
        <v>0</v>
      </c>
      <c r="AQ266">
        <v>0</v>
      </c>
      <c r="AR266">
        <v>0</v>
      </c>
      <c r="AS266">
        <v>0</v>
      </c>
      <c r="AT266">
        <v>0</v>
      </c>
      <c r="AU266" s="30">
        <f t="shared" si="146"/>
        <v>36.992399999999996</v>
      </c>
    </row>
    <row r="267" spans="1:47" x14ac:dyDescent="0.25">
      <c r="A267">
        <v>2</v>
      </c>
      <c r="B267" t="s">
        <v>16</v>
      </c>
      <c r="C267">
        <v>27456</v>
      </c>
      <c r="D267">
        <v>192</v>
      </c>
      <c r="E267">
        <v>4</v>
      </c>
      <c r="F267">
        <v>4</v>
      </c>
      <c r="G267">
        <v>400.37</v>
      </c>
      <c r="H267" s="17">
        <v>34.466999999999999</v>
      </c>
      <c r="I267" s="33">
        <v>45318</v>
      </c>
      <c r="J267" s="37">
        <v>0.18569444444444447</v>
      </c>
      <c r="K267">
        <v>0</v>
      </c>
      <c r="L267">
        <v>0</v>
      </c>
      <c r="M267">
        <v>0</v>
      </c>
      <c r="N267">
        <v>0</v>
      </c>
      <c r="O267">
        <v>0</v>
      </c>
      <c r="P267">
        <v>0</v>
      </c>
      <c r="Q267">
        <v>0</v>
      </c>
      <c r="R267">
        <v>0</v>
      </c>
      <c r="S267">
        <v>0</v>
      </c>
      <c r="T267">
        <v>0</v>
      </c>
      <c r="U267">
        <v>0</v>
      </c>
      <c r="V267">
        <v>0</v>
      </c>
      <c r="W267" s="30">
        <f t="shared" si="137"/>
        <v>34.468399999999995</v>
      </c>
      <c r="Y267">
        <v>2</v>
      </c>
      <c r="Z267" t="s">
        <v>16</v>
      </c>
      <c r="AA267">
        <v>27456</v>
      </c>
      <c r="AB267">
        <v>192</v>
      </c>
      <c r="AC267">
        <v>4</v>
      </c>
      <c r="AD267">
        <v>4</v>
      </c>
      <c r="AE267">
        <v>373.14</v>
      </c>
      <c r="AF267" s="17">
        <v>36.981999999999999</v>
      </c>
      <c r="AG267" s="33">
        <v>45318</v>
      </c>
      <c r="AH267" s="34">
        <v>0.24223379629629629</v>
      </c>
      <c r="AI267">
        <v>0</v>
      </c>
      <c r="AJ267">
        <v>0</v>
      </c>
      <c r="AK267">
        <v>0</v>
      </c>
      <c r="AL267">
        <v>0</v>
      </c>
      <c r="AM267">
        <v>0</v>
      </c>
      <c r="AN267">
        <v>0</v>
      </c>
      <c r="AO267">
        <v>0</v>
      </c>
      <c r="AP267">
        <v>0</v>
      </c>
      <c r="AQ267">
        <v>0</v>
      </c>
      <c r="AR267">
        <v>0</v>
      </c>
      <c r="AS267">
        <v>0</v>
      </c>
      <c r="AT267">
        <v>0</v>
      </c>
      <c r="AU267" s="30">
        <f t="shared" si="134"/>
        <v>36.992399999999996</v>
      </c>
    </row>
    <row r="268" spans="1:47" x14ac:dyDescent="0.25">
      <c r="A268">
        <v>3</v>
      </c>
      <c r="B268" t="s">
        <v>16</v>
      </c>
      <c r="C268">
        <v>27456</v>
      </c>
      <c r="D268">
        <v>192</v>
      </c>
      <c r="E268">
        <v>4</v>
      </c>
      <c r="F268">
        <v>4</v>
      </c>
      <c r="G268">
        <v>400.11</v>
      </c>
      <c r="H268" s="17">
        <v>34.488</v>
      </c>
      <c r="I268" s="33">
        <v>45318</v>
      </c>
      <c r="J268" s="37">
        <v>0.44498842592592597</v>
      </c>
      <c r="K268">
        <v>0</v>
      </c>
      <c r="L268">
        <v>0</v>
      </c>
      <c r="M268">
        <v>0</v>
      </c>
      <c r="N268">
        <v>0</v>
      </c>
      <c r="O268">
        <v>0</v>
      </c>
      <c r="P268">
        <v>0</v>
      </c>
      <c r="Q268">
        <v>0</v>
      </c>
      <c r="R268">
        <v>0</v>
      </c>
      <c r="S268">
        <v>0</v>
      </c>
      <c r="T268">
        <v>0</v>
      </c>
      <c r="U268">
        <v>0</v>
      </c>
      <c r="V268">
        <v>0</v>
      </c>
      <c r="W268" s="30">
        <f t="shared" si="137"/>
        <v>34.468399999999995</v>
      </c>
      <c r="Y268">
        <v>3</v>
      </c>
      <c r="Z268" t="s">
        <v>16</v>
      </c>
      <c r="AA268">
        <v>27456</v>
      </c>
      <c r="AB268">
        <v>192</v>
      </c>
      <c r="AC268">
        <v>4</v>
      </c>
      <c r="AD268">
        <v>4</v>
      </c>
      <c r="AE268">
        <v>373.04</v>
      </c>
      <c r="AF268" s="17">
        <v>36.991</v>
      </c>
      <c r="AG268" s="33">
        <v>45315</v>
      </c>
      <c r="AH268" s="34">
        <v>6.3136574074074081E-2</v>
      </c>
      <c r="AI268">
        <v>0</v>
      </c>
      <c r="AJ268">
        <v>0</v>
      </c>
      <c r="AK268">
        <v>0</v>
      </c>
      <c r="AL268">
        <v>0</v>
      </c>
      <c r="AM268">
        <v>0</v>
      </c>
      <c r="AN268">
        <v>0</v>
      </c>
      <c r="AO268">
        <v>0</v>
      </c>
      <c r="AP268">
        <v>0</v>
      </c>
      <c r="AQ268">
        <v>0</v>
      </c>
      <c r="AR268">
        <v>0</v>
      </c>
      <c r="AS268">
        <v>0</v>
      </c>
      <c r="AT268">
        <v>0</v>
      </c>
      <c r="AU268" s="30">
        <f t="shared" si="134"/>
        <v>36.992399999999996</v>
      </c>
    </row>
    <row r="269" spans="1:47" x14ac:dyDescent="0.25">
      <c r="A269">
        <v>4</v>
      </c>
      <c r="B269" t="s">
        <v>16</v>
      </c>
      <c r="C269">
        <v>27456</v>
      </c>
      <c r="D269">
        <v>192</v>
      </c>
      <c r="E269">
        <v>4</v>
      </c>
      <c r="F269">
        <v>4</v>
      </c>
      <c r="G269">
        <v>400.4</v>
      </c>
      <c r="H269" s="17">
        <v>34.463999999999999</v>
      </c>
      <c r="I269" s="33">
        <v>45318</v>
      </c>
      <c r="J269" s="37">
        <v>0.70432870370370371</v>
      </c>
      <c r="K269">
        <v>0</v>
      </c>
      <c r="L269">
        <v>0</v>
      </c>
      <c r="M269">
        <v>0</v>
      </c>
      <c r="N269">
        <v>0</v>
      </c>
      <c r="O269">
        <v>0</v>
      </c>
      <c r="P269">
        <v>0</v>
      </c>
      <c r="Q269">
        <v>0</v>
      </c>
      <c r="R269">
        <v>0</v>
      </c>
      <c r="S269">
        <v>0</v>
      </c>
      <c r="T269">
        <v>0</v>
      </c>
      <c r="U269">
        <v>0</v>
      </c>
      <c r="V269">
        <v>0</v>
      </c>
      <c r="W269" s="30">
        <f t="shared" si="137"/>
        <v>34.468399999999995</v>
      </c>
      <c r="Y269">
        <v>4</v>
      </c>
      <c r="Z269" t="s">
        <v>16</v>
      </c>
      <c r="AA269">
        <v>27456</v>
      </c>
      <c r="AB269">
        <v>192</v>
      </c>
      <c r="AC269">
        <v>4</v>
      </c>
      <c r="AD269">
        <v>4</v>
      </c>
      <c r="AE269">
        <v>373.21</v>
      </c>
      <c r="AF269" s="17">
        <v>36.973999999999997</v>
      </c>
      <c r="AG269" s="33">
        <v>45318</v>
      </c>
      <c r="AH269" s="34">
        <v>0.36798611111111112</v>
      </c>
      <c r="AI269">
        <v>0</v>
      </c>
      <c r="AJ269">
        <v>0</v>
      </c>
      <c r="AK269">
        <v>0</v>
      </c>
      <c r="AL269">
        <v>0</v>
      </c>
      <c r="AM269">
        <v>0</v>
      </c>
      <c r="AN269">
        <v>0</v>
      </c>
      <c r="AO269">
        <v>0</v>
      </c>
      <c r="AP269">
        <v>0</v>
      </c>
      <c r="AQ269">
        <v>0</v>
      </c>
      <c r="AR269">
        <v>0</v>
      </c>
      <c r="AS269">
        <v>0</v>
      </c>
      <c r="AT269">
        <v>0</v>
      </c>
      <c r="AU269" s="30">
        <f t="shared" si="134"/>
        <v>36.992399999999996</v>
      </c>
    </row>
    <row r="270" spans="1:47" x14ac:dyDescent="0.25">
      <c r="A270">
        <v>0</v>
      </c>
      <c r="B270" t="s">
        <v>16</v>
      </c>
      <c r="C270">
        <v>28992</v>
      </c>
      <c r="D270">
        <v>192</v>
      </c>
      <c r="E270">
        <v>4</v>
      </c>
      <c r="F270">
        <v>4</v>
      </c>
      <c r="G270">
        <v>457.81</v>
      </c>
      <c r="H270" s="17">
        <v>35.488999999999997</v>
      </c>
      <c r="I270" s="33">
        <v>45318</v>
      </c>
      <c r="J270" s="37">
        <v>4.1898148148148146E-3</v>
      </c>
      <c r="K270">
        <v>0</v>
      </c>
      <c r="L270">
        <v>0</v>
      </c>
      <c r="M270">
        <v>0</v>
      </c>
      <c r="N270">
        <v>0</v>
      </c>
      <c r="O270">
        <v>0</v>
      </c>
      <c r="P270">
        <v>0</v>
      </c>
      <c r="Q270">
        <v>0</v>
      </c>
      <c r="R270">
        <v>0</v>
      </c>
      <c r="S270">
        <v>0</v>
      </c>
      <c r="T270">
        <v>0</v>
      </c>
      <c r="U270">
        <v>0</v>
      </c>
      <c r="V270">
        <v>0</v>
      </c>
      <c r="W270" s="30">
        <f t="shared" ref="W270" si="163">AVERAGE(H270:H274)</f>
        <v>35.522599999999997</v>
      </c>
      <c r="Y270">
        <v>0</v>
      </c>
      <c r="Z270" t="s">
        <v>16</v>
      </c>
      <c r="AA270">
        <v>28992</v>
      </c>
      <c r="AB270">
        <v>192</v>
      </c>
      <c r="AC270">
        <v>4</v>
      </c>
      <c r="AD270">
        <v>4</v>
      </c>
      <c r="AE270">
        <v>430.37</v>
      </c>
      <c r="AF270" s="17">
        <v>37.752000000000002</v>
      </c>
      <c r="AG270" s="33">
        <v>45314</v>
      </c>
      <c r="AH270" s="34">
        <v>0.81545138888888891</v>
      </c>
      <c r="AI270">
        <v>0</v>
      </c>
      <c r="AJ270">
        <v>0</v>
      </c>
      <c r="AK270">
        <v>0</v>
      </c>
      <c r="AL270">
        <v>0</v>
      </c>
      <c r="AM270">
        <v>0</v>
      </c>
      <c r="AN270">
        <v>0</v>
      </c>
      <c r="AO270">
        <v>0</v>
      </c>
      <c r="AP270">
        <v>0</v>
      </c>
      <c r="AQ270">
        <v>0</v>
      </c>
      <c r="AR270">
        <v>0</v>
      </c>
      <c r="AS270">
        <v>0</v>
      </c>
      <c r="AT270">
        <v>0</v>
      </c>
      <c r="AU270" s="30">
        <f t="shared" si="148"/>
        <v>37.810199999999995</v>
      </c>
    </row>
    <row r="271" spans="1:47" x14ac:dyDescent="0.25">
      <c r="A271">
        <v>1</v>
      </c>
      <c r="B271" t="s">
        <v>16</v>
      </c>
      <c r="C271">
        <v>28992</v>
      </c>
      <c r="D271">
        <v>192</v>
      </c>
      <c r="E271">
        <v>4</v>
      </c>
      <c r="F271">
        <v>4</v>
      </c>
      <c r="G271">
        <v>457.76</v>
      </c>
      <c r="H271" s="17">
        <v>35.493000000000002</v>
      </c>
      <c r="I271" s="33">
        <v>45318</v>
      </c>
      <c r="J271" s="37">
        <v>9.0509259259259248E-2</v>
      </c>
      <c r="K271">
        <v>0</v>
      </c>
      <c r="L271">
        <v>0</v>
      </c>
      <c r="M271">
        <v>0</v>
      </c>
      <c r="N271">
        <v>0</v>
      </c>
      <c r="O271">
        <v>0</v>
      </c>
      <c r="P271">
        <v>0</v>
      </c>
      <c r="Q271">
        <v>0</v>
      </c>
      <c r="R271">
        <v>0</v>
      </c>
      <c r="S271">
        <v>0</v>
      </c>
      <c r="T271">
        <v>0</v>
      </c>
      <c r="U271">
        <v>0</v>
      </c>
      <c r="V271">
        <v>0</v>
      </c>
      <c r="W271" s="30">
        <f t="shared" ref="W271" si="164">W270</f>
        <v>35.522599999999997</v>
      </c>
      <c r="Y271">
        <v>1</v>
      </c>
      <c r="Z271" t="s">
        <v>16</v>
      </c>
      <c r="AA271">
        <v>28992</v>
      </c>
      <c r="AB271">
        <v>192</v>
      </c>
      <c r="AC271">
        <v>4</v>
      </c>
      <c r="AD271">
        <v>4</v>
      </c>
      <c r="AE271">
        <v>429.48</v>
      </c>
      <c r="AF271" s="17">
        <v>37.83</v>
      </c>
      <c r="AG271" s="33">
        <v>45314</v>
      </c>
      <c r="AH271" s="34">
        <v>0.78600694444444441</v>
      </c>
      <c r="AI271">
        <v>0</v>
      </c>
      <c r="AJ271">
        <v>0</v>
      </c>
      <c r="AK271">
        <v>0</v>
      </c>
      <c r="AL271">
        <v>0</v>
      </c>
      <c r="AM271">
        <v>0</v>
      </c>
      <c r="AN271">
        <v>0</v>
      </c>
      <c r="AO271">
        <v>0</v>
      </c>
      <c r="AP271">
        <v>0</v>
      </c>
      <c r="AQ271">
        <v>0</v>
      </c>
      <c r="AR271">
        <v>0</v>
      </c>
      <c r="AS271">
        <v>0</v>
      </c>
      <c r="AT271">
        <v>0</v>
      </c>
      <c r="AU271" s="30">
        <f t="shared" si="150"/>
        <v>37.810199999999995</v>
      </c>
    </row>
    <row r="272" spans="1:47" x14ac:dyDescent="0.25">
      <c r="A272">
        <v>2</v>
      </c>
      <c r="B272" t="s">
        <v>16</v>
      </c>
      <c r="C272">
        <v>28992</v>
      </c>
      <c r="D272">
        <v>192</v>
      </c>
      <c r="E272">
        <v>4</v>
      </c>
      <c r="F272">
        <v>4</v>
      </c>
      <c r="G272">
        <v>457.05</v>
      </c>
      <c r="H272" s="17">
        <v>35.548000000000002</v>
      </c>
      <c r="I272" s="33">
        <v>45318</v>
      </c>
      <c r="J272" s="37">
        <v>0.34989583333333335</v>
      </c>
      <c r="K272">
        <v>0</v>
      </c>
      <c r="L272">
        <v>0</v>
      </c>
      <c r="M272">
        <v>0</v>
      </c>
      <c r="N272">
        <v>0</v>
      </c>
      <c r="O272">
        <v>0</v>
      </c>
      <c r="P272">
        <v>0</v>
      </c>
      <c r="Q272">
        <v>0</v>
      </c>
      <c r="R272">
        <v>0</v>
      </c>
      <c r="S272">
        <v>0</v>
      </c>
      <c r="T272">
        <v>0</v>
      </c>
      <c r="U272">
        <v>0</v>
      </c>
      <c r="V272">
        <v>0</v>
      </c>
      <c r="W272" s="30">
        <f t="shared" si="141"/>
        <v>35.522599999999997</v>
      </c>
      <c r="Y272">
        <v>2</v>
      </c>
      <c r="Z272" t="s">
        <v>16</v>
      </c>
      <c r="AA272">
        <v>28992</v>
      </c>
      <c r="AB272">
        <v>192</v>
      </c>
      <c r="AC272">
        <v>4</v>
      </c>
      <c r="AD272">
        <v>4</v>
      </c>
      <c r="AE272">
        <v>429.3</v>
      </c>
      <c r="AF272" s="17">
        <v>37.845999999999997</v>
      </c>
      <c r="AG272" s="33">
        <v>45318</v>
      </c>
      <c r="AH272" s="34">
        <v>0.10076388888888889</v>
      </c>
      <c r="AI272">
        <v>0</v>
      </c>
      <c r="AJ272">
        <v>0</v>
      </c>
      <c r="AK272">
        <v>0</v>
      </c>
      <c r="AL272">
        <v>0</v>
      </c>
      <c r="AM272">
        <v>0</v>
      </c>
      <c r="AN272">
        <v>0</v>
      </c>
      <c r="AO272">
        <v>0</v>
      </c>
      <c r="AP272">
        <v>0</v>
      </c>
      <c r="AQ272">
        <v>0</v>
      </c>
      <c r="AR272">
        <v>0</v>
      </c>
      <c r="AS272">
        <v>0</v>
      </c>
      <c r="AT272">
        <v>0</v>
      </c>
      <c r="AU272" s="30">
        <f t="shared" si="134"/>
        <v>37.810199999999995</v>
      </c>
    </row>
    <row r="273" spans="1:47" x14ac:dyDescent="0.25">
      <c r="A273">
        <v>3</v>
      </c>
      <c r="B273" t="s">
        <v>16</v>
      </c>
      <c r="C273">
        <v>28992</v>
      </c>
      <c r="D273">
        <v>192</v>
      </c>
      <c r="E273">
        <v>4</v>
      </c>
      <c r="F273">
        <v>4</v>
      </c>
      <c r="G273">
        <v>457.12</v>
      </c>
      <c r="H273" s="17">
        <v>35.542000000000002</v>
      </c>
      <c r="I273" s="33">
        <v>45318</v>
      </c>
      <c r="J273" s="37">
        <v>0.60920138888888886</v>
      </c>
      <c r="K273">
        <v>0</v>
      </c>
      <c r="L273">
        <v>0</v>
      </c>
      <c r="M273">
        <v>0</v>
      </c>
      <c r="N273">
        <v>0</v>
      </c>
      <c r="O273">
        <v>0</v>
      </c>
      <c r="P273">
        <v>0</v>
      </c>
      <c r="Q273">
        <v>0</v>
      </c>
      <c r="R273">
        <v>0</v>
      </c>
      <c r="S273">
        <v>0</v>
      </c>
      <c r="T273">
        <v>0</v>
      </c>
      <c r="U273">
        <v>0</v>
      </c>
      <c r="V273">
        <v>0</v>
      </c>
      <c r="W273" s="30">
        <f t="shared" si="141"/>
        <v>35.522599999999997</v>
      </c>
      <c r="Y273">
        <v>3</v>
      </c>
      <c r="Z273" t="s">
        <v>16</v>
      </c>
      <c r="AA273">
        <v>28992</v>
      </c>
      <c r="AB273">
        <v>192</v>
      </c>
      <c r="AC273">
        <v>4</v>
      </c>
      <c r="AD273">
        <v>4</v>
      </c>
      <c r="AE273">
        <v>430.14</v>
      </c>
      <c r="AF273" s="17">
        <v>37.771999999999998</v>
      </c>
      <c r="AG273" s="33">
        <v>45315</v>
      </c>
      <c r="AH273" s="34">
        <v>0.23203703703703704</v>
      </c>
      <c r="AI273">
        <v>0</v>
      </c>
      <c r="AJ273">
        <v>0</v>
      </c>
      <c r="AK273">
        <v>0</v>
      </c>
      <c r="AL273">
        <v>0</v>
      </c>
      <c r="AM273">
        <v>0</v>
      </c>
      <c r="AN273">
        <v>0</v>
      </c>
      <c r="AO273">
        <v>0</v>
      </c>
      <c r="AP273">
        <v>0</v>
      </c>
      <c r="AQ273">
        <v>0</v>
      </c>
      <c r="AR273">
        <v>0</v>
      </c>
      <c r="AS273">
        <v>0</v>
      </c>
      <c r="AT273">
        <v>0</v>
      </c>
      <c r="AU273" s="30">
        <f t="shared" si="134"/>
        <v>37.810199999999995</v>
      </c>
    </row>
    <row r="274" spans="1:47" x14ac:dyDescent="0.25">
      <c r="A274">
        <v>4</v>
      </c>
      <c r="B274" t="s">
        <v>16</v>
      </c>
      <c r="C274">
        <v>28992</v>
      </c>
      <c r="D274">
        <v>192</v>
      </c>
      <c r="E274">
        <v>4</v>
      </c>
      <c r="F274">
        <v>4</v>
      </c>
      <c r="G274">
        <v>457.13</v>
      </c>
      <c r="H274" s="17">
        <v>35.540999999999997</v>
      </c>
      <c r="I274" s="33">
        <v>45318</v>
      </c>
      <c r="J274" s="37">
        <v>0.86857638888888899</v>
      </c>
      <c r="K274">
        <v>0</v>
      </c>
      <c r="L274">
        <v>0</v>
      </c>
      <c r="M274">
        <v>0</v>
      </c>
      <c r="N274">
        <v>0</v>
      </c>
      <c r="O274">
        <v>0</v>
      </c>
      <c r="P274">
        <v>0</v>
      </c>
      <c r="Q274">
        <v>0</v>
      </c>
      <c r="R274">
        <v>0</v>
      </c>
      <c r="S274">
        <v>0</v>
      </c>
      <c r="T274">
        <v>0</v>
      </c>
      <c r="U274">
        <v>0</v>
      </c>
      <c r="V274">
        <v>0</v>
      </c>
      <c r="W274" s="30">
        <f t="shared" si="141"/>
        <v>35.522599999999997</v>
      </c>
      <c r="Y274">
        <v>4</v>
      </c>
      <c r="Z274" t="s">
        <v>16</v>
      </c>
      <c r="AA274">
        <v>28992</v>
      </c>
      <c r="AB274">
        <v>192</v>
      </c>
      <c r="AC274">
        <v>4</v>
      </c>
      <c r="AD274">
        <v>4</v>
      </c>
      <c r="AE274">
        <v>429.24</v>
      </c>
      <c r="AF274" s="17">
        <v>37.850999999999999</v>
      </c>
      <c r="AG274" s="33">
        <v>45318</v>
      </c>
      <c r="AH274" s="34">
        <v>8.8009259259259245E-2</v>
      </c>
      <c r="AI274">
        <v>0</v>
      </c>
      <c r="AJ274">
        <v>0</v>
      </c>
      <c r="AK274">
        <v>0</v>
      </c>
      <c r="AL274">
        <v>0</v>
      </c>
      <c r="AM274">
        <v>0</v>
      </c>
      <c r="AN274">
        <v>0</v>
      </c>
      <c r="AO274">
        <v>0</v>
      </c>
      <c r="AP274">
        <v>0</v>
      </c>
      <c r="AQ274">
        <v>0</v>
      </c>
      <c r="AR274">
        <v>0</v>
      </c>
      <c r="AS274">
        <v>0</v>
      </c>
      <c r="AT274">
        <v>25</v>
      </c>
      <c r="AU274" s="30">
        <f t="shared" si="134"/>
        <v>37.810199999999995</v>
      </c>
    </row>
    <row r="275" spans="1:47" x14ac:dyDescent="0.25">
      <c r="A275">
        <v>0</v>
      </c>
      <c r="B275" t="s">
        <v>16</v>
      </c>
      <c r="C275">
        <v>25984</v>
      </c>
      <c r="D275">
        <v>224</v>
      </c>
      <c r="E275">
        <v>1</v>
      </c>
      <c r="F275">
        <v>16</v>
      </c>
      <c r="G275">
        <v>349.36</v>
      </c>
      <c r="H275" s="17">
        <v>33.479999999999997</v>
      </c>
      <c r="I275" s="33">
        <v>45318</v>
      </c>
      <c r="J275" s="37">
        <v>0.92982638888888891</v>
      </c>
      <c r="K275">
        <v>0</v>
      </c>
      <c r="L275">
        <v>0</v>
      </c>
      <c r="M275">
        <v>0</v>
      </c>
      <c r="N275">
        <v>0</v>
      </c>
      <c r="O275">
        <v>0</v>
      </c>
      <c r="P275">
        <v>0</v>
      </c>
      <c r="Q275">
        <v>0</v>
      </c>
      <c r="R275">
        <v>0</v>
      </c>
      <c r="S275">
        <v>0</v>
      </c>
      <c r="T275">
        <v>0</v>
      </c>
      <c r="U275">
        <v>0</v>
      </c>
      <c r="V275">
        <v>0</v>
      </c>
      <c r="W275" s="30">
        <f t="shared" ref="W275:W335" si="165">AVERAGE(H275:H279)</f>
        <v>33.509</v>
      </c>
      <c r="Y275">
        <v>0</v>
      </c>
      <c r="Z275" t="s">
        <v>16</v>
      </c>
      <c r="AA275">
        <v>25984</v>
      </c>
      <c r="AB275">
        <v>224</v>
      </c>
      <c r="AC275">
        <v>1</v>
      </c>
      <c r="AD275">
        <v>16</v>
      </c>
      <c r="AE275">
        <v>321.75</v>
      </c>
      <c r="AF275" s="17">
        <v>36.353000000000002</v>
      </c>
      <c r="AG275" s="33">
        <v>45314</v>
      </c>
      <c r="AH275" s="34">
        <v>0.76013888888888881</v>
      </c>
      <c r="AI275">
        <v>0</v>
      </c>
      <c r="AJ275">
        <v>0</v>
      </c>
      <c r="AK275">
        <v>0</v>
      </c>
      <c r="AL275">
        <v>0</v>
      </c>
      <c r="AM275">
        <v>0</v>
      </c>
      <c r="AN275">
        <v>0</v>
      </c>
      <c r="AO275">
        <v>0</v>
      </c>
      <c r="AP275">
        <v>0</v>
      </c>
      <c r="AQ275">
        <v>0</v>
      </c>
      <c r="AR275">
        <v>0</v>
      </c>
      <c r="AS275">
        <v>0</v>
      </c>
      <c r="AT275">
        <v>0</v>
      </c>
      <c r="AU275" s="30">
        <f t="shared" si="148"/>
        <v>36.398600000000002</v>
      </c>
    </row>
    <row r="276" spans="1:47" x14ac:dyDescent="0.25">
      <c r="A276">
        <v>1</v>
      </c>
      <c r="B276" t="s">
        <v>16</v>
      </c>
      <c r="C276">
        <v>25984</v>
      </c>
      <c r="D276">
        <v>224</v>
      </c>
      <c r="E276">
        <v>1</v>
      </c>
      <c r="F276">
        <v>16</v>
      </c>
      <c r="G276">
        <v>348.89</v>
      </c>
      <c r="H276" s="17">
        <v>33.524999999999999</v>
      </c>
      <c r="I276" s="33">
        <v>45318</v>
      </c>
      <c r="J276" s="37">
        <v>3.7349537037037035E-2</v>
      </c>
      <c r="K276">
        <v>0</v>
      </c>
      <c r="L276">
        <v>0</v>
      </c>
      <c r="M276">
        <v>0</v>
      </c>
      <c r="N276">
        <v>0</v>
      </c>
      <c r="O276">
        <v>0</v>
      </c>
      <c r="P276">
        <v>0</v>
      </c>
      <c r="Q276">
        <v>0</v>
      </c>
      <c r="R276">
        <v>0</v>
      </c>
      <c r="S276">
        <v>0</v>
      </c>
      <c r="T276">
        <v>0</v>
      </c>
      <c r="U276">
        <v>0</v>
      </c>
      <c r="V276">
        <v>0</v>
      </c>
      <c r="W276" s="30">
        <f t="shared" ref="W276:W339" si="166">W275</f>
        <v>33.509</v>
      </c>
      <c r="Y276">
        <v>1</v>
      </c>
      <c r="Z276" t="s">
        <v>16</v>
      </c>
      <c r="AA276">
        <v>25984</v>
      </c>
      <c r="AB276">
        <v>224</v>
      </c>
      <c r="AC276">
        <v>1</v>
      </c>
      <c r="AD276">
        <v>16</v>
      </c>
      <c r="AE276">
        <v>321.08999999999997</v>
      </c>
      <c r="AF276" s="17">
        <v>36.427999999999997</v>
      </c>
      <c r="AG276" s="33">
        <v>45314</v>
      </c>
      <c r="AH276" s="34">
        <v>0.78287037037037033</v>
      </c>
      <c r="AI276">
        <v>0</v>
      </c>
      <c r="AJ276">
        <v>0</v>
      </c>
      <c r="AK276">
        <v>0</v>
      </c>
      <c r="AL276">
        <v>0</v>
      </c>
      <c r="AM276">
        <v>0</v>
      </c>
      <c r="AN276">
        <v>0</v>
      </c>
      <c r="AO276">
        <v>0</v>
      </c>
      <c r="AP276">
        <v>0</v>
      </c>
      <c r="AQ276">
        <v>0</v>
      </c>
      <c r="AR276">
        <v>0</v>
      </c>
      <c r="AS276">
        <v>0</v>
      </c>
      <c r="AT276">
        <v>0</v>
      </c>
      <c r="AU276" s="30">
        <f t="shared" si="150"/>
        <v>36.398600000000002</v>
      </c>
    </row>
    <row r="277" spans="1:47" x14ac:dyDescent="0.25">
      <c r="A277">
        <v>2</v>
      </c>
      <c r="B277" t="s">
        <v>16</v>
      </c>
      <c r="C277">
        <v>25984</v>
      </c>
      <c r="D277">
        <v>224</v>
      </c>
      <c r="E277">
        <v>1</v>
      </c>
      <c r="F277">
        <v>16</v>
      </c>
      <c r="G277">
        <v>348.95</v>
      </c>
      <c r="H277" s="17">
        <v>33.520000000000003</v>
      </c>
      <c r="I277" s="33">
        <v>45318</v>
      </c>
      <c r="J277" s="37">
        <v>0.29679398148148145</v>
      </c>
      <c r="K277">
        <v>0</v>
      </c>
      <c r="L277">
        <v>0</v>
      </c>
      <c r="M277">
        <v>0</v>
      </c>
      <c r="N277">
        <v>0</v>
      </c>
      <c r="O277">
        <v>0</v>
      </c>
      <c r="P277">
        <v>0</v>
      </c>
      <c r="Q277">
        <v>0</v>
      </c>
      <c r="R277">
        <v>0</v>
      </c>
      <c r="S277">
        <v>0</v>
      </c>
      <c r="T277">
        <v>0</v>
      </c>
      <c r="U277">
        <v>0</v>
      </c>
      <c r="V277">
        <v>0</v>
      </c>
      <c r="W277" s="30">
        <f t="shared" si="141"/>
        <v>33.509</v>
      </c>
      <c r="Y277">
        <v>2</v>
      </c>
      <c r="Z277" t="s">
        <v>16</v>
      </c>
      <c r="AA277">
        <v>25984</v>
      </c>
      <c r="AB277">
        <v>224</v>
      </c>
      <c r="AC277">
        <v>1</v>
      </c>
      <c r="AD277">
        <v>16</v>
      </c>
      <c r="AE277">
        <v>321.57</v>
      </c>
      <c r="AF277" s="17">
        <v>36.374000000000002</v>
      </c>
      <c r="AG277" s="33">
        <v>45318</v>
      </c>
      <c r="AH277" s="34">
        <v>4.987268518518518E-2</v>
      </c>
      <c r="AI277">
        <v>0</v>
      </c>
      <c r="AJ277">
        <v>0</v>
      </c>
      <c r="AK277">
        <v>0</v>
      </c>
      <c r="AL277">
        <v>0</v>
      </c>
      <c r="AM277">
        <v>0</v>
      </c>
      <c r="AN277">
        <v>0</v>
      </c>
      <c r="AO277">
        <v>0</v>
      </c>
      <c r="AP277">
        <v>0</v>
      </c>
      <c r="AQ277">
        <v>0</v>
      </c>
      <c r="AR277">
        <v>0</v>
      </c>
      <c r="AS277">
        <v>0</v>
      </c>
      <c r="AT277">
        <v>0</v>
      </c>
      <c r="AU277" s="30">
        <f t="shared" si="134"/>
        <v>36.398600000000002</v>
      </c>
    </row>
    <row r="278" spans="1:47" x14ac:dyDescent="0.25">
      <c r="A278">
        <v>3</v>
      </c>
      <c r="B278" t="s">
        <v>16</v>
      </c>
      <c r="C278">
        <v>25984</v>
      </c>
      <c r="D278">
        <v>224</v>
      </c>
      <c r="E278">
        <v>1</v>
      </c>
      <c r="F278">
        <v>16</v>
      </c>
      <c r="G278">
        <v>349.07</v>
      </c>
      <c r="H278" s="17">
        <v>33.509</v>
      </c>
      <c r="I278" s="33">
        <v>45318</v>
      </c>
      <c r="J278" s="37">
        <v>0.55609953703703707</v>
      </c>
      <c r="K278">
        <v>0</v>
      </c>
      <c r="L278">
        <v>0</v>
      </c>
      <c r="M278">
        <v>0</v>
      </c>
      <c r="N278">
        <v>0</v>
      </c>
      <c r="O278">
        <v>0</v>
      </c>
      <c r="P278">
        <v>0</v>
      </c>
      <c r="Q278">
        <v>0</v>
      </c>
      <c r="R278">
        <v>0</v>
      </c>
      <c r="S278">
        <v>0</v>
      </c>
      <c r="T278">
        <v>0</v>
      </c>
      <c r="U278">
        <v>0</v>
      </c>
      <c r="V278">
        <v>0</v>
      </c>
      <c r="W278" s="30">
        <f t="shared" si="141"/>
        <v>33.509</v>
      </c>
      <c r="Y278">
        <v>3</v>
      </c>
      <c r="Z278" t="s">
        <v>16</v>
      </c>
      <c r="AA278">
        <v>25984</v>
      </c>
      <c r="AB278">
        <v>224</v>
      </c>
      <c r="AC278">
        <v>1</v>
      </c>
      <c r="AD278">
        <v>16</v>
      </c>
      <c r="AE278">
        <v>321.58</v>
      </c>
      <c r="AF278" s="17">
        <v>36.372</v>
      </c>
      <c r="AG278" s="33">
        <v>45315</v>
      </c>
      <c r="AH278" s="34">
        <v>0.17682870370370371</v>
      </c>
      <c r="AI278">
        <v>0</v>
      </c>
      <c r="AJ278">
        <v>0</v>
      </c>
      <c r="AK278">
        <v>0</v>
      </c>
      <c r="AL278">
        <v>0</v>
      </c>
      <c r="AM278">
        <v>0</v>
      </c>
      <c r="AN278">
        <v>0</v>
      </c>
      <c r="AO278">
        <v>0</v>
      </c>
      <c r="AP278">
        <v>0</v>
      </c>
      <c r="AQ278">
        <v>0</v>
      </c>
      <c r="AR278">
        <v>0</v>
      </c>
      <c r="AS278">
        <v>0</v>
      </c>
      <c r="AT278">
        <v>52</v>
      </c>
      <c r="AU278" s="30">
        <f t="shared" si="134"/>
        <v>36.398600000000002</v>
      </c>
    </row>
    <row r="279" spans="1:47" x14ac:dyDescent="0.25">
      <c r="A279">
        <v>4</v>
      </c>
      <c r="B279" t="s">
        <v>16</v>
      </c>
      <c r="C279">
        <v>25984</v>
      </c>
      <c r="D279">
        <v>224</v>
      </c>
      <c r="E279">
        <v>1</v>
      </c>
      <c r="F279">
        <v>16</v>
      </c>
      <c r="G279">
        <v>349.04</v>
      </c>
      <c r="H279" s="17">
        <v>33.511000000000003</v>
      </c>
      <c r="I279" s="33">
        <v>45318</v>
      </c>
      <c r="J279" s="37">
        <v>0.81546296296296295</v>
      </c>
      <c r="K279">
        <v>0</v>
      </c>
      <c r="L279">
        <v>0</v>
      </c>
      <c r="M279">
        <v>0</v>
      </c>
      <c r="N279">
        <v>0</v>
      </c>
      <c r="O279">
        <v>0</v>
      </c>
      <c r="P279">
        <v>0</v>
      </c>
      <c r="Q279">
        <v>0</v>
      </c>
      <c r="R279">
        <v>0</v>
      </c>
      <c r="S279">
        <v>0</v>
      </c>
      <c r="T279">
        <v>0</v>
      </c>
      <c r="U279">
        <v>0</v>
      </c>
      <c r="V279">
        <v>0</v>
      </c>
      <c r="W279" s="30">
        <f t="shared" si="141"/>
        <v>33.509</v>
      </c>
      <c r="Y279">
        <v>4</v>
      </c>
      <c r="Z279" t="s">
        <v>16</v>
      </c>
      <c r="AA279">
        <v>25984</v>
      </c>
      <c r="AB279">
        <v>224</v>
      </c>
      <c r="AC279">
        <v>1</v>
      </c>
      <c r="AD279">
        <v>16</v>
      </c>
      <c r="AE279">
        <v>320.76</v>
      </c>
      <c r="AF279" s="17">
        <v>36.466000000000001</v>
      </c>
      <c r="AG279" s="33">
        <v>45318</v>
      </c>
      <c r="AH279" s="34">
        <v>3.2708333333333332E-2</v>
      </c>
      <c r="AI279">
        <v>0</v>
      </c>
      <c r="AJ279">
        <v>0</v>
      </c>
      <c r="AK279">
        <v>0</v>
      </c>
      <c r="AL279">
        <v>0</v>
      </c>
      <c r="AM279">
        <v>0</v>
      </c>
      <c r="AN279">
        <v>0</v>
      </c>
      <c r="AO279">
        <v>0</v>
      </c>
      <c r="AP279">
        <v>0</v>
      </c>
      <c r="AQ279">
        <v>0</v>
      </c>
      <c r="AR279">
        <v>0</v>
      </c>
      <c r="AS279">
        <v>0</v>
      </c>
      <c r="AT279">
        <v>0</v>
      </c>
      <c r="AU279" s="30">
        <f t="shared" si="134"/>
        <v>36.398600000000002</v>
      </c>
    </row>
    <row r="280" spans="1:47" x14ac:dyDescent="0.25">
      <c r="A280">
        <v>0</v>
      </c>
      <c r="B280" t="s">
        <v>16</v>
      </c>
      <c r="C280">
        <v>27328</v>
      </c>
      <c r="D280">
        <v>224</v>
      </c>
      <c r="E280">
        <v>1</v>
      </c>
      <c r="F280">
        <v>16</v>
      </c>
      <c r="G280">
        <v>401.2</v>
      </c>
      <c r="H280" s="17">
        <v>33.915999999999997</v>
      </c>
      <c r="I280" s="33">
        <v>45318</v>
      </c>
      <c r="J280" s="37">
        <v>0.85285879629629635</v>
      </c>
      <c r="K280">
        <v>0</v>
      </c>
      <c r="L280">
        <v>0</v>
      </c>
      <c r="M280">
        <v>0</v>
      </c>
      <c r="N280">
        <v>0</v>
      </c>
      <c r="O280">
        <v>0</v>
      </c>
      <c r="P280">
        <v>0</v>
      </c>
      <c r="Q280">
        <v>0</v>
      </c>
      <c r="R280">
        <v>0</v>
      </c>
      <c r="S280">
        <v>0</v>
      </c>
      <c r="T280">
        <v>0</v>
      </c>
      <c r="U280">
        <v>0</v>
      </c>
      <c r="V280">
        <v>0</v>
      </c>
      <c r="W280" s="30">
        <f t="shared" si="165"/>
        <v>33.931400000000004</v>
      </c>
      <c r="Y280">
        <v>0</v>
      </c>
      <c r="Z280" t="s">
        <v>16</v>
      </c>
      <c r="AA280">
        <v>27328</v>
      </c>
      <c r="AB280">
        <v>224</v>
      </c>
      <c r="AC280">
        <v>1</v>
      </c>
      <c r="AD280">
        <v>16</v>
      </c>
      <c r="AE280">
        <v>370.25</v>
      </c>
      <c r="AF280" s="17">
        <v>36.752000000000002</v>
      </c>
      <c r="AG280" s="33">
        <v>45314</v>
      </c>
      <c r="AH280" s="34">
        <v>0.80497685185185175</v>
      </c>
      <c r="AI280">
        <v>0</v>
      </c>
      <c r="AJ280">
        <v>0</v>
      </c>
      <c r="AK280">
        <v>0</v>
      </c>
      <c r="AL280">
        <v>0</v>
      </c>
      <c r="AM280">
        <v>0</v>
      </c>
      <c r="AN280">
        <v>0</v>
      </c>
      <c r="AO280">
        <v>0</v>
      </c>
      <c r="AP280">
        <v>0</v>
      </c>
      <c r="AQ280">
        <v>0</v>
      </c>
      <c r="AR280">
        <v>0</v>
      </c>
      <c r="AS280">
        <v>0</v>
      </c>
      <c r="AT280">
        <v>0</v>
      </c>
      <c r="AU280" s="30">
        <f t="shared" si="148"/>
        <v>36.756600000000006</v>
      </c>
    </row>
    <row r="281" spans="1:47" x14ac:dyDescent="0.25">
      <c r="A281">
        <v>1</v>
      </c>
      <c r="B281" t="s">
        <v>16</v>
      </c>
      <c r="C281">
        <v>27328</v>
      </c>
      <c r="D281">
        <v>224</v>
      </c>
      <c r="E281">
        <v>1</v>
      </c>
      <c r="F281">
        <v>16</v>
      </c>
      <c r="G281">
        <v>401.11</v>
      </c>
      <c r="H281" s="17">
        <v>33.923999999999999</v>
      </c>
      <c r="I281" s="33">
        <v>45318</v>
      </c>
      <c r="J281" s="37">
        <v>0.1150462962962963</v>
      </c>
      <c r="K281">
        <v>0</v>
      </c>
      <c r="L281">
        <v>0</v>
      </c>
      <c r="M281">
        <v>0</v>
      </c>
      <c r="N281">
        <v>0</v>
      </c>
      <c r="O281">
        <v>0</v>
      </c>
      <c r="P281">
        <v>0</v>
      </c>
      <c r="Q281">
        <v>0</v>
      </c>
      <c r="R281">
        <v>0</v>
      </c>
      <c r="S281">
        <v>0</v>
      </c>
      <c r="T281">
        <v>0</v>
      </c>
      <c r="U281">
        <v>0</v>
      </c>
      <c r="V281">
        <v>0</v>
      </c>
      <c r="W281" s="30">
        <f t="shared" si="166"/>
        <v>33.931400000000004</v>
      </c>
      <c r="Y281">
        <v>1</v>
      </c>
      <c r="Z281" t="s">
        <v>16</v>
      </c>
      <c r="AA281">
        <v>27328</v>
      </c>
      <c r="AB281">
        <v>224</v>
      </c>
      <c r="AC281">
        <v>1</v>
      </c>
      <c r="AD281">
        <v>16</v>
      </c>
      <c r="AE281">
        <v>369.71</v>
      </c>
      <c r="AF281" s="17">
        <v>36.805</v>
      </c>
      <c r="AG281" s="33">
        <v>45314</v>
      </c>
      <c r="AH281" s="34">
        <v>0.94707175925925924</v>
      </c>
      <c r="AI281">
        <v>0</v>
      </c>
      <c r="AJ281">
        <v>0</v>
      </c>
      <c r="AK281">
        <v>0</v>
      </c>
      <c r="AL281">
        <v>0</v>
      </c>
      <c r="AM281">
        <v>0</v>
      </c>
      <c r="AN281">
        <v>0</v>
      </c>
      <c r="AO281">
        <v>0</v>
      </c>
      <c r="AP281">
        <v>0</v>
      </c>
      <c r="AQ281">
        <v>0</v>
      </c>
      <c r="AR281">
        <v>0</v>
      </c>
      <c r="AS281">
        <v>0</v>
      </c>
      <c r="AT281">
        <v>0</v>
      </c>
      <c r="AU281" s="30">
        <f t="shared" si="150"/>
        <v>36.756600000000006</v>
      </c>
    </row>
    <row r="282" spans="1:47" x14ac:dyDescent="0.25">
      <c r="A282">
        <v>2</v>
      </c>
      <c r="B282" t="s">
        <v>16</v>
      </c>
      <c r="C282">
        <v>27328</v>
      </c>
      <c r="D282">
        <v>224</v>
      </c>
      <c r="E282">
        <v>1</v>
      </c>
      <c r="F282">
        <v>16</v>
      </c>
      <c r="G282">
        <v>401.13</v>
      </c>
      <c r="H282" s="17">
        <v>33.921999999999997</v>
      </c>
      <c r="I282" s="33">
        <v>45318</v>
      </c>
      <c r="J282" s="37">
        <v>0.21982638888888886</v>
      </c>
      <c r="K282">
        <v>0</v>
      </c>
      <c r="L282">
        <v>0</v>
      </c>
      <c r="M282">
        <v>0</v>
      </c>
      <c r="N282">
        <v>0</v>
      </c>
      <c r="O282">
        <v>0</v>
      </c>
      <c r="P282">
        <v>0</v>
      </c>
      <c r="Q282">
        <v>0</v>
      </c>
      <c r="R282">
        <v>0</v>
      </c>
      <c r="S282">
        <v>0</v>
      </c>
      <c r="T282">
        <v>0</v>
      </c>
      <c r="U282">
        <v>0</v>
      </c>
      <c r="V282">
        <v>0</v>
      </c>
      <c r="W282" s="30">
        <f t="shared" si="141"/>
        <v>33.931400000000004</v>
      </c>
      <c r="Y282">
        <v>2</v>
      </c>
      <c r="Z282" t="s">
        <v>16</v>
      </c>
      <c r="AA282">
        <v>27328</v>
      </c>
      <c r="AB282">
        <v>224</v>
      </c>
      <c r="AC282">
        <v>1</v>
      </c>
      <c r="AD282">
        <v>16</v>
      </c>
      <c r="AE282">
        <v>370.13</v>
      </c>
      <c r="AF282" s="17">
        <v>36.764000000000003</v>
      </c>
      <c r="AG282" s="33">
        <v>45318</v>
      </c>
      <c r="AH282" s="34">
        <v>0.10466435185185186</v>
      </c>
      <c r="AI282">
        <v>0</v>
      </c>
      <c r="AJ282">
        <v>0</v>
      </c>
      <c r="AK282">
        <v>0</v>
      </c>
      <c r="AL282">
        <v>0</v>
      </c>
      <c r="AM282">
        <v>0</v>
      </c>
      <c r="AN282">
        <v>0</v>
      </c>
      <c r="AO282">
        <v>0</v>
      </c>
      <c r="AP282">
        <v>0</v>
      </c>
      <c r="AQ282">
        <v>0</v>
      </c>
      <c r="AR282">
        <v>0</v>
      </c>
      <c r="AS282">
        <v>0</v>
      </c>
      <c r="AT282">
        <v>25</v>
      </c>
      <c r="AU282" s="30">
        <f t="shared" si="134"/>
        <v>36.756600000000006</v>
      </c>
    </row>
    <row r="283" spans="1:47" x14ac:dyDescent="0.25">
      <c r="A283">
        <v>3</v>
      </c>
      <c r="B283" t="s">
        <v>16</v>
      </c>
      <c r="C283">
        <v>27328</v>
      </c>
      <c r="D283">
        <v>224</v>
      </c>
      <c r="E283">
        <v>1</v>
      </c>
      <c r="F283">
        <v>16</v>
      </c>
      <c r="G283">
        <v>400.87</v>
      </c>
      <c r="H283" s="17">
        <v>33.944000000000003</v>
      </c>
      <c r="I283" s="33">
        <v>45318</v>
      </c>
      <c r="J283" s="37">
        <v>0.47910879629629632</v>
      </c>
      <c r="K283">
        <v>0</v>
      </c>
      <c r="L283">
        <v>0</v>
      </c>
      <c r="M283">
        <v>0</v>
      </c>
      <c r="N283">
        <v>0</v>
      </c>
      <c r="O283">
        <v>0</v>
      </c>
      <c r="P283">
        <v>0</v>
      </c>
      <c r="Q283">
        <v>0</v>
      </c>
      <c r="R283">
        <v>0</v>
      </c>
      <c r="S283">
        <v>0</v>
      </c>
      <c r="T283">
        <v>0</v>
      </c>
      <c r="U283">
        <v>0</v>
      </c>
      <c r="V283">
        <v>0</v>
      </c>
      <c r="W283" s="30">
        <f t="shared" si="141"/>
        <v>33.931400000000004</v>
      </c>
      <c r="Y283">
        <v>3</v>
      </c>
      <c r="Z283" t="s">
        <v>16</v>
      </c>
      <c r="AA283">
        <v>27328</v>
      </c>
      <c r="AB283">
        <v>224</v>
      </c>
      <c r="AC283">
        <v>1</v>
      </c>
      <c r="AD283">
        <v>16</v>
      </c>
      <c r="AE283">
        <v>370.56</v>
      </c>
      <c r="AF283" s="17">
        <v>36.720999999999997</v>
      </c>
      <c r="AG283" s="33">
        <v>45315</v>
      </c>
      <c r="AH283" s="34">
        <v>9.7418981481481481E-2</v>
      </c>
      <c r="AI283">
        <v>0</v>
      </c>
      <c r="AJ283">
        <v>0</v>
      </c>
      <c r="AK283">
        <v>0</v>
      </c>
      <c r="AL283">
        <v>0</v>
      </c>
      <c r="AM283">
        <v>0</v>
      </c>
      <c r="AN283">
        <v>0</v>
      </c>
      <c r="AO283">
        <v>0</v>
      </c>
      <c r="AP283">
        <v>0</v>
      </c>
      <c r="AQ283">
        <v>0</v>
      </c>
      <c r="AR283">
        <v>0</v>
      </c>
      <c r="AS283">
        <v>0</v>
      </c>
      <c r="AT283">
        <v>0</v>
      </c>
      <c r="AU283" s="30">
        <f t="shared" si="134"/>
        <v>36.756600000000006</v>
      </c>
    </row>
    <row r="284" spans="1:47" x14ac:dyDescent="0.25">
      <c r="A284">
        <v>4</v>
      </c>
      <c r="B284" t="s">
        <v>16</v>
      </c>
      <c r="C284">
        <v>27328</v>
      </c>
      <c r="D284">
        <v>224</v>
      </c>
      <c r="E284">
        <v>1</v>
      </c>
      <c r="F284">
        <v>16</v>
      </c>
      <c r="G284">
        <v>400.78</v>
      </c>
      <c r="H284" s="17">
        <v>33.951000000000001</v>
      </c>
      <c r="I284" s="33">
        <v>45318</v>
      </c>
      <c r="J284" s="37">
        <v>0.7384722222222222</v>
      </c>
      <c r="K284">
        <v>0</v>
      </c>
      <c r="L284">
        <v>0</v>
      </c>
      <c r="M284">
        <v>0</v>
      </c>
      <c r="N284">
        <v>0</v>
      </c>
      <c r="O284">
        <v>0</v>
      </c>
      <c r="P284">
        <v>0</v>
      </c>
      <c r="Q284">
        <v>0</v>
      </c>
      <c r="R284">
        <v>0</v>
      </c>
      <c r="S284">
        <v>0</v>
      </c>
      <c r="T284">
        <v>0</v>
      </c>
      <c r="U284">
        <v>0</v>
      </c>
      <c r="V284">
        <v>0</v>
      </c>
      <c r="W284" s="30">
        <f t="shared" si="141"/>
        <v>33.931400000000004</v>
      </c>
      <c r="Y284">
        <v>4</v>
      </c>
      <c r="Z284" t="s">
        <v>16</v>
      </c>
      <c r="AA284">
        <v>27328</v>
      </c>
      <c r="AB284">
        <v>224</v>
      </c>
      <c r="AC284">
        <v>1</v>
      </c>
      <c r="AD284">
        <v>16</v>
      </c>
      <c r="AE284">
        <v>370.35</v>
      </c>
      <c r="AF284" s="17">
        <v>36.741</v>
      </c>
      <c r="AG284" s="33">
        <v>45318</v>
      </c>
      <c r="AH284" s="34">
        <v>1.1458333333333334E-2</v>
      </c>
      <c r="AI284">
        <v>0</v>
      </c>
      <c r="AJ284">
        <v>0</v>
      </c>
      <c r="AK284">
        <v>0</v>
      </c>
      <c r="AL284">
        <v>0</v>
      </c>
      <c r="AM284">
        <v>0</v>
      </c>
      <c r="AN284">
        <v>0</v>
      </c>
      <c r="AO284">
        <v>0</v>
      </c>
      <c r="AP284">
        <v>0</v>
      </c>
      <c r="AQ284">
        <v>0</v>
      </c>
      <c r="AR284">
        <v>0</v>
      </c>
      <c r="AS284">
        <v>0</v>
      </c>
      <c r="AT284">
        <v>0</v>
      </c>
      <c r="AU284" s="30">
        <f t="shared" si="134"/>
        <v>36.756600000000006</v>
      </c>
    </row>
    <row r="285" spans="1:47" x14ac:dyDescent="0.25">
      <c r="A285">
        <v>0</v>
      </c>
      <c r="B285" t="s">
        <v>16</v>
      </c>
      <c r="C285">
        <v>28896</v>
      </c>
      <c r="D285">
        <v>224</v>
      </c>
      <c r="E285">
        <v>1</v>
      </c>
      <c r="F285">
        <v>16</v>
      </c>
      <c r="G285">
        <v>471.52</v>
      </c>
      <c r="H285" s="17">
        <v>34.116</v>
      </c>
      <c r="I285" s="33">
        <v>45318</v>
      </c>
      <c r="J285" s="37">
        <v>2.4722222222222225E-2</v>
      </c>
      <c r="K285">
        <v>0</v>
      </c>
      <c r="L285">
        <v>0</v>
      </c>
      <c r="M285">
        <v>0</v>
      </c>
      <c r="N285">
        <v>0</v>
      </c>
      <c r="O285">
        <v>0</v>
      </c>
      <c r="P285">
        <v>0</v>
      </c>
      <c r="Q285">
        <v>0</v>
      </c>
      <c r="R285">
        <v>0</v>
      </c>
      <c r="S285">
        <v>0</v>
      </c>
      <c r="T285">
        <v>0</v>
      </c>
      <c r="U285">
        <v>0</v>
      </c>
      <c r="V285">
        <v>0</v>
      </c>
      <c r="W285" s="30">
        <f t="shared" si="165"/>
        <v>34.285999999999994</v>
      </c>
      <c r="Y285">
        <v>0</v>
      </c>
      <c r="Z285" t="s">
        <v>16</v>
      </c>
      <c r="AA285">
        <v>28896</v>
      </c>
      <c r="AB285">
        <v>224</v>
      </c>
      <c r="AC285">
        <v>1</v>
      </c>
      <c r="AD285">
        <v>16</v>
      </c>
      <c r="AE285">
        <v>431.7</v>
      </c>
      <c r="AF285" s="17">
        <v>37.262</v>
      </c>
      <c r="AG285" s="33">
        <v>45314</v>
      </c>
      <c r="AH285" s="34">
        <v>0.85480324074074077</v>
      </c>
      <c r="AI285">
        <v>0</v>
      </c>
      <c r="AJ285">
        <v>0</v>
      </c>
      <c r="AK285">
        <v>0</v>
      </c>
      <c r="AL285">
        <v>0</v>
      </c>
      <c r="AM285">
        <v>0</v>
      </c>
      <c r="AN285">
        <v>0</v>
      </c>
      <c r="AO285">
        <v>0</v>
      </c>
      <c r="AP285">
        <v>0</v>
      </c>
      <c r="AQ285">
        <v>0</v>
      </c>
      <c r="AR285">
        <v>0</v>
      </c>
      <c r="AS285">
        <v>0</v>
      </c>
      <c r="AT285">
        <v>0</v>
      </c>
      <c r="AU285" s="30">
        <f t="shared" si="148"/>
        <v>37.339999999999996</v>
      </c>
    </row>
    <row r="286" spans="1:47" x14ac:dyDescent="0.25">
      <c r="A286">
        <v>1</v>
      </c>
      <c r="B286" t="s">
        <v>16</v>
      </c>
      <c r="C286">
        <v>28896</v>
      </c>
      <c r="D286">
        <v>224</v>
      </c>
      <c r="E286">
        <v>1</v>
      </c>
      <c r="F286">
        <v>16</v>
      </c>
      <c r="G286">
        <v>468.87</v>
      </c>
      <c r="H286" s="17">
        <v>34.308999999999997</v>
      </c>
      <c r="I286" s="33">
        <v>45318</v>
      </c>
      <c r="J286" s="37">
        <v>0.12954861111111113</v>
      </c>
      <c r="K286">
        <v>0</v>
      </c>
      <c r="L286">
        <v>0</v>
      </c>
      <c r="M286">
        <v>0</v>
      </c>
      <c r="N286">
        <v>0</v>
      </c>
      <c r="O286">
        <v>0</v>
      </c>
      <c r="P286">
        <v>0</v>
      </c>
      <c r="Q286">
        <v>0</v>
      </c>
      <c r="R286">
        <v>0</v>
      </c>
      <c r="S286">
        <v>0</v>
      </c>
      <c r="T286">
        <v>0</v>
      </c>
      <c r="U286">
        <v>0</v>
      </c>
      <c r="V286">
        <v>0</v>
      </c>
      <c r="W286" s="30">
        <f t="shared" si="166"/>
        <v>34.285999999999994</v>
      </c>
      <c r="Y286">
        <v>1</v>
      </c>
      <c r="Z286" t="s">
        <v>16</v>
      </c>
      <c r="AA286">
        <v>28896</v>
      </c>
      <c r="AB286">
        <v>224</v>
      </c>
      <c r="AC286">
        <v>1</v>
      </c>
      <c r="AD286">
        <v>16</v>
      </c>
      <c r="AE286">
        <v>429.04</v>
      </c>
      <c r="AF286" s="17">
        <v>37.494</v>
      </c>
      <c r="AG286" s="33">
        <v>45318</v>
      </c>
      <c r="AH286" s="34">
        <v>0.18923611111111113</v>
      </c>
      <c r="AI286">
        <v>0</v>
      </c>
      <c r="AJ286">
        <v>0</v>
      </c>
      <c r="AK286">
        <v>0</v>
      </c>
      <c r="AL286">
        <v>0</v>
      </c>
      <c r="AM286">
        <v>0</v>
      </c>
      <c r="AN286">
        <v>0</v>
      </c>
      <c r="AO286">
        <v>0</v>
      </c>
      <c r="AP286">
        <v>0</v>
      </c>
      <c r="AQ286">
        <v>0</v>
      </c>
      <c r="AR286">
        <v>0</v>
      </c>
      <c r="AS286">
        <v>0</v>
      </c>
      <c r="AT286">
        <v>0</v>
      </c>
      <c r="AU286" s="30">
        <f t="shared" si="150"/>
        <v>37.339999999999996</v>
      </c>
    </row>
    <row r="287" spans="1:47" x14ac:dyDescent="0.25">
      <c r="A287">
        <v>2</v>
      </c>
      <c r="B287" t="s">
        <v>16</v>
      </c>
      <c r="C287">
        <v>28896</v>
      </c>
      <c r="D287">
        <v>224</v>
      </c>
      <c r="E287">
        <v>1</v>
      </c>
      <c r="F287">
        <v>16</v>
      </c>
      <c r="G287">
        <v>467.25</v>
      </c>
      <c r="H287" s="17">
        <v>34.427999999999997</v>
      </c>
      <c r="I287" s="33">
        <v>45318</v>
      </c>
      <c r="J287" s="37">
        <v>0.38890046296296293</v>
      </c>
      <c r="K287">
        <v>0</v>
      </c>
      <c r="L287">
        <v>0</v>
      </c>
      <c r="M287">
        <v>0</v>
      </c>
      <c r="N287">
        <v>0</v>
      </c>
      <c r="O287">
        <v>0</v>
      </c>
      <c r="P287">
        <v>0</v>
      </c>
      <c r="Q287">
        <v>0</v>
      </c>
      <c r="R287">
        <v>0</v>
      </c>
      <c r="S287">
        <v>0</v>
      </c>
      <c r="T287">
        <v>0</v>
      </c>
      <c r="U287">
        <v>0</v>
      </c>
      <c r="V287">
        <v>0</v>
      </c>
      <c r="W287" s="30">
        <f t="shared" si="141"/>
        <v>34.285999999999994</v>
      </c>
      <c r="Y287">
        <v>2</v>
      </c>
      <c r="Z287" t="s">
        <v>16</v>
      </c>
      <c r="AA287">
        <v>28896</v>
      </c>
      <c r="AB287">
        <v>224</v>
      </c>
      <c r="AC287">
        <v>1</v>
      </c>
      <c r="AD287">
        <v>16</v>
      </c>
      <c r="AE287">
        <v>431.53</v>
      </c>
      <c r="AF287" s="17">
        <v>37.277000000000001</v>
      </c>
      <c r="AG287" s="33">
        <v>45318</v>
      </c>
      <c r="AH287" s="34">
        <v>0.11206018518518518</v>
      </c>
      <c r="AI287">
        <v>0</v>
      </c>
      <c r="AJ287">
        <v>0</v>
      </c>
      <c r="AK287">
        <v>0</v>
      </c>
      <c r="AL287">
        <v>0</v>
      </c>
      <c r="AM287">
        <v>0</v>
      </c>
      <c r="AN287">
        <v>0</v>
      </c>
      <c r="AO287">
        <v>0</v>
      </c>
      <c r="AP287">
        <v>0</v>
      </c>
      <c r="AQ287">
        <v>0</v>
      </c>
      <c r="AR287">
        <v>0</v>
      </c>
      <c r="AS287">
        <v>0</v>
      </c>
      <c r="AT287">
        <v>0</v>
      </c>
      <c r="AU287" s="30">
        <f t="shared" si="150"/>
        <v>37.339999999999996</v>
      </c>
    </row>
    <row r="288" spans="1:47" x14ac:dyDescent="0.25">
      <c r="A288">
        <v>3</v>
      </c>
      <c r="B288" t="s">
        <v>16</v>
      </c>
      <c r="C288">
        <v>28896</v>
      </c>
      <c r="D288">
        <v>224</v>
      </c>
      <c r="E288">
        <v>1</v>
      </c>
      <c r="F288">
        <v>16</v>
      </c>
      <c r="G288">
        <v>466.91</v>
      </c>
      <c r="H288" s="17">
        <v>34.453000000000003</v>
      </c>
      <c r="I288" s="33">
        <v>45318</v>
      </c>
      <c r="J288" s="37">
        <v>0.64820601851851845</v>
      </c>
      <c r="K288">
        <v>0</v>
      </c>
      <c r="L288">
        <v>0</v>
      </c>
      <c r="M288">
        <v>0</v>
      </c>
      <c r="N288">
        <v>0</v>
      </c>
      <c r="O288">
        <v>0</v>
      </c>
      <c r="P288">
        <v>0</v>
      </c>
      <c r="Q288">
        <v>0</v>
      </c>
      <c r="R288">
        <v>0</v>
      </c>
      <c r="S288">
        <v>0</v>
      </c>
      <c r="T288">
        <v>0</v>
      </c>
      <c r="U288">
        <v>0</v>
      </c>
      <c r="V288">
        <v>0</v>
      </c>
      <c r="W288" s="30">
        <f t="shared" si="141"/>
        <v>34.285999999999994</v>
      </c>
      <c r="Y288">
        <v>3</v>
      </c>
      <c r="Z288" t="s">
        <v>16</v>
      </c>
      <c r="AA288">
        <v>28896</v>
      </c>
      <c r="AB288">
        <v>224</v>
      </c>
      <c r="AC288">
        <v>1</v>
      </c>
      <c r="AD288">
        <v>16</v>
      </c>
      <c r="AE288">
        <v>430.72</v>
      </c>
      <c r="AF288" s="17">
        <v>37.347999999999999</v>
      </c>
      <c r="AG288" s="33">
        <v>45315</v>
      </c>
      <c r="AH288" s="34">
        <v>0.2713888888888889</v>
      </c>
      <c r="AI288">
        <v>0</v>
      </c>
      <c r="AJ288">
        <v>0</v>
      </c>
      <c r="AK288">
        <v>0</v>
      </c>
      <c r="AL288">
        <v>0</v>
      </c>
      <c r="AM288">
        <v>0</v>
      </c>
      <c r="AN288">
        <v>0</v>
      </c>
      <c r="AO288">
        <v>0</v>
      </c>
      <c r="AP288">
        <v>0</v>
      </c>
      <c r="AQ288">
        <v>0</v>
      </c>
      <c r="AR288">
        <v>0</v>
      </c>
      <c r="AS288">
        <v>0</v>
      </c>
      <c r="AT288">
        <v>0</v>
      </c>
      <c r="AU288" s="30">
        <f t="shared" si="150"/>
        <v>37.339999999999996</v>
      </c>
    </row>
    <row r="289" spans="1:47" x14ac:dyDescent="0.25">
      <c r="A289">
        <v>4</v>
      </c>
      <c r="B289" t="s">
        <v>16</v>
      </c>
      <c r="C289">
        <v>28896</v>
      </c>
      <c r="D289">
        <v>224</v>
      </c>
      <c r="E289">
        <v>1</v>
      </c>
      <c r="F289">
        <v>16</v>
      </c>
      <c r="G289">
        <v>471.4</v>
      </c>
      <c r="H289" s="17">
        <v>34.124000000000002</v>
      </c>
      <c r="I289" s="33">
        <v>45318</v>
      </c>
      <c r="J289" s="37">
        <v>4.2245370370370371E-3</v>
      </c>
      <c r="K289">
        <v>0</v>
      </c>
      <c r="L289">
        <v>0</v>
      </c>
      <c r="M289">
        <v>0</v>
      </c>
      <c r="N289">
        <v>0</v>
      </c>
      <c r="O289">
        <v>0</v>
      </c>
      <c r="P289">
        <v>0</v>
      </c>
      <c r="Q289">
        <v>0</v>
      </c>
      <c r="R289">
        <v>0</v>
      </c>
      <c r="S289">
        <v>0</v>
      </c>
      <c r="T289">
        <v>0</v>
      </c>
      <c r="U289">
        <v>0</v>
      </c>
      <c r="V289">
        <v>0</v>
      </c>
      <c r="W289" s="30">
        <f t="shared" si="141"/>
        <v>34.285999999999994</v>
      </c>
      <c r="Y289">
        <v>4</v>
      </c>
      <c r="Z289" t="s">
        <v>16</v>
      </c>
      <c r="AA289">
        <v>28896</v>
      </c>
      <c r="AB289">
        <v>224</v>
      </c>
      <c r="AC289">
        <v>1</v>
      </c>
      <c r="AD289">
        <v>16</v>
      </c>
      <c r="AE289">
        <v>431.04</v>
      </c>
      <c r="AF289" s="17">
        <v>37.319000000000003</v>
      </c>
      <c r="AG289" s="33">
        <v>45318</v>
      </c>
      <c r="AH289" s="34">
        <v>0.12734953703703702</v>
      </c>
      <c r="AI289">
        <v>0</v>
      </c>
      <c r="AJ289">
        <v>0</v>
      </c>
      <c r="AK289">
        <v>0</v>
      </c>
      <c r="AL289">
        <v>0</v>
      </c>
      <c r="AM289">
        <v>0</v>
      </c>
      <c r="AN289">
        <v>0</v>
      </c>
      <c r="AO289">
        <v>0</v>
      </c>
      <c r="AP289">
        <v>0</v>
      </c>
      <c r="AQ289">
        <v>0</v>
      </c>
      <c r="AR289">
        <v>0</v>
      </c>
      <c r="AS289">
        <v>0</v>
      </c>
      <c r="AT289">
        <v>26</v>
      </c>
      <c r="AU289" s="30">
        <f t="shared" si="150"/>
        <v>37.339999999999996</v>
      </c>
    </row>
    <row r="290" spans="1:47" x14ac:dyDescent="0.25">
      <c r="A290">
        <v>0</v>
      </c>
      <c r="B290" t="s">
        <v>16</v>
      </c>
      <c r="C290">
        <v>25984</v>
      </c>
      <c r="D290">
        <v>224</v>
      </c>
      <c r="E290">
        <v>2</v>
      </c>
      <c r="F290">
        <v>8</v>
      </c>
      <c r="G290">
        <v>322.32</v>
      </c>
      <c r="H290" s="17">
        <v>36.289000000000001</v>
      </c>
      <c r="I290" s="33">
        <v>45318</v>
      </c>
      <c r="J290" s="37">
        <v>0.93374999999999997</v>
      </c>
      <c r="K290">
        <v>0</v>
      </c>
      <c r="L290">
        <v>0</v>
      </c>
      <c r="M290">
        <v>0</v>
      </c>
      <c r="N290">
        <v>0</v>
      </c>
      <c r="O290">
        <v>0</v>
      </c>
      <c r="P290">
        <v>0</v>
      </c>
      <c r="Q290">
        <v>0</v>
      </c>
      <c r="R290">
        <v>0</v>
      </c>
      <c r="S290">
        <v>0</v>
      </c>
      <c r="T290">
        <v>0</v>
      </c>
      <c r="U290">
        <v>0</v>
      </c>
      <c r="V290">
        <v>0</v>
      </c>
      <c r="W290" s="30">
        <f t="shared" si="165"/>
        <v>36.297399999999996</v>
      </c>
      <c r="Y290">
        <v>0</v>
      </c>
      <c r="Z290" t="s">
        <v>16</v>
      </c>
      <c r="AA290">
        <v>25984</v>
      </c>
      <c r="AB290">
        <v>224</v>
      </c>
      <c r="AC290">
        <v>2</v>
      </c>
      <c r="AD290">
        <v>8</v>
      </c>
      <c r="AE290">
        <v>301.92</v>
      </c>
      <c r="AF290" s="17">
        <v>38.741</v>
      </c>
      <c r="AG290" s="33">
        <v>45314</v>
      </c>
      <c r="AH290" s="34">
        <v>0.76423611111111101</v>
      </c>
      <c r="AI290">
        <v>0</v>
      </c>
      <c r="AJ290">
        <v>0</v>
      </c>
      <c r="AK290">
        <v>0</v>
      </c>
      <c r="AL290">
        <v>0</v>
      </c>
      <c r="AM290">
        <v>0</v>
      </c>
      <c r="AN290">
        <v>0</v>
      </c>
      <c r="AO290">
        <v>0</v>
      </c>
      <c r="AP290">
        <v>0</v>
      </c>
      <c r="AQ290">
        <v>0</v>
      </c>
      <c r="AR290">
        <v>0</v>
      </c>
      <c r="AS290">
        <v>0</v>
      </c>
      <c r="AT290">
        <v>0</v>
      </c>
      <c r="AU290" s="30">
        <f t="shared" si="148"/>
        <v>38.740200000000002</v>
      </c>
    </row>
    <row r="291" spans="1:47" x14ac:dyDescent="0.25">
      <c r="A291">
        <v>1</v>
      </c>
      <c r="B291" t="s">
        <v>16</v>
      </c>
      <c r="C291">
        <v>25984</v>
      </c>
      <c r="D291">
        <v>224</v>
      </c>
      <c r="E291">
        <v>2</v>
      </c>
      <c r="F291">
        <v>8</v>
      </c>
      <c r="G291">
        <v>322.11</v>
      </c>
      <c r="H291" s="17">
        <v>36.313000000000002</v>
      </c>
      <c r="I291" s="33">
        <v>45318</v>
      </c>
      <c r="J291" s="37">
        <v>4.1261574074074069E-2</v>
      </c>
      <c r="K291">
        <v>0</v>
      </c>
      <c r="L291">
        <v>0</v>
      </c>
      <c r="M291">
        <v>0</v>
      </c>
      <c r="N291">
        <v>0</v>
      </c>
      <c r="O291">
        <v>0</v>
      </c>
      <c r="P291">
        <v>0</v>
      </c>
      <c r="Q291">
        <v>0</v>
      </c>
      <c r="R291">
        <v>0</v>
      </c>
      <c r="S291">
        <v>0</v>
      </c>
      <c r="T291">
        <v>0</v>
      </c>
      <c r="U291">
        <v>0</v>
      </c>
      <c r="V291">
        <v>0</v>
      </c>
      <c r="W291" s="30">
        <f t="shared" si="166"/>
        <v>36.297399999999996</v>
      </c>
      <c r="Y291">
        <v>1</v>
      </c>
      <c r="Z291" t="s">
        <v>16</v>
      </c>
      <c r="AA291">
        <v>25984</v>
      </c>
      <c r="AB291">
        <v>224</v>
      </c>
      <c r="AC291">
        <v>2</v>
      </c>
      <c r="AD291">
        <v>8</v>
      </c>
      <c r="AE291">
        <v>301.73</v>
      </c>
      <c r="AF291" s="17">
        <v>38.765000000000001</v>
      </c>
      <c r="AG291" s="33">
        <v>45314</v>
      </c>
      <c r="AH291" s="34">
        <v>0.78696759259259252</v>
      </c>
      <c r="AI291">
        <v>0</v>
      </c>
      <c r="AJ291">
        <v>0</v>
      </c>
      <c r="AK291">
        <v>0</v>
      </c>
      <c r="AL291">
        <v>0</v>
      </c>
      <c r="AM291">
        <v>0</v>
      </c>
      <c r="AN291">
        <v>0</v>
      </c>
      <c r="AO291">
        <v>0</v>
      </c>
      <c r="AP291">
        <v>0</v>
      </c>
      <c r="AQ291">
        <v>0</v>
      </c>
      <c r="AR291">
        <v>0</v>
      </c>
      <c r="AS291">
        <v>0</v>
      </c>
      <c r="AT291">
        <v>0</v>
      </c>
      <c r="AU291" s="30">
        <f t="shared" si="150"/>
        <v>38.740200000000002</v>
      </c>
    </row>
    <row r="292" spans="1:47" x14ac:dyDescent="0.25">
      <c r="A292">
        <v>2</v>
      </c>
      <c r="B292" t="s">
        <v>16</v>
      </c>
      <c r="C292">
        <v>25984</v>
      </c>
      <c r="D292">
        <v>224</v>
      </c>
      <c r="E292">
        <v>2</v>
      </c>
      <c r="F292">
        <v>8</v>
      </c>
      <c r="G292">
        <v>322.38</v>
      </c>
      <c r="H292" s="17">
        <v>36.283000000000001</v>
      </c>
      <c r="I292" s="33">
        <v>45318</v>
      </c>
      <c r="J292" s="37">
        <v>0.30071759259259262</v>
      </c>
      <c r="K292">
        <v>0</v>
      </c>
      <c r="L292">
        <v>0</v>
      </c>
      <c r="M292">
        <v>0</v>
      </c>
      <c r="N292">
        <v>0</v>
      </c>
      <c r="O292">
        <v>0</v>
      </c>
      <c r="P292">
        <v>0</v>
      </c>
      <c r="Q292">
        <v>0</v>
      </c>
      <c r="R292">
        <v>0</v>
      </c>
      <c r="S292">
        <v>0</v>
      </c>
      <c r="T292">
        <v>0</v>
      </c>
      <c r="U292">
        <v>0</v>
      </c>
      <c r="V292">
        <v>0</v>
      </c>
      <c r="W292" s="30">
        <f t="shared" si="141"/>
        <v>36.297399999999996</v>
      </c>
      <c r="Y292">
        <v>2</v>
      </c>
      <c r="Z292" t="s">
        <v>16</v>
      </c>
      <c r="AA292">
        <v>25984</v>
      </c>
      <c r="AB292">
        <v>224</v>
      </c>
      <c r="AC292">
        <v>2</v>
      </c>
      <c r="AD292">
        <v>8</v>
      </c>
      <c r="AE292">
        <v>301.68</v>
      </c>
      <c r="AF292" s="17">
        <v>38.771999999999998</v>
      </c>
      <c r="AG292" s="33">
        <v>45318</v>
      </c>
      <c r="AH292" s="34">
        <v>5.3969907407407404E-2</v>
      </c>
      <c r="AI292">
        <v>0</v>
      </c>
      <c r="AJ292">
        <v>0</v>
      </c>
      <c r="AK292">
        <v>0</v>
      </c>
      <c r="AL292">
        <v>0</v>
      </c>
      <c r="AM292">
        <v>0</v>
      </c>
      <c r="AN292">
        <v>0</v>
      </c>
      <c r="AO292">
        <v>0</v>
      </c>
      <c r="AP292">
        <v>0</v>
      </c>
      <c r="AQ292">
        <v>0</v>
      </c>
      <c r="AR292">
        <v>0</v>
      </c>
      <c r="AS292">
        <v>0</v>
      </c>
      <c r="AT292">
        <v>0</v>
      </c>
      <c r="AU292" s="30">
        <f t="shared" si="150"/>
        <v>38.740200000000002</v>
      </c>
    </row>
    <row r="293" spans="1:47" x14ac:dyDescent="0.25">
      <c r="A293">
        <v>3</v>
      </c>
      <c r="B293" t="s">
        <v>16</v>
      </c>
      <c r="C293">
        <v>25984</v>
      </c>
      <c r="D293">
        <v>224</v>
      </c>
      <c r="E293">
        <v>2</v>
      </c>
      <c r="F293">
        <v>8</v>
      </c>
      <c r="G293">
        <v>322.24</v>
      </c>
      <c r="H293" s="17">
        <v>36.298000000000002</v>
      </c>
      <c r="I293" s="33">
        <v>45318</v>
      </c>
      <c r="J293" s="37">
        <v>0.56002314814814813</v>
      </c>
      <c r="K293">
        <v>0</v>
      </c>
      <c r="L293">
        <v>0</v>
      </c>
      <c r="M293">
        <v>0</v>
      </c>
      <c r="N293">
        <v>0</v>
      </c>
      <c r="O293">
        <v>0</v>
      </c>
      <c r="P293">
        <v>0</v>
      </c>
      <c r="Q293">
        <v>0</v>
      </c>
      <c r="R293">
        <v>0</v>
      </c>
      <c r="S293">
        <v>0</v>
      </c>
      <c r="T293">
        <v>0</v>
      </c>
      <c r="U293">
        <v>0</v>
      </c>
      <c r="V293">
        <v>0</v>
      </c>
      <c r="W293" s="30">
        <f t="shared" si="141"/>
        <v>36.297399999999996</v>
      </c>
      <c r="Y293">
        <v>3</v>
      </c>
      <c r="Z293" t="s">
        <v>16</v>
      </c>
      <c r="AA293">
        <v>25984</v>
      </c>
      <c r="AB293">
        <v>224</v>
      </c>
      <c r="AC293">
        <v>2</v>
      </c>
      <c r="AD293">
        <v>8</v>
      </c>
      <c r="AE293">
        <v>302.31</v>
      </c>
      <c r="AF293" s="17">
        <v>38.692</v>
      </c>
      <c r="AG293" s="33">
        <v>45318</v>
      </c>
      <c r="AH293" s="34">
        <v>0.33291666666666669</v>
      </c>
      <c r="AI293">
        <v>0</v>
      </c>
      <c r="AJ293">
        <v>0</v>
      </c>
      <c r="AK293">
        <v>0</v>
      </c>
      <c r="AL293">
        <v>0</v>
      </c>
      <c r="AM293">
        <v>0</v>
      </c>
      <c r="AN293">
        <v>0</v>
      </c>
      <c r="AO293">
        <v>0</v>
      </c>
      <c r="AP293">
        <v>0</v>
      </c>
      <c r="AQ293">
        <v>0</v>
      </c>
      <c r="AR293">
        <v>0</v>
      </c>
      <c r="AS293">
        <v>0</v>
      </c>
      <c r="AT293">
        <v>0</v>
      </c>
      <c r="AU293" s="30">
        <f t="shared" si="150"/>
        <v>38.740200000000002</v>
      </c>
    </row>
    <row r="294" spans="1:47" x14ac:dyDescent="0.25">
      <c r="A294">
        <v>4</v>
      </c>
      <c r="B294" t="s">
        <v>16</v>
      </c>
      <c r="C294">
        <v>25984</v>
      </c>
      <c r="D294">
        <v>224</v>
      </c>
      <c r="E294">
        <v>2</v>
      </c>
      <c r="F294">
        <v>8</v>
      </c>
      <c r="G294">
        <v>322.19</v>
      </c>
      <c r="H294" s="17">
        <v>36.304000000000002</v>
      </c>
      <c r="I294" s="33">
        <v>45318</v>
      </c>
      <c r="J294" s="37">
        <v>0.81938657407407411</v>
      </c>
      <c r="K294">
        <v>0</v>
      </c>
      <c r="L294">
        <v>0</v>
      </c>
      <c r="M294">
        <v>0</v>
      </c>
      <c r="N294">
        <v>0</v>
      </c>
      <c r="O294">
        <v>0</v>
      </c>
      <c r="P294">
        <v>0</v>
      </c>
      <c r="Q294">
        <v>0</v>
      </c>
      <c r="R294">
        <v>0</v>
      </c>
      <c r="S294">
        <v>0</v>
      </c>
      <c r="T294">
        <v>0</v>
      </c>
      <c r="U294">
        <v>0</v>
      </c>
      <c r="V294">
        <v>0</v>
      </c>
      <c r="W294" s="30">
        <f t="shared" si="141"/>
        <v>36.297399999999996</v>
      </c>
      <c r="Y294">
        <v>4</v>
      </c>
      <c r="Z294" t="s">
        <v>16</v>
      </c>
      <c r="AA294">
        <v>25984</v>
      </c>
      <c r="AB294">
        <v>224</v>
      </c>
      <c r="AC294">
        <v>2</v>
      </c>
      <c r="AD294">
        <v>8</v>
      </c>
      <c r="AE294">
        <v>302</v>
      </c>
      <c r="AF294" s="17">
        <v>38.731000000000002</v>
      </c>
      <c r="AG294" s="33">
        <v>45318</v>
      </c>
      <c r="AH294" s="34">
        <v>3.6805555555555557E-2</v>
      </c>
      <c r="AI294">
        <v>0</v>
      </c>
      <c r="AJ294">
        <v>0</v>
      </c>
      <c r="AK294">
        <v>0</v>
      </c>
      <c r="AL294">
        <v>0</v>
      </c>
      <c r="AM294">
        <v>0</v>
      </c>
      <c r="AN294">
        <v>0</v>
      </c>
      <c r="AO294">
        <v>0</v>
      </c>
      <c r="AP294">
        <v>0</v>
      </c>
      <c r="AQ294">
        <v>0</v>
      </c>
      <c r="AR294">
        <v>0</v>
      </c>
      <c r="AS294">
        <v>0</v>
      </c>
      <c r="AT294">
        <v>0</v>
      </c>
      <c r="AU294" s="30">
        <f t="shared" si="150"/>
        <v>38.740200000000002</v>
      </c>
    </row>
    <row r="295" spans="1:47" x14ac:dyDescent="0.25">
      <c r="A295">
        <v>0</v>
      </c>
      <c r="B295" t="s">
        <v>16</v>
      </c>
      <c r="C295">
        <v>27328</v>
      </c>
      <c r="D295">
        <v>224</v>
      </c>
      <c r="E295">
        <v>2</v>
      </c>
      <c r="F295">
        <v>8</v>
      </c>
      <c r="G295">
        <v>369.94</v>
      </c>
      <c r="H295" s="17">
        <v>36.781999999999996</v>
      </c>
      <c r="I295" s="33">
        <v>45318</v>
      </c>
      <c r="J295" s="37">
        <v>0.85734953703703709</v>
      </c>
      <c r="K295">
        <v>0</v>
      </c>
      <c r="L295">
        <v>0</v>
      </c>
      <c r="M295">
        <v>0</v>
      </c>
      <c r="N295">
        <v>0</v>
      </c>
      <c r="O295">
        <v>0</v>
      </c>
      <c r="P295">
        <v>0</v>
      </c>
      <c r="Q295">
        <v>0</v>
      </c>
      <c r="R295">
        <v>0</v>
      </c>
      <c r="S295">
        <v>0</v>
      </c>
      <c r="T295">
        <v>0</v>
      </c>
      <c r="U295">
        <v>0</v>
      </c>
      <c r="V295">
        <v>0</v>
      </c>
      <c r="W295" s="30">
        <f t="shared" si="165"/>
        <v>36.784200000000006</v>
      </c>
      <c r="Y295">
        <v>0</v>
      </c>
      <c r="Z295" t="s">
        <v>16</v>
      </c>
      <c r="AA295">
        <v>27328</v>
      </c>
      <c r="AB295">
        <v>224</v>
      </c>
      <c r="AC295">
        <v>2</v>
      </c>
      <c r="AD295">
        <v>8</v>
      </c>
      <c r="AE295">
        <v>346.86</v>
      </c>
      <c r="AF295" s="17">
        <v>39.229999999999997</v>
      </c>
      <c r="AG295" s="33">
        <v>45314</v>
      </c>
      <c r="AH295" s="34">
        <v>0.80966435185185182</v>
      </c>
      <c r="AI295">
        <v>0</v>
      </c>
      <c r="AJ295">
        <v>0</v>
      </c>
      <c r="AK295">
        <v>0</v>
      </c>
      <c r="AL295">
        <v>0</v>
      </c>
      <c r="AM295">
        <v>0</v>
      </c>
      <c r="AN295">
        <v>0</v>
      </c>
      <c r="AO295">
        <v>0</v>
      </c>
      <c r="AP295">
        <v>0</v>
      </c>
      <c r="AQ295">
        <v>0</v>
      </c>
      <c r="AR295">
        <v>0</v>
      </c>
      <c r="AS295">
        <v>0</v>
      </c>
      <c r="AT295">
        <v>0</v>
      </c>
      <c r="AU295" s="30">
        <f t="shared" si="148"/>
        <v>39.275400000000005</v>
      </c>
    </row>
    <row r="296" spans="1:47" x14ac:dyDescent="0.25">
      <c r="A296">
        <v>1</v>
      </c>
      <c r="B296" t="s">
        <v>16</v>
      </c>
      <c r="C296">
        <v>27328</v>
      </c>
      <c r="D296">
        <v>224</v>
      </c>
      <c r="E296">
        <v>2</v>
      </c>
      <c r="F296">
        <v>8</v>
      </c>
      <c r="G296">
        <v>370.03</v>
      </c>
      <c r="H296" s="17">
        <v>36.773000000000003</v>
      </c>
      <c r="I296" s="33">
        <v>45318</v>
      </c>
      <c r="J296" s="37">
        <v>0.11953703703703704</v>
      </c>
      <c r="K296">
        <v>0</v>
      </c>
      <c r="L296">
        <v>0</v>
      </c>
      <c r="M296">
        <v>0</v>
      </c>
      <c r="N296">
        <v>0</v>
      </c>
      <c r="O296">
        <v>0</v>
      </c>
      <c r="P296">
        <v>0</v>
      </c>
      <c r="Q296">
        <v>0</v>
      </c>
      <c r="R296">
        <v>0</v>
      </c>
      <c r="S296">
        <v>0</v>
      </c>
      <c r="T296">
        <v>0</v>
      </c>
      <c r="U296">
        <v>0</v>
      </c>
      <c r="V296">
        <v>0</v>
      </c>
      <c r="W296" s="30">
        <f t="shared" si="166"/>
        <v>36.784200000000006</v>
      </c>
      <c r="Y296">
        <v>1</v>
      </c>
      <c r="Z296" t="s">
        <v>16</v>
      </c>
      <c r="AA296">
        <v>27328</v>
      </c>
      <c r="AB296">
        <v>224</v>
      </c>
      <c r="AC296">
        <v>2</v>
      </c>
      <c r="AD296">
        <v>8</v>
      </c>
      <c r="AE296">
        <v>345.92</v>
      </c>
      <c r="AF296" s="17">
        <v>39.335999999999999</v>
      </c>
      <c r="AG296" s="33">
        <v>45314</v>
      </c>
      <c r="AH296" s="34">
        <v>0.95174768518518515</v>
      </c>
      <c r="AI296">
        <v>0</v>
      </c>
      <c r="AJ296">
        <v>0</v>
      </c>
      <c r="AK296">
        <v>0</v>
      </c>
      <c r="AL296">
        <v>0</v>
      </c>
      <c r="AM296">
        <v>0</v>
      </c>
      <c r="AN296">
        <v>0</v>
      </c>
      <c r="AO296">
        <v>0</v>
      </c>
      <c r="AP296">
        <v>0</v>
      </c>
      <c r="AQ296">
        <v>0</v>
      </c>
      <c r="AR296">
        <v>0</v>
      </c>
      <c r="AS296">
        <v>0</v>
      </c>
      <c r="AT296">
        <v>0</v>
      </c>
      <c r="AU296" s="30">
        <f t="shared" si="150"/>
        <v>39.275400000000005</v>
      </c>
    </row>
    <row r="297" spans="1:47" x14ac:dyDescent="0.25">
      <c r="A297">
        <v>2</v>
      </c>
      <c r="B297" t="s">
        <v>16</v>
      </c>
      <c r="C297">
        <v>27328</v>
      </c>
      <c r="D297">
        <v>224</v>
      </c>
      <c r="E297">
        <v>2</v>
      </c>
      <c r="F297">
        <v>8</v>
      </c>
      <c r="G297">
        <v>370</v>
      </c>
      <c r="H297" s="17">
        <v>36.776000000000003</v>
      </c>
      <c r="I297" s="33">
        <v>45318</v>
      </c>
      <c r="J297" s="37">
        <v>0.22430555555555556</v>
      </c>
      <c r="K297">
        <v>0</v>
      </c>
      <c r="L297">
        <v>0</v>
      </c>
      <c r="M297">
        <v>0</v>
      </c>
      <c r="N297">
        <v>0</v>
      </c>
      <c r="O297">
        <v>0</v>
      </c>
      <c r="P297">
        <v>0</v>
      </c>
      <c r="Q297">
        <v>0</v>
      </c>
      <c r="R297">
        <v>0</v>
      </c>
      <c r="S297">
        <v>0</v>
      </c>
      <c r="T297">
        <v>0</v>
      </c>
      <c r="U297">
        <v>0</v>
      </c>
      <c r="V297">
        <v>0</v>
      </c>
      <c r="W297" s="30">
        <f t="shared" si="166"/>
        <v>36.784200000000006</v>
      </c>
      <c r="Y297">
        <v>2</v>
      </c>
      <c r="Z297" t="s">
        <v>16</v>
      </c>
      <c r="AA297">
        <v>27328</v>
      </c>
      <c r="AB297">
        <v>224</v>
      </c>
      <c r="AC297">
        <v>2</v>
      </c>
      <c r="AD297">
        <v>8</v>
      </c>
      <c r="AE297">
        <v>346.24</v>
      </c>
      <c r="AF297" s="17">
        <v>39.298999999999999</v>
      </c>
      <c r="AG297" s="33">
        <v>45318</v>
      </c>
      <c r="AH297" s="34">
        <v>2.0474537037037038E-2</v>
      </c>
      <c r="AI297">
        <v>0</v>
      </c>
      <c r="AJ297">
        <v>0</v>
      </c>
      <c r="AK297">
        <v>0</v>
      </c>
      <c r="AL297">
        <v>0</v>
      </c>
      <c r="AM297">
        <v>0</v>
      </c>
      <c r="AN297">
        <v>0</v>
      </c>
      <c r="AO297">
        <v>0</v>
      </c>
      <c r="AP297">
        <v>0</v>
      </c>
      <c r="AQ297">
        <v>0</v>
      </c>
      <c r="AR297">
        <v>0</v>
      </c>
      <c r="AS297">
        <v>0</v>
      </c>
      <c r="AT297">
        <v>0</v>
      </c>
      <c r="AU297" s="30">
        <f t="shared" si="150"/>
        <v>39.275400000000005</v>
      </c>
    </row>
    <row r="298" spans="1:47" x14ac:dyDescent="0.25">
      <c r="A298">
        <v>3</v>
      </c>
      <c r="B298" t="s">
        <v>16</v>
      </c>
      <c r="C298">
        <v>27328</v>
      </c>
      <c r="D298">
        <v>224</v>
      </c>
      <c r="E298">
        <v>2</v>
      </c>
      <c r="F298">
        <v>8</v>
      </c>
      <c r="G298">
        <v>369.91</v>
      </c>
      <c r="H298" s="17">
        <v>36.784999999999997</v>
      </c>
      <c r="I298" s="33">
        <v>45318</v>
      </c>
      <c r="J298" s="37">
        <v>0.48359953703703701</v>
      </c>
      <c r="K298">
        <v>0</v>
      </c>
      <c r="L298">
        <v>0</v>
      </c>
      <c r="M298">
        <v>0</v>
      </c>
      <c r="N298">
        <v>0</v>
      </c>
      <c r="O298">
        <v>0</v>
      </c>
      <c r="P298">
        <v>0</v>
      </c>
      <c r="Q298">
        <v>0</v>
      </c>
      <c r="R298">
        <v>0</v>
      </c>
      <c r="S298">
        <v>0</v>
      </c>
      <c r="T298">
        <v>0</v>
      </c>
      <c r="U298">
        <v>0</v>
      </c>
      <c r="V298">
        <v>0</v>
      </c>
      <c r="W298" s="30">
        <f t="shared" si="166"/>
        <v>36.784200000000006</v>
      </c>
      <c r="Y298">
        <v>3</v>
      </c>
      <c r="Z298" t="s">
        <v>16</v>
      </c>
      <c r="AA298">
        <v>27328</v>
      </c>
      <c r="AB298">
        <v>224</v>
      </c>
      <c r="AC298">
        <v>2</v>
      </c>
      <c r="AD298">
        <v>8</v>
      </c>
      <c r="AE298">
        <v>346.93</v>
      </c>
      <c r="AF298" s="17">
        <v>39.222000000000001</v>
      </c>
      <c r="AG298" s="33">
        <v>45318</v>
      </c>
      <c r="AH298" s="34">
        <v>0.32476851851851851</v>
      </c>
      <c r="AI298">
        <v>0</v>
      </c>
      <c r="AJ298">
        <v>0</v>
      </c>
      <c r="AK298">
        <v>0</v>
      </c>
      <c r="AL298">
        <v>0</v>
      </c>
      <c r="AM298">
        <v>0</v>
      </c>
      <c r="AN298">
        <v>0</v>
      </c>
      <c r="AO298">
        <v>0</v>
      </c>
      <c r="AP298">
        <v>0</v>
      </c>
      <c r="AQ298">
        <v>0</v>
      </c>
      <c r="AR298">
        <v>0</v>
      </c>
      <c r="AS298">
        <v>0</v>
      </c>
      <c r="AT298">
        <v>0</v>
      </c>
      <c r="AU298" s="30">
        <f t="shared" si="150"/>
        <v>39.275400000000005</v>
      </c>
    </row>
    <row r="299" spans="1:47" x14ac:dyDescent="0.25">
      <c r="A299">
        <v>4</v>
      </c>
      <c r="B299" t="s">
        <v>16</v>
      </c>
      <c r="C299">
        <v>27328</v>
      </c>
      <c r="D299">
        <v>224</v>
      </c>
      <c r="E299">
        <v>2</v>
      </c>
      <c r="F299">
        <v>8</v>
      </c>
      <c r="G299">
        <v>369.71</v>
      </c>
      <c r="H299" s="17">
        <v>36.805</v>
      </c>
      <c r="I299" s="33">
        <v>45318</v>
      </c>
      <c r="J299" s="37">
        <v>0.74296296296296294</v>
      </c>
      <c r="K299">
        <v>0</v>
      </c>
      <c r="L299">
        <v>0</v>
      </c>
      <c r="M299">
        <v>0</v>
      </c>
      <c r="N299">
        <v>0</v>
      </c>
      <c r="O299">
        <v>0</v>
      </c>
      <c r="P299">
        <v>0</v>
      </c>
      <c r="Q299">
        <v>0</v>
      </c>
      <c r="R299">
        <v>0</v>
      </c>
      <c r="S299">
        <v>0</v>
      </c>
      <c r="T299">
        <v>0</v>
      </c>
      <c r="U299">
        <v>0</v>
      </c>
      <c r="V299">
        <v>0</v>
      </c>
      <c r="W299" s="30">
        <f t="shared" si="166"/>
        <v>36.784200000000006</v>
      </c>
      <c r="Y299">
        <v>4</v>
      </c>
      <c r="Z299" t="s">
        <v>16</v>
      </c>
      <c r="AA299">
        <v>27328</v>
      </c>
      <c r="AB299">
        <v>224</v>
      </c>
      <c r="AC299">
        <v>2</v>
      </c>
      <c r="AD299">
        <v>8</v>
      </c>
      <c r="AE299">
        <v>346.33</v>
      </c>
      <c r="AF299" s="17">
        <v>39.29</v>
      </c>
      <c r="AG299" s="33">
        <v>45318</v>
      </c>
      <c r="AH299" s="34">
        <v>0.20393518518518516</v>
      </c>
      <c r="AI299">
        <v>0</v>
      </c>
      <c r="AJ299">
        <v>0</v>
      </c>
      <c r="AK299">
        <v>0</v>
      </c>
      <c r="AL299">
        <v>0</v>
      </c>
      <c r="AM299">
        <v>0</v>
      </c>
      <c r="AN299">
        <v>0</v>
      </c>
      <c r="AO299">
        <v>0</v>
      </c>
      <c r="AP299">
        <v>0</v>
      </c>
      <c r="AQ299">
        <v>0</v>
      </c>
      <c r="AR299">
        <v>0</v>
      </c>
      <c r="AS299">
        <v>0</v>
      </c>
      <c r="AT299">
        <v>0</v>
      </c>
      <c r="AU299" s="30">
        <f t="shared" si="150"/>
        <v>39.275400000000005</v>
      </c>
    </row>
    <row r="300" spans="1:47" x14ac:dyDescent="0.25">
      <c r="A300">
        <v>0</v>
      </c>
      <c r="B300" t="s">
        <v>16</v>
      </c>
      <c r="C300">
        <v>28896</v>
      </c>
      <c r="D300">
        <v>224</v>
      </c>
      <c r="E300">
        <v>2</v>
      </c>
      <c r="F300">
        <v>8</v>
      </c>
      <c r="G300">
        <v>435.28</v>
      </c>
      <c r="H300" s="17">
        <v>36.956000000000003</v>
      </c>
      <c r="I300" s="33">
        <v>45318</v>
      </c>
      <c r="J300" s="37">
        <v>2.9976851851851852E-2</v>
      </c>
      <c r="K300">
        <v>0</v>
      </c>
      <c r="L300">
        <v>0</v>
      </c>
      <c r="M300">
        <v>0</v>
      </c>
      <c r="N300">
        <v>0</v>
      </c>
      <c r="O300">
        <v>0</v>
      </c>
      <c r="P300">
        <v>0</v>
      </c>
      <c r="Q300">
        <v>0</v>
      </c>
      <c r="R300">
        <v>0</v>
      </c>
      <c r="S300">
        <v>0</v>
      </c>
      <c r="T300">
        <v>0</v>
      </c>
      <c r="U300">
        <v>0</v>
      </c>
      <c r="V300">
        <v>0</v>
      </c>
      <c r="W300" s="30">
        <f t="shared" si="165"/>
        <v>36.961199999999998</v>
      </c>
      <c r="Y300">
        <v>0</v>
      </c>
      <c r="Z300" t="s">
        <v>16</v>
      </c>
      <c r="AA300">
        <v>28896</v>
      </c>
      <c r="AB300">
        <v>224</v>
      </c>
      <c r="AC300">
        <v>2</v>
      </c>
      <c r="AD300">
        <v>8</v>
      </c>
      <c r="AE300">
        <v>404.29</v>
      </c>
      <c r="AF300" s="17">
        <v>39.789000000000001</v>
      </c>
      <c r="AG300" s="33">
        <v>45314</v>
      </c>
      <c r="AH300" s="34">
        <v>0.86024305555555547</v>
      </c>
      <c r="AI300">
        <v>0</v>
      </c>
      <c r="AJ300">
        <v>0</v>
      </c>
      <c r="AK300">
        <v>0</v>
      </c>
      <c r="AL300">
        <v>0</v>
      </c>
      <c r="AM300">
        <v>0</v>
      </c>
      <c r="AN300">
        <v>0</v>
      </c>
      <c r="AO300">
        <v>0</v>
      </c>
      <c r="AP300">
        <v>0</v>
      </c>
      <c r="AQ300">
        <v>0</v>
      </c>
      <c r="AR300">
        <v>0</v>
      </c>
      <c r="AS300">
        <v>0</v>
      </c>
      <c r="AT300">
        <v>0</v>
      </c>
      <c r="AU300" s="30">
        <f t="shared" si="148"/>
        <v>39.7774</v>
      </c>
    </row>
    <row r="301" spans="1:47" x14ac:dyDescent="0.25">
      <c r="A301">
        <v>1</v>
      </c>
      <c r="B301" t="s">
        <v>16</v>
      </c>
      <c r="C301">
        <v>28896</v>
      </c>
      <c r="D301">
        <v>224</v>
      </c>
      <c r="E301">
        <v>2</v>
      </c>
      <c r="F301">
        <v>8</v>
      </c>
      <c r="G301">
        <v>435.3</v>
      </c>
      <c r="H301" s="17">
        <v>36.954000000000001</v>
      </c>
      <c r="I301" s="33">
        <v>45318</v>
      </c>
      <c r="J301" s="37">
        <v>0.13480324074074074</v>
      </c>
      <c r="K301">
        <v>0</v>
      </c>
      <c r="L301">
        <v>0</v>
      </c>
      <c r="M301">
        <v>0</v>
      </c>
      <c r="N301">
        <v>0</v>
      </c>
      <c r="O301">
        <v>0</v>
      </c>
      <c r="P301">
        <v>0</v>
      </c>
      <c r="Q301">
        <v>0</v>
      </c>
      <c r="R301">
        <v>0</v>
      </c>
      <c r="S301">
        <v>0</v>
      </c>
      <c r="T301">
        <v>0</v>
      </c>
      <c r="U301">
        <v>0</v>
      </c>
      <c r="V301">
        <v>0</v>
      </c>
      <c r="W301" s="30">
        <f t="shared" si="166"/>
        <v>36.961199999999998</v>
      </c>
      <c r="Y301">
        <v>1</v>
      </c>
      <c r="Z301" t="s">
        <v>16</v>
      </c>
      <c r="AA301">
        <v>28896</v>
      </c>
      <c r="AB301">
        <v>224</v>
      </c>
      <c r="AC301">
        <v>2</v>
      </c>
      <c r="AD301">
        <v>8</v>
      </c>
      <c r="AE301">
        <v>404.73</v>
      </c>
      <c r="AF301" s="17">
        <v>39.746000000000002</v>
      </c>
      <c r="AG301" s="33">
        <v>45318</v>
      </c>
      <c r="AH301" s="34">
        <v>0.19467592592592595</v>
      </c>
      <c r="AI301">
        <v>0</v>
      </c>
      <c r="AJ301">
        <v>0</v>
      </c>
      <c r="AK301">
        <v>0</v>
      </c>
      <c r="AL301">
        <v>0</v>
      </c>
      <c r="AM301">
        <v>0</v>
      </c>
      <c r="AN301">
        <v>0</v>
      </c>
      <c r="AO301">
        <v>0</v>
      </c>
      <c r="AP301">
        <v>0</v>
      </c>
      <c r="AQ301">
        <v>0</v>
      </c>
      <c r="AR301">
        <v>0</v>
      </c>
      <c r="AS301">
        <v>0</v>
      </c>
      <c r="AT301">
        <v>0</v>
      </c>
      <c r="AU301" s="30">
        <f t="shared" si="150"/>
        <v>39.7774</v>
      </c>
    </row>
    <row r="302" spans="1:47" x14ac:dyDescent="0.25">
      <c r="A302">
        <v>2</v>
      </c>
      <c r="B302" t="s">
        <v>16</v>
      </c>
      <c r="C302">
        <v>28896</v>
      </c>
      <c r="D302">
        <v>224</v>
      </c>
      <c r="E302">
        <v>2</v>
      </c>
      <c r="F302">
        <v>8</v>
      </c>
      <c r="G302">
        <v>435.16</v>
      </c>
      <c r="H302" s="17">
        <v>36.966999999999999</v>
      </c>
      <c r="I302" s="33">
        <v>45318</v>
      </c>
      <c r="J302" s="37">
        <v>0.39415509259259257</v>
      </c>
      <c r="K302">
        <v>0</v>
      </c>
      <c r="L302">
        <v>0</v>
      </c>
      <c r="M302">
        <v>0</v>
      </c>
      <c r="N302">
        <v>0</v>
      </c>
      <c r="O302">
        <v>0</v>
      </c>
      <c r="P302">
        <v>0</v>
      </c>
      <c r="Q302">
        <v>0</v>
      </c>
      <c r="R302">
        <v>0</v>
      </c>
      <c r="S302">
        <v>0</v>
      </c>
      <c r="T302">
        <v>0</v>
      </c>
      <c r="U302">
        <v>0</v>
      </c>
      <c r="V302">
        <v>0</v>
      </c>
      <c r="W302" s="30">
        <f t="shared" si="166"/>
        <v>36.961199999999998</v>
      </c>
      <c r="Y302">
        <v>2</v>
      </c>
      <c r="Z302" t="s">
        <v>16</v>
      </c>
      <c r="AA302">
        <v>28896</v>
      </c>
      <c r="AB302">
        <v>224</v>
      </c>
      <c r="AC302">
        <v>2</v>
      </c>
      <c r="AD302">
        <v>8</v>
      </c>
      <c r="AE302">
        <v>404.4</v>
      </c>
      <c r="AF302" s="17">
        <v>39.777999999999999</v>
      </c>
      <c r="AG302" s="33">
        <v>45318</v>
      </c>
      <c r="AH302" s="34">
        <v>0.11748842592592591</v>
      </c>
      <c r="AI302">
        <v>0</v>
      </c>
      <c r="AJ302">
        <v>0</v>
      </c>
      <c r="AK302">
        <v>0</v>
      </c>
      <c r="AL302">
        <v>0</v>
      </c>
      <c r="AM302">
        <v>0</v>
      </c>
      <c r="AN302">
        <v>0</v>
      </c>
      <c r="AO302">
        <v>0</v>
      </c>
      <c r="AP302">
        <v>0</v>
      </c>
      <c r="AQ302">
        <v>0</v>
      </c>
      <c r="AR302">
        <v>0</v>
      </c>
      <c r="AS302">
        <v>0</v>
      </c>
      <c r="AT302">
        <v>0</v>
      </c>
      <c r="AU302" s="30">
        <f t="shared" si="150"/>
        <v>39.7774</v>
      </c>
    </row>
    <row r="303" spans="1:47" x14ac:dyDescent="0.25">
      <c r="A303">
        <v>3</v>
      </c>
      <c r="B303" t="s">
        <v>16</v>
      </c>
      <c r="C303">
        <v>28896</v>
      </c>
      <c r="D303">
        <v>224</v>
      </c>
      <c r="E303">
        <v>2</v>
      </c>
      <c r="F303">
        <v>8</v>
      </c>
      <c r="G303">
        <v>435.14</v>
      </c>
      <c r="H303" s="17">
        <v>36.968000000000004</v>
      </c>
      <c r="I303" s="33">
        <v>45318</v>
      </c>
      <c r="J303" s="37">
        <v>0.65346064814814808</v>
      </c>
      <c r="K303">
        <v>0</v>
      </c>
      <c r="L303">
        <v>0</v>
      </c>
      <c r="M303">
        <v>0</v>
      </c>
      <c r="N303">
        <v>0</v>
      </c>
      <c r="O303">
        <v>0</v>
      </c>
      <c r="P303">
        <v>0</v>
      </c>
      <c r="Q303">
        <v>0</v>
      </c>
      <c r="R303">
        <v>0</v>
      </c>
      <c r="S303">
        <v>0</v>
      </c>
      <c r="T303">
        <v>0</v>
      </c>
      <c r="U303">
        <v>0</v>
      </c>
      <c r="V303">
        <v>0</v>
      </c>
      <c r="W303" s="30">
        <f t="shared" si="166"/>
        <v>36.961199999999998</v>
      </c>
      <c r="Y303">
        <v>3</v>
      </c>
      <c r="Z303" t="s">
        <v>16</v>
      </c>
      <c r="AA303">
        <v>28896</v>
      </c>
      <c r="AB303">
        <v>224</v>
      </c>
      <c r="AC303">
        <v>2</v>
      </c>
      <c r="AD303">
        <v>8</v>
      </c>
      <c r="AE303">
        <v>404.3</v>
      </c>
      <c r="AF303" s="17">
        <v>39.787999999999997</v>
      </c>
      <c r="AG303" s="33">
        <v>45318</v>
      </c>
      <c r="AH303" s="34">
        <v>0.16832175925925927</v>
      </c>
      <c r="AI303">
        <v>0</v>
      </c>
      <c r="AJ303">
        <v>0</v>
      </c>
      <c r="AK303">
        <v>0</v>
      </c>
      <c r="AL303">
        <v>0</v>
      </c>
      <c r="AM303">
        <v>0</v>
      </c>
      <c r="AN303">
        <v>0</v>
      </c>
      <c r="AO303">
        <v>0</v>
      </c>
      <c r="AP303">
        <v>0</v>
      </c>
      <c r="AQ303">
        <v>0</v>
      </c>
      <c r="AR303">
        <v>0</v>
      </c>
      <c r="AS303">
        <v>0</v>
      </c>
      <c r="AT303">
        <v>0</v>
      </c>
      <c r="AU303" s="30">
        <f t="shared" si="150"/>
        <v>39.7774</v>
      </c>
    </row>
    <row r="304" spans="1:47" x14ac:dyDescent="0.25">
      <c r="A304">
        <v>4</v>
      </c>
      <c r="B304" t="s">
        <v>16</v>
      </c>
      <c r="C304">
        <v>28896</v>
      </c>
      <c r="D304">
        <v>224</v>
      </c>
      <c r="E304">
        <v>2</v>
      </c>
      <c r="F304">
        <v>8</v>
      </c>
      <c r="G304">
        <v>435.22</v>
      </c>
      <c r="H304" s="17">
        <v>36.960999999999999</v>
      </c>
      <c r="I304" s="33">
        <v>45318</v>
      </c>
      <c r="J304" s="37">
        <v>9.479166666666667E-3</v>
      </c>
      <c r="K304">
        <v>0</v>
      </c>
      <c r="L304">
        <v>0</v>
      </c>
      <c r="M304">
        <v>0</v>
      </c>
      <c r="N304">
        <v>0</v>
      </c>
      <c r="O304">
        <v>0</v>
      </c>
      <c r="P304">
        <v>0</v>
      </c>
      <c r="Q304">
        <v>0</v>
      </c>
      <c r="R304">
        <v>0</v>
      </c>
      <c r="S304">
        <v>0</v>
      </c>
      <c r="T304">
        <v>0</v>
      </c>
      <c r="U304">
        <v>0</v>
      </c>
      <c r="V304">
        <v>0</v>
      </c>
      <c r="W304" s="30">
        <f t="shared" si="166"/>
        <v>36.961199999999998</v>
      </c>
      <c r="Y304">
        <v>4</v>
      </c>
      <c r="Z304" t="s">
        <v>16</v>
      </c>
      <c r="AA304">
        <v>28896</v>
      </c>
      <c r="AB304">
        <v>224</v>
      </c>
      <c r="AC304">
        <v>2</v>
      </c>
      <c r="AD304">
        <v>8</v>
      </c>
      <c r="AE304">
        <v>404.32</v>
      </c>
      <c r="AF304" s="17">
        <v>39.786000000000001</v>
      </c>
      <c r="AG304" s="33">
        <v>45318</v>
      </c>
      <c r="AH304" s="34">
        <v>0.13278935185185184</v>
      </c>
      <c r="AI304">
        <v>0</v>
      </c>
      <c r="AJ304">
        <v>0</v>
      </c>
      <c r="AK304">
        <v>0</v>
      </c>
      <c r="AL304">
        <v>0</v>
      </c>
      <c r="AM304">
        <v>0</v>
      </c>
      <c r="AN304">
        <v>0</v>
      </c>
      <c r="AO304">
        <v>0</v>
      </c>
      <c r="AP304">
        <v>0</v>
      </c>
      <c r="AQ304">
        <v>0</v>
      </c>
      <c r="AR304">
        <v>0</v>
      </c>
      <c r="AS304">
        <v>0</v>
      </c>
      <c r="AT304">
        <v>0</v>
      </c>
      <c r="AU304" s="30">
        <f t="shared" si="150"/>
        <v>39.7774</v>
      </c>
    </row>
    <row r="305" spans="1:47" x14ac:dyDescent="0.25">
      <c r="A305">
        <v>0</v>
      </c>
      <c r="B305" t="s">
        <v>16</v>
      </c>
      <c r="C305">
        <v>25984</v>
      </c>
      <c r="D305">
        <v>224</v>
      </c>
      <c r="E305">
        <v>4</v>
      </c>
      <c r="F305">
        <v>4</v>
      </c>
      <c r="G305">
        <v>344.57</v>
      </c>
      <c r="H305" s="17">
        <v>33.945999999999998</v>
      </c>
      <c r="I305" s="33">
        <v>45318</v>
      </c>
      <c r="J305" s="37">
        <v>0.93791666666666673</v>
      </c>
      <c r="K305">
        <v>0</v>
      </c>
      <c r="L305">
        <v>0</v>
      </c>
      <c r="M305">
        <v>0</v>
      </c>
      <c r="N305">
        <v>0</v>
      </c>
      <c r="O305">
        <v>0</v>
      </c>
      <c r="P305">
        <v>0</v>
      </c>
      <c r="Q305">
        <v>0</v>
      </c>
      <c r="R305">
        <v>0</v>
      </c>
      <c r="S305">
        <v>0</v>
      </c>
      <c r="T305">
        <v>0</v>
      </c>
      <c r="U305">
        <v>0</v>
      </c>
      <c r="V305">
        <v>0</v>
      </c>
      <c r="W305" s="30">
        <f t="shared" si="165"/>
        <v>34.309800000000003</v>
      </c>
      <c r="Y305">
        <v>0</v>
      </c>
      <c r="Z305" t="s">
        <v>16</v>
      </c>
      <c r="AA305">
        <v>25984</v>
      </c>
      <c r="AB305">
        <v>224</v>
      </c>
      <c r="AC305">
        <v>4</v>
      </c>
      <c r="AD305">
        <v>4</v>
      </c>
      <c r="AE305">
        <v>321.58</v>
      </c>
      <c r="AF305" s="17">
        <v>36.372999999999998</v>
      </c>
      <c r="AG305" s="33">
        <v>45314</v>
      </c>
      <c r="AH305" s="34">
        <v>0.76854166666666668</v>
      </c>
      <c r="AI305">
        <v>0</v>
      </c>
      <c r="AJ305">
        <v>0</v>
      </c>
      <c r="AK305">
        <v>0</v>
      </c>
      <c r="AL305">
        <v>0</v>
      </c>
      <c r="AM305">
        <v>0</v>
      </c>
      <c r="AN305">
        <v>0</v>
      </c>
      <c r="AO305">
        <v>0</v>
      </c>
      <c r="AP305">
        <v>0</v>
      </c>
      <c r="AQ305">
        <v>0</v>
      </c>
      <c r="AR305">
        <v>0</v>
      </c>
      <c r="AS305">
        <v>0</v>
      </c>
      <c r="AT305">
        <v>0</v>
      </c>
      <c r="AU305" s="30">
        <f t="shared" ref="AU305:AU360" si="167">AVERAGE(AF305:AF309)</f>
        <v>36.340400000000002</v>
      </c>
    </row>
    <row r="306" spans="1:47" x14ac:dyDescent="0.25">
      <c r="A306">
        <v>1</v>
      </c>
      <c r="B306" t="s">
        <v>16</v>
      </c>
      <c r="C306">
        <v>25984</v>
      </c>
      <c r="D306">
        <v>224</v>
      </c>
      <c r="E306">
        <v>4</v>
      </c>
      <c r="F306">
        <v>4</v>
      </c>
      <c r="G306">
        <v>339.99</v>
      </c>
      <c r="H306" s="17">
        <v>34.402999999999999</v>
      </c>
      <c r="I306" s="33">
        <v>45318</v>
      </c>
      <c r="J306" s="37">
        <v>4.538194444444444E-2</v>
      </c>
      <c r="K306">
        <v>0</v>
      </c>
      <c r="L306">
        <v>0</v>
      </c>
      <c r="M306">
        <v>0</v>
      </c>
      <c r="N306">
        <v>0</v>
      </c>
      <c r="O306">
        <v>0</v>
      </c>
      <c r="P306">
        <v>0</v>
      </c>
      <c r="Q306">
        <v>0</v>
      </c>
      <c r="R306">
        <v>0</v>
      </c>
      <c r="S306">
        <v>0</v>
      </c>
      <c r="T306">
        <v>0</v>
      </c>
      <c r="U306">
        <v>0</v>
      </c>
      <c r="V306">
        <v>0</v>
      </c>
      <c r="W306" s="30">
        <f t="shared" si="166"/>
        <v>34.309800000000003</v>
      </c>
      <c r="Y306">
        <v>1</v>
      </c>
      <c r="Z306" t="s">
        <v>16</v>
      </c>
      <c r="AA306">
        <v>25984</v>
      </c>
      <c r="AB306">
        <v>224</v>
      </c>
      <c r="AC306">
        <v>4</v>
      </c>
      <c r="AD306">
        <v>4</v>
      </c>
      <c r="AE306">
        <v>321.99</v>
      </c>
      <c r="AF306" s="17">
        <v>36.326000000000001</v>
      </c>
      <c r="AG306" s="33">
        <v>45314</v>
      </c>
      <c r="AH306" s="34">
        <v>0.79128472222222224</v>
      </c>
      <c r="AI306">
        <v>0</v>
      </c>
      <c r="AJ306">
        <v>0</v>
      </c>
      <c r="AK306">
        <v>0</v>
      </c>
      <c r="AL306">
        <v>0</v>
      </c>
      <c r="AM306">
        <v>0</v>
      </c>
      <c r="AN306">
        <v>0</v>
      </c>
      <c r="AO306">
        <v>0</v>
      </c>
      <c r="AP306">
        <v>0</v>
      </c>
      <c r="AQ306">
        <v>0</v>
      </c>
      <c r="AR306">
        <v>0</v>
      </c>
      <c r="AS306">
        <v>0</v>
      </c>
      <c r="AT306">
        <v>0</v>
      </c>
      <c r="AU306" s="30">
        <f t="shared" ref="AU306:AU364" si="168">AU305</f>
        <v>36.340400000000002</v>
      </c>
    </row>
    <row r="307" spans="1:47" x14ac:dyDescent="0.25">
      <c r="A307">
        <v>2</v>
      </c>
      <c r="B307" t="s">
        <v>16</v>
      </c>
      <c r="C307">
        <v>25984</v>
      </c>
      <c r="D307">
        <v>224</v>
      </c>
      <c r="E307">
        <v>4</v>
      </c>
      <c r="F307">
        <v>4</v>
      </c>
      <c r="G307">
        <v>340.15</v>
      </c>
      <c r="H307" s="17">
        <v>34.387</v>
      </c>
      <c r="I307" s="33">
        <v>45318</v>
      </c>
      <c r="J307" s="37">
        <v>0.30483796296296295</v>
      </c>
      <c r="K307">
        <v>0</v>
      </c>
      <c r="L307">
        <v>0</v>
      </c>
      <c r="M307">
        <v>0</v>
      </c>
      <c r="N307">
        <v>0</v>
      </c>
      <c r="O307">
        <v>0</v>
      </c>
      <c r="P307">
        <v>0</v>
      </c>
      <c r="Q307">
        <v>0</v>
      </c>
      <c r="R307">
        <v>0</v>
      </c>
      <c r="S307">
        <v>0</v>
      </c>
      <c r="T307">
        <v>0</v>
      </c>
      <c r="U307">
        <v>0</v>
      </c>
      <c r="V307">
        <v>0</v>
      </c>
      <c r="W307" s="30">
        <f t="shared" si="166"/>
        <v>34.309800000000003</v>
      </c>
      <c r="Y307">
        <v>2</v>
      </c>
      <c r="Z307" t="s">
        <v>16</v>
      </c>
      <c r="AA307">
        <v>25984</v>
      </c>
      <c r="AB307">
        <v>224</v>
      </c>
      <c r="AC307">
        <v>4</v>
      </c>
      <c r="AD307">
        <v>4</v>
      </c>
      <c r="AE307">
        <v>322.39999999999998</v>
      </c>
      <c r="AF307" s="17">
        <v>36.28</v>
      </c>
      <c r="AG307" s="33">
        <v>45318</v>
      </c>
      <c r="AH307" s="34">
        <v>5.8287037037037033E-2</v>
      </c>
      <c r="AI307">
        <v>0</v>
      </c>
      <c r="AJ307">
        <v>0</v>
      </c>
      <c r="AK307">
        <v>0</v>
      </c>
      <c r="AL307">
        <v>0</v>
      </c>
      <c r="AM307">
        <v>0</v>
      </c>
      <c r="AN307">
        <v>0</v>
      </c>
      <c r="AO307">
        <v>0</v>
      </c>
      <c r="AP307">
        <v>0</v>
      </c>
      <c r="AQ307">
        <v>0</v>
      </c>
      <c r="AR307">
        <v>0</v>
      </c>
      <c r="AS307">
        <v>0</v>
      </c>
      <c r="AT307">
        <v>0</v>
      </c>
      <c r="AU307" s="30">
        <f t="shared" si="168"/>
        <v>36.340400000000002</v>
      </c>
    </row>
    <row r="308" spans="1:47" x14ac:dyDescent="0.25">
      <c r="A308">
        <v>3</v>
      </c>
      <c r="B308" t="s">
        <v>16</v>
      </c>
      <c r="C308">
        <v>25984</v>
      </c>
      <c r="D308">
        <v>224</v>
      </c>
      <c r="E308">
        <v>4</v>
      </c>
      <c r="F308">
        <v>4</v>
      </c>
      <c r="G308">
        <v>339.7</v>
      </c>
      <c r="H308" s="17">
        <v>34.432000000000002</v>
      </c>
      <c r="I308" s="33">
        <v>45318</v>
      </c>
      <c r="J308" s="37">
        <v>0.56414351851851852</v>
      </c>
      <c r="K308">
        <v>0</v>
      </c>
      <c r="L308">
        <v>0</v>
      </c>
      <c r="M308">
        <v>0</v>
      </c>
      <c r="N308">
        <v>0</v>
      </c>
      <c r="O308">
        <v>0</v>
      </c>
      <c r="P308">
        <v>0</v>
      </c>
      <c r="Q308">
        <v>0</v>
      </c>
      <c r="R308">
        <v>0</v>
      </c>
      <c r="S308">
        <v>0</v>
      </c>
      <c r="T308">
        <v>0</v>
      </c>
      <c r="U308">
        <v>0</v>
      </c>
      <c r="V308">
        <v>0</v>
      </c>
      <c r="W308" s="30">
        <f t="shared" si="166"/>
        <v>34.309800000000003</v>
      </c>
      <c r="Y308">
        <v>3</v>
      </c>
      <c r="Z308" t="s">
        <v>16</v>
      </c>
      <c r="AA308">
        <v>25984</v>
      </c>
      <c r="AB308">
        <v>224</v>
      </c>
      <c r="AC308">
        <v>4</v>
      </c>
      <c r="AD308">
        <v>4</v>
      </c>
      <c r="AE308">
        <v>321.99</v>
      </c>
      <c r="AF308" s="17">
        <v>36.326000000000001</v>
      </c>
      <c r="AG308" s="33">
        <v>45318</v>
      </c>
      <c r="AH308" s="34">
        <v>0.3372337962962963</v>
      </c>
      <c r="AI308">
        <v>0</v>
      </c>
      <c r="AJ308">
        <v>0</v>
      </c>
      <c r="AK308">
        <v>0</v>
      </c>
      <c r="AL308">
        <v>0</v>
      </c>
      <c r="AM308">
        <v>0</v>
      </c>
      <c r="AN308">
        <v>0</v>
      </c>
      <c r="AO308">
        <v>0</v>
      </c>
      <c r="AP308">
        <v>0</v>
      </c>
      <c r="AQ308">
        <v>0</v>
      </c>
      <c r="AR308">
        <v>0</v>
      </c>
      <c r="AS308">
        <v>0</v>
      </c>
      <c r="AT308">
        <v>0</v>
      </c>
      <c r="AU308" s="30">
        <f t="shared" si="168"/>
        <v>36.340400000000002</v>
      </c>
    </row>
    <row r="309" spans="1:47" x14ac:dyDescent="0.25">
      <c r="A309">
        <v>4</v>
      </c>
      <c r="B309" t="s">
        <v>16</v>
      </c>
      <c r="C309">
        <v>25984</v>
      </c>
      <c r="D309">
        <v>224</v>
      </c>
      <c r="E309">
        <v>4</v>
      </c>
      <c r="F309">
        <v>4</v>
      </c>
      <c r="G309">
        <v>340.21</v>
      </c>
      <c r="H309" s="17">
        <v>34.381</v>
      </c>
      <c r="I309" s="33">
        <v>45318</v>
      </c>
      <c r="J309" s="37">
        <v>0.8235069444444445</v>
      </c>
      <c r="K309">
        <v>0</v>
      </c>
      <c r="L309">
        <v>0</v>
      </c>
      <c r="M309">
        <v>0</v>
      </c>
      <c r="N309">
        <v>0</v>
      </c>
      <c r="O309">
        <v>0</v>
      </c>
      <c r="P309">
        <v>0</v>
      </c>
      <c r="Q309">
        <v>0</v>
      </c>
      <c r="R309">
        <v>0</v>
      </c>
      <c r="S309">
        <v>0</v>
      </c>
      <c r="T309">
        <v>0</v>
      </c>
      <c r="U309">
        <v>0</v>
      </c>
      <c r="V309">
        <v>0</v>
      </c>
      <c r="W309" s="30">
        <f t="shared" si="166"/>
        <v>34.309800000000003</v>
      </c>
      <c r="Y309">
        <v>4</v>
      </c>
      <c r="Z309" t="s">
        <v>16</v>
      </c>
      <c r="AA309">
        <v>25984</v>
      </c>
      <c r="AB309">
        <v>224</v>
      </c>
      <c r="AC309">
        <v>4</v>
      </c>
      <c r="AD309">
        <v>4</v>
      </c>
      <c r="AE309">
        <v>321.36</v>
      </c>
      <c r="AF309" s="17">
        <v>36.396999999999998</v>
      </c>
      <c r="AG309" s="33">
        <v>45318</v>
      </c>
      <c r="AH309" s="34">
        <v>4.1111111111111112E-2</v>
      </c>
      <c r="AI309">
        <v>0</v>
      </c>
      <c r="AJ309">
        <v>0</v>
      </c>
      <c r="AK309">
        <v>0</v>
      </c>
      <c r="AL309">
        <v>0</v>
      </c>
      <c r="AM309">
        <v>0</v>
      </c>
      <c r="AN309">
        <v>0</v>
      </c>
      <c r="AO309">
        <v>0</v>
      </c>
      <c r="AP309">
        <v>0</v>
      </c>
      <c r="AQ309">
        <v>0</v>
      </c>
      <c r="AR309">
        <v>0</v>
      </c>
      <c r="AS309">
        <v>0</v>
      </c>
      <c r="AT309">
        <v>0</v>
      </c>
      <c r="AU309" s="30">
        <f t="shared" si="168"/>
        <v>36.340400000000002</v>
      </c>
    </row>
    <row r="310" spans="1:47" x14ac:dyDescent="0.25">
      <c r="A310">
        <v>0</v>
      </c>
      <c r="B310" t="s">
        <v>16</v>
      </c>
      <c r="C310">
        <v>27328</v>
      </c>
      <c r="D310">
        <v>224</v>
      </c>
      <c r="E310">
        <v>4</v>
      </c>
      <c r="F310">
        <v>4</v>
      </c>
      <c r="G310">
        <v>389.72</v>
      </c>
      <c r="H310" s="17">
        <v>34.915999999999997</v>
      </c>
      <c r="I310" s="33">
        <v>45318</v>
      </c>
      <c r="J310" s="37">
        <v>0.86206018518518512</v>
      </c>
      <c r="K310">
        <v>0</v>
      </c>
      <c r="L310">
        <v>0</v>
      </c>
      <c r="M310">
        <v>0</v>
      </c>
      <c r="N310">
        <v>0</v>
      </c>
      <c r="O310">
        <v>0</v>
      </c>
      <c r="P310">
        <v>0</v>
      </c>
      <c r="Q310">
        <v>0</v>
      </c>
      <c r="R310">
        <v>0</v>
      </c>
      <c r="S310">
        <v>0</v>
      </c>
      <c r="T310">
        <v>0</v>
      </c>
      <c r="U310">
        <v>0</v>
      </c>
      <c r="V310">
        <v>0</v>
      </c>
      <c r="W310" s="30">
        <f t="shared" si="165"/>
        <v>34.918599999999998</v>
      </c>
      <c r="Y310">
        <v>0</v>
      </c>
      <c r="Z310" t="s">
        <v>16</v>
      </c>
      <c r="AA310">
        <v>27328</v>
      </c>
      <c r="AB310">
        <v>224</v>
      </c>
      <c r="AC310">
        <v>4</v>
      </c>
      <c r="AD310">
        <v>4</v>
      </c>
      <c r="AE310">
        <v>368.37</v>
      </c>
      <c r="AF310" s="17">
        <v>36.939</v>
      </c>
      <c r="AG310" s="33">
        <v>45314</v>
      </c>
      <c r="AH310" s="34">
        <v>0.81458333333333333</v>
      </c>
      <c r="AI310">
        <v>0</v>
      </c>
      <c r="AJ310">
        <v>0</v>
      </c>
      <c r="AK310">
        <v>0</v>
      </c>
      <c r="AL310">
        <v>0</v>
      </c>
      <c r="AM310">
        <v>0</v>
      </c>
      <c r="AN310">
        <v>0</v>
      </c>
      <c r="AO310">
        <v>0</v>
      </c>
      <c r="AP310">
        <v>0</v>
      </c>
      <c r="AQ310">
        <v>0</v>
      </c>
      <c r="AR310">
        <v>0</v>
      </c>
      <c r="AS310">
        <v>0</v>
      </c>
      <c r="AT310">
        <v>0</v>
      </c>
      <c r="AU310" s="30">
        <f t="shared" si="167"/>
        <v>36.945599999999999</v>
      </c>
    </row>
    <row r="311" spans="1:47" x14ac:dyDescent="0.25">
      <c r="A311">
        <v>1</v>
      </c>
      <c r="B311" t="s">
        <v>16</v>
      </c>
      <c r="C311">
        <v>27328</v>
      </c>
      <c r="D311">
        <v>224</v>
      </c>
      <c r="E311">
        <v>4</v>
      </c>
      <c r="F311">
        <v>4</v>
      </c>
      <c r="G311">
        <v>389.66</v>
      </c>
      <c r="H311" s="17">
        <v>34.920999999999999</v>
      </c>
      <c r="I311" s="33">
        <v>45318</v>
      </c>
      <c r="J311" s="37">
        <v>0.12424768518518518</v>
      </c>
      <c r="K311">
        <v>0</v>
      </c>
      <c r="L311">
        <v>0</v>
      </c>
      <c r="M311">
        <v>0</v>
      </c>
      <c r="N311">
        <v>0</v>
      </c>
      <c r="O311">
        <v>0</v>
      </c>
      <c r="P311">
        <v>0</v>
      </c>
      <c r="Q311">
        <v>0</v>
      </c>
      <c r="R311">
        <v>0</v>
      </c>
      <c r="S311">
        <v>0</v>
      </c>
      <c r="T311">
        <v>0</v>
      </c>
      <c r="U311">
        <v>0</v>
      </c>
      <c r="V311">
        <v>0</v>
      </c>
      <c r="W311" s="30">
        <f t="shared" si="166"/>
        <v>34.918599999999998</v>
      </c>
      <c r="Y311">
        <v>1</v>
      </c>
      <c r="Z311" t="s">
        <v>16</v>
      </c>
      <c r="AA311">
        <v>27328</v>
      </c>
      <c r="AB311">
        <v>224</v>
      </c>
      <c r="AC311">
        <v>4</v>
      </c>
      <c r="AD311">
        <v>4</v>
      </c>
      <c r="AE311">
        <v>368.43</v>
      </c>
      <c r="AF311" s="17">
        <v>36.932000000000002</v>
      </c>
      <c r="AG311" s="33">
        <v>45314</v>
      </c>
      <c r="AH311" s="34">
        <v>0.9566782407407407</v>
      </c>
      <c r="AI311">
        <v>0</v>
      </c>
      <c r="AJ311">
        <v>0</v>
      </c>
      <c r="AK311">
        <v>0</v>
      </c>
      <c r="AL311">
        <v>0</v>
      </c>
      <c r="AM311">
        <v>0</v>
      </c>
      <c r="AN311">
        <v>0</v>
      </c>
      <c r="AO311">
        <v>0</v>
      </c>
      <c r="AP311">
        <v>0</v>
      </c>
      <c r="AQ311">
        <v>0</v>
      </c>
      <c r="AR311">
        <v>0</v>
      </c>
      <c r="AS311">
        <v>0</v>
      </c>
      <c r="AT311">
        <v>0</v>
      </c>
      <c r="AU311" s="30">
        <f t="shared" si="168"/>
        <v>36.945599999999999</v>
      </c>
    </row>
    <row r="312" spans="1:47" x14ac:dyDescent="0.25">
      <c r="A312">
        <v>2</v>
      </c>
      <c r="B312" t="s">
        <v>16</v>
      </c>
      <c r="C312">
        <v>27328</v>
      </c>
      <c r="D312">
        <v>224</v>
      </c>
      <c r="E312">
        <v>4</v>
      </c>
      <c r="F312">
        <v>4</v>
      </c>
      <c r="G312">
        <v>389.57</v>
      </c>
      <c r="H312" s="17">
        <v>34.927999999999997</v>
      </c>
      <c r="I312" s="33">
        <v>45318</v>
      </c>
      <c r="J312" s="37">
        <v>0.22901620370370371</v>
      </c>
      <c r="K312">
        <v>0</v>
      </c>
      <c r="L312">
        <v>0</v>
      </c>
      <c r="M312">
        <v>0</v>
      </c>
      <c r="N312">
        <v>0</v>
      </c>
      <c r="O312">
        <v>0</v>
      </c>
      <c r="P312">
        <v>0</v>
      </c>
      <c r="Q312">
        <v>0</v>
      </c>
      <c r="R312">
        <v>0</v>
      </c>
      <c r="S312">
        <v>0</v>
      </c>
      <c r="T312">
        <v>0</v>
      </c>
      <c r="U312">
        <v>0</v>
      </c>
      <c r="V312">
        <v>0</v>
      </c>
      <c r="W312" s="30">
        <f t="shared" si="166"/>
        <v>34.918599999999998</v>
      </c>
      <c r="Y312">
        <v>2</v>
      </c>
      <c r="Z312" t="s">
        <v>16</v>
      </c>
      <c r="AA312">
        <v>27328</v>
      </c>
      <c r="AB312">
        <v>224</v>
      </c>
      <c r="AC312">
        <v>4</v>
      </c>
      <c r="AD312">
        <v>4</v>
      </c>
      <c r="AE312">
        <v>368.2</v>
      </c>
      <c r="AF312" s="17">
        <v>36.956000000000003</v>
      </c>
      <c r="AG312" s="33">
        <v>45318</v>
      </c>
      <c r="AH312" s="34">
        <v>0.2754166666666667</v>
      </c>
      <c r="AI312">
        <v>0</v>
      </c>
      <c r="AJ312">
        <v>0</v>
      </c>
      <c r="AK312">
        <v>0</v>
      </c>
      <c r="AL312">
        <v>0</v>
      </c>
      <c r="AM312">
        <v>0</v>
      </c>
      <c r="AN312">
        <v>0</v>
      </c>
      <c r="AO312">
        <v>0</v>
      </c>
      <c r="AP312">
        <v>0</v>
      </c>
      <c r="AQ312">
        <v>0</v>
      </c>
      <c r="AR312">
        <v>0</v>
      </c>
      <c r="AS312">
        <v>0</v>
      </c>
      <c r="AT312">
        <v>0</v>
      </c>
      <c r="AU312" s="30">
        <f t="shared" si="168"/>
        <v>36.945599999999999</v>
      </c>
    </row>
    <row r="313" spans="1:47" x14ac:dyDescent="0.25">
      <c r="A313">
        <v>3</v>
      </c>
      <c r="B313" t="s">
        <v>16</v>
      </c>
      <c r="C313">
        <v>27328</v>
      </c>
      <c r="D313">
        <v>224</v>
      </c>
      <c r="E313">
        <v>4</v>
      </c>
      <c r="F313">
        <v>4</v>
      </c>
      <c r="G313">
        <v>389.69</v>
      </c>
      <c r="H313" s="17">
        <v>34.917999999999999</v>
      </c>
      <c r="I313" s="33">
        <v>45318</v>
      </c>
      <c r="J313" s="37">
        <v>0.48831018518518521</v>
      </c>
      <c r="K313">
        <v>0</v>
      </c>
      <c r="L313">
        <v>0</v>
      </c>
      <c r="M313">
        <v>0</v>
      </c>
      <c r="N313">
        <v>0</v>
      </c>
      <c r="O313">
        <v>0</v>
      </c>
      <c r="P313">
        <v>0</v>
      </c>
      <c r="Q313">
        <v>0</v>
      </c>
      <c r="R313">
        <v>0</v>
      </c>
      <c r="S313">
        <v>0</v>
      </c>
      <c r="T313">
        <v>0</v>
      </c>
      <c r="U313">
        <v>0</v>
      </c>
      <c r="V313">
        <v>0</v>
      </c>
      <c r="W313" s="30">
        <f t="shared" si="166"/>
        <v>34.918599999999998</v>
      </c>
      <c r="Y313">
        <v>3</v>
      </c>
      <c r="Z313" t="s">
        <v>16</v>
      </c>
      <c r="AA313">
        <v>27328</v>
      </c>
      <c r="AB313">
        <v>224</v>
      </c>
      <c r="AC313">
        <v>4</v>
      </c>
      <c r="AD313">
        <v>4</v>
      </c>
      <c r="AE313">
        <v>368.9</v>
      </c>
      <c r="AF313" s="17">
        <v>36.886000000000003</v>
      </c>
      <c r="AG313" s="33">
        <v>45315</v>
      </c>
      <c r="AH313" s="34">
        <v>0.10703703703703704</v>
      </c>
      <c r="AI313">
        <v>0</v>
      </c>
      <c r="AJ313">
        <v>0</v>
      </c>
      <c r="AK313">
        <v>0</v>
      </c>
      <c r="AL313">
        <v>0</v>
      </c>
      <c r="AM313">
        <v>0</v>
      </c>
      <c r="AN313">
        <v>0</v>
      </c>
      <c r="AO313">
        <v>0</v>
      </c>
      <c r="AP313">
        <v>0</v>
      </c>
      <c r="AQ313">
        <v>0</v>
      </c>
      <c r="AR313">
        <v>0</v>
      </c>
      <c r="AS313">
        <v>0</v>
      </c>
      <c r="AT313">
        <v>0</v>
      </c>
      <c r="AU313" s="30">
        <f t="shared" si="168"/>
        <v>36.945599999999999</v>
      </c>
    </row>
    <row r="314" spans="1:47" x14ac:dyDescent="0.25">
      <c r="A314">
        <v>4</v>
      </c>
      <c r="B314" t="s">
        <v>16</v>
      </c>
      <c r="C314">
        <v>27328</v>
      </c>
      <c r="D314">
        <v>224</v>
      </c>
      <c r="E314">
        <v>4</v>
      </c>
      <c r="F314">
        <v>4</v>
      </c>
      <c r="G314">
        <v>389.77</v>
      </c>
      <c r="H314" s="17">
        <v>34.909999999999997</v>
      </c>
      <c r="I314" s="33">
        <v>45318</v>
      </c>
      <c r="J314" s="37">
        <v>0.74767361111111119</v>
      </c>
      <c r="K314">
        <v>0</v>
      </c>
      <c r="L314">
        <v>0</v>
      </c>
      <c r="M314">
        <v>0</v>
      </c>
      <c r="N314">
        <v>0</v>
      </c>
      <c r="O314">
        <v>0</v>
      </c>
      <c r="P314">
        <v>0</v>
      </c>
      <c r="Q314">
        <v>0</v>
      </c>
      <c r="R314">
        <v>0</v>
      </c>
      <c r="S314">
        <v>0</v>
      </c>
      <c r="T314">
        <v>0</v>
      </c>
      <c r="U314">
        <v>0</v>
      </c>
      <c r="V314">
        <v>0</v>
      </c>
      <c r="W314" s="30">
        <f t="shared" si="166"/>
        <v>34.918599999999998</v>
      </c>
      <c r="Y314">
        <v>4</v>
      </c>
      <c r="Z314" t="s">
        <v>16</v>
      </c>
      <c r="AA314">
        <v>27328</v>
      </c>
      <c r="AB314">
        <v>224</v>
      </c>
      <c r="AC314">
        <v>4</v>
      </c>
      <c r="AD314">
        <v>4</v>
      </c>
      <c r="AE314">
        <v>367.61</v>
      </c>
      <c r="AF314" s="17">
        <v>37.015000000000001</v>
      </c>
      <c r="AG314" s="33">
        <v>45318</v>
      </c>
      <c r="AH314" s="34">
        <v>0.37751157407407404</v>
      </c>
      <c r="AI314">
        <v>0</v>
      </c>
      <c r="AJ314">
        <v>0</v>
      </c>
      <c r="AK314">
        <v>0</v>
      </c>
      <c r="AL314">
        <v>0</v>
      </c>
      <c r="AM314">
        <v>0</v>
      </c>
      <c r="AN314">
        <v>0</v>
      </c>
      <c r="AO314">
        <v>0</v>
      </c>
      <c r="AP314">
        <v>0</v>
      </c>
      <c r="AQ314">
        <v>0</v>
      </c>
      <c r="AR314">
        <v>0</v>
      </c>
      <c r="AS314">
        <v>20</v>
      </c>
      <c r="AT314">
        <v>657</v>
      </c>
      <c r="AU314" s="30">
        <f t="shared" si="168"/>
        <v>36.945599999999999</v>
      </c>
    </row>
    <row r="315" spans="1:47" x14ac:dyDescent="0.25">
      <c r="A315">
        <v>0</v>
      </c>
      <c r="B315" t="s">
        <v>16</v>
      </c>
      <c r="C315">
        <v>28896</v>
      </c>
      <c r="D315">
        <v>224</v>
      </c>
      <c r="E315">
        <v>4</v>
      </c>
      <c r="F315">
        <v>4</v>
      </c>
      <c r="G315">
        <v>456.81</v>
      </c>
      <c r="H315" s="17">
        <v>35.215000000000003</v>
      </c>
      <c r="I315" s="33">
        <v>45318</v>
      </c>
      <c r="J315" s="37">
        <v>3.5486111111111114E-2</v>
      </c>
      <c r="K315">
        <v>0</v>
      </c>
      <c r="L315">
        <v>0</v>
      </c>
      <c r="M315">
        <v>0</v>
      </c>
      <c r="N315">
        <v>0</v>
      </c>
      <c r="O315">
        <v>0</v>
      </c>
      <c r="P315">
        <v>0</v>
      </c>
      <c r="Q315">
        <v>0</v>
      </c>
      <c r="R315">
        <v>0</v>
      </c>
      <c r="S315">
        <v>0</v>
      </c>
      <c r="T315">
        <v>0</v>
      </c>
      <c r="U315">
        <v>0</v>
      </c>
      <c r="V315">
        <v>0</v>
      </c>
      <c r="W315" s="30">
        <f t="shared" si="165"/>
        <v>35.231200000000001</v>
      </c>
      <c r="Y315">
        <v>0</v>
      </c>
      <c r="Z315" t="s">
        <v>16</v>
      </c>
      <c r="AA315">
        <v>28896</v>
      </c>
      <c r="AB315">
        <v>224</v>
      </c>
      <c r="AC315">
        <v>4</v>
      </c>
      <c r="AD315">
        <v>4</v>
      </c>
      <c r="AE315">
        <v>428.67</v>
      </c>
      <c r="AF315" s="17">
        <v>37.526000000000003</v>
      </c>
      <c r="AG315" s="33">
        <v>45314</v>
      </c>
      <c r="AH315" s="34">
        <v>0.86594907407407407</v>
      </c>
      <c r="AI315">
        <v>0</v>
      </c>
      <c r="AJ315">
        <v>0</v>
      </c>
      <c r="AK315">
        <v>0</v>
      </c>
      <c r="AL315">
        <v>0</v>
      </c>
      <c r="AM315">
        <v>0</v>
      </c>
      <c r="AN315">
        <v>0</v>
      </c>
      <c r="AO315">
        <v>0</v>
      </c>
      <c r="AP315">
        <v>0</v>
      </c>
      <c r="AQ315">
        <v>0</v>
      </c>
      <c r="AR315">
        <v>0</v>
      </c>
      <c r="AS315">
        <v>0</v>
      </c>
      <c r="AT315">
        <v>0</v>
      </c>
      <c r="AU315" s="30">
        <f t="shared" si="167"/>
        <v>37.559400000000004</v>
      </c>
    </row>
    <row r="316" spans="1:47" x14ac:dyDescent="0.25">
      <c r="A316">
        <v>1</v>
      </c>
      <c r="B316" t="s">
        <v>16</v>
      </c>
      <c r="C316">
        <v>28896</v>
      </c>
      <c r="D316">
        <v>224</v>
      </c>
      <c r="E316">
        <v>4</v>
      </c>
      <c r="F316">
        <v>4</v>
      </c>
      <c r="G316">
        <v>456.57</v>
      </c>
      <c r="H316" s="17">
        <v>35.232999999999997</v>
      </c>
      <c r="I316" s="33">
        <v>45318</v>
      </c>
      <c r="J316" s="37">
        <v>0.14031250000000001</v>
      </c>
      <c r="K316">
        <v>0</v>
      </c>
      <c r="L316">
        <v>0</v>
      </c>
      <c r="M316">
        <v>0</v>
      </c>
      <c r="N316">
        <v>0</v>
      </c>
      <c r="O316">
        <v>0</v>
      </c>
      <c r="P316">
        <v>0</v>
      </c>
      <c r="Q316">
        <v>0</v>
      </c>
      <c r="R316">
        <v>0</v>
      </c>
      <c r="S316">
        <v>0</v>
      </c>
      <c r="T316">
        <v>0</v>
      </c>
      <c r="U316">
        <v>0</v>
      </c>
      <c r="V316">
        <v>0</v>
      </c>
      <c r="W316" s="30">
        <f t="shared" si="166"/>
        <v>35.231200000000001</v>
      </c>
      <c r="Y316">
        <v>1</v>
      </c>
      <c r="Z316" t="s">
        <v>16</v>
      </c>
      <c r="AA316">
        <v>28896</v>
      </c>
      <c r="AB316">
        <v>224</v>
      </c>
      <c r="AC316">
        <v>4</v>
      </c>
      <c r="AD316">
        <v>4</v>
      </c>
      <c r="AE316">
        <v>427.42</v>
      </c>
      <c r="AF316" s="17">
        <v>37.636000000000003</v>
      </c>
      <c r="AG316" s="33">
        <v>45318</v>
      </c>
      <c r="AH316" s="34">
        <v>0.2003587962962963</v>
      </c>
      <c r="AI316">
        <v>0</v>
      </c>
      <c r="AJ316">
        <v>0</v>
      </c>
      <c r="AK316">
        <v>0</v>
      </c>
      <c r="AL316">
        <v>0</v>
      </c>
      <c r="AM316">
        <v>0</v>
      </c>
      <c r="AN316">
        <v>0</v>
      </c>
      <c r="AO316">
        <v>0</v>
      </c>
      <c r="AP316">
        <v>0</v>
      </c>
      <c r="AQ316">
        <v>0</v>
      </c>
      <c r="AR316">
        <v>0</v>
      </c>
      <c r="AS316">
        <v>0</v>
      </c>
      <c r="AT316">
        <v>0</v>
      </c>
      <c r="AU316" s="30">
        <f t="shared" si="168"/>
        <v>37.559400000000004</v>
      </c>
    </row>
    <row r="317" spans="1:47" x14ac:dyDescent="0.25">
      <c r="A317">
        <v>2</v>
      </c>
      <c r="B317" t="s">
        <v>16</v>
      </c>
      <c r="C317">
        <v>28896</v>
      </c>
      <c r="D317">
        <v>224</v>
      </c>
      <c r="E317">
        <v>4</v>
      </c>
      <c r="F317">
        <v>4</v>
      </c>
      <c r="G317">
        <v>456.26</v>
      </c>
      <c r="H317" s="17">
        <v>35.256999999999998</v>
      </c>
      <c r="I317" s="33">
        <v>45318</v>
      </c>
      <c r="J317" s="37">
        <v>0.3996527777777778</v>
      </c>
      <c r="K317">
        <v>0</v>
      </c>
      <c r="L317">
        <v>0</v>
      </c>
      <c r="M317">
        <v>0</v>
      </c>
      <c r="N317">
        <v>0</v>
      </c>
      <c r="O317">
        <v>0</v>
      </c>
      <c r="P317">
        <v>0</v>
      </c>
      <c r="Q317">
        <v>0</v>
      </c>
      <c r="R317">
        <v>0</v>
      </c>
      <c r="S317">
        <v>0</v>
      </c>
      <c r="T317">
        <v>0</v>
      </c>
      <c r="U317">
        <v>0</v>
      </c>
      <c r="V317">
        <v>0</v>
      </c>
      <c r="W317" s="30">
        <f t="shared" si="166"/>
        <v>35.231200000000001</v>
      </c>
      <c r="Y317">
        <v>2</v>
      </c>
      <c r="Z317" t="s">
        <v>16</v>
      </c>
      <c r="AA317">
        <v>28896</v>
      </c>
      <c r="AB317">
        <v>224</v>
      </c>
      <c r="AC317">
        <v>4</v>
      </c>
      <c r="AD317">
        <v>4</v>
      </c>
      <c r="AE317">
        <v>429.32</v>
      </c>
      <c r="AF317" s="17">
        <v>37.469000000000001</v>
      </c>
      <c r="AG317" s="33">
        <v>45318</v>
      </c>
      <c r="AH317" s="34">
        <v>0.12320601851851852</v>
      </c>
      <c r="AI317">
        <v>0</v>
      </c>
      <c r="AJ317">
        <v>0</v>
      </c>
      <c r="AK317">
        <v>0</v>
      </c>
      <c r="AL317">
        <v>0</v>
      </c>
      <c r="AM317">
        <v>0</v>
      </c>
      <c r="AN317">
        <v>0</v>
      </c>
      <c r="AO317">
        <v>0</v>
      </c>
      <c r="AP317">
        <v>0</v>
      </c>
      <c r="AQ317">
        <v>0</v>
      </c>
      <c r="AR317">
        <v>0</v>
      </c>
      <c r="AS317">
        <v>0</v>
      </c>
      <c r="AT317">
        <v>0</v>
      </c>
      <c r="AU317" s="30">
        <f t="shared" si="168"/>
        <v>37.559400000000004</v>
      </c>
    </row>
    <row r="318" spans="1:47" x14ac:dyDescent="0.25">
      <c r="A318">
        <v>3</v>
      </c>
      <c r="B318" t="s">
        <v>16</v>
      </c>
      <c r="C318">
        <v>28896</v>
      </c>
      <c r="D318">
        <v>224</v>
      </c>
      <c r="E318">
        <v>4</v>
      </c>
      <c r="F318">
        <v>4</v>
      </c>
      <c r="G318">
        <v>456.64</v>
      </c>
      <c r="H318" s="17">
        <v>35.228000000000002</v>
      </c>
      <c r="I318" s="33">
        <v>45318</v>
      </c>
      <c r="J318" s="37">
        <v>0.65896990740740746</v>
      </c>
      <c r="K318">
        <v>0</v>
      </c>
      <c r="L318">
        <v>0</v>
      </c>
      <c r="M318">
        <v>0</v>
      </c>
      <c r="N318">
        <v>0</v>
      </c>
      <c r="O318">
        <v>0</v>
      </c>
      <c r="P318">
        <v>0</v>
      </c>
      <c r="Q318">
        <v>0</v>
      </c>
      <c r="R318">
        <v>0</v>
      </c>
      <c r="S318">
        <v>0</v>
      </c>
      <c r="T318">
        <v>0</v>
      </c>
      <c r="U318">
        <v>0</v>
      </c>
      <c r="V318">
        <v>0</v>
      </c>
      <c r="W318" s="30">
        <f t="shared" si="166"/>
        <v>35.231200000000001</v>
      </c>
      <c r="Y318">
        <v>3</v>
      </c>
      <c r="Z318" t="s">
        <v>16</v>
      </c>
      <c r="AA318">
        <v>28896</v>
      </c>
      <c r="AB318">
        <v>224</v>
      </c>
      <c r="AC318">
        <v>4</v>
      </c>
      <c r="AD318">
        <v>4</v>
      </c>
      <c r="AE318">
        <v>428.24</v>
      </c>
      <c r="AF318" s="17">
        <v>37.563000000000002</v>
      </c>
      <c r="AG318" s="33">
        <v>45318</v>
      </c>
      <c r="AH318" s="34">
        <v>0.34709490740740739</v>
      </c>
      <c r="AI318">
        <v>0</v>
      </c>
      <c r="AJ318">
        <v>0</v>
      </c>
      <c r="AK318">
        <v>0</v>
      </c>
      <c r="AL318">
        <v>0</v>
      </c>
      <c r="AM318">
        <v>0</v>
      </c>
      <c r="AN318">
        <v>0</v>
      </c>
      <c r="AO318">
        <v>0</v>
      </c>
      <c r="AP318">
        <v>0</v>
      </c>
      <c r="AQ318">
        <v>0</v>
      </c>
      <c r="AR318">
        <v>0</v>
      </c>
      <c r="AS318">
        <v>28</v>
      </c>
      <c r="AT318">
        <v>527</v>
      </c>
      <c r="AU318" s="30">
        <f t="shared" si="168"/>
        <v>37.559400000000004</v>
      </c>
    </row>
    <row r="319" spans="1:47" x14ac:dyDescent="0.25">
      <c r="A319">
        <v>4</v>
      </c>
      <c r="B319" t="s">
        <v>16</v>
      </c>
      <c r="C319">
        <v>28896</v>
      </c>
      <c r="D319">
        <v>224</v>
      </c>
      <c r="E319">
        <v>4</v>
      </c>
      <c r="F319">
        <v>4</v>
      </c>
      <c r="G319">
        <v>456.7</v>
      </c>
      <c r="H319" s="17">
        <v>35.222999999999999</v>
      </c>
      <c r="I319" s="33">
        <v>45318</v>
      </c>
      <c r="J319" s="37">
        <v>1.4988425925925926E-2</v>
      </c>
      <c r="K319">
        <v>0</v>
      </c>
      <c r="L319">
        <v>0</v>
      </c>
      <c r="M319">
        <v>0</v>
      </c>
      <c r="N319">
        <v>0</v>
      </c>
      <c r="O319">
        <v>0</v>
      </c>
      <c r="P319">
        <v>0</v>
      </c>
      <c r="Q319">
        <v>0</v>
      </c>
      <c r="R319">
        <v>0</v>
      </c>
      <c r="S319">
        <v>0</v>
      </c>
      <c r="T319">
        <v>0</v>
      </c>
      <c r="U319">
        <v>0</v>
      </c>
      <c r="V319">
        <v>0</v>
      </c>
      <c r="W319" s="30">
        <f t="shared" si="166"/>
        <v>35.231200000000001</v>
      </c>
      <c r="Y319">
        <v>4</v>
      </c>
      <c r="Z319" t="s">
        <v>16</v>
      </c>
      <c r="AA319">
        <v>28896</v>
      </c>
      <c r="AB319">
        <v>224</v>
      </c>
      <c r="AC319">
        <v>4</v>
      </c>
      <c r="AD319">
        <v>4</v>
      </c>
      <c r="AE319">
        <v>427.8</v>
      </c>
      <c r="AF319" s="17">
        <v>37.603000000000002</v>
      </c>
      <c r="AG319" s="33">
        <v>45318</v>
      </c>
      <c r="AH319" s="34">
        <v>0.13848379629629629</v>
      </c>
      <c r="AI319">
        <v>0</v>
      </c>
      <c r="AJ319">
        <v>0</v>
      </c>
      <c r="AK319">
        <v>0</v>
      </c>
      <c r="AL319">
        <v>0</v>
      </c>
      <c r="AM319">
        <v>0</v>
      </c>
      <c r="AN319">
        <v>0</v>
      </c>
      <c r="AO319">
        <v>0</v>
      </c>
      <c r="AP319">
        <v>0</v>
      </c>
      <c r="AQ319">
        <v>0</v>
      </c>
      <c r="AR319">
        <v>0</v>
      </c>
      <c r="AS319">
        <v>0</v>
      </c>
      <c r="AT319">
        <v>0</v>
      </c>
      <c r="AU319" s="30">
        <f t="shared" si="168"/>
        <v>37.559400000000004</v>
      </c>
    </row>
    <row r="320" spans="1:47" x14ac:dyDescent="0.25">
      <c r="A320">
        <v>0</v>
      </c>
      <c r="B320" t="s">
        <v>16</v>
      </c>
      <c r="C320">
        <v>25856</v>
      </c>
      <c r="D320">
        <v>256</v>
      </c>
      <c r="E320">
        <v>1</v>
      </c>
      <c r="F320">
        <v>16</v>
      </c>
      <c r="G320">
        <v>355.7</v>
      </c>
      <c r="H320" s="17">
        <v>32.4</v>
      </c>
      <c r="I320" s="33">
        <v>45318</v>
      </c>
      <c r="J320" s="37">
        <v>0.94223379629629633</v>
      </c>
      <c r="K320">
        <v>0</v>
      </c>
      <c r="L320">
        <v>0</v>
      </c>
      <c r="M320">
        <v>0</v>
      </c>
      <c r="N320">
        <v>0</v>
      </c>
      <c r="O320">
        <v>0</v>
      </c>
      <c r="P320">
        <v>0</v>
      </c>
      <c r="Q320">
        <v>0</v>
      </c>
      <c r="R320">
        <v>0</v>
      </c>
      <c r="S320">
        <v>0</v>
      </c>
      <c r="T320">
        <v>0</v>
      </c>
      <c r="U320">
        <v>0</v>
      </c>
      <c r="V320">
        <v>0</v>
      </c>
      <c r="W320" s="30">
        <f t="shared" si="165"/>
        <v>32.398200000000003</v>
      </c>
      <c r="Y320">
        <v>0</v>
      </c>
      <c r="Z320" t="s">
        <v>16</v>
      </c>
      <c r="AA320">
        <v>25856</v>
      </c>
      <c r="AB320">
        <v>256</v>
      </c>
      <c r="AC320">
        <v>1</v>
      </c>
      <c r="AD320">
        <v>16</v>
      </c>
      <c r="AE320">
        <v>330.77</v>
      </c>
      <c r="AF320" s="17">
        <v>34.841999999999999</v>
      </c>
      <c r="AG320" s="33">
        <v>45314</v>
      </c>
      <c r="AH320" s="34">
        <v>0.77300925925925934</v>
      </c>
      <c r="AI320">
        <v>0</v>
      </c>
      <c r="AJ320">
        <v>0</v>
      </c>
      <c r="AK320">
        <v>0</v>
      </c>
      <c r="AL320">
        <v>0</v>
      </c>
      <c r="AM320">
        <v>0</v>
      </c>
      <c r="AN320">
        <v>0</v>
      </c>
      <c r="AO320">
        <v>0</v>
      </c>
      <c r="AP320">
        <v>0</v>
      </c>
      <c r="AQ320">
        <v>0</v>
      </c>
      <c r="AR320">
        <v>0</v>
      </c>
      <c r="AS320">
        <v>0</v>
      </c>
      <c r="AT320">
        <v>0</v>
      </c>
      <c r="AU320" s="30">
        <f t="shared" si="167"/>
        <v>34.819599999999994</v>
      </c>
    </row>
    <row r="321" spans="1:47" x14ac:dyDescent="0.25">
      <c r="A321">
        <v>1</v>
      </c>
      <c r="B321" t="s">
        <v>16</v>
      </c>
      <c r="C321">
        <v>25856</v>
      </c>
      <c r="D321">
        <v>256</v>
      </c>
      <c r="E321">
        <v>1</v>
      </c>
      <c r="F321">
        <v>16</v>
      </c>
      <c r="G321">
        <v>355.9</v>
      </c>
      <c r="H321" s="17">
        <v>32.381</v>
      </c>
      <c r="I321" s="33">
        <v>45318</v>
      </c>
      <c r="J321" s="37">
        <v>4.9699074074074069E-2</v>
      </c>
      <c r="K321">
        <v>0</v>
      </c>
      <c r="L321">
        <v>0</v>
      </c>
      <c r="M321">
        <v>0</v>
      </c>
      <c r="N321">
        <v>0</v>
      </c>
      <c r="O321">
        <v>0</v>
      </c>
      <c r="P321">
        <v>0</v>
      </c>
      <c r="Q321">
        <v>0</v>
      </c>
      <c r="R321">
        <v>0</v>
      </c>
      <c r="S321">
        <v>0</v>
      </c>
      <c r="T321">
        <v>0</v>
      </c>
      <c r="U321">
        <v>0</v>
      </c>
      <c r="V321">
        <v>0</v>
      </c>
      <c r="W321" s="30">
        <f t="shared" si="166"/>
        <v>32.398200000000003</v>
      </c>
      <c r="Y321">
        <v>1</v>
      </c>
      <c r="Z321" t="s">
        <v>16</v>
      </c>
      <c r="AA321">
        <v>25856</v>
      </c>
      <c r="AB321">
        <v>256</v>
      </c>
      <c r="AC321">
        <v>1</v>
      </c>
      <c r="AD321">
        <v>16</v>
      </c>
      <c r="AE321">
        <v>331.06</v>
      </c>
      <c r="AF321" s="17">
        <v>34.811</v>
      </c>
      <c r="AG321" s="33">
        <v>45314</v>
      </c>
      <c r="AH321" s="34">
        <v>0.74354166666666666</v>
      </c>
      <c r="AI321">
        <v>0</v>
      </c>
      <c r="AJ321">
        <v>0</v>
      </c>
      <c r="AK321">
        <v>0</v>
      </c>
      <c r="AL321">
        <v>0</v>
      </c>
      <c r="AM321">
        <v>0</v>
      </c>
      <c r="AN321">
        <v>0</v>
      </c>
      <c r="AO321">
        <v>0</v>
      </c>
      <c r="AP321">
        <v>0</v>
      </c>
      <c r="AQ321">
        <v>0</v>
      </c>
      <c r="AR321">
        <v>0</v>
      </c>
      <c r="AS321">
        <v>0</v>
      </c>
      <c r="AT321">
        <v>0</v>
      </c>
      <c r="AU321" s="30">
        <f t="shared" si="168"/>
        <v>34.819599999999994</v>
      </c>
    </row>
    <row r="322" spans="1:47" x14ac:dyDescent="0.25">
      <c r="A322">
        <v>2</v>
      </c>
      <c r="B322" t="s">
        <v>16</v>
      </c>
      <c r="C322">
        <v>25856</v>
      </c>
      <c r="D322">
        <v>256</v>
      </c>
      <c r="E322">
        <v>1</v>
      </c>
      <c r="F322">
        <v>16</v>
      </c>
      <c r="G322">
        <v>355.7</v>
      </c>
      <c r="H322" s="17">
        <v>32.401000000000003</v>
      </c>
      <c r="I322" s="33">
        <v>45318</v>
      </c>
      <c r="J322" s="37">
        <v>0.30915509259259261</v>
      </c>
      <c r="K322">
        <v>0</v>
      </c>
      <c r="L322">
        <v>0</v>
      </c>
      <c r="M322">
        <v>0</v>
      </c>
      <c r="N322">
        <v>0</v>
      </c>
      <c r="O322">
        <v>0</v>
      </c>
      <c r="P322">
        <v>0</v>
      </c>
      <c r="Q322">
        <v>0</v>
      </c>
      <c r="R322">
        <v>0</v>
      </c>
      <c r="S322">
        <v>0</v>
      </c>
      <c r="T322">
        <v>0</v>
      </c>
      <c r="U322">
        <v>0</v>
      </c>
      <c r="V322">
        <v>0</v>
      </c>
      <c r="W322" s="30">
        <f t="shared" si="166"/>
        <v>32.398200000000003</v>
      </c>
      <c r="Y322">
        <v>2</v>
      </c>
      <c r="Z322" t="s">
        <v>16</v>
      </c>
      <c r="AA322">
        <v>25856</v>
      </c>
      <c r="AB322">
        <v>256</v>
      </c>
      <c r="AC322">
        <v>1</v>
      </c>
      <c r="AD322">
        <v>16</v>
      </c>
      <c r="AE322">
        <v>331.24</v>
      </c>
      <c r="AF322" s="17">
        <v>34.792999999999999</v>
      </c>
      <c r="AG322" s="33">
        <v>45314</v>
      </c>
      <c r="AH322" s="34">
        <v>0.9234837962962964</v>
      </c>
      <c r="AI322">
        <v>0</v>
      </c>
      <c r="AJ322">
        <v>0</v>
      </c>
      <c r="AK322">
        <v>0</v>
      </c>
      <c r="AL322">
        <v>0</v>
      </c>
      <c r="AM322">
        <v>0</v>
      </c>
      <c r="AN322">
        <v>0</v>
      </c>
      <c r="AO322">
        <v>0</v>
      </c>
      <c r="AP322">
        <v>0</v>
      </c>
      <c r="AQ322">
        <v>0</v>
      </c>
      <c r="AR322">
        <v>0</v>
      </c>
      <c r="AS322">
        <v>0</v>
      </c>
      <c r="AT322">
        <v>0</v>
      </c>
      <c r="AU322" s="30">
        <f t="shared" si="168"/>
        <v>34.819599999999994</v>
      </c>
    </row>
    <row r="323" spans="1:47" x14ac:dyDescent="0.25">
      <c r="A323">
        <v>3</v>
      </c>
      <c r="B323" t="s">
        <v>16</v>
      </c>
      <c r="C323">
        <v>25856</v>
      </c>
      <c r="D323">
        <v>256</v>
      </c>
      <c r="E323">
        <v>1</v>
      </c>
      <c r="F323">
        <v>16</v>
      </c>
      <c r="G323">
        <v>355.66</v>
      </c>
      <c r="H323" s="17">
        <v>32.404000000000003</v>
      </c>
      <c r="I323" s="33">
        <v>45318</v>
      </c>
      <c r="J323" s="37">
        <v>0.56846064814814812</v>
      </c>
      <c r="K323">
        <v>0</v>
      </c>
      <c r="L323">
        <v>0</v>
      </c>
      <c r="M323">
        <v>0</v>
      </c>
      <c r="N323">
        <v>0</v>
      </c>
      <c r="O323">
        <v>0</v>
      </c>
      <c r="P323">
        <v>0</v>
      </c>
      <c r="Q323">
        <v>0</v>
      </c>
      <c r="R323">
        <v>0</v>
      </c>
      <c r="S323">
        <v>0</v>
      </c>
      <c r="T323">
        <v>0</v>
      </c>
      <c r="U323">
        <v>0</v>
      </c>
      <c r="V323">
        <v>0</v>
      </c>
      <c r="W323" s="30">
        <f t="shared" si="166"/>
        <v>32.398200000000003</v>
      </c>
      <c r="Y323">
        <v>3</v>
      </c>
      <c r="Z323" t="s">
        <v>16</v>
      </c>
      <c r="AA323">
        <v>25856</v>
      </c>
      <c r="AB323">
        <v>256</v>
      </c>
      <c r="AC323">
        <v>1</v>
      </c>
      <c r="AD323">
        <v>16</v>
      </c>
      <c r="AE323">
        <v>331.03</v>
      </c>
      <c r="AF323" s="17">
        <v>34.814</v>
      </c>
      <c r="AG323" s="33">
        <v>45315</v>
      </c>
      <c r="AH323" s="34">
        <v>0.18971064814814817</v>
      </c>
      <c r="AI323">
        <v>0</v>
      </c>
      <c r="AJ323">
        <v>0</v>
      </c>
      <c r="AK323">
        <v>0</v>
      </c>
      <c r="AL323">
        <v>0</v>
      </c>
      <c r="AM323">
        <v>0</v>
      </c>
      <c r="AN323">
        <v>0</v>
      </c>
      <c r="AO323">
        <v>0</v>
      </c>
      <c r="AP323">
        <v>0</v>
      </c>
      <c r="AQ323">
        <v>0</v>
      </c>
      <c r="AR323">
        <v>0</v>
      </c>
      <c r="AS323">
        <v>0</v>
      </c>
      <c r="AT323">
        <v>0</v>
      </c>
      <c r="AU323" s="30">
        <f t="shared" si="168"/>
        <v>34.819599999999994</v>
      </c>
    </row>
    <row r="324" spans="1:47" x14ac:dyDescent="0.25">
      <c r="A324">
        <v>4</v>
      </c>
      <c r="B324" t="s">
        <v>16</v>
      </c>
      <c r="C324">
        <v>25856</v>
      </c>
      <c r="D324">
        <v>256</v>
      </c>
      <c r="E324">
        <v>1</v>
      </c>
      <c r="F324">
        <v>16</v>
      </c>
      <c r="G324">
        <v>355.65</v>
      </c>
      <c r="H324" s="17">
        <v>32.405000000000001</v>
      </c>
      <c r="I324" s="33">
        <v>45318</v>
      </c>
      <c r="J324" s="37">
        <v>0.8278240740740741</v>
      </c>
      <c r="K324">
        <v>0</v>
      </c>
      <c r="L324">
        <v>0</v>
      </c>
      <c r="M324">
        <v>0</v>
      </c>
      <c r="N324">
        <v>0</v>
      </c>
      <c r="O324">
        <v>0</v>
      </c>
      <c r="P324">
        <v>0</v>
      </c>
      <c r="Q324">
        <v>0</v>
      </c>
      <c r="R324">
        <v>0</v>
      </c>
      <c r="S324">
        <v>0</v>
      </c>
      <c r="T324">
        <v>0</v>
      </c>
      <c r="U324">
        <v>0</v>
      </c>
      <c r="V324">
        <v>0</v>
      </c>
      <c r="W324" s="30">
        <f t="shared" si="166"/>
        <v>32.398200000000003</v>
      </c>
      <c r="Y324">
        <v>4</v>
      </c>
      <c r="Z324" t="s">
        <v>16</v>
      </c>
      <c r="AA324">
        <v>25856</v>
      </c>
      <c r="AB324">
        <v>256</v>
      </c>
      <c r="AC324">
        <v>1</v>
      </c>
      <c r="AD324">
        <v>16</v>
      </c>
      <c r="AE324">
        <v>330.81</v>
      </c>
      <c r="AF324" s="17">
        <v>34.838000000000001</v>
      </c>
      <c r="AG324" s="33">
        <v>45318</v>
      </c>
      <c r="AH324" s="34">
        <v>4.5567129629629631E-2</v>
      </c>
      <c r="AI324">
        <v>0</v>
      </c>
      <c r="AJ324">
        <v>0</v>
      </c>
      <c r="AK324">
        <v>0</v>
      </c>
      <c r="AL324">
        <v>0</v>
      </c>
      <c r="AM324">
        <v>0</v>
      </c>
      <c r="AN324">
        <v>0</v>
      </c>
      <c r="AO324">
        <v>0</v>
      </c>
      <c r="AP324">
        <v>0</v>
      </c>
      <c r="AQ324">
        <v>0</v>
      </c>
      <c r="AR324">
        <v>0</v>
      </c>
      <c r="AS324">
        <v>0</v>
      </c>
      <c r="AT324">
        <v>0</v>
      </c>
      <c r="AU324" s="30">
        <f t="shared" si="168"/>
        <v>34.819599999999994</v>
      </c>
    </row>
    <row r="325" spans="1:47" x14ac:dyDescent="0.25">
      <c r="A325">
        <v>0</v>
      </c>
      <c r="B325" t="s">
        <v>16</v>
      </c>
      <c r="C325">
        <v>27392</v>
      </c>
      <c r="D325">
        <v>256</v>
      </c>
      <c r="E325">
        <v>1</v>
      </c>
      <c r="F325">
        <v>16</v>
      </c>
      <c r="G325">
        <v>413.53</v>
      </c>
      <c r="H325" s="17">
        <v>33.137</v>
      </c>
      <c r="I325" s="33">
        <v>45318</v>
      </c>
      <c r="J325" s="37">
        <v>0.86706018518518524</v>
      </c>
      <c r="K325">
        <v>0</v>
      </c>
      <c r="L325">
        <v>0</v>
      </c>
      <c r="M325">
        <v>0</v>
      </c>
      <c r="N325">
        <v>0</v>
      </c>
      <c r="O325">
        <v>0</v>
      </c>
      <c r="P325">
        <v>0</v>
      </c>
      <c r="Q325">
        <v>0</v>
      </c>
      <c r="R325">
        <v>0</v>
      </c>
      <c r="S325">
        <v>0</v>
      </c>
      <c r="T325">
        <v>0</v>
      </c>
      <c r="U325">
        <v>0</v>
      </c>
      <c r="V325">
        <v>0</v>
      </c>
      <c r="W325" s="30">
        <f t="shared" si="165"/>
        <v>33.182000000000002</v>
      </c>
      <c r="Y325">
        <v>0</v>
      </c>
      <c r="Z325" t="s">
        <v>16</v>
      </c>
      <c r="AA325">
        <v>27392</v>
      </c>
      <c r="AB325">
        <v>256</v>
      </c>
      <c r="AC325">
        <v>1</v>
      </c>
      <c r="AD325">
        <v>16</v>
      </c>
      <c r="AE325">
        <v>385.86</v>
      </c>
      <c r="AF325" s="17">
        <v>35.512999999999998</v>
      </c>
      <c r="AG325" s="33">
        <v>45314</v>
      </c>
      <c r="AH325" s="34">
        <v>0.81972222222222213</v>
      </c>
      <c r="AI325">
        <v>0</v>
      </c>
      <c r="AJ325">
        <v>0</v>
      </c>
      <c r="AK325">
        <v>0</v>
      </c>
      <c r="AL325">
        <v>0</v>
      </c>
      <c r="AM325">
        <v>0</v>
      </c>
      <c r="AN325">
        <v>0</v>
      </c>
      <c r="AO325">
        <v>0</v>
      </c>
      <c r="AP325">
        <v>0</v>
      </c>
      <c r="AQ325">
        <v>0</v>
      </c>
      <c r="AR325">
        <v>0</v>
      </c>
      <c r="AS325">
        <v>0</v>
      </c>
      <c r="AT325">
        <v>0</v>
      </c>
      <c r="AU325" s="30">
        <f t="shared" si="167"/>
        <v>35.5244</v>
      </c>
    </row>
    <row r="326" spans="1:47" x14ac:dyDescent="0.25">
      <c r="A326">
        <v>1</v>
      </c>
      <c r="B326" t="s">
        <v>16</v>
      </c>
      <c r="C326">
        <v>27392</v>
      </c>
      <c r="D326">
        <v>256</v>
      </c>
      <c r="E326">
        <v>1</v>
      </c>
      <c r="F326">
        <v>16</v>
      </c>
      <c r="G326">
        <v>412.76</v>
      </c>
      <c r="H326" s="17">
        <v>33.198</v>
      </c>
      <c r="I326" s="33">
        <v>45318</v>
      </c>
      <c r="J326" s="37">
        <v>0.12923611111111111</v>
      </c>
      <c r="K326">
        <v>0</v>
      </c>
      <c r="L326">
        <v>0</v>
      </c>
      <c r="M326">
        <v>0</v>
      </c>
      <c r="N326">
        <v>0</v>
      </c>
      <c r="O326">
        <v>0</v>
      </c>
      <c r="P326">
        <v>0</v>
      </c>
      <c r="Q326">
        <v>0</v>
      </c>
      <c r="R326">
        <v>0</v>
      </c>
      <c r="S326">
        <v>0</v>
      </c>
      <c r="T326">
        <v>0</v>
      </c>
      <c r="U326">
        <v>0</v>
      </c>
      <c r="V326">
        <v>0</v>
      </c>
      <c r="W326" s="30">
        <f t="shared" si="166"/>
        <v>33.182000000000002</v>
      </c>
      <c r="Y326">
        <v>1</v>
      </c>
      <c r="Z326" t="s">
        <v>16</v>
      </c>
      <c r="AA326">
        <v>27392</v>
      </c>
      <c r="AB326">
        <v>256</v>
      </c>
      <c r="AC326">
        <v>1</v>
      </c>
      <c r="AD326">
        <v>16</v>
      </c>
      <c r="AE326">
        <v>385.65</v>
      </c>
      <c r="AF326" s="17">
        <v>35.531999999999996</v>
      </c>
      <c r="AG326" s="33">
        <v>45314</v>
      </c>
      <c r="AH326" s="34">
        <v>0.96180555555555547</v>
      </c>
      <c r="AI326">
        <v>0</v>
      </c>
      <c r="AJ326">
        <v>0</v>
      </c>
      <c r="AK326">
        <v>0</v>
      </c>
      <c r="AL326">
        <v>0</v>
      </c>
      <c r="AM326">
        <v>0</v>
      </c>
      <c r="AN326">
        <v>0</v>
      </c>
      <c r="AO326">
        <v>0</v>
      </c>
      <c r="AP326">
        <v>0</v>
      </c>
      <c r="AQ326">
        <v>0</v>
      </c>
      <c r="AR326">
        <v>0</v>
      </c>
      <c r="AS326">
        <v>0</v>
      </c>
      <c r="AT326">
        <v>0</v>
      </c>
      <c r="AU326" s="30">
        <f t="shared" si="168"/>
        <v>35.5244</v>
      </c>
    </row>
    <row r="327" spans="1:47" x14ac:dyDescent="0.25">
      <c r="A327">
        <v>2</v>
      </c>
      <c r="B327" t="s">
        <v>16</v>
      </c>
      <c r="C327">
        <v>27392</v>
      </c>
      <c r="D327">
        <v>256</v>
      </c>
      <c r="E327">
        <v>1</v>
      </c>
      <c r="F327">
        <v>16</v>
      </c>
      <c r="G327">
        <v>412.63</v>
      </c>
      <c r="H327" s="17">
        <v>33.209000000000003</v>
      </c>
      <c r="I327" s="33">
        <v>45318</v>
      </c>
      <c r="J327" s="37">
        <v>0.23400462962962965</v>
      </c>
      <c r="K327">
        <v>0</v>
      </c>
      <c r="L327">
        <v>0</v>
      </c>
      <c r="M327">
        <v>0</v>
      </c>
      <c r="N327">
        <v>0</v>
      </c>
      <c r="O327">
        <v>0</v>
      </c>
      <c r="P327">
        <v>0</v>
      </c>
      <c r="Q327">
        <v>0</v>
      </c>
      <c r="R327">
        <v>0</v>
      </c>
      <c r="S327">
        <v>0</v>
      </c>
      <c r="T327">
        <v>0</v>
      </c>
      <c r="U327">
        <v>0</v>
      </c>
      <c r="V327">
        <v>0</v>
      </c>
      <c r="W327" s="30">
        <f t="shared" si="166"/>
        <v>33.182000000000002</v>
      </c>
      <c r="Y327">
        <v>2</v>
      </c>
      <c r="Z327" t="s">
        <v>16</v>
      </c>
      <c r="AA327">
        <v>27392</v>
      </c>
      <c r="AB327">
        <v>256</v>
      </c>
      <c r="AC327">
        <v>1</v>
      </c>
      <c r="AD327">
        <v>16</v>
      </c>
      <c r="AE327">
        <v>385.69</v>
      </c>
      <c r="AF327" s="17">
        <v>35.529000000000003</v>
      </c>
      <c r="AG327" s="33">
        <v>45318</v>
      </c>
      <c r="AH327" s="34">
        <v>0.11939814814814814</v>
      </c>
      <c r="AI327">
        <v>0</v>
      </c>
      <c r="AJ327">
        <v>0</v>
      </c>
      <c r="AK327">
        <v>0</v>
      </c>
      <c r="AL327">
        <v>0</v>
      </c>
      <c r="AM327">
        <v>0</v>
      </c>
      <c r="AN327">
        <v>0</v>
      </c>
      <c r="AO327">
        <v>0</v>
      </c>
      <c r="AP327">
        <v>0</v>
      </c>
      <c r="AQ327">
        <v>0</v>
      </c>
      <c r="AR327">
        <v>0</v>
      </c>
      <c r="AS327">
        <v>0</v>
      </c>
      <c r="AT327">
        <v>0</v>
      </c>
      <c r="AU327" s="30">
        <f t="shared" si="168"/>
        <v>35.5244</v>
      </c>
    </row>
    <row r="328" spans="1:47" x14ac:dyDescent="0.25">
      <c r="A328">
        <v>3</v>
      </c>
      <c r="B328" t="s">
        <v>16</v>
      </c>
      <c r="C328">
        <v>27392</v>
      </c>
      <c r="D328">
        <v>256</v>
      </c>
      <c r="E328">
        <v>1</v>
      </c>
      <c r="F328">
        <v>16</v>
      </c>
      <c r="G328">
        <v>412.64</v>
      </c>
      <c r="H328" s="17">
        <v>33.207999999999998</v>
      </c>
      <c r="I328" s="33">
        <v>45318</v>
      </c>
      <c r="J328" s="37">
        <v>0.49329861111111112</v>
      </c>
      <c r="K328">
        <v>0</v>
      </c>
      <c r="L328">
        <v>0</v>
      </c>
      <c r="M328">
        <v>0</v>
      </c>
      <c r="N328">
        <v>0</v>
      </c>
      <c r="O328">
        <v>0</v>
      </c>
      <c r="P328">
        <v>0</v>
      </c>
      <c r="Q328">
        <v>0</v>
      </c>
      <c r="R328">
        <v>0</v>
      </c>
      <c r="S328">
        <v>0</v>
      </c>
      <c r="T328">
        <v>0</v>
      </c>
      <c r="U328">
        <v>0</v>
      </c>
      <c r="V328">
        <v>0</v>
      </c>
      <c r="W328" s="30">
        <f t="shared" si="166"/>
        <v>33.182000000000002</v>
      </c>
      <c r="Y328">
        <v>3</v>
      </c>
      <c r="Z328" t="s">
        <v>16</v>
      </c>
      <c r="AA328">
        <v>27392</v>
      </c>
      <c r="AB328">
        <v>256</v>
      </c>
      <c r="AC328">
        <v>1</v>
      </c>
      <c r="AD328">
        <v>16</v>
      </c>
      <c r="AE328">
        <v>385.73</v>
      </c>
      <c r="AF328" s="17">
        <v>35.524999999999999</v>
      </c>
      <c r="AG328" s="33">
        <v>45315</v>
      </c>
      <c r="AH328" s="34">
        <v>0.11216435185185185</v>
      </c>
      <c r="AI328">
        <v>0</v>
      </c>
      <c r="AJ328">
        <v>0</v>
      </c>
      <c r="AK328">
        <v>0</v>
      </c>
      <c r="AL328">
        <v>0</v>
      </c>
      <c r="AM328">
        <v>0</v>
      </c>
      <c r="AN328">
        <v>0</v>
      </c>
      <c r="AO328">
        <v>0</v>
      </c>
      <c r="AP328">
        <v>0</v>
      </c>
      <c r="AQ328">
        <v>0</v>
      </c>
      <c r="AR328">
        <v>0</v>
      </c>
      <c r="AS328">
        <v>0</v>
      </c>
      <c r="AT328">
        <v>0</v>
      </c>
      <c r="AU328" s="30">
        <f t="shared" si="168"/>
        <v>35.5244</v>
      </c>
    </row>
    <row r="329" spans="1:47" x14ac:dyDescent="0.25">
      <c r="A329">
        <v>4</v>
      </c>
      <c r="B329" t="s">
        <v>16</v>
      </c>
      <c r="C329">
        <v>27392</v>
      </c>
      <c r="D329">
        <v>256</v>
      </c>
      <c r="E329">
        <v>1</v>
      </c>
      <c r="F329">
        <v>16</v>
      </c>
      <c r="G329">
        <v>413.26</v>
      </c>
      <c r="H329" s="17">
        <v>33.158000000000001</v>
      </c>
      <c r="I329" s="33">
        <v>45318</v>
      </c>
      <c r="J329" s="37">
        <v>0.75266203703703705</v>
      </c>
      <c r="K329">
        <v>0</v>
      </c>
      <c r="L329">
        <v>0</v>
      </c>
      <c r="M329">
        <v>0</v>
      </c>
      <c r="N329">
        <v>0</v>
      </c>
      <c r="O329">
        <v>0</v>
      </c>
      <c r="P329">
        <v>0</v>
      </c>
      <c r="Q329">
        <v>0</v>
      </c>
      <c r="R329">
        <v>0</v>
      </c>
      <c r="S329">
        <v>0</v>
      </c>
      <c r="T329">
        <v>0</v>
      </c>
      <c r="U329">
        <v>0</v>
      </c>
      <c r="V329">
        <v>0</v>
      </c>
      <c r="W329" s="30">
        <f t="shared" si="166"/>
        <v>33.182000000000002</v>
      </c>
      <c r="Y329">
        <v>4</v>
      </c>
      <c r="Z329" t="s">
        <v>16</v>
      </c>
      <c r="AA329">
        <v>27392</v>
      </c>
      <c r="AB329">
        <v>256</v>
      </c>
      <c r="AC329">
        <v>1</v>
      </c>
      <c r="AD329">
        <v>16</v>
      </c>
      <c r="AE329">
        <v>385.75</v>
      </c>
      <c r="AF329" s="17">
        <v>35.523000000000003</v>
      </c>
      <c r="AG329" s="33">
        <v>45318</v>
      </c>
      <c r="AH329" s="34">
        <v>2.6192129629629631E-2</v>
      </c>
      <c r="AI329">
        <v>0</v>
      </c>
      <c r="AJ329">
        <v>0</v>
      </c>
      <c r="AK329">
        <v>0</v>
      </c>
      <c r="AL329">
        <v>0</v>
      </c>
      <c r="AM329">
        <v>0</v>
      </c>
      <c r="AN329">
        <v>0</v>
      </c>
      <c r="AO329">
        <v>0</v>
      </c>
      <c r="AP329">
        <v>0</v>
      </c>
      <c r="AQ329">
        <v>0</v>
      </c>
      <c r="AR329">
        <v>0</v>
      </c>
      <c r="AS329">
        <v>0</v>
      </c>
      <c r="AT329">
        <v>0</v>
      </c>
      <c r="AU329" s="30">
        <f t="shared" si="168"/>
        <v>35.5244</v>
      </c>
    </row>
    <row r="330" spans="1:47" x14ac:dyDescent="0.25">
      <c r="A330">
        <v>0</v>
      </c>
      <c r="B330" t="s">
        <v>16</v>
      </c>
      <c r="C330">
        <v>28928</v>
      </c>
      <c r="D330">
        <v>256</v>
      </c>
      <c r="E330">
        <v>1</v>
      </c>
      <c r="F330">
        <v>16</v>
      </c>
      <c r="G330">
        <v>482.82</v>
      </c>
      <c r="H330" s="17">
        <v>33.427999999999997</v>
      </c>
      <c r="I330" s="33">
        <v>45318</v>
      </c>
      <c r="J330" s="37">
        <v>4.1388888888888892E-2</v>
      </c>
      <c r="K330">
        <v>0</v>
      </c>
      <c r="L330">
        <v>0</v>
      </c>
      <c r="M330">
        <v>0</v>
      </c>
      <c r="N330">
        <v>0</v>
      </c>
      <c r="O330">
        <v>0</v>
      </c>
      <c r="P330">
        <v>0</v>
      </c>
      <c r="Q330">
        <v>0</v>
      </c>
      <c r="R330">
        <v>0</v>
      </c>
      <c r="S330">
        <v>0</v>
      </c>
      <c r="T330">
        <v>0</v>
      </c>
      <c r="U330">
        <v>0</v>
      </c>
      <c r="V330">
        <v>0</v>
      </c>
      <c r="W330" s="30">
        <f t="shared" si="165"/>
        <v>33.483600000000003</v>
      </c>
      <c r="Y330">
        <v>0</v>
      </c>
      <c r="Z330" t="s">
        <v>16</v>
      </c>
      <c r="AA330">
        <v>28928</v>
      </c>
      <c r="AB330">
        <v>256</v>
      </c>
      <c r="AC330">
        <v>1</v>
      </c>
      <c r="AD330">
        <v>16</v>
      </c>
      <c r="AE330">
        <v>449.18</v>
      </c>
      <c r="AF330" s="17">
        <v>35.932000000000002</v>
      </c>
      <c r="AG330" s="33">
        <v>45314</v>
      </c>
      <c r="AH330" s="34">
        <v>0.87197916666666664</v>
      </c>
      <c r="AI330">
        <v>0</v>
      </c>
      <c r="AJ330">
        <v>0</v>
      </c>
      <c r="AK330">
        <v>0</v>
      </c>
      <c r="AL330">
        <v>0</v>
      </c>
      <c r="AM330">
        <v>0</v>
      </c>
      <c r="AN330">
        <v>0</v>
      </c>
      <c r="AO330">
        <v>0</v>
      </c>
      <c r="AP330">
        <v>0</v>
      </c>
      <c r="AQ330">
        <v>0</v>
      </c>
      <c r="AR330">
        <v>0</v>
      </c>
      <c r="AS330">
        <v>0</v>
      </c>
      <c r="AT330">
        <v>0</v>
      </c>
      <c r="AU330" s="30">
        <f t="shared" si="167"/>
        <v>35.936599999999999</v>
      </c>
    </row>
    <row r="331" spans="1:47" x14ac:dyDescent="0.25">
      <c r="A331">
        <v>1</v>
      </c>
      <c r="B331" t="s">
        <v>16</v>
      </c>
      <c r="C331">
        <v>28928</v>
      </c>
      <c r="D331">
        <v>256</v>
      </c>
      <c r="E331">
        <v>1</v>
      </c>
      <c r="F331">
        <v>16</v>
      </c>
      <c r="G331">
        <v>481.49</v>
      </c>
      <c r="H331" s="17">
        <v>33.521000000000001</v>
      </c>
      <c r="I331" s="33">
        <v>45318</v>
      </c>
      <c r="J331" s="37">
        <v>0.14618055555555556</v>
      </c>
      <c r="K331">
        <v>0</v>
      </c>
      <c r="L331">
        <v>0</v>
      </c>
      <c r="M331">
        <v>0</v>
      </c>
      <c r="N331">
        <v>0</v>
      </c>
      <c r="O331">
        <v>0</v>
      </c>
      <c r="P331">
        <v>0</v>
      </c>
      <c r="Q331">
        <v>0</v>
      </c>
      <c r="R331">
        <v>0</v>
      </c>
      <c r="S331">
        <v>0</v>
      </c>
      <c r="T331">
        <v>0</v>
      </c>
      <c r="U331">
        <v>0</v>
      </c>
      <c r="V331">
        <v>0</v>
      </c>
      <c r="W331" s="30">
        <f t="shared" si="166"/>
        <v>33.483600000000003</v>
      </c>
      <c r="Y331">
        <v>1</v>
      </c>
      <c r="Z331" t="s">
        <v>16</v>
      </c>
      <c r="AA331">
        <v>28928</v>
      </c>
      <c r="AB331">
        <v>256</v>
      </c>
      <c r="AC331">
        <v>1</v>
      </c>
      <c r="AD331">
        <v>16</v>
      </c>
      <c r="AE331">
        <v>448.31</v>
      </c>
      <c r="AF331" s="17">
        <v>36.000999999999998</v>
      </c>
      <c r="AG331" s="33">
        <v>45318</v>
      </c>
      <c r="AH331" s="34">
        <v>0.20637731481481481</v>
      </c>
      <c r="AI331">
        <v>0</v>
      </c>
      <c r="AJ331">
        <v>0</v>
      </c>
      <c r="AK331">
        <v>0</v>
      </c>
      <c r="AL331">
        <v>0</v>
      </c>
      <c r="AM331">
        <v>0</v>
      </c>
      <c r="AN331">
        <v>0</v>
      </c>
      <c r="AO331">
        <v>0</v>
      </c>
      <c r="AP331">
        <v>0</v>
      </c>
      <c r="AQ331">
        <v>0</v>
      </c>
      <c r="AR331">
        <v>0</v>
      </c>
      <c r="AS331">
        <v>0</v>
      </c>
      <c r="AT331">
        <v>0</v>
      </c>
      <c r="AU331" s="30">
        <f t="shared" si="168"/>
        <v>35.936599999999999</v>
      </c>
    </row>
    <row r="332" spans="1:47" x14ac:dyDescent="0.25">
      <c r="A332">
        <v>2</v>
      </c>
      <c r="B332" t="s">
        <v>16</v>
      </c>
      <c r="C332">
        <v>28928</v>
      </c>
      <c r="D332">
        <v>256</v>
      </c>
      <c r="E332">
        <v>1</v>
      </c>
      <c r="F332">
        <v>16</v>
      </c>
      <c r="G332">
        <v>480.87</v>
      </c>
      <c r="H332" s="17">
        <v>33.564</v>
      </c>
      <c r="I332" s="33">
        <v>45318</v>
      </c>
      <c r="J332" s="37">
        <v>0.40547453703703701</v>
      </c>
      <c r="K332">
        <v>0</v>
      </c>
      <c r="L332">
        <v>0</v>
      </c>
      <c r="M332">
        <v>0</v>
      </c>
      <c r="N332">
        <v>0</v>
      </c>
      <c r="O332">
        <v>0</v>
      </c>
      <c r="P332">
        <v>0</v>
      </c>
      <c r="Q332">
        <v>0</v>
      </c>
      <c r="R332">
        <v>0</v>
      </c>
      <c r="S332">
        <v>0</v>
      </c>
      <c r="T332">
        <v>0</v>
      </c>
      <c r="U332">
        <v>0</v>
      </c>
      <c r="V332">
        <v>0</v>
      </c>
      <c r="W332" s="30">
        <f t="shared" si="166"/>
        <v>33.483600000000003</v>
      </c>
      <c r="Y332">
        <v>2</v>
      </c>
      <c r="Z332" t="s">
        <v>16</v>
      </c>
      <c r="AA332">
        <v>28928</v>
      </c>
      <c r="AB332">
        <v>256</v>
      </c>
      <c r="AC332">
        <v>1</v>
      </c>
      <c r="AD332">
        <v>16</v>
      </c>
      <c r="AE332">
        <v>449.5</v>
      </c>
      <c r="AF332" s="17">
        <v>35.905999999999999</v>
      </c>
      <c r="AG332" s="33">
        <v>45318</v>
      </c>
      <c r="AH332" s="34">
        <v>0.12924768518518517</v>
      </c>
      <c r="AI332">
        <v>0</v>
      </c>
      <c r="AJ332">
        <v>0</v>
      </c>
      <c r="AK332">
        <v>0</v>
      </c>
      <c r="AL332">
        <v>0</v>
      </c>
      <c r="AM332">
        <v>0</v>
      </c>
      <c r="AN332">
        <v>0</v>
      </c>
      <c r="AO332">
        <v>0</v>
      </c>
      <c r="AP332">
        <v>0</v>
      </c>
      <c r="AQ332">
        <v>0</v>
      </c>
      <c r="AR332">
        <v>0</v>
      </c>
      <c r="AS332">
        <v>0</v>
      </c>
      <c r="AT332">
        <v>0</v>
      </c>
      <c r="AU332" s="30">
        <f t="shared" si="168"/>
        <v>35.936599999999999</v>
      </c>
    </row>
    <row r="333" spans="1:47" x14ac:dyDescent="0.25">
      <c r="A333">
        <v>3</v>
      </c>
      <c r="B333" t="s">
        <v>16</v>
      </c>
      <c r="C333">
        <v>28928</v>
      </c>
      <c r="D333">
        <v>256</v>
      </c>
      <c r="E333">
        <v>1</v>
      </c>
      <c r="F333">
        <v>16</v>
      </c>
      <c r="G333">
        <v>481.69</v>
      </c>
      <c r="H333" s="17">
        <v>33.506999999999998</v>
      </c>
      <c r="I333" s="33">
        <v>45318</v>
      </c>
      <c r="J333" s="37">
        <v>0.66481481481481486</v>
      </c>
      <c r="K333">
        <v>0</v>
      </c>
      <c r="L333">
        <v>0</v>
      </c>
      <c r="M333">
        <v>0</v>
      </c>
      <c r="N333">
        <v>0</v>
      </c>
      <c r="O333">
        <v>0</v>
      </c>
      <c r="P333">
        <v>0</v>
      </c>
      <c r="Q333">
        <v>0</v>
      </c>
      <c r="R333">
        <v>0</v>
      </c>
      <c r="S333">
        <v>0</v>
      </c>
      <c r="T333">
        <v>0</v>
      </c>
      <c r="U333">
        <v>0</v>
      </c>
      <c r="V333">
        <v>0</v>
      </c>
      <c r="W333" s="30">
        <f t="shared" si="166"/>
        <v>33.483600000000003</v>
      </c>
      <c r="Y333">
        <v>3</v>
      </c>
      <c r="Z333" t="s">
        <v>16</v>
      </c>
      <c r="AA333">
        <v>28928</v>
      </c>
      <c r="AB333">
        <v>256</v>
      </c>
      <c r="AC333">
        <v>1</v>
      </c>
      <c r="AD333">
        <v>16</v>
      </c>
      <c r="AE333">
        <v>449.29</v>
      </c>
      <c r="AF333" s="17">
        <v>35.923000000000002</v>
      </c>
      <c r="AG333" s="33">
        <v>45318</v>
      </c>
      <c r="AH333" s="34">
        <v>0.35312499999999997</v>
      </c>
      <c r="AI333">
        <v>0</v>
      </c>
      <c r="AJ333">
        <v>0</v>
      </c>
      <c r="AK333">
        <v>0</v>
      </c>
      <c r="AL333">
        <v>0</v>
      </c>
      <c r="AM333">
        <v>0</v>
      </c>
      <c r="AN333">
        <v>0</v>
      </c>
      <c r="AO333">
        <v>0</v>
      </c>
      <c r="AP333">
        <v>0</v>
      </c>
      <c r="AQ333">
        <v>0</v>
      </c>
      <c r="AR333">
        <v>0</v>
      </c>
      <c r="AS333">
        <v>0</v>
      </c>
      <c r="AT333">
        <v>128</v>
      </c>
      <c r="AU333" s="30">
        <f t="shared" si="168"/>
        <v>35.936599999999999</v>
      </c>
    </row>
    <row r="334" spans="1:47" x14ac:dyDescent="0.25">
      <c r="A334">
        <v>4</v>
      </c>
      <c r="B334" t="s">
        <v>16</v>
      </c>
      <c r="C334">
        <v>28928</v>
      </c>
      <c r="D334">
        <v>256</v>
      </c>
      <c r="E334">
        <v>1</v>
      </c>
      <c r="F334">
        <v>16</v>
      </c>
      <c r="G334">
        <v>483.26</v>
      </c>
      <c r="H334" s="17">
        <v>33.398000000000003</v>
      </c>
      <c r="I334" s="33">
        <v>45318</v>
      </c>
      <c r="J334" s="37">
        <v>2.0868055555555556E-2</v>
      </c>
      <c r="K334">
        <v>0</v>
      </c>
      <c r="L334">
        <v>0</v>
      </c>
      <c r="M334">
        <v>0</v>
      </c>
      <c r="N334">
        <v>0</v>
      </c>
      <c r="O334">
        <v>0</v>
      </c>
      <c r="P334">
        <v>0</v>
      </c>
      <c r="Q334">
        <v>0</v>
      </c>
      <c r="R334">
        <v>0</v>
      </c>
      <c r="S334">
        <v>0</v>
      </c>
      <c r="T334">
        <v>0</v>
      </c>
      <c r="U334">
        <v>0</v>
      </c>
      <c r="V334">
        <v>0</v>
      </c>
      <c r="W334" s="30">
        <f t="shared" si="166"/>
        <v>33.483600000000003</v>
      </c>
      <c r="Y334">
        <v>4</v>
      </c>
      <c r="Z334" t="s">
        <v>16</v>
      </c>
      <c r="AA334">
        <v>28928</v>
      </c>
      <c r="AB334">
        <v>256</v>
      </c>
      <c r="AC334">
        <v>1</v>
      </c>
      <c r="AD334">
        <v>16</v>
      </c>
      <c r="AE334">
        <v>449.32</v>
      </c>
      <c r="AF334" s="17">
        <v>35.920999999999999</v>
      </c>
      <c r="AG334" s="33">
        <v>45318</v>
      </c>
      <c r="AH334" s="34">
        <v>0.14450231481481482</v>
      </c>
      <c r="AI334">
        <v>0</v>
      </c>
      <c r="AJ334">
        <v>0</v>
      </c>
      <c r="AK334">
        <v>0</v>
      </c>
      <c r="AL334">
        <v>0</v>
      </c>
      <c r="AM334">
        <v>0</v>
      </c>
      <c r="AN334">
        <v>0</v>
      </c>
      <c r="AO334">
        <v>0</v>
      </c>
      <c r="AP334">
        <v>0</v>
      </c>
      <c r="AQ334">
        <v>0</v>
      </c>
      <c r="AR334">
        <v>0</v>
      </c>
      <c r="AS334">
        <v>0</v>
      </c>
      <c r="AT334">
        <v>0</v>
      </c>
      <c r="AU334" s="30">
        <f t="shared" si="168"/>
        <v>35.936599999999999</v>
      </c>
    </row>
    <row r="335" spans="1:47" x14ac:dyDescent="0.25">
      <c r="A335">
        <v>0</v>
      </c>
      <c r="B335" t="s">
        <v>16</v>
      </c>
      <c r="C335">
        <v>25856</v>
      </c>
      <c r="D335">
        <v>256</v>
      </c>
      <c r="E335">
        <v>2</v>
      </c>
      <c r="F335">
        <v>8</v>
      </c>
      <c r="G335">
        <v>326.33999999999997</v>
      </c>
      <c r="H335" s="17">
        <v>35.314999999999998</v>
      </c>
      <c r="I335" s="33">
        <v>45318</v>
      </c>
      <c r="J335" s="37">
        <v>0.94620370370370377</v>
      </c>
      <c r="K335">
        <v>0</v>
      </c>
      <c r="L335">
        <v>0</v>
      </c>
      <c r="M335">
        <v>0</v>
      </c>
      <c r="N335">
        <v>0</v>
      </c>
      <c r="O335">
        <v>0</v>
      </c>
      <c r="P335">
        <v>0</v>
      </c>
      <c r="Q335">
        <v>0</v>
      </c>
      <c r="R335">
        <v>0</v>
      </c>
      <c r="S335">
        <v>0</v>
      </c>
      <c r="T335">
        <v>0</v>
      </c>
      <c r="U335">
        <v>0</v>
      </c>
      <c r="V335">
        <v>0</v>
      </c>
      <c r="W335" s="30">
        <f t="shared" si="165"/>
        <v>35.360799999999998</v>
      </c>
      <c r="Y335">
        <v>0</v>
      </c>
      <c r="Z335" t="s">
        <v>16</v>
      </c>
      <c r="AA335">
        <v>25856</v>
      </c>
      <c r="AB335">
        <v>256</v>
      </c>
      <c r="AC335">
        <v>2</v>
      </c>
      <c r="AD335">
        <v>8</v>
      </c>
      <c r="AE335">
        <v>307.95999999999998</v>
      </c>
      <c r="AF335" s="17">
        <v>37.423000000000002</v>
      </c>
      <c r="AG335" s="33">
        <v>45314</v>
      </c>
      <c r="AH335" s="34">
        <v>0.77717592592592588</v>
      </c>
      <c r="AI335">
        <v>0</v>
      </c>
      <c r="AJ335">
        <v>0</v>
      </c>
      <c r="AK335">
        <v>0</v>
      </c>
      <c r="AL335">
        <v>0</v>
      </c>
      <c r="AM335">
        <v>0</v>
      </c>
      <c r="AN335">
        <v>0</v>
      </c>
      <c r="AO335">
        <v>0</v>
      </c>
      <c r="AP335">
        <v>0</v>
      </c>
      <c r="AQ335">
        <v>0</v>
      </c>
      <c r="AR335">
        <v>0</v>
      </c>
      <c r="AS335">
        <v>0</v>
      </c>
      <c r="AT335">
        <v>0</v>
      </c>
      <c r="AU335" s="30">
        <f t="shared" si="167"/>
        <v>37.440800000000003</v>
      </c>
    </row>
    <row r="336" spans="1:47" x14ac:dyDescent="0.25">
      <c r="A336">
        <v>1</v>
      </c>
      <c r="B336" t="s">
        <v>16</v>
      </c>
      <c r="C336">
        <v>25856</v>
      </c>
      <c r="D336">
        <v>256</v>
      </c>
      <c r="E336">
        <v>2</v>
      </c>
      <c r="F336">
        <v>8</v>
      </c>
      <c r="G336">
        <v>325.87</v>
      </c>
      <c r="H336" s="17">
        <v>35.366</v>
      </c>
      <c r="I336" s="33">
        <v>45318</v>
      </c>
      <c r="J336" s="37">
        <v>5.3657407407407404E-2</v>
      </c>
      <c r="K336">
        <v>0</v>
      </c>
      <c r="L336">
        <v>0</v>
      </c>
      <c r="M336">
        <v>0</v>
      </c>
      <c r="N336">
        <v>0</v>
      </c>
      <c r="O336">
        <v>0</v>
      </c>
      <c r="P336">
        <v>0</v>
      </c>
      <c r="Q336">
        <v>0</v>
      </c>
      <c r="R336">
        <v>0</v>
      </c>
      <c r="S336">
        <v>0</v>
      </c>
      <c r="T336">
        <v>0</v>
      </c>
      <c r="U336">
        <v>0</v>
      </c>
      <c r="V336">
        <v>0</v>
      </c>
      <c r="W336" s="30">
        <f t="shared" si="166"/>
        <v>35.360799999999998</v>
      </c>
      <c r="Y336">
        <v>1</v>
      </c>
      <c r="Z336" t="s">
        <v>16</v>
      </c>
      <c r="AA336">
        <v>25856</v>
      </c>
      <c r="AB336">
        <v>256</v>
      </c>
      <c r="AC336">
        <v>2</v>
      </c>
      <c r="AD336">
        <v>8</v>
      </c>
      <c r="AE336">
        <v>307.95</v>
      </c>
      <c r="AF336" s="17">
        <v>37.423999999999999</v>
      </c>
      <c r="AG336" s="33">
        <v>45314</v>
      </c>
      <c r="AH336" s="34">
        <v>0.74770833333333331</v>
      </c>
      <c r="AI336">
        <v>0</v>
      </c>
      <c r="AJ336">
        <v>0</v>
      </c>
      <c r="AK336">
        <v>0</v>
      </c>
      <c r="AL336">
        <v>0</v>
      </c>
      <c r="AM336">
        <v>0</v>
      </c>
      <c r="AN336">
        <v>0</v>
      </c>
      <c r="AO336">
        <v>0</v>
      </c>
      <c r="AP336">
        <v>0</v>
      </c>
      <c r="AQ336">
        <v>0</v>
      </c>
      <c r="AR336">
        <v>0</v>
      </c>
      <c r="AS336">
        <v>0</v>
      </c>
      <c r="AT336">
        <v>0</v>
      </c>
      <c r="AU336" s="30">
        <f t="shared" si="168"/>
        <v>37.440800000000003</v>
      </c>
    </row>
    <row r="337" spans="1:47" x14ac:dyDescent="0.25">
      <c r="A337">
        <v>2</v>
      </c>
      <c r="B337" t="s">
        <v>16</v>
      </c>
      <c r="C337">
        <v>25856</v>
      </c>
      <c r="D337">
        <v>256</v>
      </c>
      <c r="E337">
        <v>2</v>
      </c>
      <c r="F337">
        <v>8</v>
      </c>
      <c r="G337">
        <v>325.77999999999997</v>
      </c>
      <c r="H337" s="17">
        <v>35.375</v>
      </c>
      <c r="I337" s="33">
        <v>45318</v>
      </c>
      <c r="J337" s="37">
        <v>0.31311342592592589</v>
      </c>
      <c r="K337">
        <v>0</v>
      </c>
      <c r="L337">
        <v>0</v>
      </c>
      <c r="M337">
        <v>0</v>
      </c>
      <c r="N337">
        <v>0</v>
      </c>
      <c r="O337">
        <v>0</v>
      </c>
      <c r="P337">
        <v>0</v>
      </c>
      <c r="Q337">
        <v>0</v>
      </c>
      <c r="R337">
        <v>0</v>
      </c>
      <c r="S337">
        <v>0</v>
      </c>
      <c r="T337">
        <v>0</v>
      </c>
      <c r="U337">
        <v>0</v>
      </c>
      <c r="V337">
        <v>0</v>
      </c>
      <c r="W337" s="30">
        <f t="shared" si="166"/>
        <v>35.360799999999998</v>
      </c>
      <c r="Y337">
        <v>2</v>
      </c>
      <c r="Z337" t="s">
        <v>16</v>
      </c>
      <c r="AA337">
        <v>25856</v>
      </c>
      <c r="AB337">
        <v>256</v>
      </c>
      <c r="AC337">
        <v>2</v>
      </c>
      <c r="AD337">
        <v>8</v>
      </c>
      <c r="AE337">
        <v>307.73</v>
      </c>
      <c r="AF337" s="17">
        <v>37.451000000000001</v>
      </c>
      <c r="AG337" s="33">
        <v>45318</v>
      </c>
      <c r="AH337" s="34">
        <v>6.2453703703703706E-2</v>
      </c>
      <c r="AI337">
        <v>0</v>
      </c>
      <c r="AJ337">
        <v>0</v>
      </c>
      <c r="AK337">
        <v>0</v>
      </c>
      <c r="AL337">
        <v>0</v>
      </c>
      <c r="AM337">
        <v>0</v>
      </c>
      <c r="AN337">
        <v>0</v>
      </c>
      <c r="AO337">
        <v>0</v>
      </c>
      <c r="AP337">
        <v>0</v>
      </c>
      <c r="AQ337">
        <v>0</v>
      </c>
      <c r="AR337">
        <v>0</v>
      </c>
      <c r="AS337">
        <v>0</v>
      </c>
      <c r="AT337">
        <v>0</v>
      </c>
      <c r="AU337" s="30">
        <f t="shared" si="168"/>
        <v>37.440800000000003</v>
      </c>
    </row>
    <row r="338" spans="1:47" x14ac:dyDescent="0.25">
      <c r="A338">
        <v>3</v>
      </c>
      <c r="B338" t="s">
        <v>16</v>
      </c>
      <c r="C338">
        <v>25856</v>
      </c>
      <c r="D338">
        <v>256</v>
      </c>
      <c r="E338">
        <v>2</v>
      </c>
      <c r="F338">
        <v>8</v>
      </c>
      <c r="G338">
        <v>325.72000000000003</v>
      </c>
      <c r="H338" s="17">
        <v>35.381999999999998</v>
      </c>
      <c r="I338" s="33">
        <v>45318</v>
      </c>
      <c r="J338" s="37">
        <v>0.57241898148148151</v>
      </c>
      <c r="K338">
        <v>0</v>
      </c>
      <c r="L338">
        <v>0</v>
      </c>
      <c r="M338">
        <v>0</v>
      </c>
      <c r="N338">
        <v>0</v>
      </c>
      <c r="O338">
        <v>0</v>
      </c>
      <c r="P338">
        <v>0</v>
      </c>
      <c r="Q338">
        <v>0</v>
      </c>
      <c r="R338">
        <v>0</v>
      </c>
      <c r="S338">
        <v>0</v>
      </c>
      <c r="T338">
        <v>0</v>
      </c>
      <c r="U338">
        <v>0</v>
      </c>
      <c r="V338">
        <v>0</v>
      </c>
      <c r="W338" s="30">
        <f t="shared" si="166"/>
        <v>35.360799999999998</v>
      </c>
      <c r="Y338">
        <v>3</v>
      </c>
      <c r="Z338" t="s">
        <v>16</v>
      </c>
      <c r="AA338">
        <v>25856</v>
      </c>
      <c r="AB338">
        <v>256</v>
      </c>
      <c r="AC338">
        <v>2</v>
      </c>
      <c r="AD338">
        <v>8</v>
      </c>
      <c r="AE338">
        <v>307.72000000000003</v>
      </c>
      <c r="AF338" s="17">
        <v>37.451999999999998</v>
      </c>
      <c r="AG338" s="33">
        <v>45318</v>
      </c>
      <c r="AH338" s="34">
        <v>0.34140046296296295</v>
      </c>
      <c r="AI338">
        <v>0</v>
      </c>
      <c r="AJ338">
        <v>0</v>
      </c>
      <c r="AK338">
        <v>0</v>
      </c>
      <c r="AL338">
        <v>0</v>
      </c>
      <c r="AM338">
        <v>0</v>
      </c>
      <c r="AN338">
        <v>0</v>
      </c>
      <c r="AO338">
        <v>0</v>
      </c>
      <c r="AP338">
        <v>0</v>
      </c>
      <c r="AQ338">
        <v>0</v>
      </c>
      <c r="AR338">
        <v>0</v>
      </c>
      <c r="AS338">
        <v>0</v>
      </c>
      <c r="AT338">
        <v>0</v>
      </c>
      <c r="AU338" s="30">
        <f t="shared" si="168"/>
        <v>37.440800000000003</v>
      </c>
    </row>
    <row r="339" spans="1:47" x14ac:dyDescent="0.25">
      <c r="A339">
        <v>4</v>
      </c>
      <c r="B339" t="s">
        <v>16</v>
      </c>
      <c r="C339">
        <v>25856</v>
      </c>
      <c r="D339">
        <v>256</v>
      </c>
      <c r="E339">
        <v>2</v>
      </c>
      <c r="F339">
        <v>8</v>
      </c>
      <c r="G339">
        <v>325.87</v>
      </c>
      <c r="H339" s="17">
        <v>35.366</v>
      </c>
      <c r="I339" s="33">
        <v>45318</v>
      </c>
      <c r="J339" s="37">
        <v>0.83178240740740739</v>
      </c>
      <c r="K339">
        <v>0</v>
      </c>
      <c r="L339">
        <v>0</v>
      </c>
      <c r="M339">
        <v>0</v>
      </c>
      <c r="N339">
        <v>0</v>
      </c>
      <c r="O339">
        <v>0</v>
      </c>
      <c r="P339">
        <v>0</v>
      </c>
      <c r="Q339">
        <v>0</v>
      </c>
      <c r="R339">
        <v>0</v>
      </c>
      <c r="S339">
        <v>0</v>
      </c>
      <c r="T339">
        <v>0</v>
      </c>
      <c r="U339">
        <v>0</v>
      </c>
      <c r="V339">
        <v>0</v>
      </c>
      <c r="W339" s="30">
        <f t="shared" si="166"/>
        <v>35.360799999999998</v>
      </c>
      <c r="Y339">
        <v>4</v>
      </c>
      <c r="Z339" t="s">
        <v>16</v>
      </c>
      <c r="AA339">
        <v>25856</v>
      </c>
      <c r="AB339">
        <v>256</v>
      </c>
      <c r="AC339">
        <v>2</v>
      </c>
      <c r="AD339">
        <v>8</v>
      </c>
      <c r="AE339">
        <v>307.70999999999998</v>
      </c>
      <c r="AF339" s="17">
        <v>37.454000000000001</v>
      </c>
      <c r="AG339" s="33">
        <v>45318</v>
      </c>
      <c r="AH339" s="34">
        <v>4.9733796296296297E-2</v>
      </c>
      <c r="AI339">
        <v>0</v>
      </c>
      <c r="AJ339">
        <v>0</v>
      </c>
      <c r="AK339">
        <v>0</v>
      </c>
      <c r="AL339">
        <v>0</v>
      </c>
      <c r="AM339">
        <v>0</v>
      </c>
      <c r="AN339">
        <v>0</v>
      </c>
      <c r="AO339">
        <v>0</v>
      </c>
      <c r="AP339">
        <v>0</v>
      </c>
      <c r="AQ339">
        <v>0</v>
      </c>
      <c r="AR339">
        <v>0</v>
      </c>
      <c r="AS339">
        <v>0</v>
      </c>
      <c r="AT339">
        <v>0</v>
      </c>
      <c r="AU339" s="30">
        <f t="shared" si="168"/>
        <v>37.440800000000003</v>
      </c>
    </row>
    <row r="340" spans="1:47" x14ac:dyDescent="0.25">
      <c r="A340">
        <v>0</v>
      </c>
      <c r="B340" t="s">
        <v>16</v>
      </c>
      <c r="C340">
        <v>27392</v>
      </c>
      <c r="D340">
        <v>256</v>
      </c>
      <c r="E340">
        <v>2</v>
      </c>
      <c r="F340">
        <v>8</v>
      </c>
      <c r="G340">
        <v>409.29</v>
      </c>
      <c r="H340" s="17">
        <v>33.479999999999997</v>
      </c>
      <c r="I340" s="33">
        <v>45318</v>
      </c>
      <c r="J340" s="37">
        <v>0.87200231481481483</v>
      </c>
      <c r="K340">
        <v>0</v>
      </c>
      <c r="L340">
        <v>0</v>
      </c>
      <c r="M340">
        <v>0</v>
      </c>
      <c r="N340">
        <v>0</v>
      </c>
      <c r="O340">
        <v>0</v>
      </c>
      <c r="P340">
        <v>0</v>
      </c>
      <c r="Q340">
        <v>0</v>
      </c>
      <c r="R340">
        <v>0</v>
      </c>
      <c r="S340">
        <v>0</v>
      </c>
      <c r="T340">
        <v>0</v>
      </c>
      <c r="U340">
        <v>0</v>
      </c>
      <c r="V340">
        <v>0</v>
      </c>
      <c r="W340" s="30">
        <f t="shared" ref="W340:W360" si="169">AVERAGE(H340:H344)</f>
        <v>33.333600000000004</v>
      </c>
      <c r="Y340">
        <v>0</v>
      </c>
      <c r="Z340" t="s">
        <v>16</v>
      </c>
      <c r="AA340">
        <v>27392</v>
      </c>
      <c r="AB340">
        <v>256</v>
      </c>
      <c r="AC340">
        <v>2</v>
      </c>
      <c r="AD340">
        <v>8</v>
      </c>
      <c r="AE340">
        <v>373.73</v>
      </c>
      <c r="AF340" s="17">
        <v>36.665999999999997</v>
      </c>
      <c r="AG340" s="33">
        <v>45314</v>
      </c>
      <c r="AH340" s="34">
        <v>0.82472222222222225</v>
      </c>
      <c r="AI340">
        <v>0</v>
      </c>
      <c r="AJ340">
        <v>0</v>
      </c>
      <c r="AK340">
        <v>0</v>
      </c>
      <c r="AL340">
        <v>0</v>
      </c>
      <c r="AM340">
        <v>0</v>
      </c>
      <c r="AN340">
        <v>0</v>
      </c>
      <c r="AO340">
        <v>0</v>
      </c>
      <c r="AP340">
        <v>0</v>
      </c>
      <c r="AQ340">
        <v>0</v>
      </c>
      <c r="AR340">
        <v>0</v>
      </c>
      <c r="AS340">
        <v>0</v>
      </c>
      <c r="AT340">
        <v>0</v>
      </c>
      <c r="AU340" s="30">
        <f t="shared" si="167"/>
        <v>36.653599999999997</v>
      </c>
    </row>
    <row r="341" spans="1:47" x14ac:dyDescent="0.25">
      <c r="A341">
        <v>1</v>
      </c>
      <c r="B341" t="s">
        <v>16</v>
      </c>
      <c r="C341">
        <v>27392</v>
      </c>
      <c r="D341">
        <v>256</v>
      </c>
      <c r="E341">
        <v>2</v>
      </c>
      <c r="F341">
        <v>8</v>
      </c>
      <c r="G341">
        <v>411.93</v>
      </c>
      <c r="H341" s="17">
        <v>33.265000000000001</v>
      </c>
      <c r="I341" s="33">
        <v>45318</v>
      </c>
      <c r="J341" s="37">
        <v>0.13420138888888888</v>
      </c>
      <c r="K341">
        <v>0</v>
      </c>
      <c r="L341">
        <v>0</v>
      </c>
      <c r="M341">
        <v>0</v>
      </c>
      <c r="N341">
        <v>0</v>
      </c>
      <c r="O341">
        <v>0</v>
      </c>
      <c r="P341">
        <v>0</v>
      </c>
      <c r="Q341">
        <v>0</v>
      </c>
      <c r="R341">
        <v>0</v>
      </c>
      <c r="S341">
        <v>0</v>
      </c>
      <c r="T341">
        <v>0</v>
      </c>
      <c r="U341">
        <v>0</v>
      </c>
      <c r="V341">
        <v>0</v>
      </c>
      <c r="W341" s="30">
        <f t="shared" ref="W341:W364" si="170">W340</f>
        <v>33.333600000000004</v>
      </c>
      <c r="Y341">
        <v>1</v>
      </c>
      <c r="Z341" t="s">
        <v>16</v>
      </c>
      <c r="AA341">
        <v>27392</v>
      </c>
      <c r="AB341">
        <v>256</v>
      </c>
      <c r="AC341">
        <v>2</v>
      </c>
      <c r="AD341">
        <v>8</v>
      </c>
      <c r="AE341">
        <v>374.12</v>
      </c>
      <c r="AF341" s="17">
        <v>36.627000000000002</v>
      </c>
      <c r="AG341" s="33">
        <v>45314</v>
      </c>
      <c r="AH341" s="34">
        <v>0.96681712962962962</v>
      </c>
      <c r="AI341">
        <v>0</v>
      </c>
      <c r="AJ341">
        <v>0</v>
      </c>
      <c r="AK341">
        <v>0</v>
      </c>
      <c r="AL341">
        <v>0</v>
      </c>
      <c r="AM341">
        <v>0</v>
      </c>
      <c r="AN341">
        <v>0</v>
      </c>
      <c r="AO341">
        <v>0</v>
      </c>
      <c r="AP341">
        <v>0</v>
      </c>
      <c r="AQ341">
        <v>0</v>
      </c>
      <c r="AR341">
        <v>0</v>
      </c>
      <c r="AS341">
        <v>0</v>
      </c>
      <c r="AT341">
        <v>0</v>
      </c>
      <c r="AU341" s="30">
        <f t="shared" si="168"/>
        <v>36.653599999999997</v>
      </c>
    </row>
    <row r="342" spans="1:47" x14ac:dyDescent="0.25">
      <c r="A342">
        <v>2</v>
      </c>
      <c r="B342" t="s">
        <v>16</v>
      </c>
      <c r="C342">
        <v>27392</v>
      </c>
      <c r="D342">
        <v>256</v>
      </c>
      <c r="E342">
        <v>2</v>
      </c>
      <c r="F342">
        <v>8</v>
      </c>
      <c r="G342">
        <v>411.21</v>
      </c>
      <c r="H342" s="17">
        <v>33.323999999999998</v>
      </c>
      <c r="I342" s="33">
        <v>45318</v>
      </c>
      <c r="J342" s="37">
        <v>0.23896990740740742</v>
      </c>
      <c r="K342">
        <v>0</v>
      </c>
      <c r="L342">
        <v>0</v>
      </c>
      <c r="M342">
        <v>0</v>
      </c>
      <c r="N342">
        <v>0</v>
      </c>
      <c r="O342">
        <v>0</v>
      </c>
      <c r="P342">
        <v>0</v>
      </c>
      <c r="Q342">
        <v>0</v>
      </c>
      <c r="R342">
        <v>0</v>
      </c>
      <c r="S342">
        <v>0</v>
      </c>
      <c r="T342">
        <v>0</v>
      </c>
      <c r="U342">
        <v>0</v>
      </c>
      <c r="V342">
        <v>0</v>
      </c>
      <c r="W342" s="30">
        <f t="shared" si="170"/>
        <v>33.333600000000004</v>
      </c>
      <c r="Y342">
        <v>2</v>
      </c>
      <c r="Z342" t="s">
        <v>16</v>
      </c>
      <c r="AA342">
        <v>27392</v>
      </c>
      <c r="AB342">
        <v>256</v>
      </c>
      <c r="AC342">
        <v>2</v>
      </c>
      <c r="AD342">
        <v>8</v>
      </c>
      <c r="AE342">
        <v>373.67</v>
      </c>
      <c r="AF342" s="17">
        <v>36.671999999999997</v>
      </c>
      <c r="AG342" s="33">
        <v>45318</v>
      </c>
      <c r="AH342" s="34">
        <v>0.12439814814814815</v>
      </c>
      <c r="AI342">
        <v>0</v>
      </c>
      <c r="AJ342">
        <v>0</v>
      </c>
      <c r="AK342">
        <v>0</v>
      </c>
      <c r="AL342">
        <v>0</v>
      </c>
      <c r="AM342">
        <v>0</v>
      </c>
      <c r="AN342">
        <v>0</v>
      </c>
      <c r="AO342">
        <v>0</v>
      </c>
      <c r="AP342">
        <v>0</v>
      </c>
      <c r="AQ342">
        <v>0</v>
      </c>
      <c r="AR342">
        <v>0</v>
      </c>
      <c r="AS342">
        <v>0</v>
      </c>
      <c r="AT342">
        <v>26</v>
      </c>
      <c r="AU342" s="30">
        <f t="shared" si="168"/>
        <v>36.653599999999997</v>
      </c>
    </row>
    <row r="343" spans="1:47" x14ac:dyDescent="0.25">
      <c r="A343">
        <v>3</v>
      </c>
      <c r="B343" t="s">
        <v>16</v>
      </c>
      <c r="C343">
        <v>27392</v>
      </c>
      <c r="D343">
        <v>256</v>
      </c>
      <c r="E343">
        <v>2</v>
      </c>
      <c r="F343">
        <v>8</v>
      </c>
      <c r="G343">
        <v>411.7</v>
      </c>
      <c r="H343" s="17">
        <v>33.283999999999999</v>
      </c>
      <c r="I343" s="33">
        <v>45318</v>
      </c>
      <c r="J343" s="37">
        <v>0.4982638888888889</v>
      </c>
      <c r="K343">
        <v>0</v>
      </c>
      <c r="L343">
        <v>0</v>
      </c>
      <c r="M343">
        <v>0</v>
      </c>
      <c r="N343">
        <v>0</v>
      </c>
      <c r="O343">
        <v>0</v>
      </c>
      <c r="P343">
        <v>0</v>
      </c>
      <c r="Q343">
        <v>0</v>
      </c>
      <c r="R343">
        <v>0</v>
      </c>
      <c r="S343">
        <v>0</v>
      </c>
      <c r="T343">
        <v>0</v>
      </c>
      <c r="U343">
        <v>0</v>
      </c>
      <c r="V343">
        <v>0</v>
      </c>
      <c r="W343" s="30">
        <f t="shared" si="170"/>
        <v>33.333600000000004</v>
      </c>
      <c r="Y343">
        <v>3</v>
      </c>
      <c r="Z343" t="s">
        <v>16</v>
      </c>
      <c r="AA343">
        <v>27392</v>
      </c>
      <c r="AB343">
        <v>256</v>
      </c>
      <c r="AC343">
        <v>2</v>
      </c>
      <c r="AD343">
        <v>8</v>
      </c>
      <c r="AE343">
        <v>374.02</v>
      </c>
      <c r="AF343" s="17">
        <v>36.637</v>
      </c>
      <c r="AG343" s="33">
        <v>45315</v>
      </c>
      <c r="AH343" s="34">
        <v>0.11717592592592592</v>
      </c>
      <c r="AI343">
        <v>0</v>
      </c>
      <c r="AJ343">
        <v>0</v>
      </c>
      <c r="AK343">
        <v>0</v>
      </c>
      <c r="AL343">
        <v>0</v>
      </c>
      <c r="AM343">
        <v>0</v>
      </c>
      <c r="AN343">
        <v>0</v>
      </c>
      <c r="AO343">
        <v>0</v>
      </c>
      <c r="AP343">
        <v>0</v>
      </c>
      <c r="AQ343">
        <v>0</v>
      </c>
      <c r="AR343">
        <v>0</v>
      </c>
      <c r="AS343">
        <v>0</v>
      </c>
      <c r="AT343">
        <v>0</v>
      </c>
      <c r="AU343" s="30">
        <f t="shared" si="168"/>
        <v>36.653599999999997</v>
      </c>
    </row>
    <row r="344" spans="1:47" x14ac:dyDescent="0.25">
      <c r="A344">
        <v>4</v>
      </c>
      <c r="B344" t="s">
        <v>16</v>
      </c>
      <c r="C344">
        <v>27392</v>
      </c>
      <c r="D344">
        <v>256</v>
      </c>
      <c r="E344">
        <v>2</v>
      </c>
      <c r="F344">
        <v>8</v>
      </c>
      <c r="G344">
        <v>411.32</v>
      </c>
      <c r="H344" s="17">
        <v>33.314999999999998</v>
      </c>
      <c r="I344" s="33">
        <v>45318</v>
      </c>
      <c r="J344" s="37">
        <v>0.75762731481481482</v>
      </c>
      <c r="K344">
        <v>0</v>
      </c>
      <c r="L344">
        <v>0</v>
      </c>
      <c r="M344">
        <v>0</v>
      </c>
      <c r="N344">
        <v>0</v>
      </c>
      <c r="O344">
        <v>0</v>
      </c>
      <c r="P344">
        <v>0</v>
      </c>
      <c r="Q344">
        <v>0</v>
      </c>
      <c r="R344">
        <v>0</v>
      </c>
      <c r="S344">
        <v>0</v>
      </c>
      <c r="T344">
        <v>0</v>
      </c>
      <c r="U344">
        <v>0</v>
      </c>
      <c r="V344">
        <v>0</v>
      </c>
      <c r="W344" s="30">
        <f t="shared" si="170"/>
        <v>33.333600000000004</v>
      </c>
      <c r="Y344">
        <v>4</v>
      </c>
      <c r="Z344" t="s">
        <v>16</v>
      </c>
      <c r="AA344">
        <v>27392</v>
      </c>
      <c r="AB344">
        <v>256</v>
      </c>
      <c r="AC344">
        <v>2</v>
      </c>
      <c r="AD344">
        <v>8</v>
      </c>
      <c r="AE344">
        <v>373.72</v>
      </c>
      <c r="AF344" s="17">
        <v>36.665999999999997</v>
      </c>
      <c r="AG344" s="33">
        <v>45318</v>
      </c>
      <c r="AH344" s="34">
        <v>3.1192129629629629E-2</v>
      </c>
      <c r="AI344">
        <v>0</v>
      </c>
      <c r="AJ344">
        <v>0</v>
      </c>
      <c r="AK344">
        <v>0</v>
      </c>
      <c r="AL344">
        <v>0</v>
      </c>
      <c r="AM344">
        <v>0</v>
      </c>
      <c r="AN344">
        <v>0</v>
      </c>
      <c r="AO344">
        <v>0</v>
      </c>
      <c r="AP344">
        <v>0</v>
      </c>
      <c r="AQ344">
        <v>0</v>
      </c>
      <c r="AR344">
        <v>0</v>
      </c>
      <c r="AS344">
        <v>0</v>
      </c>
      <c r="AT344">
        <v>0</v>
      </c>
      <c r="AU344" s="30">
        <f t="shared" si="168"/>
        <v>36.653599999999997</v>
      </c>
    </row>
    <row r="345" spans="1:47" x14ac:dyDescent="0.25">
      <c r="A345">
        <v>0</v>
      </c>
      <c r="B345" t="s">
        <v>16</v>
      </c>
      <c r="C345">
        <v>28928</v>
      </c>
      <c r="D345">
        <v>256</v>
      </c>
      <c r="E345">
        <v>2</v>
      </c>
      <c r="F345">
        <v>8</v>
      </c>
      <c r="G345">
        <v>440.19</v>
      </c>
      <c r="H345" s="17">
        <v>36.665999999999997</v>
      </c>
      <c r="I345" s="33">
        <v>45318</v>
      </c>
      <c r="J345" s="37">
        <v>4.6712962962962963E-2</v>
      </c>
      <c r="K345">
        <v>0</v>
      </c>
      <c r="L345">
        <v>0</v>
      </c>
      <c r="M345">
        <v>0</v>
      </c>
      <c r="N345">
        <v>0</v>
      </c>
      <c r="O345">
        <v>0</v>
      </c>
      <c r="P345">
        <v>0</v>
      </c>
      <c r="Q345">
        <v>0</v>
      </c>
      <c r="R345">
        <v>0</v>
      </c>
      <c r="S345">
        <v>0</v>
      </c>
      <c r="T345">
        <v>0</v>
      </c>
      <c r="U345">
        <v>0</v>
      </c>
      <c r="V345">
        <v>0</v>
      </c>
      <c r="W345" s="30">
        <f t="shared" si="169"/>
        <v>36.674199999999999</v>
      </c>
      <c r="Y345">
        <v>0</v>
      </c>
      <c r="Z345" t="s">
        <v>16</v>
      </c>
      <c r="AA345">
        <v>28928</v>
      </c>
      <c r="AB345">
        <v>256</v>
      </c>
      <c r="AC345">
        <v>2</v>
      </c>
      <c r="AD345">
        <v>8</v>
      </c>
      <c r="AE345">
        <v>417.05</v>
      </c>
      <c r="AF345" s="17">
        <v>38.700000000000003</v>
      </c>
      <c r="AG345" s="33">
        <v>45314</v>
      </c>
      <c r="AH345" s="34">
        <v>0.87756944444444451</v>
      </c>
      <c r="AI345">
        <v>0</v>
      </c>
      <c r="AJ345">
        <v>0</v>
      </c>
      <c r="AK345">
        <v>0</v>
      </c>
      <c r="AL345">
        <v>0</v>
      </c>
      <c r="AM345">
        <v>0</v>
      </c>
      <c r="AN345">
        <v>0</v>
      </c>
      <c r="AO345">
        <v>0</v>
      </c>
      <c r="AP345">
        <v>0</v>
      </c>
      <c r="AQ345">
        <v>0</v>
      </c>
      <c r="AR345">
        <v>0</v>
      </c>
      <c r="AS345">
        <v>0</v>
      </c>
      <c r="AT345">
        <v>0</v>
      </c>
      <c r="AU345" s="30">
        <f t="shared" si="167"/>
        <v>38.704999999999998</v>
      </c>
    </row>
    <row r="346" spans="1:47" x14ac:dyDescent="0.25">
      <c r="A346">
        <v>1</v>
      </c>
      <c r="B346" t="s">
        <v>16</v>
      </c>
      <c r="C346">
        <v>28928</v>
      </c>
      <c r="D346">
        <v>256</v>
      </c>
      <c r="E346">
        <v>2</v>
      </c>
      <c r="F346">
        <v>8</v>
      </c>
      <c r="G346">
        <v>439.92</v>
      </c>
      <c r="H346" s="17">
        <v>36.688000000000002</v>
      </c>
      <c r="I346" s="33">
        <v>45318</v>
      </c>
      <c r="J346" s="37">
        <v>0.15149305555555556</v>
      </c>
      <c r="K346">
        <v>0</v>
      </c>
      <c r="L346">
        <v>0</v>
      </c>
      <c r="M346">
        <v>0</v>
      </c>
      <c r="N346">
        <v>0</v>
      </c>
      <c r="O346">
        <v>0</v>
      </c>
      <c r="P346">
        <v>0</v>
      </c>
      <c r="Q346">
        <v>0</v>
      </c>
      <c r="R346">
        <v>0</v>
      </c>
      <c r="S346">
        <v>0</v>
      </c>
      <c r="T346">
        <v>0</v>
      </c>
      <c r="U346">
        <v>0</v>
      </c>
      <c r="V346">
        <v>0</v>
      </c>
      <c r="W346" s="30">
        <f t="shared" si="170"/>
        <v>36.674199999999999</v>
      </c>
      <c r="Y346">
        <v>1</v>
      </c>
      <c r="Z346" t="s">
        <v>16</v>
      </c>
      <c r="AA346">
        <v>28928</v>
      </c>
      <c r="AB346">
        <v>256</v>
      </c>
      <c r="AC346">
        <v>2</v>
      </c>
      <c r="AD346">
        <v>8</v>
      </c>
      <c r="AE346">
        <v>416.68</v>
      </c>
      <c r="AF346" s="17">
        <v>38.734000000000002</v>
      </c>
      <c r="AG346" s="33">
        <v>45318</v>
      </c>
      <c r="AH346" s="34">
        <v>0.21195601851851853</v>
      </c>
      <c r="AI346">
        <v>0</v>
      </c>
      <c r="AJ346">
        <v>0</v>
      </c>
      <c r="AK346">
        <v>0</v>
      </c>
      <c r="AL346">
        <v>0</v>
      </c>
      <c r="AM346">
        <v>0</v>
      </c>
      <c r="AN346">
        <v>0</v>
      </c>
      <c r="AO346">
        <v>0</v>
      </c>
      <c r="AP346">
        <v>0</v>
      </c>
      <c r="AQ346">
        <v>0</v>
      </c>
      <c r="AR346">
        <v>0</v>
      </c>
      <c r="AS346">
        <v>0</v>
      </c>
      <c r="AT346">
        <v>0</v>
      </c>
      <c r="AU346" s="30">
        <f t="shared" si="168"/>
        <v>38.704999999999998</v>
      </c>
    </row>
    <row r="347" spans="1:47" x14ac:dyDescent="0.25">
      <c r="A347">
        <v>2</v>
      </c>
      <c r="B347" t="s">
        <v>16</v>
      </c>
      <c r="C347">
        <v>28928</v>
      </c>
      <c r="D347">
        <v>256</v>
      </c>
      <c r="E347">
        <v>2</v>
      </c>
      <c r="F347">
        <v>8</v>
      </c>
      <c r="G347">
        <v>440.15</v>
      </c>
      <c r="H347" s="17">
        <v>36.668999999999997</v>
      </c>
      <c r="I347" s="33">
        <v>45318</v>
      </c>
      <c r="J347" s="37">
        <v>0.4107986111111111</v>
      </c>
      <c r="K347">
        <v>0</v>
      </c>
      <c r="L347">
        <v>0</v>
      </c>
      <c r="M347">
        <v>0</v>
      </c>
      <c r="N347">
        <v>0</v>
      </c>
      <c r="O347">
        <v>0</v>
      </c>
      <c r="P347">
        <v>0</v>
      </c>
      <c r="Q347">
        <v>0</v>
      </c>
      <c r="R347">
        <v>0</v>
      </c>
      <c r="S347">
        <v>0</v>
      </c>
      <c r="T347">
        <v>0</v>
      </c>
      <c r="U347">
        <v>0</v>
      </c>
      <c r="V347">
        <v>0</v>
      </c>
      <c r="W347" s="30">
        <f t="shared" si="170"/>
        <v>36.674199999999999</v>
      </c>
      <c r="Y347">
        <v>2</v>
      </c>
      <c r="Z347" t="s">
        <v>16</v>
      </c>
      <c r="AA347">
        <v>28928</v>
      </c>
      <c r="AB347">
        <v>256</v>
      </c>
      <c r="AC347">
        <v>2</v>
      </c>
      <c r="AD347">
        <v>8</v>
      </c>
      <c r="AE347">
        <v>417.26</v>
      </c>
      <c r="AF347" s="17">
        <v>38.68</v>
      </c>
      <c r="AG347" s="33">
        <v>45318</v>
      </c>
      <c r="AH347" s="34">
        <v>0.13483796296296297</v>
      </c>
      <c r="AI347">
        <v>0</v>
      </c>
      <c r="AJ347">
        <v>0</v>
      </c>
      <c r="AK347">
        <v>0</v>
      </c>
      <c r="AL347">
        <v>0</v>
      </c>
      <c r="AM347">
        <v>0</v>
      </c>
      <c r="AN347">
        <v>0</v>
      </c>
      <c r="AO347">
        <v>0</v>
      </c>
      <c r="AP347">
        <v>0</v>
      </c>
      <c r="AQ347">
        <v>0</v>
      </c>
      <c r="AR347">
        <v>0</v>
      </c>
      <c r="AS347">
        <v>0</v>
      </c>
      <c r="AT347">
        <v>0</v>
      </c>
      <c r="AU347" s="30">
        <f t="shared" si="168"/>
        <v>38.704999999999998</v>
      </c>
    </row>
    <row r="348" spans="1:47" x14ac:dyDescent="0.25">
      <c r="A348">
        <v>3</v>
      </c>
      <c r="B348" t="s">
        <v>16</v>
      </c>
      <c r="C348">
        <v>28928</v>
      </c>
      <c r="D348">
        <v>256</v>
      </c>
      <c r="E348">
        <v>2</v>
      </c>
      <c r="F348">
        <v>8</v>
      </c>
      <c r="G348">
        <v>440.34</v>
      </c>
      <c r="H348" s="17">
        <v>36.652999999999999</v>
      </c>
      <c r="I348" s="33">
        <v>45318</v>
      </c>
      <c r="J348" s="37">
        <v>0.67013888888888884</v>
      </c>
      <c r="K348">
        <v>0</v>
      </c>
      <c r="L348">
        <v>0</v>
      </c>
      <c r="M348">
        <v>0</v>
      </c>
      <c r="N348">
        <v>0</v>
      </c>
      <c r="O348">
        <v>0</v>
      </c>
      <c r="P348">
        <v>0</v>
      </c>
      <c r="Q348">
        <v>0</v>
      </c>
      <c r="R348">
        <v>0</v>
      </c>
      <c r="S348">
        <v>0</v>
      </c>
      <c r="T348">
        <v>0</v>
      </c>
      <c r="U348">
        <v>0</v>
      </c>
      <c r="V348">
        <v>0</v>
      </c>
      <c r="W348" s="30">
        <f t="shared" si="170"/>
        <v>36.674199999999999</v>
      </c>
      <c r="Y348">
        <v>3</v>
      </c>
      <c r="Z348" t="s">
        <v>16</v>
      </c>
      <c r="AA348">
        <v>28928</v>
      </c>
      <c r="AB348">
        <v>256</v>
      </c>
      <c r="AC348">
        <v>2</v>
      </c>
      <c r="AD348">
        <v>8</v>
      </c>
      <c r="AE348">
        <v>416.97</v>
      </c>
      <c r="AF348" s="17">
        <v>38.707000000000001</v>
      </c>
      <c r="AG348" s="33">
        <v>45318</v>
      </c>
      <c r="AH348" s="34">
        <v>0.17390046296296294</v>
      </c>
      <c r="AI348">
        <v>0</v>
      </c>
      <c r="AJ348">
        <v>0</v>
      </c>
      <c r="AK348">
        <v>0</v>
      </c>
      <c r="AL348">
        <v>0</v>
      </c>
      <c r="AM348">
        <v>0</v>
      </c>
      <c r="AN348">
        <v>0</v>
      </c>
      <c r="AO348">
        <v>0</v>
      </c>
      <c r="AP348">
        <v>0</v>
      </c>
      <c r="AQ348">
        <v>0</v>
      </c>
      <c r="AR348">
        <v>0</v>
      </c>
      <c r="AS348">
        <v>0</v>
      </c>
      <c r="AT348">
        <v>0</v>
      </c>
      <c r="AU348" s="30">
        <f t="shared" si="168"/>
        <v>38.704999999999998</v>
      </c>
    </row>
    <row r="349" spans="1:47" x14ac:dyDescent="0.25">
      <c r="A349">
        <v>4</v>
      </c>
      <c r="B349" t="s">
        <v>16</v>
      </c>
      <c r="C349">
        <v>28928</v>
      </c>
      <c r="D349">
        <v>256</v>
      </c>
      <c r="E349">
        <v>2</v>
      </c>
      <c r="F349">
        <v>8</v>
      </c>
      <c r="G349">
        <v>439.84</v>
      </c>
      <c r="H349" s="17">
        <v>36.695</v>
      </c>
      <c r="I349" s="33">
        <v>45318</v>
      </c>
      <c r="J349" s="37">
        <v>2.6192129629629631E-2</v>
      </c>
      <c r="K349">
        <v>0</v>
      </c>
      <c r="L349">
        <v>0</v>
      </c>
      <c r="M349">
        <v>0</v>
      </c>
      <c r="N349">
        <v>0</v>
      </c>
      <c r="O349">
        <v>0</v>
      </c>
      <c r="P349">
        <v>0</v>
      </c>
      <c r="Q349">
        <v>0</v>
      </c>
      <c r="R349">
        <v>0</v>
      </c>
      <c r="S349">
        <v>0</v>
      </c>
      <c r="T349">
        <v>0</v>
      </c>
      <c r="U349">
        <v>0</v>
      </c>
      <c r="V349">
        <v>0</v>
      </c>
      <c r="W349" s="30">
        <f t="shared" si="170"/>
        <v>36.674199999999999</v>
      </c>
      <c r="Y349">
        <v>4</v>
      </c>
      <c r="Z349" t="s">
        <v>16</v>
      </c>
      <c r="AA349">
        <v>28928</v>
      </c>
      <c r="AB349">
        <v>256</v>
      </c>
      <c r="AC349">
        <v>2</v>
      </c>
      <c r="AD349">
        <v>8</v>
      </c>
      <c r="AE349">
        <v>417</v>
      </c>
      <c r="AF349" s="17">
        <v>38.704000000000001</v>
      </c>
      <c r="AG349" s="33">
        <v>45318</v>
      </c>
      <c r="AH349" s="34">
        <v>0.15009259259259258</v>
      </c>
      <c r="AI349">
        <v>0</v>
      </c>
      <c r="AJ349">
        <v>0</v>
      </c>
      <c r="AK349">
        <v>0</v>
      </c>
      <c r="AL349">
        <v>0</v>
      </c>
      <c r="AM349">
        <v>0</v>
      </c>
      <c r="AN349">
        <v>0</v>
      </c>
      <c r="AO349">
        <v>0</v>
      </c>
      <c r="AP349">
        <v>0</v>
      </c>
      <c r="AQ349">
        <v>0</v>
      </c>
      <c r="AR349">
        <v>0</v>
      </c>
      <c r="AS349">
        <v>0</v>
      </c>
      <c r="AT349">
        <v>0</v>
      </c>
      <c r="AU349" s="30">
        <f t="shared" si="168"/>
        <v>38.704999999999998</v>
      </c>
    </row>
    <row r="350" spans="1:47" x14ac:dyDescent="0.25">
      <c r="A350">
        <v>0</v>
      </c>
      <c r="B350" t="s">
        <v>16</v>
      </c>
      <c r="C350">
        <v>25856</v>
      </c>
      <c r="D350">
        <v>256</v>
      </c>
      <c r="E350">
        <v>4</v>
      </c>
      <c r="F350">
        <v>4</v>
      </c>
      <c r="G350">
        <v>343.75</v>
      </c>
      <c r="H350" s="17">
        <v>33.526000000000003</v>
      </c>
      <c r="I350" s="33">
        <v>45318</v>
      </c>
      <c r="J350" s="37">
        <v>0.95037037037037031</v>
      </c>
      <c r="K350">
        <v>0</v>
      </c>
      <c r="L350">
        <v>0</v>
      </c>
      <c r="M350">
        <v>0</v>
      </c>
      <c r="N350">
        <v>0</v>
      </c>
      <c r="O350">
        <v>0</v>
      </c>
      <c r="P350">
        <v>0</v>
      </c>
      <c r="Q350">
        <v>0</v>
      </c>
      <c r="R350">
        <v>0</v>
      </c>
      <c r="S350">
        <v>0</v>
      </c>
      <c r="T350">
        <v>0</v>
      </c>
      <c r="U350">
        <v>0</v>
      </c>
      <c r="V350">
        <v>0</v>
      </c>
      <c r="W350" s="30">
        <f t="shared" si="169"/>
        <v>33.490600000000001</v>
      </c>
      <c r="Y350">
        <v>0</v>
      </c>
      <c r="Z350" t="s">
        <v>16</v>
      </c>
      <c r="AA350">
        <v>25856</v>
      </c>
      <c r="AB350">
        <v>256</v>
      </c>
      <c r="AC350">
        <v>4</v>
      </c>
      <c r="AD350">
        <v>4</v>
      </c>
      <c r="AE350">
        <v>326.01</v>
      </c>
      <c r="AF350" s="17">
        <v>35.35</v>
      </c>
      <c r="AG350" s="33">
        <v>45314</v>
      </c>
      <c r="AH350" s="34">
        <v>0.7815509259259259</v>
      </c>
      <c r="AI350">
        <v>0</v>
      </c>
      <c r="AJ350">
        <v>0</v>
      </c>
      <c r="AK350">
        <v>0</v>
      </c>
      <c r="AL350">
        <v>0</v>
      </c>
      <c r="AM350">
        <v>0</v>
      </c>
      <c r="AN350">
        <v>0</v>
      </c>
      <c r="AO350">
        <v>0</v>
      </c>
      <c r="AP350">
        <v>0</v>
      </c>
      <c r="AQ350">
        <v>0</v>
      </c>
      <c r="AR350">
        <v>0</v>
      </c>
      <c r="AS350">
        <v>0</v>
      </c>
      <c r="AT350">
        <v>0</v>
      </c>
      <c r="AU350" s="30">
        <f t="shared" si="167"/>
        <v>35.361000000000004</v>
      </c>
    </row>
    <row r="351" spans="1:47" x14ac:dyDescent="0.25">
      <c r="A351">
        <v>1</v>
      </c>
      <c r="B351" t="s">
        <v>16</v>
      </c>
      <c r="C351">
        <v>25856</v>
      </c>
      <c r="D351">
        <v>256</v>
      </c>
      <c r="E351">
        <v>4</v>
      </c>
      <c r="F351">
        <v>4</v>
      </c>
      <c r="G351">
        <v>343.97</v>
      </c>
      <c r="H351" s="17">
        <v>33.505000000000003</v>
      </c>
      <c r="I351" s="33">
        <v>45318</v>
      </c>
      <c r="J351" s="37">
        <v>5.783564814814815E-2</v>
      </c>
      <c r="K351">
        <v>0</v>
      </c>
      <c r="L351">
        <v>0</v>
      </c>
      <c r="M351">
        <v>0</v>
      </c>
      <c r="N351">
        <v>0</v>
      </c>
      <c r="O351">
        <v>0</v>
      </c>
      <c r="P351">
        <v>0</v>
      </c>
      <c r="Q351">
        <v>0</v>
      </c>
      <c r="R351">
        <v>0</v>
      </c>
      <c r="S351">
        <v>0</v>
      </c>
      <c r="T351">
        <v>0</v>
      </c>
      <c r="U351">
        <v>0</v>
      </c>
      <c r="V351">
        <v>0</v>
      </c>
      <c r="W351" s="30">
        <f t="shared" si="170"/>
        <v>33.490600000000001</v>
      </c>
      <c r="Y351">
        <v>1</v>
      </c>
      <c r="Z351" t="s">
        <v>16</v>
      </c>
      <c r="AA351">
        <v>25856</v>
      </c>
      <c r="AB351">
        <v>256</v>
      </c>
      <c r="AC351">
        <v>4</v>
      </c>
      <c r="AD351">
        <v>4</v>
      </c>
      <c r="AE351">
        <v>325.56</v>
      </c>
      <c r="AF351" s="17">
        <v>35.4</v>
      </c>
      <c r="AG351" s="33">
        <v>45314</v>
      </c>
      <c r="AH351" s="34">
        <v>0.75209490740740748</v>
      </c>
      <c r="AI351">
        <v>0</v>
      </c>
      <c r="AJ351">
        <v>0</v>
      </c>
      <c r="AK351">
        <v>0</v>
      </c>
      <c r="AL351">
        <v>0</v>
      </c>
      <c r="AM351">
        <v>0</v>
      </c>
      <c r="AN351">
        <v>0</v>
      </c>
      <c r="AO351">
        <v>0</v>
      </c>
      <c r="AP351">
        <v>0</v>
      </c>
      <c r="AQ351">
        <v>0</v>
      </c>
      <c r="AR351">
        <v>0</v>
      </c>
      <c r="AS351">
        <v>0</v>
      </c>
      <c r="AT351">
        <v>0</v>
      </c>
      <c r="AU351" s="30">
        <f t="shared" si="168"/>
        <v>35.361000000000004</v>
      </c>
    </row>
    <row r="352" spans="1:47" x14ac:dyDescent="0.25">
      <c r="A352">
        <v>2</v>
      </c>
      <c r="B352" t="s">
        <v>16</v>
      </c>
      <c r="C352">
        <v>25856</v>
      </c>
      <c r="D352">
        <v>256</v>
      </c>
      <c r="E352">
        <v>4</v>
      </c>
      <c r="F352">
        <v>4</v>
      </c>
      <c r="G352">
        <v>344.21</v>
      </c>
      <c r="H352" s="17">
        <v>33.481000000000002</v>
      </c>
      <c r="I352" s="33">
        <v>45318</v>
      </c>
      <c r="J352" s="37">
        <v>0.3172800925925926</v>
      </c>
      <c r="K352">
        <v>0</v>
      </c>
      <c r="L352">
        <v>0</v>
      </c>
      <c r="M352">
        <v>0</v>
      </c>
      <c r="N352">
        <v>0</v>
      </c>
      <c r="O352">
        <v>0</v>
      </c>
      <c r="P352">
        <v>0</v>
      </c>
      <c r="Q352">
        <v>0</v>
      </c>
      <c r="R352">
        <v>0</v>
      </c>
      <c r="S352">
        <v>0</v>
      </c>
      <c r="T352">
        <v>0</v>
      </c>
      <c r="U352">
        <v>0</v>
      </c>
      <c r="V352">
        <v>0</v>
      </c>
      <c r="W352" s="30">
        <f t="shared" si="170"/>
        <v>33.490600000000001</v>
      </c>
      <c r="Y352">
        <v>2</v>
      </c>
      <c r="Z352" t="s">
        <v>16</v>
      </c>
      <c r="AA352">
        <v>25856</v>
      </c>
      <c r="AB352">
        <v>256</v>
      </c>
      <c r="AC352">
        <v>4</v>
      </c>
      <c r="AD352">
        <v>4</v>
      </c>
      <c r="AE352">
        <v>325.94</v>
      </c>
      <c r="AF352" s="17">
        <v>35.359000000000002</v>
      </c>
      <c r="AG352" s="33">
        <v>45318</v>
      </c>
      <c r="AH352" s="34">
        <v>6.682870370370371E-2</v>
      </c>
      <c r="AI352">
        <v>0</v>
      </c>
      <c r="AJ352">
        <v>0</v>
      </c>
      <c r="AK352">
        <v>0</v>
      </c>
      <c r="AL352">
        <v>0</v>
      </c>
      <c r="AM352">
        <v>0</v>
      </c>
      <c r="AN352">
        <v>0</v>
      </c>
      <c r="AO352">
        <v>0</v>
      </c>
      <c r="AP352">
        <v>0</v>
      </c>
      <c r="AQ352">
        <v>0</v>
      </c>
      <c r="AR352">
        <v>0</v>
      </c>
      <c r="AS352">
        <v>0</v>
      </c>
      <c r="AT352">
        <v>0</v>
      </c>
      <c r="AU352" s="30">
        <f t="shared" si="168"/>
        <v>35.361000000000004</v>
      </c>
    </row>
    <row r="353" spans="1:47" x14ac:dyDescent="0.25">
      <c r="A353">
        <v>3</v>
      </c>
      <c r="B353" t="s">
        <v>16</v>
      </c>
      <c r="C353">
        <v>25856</v>
      </c>
      <c r="D353">
        <v>256</v>
      </c>
      <c r="E353">
        <v>4</v>
      </c>
      <c r="F353">
        <v>4</v>
      </c>
      <c r="G353">
        <v>344.56</v>
      </c>
      <c r="H353" s="17">
        <v>33.447000000000003</v>
      </c>
      <c r="I353" s="33">
        <v>45318</v>
      </c>
      <c r="J353" s="37">
        <v>0.57659722222222221</v>
      </c>
      <c r="K353">
        <v>0</v>
      </c>
      <c r="L353">
        <v>0</v>
      </c>
      <c r="M353">
        <v>0</v>
      </c>
      <c r="N353">
        <v>0</v>
      </c>
      <c r="O353">
        <v>0</v>
      </c>
      <c r="P353">
        <v>0</v>
      </c>
      <c r="Q353">
        <v>0</v>
      </c>
      <c r="R353">
        <v>0</v>
      </c>
      <c r="S353">
        <v>0</v>
      </c>
      <c r="T353">
        <v>0</v>
      </c>
      <c r="U353">
        <v>0</v>
      </c>
      <c r="V353">
        <v>0</v>
      </c>
      <c r="W353" s="30">
        <f t="shared" si="170"/>
        <v>33.490600000000001</v>
      </c>
      <c r="Y353">
        <v>3</v>
      </c>
      <c r="Z353" t="s">
        <v>16</v>
      </c>
      <c r="AA353">
        <v>25856</v>
      </c>
      <c r="AB353">
        <v>256</v>
      </c>
      <c r="AC353">
        <v>4</v>
      </c>
      <c r="AD353">
        <v>4</v>
      </c>
      <c r="AE353">
        <v>325.92</v>
      </c>
      <c r="AF353" s="17">
        <v>35.36</v>
      </c>
      <c r="AG353" s="33">
        <v>45315</v>
      </c>
      <c r="AH353" s="34">
        <v>0.19825231481481484</v>
      </c>
      <c r="AI353">
        <v>0</v>
      </c>
      <c r="AJ353">
        <v>0</v>
      </c>
      <c r="AK353">
        <v>0</v>
      </c>
      <c r="AL353">
        <v>0</v>
      </c>
      <c r="AM353">
        <v>0</v>
      </c>
      <c r="AN353">
        <v>0</v>
      </c>
      <c r="AO353">
        <v>0</v>
      </c>
      <c r="AP353">
        <v>0</v>
      </c>
      <c r="AQ353">
        <v>0</v>
      </c>
      <c r="AR353">
        <v>0</v>
      </c>
      <c r="AS353">
        <v>0</v>
      </c>
      <c r="AT353">
        <v>0</v>
      </c>
      <c r="AU353" s="30">
        <f t="shared" si="168"/>
        <v>35.361000000000004</v>
      </c>
    </row>
    <row r="354" spans="1:47" x14ac:dyDescent="0.25">
      <c r="A354">
        <v>4</v>
      </c>
      <c r="B354" t="s">
        <v>16</v>
      </c>
      <c r="C354">
        <v>25856</v>
      </c>
      <c r="D354">
        <v>256</v>
      </c>
      <c r="E354">
        <v>4</v>
      </c>
      <c r="F354">
        <v>4</v>
      </c>
      <c r="G354">
        <v>344.08</v>
      </c>
      <c r="H354" s="17">
        <v>33.494</v>
      </c>
      <c r="I354" s="33">
        <v>45318</v>
      </c>
      <c r="J354" s="37">
        <v>0.83596064814814808</v>
      </c>
      <c r="K354">
        <v>0</v>
      </c>
      <c r="L354">
        <v>0</v>
      </c>
      <c r="M354">
        <v>0</v>
      </c>
      <c r="N354">
        <v>0</v>
      </c>
      <c r="O354">
        <v>0</v>
      </c>
      <c r="P354">
        <v>0</v>
      </c>
      <c r="Q354">
        <v>0</v>
      </c>
      <c r="R354">
        <v>0</v>
      </c>
      <c r="S354">
        <v>0</v>
      </c>
      <c r="T354">
        <v>0</v>
      </c>
      <c r="U354">
        <v>0</v>
      </c>
      <c r="V354">
        <v>0</v>
      </c>
      <c r="W354" s="30">
        <f t="shared" si="170"/>
        <v>33.490600000000001</v>
      </c>
      <c r="Y354">
        <v>4</v>
      </c>
      <c r="Z354" t="s">
        <v>16</v>
      </c>
      <c r="AA354">
        <v>25856</v>
      </c>
      <c r="AB354">
        <v>256</v>
      </c>
      <c r="AC354">
        <v>4</v>
      </c>
      <c r="AD354">
        <v>4</v>
      </c>
      <c r="AE354">
        <v>326.14999999999998</v>
      </c>
      <c r="AF354" s="17">
        <v>35.335999999999999</v>
      </c>
      <c r="AG354" s="33">
        <v>45318</v>
      </c>
      <c r="AH354" s="34">
        <v>5.4120370370370374E-2</v>
      </c>
      <c r="AI354">
        <v>0</v>
      </c>
      <c r="AJ354">
        <v>0</v>
      </c>
      <c r="AK354">
        <v>0</v>
      </c>
      <c r="AL354">
        <v>0</v>
      </c>
      <c r="AM354">
        <v>0</v>
      </c>
      <c r="AN354">
        <v>0</v>
      </c>
      <c r="AO354">
        <v>0</v>
      </c>
      <c r="AP354">
        <v>0</v>
      </c>
      <c r="AQ354">
        <v>0</v>
      </c>
      <c r="AR354">
        <v>0</v>
      </c>
      <c r="AS354">
        <v>0</v>
      </c>
      <c r="AT354">
        <v>0</v>
      </c>
      <c r="AU354" s="30">
        <f t="shared" si="168"/>
        <v>35.361000000000004</v>
      </c>
    </row>
    <row r="355" spans="1:47" x14ac:dyDescent="0.25">
      <c r="A355">
        <v>0</v>
      </c>
      <c r="B355" t="s">
        <v>16</v>
      </c>
      <c r="C355">
        <v>27392</v>
      </c>
      <c r="D355">
        <v>256</v>
      </c>
      <c r="E355">
        <v>4</v>
      </c>
      <c r="F355">
        <v>4</v>
      </c>
      <c r="G355">
        <v>402.66</v>
      </c>
      <c r="H355" s="17">
        <v>34.030999999999999</v>
      </c>
      <c r="I355" s="33">
        <v>45318</v>
      </c>
      <c r="J355" s="37">
        <v>0.87686342592592592</v>
      </c>
      <c r="K355">
        <v>0</v>
      </c>
      <c r="L355">
        <v>0</v>
      </c>
      <c r="M355">
        <v>0</v>
      </c>
      <c r="N355">
        <v>0</v>
      </c>
      <c r="O355">
        <v>0</v>
      </c>
      <c r="P355">
        <v>0</v>
      </c>
      <c r="Q355">
        <v>0</v>
      </c>
      <c r="R355">
        <v>0</v>
      </c>
      <c r="S355">
        <v>0</v>
      </c>
      <c r="T355">
        <v>0</v>
      </c>
      <c r="U355">
        <v>0</v>
      </c>
      <c r="V355">
        <v>0</v>
      </c>
      <c r="W355" s="30">
        <f t="shared" si="169"/>
        <v>33.995600000000003</v>
      </c>
      <c r="Y355">
        <v>0</v>
      </c>
      <c r="Z355" t="s">
        <v>16</v>
      </c>
      <c r="AA355">
        <v>27392</v>
      </c>
      <c r="AB355">
        <v>256</v>
      </c>
      <c r="AC355">
        <v>4</v>
      </c>
      <c r="AD355">
        <v>4</v>
      </c>
      <c r="AE355">
        <v>382.42</v>
      </c>
      <c r="AF355" s="17">
        <v>35.832999999999998</v>
      </c>
      <c r="AG355" s="33">
        <v>45314</v>
      </c>
      <c r="AH355" s="34">
        <v>0.82980324074074074</v>
      </c>
      <c r="AI355">
        <v>0</v>
      </c>
      <c r="AJ355">
        <v>0</v>
      </c>
      <c r="AK355">
        <v>0</v>
      </c>
      <c r="AL355">
        <v>0</v>
      </c>
      <c r="AM355">
        <v>0</v>
      </c>
      <c r="AN355">
        <v>0</v>
      </c>
      <c r="AO355">
        <v>0</v>
      </c>
      <c r="AP355">
        <v>0</v>
      </c>
      <c r="AQ355">
        <v>0</v>
      </c>
      <c r="AR355">
        <v>0</v>
      </c>
      <c r="AS355">
        <v>0</v>
      </c>
      <c r="AT355">
        <v>0</v>
      </c>
      <c r="AU355" s="30">
        <f t="shared" si="167"/>
        <v>35.818599999999996</v>
      </c>
    </row>
    <row r="356" spans="1:47" x14ac:dyDescent="0.25">
      <c r="A356">
        <v>1</v>
      </c>
      <c r="B356" t="s">
        <v>16</v>
      </c>
      <c r="C356">
        <v>27392</v>
      </c>
      <c r="D356">
        <v>256</v>
      </c>
      <c r="E356">
        <v>4</v>
      </c>
      <c r="F356">
        <v>4</v>
      </c>
      <c r="G356">
        <v>403.42</v>
      </c>
      <c r="H356" s="17">
        <v>33.966999999999999</v>
      </c>
      <c r="I356" s="33">
        <v>45318</v>
      </c>
      <c r="J356" s="37">
        <v>0.13907407407407407</v>
      </c>
      <c r="K356">
        <v>0</v>
      </c>
      <c r="L356">
        <v>0</v>
      </c>
      <c r="M356">
        <v>0</v>
      </c>
      <c r="N356">
        <v>0</v>
      </c>
      <c r="O356">
        <v>0</v>
      </c>
      <c r="P356">
        <v>0</v>
      </c>
      <c r="Q356">
        <v>0</v>
      </c>
      <c r="R356">
        <v>0</v>
      </c>
      <c r="S356">
        <v>0</v>
      </c>
      <c r="T356">
        <v>0</v>
      </c>
      <c r="U356">
        <v>0</v>
      </c>
      <c r="V356">
        <v>0</v>
      </c>
      <c r="W356" s="30">
        <f t="shared" si="170"/>
        <v>33.995600000000003</v>
      </c>
      <c r="Y356">
        <v>1</v>
      </c>
      <c r="Z356" t="s">
        <v>16</v>
      </c>
      <c r="AA356">
        <v>27392</v>
      </c>
      <c r="AB356">
        <v>256</v>
      </c>
      <c r="AC356">
        <v>4</v>
      </c>
      <c r="AD356">
        <v>4</v>
      </c>
      <c r="AE356">
        <v>382.82</v>
      </c>
      <c r="AF356" s="17">
        <v>35.795000000000002</v>
      </c>
      <c r="AG356" s="33">
        <v>45314</v>
      </c>
      <c r="AH356" s="34">
        <v>0.97189814814814823</v>
      </c>
      <c r="AI356">
        <v>0</v>
      </c>
      <c r="AJ356">
        <v>0</v>
      </c>
      <c r="AK356">
        <v>0</v>
      </c>
      <c r="AL356">
        <v>0</v>
      </c>
      <c r="AM356">
        <v>0</v>
      </c>
      <c r="AN356">
        <v>0</v>
      </c>
      <c r="AO356">
        <v>0</v>
      </c>
      <c r="AP356">
        <v>0</v>
      </c>
      <c r="AQ356">
        <v>0</v>
      </c>
      <c r="AR356">
        <v>0</v>
      </c>
      <c r="AS356">
        <v>0</v>
      </c>
      <c r="AT356">
        <v>0</v>
      </c>
      <c r="AU356" s="30">
        <f t="shared" si="168"/>
        <v>35.818599999999996</v>
      </c>
    </row>
    <row r="357" spans="1:47" x14ac:dyDescent="0.25">
      <c r="A357">
        <v>2</v>
      </c>
      <c r="B357" t="s">
        <v>16</v>
      </c>
      <c r="C357">
        <v>27392</v>
      </c>
      <c r="D357">
        <v>256</v>
      </c>
      <c r="E357">
        <v>4</v>
      </c>
      <c r="F357">
        <v>4</v>
      </c>
      <c r="G357">
        <v>403.03</v>
      </c>
      <c r="H357" s="17">
        <v>34</v>
      </c>
      <c r="I357" s="33">
        <v>45318</v>
      </c>
      <c r="J357" s="37">
        <v>0.24383101851851852</v>
      </c>
      <c r="K357">
        <v>0</v>
      </c>
      <c r="L357">
        <v>0</v>
      </c>
      <c r="M357">
        <v>0</v>
      </c>
      <c r="N357">
        <v>0</v>
      </c>
      <c r="O357">
        <v>0</v>
      </c>
      <c r="P357">
        <v>0</v>
      </c>
      <c r="Q357">
        <v>0</v>
      </c>
      <c r="R357">
        <v>0</v>
      </c>
      <c r="S357">
        <v>0</v>
      </c>
      <c r="T357">
        <v>0</v>
      </c>
      <c r="U357">
        <v>0</v>
      </c>
      <c r="V357">
        <v>0</v>
      </c>
      <c r="W357" s="30">
        <f t="shared" si="170"/>
        <v>33.995600000000003</v>
      </c>
      <c r="Y357">
        <v>2</v>
      </c>
      <c r="Z357" t="s">
        <v>16</v>
      </c>
      <c r="AA357">
        <v>27392</v>
      </c>
      <c r="AB357">
        <v>256</v>
      </c>
      <c r="AC357">
        <v>4</v>
      </c>
      <c r="AD357">
        <v>4</v>
      </c>
      <c r="AE357">
        <v>382.71</v>
      </c>
      <c r="AF357" s="17">
        <v>35.805</v>
      </c>
      <c r="AG357" s="33">
        <v>45318</v>
      </c>
      <c r="AH357" s="34">
        <v>0.2804976851851852</v>
      </c>
      <c r="AI357">
        <v>0</v>
      </c>
      <c r="AJ357">
        <v>0</v>
      </c>
      <c r="AK357">
        <v>0</v>
      </c>
      <c r="AL357">
        <v>0</v>
      </c>
      <c r="AM357">
        <v>0</v>
      </c>
      <c r="AN357">
        <v>0</v>
      </c>
      <c r="AO357">
        <v>0</v>
      </c>
      <c r="AP357">
        <v>0</v>
      </c>
      <c r="AQ357">
        <v>0</v>
      </c>
      <c r="AR357">
        <v>0</v>
      </c>
      <c r="AS357">
        <v>0</v>
      </c>
      <c r="AT357">
        <v>0</v>
      </c>
      <c r="AU357" s="30">
        <f t="shared" si="168"/>
        <v>35.818599999999996</v>
      </c>
    </row>
    <row r="358" spans="1:47" x14ac:dyDescent="0.25">
      <c r="A358">
        <v>3</v>
      </c>
      <c r="B358" t="s">
        <v>16</v>
      </c>
      <c r="C358">
        <v>27392</v>
      </c>
      <c r="D358">
        <v>256</v>
      </c>
      <c r="E358">
        <v>4</v>
      </c>
      <c r="F358">
        <v>4</v>
      </c>
      <c r="G358">
        <v>403.08</v>
      </c>
      <c r="H358" s="17">
        <v>33.996000000000002</v>
      </c>
      <c r="I358" s="33">
        <v>45318</v>
      </c>
      <c r="J358" s="37">
        <v>0.50313657407407408</v>
      </c>
      <c r="K358">
        <v>0</v>
      </c>
      <c r="L358">
        <v>0</v>
      </c>
      <c r="M358">
        <v>0</v>
      </c>
      <c r="N358">
        <v>0</v>
      </c>
      <c r="O358">
        <v>0</v>
      </c>
      <c r="P358">
        <v>0</v>
      </c>
      <c r="Q358">
        <v>0</v>
      </c>
      <c r="R358">
        <v>0</v>
      </c>
      <c r="S358">
        <v>0</v>
      </c>
      <c r="T358">
        <v>0</v>
      </c>
      <c r="U358">
        <v>0</v>
      </c>
      <c r="V358">
        <v>0</v>
      </c>
      <c r="W358" s="30">
        <f t="shared" si="170"/>
        <v>33.995600000000003</v>
      </c>
      <c r="Y358">
        <v>3</v>
      </c>
      <c r="Z358" t="s">
        <v>16</v>
      </c>
      <c r="AA358">
        <v>27392</v>
      </c>
      <c r="AB358">
        <v>256</v>
      </c>
      <c r="AC358">
        <v>4</v>
      </c>
      <c r="AD358">
        <v>4</v>
      </c>
      <c r="AE358">
        <v>382.4</v>
      </c>
      <c r="AF358" s="17">
        <v>35.834000000000003</v>
      </c>
      <c r="AG358" s="33">
        <v>45315</v>
      </c>
      <c r="AH358" s="34">
        <v>0.12225694444444445</v>
      </c>
      <c r="AI358">
        <v>0</v>
      </c>
      <c r="AJ358">
        <v>0</v>
      </c>
      <c r="AK358">
        <v>0</v>
      </c>
      <c r="AL358">
        <v>0</v>
      </c>
      <c r="AM358">
        <v>0</v>
      </c>
      <c r="AN358">
        <v>0</v>
      </c>
      <c r="AO358">
        <v>0</v>
      </c>
      <c r="AP358">
        <v>0</v>
      </c>
      <c r="AQ358">
        <v>0</v>
      </c>
      <c r="AR358">
        <v>0</v>
      </c>
      <c r="AS358">
        <v>0</v>
      </c>
      <c r="AT358">
        <v>0</v>
      </c>
      <c r="AU358" s="30">
        <f t="shared" si="168"/>
        <v>35.818599999999996</v>
      </c>
    </row>
    <row r="359" spans="1:47" x14ac:dyDescent="0.25">
      <c r="A359">
        <v>4</v>
      </c>
      <c r="B359" t="s">
        <v>16</v>
      </c>
      <c r="C359">
        <v>27392</v>
      </c>
      <c r="D359">
        <v>256</v>
      </c>
      <c r="E359">
        <v>4</v>
      </c>
      <c r="F359">
        <v>4</v>
      </c>
      <c r="G359">
        <v>403.22</v>
      </c>
      <c r="H359" s="17">
        <v>33.984000000000002</v>
      </c>
      <c r="I359" s="33">
        <v>45318</v>
      </c>
      <c r="J359" s="37">
        <v>0.76250000000000007</v>
      </c>
      <c r="K359">
        <v>0</v>
      </c>
      <c r="L359">
        <v>0</v>
      </c>
      <c r="M359">
        <v>0</v>
      </c>
      <c r="N359">
        <v>0</v>
      </c>
      <c r="O359">
        <v>0</v>
      </c>
      <c r="P359">
        <v>0</v>
      </c>
      <c r="Q359">
        <v>0</v>
      </c>
      <c r="R359">
        <v>0</v>
      </c>
      <c r="S359">
        <v>0</v>
      </c>
      <c r="T359">
        <v>0</v>
      </c>
      <c r="U359">
        <v>0</v>
      </c>
      <c r="V359">
        <v>0</v>
      </c>
      <c r="W359" s="30">
        <f t="shared" si="170"/>
        <v>33.995600000000003</v>
      </c>
      <c r="Y359">
        <v>4</v>
      </c>
      <c r="Z359" t="s">
        <v>16</v>
      </c>
      <c r="AA359">
        <v>27392</v>
      </c>
      <c r="AB359">
        <v>256</v>
      </c>
      <c r="AC359">
        <v>4</v>
      </c>
      <c r="AD359">
        <v>4</v>
      </c>
      <c r="AE359">
        <v>382.49</v>
      </c>
      <c r="AF359" s="17">
        <v>35.826000000000001</v>
      </c>
      <c r="AG359" s="33">
        <v>45318</v>
      </c>
      <c r="AH359" s="34">
        <v>0.20901620370370369</v>
      </c>
      <c r="AI359">
        <v>0</v>
      </c>
      <c r="AJ359">
        <v>0</v>
      </c>
      <c r="AK359">
        <v>0</v>
      </c>
      <c r="AL359">
        <v>0</v>
      </c>
      <c r="AM359">
        <v>0</v>
      </c>
      <c r="AN359">
        <v>0</v>
      </c>
      <c r="AO359">
        <v>0</v>
      </c>
      <c r="AP359">
        <v>0</v>
      </c>
      <c r="AQ359">
        <v>0</v>
      </c>
      <c r="AR359">
        <v>0</v>
      </c>
      <c r="AS359">
        <v>0</v>
      </c>
      <c r="AT359">
        <v>0</v>
      </c>
      <c r="AU359" s="30">
        <f t="shared" si="168"/>
        <v>35.818599999999996</v>
      </c>
    </row>
    <row r="360" spans="1:47" x14ac:dyDescent="0.25">
      <c r="A360">
        <v>0</v>
      </c>
      <c r="B360" t="s">
        <v>16</v>
      </c>
      <c r="C360">
        <v>28928</v>
      </c>
      <c r="D360">
        <v>256</v>
      </c>
      <c r="E360">
        <v>4</v>
      </c>
      <c r="F360">
        <v>4</v>
      </c>
      <c r="G360">
        <v>464.04</v>
      </c>
      <c r="H360" s="17">
        <v>34.780999999999999</v>
      </c>
      <c r="I360" s="33">
        <v>45318</v>
      </c>
      <c r="J360" s="37">
        <v>5.230324074074074E-2</v>
      </c>
      <c r="K360">
        <v>0</v>
      </c>
      <c r="L360">
        <v>0</v>
      </c>
      <c r="M360">
        <v>0</v>
      </c>
      <c r="N360">
        <v>0</v>
      </c>
      <c r="O360">
        <v>0</v>
      </c>
      <c r="P360">
        <v>0</v>
      </c>
      <c r="Q360">
        <v>0</v>
      </c>
      <c r="R360">
        <v>0</v>
      </c>
      <c r="S360">
        <v>0</v>
      </c>
      <c r="T360">
        <v>0</v>
      </c>
      <c r="U360">
        <v>0</v>
      </c>
      <c r="V360">
        <v>0</v>
      </c>
      <c r="W360" s="30">
        <f t="shared" si="169"/>
        <v>34.809399999999997</v>
      </c>
      <c r="Y360">
        <v>0</v>
      </c>
      <c r="Z360" t="s">
        <v>16</v>
      </c>
      <c r="AA360">
        <v>28928</v>
      </c>
      <c r="AB360">
        <v>256</v>
      </c>
      <c r="AC360">
        <v>4</v>
      </c>
      <c r="AD360">
        <v>4</v>
      </c>
      <c r="AE360">
        <v>439.52</v>
      </c>
      <c r="AF360" s="17">
        <v>36.720999999999997</v>
      </c>
      <c r="AG360" s="33">
        <v>45314</v>
      </c>
      <c r="AH360" s="34">
        <v>0.88340277777777787</v>
      </c>
      <c r="AI360">
        <v>0</v>
      </c>
      <c r="AJ360">
        <v>0</v>
      </c>
      <c r="AK360">
        <v>0</v>
      </c>
      <c r="AL360">
        <v>0</v>
      </c>
      <c r="AM360">
        <v>0</v>
      </c>
      <c r="AN360">
        <v>0</v>
      </c>
      <c r="AO360">
        <v>0</v>
      </c>
      <c r="AP360">
        <v>0</v>
      </c>
      <c r="AQ360">
        <v>0</v>
      </c>
      <c r="AR360">
        <v>0</v>
      </c>
      <c r="AS360">
        <v>0</v>
      </c>
      <c r="AT360">
        <v>0</v>
      </c>
      <c r="AU360" s="30">
        <f t="shared" si="167"/>
        <v>36.705799999999996</v>
      </c>
    </row>
    <row r="361" spans="1:47" x14ac:dyDescent="0.25">
      <c r="A361">
        <v>1</v>
      </c>
      <c r="B361" t="s">
        <v>16</v>
      </c>
      <c r="C361">
        <v>28928</v>
      </c>
      <c r="D361">
        <v>256</v>
      </c>
      <c r="E361">
        <v>4</v>
      </c>
      <c r="F361">
        <v>4</v>
      </c>
      <c r="G361">
        <v>463.47</v>
      </c>
      <c r="H361" s="17">
        <v>34.823999999999998</v>
      </c>
      <c r="I361" s="33">
        <v>45318</v>
      </c>
      <c r="J361" s="37">
        <v>0.15708333333333332</v>
      </c>
      <c r="K361">
        <v>0</v>
      </c>
      <c r="L361">
        <v>0</v>
      </c>
      <c r="M361">
        <v>0</v>
      </c>
      <c r="N361">
        <v>0</v>
      </c>
      <c r="O361">
        <v>0</v>
      </c>
      <c r="P361">
        <v>0</v>
      </c>
      <c r="Q361">
        <v>0</v>
      </c>
      <c r="R361">
        <v>0</v>
      </c>
      <c r="S361">
        <v>0</v>
      </c>
      <c r="T361">
        <v>0</v>
      </c>
      <c r="U361">
        <v>0</v>
      </c>
      <c r="V361">
        <v>0</v>
      </c>
      <c r="W361" s="30">
        <f t="shared" si="170"/>
        <v>34.809399999999997</v>
      </c>
      <c r="Y361">
        <v>1</v>
      </c>
      <c r="Z361" t="s">
        <v>16</v>
      </c>
      <c r="AA361">
        <v>28928</v>
      </c>
      <c r="AB361">
        <v>256</v>
      </c>
      <c r="AC361">
        <v>4</v>
      </c>
      <c r="AD361">
        <v>4</v>
      </c>
      <c r="AE361">
        <v>439.97</v>
      </c>
      <c r="AF361" s="17">
        <v>36.683999999999997</v>
      </c>
      <c r="AG361" s="33">
        <v>45318</v>
      </c>
      <c r="AH361" s="34">
        <v>0.21778935185185186</v>
      </c>
      <c r="AI361">
        <v>0</v>
      </c>
      <c r="AJ361">
        <v>0</v>
      </c>
      <c r="AK361">
        <v>0</v>
      </c>
      <c r="AL361">
        <v>0</v>
      </c>
      <c r="AM361">
        <v>0</v>
      </c>
      <c r="AN361">
        <v>0</v>
      </c>
      <c r="AO361">
        <v>0</v>
      </c>
      <c r="AP361">
        <v>0</v>
      </c>
      <c r="AQ361">
        <v>0</v>
      </c>
      <c r="AR361">
        <v>0</v>
      </c>
      <c r="AS361">
        <v>0</v>
      </c>
      <c r="AT361">
        <v>0</v>
      </c>
      <c r="AU361" s="30">
        <f t="shared" si="168"/>
        <v>36.705799999999996</v>
      </c>
    </row>
    <row r="362" spans="1:47" x14ac:dyDescent="0.25">
      <c r="A362">
        <v>2</v>
      </c>
      <c r="B362" t="s">
        <v>16</v>
      </c>
      <c r="C362">
        <v>28928</v>
      </c>
      <c r="D362">
        <v>256</v>
      </c>
      <c r="E362">
        <v>4</v>
      </c>
      <c r="F362">
        <v>4</v>
      </c>
      <c r="G362">
        <v>463.41</v>
      </c>
      <c r="H362" s="17">
        <v>34.828000000000003</v>
      </c>
      <c r="I362" s="33">
        <v>45318</v>
      </c>
      <c r="J362" s="37">
        <v>0.41637731481481483</v>
      </c>
      <c r="K362">
        <v>0</v>
      </c>
      <c r="L362">
        <v>0</v>
      </c>
      <c r="M362">
        <v>0</v>
      </c>
      <c r="N362">
        <v>0</v>
      </c>
      <c r="O362">
        <v>0</v>
      </c>
      <c r="P362">
        <v>0</v>
      </c>
      <c r="Q362">
        <v>0</v>
      </c>
      <c r="R362">
        <v>0</v>
      </c>
      <c r="S362">
        <v>0</v>
      </c>
      <c r="T362">
        <v>0</v>
      </c>
      <c r="U362">
        <v>0</v>
      </c>
      <c r="V362">
        <v>0</v>
      </c>
      <c r="W362" s="30">
        <f t="shared" si="170"/>
        <v>34.809399999999997</v>
      </c>
      <c r="Y362">
        <v>2</v>
      </c>
      <c r="Z362" t="s">
        <v>16</v>
      </c>
      <c r="AA362">
        <v>28928</v>
      </c>
      <c r="AB362">
        <v>256</v>
      </c>
      <c r="AC362">
        <v>4</v>
      </c>
      <c r="AD362">
        <v>4</v>
      </c>
      <c r="AE362">
        <v>439.49</v>
      </c>
      <c r="AF362" s="17">
        <v>36.723999999999997</v>
      </c>
      <c r="AG362" s="33">
        <v>45318</v>
      </c>
      <c r="AH362" s="34">
        <v>0.3200810185185185</v>
      </c>
      <c r="AI362">
        <v>0</v>
      </c>
      <c r="AJ362">
        <v>0</v>
      </c>
      <c r="AK362">
        <v>0</v>
      </c>
      <c r="AL362">
        <v>0</v>
      </c>
      <c r="AM362">
        <v>0</v>
      </c>
      <c r="AN362">
        <v>0</v>
      </c>
      <c r="AO362">
        <v>0</v>
      </c>
      <c r="AP362">
        <v>0</v>
      </c>
      <c r="AQ362">
        <v>0</v>
      </c>
      <c r="AR362">
        <v>0</v>
      </c>
      <c r="AS362">
        <v>0</v>
      </c>
      <c r="AT362">
        <v>0</v>
      </c>
      <c r="AU362" s="30">
        <f t="shared" si="168"/>
        <v>36.705799999999996</v>
      </c>
    </row>
    <row r="363" spans="1:47" x14ac:dyDescent="0.25">
      <c r="A363">
        <v>3</v>
      </c>
      <c r="B363" t="s">
        <v>16</v>
      </c>
      <c r="C363">
        <v>28928</v>
      </c>
      <c r="D363">
        <v>256</v>
      </c>
      <c r="E363">
        <v>4</v>
      </c>
      <c r="F363">
        <v>4</v>
      </c>
      <c r="G363">
        <v>463.65</v>
      </c>
      <c r="H363" s="17">
        <v>34.81</v>
      </c>
      <c r="I363" s="33">
        <v>45318</v>
      </c>
      <c r="J363" s="37">
        <v>0.67572916666666671</v>
      </c>
      <c r="K363">
        <v>0</v>
      </c>
      <c r="L363">
        <v>0</v>
      </c>
      <c r="M363">
        <v>0</v>
      </c>
      <c r="N363">
        <v>0</v>
      </c>
      <c r="O363">
        <v>0</v>
      </c>
      <c r="P363">
        <v>0</v>
      </c>
      <c r="Q363">
        <v>0</v>
      </c>
      <c r="R363">
        <v>0</v>
      </c>
      <c r="S363">
        <v>0</v>
      </c>
      <c r="T363">
        <v>0</v>
      </c>
      <c r="U363">
        <v>0</v>
      </c>
      <c r="V363">
        <v>0</v>
      </c>
      <c r="W363" s="30">
        <f t="shared" si="170"/>
        <v>34.809399999999997</v>
      </c>
      <c r="Y363">
        <v>3</v>
      </c>
      <c r="Z363" t="s">
        <v>16</v>
      </c>
      <c r="AA363">
        <v>28928</v>
      </c>
      <c r="AB363">
        <v>256</v>
      </c>
      <c r="AC363">
        <v>4</v>
      </c>
      <c r="AD363">
        <v>4</v>
      </c>
      <c r="AE363">
        <v>439.93</v>
      </c>
      <c r="AF363" s="17">
        <v>36.686999999999998</v>
      </c>
      <c r="AG363" s="33">
        <v>45318</v>
      </c>
      <c r="AH363" s="34">
        <v>0.17974537037037039</v>
      </c>
      <c r="AI363">
        <v>0</v>
      </c>
      <c r="AJ363">
        <v>0</v>
      </c>
      <c r="AK363">
        <v>0</v>
      </c>
      <c r="AL363">
        <v>0</v>
      </c>
      <c r="AM363">
        <v>0</v>
      </c>
      <c r="AN363">
        <v>0</v>
      </c>
      <c r="AO363">
        <v>0</v>
      </c>
      <c r="AP363">
        <v>0</v>
      </c>
      <c r="AQ363">
        <v>0</v>
      </c>
      <c r="AR363">
        <v>0</v>
      </c>
      <c r="AS363">
        <v>0</v>
      </c>
      <c r="AT363">
        <v>0</v>
      </c>
      <c r="AU363" s="30">
        <f t="shared" si="168"/>
        <v>36.705799999999996</v>
      </c>
    </row>
    <row r="364" spans="1:47" x14ac:dyDescent="0.25">
      <c r="A364">
        <v>4</v>
      </c>
      <c r="B364" t="s">
        <v>16</v>
      </c>
      <c r="C364">
        <v>28928</v>
      </c>
      <c r="D364">
        <v>256</v>
      </c>
      <c r="E364">
        <v>4</v>
      </c>
      <c r="F364">
        <v>4</v>
      </c>
      <c r="G364">
        <v>463.73</v>
      </c>
      <c r="H364" s="17">
        <v>34.804000000000002</v>
      </c>
      <c r="I364" s="33">
        <v>45318</v>
      </c>
      <c r="J364" s="37">
        <v>3.1782407407407405E-2</v>
      </c>
      <c r="K364">
        <v>0</v>
      </c>
      <c r="L364">
        <v>0</v>
      </c>
      <c r="M364">
        <v>0</v>
      </c>
      <c r="N364">
        <v>0</v>
      </c>
      <c r="O364">
        <v>0</v>
      </c>
      <c r="P364">
        <v>0</v>
      </c>
      <c r="Q364">
        <v>0</v>
      </c>
      <c r="R364">
        <v>0</v>
      </c>
      <c r="S364">
        <v>0</v>
      </c>
      <c r="T364">
        <v>0</v>
      </c>
      <c r="U364">
        <v>0</v>
      </c>
      <c r="V364">
        <v>0</v>
      </c>
      <c r="W364" s="30">
        <f t="shared" si="170"/>
        <v>34.809399999999997</v>
      </c>
      <c r="Y364">
        <v>4</v>
      </c>
      <c r="Z364" t="s">
        <v>16</v>
      </c>
      <c r="AA364">
        <v>28928</v>
      </c>
      <c r="AB364">
        <v>256</v>
      </c>
      <c r="AC364">
        <v>4</v>
      </c>
      <c r="AD364">
        <v>4</v>
      </c>
      <c r="AE364">
        <v>439.62</v>
      </c>
      <c r="AF364" s="17">
        <v>36.713000000000001</v>
      </c>
      <c r="AG364" s="33">
        <v>45318</v>
      </c>
      <c r="AH364" s="34">
        <v>0.15592592592592594</v>
      </c>
      <c r="AI364">
        <v>0</v>
      </c>
      <c r="AJ364">
        <v>0</v>
      </c>
      <c r="AK364">
        <v>0</v>
      </c>
      <c r="AL364">
        <v>0</v>
      </c>
      <c r="AM364">
        <v>0</v>
      </c>
      <c r="AN364">
        <v>0</v>
      </c>
      <c r="AO364">
        <v>0</v>
      </c>
      <c r="AP364">
        <v>0</v>
      </c>
      <c r="AQ364">
        <v>0</v>
      </c>
      <c r="AR364">
        <v>0</v>
      </c>
      <c r="AS364">
        <v>0</v>
      </c>
      <c r="AT364">
        <v>0</v>
      </c>
      <c r="AU364" s="30">
        <f t="shared" si="168"/>
        <v>36.705799999999996</v>
      </c>
    </row>
    <row r="472" spans="1:47" x14ac:dyDescent="0.25">
      <c r="A472" s="53">
        <v>0</v>
      </c>
      <c r="B472" s="53" t="s">
        <v>16</v>
      </c>
      <c r="C472" s="53">
        <v>29016</v>
      </c>
      <c r="D472" s="53">
        <v>104</v>
      </c>
      <c r="E472" s="53">
        <v>2</v>
      </c>
      <c r="F472" s="53">
        <v>8</v>
      </c>
      <c r="G472" s="53">
        <v>449.77</v>
      </c>
      <c r="H472" s="119">
        <v>36.213000000000001</v>
      </c>
      <c r="I472" s="54">
        <v>45409</v>
      </c>
      <c r="J472" s="120">
        <v>0.41239583333333335</v>
      </c>
      <c r="K472" s="53">
        <v>0</v>
      </c>
      <c r="L472" s="53">
        <v>0</v>
      </c>
      <c r="M472" s="53">
        <v>0</v>
      </c>
      <c r="N472" s="53">
        <v>0</v>
      </c>
      <c r="O472" s="53">
        <v>0</v>
      </c>
      <c r="P472" s="53">
        <v>0</v>
      </c>
      <c r="Q472" s="53">
        <v>0</v>
      </c>
      <c r="R472" s="53">
        <v>0</v>
      </c>
      <c r="S472" s="53">
        <v>0</v>
      </c>
      <c r="T472" s="53">
        <v>0</v>
      </c>
      <c r="U472" s="53">
        <v>0</v>
      </c>
      <c r="V472" s="53">
        <v>0</v>
      </c>
      <c r="W472" s="30">
        <f t="shared" ref="W472" si="171">AVERAGE(H472:H476)</f>
        <v>36.226800000000004</v>
      </c>
      <c r="Y472" s="53">
        <v>0</v>
      </c>
      <c r="Z472" s="53" t="s">
        <v>16</v>
      </c>
      <c r="AA472" s="53">
        <v>29056</v>
      </c>
      <c r="AB472" s="53">
        <v>64</v>
      </c>
      <c r="AC472" s="53">
        <v>2</v>
      </c>
      <c r="AD472" s="53">
        <v>8</v>
      </c>
      <c r="AE472" s="53">
        <v>411.87</v>
      </c>
      <c r="AF472" s="119">
        <v>39.709000000000003</v>
      </c>
      <c r="AG472" s="54">
        <v>45408</v>
      </c>
      <c r="AH472" s="55">
        <v>0.93442129629629633</v>
      </c>
      <c r="AI472" s="53">
        <v>0</v>
      </c>
      <c r="AJ472" s="53">
        <v>0</v>
      </c>
      <c r="AK472" s="53">
        <v>0</v>
      </c>
      <c r="AL472" s="53">
        <v>0</v>
      </c>
      <c r="AM472" s="53">
        <v>0</v>
      </c>
      <c r="AN472" s="53">
        <v>0</v>
      </c>
      <c r="AO472" s="53">
        <v>0</v>
      </c>
      <c r="AP472" s="53">
        <v>0</v>
      </c>
      <c r="AQ472" s="53">
        <v>0</v>
      </c>
      <c r="AR472" s="53">
        <v>0</v>
      </c>
      <c r="AS472" s="53">
        <v>0</v>
      </c>
      <c r="AT472" s="53">
        <v>0</v>
      </c>
      <c r="AU472" s="30">
        <f t="shared" ref="AU472" si="172">AVERAGE(AF472:AF476)</f>
        <v>39.847400000000007</v>
      </c>
    </row>
    <row r="473" spans="1:47" x14ac:dyDescent="0.25">
      <c r="A473" s="53">
        <v>1</v>
      </c>
      <c r="B473" s="53" t="s">
        <v>16</v>
      </c>
      <c r="C473" s="53">
        <v>29016</v>
      </c>
      <c r="D473" s="53">
        <v>104</v>
      </c>
      <c r="E473" s="53">
        <v>2</v>
      </c>
      <c r="F473" s="53">
        <v>8</v>
      </c>
      <c r="G473" s="53">
        <v>449.46</v>
      </c>
      <c r="H473" s="119">
        <v>36.238</v>
      </c>
      <c r="I473" s="54">
        <v>45410</v>
      </c>
      <c r="J473" s="120">
        <v>0.93733796296296301</v>
      </c>
      <c r="K473" s="53">
        <v>0</v>
      </c>
      <c r="L473" s="53">
        <v>0</v>
      </c>
      <c r="M473" s="53">
        <v>0</v>
      </c>
      <c r="N473" s="53">
        <v>0</v>
      </c>
      <c r="O473" s="53">
        <v>0</v>
      </c>
      <c r="P473" s="53">
        <v>0</v>
      </c>
      <c r="Q473" s="53">
        <v>0</v>
      </c>
      <c r="R473" s="53">
        <v>0</v>
      </c>
      <c r="S473" s="53">
        <v>0</v>
      </c>
      <c r="T473" s="53">
        <v>0</v>
      </c>
      <c r="U473" s="53">
        <v>0</v>
      </c>
      <c r="V473" s="53">
        <v>0</v>
      </c>
      <c r="W473" s="30">
        <f t="shared" ref="W473" si="173">W472</f>
        <v>36.226800000000004</v>
      </c>
      <c r="Y473" s="53">
        <v>1</v>
      </c>
      <c r="Z473" s="53" t="s">
        <v>16</v>
      </c>
      <c r="AA473" s="53">
        <v>29056</v>
      </c>
      <c r="AB473" s="53">
        <v>64</v>
      </c>
      <c r="AC473" s="53">
        <v>2</v>
      </c>
      <c r="AD473" s="53">
        <v>8</v>
      </c>
      <c r="AE473" s="53">
        <v>409.57</v>
      </c>
      <c r="AF473" s="119">
        <v>39.932000000000002</v>
      </c>
      <c r="AG473" s="54">
        <v>45409</v>
      </c>
      <c r="AH473" s="55">
        <v>3.2534722222222222E-2</v>
      </c>
      <c r="AI473" s="53">
        <v>0</v>
      </c>
      <c r="AJ473" s="53">
        <v>0</v>
      </c>
      <c r="AK473" s="53">
        <v>0</v>
      </c>
      <c r="AL473" s="53">
        <v>0</v>
      </c>
      <c r="AM473" s="53">
        <v>0</v>
      </c>
      <c r="AN473" s="53">
        <v>0</v>
      </c>
      <c r="AO473" s="53">
        <v>0</v>
      </c>
      <c r="AP473" s="53">
        <v>0</v>
      </c>
      <c r="AQ473" s="53">
        <v>0</v>
      </c>
      <c r="AR473" s="53">
        <v>0</v>
      </c>
      <c r="AS473" s="53">
        <v>0</v>
      </c>
      <c r="AT473" s="53">
        <v>0</v>
      </c>
      <c r="AU473" s="30">
        <f t="shared" ref="AU473" si="174">AU472</f>
        <v>39.847400000000007</v>
      </c>
    </row>
    <row r="474" spans="1:47" x14ac:dyDescent="0.25">
      <c r="A474" s="53">
        <v>2</v>
      </c>
      <c r="B474" s="53" t="s">
        <v>16</v>
      </c>
      <c r="C474" s="53">
        <v>29016</v>
      </c>
      <c r="D474" s="53">
        <v>104</v>
      </c>
      <c r="E474" s="53">
        <v>2</v>
      </c>
      <c r="F474" s="53">
        <v>8</v>
      </c>
      <c r="G474" s="53">
        <v>449.66</v>
      </c>
      <c r="H474" s="119">
        <v>36.222000000000001</v>
      </c>
      <c r="I474" s="54">
        <v>45411</v>
      </c>
      <c r="J474" s="120">
        <v>3.4039351851851848E-2</v>
      </c>
      <c r="K474" s="53">
        <v>0</v>
      </c>
      <c r="L474" s="53">
        <v>0</v>
      </c>
      <c r="M474" s="53">
        <v>0</v>
      </c>
      <c r="N474" s="53">
        <v>0</v>
      </c>
      <c r="O474" s="53">
        <v>0</v>
      </c>
      <c r="P474" s="53">
        <v>0</v>
      </c>
      <c r="Q474" s="53">
        <v>0</v>
      </c>
      <c r="R474" s="53">
        <v>0</v>
      </c>
      <c r="S474" s="53">
        <v>0</v>
      </c>
      <c r="T474" s="53">
        <v>0</v>
      </c>
      <c r="U474" s="53">
        <v>0</v>
      </c>
      <c r="V474" s="53">
        <v>0</v>
      </c>
      <c r="W474" s="30">
        <f>W473</f>
        <v>36.226800000000004</v>
      </c>
      <c r="Y474" s="53">
        <v>2</v>
      </c>
      <c r="Z474" s="53" t="s">
        <v>16</v>
      </c>
      <c r="AA474" s="53">
        <v>29056</v>
      </c>
      <c r="AB474" s="53">
        <v>64</v>
      </c>
      <c r="AC474" s="53">
        <v>2</v>
      </c>
      <c r="AD474" s="53">
        <v>8</v>
      </c>
      <c r="AE474" s="53">
        <v>409.69</v>
      </c>
      <c r="AF474" s="119">
        <v>39.92</v>
      </c>
      <c r="AG474" s="54">
        <v>45409</v>
      </c>
      <c r="AH474" s="55">
        <v>0.92729166666666663</v>
      </c>
      <c r="AI474" s="53">
        <v>0</v>
      </c>
      <c r="AJ474" s="53">
        <v>0</v>
      </c>
      <c r="AK474" s="53">
        <v>0</v>
      </c>
      <c r="AL474" s="53">
        <v>0</v>
      </c>
      <c r="AM474" s="53">
        <v>0</v>
      </c>
      <c r="AN474" s="53">
        <v>0</v>
      </c>
      <c r="AO474" s="53">
        <v>0</v>
      </c>
      <c r="AP474" s="53">
        <v>0</v>
      </c>
      <c r="AQ474" s="53">
        <v>0</v>
      </c>
      <c r="AR474" s="53">
        <v>0</v>
      </c>
      <c r="AS474" s="53">
        <v>0</v>
      </c>
      <c r="AT474" s="53">
        <v>0</v>
      </c>
      <c r="AU474" s="30">
        <f>AU473</f>
        <v>39.847400000000007</v>
      </c>
    </row>
    <row r="475" spans="1:47" x14ac:dyDescent="0.25">
      <c r="A475" s="53">
        <v>3</v>
      </c>
      <c r="B475" s="53" t="s">
        <v>16</v>
      </c>
      <c r="C475" s="53">
        <v>29016</v>
      </c>
      <c r="D475" s="53">
        <v>104</v>
      </c>
      <c r="E475" s="53">
        <v>2</v>
      </c>
      <c r="F475" s="53">
        <v>8</v>
      </c>
      <c r="G475" s="53">
        <v>449.76</v>
      </c>
      <c r="H475" s="119">
        <v>36.213999999999999</v>
      </c>
      <c r="I475" s="54">
        <v>45411</v>
      </c>
      <c r="J475" s="120">
        <v>0.13072916666666667</v>
      </c>
      <c r="K475" s="53">
        <v>0</v>
      </c>
      <c r="L475" s="53">
        <v>0</v>
      </c>
      <c r="M475" s="53">
        <v>0</v>
      </c>
      <c r="N475" s="53">
        <v>0</v>
      </c>
      <c r="O475" s="53">
        <v>0</v>
      </c>
      <c r="P475" s="53">
        <v>0</v>
      </c>
      <c r="Q475" s="53">
        <v>0</v>
      </c>
      <c r="R475" s="53">
        <v>0</v>
      </c>
      <c r="S475" s="53">
        <v>0</v>
      </c>
      <c r="T475" s="53">
        <v>0</v>
      </c>
      <c r="U475" s="53">
        <v>0</v>
      </c>
      <c r="V475" s="53">
        <v>0</v>
      </c>
      <c r="W475" s="30">
        <f>W474</f>
        <v>36.226800000000004</v>
      </c>
      <c r="Y475" s="53">
        <v>3</v>
      </c>
      <c r="Z475" s="53" t="s">
        <v>16</v>
      </c>
      <c r="AA475" s="53">
        <v>29056</v>
      </c>
      <c r="AB475" s="53">
        <v>64</v>
      </c>
      <c r="AC475" s="53">
        <v>2</v>
      </c>
      <c r="AD475" s="53">
        <v>8</v>
      </c>
      <c r="AE475" s="53">
        <v>410.46</v>
      </c>
      <c r="AF475" s="119">
        <v>39.845999999999997</v>
      </c>
      <c r="AG475" s="54">
        <v>45410</v>
      </c>
      <c r="AH475" s="55">
        <v>2.5613425925925925E-2</v>
      </c>
      <c r="AI475" s="53">
        <v>0</v>
      </c>
      <c r="AJ475" s="53">
        <v>0</v>
      </c>
      <c r="AK475" s="53">
        <v>0</v>
      </c>
      <c r="AL475" s="53">
        <v>0</v>
      </c>
      <c r="AM475" s="53">
        <v>0</v>
      </c>
      <c r="AN475" s="53">
        <v>0</v>
      </c>
      <c r="AO475" s="53">
        <v>0</v>
      </c>
      <c r="AP475" s="53">
        <v>0</v>
      </c>
      <c r="AQ475" s="53">
        <v>0</v>
      </c>
      <c r="AR475" s="53">
        <v>0</v>
      </c>
      <c r="AS475" s="53">
        <v>0</v>
      </c>
      <c r="AT475" s="53">
        <v>0</v>
      </c>
      <c r="AU475" s="30">
        <f>AU474</f>
        <v>39.847400000000007</v>
      </c>
    </row>
    <row r="476" spans="1:47" x14ac:dyDescent="0.25">
      <c r="A476" s="53">
        <v>4</v>
      </c>
      <c r="B476" s="53" t="s">
        <v>16</v>
      </c>
      <c r="C476" s="53">
        <v>29016</v>
      </c>
      <c r="D476" s="53">
        <v>104</v>
      </c>
      <c r="E476" s="53">
        <v>2</v>
      </c>
      <c r="F476" s="53">
        <v>8</v>
      </c>
      <c r="G476" s="53">
        <v>449.35</v>
      </c>
      <c r="H476" s="119">
        <v>36.247</v>
      </c>
      <c r="I476" s="54">
        <v>45411</v>
      </c>
      <c r="J476" s="120">
        <v>0.22748842592592591</v>
      </c>
      <c r="K476" s="53">
        <v>0</v>
      </c>
      <c r="L476" s="53">
        <v>0</v>
      </c>
      <c r="M476" s="53">
        <v>0</v>
      </c>
      <c r="N476" s="53">
        <v>0</v>
      </c>
      <c r="O476" s="53">
        <v>0</v>
      </c>
      <c r="P476" s="53">
        <v>0</v>
      </c>
      <c r="Q476" s="53">
        <v>0</v>
      </c>
      <c r="R476" s="53">
        <v>0</v>
      </c>
      <c r="S476" s="53">
        <v>0</v>
      </c>
      <c r="T476" s="53">
        <v>0</v>
      </c>
      <c r="U476" s="53">
        <v>0</v>
      </c>
      <c r="V476" s="53">
        <v>0</v>
      </c>
      <c r="W476" s="30">
        <f>W475</f>
        <v>36.226800000000004</v>
      </c>
      <c r="Y476" s="53">
        <v>4</v>
      </c>
      <c r="Z476" s="53" t="s">
        <v>16</v>
      </c>
      <c r="AA476" s="53">
        <v>29056</v>
      </c>
      <c r="AB476" s="53">
        <v>64</v>
      </c>
      <c r="AC476" s="53">
        <v>2</v>
      </c>
      <c r="AD476" s="53">
        <v>8</v>
      </c>
      <c r="AE476" s="53">
        <v>410.62</v>
      </c>
      <c r="AF476" s="119">
        <v>39.83</v>
      </c>
      <c r="AG476" s="54">
        <v>45410</v>
      </c>
      <c r="AH476" s="55">
        <v>0.12372685185185185</v>
      </c>
      <c r="AI476" s="53">
        <v>0</v>
      </c>
      <c r="AJ476" s="53">
        <v>0</v>
      </c>
      <c r="AK476" s="53">
        <v>0</v>
      </c>
      <c r="AL476" s="53">
        <v>0</v>
      </c>
      <c r="AM476" s="53">
        <v>0</v>
      </c>
      <c r="AN476" s="53">
        <v>0</v>
      </c>
      <c r="AO476" s="53">
        <v>0</v>
      </c>
      <c r="AP476" s="53">
        <v>0</v>
      </c>
      <c r="AQ476" s="53">
        <v>0</v>
      </c>
      <c r="AR476" s="53">
        <v>0</v>
      </c>
      <c r="AS476" s="53">
        <v>0</v>
      </c>
      <c r="AT476" s="53">
        <v>0</v>
      </c>
      <c r="AU476" s="30">
        <f>AU475</f>
        <v>39.847400000000007</v>
      </c>
    </row>
    <row r="477" spans="1:47" x14ac:dyDescent="0.25">
      <c r="A477" s="53">
        <v>0</v>
      </c>
      <c r="B477" s="53" t="s">
        <v>16</v>
      </c>
      <c r="C477" s="53">
        <v>29224</v>
      </c>
      <c r="D477" s="53">
        <v>104</v>
      </c>
      <c r="E477" s="53">
        <v>2</v>
      </c>
      <c r="F477" s="53">
        <v>8</v>
      </c>
      <c r="G477" s="53">
        <v>457.02</v>
      </c>
      <c r="H477" s="119">
        <v>36.409999999999997</v>
      </c>
      <c r="I477" s="54">
        <v>45409</v>
      </c>
      <c r="J477" s="120">
        <v>0.44982638888888887</v>
      </c>
      <c r="K477" s="53">
        <v>0</v>
      </c>
      <c r="L477" s="53">
        <v>0</v>
      </c>
      <c r="M477" s="53">
        <v>0</v>
      </c>
      <c r="N477" s="53">
        <v>0</v>
      </c>
      <c r="O477" s="53">
        <v>0</v>
      </c>
      <c r="P477" s="53">
        <v>0</v>
      </c>
      <c r="Q477" s="53">
        <v>0</v>
      </c>
      <c r="R477" s="53">
        <v>0</v>
      </c>
      <c r="S477" s="53">
        <v>0</v>
      </c>
      <c r="T477" s="53">
        <v>0</v>
      </c>
      <c r="U477" s="53">
        <v>0</v>
      </c>
      <c r="V477" s="53">
        <v>0</v>
      </c>
      <c r="W477" s="30">
        <f t="shared" ref="W477" si="175">AVERAGE(H477:H481)</f>
        <v>36.387</v>
      </c>
      <c r="Y477" s="53">
        <v>0</v>
      </c>
      <c r="Z477" s="53" t="s">
        <v>16</v>
      </c>
      <c r="AA477" s="53">
        <v>29248</v>
      </c>
      <c r="AB477" s="53">
        <v>64</v>
      </c>
      <c r="AC477" s="53">
        <v>2</v>
      </c>
      <c r="AD477" s="53">
        <v>8</v>
      </c>
      <c r="AE477" s="53">
        <v>417.73</v>
      </c>
      <c r="AF477" s="119">
        <v>39.933</v>
      </c>
      <c r="AG477" s="54">
        <v>45408</v>
      </c>
      <c r="AH477" s="55">
        <v>0.98304398148148153</v>
      </c>
      <c r="AI477" s="53">
        <v>0</v>
      </c>
      <c r="AJ477" s="53">
        <v>0</v>
      </c>
      <c r="AK477" s="53">
        <v>0</v>
      </c>
      <c r="AL477" s="53">
        <v>0</v>
      </c>
      <c r="AM477" s="53">
        <v>0</v>
      </c>
      <c r="AN477" s="53">
        <v>0</v>
      </c>
      <c r="AO477" s="53">
        <v>0</v>
      </c>
      <c r="AP477" s="53">
        <v>0</v>
      </c>
      <c r="AQ477" s="53">
        <v>0</v>
      </c>
      <c r="AR477" s="53">
        <v>0</v>
      </c>
      <c r="AS477" s="53">
        <v>0</v>
      </c>
      <c r="AT477" s="53">
        <v>0</v>
      </c>
      <c r="AU477" s="30">
        <f>AVERAGE(AF477:AF481)</f>
        <v>39.896000000000001</v>
      </c>
    </row>
    <row r="478" spans="1:47" x14ac:dyDescent="0.25">
      <c r="A478" s="53">
        <v>1</v>
      </c>
      <c r="B478" s="53" t="s">
        <v>16</v>
      </c>
      <c r="C478" s="53">
        <v>29224</v>
      </c>
      <c r="D478" s="53">
        <v>104</v>
      </c>
      <c r="E478" s="53">
        <v>2</v>
      </c>
      <c r="F478" s="53">
        <v>8</v>
      </c>
      <c r="G478" s="53">
        <v>456.94</v>
      </c>
      <c r="H478" s="119">
        <v>36.417000000000002</v>
      </c>
      <c r="I478" s="54">
        <v>45410</v>
      </c>
      <c r="J478" s="120">
        <v>0.98520833333333335</v>
      </c>
      <c r="K478" s="53">
        <v>0</v>
      </c>
      <c r="L478" s="53">
        <v>0</v>
      </c>
      <c r="M478" s="53">
        <v>0</v>
      </c>
      <c r="N478" s="53">
        <v>0</v>
      </c>
      <c r="O478" s="53">
        <v>0</v>
      </c>
      <c r="P478" s="53">
        <v>0</v>
      </c>
      <c r="Q478" s="53">
        <v>0</v>
      </c>
      <c r="R478" s="53">
        <v>0</v>
      </c>
      <c r="S478" s="53">
        <v>0</v>
      </c>
      <c r="T478" s="53">
        <v>0</v>
      </c>
      <c r="U478" s="53">
        <v>0</v>
      </c>
      <c r="V478" s="53">
        <v>0</v>
      </c>
      <c r="W478" s="30">
        <f t="shared" ref="W478" si="176">W477</f>
        <v>36.387</v>
      </c>
      <c r="Y478" s="53">
        <v>1</v>
      </c>
      <c r="Z478" s="53" t="s">
        <v>16</v>
      </c>
      <c r="AA478" s="53">
        <v>29248</v>
      </c>
      <c r="AB478" s="53">
        <v>64</v>
      </c>
      <c r="AC478" s="53">
        <v>2</v>
      </c>
      <c r="AD478" s="53">
        <v>8</v>
      </c>
      <c r="AE478" s="53">
        <v>418.61</v>
      </c>
      <c r="AF478" s="119">
        <v>39.848999999999997</v>
      </c>
      <c r="AG478" s="54">
        <v>45409</v>
      </c>
      <c r="AH478" s="55">
        <v>0.8777314814814815</v>
      </c>
      <c r="AI478" s="53">
        <v>0</v>
      </c>
      <c r="AJ478" s="53">
        <v>0</v>
      </c>
      <c r="AK478" s="53">
        <v>0</v>
      </c>
      <c r="AL478" s="53">
        <v>0</v>
      </c>
      <c r="AM478" s="53">
        <v>0</v>
      </c>
      <c r="AN478" s="53">
        <v>0</v>
      </c>
      <c r="AO478" s="53">
        <v>0</v>
      </c>
      <c r="AP478" s="53">
        <v>0</v>
      </c>
      <c r="AQ478" s="53">
        <v>0</v>
      </c>
      <c r="AR478" s="53">
        <v>0</v>
      </c>
      <c r="AS478" s="53">
        <v>0</v>
      </c>
      <c r="AT478" s="53">
        <v>525</v>
      </c>
      <c r="AU478" s="30">
        <f>AU477</f>
        <v>39.896000000000001</v>
      </c>
    </row>
    <row r="479" spans="1:47" x14ac:dyDescent="0.25">
      <c r="A479" s="53">
        <v>2</v>
      </c>
      <c r="B479" s="53" t="s">
        <v>16</v>
      </c>
      <c r="C479" s="53">
        <v>29224</v>
      </c>
      <c r="D479" s="53">
        <v>104</v>
      </c>
      <c r="E479" s="53">
        <v>2</v>
      </c>
      <c r="F479" s="53">
        <v>8</v>
      </c>
      <c r="G479" s="53">
        <v>456.95</v>
      </c>
      <c r="H479" s="119">
        <v>36.415999999999997</v>
      </c>
      <c r="I479" s="54">
        <v>45411</v>
      </c>
      <c r="J479" s="120">
        <v>8.1921296296296298E-2</v>
      </c>
      <c r="K479" s="53">
        <v>0</v>
      </c>
      <c r="L479" s="53">
        <v>0</v>
      </c>
      <c r="M479" s="53">
        <v>0</v>
      </c>
      <c r="N479" s="53">
        <v>0</v>
      </c>
      <c r="O479" s="53">
        <v>0</v>
      </c>
      <c r="P479" s="53">
        <v>0</v>
      </c>
      <c r="Q479" s="53">
        <v>0</v>
      </c>
      <c r="R479" s="53">
        <v>0</v>
      </c>
      <c r="S479" s="53">
        <v>0</v>
      </c>
      <c r="T479" s="53">
        <v>0</v>
      </c>
      <c r="U479" s="53">
        <v>0</v>
      </c>
      <c r="V479" s="53">
        <v>0</v>
      </c>
      <c r="W479" s="30">
        <f>W478</f>
        <v>36.387</v>
      </c>
      <c r="Y479" s="53">
        <v>2</v>
      </c>
      <c r="Z479" s="53" t="s">
        <v>16</v>
      </c>
      <c r="AA479" s="53">
        <v>29248</v>
      </c>
      <c r="AB479" s="53">
        <v>64</v>
      </c>
      <c r="AC479" s="53">
        <v>2</v>
      </c>
      <c r="AD479" s="53">
        <v>8</v>
      </c>
      <c r="AE479" s="53">
        <v>418.17</v>
      </c>
      <c r="AF479" s="119">
        <v>39.890999999999998</v>
      </c>
      <c r="AG479" s="54">
        <v>45409</v>
      </c>
      <c r="AH479" s="55">
        <v>0.97606481481481477</v>
      </c>
      <c r="AI479" s="53">
        <v>0</v>
      </c>
      <c r="AJ479" s="53">
        <v>0</v>
      </c>
      <c r="AK479" s="53">
        <v>0</v>
      </c>
      <c r="AL479" s="53">
        <v>0</v>
      </c>
      <c r="AM479" s="53">
        <v>0</v>
      </c>
      <c r="AN479" s="53">
        <v>0</v>
      </c>
      <c r="AO479" s="53">
        <v>0</v>
      </c>
      <c r="AP479" s="53">
        <v>0</v>
      </c>
      <c r="AQ479" s="53">
        <v>0</v>
      </c>
      <c r="AR479" s="53">
        <v>0</v>
      </c>
      <c r="AS479" s="53">
        <v>0</v>
      </c>
      <c r="AT479" s="53">
        <v>0</v>
      </c>
      <c r="AU479" s="30">
        <f>AU478</f>
        <v>39.896000000000001</v>
      </c>
    </row>
    <row r="480" spans="1:47" x14ac:dyDescent="0.25">
      <c r="A480" s="53">
        <v>3</v>
      </c>
      <c r="B480" s="53" t="s">
        <v>16</v>
      </c>
      <c r="C480" s="53">
        <v>29224</v>
      </c>
      <c r="D480" s="53">
        <v>104</v>
      </c>
      <c r="E480" s="53">
        <v>2</v>
      </c>
      <c r="F480" s="53">
        <v>8</v>
      </c>
      <c r="G480" s="53">
        <v>457.5</v>
      </c>
      <c r="H480" s="119">
        <v>36.372</v>
      </c>
      <c r="I480" s="54">
        <v>45411</v>
      </c>
      <c r="J480" s="120">
        <v>0.17862268518518518</v>
      </c>
      <c r="K480" s="53">
        <v>0</v>
      </c>
      <c r="L480" s="53">
        <v>0</v>
      </c>
      <c r="M480" s="53">
        <v>0</v>
      </c>
      <c r="N480" s="53">
        <v>0</v>
      </c>
      <c r="O480" s="53">
        <v>0</v>
      </c>
      <c r="P480" s="53">
        <v>0</v>
      </c>
      <c r="Q480" s="53">
        <v>0</v>
      </c>
      <c r="R480" s="53">
        <v>0</v>
      </c>
      <c r="S480" s="53">
        <v>0</v>
      </c>
      <c r="T480" s="53">
        <v>0</v>
      </c>
      <c r="U480" s="53">
        <v>0</v>
      </c>
      <c r="V480" s="53">
        <v>0</v>
      </c>
      <c r="W480" s="30">
        <f>W479</f>
        <v>36.387</v>
      </c>
      <c r="Y480" s="53">
        <v>3</v>
      </c>
      <c r="Z480" s="53" t="s">
        <v>16</v>
      </c>
      <c r="AA480" s="53">
        <v>29248</v>
      </c>
      <c r="AB480" s="53">
        <v>64</v>
      </c>
      <c r="AC480" s="53">
        <v>2</v>
      </c>
      <c r="AD480" s="53">
        <v>8</v>
      </c>
      <c r="AE480" s="53">
        <v>418.05</v>
      </c>
      <c r="AF480" s="119">
        <v>39.902000000000001</v>
      </c>
      <c r="AG480" s="54">
        <v>45410</v>
      </c>
      <c r="AH480" s="55">
        <v>7.4212962962962967E-2</v>
      </c>
      <c r="AI480" s="53">
        <v>0</v>
      </c>
      <c r="AJ480" s="53">
        <v>0</v>
      </c>
      <c r="AK480" s="53">
        <v>0</v>
      </c>
      <c r="AL480" s="53">
        <v>0</v>
      </c>
      <c r="AM480" s="53">
        <v>0</v>
      </c>
      <c r="AN480" s="53">
        <v>0</v>
      </c>
      <c r="AO480" s="53">
        <v>0</v>
      </c>
      <c r="AP480" s="53">
        <v>0</v>
      </c>
      <c r="AQ480" s="53">
        <v>0</v>
      </c>
      <c r="AR480" s="53">
        <v>0</v>
      </c>
      <c r="AS480" s="53">
        <v>0</v>
      </c>
      <c r="AT480" s="53">
        <v>0</v>
      </c>
      <c r="AU480" s="30">
        <f>AU479</f>
        <v>39.896000000000001</v>
      </c>
    </row>
    <row r="481" spans="1:47" x14ac:dyDescent="0.25">
      <c r="A481" s="53">
        <v>4</v>
      </c>
      <c r="B481" s="53" t="s">
        <v>16</v>
      </c>
      <c r="C481" s="53">
        <v>29224</v>
      </c>
      <c r="D481" s="53">
        <v>104</v>
      </c>
      <c r="E481" s="53">
        <v>2</v>
      </c>
      <c r="F481" s="53">
        <v>8</v>
      </c>
      <c r="G481" s="53">
        <v>458.16</v>
      </c>
      <c r="H481" s="119">
        <v>36.32</v>
      </c>
      <c r="I481" s="54">
        <v>45411</v>
      </c>
      <c r="J481" s="120">
        <v>0.27542824074074074</v>
      </c>
      <c r="K481" s="53">
        <v>0</v>
      </c>
      <c r="L481" s="53">
        <v>0</v>
      </c>
      <c r="M481" s="53">
        <v>0</v>
      </c>
      <c r="N481" s="53">
        <v>0</v>
      </c>
      <c r="O481" s="53">
        <v>0</v>
      </c>
      <c r="P481" s="53">
        <v>0</v>
      </c>
      <c r="Q481" s="53">
        <v>0</v>
      </c>
      <c r="R481" s="53">
        <v>0</v>
      </c>
      <c r="S481" s="53">
        <v>0</v>
      </c>
      <c r="T481" s="53">
        <v>0</v>
      </c>
      <c r="U481" s="53">
        <v>0</v>
      </c>
      <c r="V481" s="53">
        <v>0</v>
      </c>
      <c r="W481" s="30">
        <f>W480</f>
        <v>36.387</v>
      </c>
      <c r="Y481" s="53">
        <v>4</v>
      </c>
      <c r="Z481" s="53" t="s">
        <v>16</v>
      </c>
      <c r="AA481" s="53">
        <v>29248</v>
      </c>
      <c r="AB481" s="53">
        <v>64</v>
      </c>
      <c r="AC481" s="53">
        <v>2</v>
      </c>
      <c r="AD481" s="53">
        <v>8</v>
      </c>
      <c r="AE481" s="53">
        <v>418.02</v>
      </c>
      <c r="AF481" s="119">
        <v>39.905000000000001</v>
      </c>
      <c r="AG481" s="54">
        <v>45410</v>
      </c>
      <c r="AH481" s="55">
        <v>0.17234953703703704</v>
      </c>
      <c r="AI481" s="53">
        <v>0</v>
      </c>
      <c r="AJ481" s="53">
        <v>0</v>
      </c>
      <c r="AK481" s="53">
        <v>0</v>
      </c>
      <c r="AL481" s="53">
        <v>0</v>
      </c>
      <c r="AM481" s="53">
        <v>0</v>
      </c>
      <c r="AN481" s="53">
        <v>0</v>
      </c>
      <c r="AO481" s="53">
        <v>0</v>
      </c>
      <c r="AP481" s="53">
        <v>0</v>
      </c>
      <c r="AQ481" s="53">
        <v>0</v>
      </c>
      <c r="AR481" s="53">
        <v>0</v>
      </c>
      <c r="AS481" s="53">
        <v>0</v>
      </c>
      <c r="AT481" s="53">
        <v>0</v>
      </c>
      <c r="AU481" s="30">
        <f>AU480</f>
        <v>39.896000000000001</v>
      </c>
    </row>
    <row r="482" spans="1:47" x14ac:dyDescent="0.25">
      <c r="A482" s="53">
        <v>0</v>
      </c>
      <c r="B482" s="53" t="s">
        <v>16</v>
      </c>
      <c r="C482" s="53">
        <v>29040</v>
      </c>
      <c r="D482" s="53">
        <v>120</v>
      </c>
      <c r="E482" s="53">
        <v>2</v>
      </c>
      <c r="F482" s="53">
        <v>8</v>
      </c>
      <c r="G482" s="53">
        <v>438.41</v>
      </c>
      <c r="H482" s="119">
        <v>37.244</v>
      </c>
      <c r="I482" s="54">
        <v>45409</v>
      </c>
      <c r="J482" s="120">
        <v>0.3583796296296296</v>
      </c>
      <c r="K482" s="53">
        <v>0</v>
      </c>
      <c r="L482" s="53">
        <v>0</v>
      </c>
      <c r="M482" s="53">
        <v>0</v>
      </c>
      <c r="N482" s="53">
        <v>0</v>
      </c>
      <c r="O482" s="53">
        <v>0</v>
      </c>
      <c r="P482" s="53">
        <v>0</v>
      </c>
      <c r="Q482" s="53">
        <v>0</v>
      </c>
      <c r="R482" s="53">
        <v>0</v>
      </c>
      <c r="S482" s="53">
        <v>0</v>
      </c>
      <c r="T482" s="53">
        <v>0</v>
      </c>
      <c r="U482" s="53">
        <v>0</v>
      </c>
      <c r="V482" s="53">
        <v>0</v>
      </c>
      <c r="W482" s="30">
        <f t="shared" ref="W482" si="177">AVERAGE(H482:H486)</f>
        <v>37.369399999999999</v>
      </c>
      <c r="Y482" s="53">
        <v>0</v>
      </c>
      <c r="Z482" s="53" t="s">
        <v>16</v>
      </c>
      <c r="AA482" s="53">
        <v>29016</v>
      </c>
      <c r="AB482" s="53">
        <v>72</v>
      </c>
      <c r="AC482" s="53">
        <v>2</v>
      </c>
      <c r="AD482" s="53">
        <v>8</v>
      </c>
      <c r="AE482" s="53">
        <v>399.48</v>
      </c>
      <c r="AF482" s="119">
        <v>40.771999999999998</v>
      </c>
      <c r="AG482" s="54">
        <v>45408</v>
      </c>
      <c r="AH482" s="55">
        <v>0.96659722222222222</v>
      </c>
      <c r="AI482" s="53">
        <v>0</v>
      </c>
      <c r="AJ482" s="53">
        <v>0</v>
      </c>
      <c r="AK482" s="53">
        <v>0</v>
      </c>
      <c r="AL482" s="53">
        <v>0</v>
      </c>
      <c r="AM482" s="53">
        <v>0</v>
      </c>
      <c r="AN482" s="53">
        <v>0</v>
      </c>
      <c r="AO482" s="53">
        <v>0</v>
      </c>
      <c r="AP482" s="53">
        <v>0</v>
      </c>
      <c r="AQ482" s="53">
        <v>0</v>
      </c>
      <c r="AR482" s="53">
        <v>0</v>
      </c>
      <c r="AS482" s="53">
        <v>0</v>
      </c>
      <c r="AT482" s="53">
        <v>0</v>
      </c>
      <c r="AU482" s="30">
        <f>AVERAGE(AF482:AF486)</f>
        <v>40.699199999999998</v>
      </c>
    </row>
    <row r="483" spans="1:47" x14ac:dyDescent="0.25">
      <c r="A483" s="53">
        <v>1</v>
      </c>
      <c r="B483" s="53" t="s">
        <v>16</v>
      </c>
      <c r="C483" s="53">
        <v>29040</v>
      </c>
      <c r="D483" s="53">
        <v>120</v>
      </c>
      <c r="E483" s="53">
        <v>2</v>
      </c>
      <c r="F483" s="53">
        <v>8</v>
      </c>
      <c r="G483" s="53">
        <v>436.32</v>
      </c>
      <c r="H483" s="119">
        <v>37.421999999999997</v>
      </c>
      <c r="I483" s="54">
        <v>45410</v>
      </c>
      <c r="J483" s="120">
        <v>0.94260416666666669</v>
      </c>
      <c r="K483" s="53">
        <v>0</v>
      </c>
      <c r="L483" s="53">
        <v>0</v>
      </c>
      <c r="M483" s="53">
        <v>0</v>
      </c>
      <c r="N483" s="53">
        <v>0</v>
      </c>
      <c r="O483" s="53">
        <v>0</v>
      </c>
      <c r="P483" s="53">
        <v>0</v>
      </c>
      <c r="Q483" s="53">
        <v>0</v>
      </c>
      <c r="R483" s="53">
        <v>0</v>
      </c>
      <c r="S483" s="53">
        <v>0</v>
      </c>
      <c r="T483" s="53">
        <v>0</v>
      </c>
      <c r="U483" s="53">
        <v>0</v>
      </c>
      <c r="V483" s="53">
        <v>0</v>
      </c>
      <c r="W483" s="30">
        <f t="shared" ref="W483" si="178">W482</f>
        <v>37.369399999999999</v>
      </c>
      <c r="Y483" s="53">
        <v>1</v>
      </c>
      <c r="Z483" s="53" t="s">
        <v>16</v>
      </c>
      <c r="AA483" s="53">
        <v>29016</v>
      </c>
      <c r="AB483" s="53">
        <v>72</v>
      </c>
      <c r="AC483" s="53">
        <v>2</v>
      </c>
      <c r="AD483" s="53">
        <v>8</v>
      </c>
      <c r="AE483" s="53">
        <v>400.64</v>
      </c>
      <c r="AF483" s="119">
        <v>40.652999999999999</v>
      </c>
      <c r="AG483" s="54">
        <v>45409</v>
      </c>
      <c r="AH483" s="55">
        <v>6.4687499999999995E-2</v>
      </c>
      <c r="AI483" s="53">
        <v>0</v>
      </c>
      <c r="AJ483" s="53">
        <v>0</v>
      </c>
      <c r="AK483" s="53">
        <v>0</v>
      </c>
      <c r="AL483" s="53">
        <v>0</v>
      </c>
      <c r="AM483" s="53">
        <v>0</v>
      </c>
      <c r="AN483" s="53">
        <v>0</v>
      </c>
      <c r="AO483" s="53">
        <v>0</v>
      </c>
      <c r="AP483" s="53">
        <v>0</v>
      </c>
      <c r="AQ483" s="53">
        <v>0</v>
      </c>
      <c r="AR483" s="53">
        <v>0</v>
      </c>
      <c r="AS483" s="53">
        <v>0</v>
      </c>
      <c r="AT483" s="53">
        <v>0</v>
      </c>
      <c r="AU483" s="30">
        <f>AU482</f>
        <v>40.699199999999998</v>
      </c>
    </row>
    <row r="484" spans="1:47" x14ac:dyDescent="0.25">
      <c r="A484" s="53">
        <v>2</v>
      </c>
      <c r="B484" s="53" t="s">
        <v>16</v>
      </c>
      <c r="C484" s="53">
        <v>29040</v>
      </c>
      <c r="D484" s="53">
        <v>120</v>
      </c>
      <c r="E484" s="53">
        <v>2</v>
      </c>
      <c r="F484" s="53">
        <v>8</v>
      </c>
      <c r="G484" s="53">
        <v>436.56</v>
      </c>
      <c r="H484" s="119">
        <v>37.402000000000001</v>
      </c>
      <c r="I484" s="54">
        <v>45411</v>
      </c>
      <c r="J484" s="120">
        <v>3.9317129629629632E-2</v>
      </c>
      <c r="K484" s="53">
        <v>0</v>
      </c>
      <c r="L484" s="53">
        <v>0</v>
      </c>
      <c r="M484" s="53">
        <v>0</v>
      </c>
      <c r="N484" s="53">
        <v>0</v>
      </c>
      <c r="O484" s="53">
        <v>0</v>
      </c>
      <c r="P484" s="53">
        <v>0</v>
      </c>
      <c r="Q484" s="53">
        <v>0</v>
      </c>
      <c r="R484" s="53">
        <v>0</v>
      </c>
      <c r="S484" s="53">
        <v>0</v>
      </c>
      <c r="T484" s="53">
        <v>0</v>
      </c>
      <c r="U484" s="53">
        <v>0</v>
      </c>
      <c r="V484" s="53">
        <v>0</v>
      </c>
      <c r="W484" s="30">
        <f>W483</f>
        <v>37.369399999999999</v>
      </c>
      <c r="Y484" s="53">
        <v>2</v>
      </c>
      <c r="Z484" s="53" t="s">
        <v>16</v>
      </c>
      <c r="AA484" s="53">
        <v>29016</v>
      </c>
      <c r="AB484" s="53">
        <v>72</v>
      </c>
      <c r="AC484" s="53">
        <v>2</v>
      </c>
      <c r="AD484" s="53">
        <v>8</v>
      </c>
      <c r="AE484" s="53">
        <v>400.53</v>
      </c>
      <c r="AF484" s="119">
        <v>40.664999999999999</v>
      </c>
      <c r="AG484" s="54">
        <v>45409</v>
      </c>
      <c r="AH484" s="55">
        <v>0.95960648148148153</v>
      </c>
      <c r="AI484" s="53">
        <v>0</v>
      </c>
      <c r="AJ484" s="53">
        <v>0</v>
      </c>
      <c r="AK484" s="53">
        <v>0</v>
      </c>
      <c r="AL484" s="53">
        <v>0</v>
      </c>
      <c r="AM484" s="53">
        <v>0</v>
      </c>
      <c r="AN484" s="53">
        <v>0</v>
      </c>
      <c r="AO484" s="53">
        <v>0</v>
      </c>
      <c r="AP484" s="53">
        <v>0</v>
      </c>
      <c r="AQ484" s="53">
        <v>0</v>
      </c>
      <c r="AR484" s="53">
        <v>0</v>
      </c>
      <c r="AS484" s="53">
        <v>0</v>
      </c>
      <c r="AT484" s="53">
        <v>0</v>
      </c>
      <c r="AU484" s="30">
        <f>AU483</f>
        <v>40.699199999999998</v>
      </c>
    </row>
    <row r="485" spans="1:47" x14ac:dyDescent="0.25">
      <c r="A485" s="53">
        <v>3</v>
      </c>
      <c r="B485" s="53" t="s">
        <v>16</v>
      </c>
      <c r="C485" s="53">
        <v>29040</v>
      </c>
      <c r="D485" s="53">
        <v>120</v>
      </c>
      <c r="E485" s="53">
        <v>2</v>
      </c>
      <c r="F485" s="53">
        <v>8</v>
      </c>
      <c r="G485" s="53">
        <v>436.72</v>
      </c>
      <c r="H485" s="119">
        <v>37.387</v>
      </c>
      <c r="I485" s="54">
        <v>45411</v>
      </c>
      <c r="J485" s="120">
        <v>0.13601851851851851</v>
      </c>
      <c r="K485" s="53">
        <v>0</v>
      </c>
      <c r="L485" s="53">
        <v>0</v>
      </c>
      <c r="M485" s="53">
        <v>0</v>
      </c>
      <c r="N485" s="53">
        <v>0</v>
      </c>
      <c r="O485" s="53">
        <v>0</v>
      </c>
      <c r="P485" s="53">
        <v>0</v>
      </c>
      <c r="Q485" s="53">
        <v>0</v>
      </c>
      <c r="R485" s="53">
        <v>0</v>
      </c>
      <c r="S485" s="53">
        <v>0</v>
      </c>
      <c r="T485" s="53">
        <v>0</v>
      </c>
      <c r="U485" s="53">
        <v>0</v>
      </c>
      <c r="V485" s="53">
        <v>0</v>
      </c>
      <c r="W485" s="30">
        <f>W484</f>
        <v>37.369399999999999</v>
      </c>
      <c r="Y485" s="53">
        <v>3</v>
      </c>
      <c r="Z485" s="53" t="s">
        <v>16</v>
      </c>
      <c r="AA485" s="53">
        <v>29016</v>
      </c>
      <c r="AB485" s="53">
        <v>72</v>
      </c>
      <c r="AC485" s="53">
        <v>2</v>
      </c>
      <c r="AD485" s="53">
        <v>8</v>
      </c>
      <c r="AE485" s="53">
        <v>400.29</v>
      </c>
      <c r="AF485" s="119">
        <v>40.689</v>
      </c>
      <c r="AG485" s="54">
        <v>45410</v>
      </c>
      <c r="AH485" s="55">
        <v>5.7754629629629628E-2</v>
      </c>
      <c r="AI485" s="53">
        <v>0</v>
      </c>
      <c r="AJ485" s="53">
        <v>0</v>
      </c>
      <c r="AK485" s="53">
        <v>0</v>
      </c>
      <c r="AL485" s="53">
        <v>0</v>
      </c>
      <c r="AM485" s="53">
        <v>0</v>
      </c>
      <c r="AN485" s="53">
        <v>0</v>
      </c>
      <c r="AO485" s="53">
        <v>0</v>
      </c>
      <c r="AP485" s="53">
        <v>0</v>
      </c>
      <c r="AQ485" s="53">
        <v>0</v>
      </c>
      <c r="AR485" s="53">
        <v>0</v>
      </c>
      <c r="AS485" s="53">
        <v>0</v>
      </c>
      <c r="AT485" s="53">
        <v>0</v>
      </c>
      <c r="AU485" s="30">
        <f>AU484</f>
        <v>40.699199999999998</v>
      </c>
    </row>
    <row r="486" spans="1:47" x14ac:dyDescent="0.25">
      <c r="A486" s="53">
        <v>4</v>
      </c>
      <c r="B486" s="53" t="s">
        <v>16</v>
      </c>
      <c r="C486" s="53">
        <v>29040</v>
      </c>
      <c r="D486" s="53">
        <v>120</v>
      </c>
      <c r="E486" s="53">
        <v>2</v>
      </c>
      <c r="F486" s="53">
        <v>8</v>
      </c>
      <c r="G486" s="53">
        <v>436.67</v>
      </c>
      <c r="H486" s="119">
        <v>37.392000000000003</v>
      </c>
      <c r="I486" s="54">
        <v>45411</v>
      </c>
      <c r="J486" s="120">
        <v>0.23276620370370371</v>
      </c>
      <c r="K486" s="53">
        <v>0</v>
      </c>
      <c r="L486" s="53">
        <v>0</v>
      </c>
      <c r="M486" s="53">
        <v>0</v>
      </c>
      <c r="N486" s="53">
        <v>0</v>
      </c>
      <c r="O486" s="53">
        <v>0</v>
      </c>
      <c r="P486" s="53">
        <v>0</v>
      </c>
      <c r="Q486" s="53">
        <v>0</v>
      </c>
      <c r="R486" s="53">
        <v>0</v>
      </c>
      <c r="S486" s="53">
        <v>0</v>
      </c>
      <c r="T486" s="53">
        <v>0</v>
      </c>
      <c r="U486" s="53">
        <v>0</v>
      </c>
      <c r="V486" s="53">
        <v>0</v>
      </c>
      <c r="W486" s="30">
        <f>W485</f>
        <v>37.369399999999999</v>
      </c>
      <c r="Y486" s="53">
        <v>4</v>
      </c>
      <c r="Z486" s="53" t="s">
        <v>16</v>
      </c>
      <c r="AA486" s="53">
        <v>29016</v>
      </c>
      <c r="AB486" s="53">
        <v>72</v>
      </c>
      <c r="AC486" s="53">
        <v>2</v>
      </c>
      <c r="AD486" s="53">
        <v>8</v>
      </c>
      <c r="AE486" s="53">
        <v>400.02</v>
      </c>
      <c r="AF486" s="119">
        <v>40.716999999999999</v>
      </c>
      <c r="AG486" s="54">
        <v>45410</v>
      </c>
      <c r="AH486" s="55">
        <v>0.15590277777777778</v>
      </c>
      <c r="AI486" s="53">
        <v>0</v>
      </c>
      <c r="AJ486" s="53">
        <v>0</v>
      </c>
      <c r="AK486" s="53">
        <v>0</v>
      </c>
      <c r="AL486" s="53">
        <v>0</v>
      </c>
      <c r="AM486" s="53">
        <v>0</v>
      </c>
      <c r="AN486" s="53">
        <v>0</v>
      </c>
      <c r="AO486" s="53">
        <v>0</v>
      </c>
      <c r="AP486" s="53">
        <v>0</v>
      </c>
      <c r="AQ486" s="53">
        <v>0</v>
      </c>
      <c r="AR486" s="53">
        <v>0</v>
      </c>
      <c r="AS486" s="53">
        <v>0</v>
      </c>
      <c r="AT486" s="53">
        <v>0</v>
      </c>
      <c r="AU486" s="30">
        <f>AU485</f>
        <v>40.699199999999998</v>
      </c>
    </row>
    <row r="487" spans="1:47" x14ac:dyDescent="0.25">
      <c r="A487" s="53">
        <v>0</v>
      </c>
      <c r="B487" s="53" t="s">
        <v>16</v>
      </c>
      <c r="C487" s="53">
        <v>29280</v>
      </c>
      <c r="D487" s="53">
        <v>120</v>
      </c>
      <c r="E487" s="53">
        <v>2</v>
      </c>
      <c r="F487" s="53">
        <v>8</v>
      </c>
      <c r="G487" s="53">
        <v>449.61</v>
      </c>
      <c r="H487" s="119">
        <v>37.223999999999997</v>
      </c>
      <c r="I487" s="54">
        <v>45413</v>
      </c>
      <c r="J487" s="120">
        <v>9.9780092592592587E-2</v>
      </c>
      <c r="K487" s="53">
        <v>0</v>
      </c>
      <c r="L487" s="53">
        <v>0</v>
      </c>
      <c r="M487" s="53">
        <v>0</v>
      </c>
      <c r="N487" s="53">
        <v>0</v>
      </c>
      <c r="O487" s="53">
        <v>0</v>
      </c>
      <c r="P487" s="53">
        <v>0</v>
      </c>
      <c r="Q487" s="53">
        <v>0</v>
      </c>
      <c r="R487" s="53">
        <v>0</v>
      </c>
      <c r="S487" s="53">
        <v>0</v>
      </c>
      <c r="T487" s="53">
        <v>0</v>
      </c>
      <c r="U487" s="53">
        <v>0</v>
      </c>
      <c r="V487" s="53">
        <v>0</v>
      </c>
      <c r="W487" s="30">
        <f t="shared" ref="W487" si="179">AVERAGE(H487:H491)</f>
        <v>37.304400000000001</v>
      </c>
      <c r="Y487" s="53">
        <v>0</v>
      </c>
      <c r="Z487" s="53" t="s">
        <v>16</v>
      </c>
      <c r="AA487" s="53">
        <v>29304</v>
      </c>
      <c r="AB487" s="53">
        <v>72</v>
      </c>
      <c r="AC487" s="53">
        <v>2</v>
      </c>
      <c r="AD487" s="53">
        <v>8</v>
      </c>
      <c r="AE487" s="53">
        <v>412.1</v>
      </c>
      <c r="AF487" s="119">
        <v>40.712000000000003</v>
      </c>
      <c r="AG487" s="54">
        <v>45409</v>
      </c>
      <c r="AH487" s="55">
        <v>1.5914351851851853E-2</v>
      </c>
      <c r="AI487" s="53">
        <v>0</v>
      </c>
      <c r="AJ487" s="53">
        <v>0</v>
      </c>
      <c r="AK487" s="53">
        <v>0</v>
      </c>
      <c r="AL487" s="53">
        <v>0</v>
      </c>
      <c r="AM487" s="53">
        <v>0</v>
      </c>
      <c r="AN487" s="53">
        <v>0</v>
      </c>
      <c r="AO487" s="53">
        <v>0</v>
      </c>
      <c r="AP487" s="53">
        <v>0</v>
      </c>
      <c r="AQ487" s="53">
        <v>0</v>
      </c>
      <c r="AR487" s="53">
        <v>0</v>
      </c>
      <c r="AS487" s="53">
        <v>0</v>
      </c>
      <c r="AT487" s="53">
        <v>0</v>
      </c>
      <c r="AU487" s="30">
        <f>AVERAGE(AF487:AF491)</f>
        <v>40.6798</v>
      </c>
    </row>
    <row r="488" spans="1:47" x14ac:dyDescent="0.25">
      <c r="A488" s="53">
        <v>1</v>
      </c>
      <c r="B488" s="53" t="s">
        <v>16</v>
      </c>
      <c r="C488" s="53">
        <v>29280</v>
      </c>
      <c r="D488" s="53">
        <v>120</v>
      </c>
      <c r="E488" s="53">
        <v>2</v>
      </c>
      <c r="F488" s="53">
        <v>8</v>
      </c>
      <c r="G488" s="53">
        <v>447.3</v>
      </c>
      <c r="H488" s="119">
        <v>37.415999999999997</v>
      </c>
      <c r="I488" s="54">
        <v>45413</v>
      </c>
      <c r="J488" s="120">
        <v>0.14856481481481482</v>
      </c>
      <c r="K488" s="53">
        <v>0</v>
      </c>
      <c r="L488" s="53">
        <v>0</v>
      </c>
      <c r="M488" s="53">
        <v>0</v>
      </c>
      <c r="N488" s="53">
        <v>0</v>
      </c>
      <c r="O488" s="53">
        <v>0</v>
      </c>
      <c r="P488" s="53">
        <v>0</v>
      </c>
      <c r="Q488" s="53">
        <v>0</v>
      </c>
      <c r="R488" s="53">
        <v>0</v>
      </c>
      <c r="S488" s="53">
        <v>0</v>
      </c>
      <c r="T488" s="53">
        <v>0</v>
      </c>
      <c r="U488" s="53">
        <v>0</v>
      </c>
      <c r="V488" s="53">
        <v>0</v>
      </c>
      <c r="W488" s="30">
        <f t="shared" ref="W488" si="180">W487</f>
        <v>37.304400000000001</v>
      </c>
      <c r="Y488" s="53">
        <v>1</v>
      </c>
      <c r="Z488" s="53" t="s">
        <v>16</v>
      </c>
      <c r="AA488" s="53">
        <v>29304</v>
      </c>
      <c r="AB488" s="53">
        <v>72</v>
      </c>
      <c r="AC488" s="53">
        <v>2</v>
      </c>
      <c r="AD488" s="53">
        <v>8</v>
      </c>
      <c r="AE488" s="53">
        <v>412.83</v>
      </c>
      <c r="AF488" s="119">
        <v>40.64</v>
      </c>
      <c r="AG488" s="54">
        <v>45409</v>
      </c>
      <c r="AH488" s="55">
        <v>0.91065972222222225</v>
      </c>
      <c r="AI488" s="53">
        <v>0</v>
      </c>
      <c r="AJ488" s="53">
        <v>0</v>
      </c>
      <c r="AK488" s="53">
        <v>0</v>
      </c>
      <c r="AL488" s="53">
        <v>0</v>
      </c>
      <c r="AM488" s="53">
        <v>0</v>
      </c>
      <c r="AN488" s="53">
        <v>0</v>
      </c>
      <c r="AO488" s="53">
        <v>0</v>
      </c>
      <c r="AP488" s="53">
        <v>0</v>
      </c>
      <c r="AQ488" s="53">
        <v>0</v>
      </c>
      <c r="AR488" s="53">
        <v>0</v>
      </c>
      <c r="AS488" s="53">
        <v>0</v>
      </c>
      <c r="AT488" s="53">
        <v>95</v>
      </c>
      <c r="AU488" s="30">
        <f>AU487</f>
        <v>40.6798</v>
      </c>
    </row>
    <row r="489" spans="1:47" x14ac:dyDescent="0.25">
      <c r="A489" s="53">
        <v>2</v>
      </c>
      <c r="B489" s="53" t="s">
        <v>16</v>
      </c>
      <c r="C489" s="53">
        <v>29280</v>
      </c>
      <c r="D489" s="53">
        <v>120</v>
      </c>
      <c r="E489" s="53">
        <v>2</v>
      </c>
      <c r="F489" s="53">
        <v>8</v>
      </c>
      <c r="G489" s="53">
        <v>448.69</v>
      </c>
      <c r="H489" s="119">
        <v>37.299999999999997</v>
      </c>
      <c r="I489" s="54">
        <v>45411</v>
      </c>
      <c r="J489" s="120">
        <v>8.7337962962962964E-2</v>
      </c>
      <c r="K489" s="53">
        <v>0</v>
      </c>
      <c r="L489" s="53">
        <v>0</v>
      </c>
      <c r="M489" s="53">
        <v>0</v>
      </c>
      <c r="N489" s="53">
        <v>0</v>
      </c>
      <c r="O489" s="53">
        <v>0</v>
      </c>
      <c r="P489" s="53">
        <v>0</v>
      </c>
      <c r="Q489" s="53">
        <v>0</v>
      </c>
      <c r="R489" s="53">
        <v>0</v>
      </c>
      <c r="S489" s="53">
        <v>0</v>
      </c>
      <c r="T489" s="53">
        <v>0</v>
      </c>
      <c r="U489" s="53">
        <v>0</v>
      </c>
      <c r="V489" s="53">
        <v>0</v>
      </c>
      <c r="W489" s="30">
        <f>W488</f>
        <v>37.304400000000001</v>
      </c>
      <c r="Y489" s="53">
        <v>2</v>
      </c>
      <c r="Z489" s="53" t="s">
        <v>16</v>
      </c>
      <c r="AA489" s="53">
        <v>29304</v>
      </c>
      <c r="AB489" s="53">
        <v>72</v>
      </c>
      <c r="AC489" s="53">
        <v>2</v>
      </c>
      <c r="AD489" s="53">
        <v>8</v>
      </c>
      <c r="AE489" s="53">
        <v>412.19</v>
      </c>
      <c r="AF489" s="119">
        <v>40.703000000000003</v>
      </c>
      <c r="AG489" s="54">
        <v>45410</v>
      </c>
      <c r="AH489" s="55">
        <v>8.9814814814814809E-3</v>
      </c>
      <c r="AI489" s="53">
        <v>0</v>
      </c>
      <c r="AJ489" s="53">
        <v>0</v>
      </c>
      <c r="AK489" s="53">
        <v>0</v>
      </c>
      <c r="AL489" s="53">
        <v>0</v>
      </c>
      <c r="AM489" s="53">
        <v>0</v>
      </c>
      <c r="AN489" s="53">
        <v>0</v>
      </c>
      <c r="AO489" s="53">
        <v>0</v>
      </c>
      <c r="AP489" s="53">
        <v>0</v>
      </c>
      <c r="AQ489" s="53">
        <v>0</v>
      </c>
      <c r="AR489" s="53">
        <v>0</v>
      </c>
      <c r="AS489" s="53">
        <v>0</v>
      </c>
      <c r="AT489" s="53">
        <v>0</v>
      </c>
      <c r="AU489" s="30">
        <f>AU488</f>
        <v>40.6798</v>
      </c>
    </row>
    <row r="490" spans="1:47" x14ac:dyDescent="0.25">
      <c r="A490" s="53">
        <v>3</v>
      </c>
      <c r="B490" s="53" t="s">
        <v>16</v>
      </c>
      <c r="C490" s="53">
        <v>29280</v>
      </c>
      <c r="D490" s="53">
        <v>120</v>
      </c>
      <c r="E490" s="53">
        <v>2</v>
      </c>
      <c r="F490" s="53">
        <v>8</v>
      </c>
      <c r="G490" s="53">
        <v>447.41</v>
      </c>
      <c r="H490" s="119">
        <v>37.405999999999999</v>
      </c>
      <c r="I490" s="54">
        <v>45411</v>
      </c>
      <c r="J490" s="120">
        <v>0.18402777777777779</v>
      </c>
      <c r="K490" s="53">
        <v>0</v>
      </c>
      <c r="L490" s="53">
        <v>0</v>
      </c>
      <c r="M490" s="53">
        <v>0</v>
      </c>
      <c r="N490" s="53">
        <v>0</v>
      </c>
      <c r="O490" s="53">
        <v>0</v>
      </c>
      <c r="P490" s="53">
        <v>0</v>
      </c>
      <c r="Q490" s="53">
        <v>0</v>
      </c>
      <c r="R490" s="53">
        <v>0</v>
      </c>
      <c r="S490" s="53">
        <v>0</v>
      </c>
      <c r="T490" s="53">
        <v>0</v>
      </c>
      <c r="U490" s="53">
        <v>0</v>
      </c>
      <c r="V490" s="53">
        <v>0</v>
      </c>
      <c r="W490" s="30">
        <f>W489</f>
        <v>37.304400000000001</v>
      </c>
      <c r="Y490" s="53">
        <v>3</v>
      </c>
      <c r="Z490" s="53" t="s">
        <v>16</v>
      </c>
      <c r="AA490" s="53">
        <v>29304</v>
      </c>
      <c r="AB490" s="53">
        <v>72</v>
      </c>
      <c r="AC490" s="53">
        <v>2</v>
      </c>
      <c r="AD490" s="53">
        <v>8</v>
      </c>
      <c r="AE490" s="53">
        <v>412.53</v>
      </c>
      <c r="AF490" s="119">
        <v>40.668999999999997</v>
      </c>
      <c r="AG490" s="54">
        <v>45410</v>
      </c>
      <c r="AH490" s="55">
        <v>0.1070949074074074</v>
      </c>
      <c r="AI490" s="53">
        <v>0</v>
      </c>
      <c r="AJ490" s="53">
        <v>0</v>
      </c>
      <c r="AK490" s="53">
        <v>0</v>
      </c>
      <c r="AL490" s="53">
        <v>0</v>
      </c>
      <c r="AM490" s="53">
        <v>0</v>
      </c>
      <c r="AN490" s="53">
        <v>0</v>
      </c>
      <c r="AO490" s="53">
        <v>0</v>
      </c>
      <c r="AP490" s="53">
        <v>0</v>
      </c>
      <c r="AQ490" s="53">
        <v>0</v>
      </c>
      <c r="AR490" s="53">
        <v>0</v>
      </c>
      <c r="AS490" s="53">
        <v>0</v>
      </c>
      <c r="AT490" s="53">
        <v>0</v>
      </c>
      <c r="AU490" s="30">
        <f>AU489</f>
        <v>40.6798</v>
      </c>
    </row>
    <row r="491" spans="1:47" x14ac:dyDescent="0.25">
      <c r="A491" s="53">
        <v>4</v>
      </c>
      <c r="B491" s="53" t="s">
        <v>16</v>
      </c>
      <c r="C491" s="53">
        <v>29280</v>
      </c>
      <c r="D491" s="53">
        <v>120</v>
      </c>
      <c r="E491" s="53">
        <v>2</v>
      </c>
      <c r="F491" s="53">
        <v>8</v>
      </c>
      <c r="G491" s="53">
        <v>450.19</v>
      </c>
      <c r="H491" s="119">
        <v>37.176000000000002</v>
      </c>
      <c r="I491" s="54">
        <v>45411</v>
      </c>
      <c r="J491" s="120">
        <v>0.28085648148148146</v>
      </c>
      <c r="K491" s="53">
        <v>0</v>
      </c>
      <c r="L491" s="53">
        <v>0</v>
      </c>
      <c r="M491" s="53">
        <v>0</v>
      </c>
      <c r="N491" s="53">
        <v>0</v>
      </c>
      <c r="O491" s="53">
        <v>0</v>
      </c>
      <c r="P491" s="53">
        <v>0</v>
      </c>
      <c r="Q491" s="53">
        <v>0</v>
      </c>
      <c r="R491" s="53">
        <v>0</v>
      </c>
      <c r="S491" s="53">
        <v>0</v>
      </c>
      <c r="T491" s="53">
        <v>0</v>
      </c>
      <c r="U491" s="53">
        <v>0</v>
      </c>
      <c r="V491" s="53">
        <v>0</v>
      </c>
      <c r="W491" s="30">
        <f>W490</f>
        <v>37.304400000000001</v>
      </c>
      <c r="Y491" s="53">
        <v>4</v>
      </c>
      <c r="Z491" s="53" t="s">
        <v>16</v>
      </c>
      <c r="AA491" s="53">
        <v>29304</v>
      </c>
      <c r="AB491" s="53">
        <v>72</v>
      </c>
      <c r="AC491" s="53">
        <v>2</v>
      </c>
      <c r="AD491" s="53">
        <v>8</v>
      </c>
      <c r="AE491" s="53">
        <v>412.47</v>
      </c>
      <c r="AF491" s="119">
        <v>40.674999999999997</v>
      </c>
      <c r="AG491" s="54">
        <v>45410</v>
      </c>
      <c r="AH491" s="55">
        <v>0.20524305555555555</v>
      </c>
      <c r="AI491" s="53">
        <v>0</v>
      </c>
      <c r="AJ491" s="53">
        <v>0</v>
      </c>
      <c r="AK491" s="53">
        <v>0</v>
      </c>
      <c r="AL491" s="53">
        <v>0</v>
      </c>
      <c r="AM491" s="53">
        <v>0</v>
      </c>
      <c r="AN491" s="53">
        <v>0</v>
      </c>
      <c r="AO491" s="53">
        <v>0</v>
      </c>
      <c r="AP491" s="53">
        <v>0</v>
      </c>
      <c r="AQ491" s="53">
        <v>0</v>
      </c>
      <c r="AR491" s="53">
        <v>0</v>
      </c>
      <c r="AS491" s="53">
        <v>0</v>
      </c>
      <c r="AT491" s="53">
        <v>0</v>
      </c>
      <c r="AU491" s="30">
        <f>AU490</f>
        <v>40.6798</v>
      </c>
    </row>
    <row r="492" spans="1:47" x14ac:dyDescent="0.25">
      <c r="A492" s="53">
        <v>0</v>
      </c>
      <c r="B492" s="53" t="s">
        <v>16</v>
      </c>
      <c r="C492" s="53">
        <v>28968</v>
      </c>
      <c r="D492" s="53">
        <v>136</v>
      </c>
      <c r="E492" s="53">
        <v>2</v>
      </c>
      <c r="F492" s="53">
        <v>8</v>
      </c>
      <c r="G492" s="53">
        <v>442.1</v>
      </c>
      <c r="H492" s="119">
        <v>36.658999999999999</v>
      </c>
      <c r="I492" s="54">
        <v>45409</v>
      </c>
      <c r="J492" s="120">
        <v>0.36371527777777779</v>
      </c>
      <c r="K492" s="53">
        <v>0</v>
      </c>
      <c r="L492" s="53">
        <v>0</v>
      </c>
      <c r="M492" s="53">
        <v>0</v>
      </c>
      <c r="N492" s="53">
        <v>0</v>
      </c>
      <c r="O492" s="53">
        <v>0</v>
      </c>
      <c r="P492" s="53">
        <v>0</v>
      </c>
      <c r="Q492" s="53">
        <v>0</v>
      </c>
      <c r="R492" s="53">
        <v>0</v>
      </c>
      <c r="S492" s="53">
        <v>0</v>
      </c>
      <c r="T492" s="53">
        <v>0</v>
      </c>
      <c r="U492" s="53">
        <v>0</v>
      </c>
      <c r="V492" s="53">
        <v>0</v>
      </c>
      <c r="W492" s="30">
        <f t="shared" ref="W492" si="181">AVERAGE(H492:H496)</f>
        <v>36.812599999999996</v>
      </c>
      <c r="Y492" s="53">
        <v>0</v>
      </c>
      <c r="Z492" s="53" t="s">
        <v>16</v>
      </c>
      <c r="AA492" s="53">
        <v>29040</v>
      </c>
      <c r="AB492" s="53">
        <v>80</v>
      </c>
      <c r="AC492" s="53">
        <v>2</v>
      </c>
      <c r="AD492" s="53">
        <v>8</v>
      </c>
      <c r="AE492" s="53">
        <v>404.14</v>
      </c>
      <c r="AF492" s="119">
        <v>40.401000000000003</v>
      </c>
      <c r="AG492" s="54">
        <v>45408</v>
      </c>
      <c r="AH492" s="55">
        <v>0.93983796296296296</v>
      </c>
      <c r="AI492" s="53">
        <v>0</v>
      </c>
      <c r="AJ492" s="53">
        <v>0</v>
      </c>
      <c r="AK492" s="53">
        <v>0</v>
      </c>
      <c r="AL492" s="53">
        <v>0</v>
      </c>
      <c r="AM492" s="53">
        <v>0</v>
      </c>
      <c r="AN492" s="53">
        <v>0</v>
      </c>
      <c r="AO492" s="53">
        <v>0</v>
      </c>
      <c r="AP492" s="53">
        <v>0</v>
      </c>
      <c r="AQ492" s="53">
        <v>0</v>
      </c>
      <c r="AR492" s="53">
        <v>0</v>
      </c>
      <c r="AS492" s="53">
        <v>0</v>
      </c>
      <c r="AT492" s="53">
        <v>0</v>
      </c>
      <c r="AU492" s="30">
        <f>AVERAGE(AF492:AF496)</f>
        <v>40.5398</v>
      </c>
    </row>
    <row r="493" spans="1:47" x14ac:dyDescent="0.25">
      <c r="A493" s="53">
        <v>1</v>
      </c>
      <c r="B493" s="53" t="s">
        <v>16</v>
      </c>
      <c r="C493" s="53">
        <v>28968</v>
      </c>
      <c r="D493" s="53">
        <v>136</v>
      </c>
      <c r="E493" s="53">
        <v>2</v>
      </c>
      <c r="F493" s="53">
        <v>8</v>
      </c>
      <c r="G493" s="53">
        <v>440.06</v>
      </c>
      <c r="H493" s="119">
        <v>36.829000000000001</v>
      </c>
      <c r="I493" s="54">
        <v>45410</v>
      </c>
      <c r="J493" s="120">
        <v>0.94791666666666663</v>
      </c>
      <c r="K493" s="53">
        <v>0</v>
      </c>
      <c r="L493" s="53">
        <v>0</v>
      </c>
      <c r="M493" s="53">
        <v>0</v>
      </c>
      <c r="N493" s="53">
        <v>0</v>
      </c>
      <c r="O493" s="53">
        <v>0</v>
      </c>
      <c r="P493" s="53">
        <v>0</v>
      </c>
      <c r="Q493" s="53">
        <v>0</v>
      </c>
      <c r="R493" s="53">
        <v>0</v>
      </c>
      <c r="S493" s="53">
        <v>0</v>
      </c>
      <c r="T493" s="53">
        <v>0</v>
      </c>
      <c r="U493" s="53">
        <v>0</v>
      </c>
      <c r="V493" s="53">
        <v>0</v>
      </c>
      <c r="W493" s="30">
        <f t="shared" ref="W493:W556" si="182">W492</f>
        <v>36.812599999999996</v>
      </c>
      <c r="Y493" s="53">
        <v>1</v>
      </c>
      <c r="Z493" s="53" t="s">
        <v>16</v>
      </c>
      <c r="AA493" s="53">
        <v>29040</v>
      </c>
      <c r="AB493" s="53">
        <v>80</v>
      </c>
      <c r="AC493" s="53">
        <v>2</v>
      </c>
      <c r="AD493" s="53">
        <v>8</v>
      </c>
      <c r="AE493" s="53">
        <v>402.28</v>
      </c>
      <c r="AF493" s="119">
        <v>40.588999999999999</v>
      </c>
      <c r="AG493" s="54">
        <v>45409</v>
      </c>
      <c r="AH493" s="55">
        <v>3.7928240740740742E-2</v>
      </c>
      <c r="AI493" s="53">
        <v>0</v>
      </c>
      <c r="AJ493" s="53">
        <v>0</v>
      </c>
      <c r="AK493" s="53">
        <v>0</v>
      </c>
      <c r="AL493" s="53">
        <v>0</v>
      </c>
      <c r="AM493" s="53">
        <v>0</v>
      </c>
      <c r="AN493" s="53">
        <v>0</v>
      </c>
      <c r="AO493" s="53">
        <v>0</v>
      </c>
      <c r="AP493" s="53">
        <v>0</v>
      </c>
      <c r="AQ493" s="53">
        <v>0</v>
      </c>
      <c r="AR493" s="53">
        <v>0</v>
      </c>
      <c r="AS493" s="53">
        <v>0</v>
      </c>
      <c r="AT493" s="53">
        <v>0</v>
      </c>
      <c r="AU493" s="30">
        <f>AU492</f>
        <v>40.5398</v>
      </c>
    </row>
    <row r="494" spans="1:47" x14ac:dyDescent="0.25">
      <c r="A494" s="53">
        <v>2</v>
      </c>
      <c r="B494" s="53" t="s">
        <v>16</v>
      </c>
      <c r="C494" s="53">
        <v>28968</v>
      </c>
      <c r="D494" s="53">
        <v>136</v>
      </c>
      <c r="E494" s="53">
        <v>2</v>
      </c>
      <c r="F494" s="53">
        <v>8</v>
      </c>
      <c r="G494" s="53">
        <v>439.83</v>
      </c>
      <c r="H494" s="119">
        <v>36.847999999999999</v>
      </c>
      <c r="I494" s="54">
        <v>45411</v>
      </c>
      <c r="J494" s="120">
        <v>4.462962962962963E-2</v>
      </c>
      <c r="K494" s="53">
        <v>0</v>
      </c>
      <c r="L494" s="53">
        <v>0</v>
      </c>
      <c r="M494" s="53">
        <v>0</v>
      </c>
      <c r="N494" s="53">
        <v>0</v>
      </c>
      <c r="O494" s="53">
        <v>0</v>
      </c>
      <c r="P494" s="53">
        <v>0</v>
      </c>
      <c r="Q494" s="53">
        <v>0</v>
      </c>
      <c r="R494" s="53">
        <v>0</v>
      </c>
      <c r="S494" s="53">
        <v>0</v>
      </c>
      <c r="T494" s="53">
        <v>0</v>
      </c>
      <c r="U494" s="53">
        <v>0</v>
      </c>
      <c r="V494" s="53">
        <v>0</v>
      </c>
      <c r="W494" s="30">
        <f t="shared" si="182"/>
        <v>36.812599999999996</v>
      </c>
      <c r="Y494" s="53">
        <v>2</v>
      </c>
      <c r="Z494" s="53" t="s">
        <v>16</v>
      </c>
      <c r="AA494" s="53">
        <v>29040</v>
      </c>
      <c r="AB494" s="53">
        <v>80</v>
      </c>
      <c r="AC494" s="53">
        <v>2</v>
      </c>
      <c r="AD494" s="53">
        <v>8</v>
      </c>
      <c r="AE494" s="53">
        <v>402.08</v>
      </c>
      <c r="AF494" s="119">
        <v>40.607999999999997</v>
      </c>
      <c r="AG494" s="54">
        <v>45409</v>
      </c>
      <c r="AH494" s="55">
        <v>0.93268518518518517</v>
      </c>
      <c r="AI494" s="53">
        <v>0</v>
      </c>
      <c r="AJ494" s="53">
        <v>0</v>
      </c>
      <c r="AK494" s="53">
        <v>0</v>
      </c>
      <c r="AL494" s="53">
        <v>0</v>
      </c>
      <c r="AM494" s="53">
        <v>0</v>
      </c>
      <c r="AN494" s="53">
        <v>0</v>
      </c>
      <c r="AO494" s="53">
        <v>0</v>
      </c>
      <c r="AP494" s="53">
        <v>0</v>
      </c>
      <c r="AQ494" s="53">
        <v>0</v>
      </c>
      <c r="AR494" s="53">
        <v>0</v>
      </c>
      <c r="AS494" s="53">
        <v>0</v>
      </c>
      <c r="AT494" s="53">
        <v>0</v>
      </c>
      <c r="AU494" s="30">
        <f>AU493</f>
        <v>40.5398</v>
      </c>
    </row>
    <row r="495" spans="1:47" x14ac:dyDescent="0.25">
      <c r="A495" s="53">
        <v>3</v>
      </c>
      <c r="B495" s="53" t="s">
        <v>16</v>
      </c>
      <c r="C495" s="53">
        <v>28968</v>
      </c>
      <c r="D495" s="53">
        <v>136</v>
      </c>
      <c r="E495" s="53">
        <v>2</v>
      </c>
      <c r="F495" s="53">
        <v>8</v>
      </c>
      <c r="G495" s="53">
        <v>439.55</v>
      </c>
      <c r="H495" s="119">
        <v>36.871000000000002</v>
      </c>
      <c r="I495" s="54">
        <v>45411</v>
      </c>
      <c r="J495" s="120">
        <v>0.14131944444444444</v>
      </c>
      <c r="K495" s="53">
        <v>0</v>
      </c>
      <c r="L495" s="53">
        <v>0</v>
      </c>
      <c r="M495" s="53">
        <v>0</v>
      </c>
      <c r="N495" s="53">
        <v>0</v>
      </c>
      <c r="O495" s="53">
        <v>0</v>
      </c>
      <c r="P495" s="53">
        <v>0</v>
      </c>
      <c r="Q495" s="53">
        <v>0</v>
      </c>
      <c r="R495" s="53">
        <v>0</v>
      </c>
      <c r="S495" s="53">
        <v>0</v>
      </c>
      <c r="T495" s="53">
        <v>0</v>
      </c>
      <c r="U495" s="53">
        <v>0</v>
      </c>
      <c r="V495" s="53">
        <v>0</v>
      </c>
      <c r="W495" s="30">
        <f t="shared" si="182"/>
        <v>36.812599999999996</v>
      </c>
      <c r="Y495" s="53">
        <v>3</v>
      </c>
      <c r="Z495" s="53" t="s">
        <v>16</v>
      </c>
      <c r="AA495" s="53">
        <v>29040</v>
      </c>
      <c r="AB495" s="53">
        <v>80</v>
      </c>
      <c r="AC495" s="53">
        <v>2</v>
      </c>
      <c r="AD495" s="53">
        <v>8</v>
      </c>
      <c r="AE495" s="53">
        <v>402.76</v>
      </c>
      <c r="AF495" s="119">
        <v>40.54</v>
      </c>
      <c r="AG495" s="54">
        <v>45410</v>
      </c>
      <c r="AH495" s="55">
        <v>3.1006944444444445E-2</v>
      </c>
      <c r="AI495" s="53">
        <v>0</v>
      </c>
      <c r="AJ495" s="53">
        <v>0</v>
      </c>
      <c r="AK495" s="53">
        <v>0</v>
      </c>
      <c r="AL495" s="53">
        <v>0</v>
      </c>
      <c r="AM495" s="53">
        <v>0</v>
      </c>
      <c r="AN495" s="53">
        <v>0</v>
      </c>
      <c r="AO495" s="53">
        <v>0</v>
      </c>
      <c r="AP495" s="53">
        <v>0</v>
      </c>
      <c r="AQ495" s="53">
        <v>0</v>
      </c>
      <c r="AR495" s="53">
        <v>0</v>
      </c>
      <c r="AS495" s="53">
        <v>0</v>
      </c>
      <c r="AT495" s="53">
        <v>0</v>
      </c>
      <c r="AU495" s="30">
        <f>AU494</f>
        <v>40.5398</v>
      </c>
    </row>
    <row r="496" spans="1:47" x14ac:dyDescent="0.25">
      <c r="A496" s="53">
        <v>4</v>
      </c>
      <c r="B496" s="53" t="s">
        <v>16</v>
      </c>
      <c r="C496" s="53">
        <v>28968</v>
      </c>
      <c r="D496" s="53">
        <v>136</v>
      </c>
      <c r="E496" s="53">
        <v>2</v>
      </c>
      <c r="F496" s="53">
        <v>8</v>
      </c>
      <c r="G496" s="53">
        <v>439.73</v>
      </c>
      <c r="H496" s="119">
        <v>36.856000000000002</v>
      </c>
      <c r="I496" s="54">
        <v>45411</v>
      </c>
      <c r="J496" s="120">
        <v>0.23807870370370371</v>
      </c>
      <c r="K496" s="53">
        <v>0</v>
      </c>
      <c r="L496" s="53">
        <v>0</v>
      </c>
      <c r="M496" s="53">
        <v>0</v>
      </c>
      <c r="N496" s="53">
        <v>0</v>
      </c>
      <c r="O496" s="53">
        <v>0</v>
      </c>
      <c r="P496" s="53">
        <v>0</v>
      </c>
      <c r="Q496" s="53">
        <v>0</v>
      </c>
      <c r="R496" s="53">
        <v>0</v>
      </c>
      <c r="S496" s="53">
        <v>0</v>
      </c>
      <c r="T496" s="53">
        <v>0</v>
      </c>
      <c r="U496" s="53">
        <v>0</v>
      </c>
      <c r="V496" s="53">
        <v>0</v>
      </c>
      <c r="W496" s="30">
        <f t="shared" si="182"/>
        <v>36.812599999999996</v>
      </c>
      <c r="Y496" s="53">
        <v>4</v>
      </c>
      <c r="Z496" s="53" t="s">
        <v>16</v>
      </c>
      <c r="AA496" s="53">
        <v>29040</v>
      </c>
      <c r="AB496" s="53">
        <v>80</v>
      </c>
      <c r="AC496" s="53">
        <v>2</v>
      </c>
      <c r="AD496" s="53">
        <v>8</v>
      </c>
      <c r="AE496" s="53">
        <v>402.55</v>
      </c>
      <c r="AF496" s="119">
        <v>40.561</v>
      </c>
      <c r="AG496" s="54">
        <v>45410</v>
      </c>
      <c r="AH496" s="55">
        <v>0.12912037037037036</v>
      </c>
      <c r="AI496" s="53">
        <v>0</v>
      </c>
      <c r="AJ496" s="53">
        <v>0</v>
      </c>
      <c r="AK496" s="53">
        <v>0</v>
      </c>
      <c r="AL496" s="53">
        <v>0</v>
      </c>
      <c r="AM496" s="53">
        <v>0</v>
      </c>
      <c r="AN496" s="53">
        <v>0</v>
      </c>
      <c r="AO496" s="53">
        <v>0</v>
      </c>
      <c r="AP496" s="53">
        <v>0</v>
      </c>
      <c r="AQ496" s="53">
        <v>0</v>
      </c>
      <c r="AR496" s="53">
        <v>0</v>
      </c>
      <c r="AS496" s="53">
        <v>0</v>
      </c>
      <c r="AT496" s="53">
        <v>0</v>
      </c>
      <c r="AU496" s="30">
        <f>AU495</f>
        <v>40.5398</v>
      </c>
    </row>
    <row r="497" spans="1:47" x14ac:dyDescent="0.25">
      <c r="A497" s="53">
        <v>0</v>
      </c>
      <c r="B497" s="53" t="s">
        <v>16</v>
      </c>
      <c r="C497" s="53">
        <v>29240</v>
      </c>
      <c r="D497" s="53">
        <v>136</v>
      </c>
      <c r="E497" s="53">
        <v>2</v>
      </c>
      <c r="F497" s="53">
        <v>8</v>
      </c>
      <c r="G497" s="53">
        <v>453.55</v>
      </c>
      <c r="H497" s="119">
        <v>36.749000000000002</v>
      </c>
      <c r="I497" s="54">
        <v>45413</v>
      </c>
      <c r="J497" s="120">
        <v>0.10524305555555556</v>
      </c>
      <c r="K497" s="53">
        <v>0</v>
      </c>
      <c r="L497" s="53">
        <v>0</v>
      </c>
      <c r="M497" s="53">
        <v>0</v>
      </c>
      <c r="N497" s="53">
        <v>0</v>
      </c>
      <c r="O497" s="53">
        <v>0</v>
      </c>
      <c r="P497" s="53">
        <v>0</v>
      </c>
      <c r="Q497" s="53">
        <v>0</v>
      </c>
      <c r="R497" s="53">
        <v>0</v>
      </c>
      <c r="S497" s="53">
        <v>0</v>
      </c>
      <c r="T497" s="53">
        <v>0</v>
      </c>
      <c r="U497" s="53">
        <v>0</v>
      </c>
      <c r="V497" s="53">
        <v>0</v>
      </c>
      <c r="W497" s="30">
        <f t="shared" ref="W497" si="183">AVERAGE(H497:H501)</f>
        <v>36.850200000000001</v>
      </c>
      <c r="Y497" s="53">
        <v>0</v>
      </c>
      <c r="Z497" s="53" t="s">
        <v>16</v>
      </c>
      <c r="AA497" s="53">
        <v>29280</v>
      </c>
      <c r="AB497" s="53">
        <v>80</v>
      </c>
      <c r="AC497" s="53">
        <v>2</v>
      </c>
      <c r="AD497" s="53">
        <v>8</v>
      </c>
      <c r="AE497" s="53">
        <v>410.27</v>
      </c>
      <c r="AF497" s="119">
        <v>40.792999999999999</v>
      </c>
      <c r="AG497" s="54">
        <v>45408</v>
      </c>
      <c r="AH497" s="55">
        <v>0.98854166666666665</v>
      </c>
      <c r="AI497" s="53">
        <v>0</v>
      </c>
      <c r="AJ497" s="53">
        <v>0</v>
      </c>
      <c r="AK497" s="53">
        <v>0</v>
      </c>
      <c r="AL497" s="53">
        <v>0</v>
      </c>
      <c r="AM497" s="53">
        <v>0</v>
      </c>
      <c r="AN497" s="53">
        <v>0</v>
      </c>
      <c r="AO497" s="53">
        <v>0</v>
      </c>
      <c r="AP497" s="53">
        <v>0</v>
      </c>
      <c r="AQ497" s="53">
        <v>0</v>
      </c>
      <c r="AR497" s="53">
        <v>0</v>
      </c>
      <c r="AS497" s="53">
        <v>0</v>
      </c>
      <c r="AT497" s="53">
        <v>0</v>
      </c>
      <c r="AU497" s="30">
        <f>AVERAGE(AF497:AF501)</f>
        <v>40.733400000000003</v>
      </c>
    </row>
    <row r="498" spans="1:47" x14ac:dyDescent="0.25">
      <c r="A498" s="53">
        <v>1</v>
      </c>
      <c r="B498" s="53" t="s">
        <v>16</v>
      </c>
      <c r="C498" s="53">
        <v>29240</v>
      </c>
      <c r="D498" s="53">
        <v>136</v>
      </c>
      <c r="E498" s="53">
        <v>2</v>
      </c>
      <c r="F498" s="53">
        <v>8</v>
      </c>
      <c r="G498" s="53">
        <v>451.71</v>
      </c>
      <c r="H498" s="119">
        <v>36.899000000000001</v>
      </c>
      <c r="I498" s="54">
        <v>45410</v>
      </c>
      <c r="J498" s="120">
        <v>0.99606481481481479</v>
      </c>
      <c r="K498" s="53">
        <v>0</v>
      </c>
      <c r="L498" s="53">
        <v>0</v>
      </c>
      <c r="M498" s="53">
        <v>0</v>
      </c>
      <c r="N498" s="53">
        <v>0</v>
      </c>
      <c r="O498" s="53">
        <v>0</v>
      </c>
      <c r="P498" s="53">
        <v>0</v>
      </c>
      <c r="Q498" s="53">
        <v>0</v>
      </c>
      <c r="R498" s="53">
        <v>0</v>
      </c>
      <c r="S498" s="53">
        <v>0</v>
      </c>
      <c r="T498" s="53">
        <v>0</v>
      </c>
      <c r="U498" s="53">
        <v>0</v>
      </c>
      <c r="V498" s="53">
        <v>0</v>
      </c>
      <c r="W498" s="30">
        <f t="shared" ref="W498:W561" si="184">W497</f>
        <v>36.850200000000001</v>
      </c>
      <c r="Y498" s="53">
        <v>1</v>
      </c>
      <c r="Z498" s="53" t="s">
        <v>16</v>
      </c>
      <c r="AA498" s="53">
        <v>29280</v>
      </c>
      <c r="AB498" s="53">
        <v>80</v>
      </c>
      <c r="AC498" s="53">
        <v>2</v>
      </c>
      <c r="AD498" s="53">
        <v>8</v>
      </c>
      <c r="AE498" s="53">
        <v>411.15</v>
      </c>
      <c r="AF498" s="119">
        <v>40.704999999999998</v>
      </c>
      <c r="AG498" s="54">
        <v>45409</v>
      </c>
      <c r="AH498" s="55">
        <v>0.88324074074074077</v>
      </c>
      <c r="AI498" s="53">
        <v>0</v>
      </c>
      <c r="AJ498" s="53">
        <v>0</v>
      </c>
      <c r="AK498" s="53">
        <v>0</v>
      </c>
      <c r="AL498" s="53">
        <v>0</v>
      </c>
      <c r="AM498" s="53">
        <v>0</v>
      </c>
      <c r="AN498" s="53">
        <v>0</v>
      </c>
      <c r="AO498" s="53">
        <v>0</v>
      </c>
      <c r="AP498" s="53">
        <v>0</v>
      </c>
      <c r="AQ498" s="53">
        <v>0</v>
      </c>
      <c r="AR498" s="53">
        <v>0</v>
      </c>
      <c r="AS498" s="53">
        <v>0</v>
      </c>
      <c r="AT498" s="53">
        <v>1825</v>
      </c>
      <c r="AU498" s="30">
        <f>AU497</f>
        <v>40.733400000000003</v>
      </c>
    </row>
    <row r="499" spans="1:47" x14ac:dyDescent="0.25">
      <c r="A499" s="53">
        <v>2</v>
      </c>
      <c r="B499" s="53" t="s">
        <v>16</v>
      </c>
      <c r="C499" s="53">
        <v>29240</v>
      </c>
      <c r="D499" s="53">
        <v>136</v>
      </c>
      <c r="E499" s="53">
        <v>2</v>
      </c>
      <c r="F499" s="53">
        <v>8</v>
      </c>
      <c r="G499" s="53">
        <v>451.3</v>
      </c>
      <c r="H499" s="119">
        <v>36.933</v>
      </c>
      <c r="I499" s="54">
        <v>45411</v>
      </c>
      <c r="J499" s="120">
        <v>9.2789351851851845E-2</v>
      </c>
      <c r="K499" s="53">
        <v>0</v>
      </c>
      <c r="L499" s="53">
        <v>0</v>
      </c>
      <c r="M499" s="53">
        <v>0</v>
      </c>
      <c r="N499" s="53">
        <v>0</v>
      </c>
      <c r="O499" s="53">
        <v>0</v>
      </c>
      <c r="P499" s="53">
        <v>0</v>
      </c>
      <c r="Q499" s="53">
        <v>0</v>
      </c>
      <c r="R499" s="53">
        <v>0</v>
      </c>
      <c r="S499" s="53">
        <v>0</v>
      </c>
      <c r="T499" s="53">
        <v>0</v>
      </c>
      <c r="U499" s="53">
        <v>0</v>
      </c>
      <c r="V499" s="53">
        <v>0</v>
      </c>
      <c r="W499" s="30">
        <f t="shared" si="184"/>
        <v>36.850200000000001</v>
      </c>
      <c r="Y499" s="53">
        <v>2</v>
      </c>
      <c r="Z499" s="53" t="s">
        <v>16</v>
      </c>
      <c r="AA499" s="53">
        <v>29280</v>
      </c>
      <c r="AB499" s="53">
        <v>80</v>
      </c>
      <c r="AC499" s="53">
        <v>2</v>
      </c>
      <c r="AD499" s="53">
        <v>8</v>
      </c>
      <c r="AE499" s="53">
        <v>411.03</v>
      </c>
      <c r="AF499" s="119">
        <v>40.716999999999999</v>
      </c>
      <c r="AG499" s="54">
        <v>45409</v>
      </c>
      <c r="AH499" s="55">
        <v>0.9815625</v>
      </c>
      <c r="AI499" s="53">
        <v>0</v>
      </c>
      <c r="AJ499" s="53">
        <v>0</v>
      </c>
      <c r="AK499" s="53">
        <v>0</v>
      </c>
      <c r="AL499" s="53">
        <v>0</v>
      </c>
      <c r="AM499" s="53">
        <v>0</v>
      </c>
      <c r="AN499" s="53">
        <v>0</v>
      </c>
      <c r="AO499" s="53">
        <v>0</v>
      </c>
      <c r="AP499" s="53">
        <v>0</v>
      </c>
      <c r="AQ499" s="53">
        <v>0</v>
      </c>
      <c r="AR499" s="53">
        <v>0</v>
      </c>
      <c r="AS499" s="53">
        <v>0</v>
      </c>
      <c r="AT499" s="53">
        <v>0</v>
      </c>
      <c r="AU499" s="30">
        <f>AU498</f>
        <v>40.733400000000003</v>
      </c>
    </row>
    <row r="500" spans="1:47" x14ac:dyDescent="0.25">
      <c r="A500" s="53">
        <v>3</v>
      </c>
      <c r="B500" s="53" t="s">
        <v>16</v>
      </c>
      <c r="C500" s="53">
        <v>29240</v>
      </c>
      <c r="D500" s="53">
        <v>136</v>
      </c>
      <c r="E500" s="53">
        <v>2</v>
      </c>
      <c r="F500" s="53">
        <v>8</v>
      </c>
      <c r="G500" s="53">
        <v>452.28</v>
      </c>
      <c r="H500" s="119">
        <v>36.853000000000002</v>
      </c>
      <c r="I500" s="54">
        <v>45411</v>
      </c>
      <c r="J500" s="120">
        <v>0.18947916666666667</v>
      </c>
      <c r="K500" s="53">
        <v>0</v>
      </c>
      <c r="L500" s="53">
        <v>0</v>
      </c>
      <c r="M500" s="53">
        <v>0</v>
      </c>
      <c r="N500" s="53">
        <v>0</v>
      </c>
      <c r="O500" s="53">
        <v>0</v>
      </c>
      <c r="P500" s="53">
        <v>0</v>
      </c>
      <c r="Q500" s="53">
        <v>0</v>
      </c>
      <c r="R500" s="53">
        <v>0</v>
      </c>
      <c r="S500" s="53">
        <v>0</v>
      </c>
      <c r="T500" s="53">
        <v>0</v>
      </c>
      <c r="U500" s="53">
        <v>0</v>
      </c>
      <c r="V500" s="53">
        <v>0</v>
      </c>
      <c r="W500" s="30">
        <f t="shared" si="184"/>
        <v>36.850200000000001</v>
      </c>
      <c r="Y500" s="53">
        <v>3</v>
      </c>
      <c r="Z500" s="53" t="s">
        <v>16</v>
      </c>
      <c r="AA500" s="53">
        <v>29280</v>
      </c>
      <c r="AB500" s="53">
        <v>80</v>
      </c>
      <c r="AC500" s="53">
        <v>2</v>
      </c>
      <c r="AD500" s="53">
        <v>8</v>
      </c>
      <c r="AE500" s="53">
        <v>410.65</v>
      </c>
      <c r="AF500" s="119">
        <v>40.755000000000003</v>
      </c>
      <c r="AG500" s="54">
        <v>45410</v>
      </c>
      <c r="AH500" s="55">
        <v>7.9699074074074075E-2</v>
      </c>
      <c r="AI500" s="53">
        <v>0</v>
      </c>
      <c r="AJ500" s="53">
        <v>0</v>
      </c>
      <c r="AK500" s="53">
        <v>0</v>
      </c>
      <c r="AL500" s="53">
        <v>0</v>
      </c>
      <c r="AM500" s="53">
        <v>0</v>
      </c>
      <c r="AN500" s="53">
        <v>0</v>
      </c>
      <c r="AO500" s="53">
        <v>0</v>
      </c>
      <c r="AP500" s="53">
        <v>0</v>
      </c>
      <c r="AQ500" s="53">
        <v>0</v>
      </c>
      <c r="AR500" s="53">
        <v>0</v>
      </c>
      <c r="AS500" s="53">
        <v>0</v>
      </c>
      <c r="AT500" s="53">
        <v>0</v>
      </c>
      <c r="AU500" s="30">
        <f>AU499</f>
        <v>40.733400000000003</v>
      </c>
    </row>
    <row r="501" spans="1:47" x14ac:dyDescent="0.25">
      <c r="A501" s="53">
        <v>4</v>
      </c>
      <c r="B501" s="53" t="s">
        <v>16</v>
      </c>
      <c r="C501" s="53">
        <v>29240</v>
      </c>
      <c r="D501" s="53">
        <v>136</v>
      </c>
      <c r="E501" s="53">
        <v>2</v>
      </c>
      <c r="F501" s="53">
        <v>8</v>
      </c>
      <c r="G501" s="53">
        <v>452.72</v>
      </c>
      <c r="H501" s="119">
        <v>36.817</v>
      </c>
      <c r="I501" s="54">
        <v>45411</v>
      </c>
      <c r="J501" s="120">
        <v>0.28631944444444446</v>
      </c>
      <c r="K501" s="53">
        <v>0</v>
      </c>
      <c r="L501" s="53">
        <v>0</v>
      </c>
      <c r="M501" s="53">
        <v>0</v>
      </c>
      <c r="N501" s="53">
        <v>0</v>
      </c>
      <c r="O501" s="53">
        <v>0</v>
      </c>
      <c r="P501" s="53">
        <v>0</v>
      </c>
      <c r="Q501" s="53">
        <v>0</v>
      </c>
      <c r="R501" s="53">
        <v>0</v>
      </c>
      <c r="S501" s="53">
        <v>0</v>
      </c>
      <c r="T501" s="53">
        <v>0</v>
      </c>
      <c r="U501" s="53">
        <v>0</v>
      </c>
      <c r="V501" s="53">
        <v>0</v>
      </c>
      <c r="W501" s="30">
        <f t="shared" si="184"/>
        <v>36.850200000000001</v>
      </c>
      <c r="Y501" s="53">
        <v>4</v>
      </c>
      <c r="Z501" s="53" t="s">
        <v>16</v>
      </c>
      <c r="AA501" s="53">
        <v>29280</v>
      </c>
      <c r="AB501" s="53">
        <v>80</v>
      </c>
      <c r="AC501" s="53">
        <v>2</v>
      </c>
      <c r="AD501" s="53">
        <v>8</v>
      </c>
      <c r="AE501" s="53">
        <v>411.24</v>
      </c>
      <c r="AF501" s="119">
        <v>40.697000000000003</v>
      </c>
      <c r="AG501" s="54">
        <v>45410</v>
      </c>
      <c r="AH501" s="55">
        <v>0.17784722222222221</v>
      </c>
      <c r="AI501" s="53">
        <v>0</v>
      </c>
      <c r="AJ501" s="53">
        <v>0</v>
      </c>
      <c r="AK501" s="53">
        <v>0</v>
      </c>
      <c r="AL501" s="53">
        <v>0</v>
      </c>
      <c r="AM501" s="53">
        <v>0</v>
      </c>
      <c r="AN501" s="53">
        <v>0</v>
      </c>
      <c r="AO501" s="53">
        <v>0</v>
      </c>
      <c r="AP501" s="53">
        <v>0</v>
      </c>
      <c r="AQ501" s="53">
        <v>0</v>
      </c>
      <c r="AR501" s="53">
        <v>0</v>
      </c>
      <c r="AS501" s="53">
        <v>0</v>
      </c>
      <c r="AT501" s="53">
        <v>0</v>
      </c>
      <c r="AU501" s="30">
        <f>AU500</f>
        <v>40.733400000000003</v>
      </c>
    </row>
    <row r="502" spans="1:47" x14ac:dyDescent="0.25">
      <c r="A502" s="53">
        <v>0</v>
      </c>
      <c r="B502" s="53" t="s">
        <v>16</v>
      </c>
      <c r="C502" s="53">
        <v>29032</v>
      </c>
      <c r="D502" s="53">
        <v>152</v>
      </c>
      <c r="E502" s="53">
        <v>2</v>
      </c>
      <c r="F502" s="53">
        <v>8</v>
      </c>
      <c r="G502" s="53">
        <v>440.07</v>
      </c>
      <c r="H502" s="119">
        <v>37.072000000000003</v>
      </c>
      <c r="I502" s="54">
        <v>45409</v>
      </c>
      <c r="J502" s="120">
        <v>0.41770833333333335</v>
      </c>
      <c r="K502" s="53">
        <v>0</v>
      </c>
      <c r="L502" s="53">
        <v>0</v>
      </c>
      <c r="M502" s="53">
        <v>0</v>
      </c>
      <c r="N502" s="53">
        <v>0</v>
      </c>
      <c r="O502" s="53">
        <v>0</v>
      </c>
      <c r="P502" s="53">
        <v>0</v>
      </c>
      <c r="Q502" s="53">
        <v>0</v>
      </c>
      <c r="R502" s="53">
        <v>0</v>
      </c>
      <c r="S502" s="53">
        <v>0</v>
      </c>
      <c r="T502" s="53">
        <v>0</v>
      </c>
      <c r="U502" s="53">
        <v>0</v>
      </c>
      <c r="V502" s="53">
        <v>0</v>
      </c>
      <c r="W502" s="30">
        <f t="shared" ref="W502" si="185">AVERAGE(H502:H506)</f>
        <v>37.203400000000002</v>
      </c>
      <c r="Y502" s="53">
        <v>0</v>
      </c>
      <c r="Z502" s="53" t="s">
        <v>16</v>
      </c>
      <c r="AA502" s="53">
        <v>29040</v>
      </c>
      <c r="AB502" s="53">
        <v>88</v>
      </c>
      <c r="AC502" s="53">
        <v>2</v>
      </c>
      <c r="AD502" s="53">
        <v>8</v>
      </c>
      <c r="AE502" s="53">
        <v>400.21</v>
      </c>
      <c r="AF502" s="119">
        <v>40.798999999999999</v>
      </c>
      <c r="AG502" s="54">
        <v>45408</v>
      </c>
      <c r="AH502" s="55">
        <v>0.94520833333333332</v>
      </c>
      <c r="AI502" s="53">
        <v>0</v>
      </c>
      <c r="AJ502" s="53">
        <v>0</v>
      </c>
      <c r="AK502" s="53">
        <v>0</v>
      </c>
      <c r="AL502" s="53">
        <v>0</v>
      </c>
      <c r="AM502" s="53">
        <v>0</v>
      </c>
      <c r="AN502" s="53">
        <v>0</v>
      </c>
      <c r="AO502" s="53">
        <v>0</v>
      </c>
      <c r="AP502" s="53">
        <v>0</v>
      </c>
      <c r="AQ502" s="53">
        <v>0</v>
      </c>
      <c r="AR502" s="53">
        <v>0</v>
      </c>
      <c r="AS502" s="53">
        <v>0</v>
      </c>
      <c r="AT502" s="53">
        <v>0</v>
      </c>
      <c r="AU502" s="30">
        <f t="shared" ref="AU502" si="186">AVERAGE(AF502:AF506)</f>
        <v>40.829600000000006</v>
      </c>
    </row>
    <row r="503" spans="1:47" x14ac:dyDescent="0.25">
      <c r="A503" s="53">
        <v>1</v>
      </c>
      <c r="B503" s="53" t="s">
        <v>16</v>
      </c>
      <c r="C503" s="53">
        <v>29032</v>
      </c>
      <c r="D503" s="53">
        <v>152</v>
      </c>
      <c r="E503" s="53">
        <v>2</v>
      </c>
      <c r="F503" s="53">
        <v>8</v>
      </c>
      <c r="G503" s="53">
        <v>437.97</v>
      </c>
      <c r="H503" s="119">
        <v>37.25</v>
      </c>
      <c r="I503" s="54">
        <v>45410</v>
      </c>
      <c r="J503" s="120">
        <v>0.95320601851851849</v>
      </c>
      <c r="K503" s="53">
        <v>0</v>
      </c>
      <c r="L503" s="53">
        <v>0</v>
      </c>
      <c r="M503" s="53">
        <v>0</v>
      </c>
      <c r="N503" s="53">
        <v>0</v>
      </c>
      <c r="O503" s="53">
        <v>0</v>
      </c>
      <c r="P503" s="53">
        <v>0</v>
      </c>
      <c r="Q503" s="53">
        <v>0</v>
      </c>
      <c r="R503" s="53">
        <v>0</v>
      </c>
      <c r="S503" s="53">
        <v>0</v>
      </c>
      <c r="T503" s="53">
        <v>0</v>
      </c>
      <c r="U503" s="53">
        <v>0</v>
      </c>
      <c r="V503" s="53">
        <v>0</v>
      </c>
      <c r="W503" s="30">
        <f t="shared" ref="W503" si="187">W502</f>
        <v>37.203400000000002</v>
      </c>
      <c r="Y503" s="53">
        <v>1</v>
      </c>
      <c r="Z503" s="53" t="s">
        <v>16</v>
      </c>
      <c r="AA503" s="53">
        <v>29040</v>
      </c>
      <c r="AB503" s="53">
        <v>88</v>
      </c>
      <c r="AC503" s="53">
        <v>2</v>
      </c>
      <c r="AD503" s="53">
        <v>8</v>
      </c>
      <c r="AE503" s="53">
        <v>399.66</v>
      </c>
      <c r="AF503" s="119">
        <v>40.854999999999997</v>
      </c>
      <c r="AG503" s="54">
        <v>45409</v>
      </c>
      <c r="AH503" s="55">
        <v>4.3287037037037034E-2</v>
      </c>
      <c r="AI503" s="53">
        <v>0</v>
      </c>
      <c r="AJ503" s="53">
        <v>0</v>
      </c>
      <c r="AK503" s="53">
        <v>0</v>
      </c>
      <c r="AL503" s="53">
        <v>0</v>
      </c>
      <c r="AM503" s="53">
        <v>0</v>
      </c>
      <c r="AN503" s="53">
        <v>0</v>
      </c>
      <c r="AO503" s="53">
        <v>0</v>
      </c>
      <c r="AP503" s="53">
        <v>0</v>
      </c>
      <c r="AQ503" s="53">
        <v>0</v>
      </c>
      <c r="AR503" s="53">
        <v>0</v>
      </c>
      <c r="AS503" s="53">
        <v>0</v>
      </c>
      <c r="AT503" s="53">
        <v>0</v>
      </c>
      <c r="AU503" s="30">
        <f t="shared" ref="AU503:AU536" si="188">AU502</f>
        <v>40.829600000000006</v>
      </c>
    </row>
    <row r="504" spans="1:47" x14ac:dyDescent="0.25">
      <c r="A504" s="53">
        <v>2</v>
      </c>
      <c r="B504" s="53" t="s">
        <v>16</v>
      </c>
      <c r="C504" s="53">
        <v>29032</v>
      </c>
      <c r="D504" s="53">
        <v>152</v>
      </c>
      <c r="E504" s="53">
        <v>2</v>
      </c>
      <c r="F504" s="53">
        <v>8</v>
      </c>
      <c r="G504" s="53">
        <v>438.2</v>
      </c>
      <c r="H504" s="119">
        <v>37.229999999999997</v>
      </c>
      <c r="I504" s="54">
        <v>45411</v>
      </c>
      <c r="J504" s="120">
        <v>4.9918981481481481E-2</v>
      </c>
      <c r="K504" s="53">
        <v>0</v>
      </c>
      <c r="L504" s="53">
        <v>0</v>
      </c>
      <c r="M504" s="53">
        <v>0</v>
      </c>
      <c r="N504" s="53">
        <v>0</v>
      </c>
      <c r="O504" s="53">
        <v>0</v>
      </c>
      <c r="P504" s="53">
        <v>0</v>
      </c>
      <c r="Q504" s="53">
        <v>0</v>
      </c>
      <c r="R504" s="53">
        <v>0</v>
      </c>
      <c r="S504" s="53">
        <v>0</v>
      </c>
      <c r="T504" s="53">
        <v>0</v>
      </c>
      <c r="U504" s="53">
        <v>0</v>
      </c>
      <c r="V504" s="53">
        <v>0</v>
      </c>
      <c r="W504" s="30">
        <f t="shared" si="182"/>
        <v>37.203400000000002</v>
      </c>
      <c r="Y504" s="53">
        <v>2</v>
      </c>
      <c r="Z504" s="53" t="s">
        <v>16</v>
      </c>
      <c r="AA504" s="53">
        <v>29040</v>
      </c>
      <c r="AB504" s="53">
        <v>88</v>
      </c>
      <c r="AC504" s="53">
        <v>2</v>
      </c>
      <c r="AD504" s="53">
        <v>8</v>
      </c>
      <c r="AE504" s="53">
        <v>399.51</v>
      </c>
      <c r="AF504" s="119">
        <v>40.869999999999997</v>
      </c>
      <c r="AG504" s="54">
        <v>45409</v>
      </c>
      <c r="AH504" s="55">
        <v>0.93804398148148149</v>
      </c>
      <c r="AI504" s="53">
        <v>0</v>
      </c>
      <c r="AJ504" s="53">
        <v>0</v>
      </c>
      <c r="AK504" s="53">
        <v>0</v>
      </c>
      <c r="AL504" s="53">
        <v>0</v>
      </c>
      <c r="AM504" s="53">
        <v>0</v>
      </c>
      <c r="AN504" s="53">
        <v>0</v>
      </c>
      <c r="AO504" s="53">
        <v>0</v>
      </c>
      <c r="AP504" s="53">
        <v>0</v>
      </c>
      <c r="AQ504" s="53">
        <v>0</v>
      </c>
      <c r="AR504" s="53">
        <v>0</v>
      </c>
      <c r="AS504" s="53">
        <v>0</v>
      </c>
      <c r="AT504" s="53">
        <v>0</v>
      </c>
      <c r="AU504" s="30">
        <f t="shared" si="188"/>
        <v>40.829600000000006</v>
      </c>
    </row>
    <row r="505" spans="1:47" x14ac:dyDescent="0.25">
      <c r="A505" s="53">
        <v>3</v>
      </c>
      <c r="B505" s="53" t="s">
        <v>16</v>
      </c>
      <c r="C505" s="53">
        <v>29032</v>
      </c>
      <c r="D505" s="53">
        <v>152</v>
      </c>
      <c r="E505" s="53">
        <v>2</v>
      </c>
      <c r="F505" s="53">
        <v>8</v>
      </c>
      <c r="G505" s="53">
        <v>438.18</v>
      </c>
      <c r="H505" s="119">
        <v>37.231999999999999</v>
      </c>
      <c r="I505" s="54">
        <v>45411</v>
      </c>
      <c r="J505" s="120">
        <v>0.14660879629629631</v>
      </c>
      <c r="K505" s="53">
        <v>0</v>
      </c>
      <c r="L505" s="53">
        <v>0</v>
      </c>
      <c r="M505" s="53">
        <v>0</v>
      </c>
      <c r="N505" s="53">
        <v>0</v>
      </c>
      <c r="O505" s="53">
        <v>0</v>
      </c>
      <c r="P505" s="53">
        <v>0</v>
      </c>
      <c r="Q505" s="53">
        <v>0</v>
      </c>
      <c r="R505" s="53">
        <v>0</v>
      </c>
      <c r="S505" s="53">
        <v>0</v>
      </c>
      <c r="T505" s="53">
        <v>0</v>
      </c>
      <c r="U505" s="53">
        <v>0</v>
      </c>
      <c r="V505" s="53">
        <v>0</v>
      </c>
      <c r="W505" s="30">
        <f t="shared" si="182"/>
        <v>37.203400000000002</v>
      </c>
      <c r="Y505" s="53">
        <v>3</v>
      </c>
      <c r="Z505" s="53" t="s">
        <v>16</v>
      </c>
      <c r="AA505" s="53">
        <v>29040</v>
      </c>
      <c r="AB505" s="53">
        <v>88</v>
      </c>
      <c r="AC505" s="53">
        <v>2</v>
      </c>
      <c r="AD505" s="53">
        <v>8</v>
      </c>
      <c r="AE505" s="53">
        <v>399.89</v>
      </c>
      <c r="AF505" s="119">
        <v>40.831000000000003</v>
      </c>
      <c r="AG505" s="54">
        <v>45410</v>
      </c>
      <c r="AH505" s="55">
        <v>3.6377314814814814E-2</v>
      </c>
      <c r="AI505" s="53">
        <v>0</v>
      </c>
      <c r="AJ505" s="53">
        <v>0</v>
      </c>
      <c r="AK505" s="53">
        <v>0</v>
      </c>
      <c r="AL505" s="53">
        <v>0</v>
      </c>
      <c r="AM505" s="53">
        <v>0</v>
      </c>
      <c r="AN505" s="53">
        <v>0</v>
      </c>
      <c r="AO505" s="53">
        <v>0</v>
      </c>
      <c r="AP505" s="53">
        <v>0</v>
      </c>
      <c r="AQ505" s="53">
        <v>0</v>
      </c>
      <c r="AR505" s="53">
        <v>0</v>
      </c>
      <c r="AS505" s="53">
        <v>0</v>
      </c>
      <c r="AT505" s="53">
        <v>0</v>
      </c>
      <c r="AU505" s="30">
        <f t="shared" si="188"/>
        <v>40.829600000000006</v>
      </c>
    </row>
    <row r="506" spans="1:47" x14ac:dyDescent="0.25">
      <c r="A506" s="53">
        <v>4</v>
      </c>
      <c r="B506" s="53" t="s">
        <v>16</v>
      </c>
      <c r="C506" s="53">
        <v>29032</v>
      </c>
      <c r="D506" s="53">
        <v>152</v>
      </c>
      <c r="E506" s="53">
        <v>2</v>
      </c>
      <c r="F506" s="53">
        <v>8</v>
      </c>
      <c r="G506" s="53">
        <v>438.17</v>
      </c>
      <c r="H506" s="119">
        <v>37.232999999999997</v>
      </c>
      <c r="I506" s="54">
        <v>45411</v>
      </c>
      <c r="J506" s="120">
        <v>0.24336805555555555</v>
      </c>
      <c r="K506" s="53">
        <v>0</v>
      </c>
      <c r="L506" s="53">
        <v>0</v>
      </c>
      <c r="M506" s="53">
        <v>0</v>
      </c>
      <c r="N506" s="53">
        <v>0</v>
      </c>
      <c r="O506" s="53">
        <v>0</v>
      </c>
      <c r="P506" s="53">
        <v>0</v>
      </c>
      <c r="Q506" s="53">
        <v>0</v>
      </c>
      <c r="R506" s="53">
        <v>0</v>
      </c>
      <c r="S506" s="53">
        <v>0</v>
      </c>
      <c r="T506" s="53">
        <v>0</v>
      </c>
      <c r="U506" s="53">
        <v>0</v>
      </c>
      <c r="V506" s="53">
        <v>0</v>
      </c>
      <c r="W506" s="30">
        <f t="shared" si="182"/>
        <v>37.203400000000002</v>
      </c>
      <c r="Y506" s="53">
        <v>4</v>
      </c>
      <c r="Z506" s="53" t="s">
        <v>16</v>
      </c>
      <c r="AA506" s="53">
        <v>29040</v>
      </c>
      <c r="AB506" s="53">
        <v>88</v>
      </c>
      <c r="AC506" s="53">
        <v>2</v>
      </c>
      <c r="AD506" s="53">
        <v>8</v>
      </c>
      <c r="AE506" s="53">
        <v>400.26</v>
      </c>
      <c r="AF506" s="119">
        <v>40.792999999999999</v>
      </c>
      <c r="AG506" s="54">
        <v>45410</v>
      </c>
      <c r="AH506" s="55">
        <v>0.13449074074074074</v>
      </c>
      <c r="AI506" s="53">
        <v>0</v>
      </c>
      <c r="AJ506" s="53">
        <v>0</v>
      </c>
      <c r="AK506" s="53">
        <v>0</v>
      </c>
      <c r="AL506" s="53">
        <v>0</v>
      </c>
      <c r="AM506" s="53">
        <v>0</v>
      </c>
      <c r="AN506" s="53">
        <v>0</v>
      </c>
      <c r="AO506" s="53">
        <v>0</v>
      </c>
      <c r="AP506" s="53">
        <v>0</v>
      </c>
      <c r="AQ506" s="53">
        <v>0</v>
      </c>
      <c r="AR506" s="53">
        <v>0</v>
      </c>
      <c r="AS506" s="53">
        <v>0</v>
      </c>
      <c r="AT506" s="53">
        <v>0</v>
      </c>
      <c r="AU506" s="30">
        <f t="shared" si="188"/>
        <v>40.829600000000006</v>
      </c>
    </row>
    <row r="507" spans="1:47" x14ac:dyDescent="0.25">
      <c r="A507" s="53">
        <v>0</v>
      </c>
      <c r="B507" s="53" t="s">
        <v>16</v>
      </c>
      <c r="C507" s="53">
        <v>29184</v>
      </c>
      <c r="D507" s="53">
        <v>152</v>
      </c>
      <c r="E507" s="53">
        <v>2</v>
      </c>
      <c r="F507" s="53">
        <v>8</v>
      </c>
      <c r="G507" s="53">
        <v>446.61</v>
      </c>
      <c r="H507" s="119">
        <v>37.106000000000002</v>
      </c>
      <c r="I507" s="54">
        <v>45413</v>
      </c>
      <c r="J507" s="120">
        <v>0.11063657407407407</v>
      </c>
      <c r="K507" s="53">
        <v>0</v>
      </c>
      <c r="L507" s="53">
        <v>0</v>
      </c>
      <c r="M507" s="53">
        <v>0</v>
      </c>
      <c r="N507" s="53">
        <v>0</v>
      </c>
      <c r="O507" s="53">
        <v>0</v>
      </c>
      <c r="P507" s="53">
        <v>0</v>
      </c>
      <c r="Q507" s="53">
        <v>0</v>
      </c>
      <c r="R507" s="53">
        <v>0</v>
      </c>
      <c r="S507" s="53">
        <v>0</v>
      </c>
      <c r="T507" s="53">
        <v>0</v>
      </c>
      <c r="U507" s="53">
        <v>0</v>
      </c>
      <c r="V507" s="53">
        <v>0</v>
      </c>
      <c r="W507" s="30">
        <f t="shared" ref="W507" si="189">AVERAGE(H507:H511)</f>
        <v>37.180399999999999</v>
      </c>
      <c r="Y507" s="53">
        <v>0</v>
      </c>
      <c r="Z507" s="53" t="s">
        <v>16</v>
      </c>
      <c r="AA507" s="53">
        <v>29304</v>
      </c>
      <c r="AB507" s="53">
        <v>88</v>
      </c>
      <c r="AC507" s="53">
        <v>2</v>
      </c>
      <c r="AD507" s="53">
        <v>8</v>
      </c>
      <c r="AE507" s="53">
        <v>410.6</v>
      </c>
      <c r="AF507" s="119">
        <v>40.86</v>
      </c>
      <c r="AG507" s="54">
        <v>45408</v>
      </c>
      <c r="AH507" s="55">
        <v>0.99403935185185188</v>
      </c>
      <c r="AI507" s="53">
        <v>0</v>
      </c>
      <c r="AJ507" s="53">
        <v>0</v>
      </c>
      <c r="AK507" s="53">
        <v>0</v>
      </c>
      <c r="AL507" s="53">
        <v>0</v>
      </c>
      <c r="AM507" s="53">
        <v>0</v>
      </c>
      <c r="AN507" s="53">
        <v>0</v>
      </c>
      <c r="AO507" s="53">
        <v>0</v>
      </c>
      <c r="AP507" s="53">
        <v>0</v>
      </c>
      <c r="AQ507" s="53">
        <v>0</v>
      </c>
      <c r="AR507" s="53">
        <v>0</v>
      </c>
      <c r="AS507" s="53">
        <v>0</v>
      </c>
      <c r="AT507" s="53">
        <v>0</v>
      </c>
      <c r="AU507" s="30">
        <f t="shared" ref="AU507:AU537" si="190">AVERAGE(AF507:AF511)</f>
        <v>40.819200000000002</v>
      </c>
    </row>
    <row r="508" spans="1:47" x14ac:dyDescent="0.25">
      <c r="A508" s="53">
        <v>1</v>
      </c>
      <c r="B508" s="53" t="s">
        <v>16</v>
      </c>
      <c r="C508" s="53">
        <v>29184</v>
      </c>
      <c r="D508" s="53">
        <v>152</v>
      </c>
      <c r="E508" s="53">
        <v>2</v>
      </c>
      <c r="F508" s="53">
        <v>8</v>
      </c>
      <c r="G508" s="53">
        <v>445.02</v>
      </c>
      <c r="H508" s="119">
        <v>37.238999999999997</v>
      </c>
      <c r="I508" s="54">
        <v>45413</v>
      </c>
      <c r="J508" s="120">
        <v>0.15393518518518517</v>
      </c>
      <c r="K508" s="53">
        <v>0</v>
      </c>
      <c r="L508" s="53">
        <v>0</v>
      </c>
      <c r="M508" s="53">
        <v>0</v>
      </c>
      <c r="N508" s="53">
        <v>0</v>
      </c>
      <c r="O508" s="53">
        <v>0</v>
      </c>
      <c r="P508" s="53">
        <v>0</v>
      </c>
      <c r="Q508" s="53">
        <v>0</v>
      </c>
      <c r="R508" s="53">
        <v>0</v>
      </c>
      <c r="S508" s="53">
        <v>0</v>
      </c>
      <c r="T508" s="53">
        <v>0</v>
      </c>
      <c r="U508" s="53">
        <v>0</v>
      </c>
      <c r="V508" s="53">
        <v>0</v>
      </c>
      <c r="W508" s="30">
        <f t="shared" ref="W508" si="191">W507</f>
        <v>37.180399999999999</v>
      </c>
      <c r="Y508" s="53">
        <v>1</v>
      </c>
      <c r="Z508" s="53" t="s">
        <v>16</v>
      </c>
      <c r="AA508" s="53">
        <v>29304</v>
      </c>
      <c r="AB508" s="53">
        <v>88</v>
      </c>
      <c r="AC508" s="53">
        <v>2</v>
      </c>
      <c r="AD508" s="53">
        <v>8</v>
      </c>
      <c r="AE508" s="53">
        <v>411.66</v>
      </c>
      <c r="AF508" s="119">
        <v>40.755000000000003</v>
      </c>
      <c r="AG508" s="54">
        <v>45409</v>
      </c>
      <c r="AH508" s="55">
        <v>0.88875000000000004</v>
      </c>
      <c r="AI508" s="53">
        <v>0</v>
      </c>
      <c r="AJ508" s="53">
        <v>0</v>
      </c>
      <c r="AK508" s="53">
        <v>0</v>
      </c>
      <c r="AL508" s="53">
        <v>0</v>
      </c>
      <c r="AM508" s="53">
        <v>0</v>
      </c>
      <c r="AN508" s="53">
        <v>0</v>
      </c>
      <c r="AO508" s="53">
        <v>0</v>
      </c>
      <c r="AP508" s="53">
        <v>0</v>
      </c>
      <c r="AQ508" s="53">
        <v>0</v>
      </c>
      <c r="AR508" s="53">
        <v>0</v>
      </c>
      <c r="AS508" s="53">
        <v>0</v>
      </c>
      <c r="AT508" s="53">
        <v>1127</v>
      </c>
      <c r="AU508" s="30">
        <f t="shared" ref="AU508:AU561" si="192">AU507</f>
        <v>40.819200000000002</v>
      </c>
    </row>
    <row r="509" spans="1:47" x14ac:dyDescent="0.25">
      <c r="A509" s="53">
        <v>2</v>
      </c>
      <c r="B509" s="53" t="s">
        <v>16</v>
      </c>
      <c r="C509" s="53">
        <v>29184</v>
      </c>
      <c r="D509" s="53">
        <v>152</v>
      </c>
      <c r="E509" s="53">
        <v>2</v>
      </c>
      <c r="F509" s="53">
        <v>8</v>
      </c>
      <c r="G509" s="53">
        <v>444.88</v>
      </c>
      <c r="H509" s="119">
        <v>37.250999999999998</v>
      </c>
      <c r="I509" s="54">
        <v>45411</v>
      </c>
      <c r="J509" s="120">
        <v>9.8148148148148151E-2</v>
      </c>
      <c r="K509" s="53">
        <v>0</v>
      </c>
      <c r="L509" s="53">
        <v>0</v>
      </c>
      <c r="M509" s="53">
        <v>0</v>
      </c>
      <c r="N509" s="53">
        <v>0</v>
      </c>
      <c r="O509" s="53">
        <v>0</v>
      </c>
      <c r="P509" s="53">
        <v>0</v>
      </c>
      <c r="Q509" s="53">
        <v>0</v>
      </c>
      <c r="R509" s="53">
        <v>0</v>
      </c>
      <c r="S509" s="53">
        <v>0</v>
      </c>
      <c r="T509" s="53">
        <v>0</v>
      </c>
      <c r="U509" s="53">
        <v>0</v>
      </c>
      <c r="V509" s="53">
        <v>0</v>
      </c>
      <c r="W509" s="30">
        <f t="shared" si="184"/>
        <v>37.180399999999999</v>
      </c>
      <c r="Y509" s="53">
        <v>2</v>
      </c>
      <c r="Z509" s="53" t="s">
        <v>16</v>
      </c>
      <c r="AA509" s="53">
        <v>29304</v>
      </c>
      <c r="AB509" s="53">
        <v>88</v>
      </c>
      <c r="AC509" s="53">
        <v>2</v>
      </c>
      <c r="AD509" s="53">
        <v>8</v>
      </c>
      <c r="AE509" s="53">
        <v>411</v>
      </c>
      <c r="AF509" s="119">
        <v>40.82</v>
      </c>
      <c r="AG509" s="54">
        <v>45409</v>
      </c>
      <c r="AH509" s="55">
        <v>0.98706018518518523</v>
      </c>
      <c r="AI509" s="53">
        <v>0</v>
      </c>
      <c r="AJ509" s="53">
        <v>0</v>
      </c>
      <c r="AK509" s="53">
        <v>0</v>
      </c>
      <c r="AL509" s="53">
        <v>0</v>
      </c>
      <c r="AM509" s="53">
        <v>0</v>
      </c>
      <c r="AN509" s="53">
        <v>0</v>
      </c>
      <c r="AO509" s="53">
        <v>0</v>
      </c>
      <c r="AP509" s="53">
        <v>0</v>
      </c>
      <c r="AQ509" s="53">
        <v>0</v>
      </c>
      <c r="AR509" s="53">
        <v>0</v>
      </c>
      <c r="AS509" s="53">
        <v>0</v>
      </c>
      <c r="AT509" s="53">
        <v>0</v>
      </c>
      <c r="AU509" s="30">
        <f t="shared" si="192"/>
        <v>40.819200000000002</v>
      </c>
    </row>
    <row r="510" spans="1:47" x14ac:dyDescent="0.25">
      <c r="A510" s="53">
        <v>3</v>
      </c>
      <c r="B510" s="53" t="s">
        <v>16</v>
      </c>
      <c r="C510" s="53">
        <v>29184</v>
      </c>
      <c r="D510" s="53">
        <v>152</v>
      </c>
      <c r="E510" s="53">
        <v>2</v>
      </c>
      <c r="F510" s="53">
        <v>8</v>
      </c>
      <c r="G510" s="53">
        <v>446.17</v>
      </c>
      <c r="H510" s="119">
        <v>37.143000000000001</v>
      </c>
      <c r="I510" s="54">
        <v>45411</v>
      </c>
      <c r="J510" s="120">
        <v>0.19487268518518519</v>
      </c>
      <c r="K510" s="53">
        <v>0</v>
      </c>
      <c r="L510" s="53">
        <v>0</v>
      </c>
      <c r="M510" s="53">
        <v>0</v>
      </c>
      <c r="N510" s="53">
        <v>0</v>
      </c>
      <c r="O510" s="53">
        <v>0</v>
      </c>
      <c r="P510" s="53">
        <v>0</v>
      </c>
      <c r="Q510" s="53">
        <v>0</v>
      </c>
      <c r="R510" s="53">
        <v>0</v>
      </c>
      <c r="S510" s="53">
        <v>0</v>
      </c>
      <c r="T510" s="53">
        <v>0</v>
      </c>
      <c r="U510" s="53">
        <v>0</v>
      </c>
      <c r="V510" s="53">
        <v>0</v>
      </c>
      <c r="W510" s="30">
        <f t="shared" si="184"/>
        <v>37.180399999999999</v>
      </c>
      <c r="Y510" s="53">
        <v>3</v>
      </c>
      <c r="Z510" s="53" t="s">
        <v>16</v>
      </c>
      <c r="AA510" s="53">
        <v>29304</v>
      </c>
      <c r="AB510" s="53">
        <v>88</v>
      </c>
      <c r="AC510" s="53">
        <v>2</v>
      </c>
      <c r="AD510" s="53">
        <v>8</v>
      </c>
      <c r="AE510" s="53">
        <v>410.94</v>
      </c>
      <c r="AF510" s="119">
        <v>40.826999999999998</v>
      </c>
      <c r="AG510" s="54">
        <v>45410</v>
      </c>
      <c r="AH510" s="55">
        <v>8.520833333333333E-2</v>
      </c>
      <c r="AI510" s="53">
        <v>0</v>
      </c>
      <c r="AJ510" s="53">
        <v>0</v>
      </c>
      <c r="AK510" s="53">
        <v>0</v>
      </c>
      <c r="AL510" s="53">
        <v>0</v>
      </c>
      <c r="AM510" s="53">
        <v>0</v>
      </c>
      <c r="AN510" s="53">
        <v>0</v>
      </c>
      <c r="AO510" s="53">
        <v>0</v>
      </c>
      <c r="AP510" s="53">
        <v>0</v>
      </c>
      <c r="AQ510" s="53">
        <v>0</v>
      </c>
      <c r="AR510" s="53">
        <v>0</v>
      </c>
      <c r="AS510" s="53">
        <v>0</v>
      </c>
      <c r="AT510" s="53">
        <v>0</v>
      </c>
      <c r="AU510" s="30">
        <f t="shared" si="192"/>
        <v>40.819200000000002</v>
      </c>
    </row>
    <row r="511" spans="1:47" x14ac:dyDescent="0.25">
      <c r="A511" s="53">
        <v>4</v>
      </c>
      <c r="B511" s="53" t="s">
        <v>16</v>
      </c>
      <c r="C511" s="53">
        <v>29184</v>
      </c>
      <c r="D511" s="53">
        <v>152</v>
      </c>
      <c r="E511" s="53">
        <v>2</v>
      </c>
      <c r="F511" s="53">
        <v>8</v>
      </c>
      <c r="G511" s="53">
        <v>445.93</v>
      </c>
      <c r="H511" s="119">
        <v>37.162999999999997</v>
      </c>
      <c r="I511" s="54">
        <v>45411</v>
      </c>
      <c r="J511" s="120">
        <v>0.29171296296296295</v>
      </c>
      <c r="K511" s="53">
        <v>0</v>
      </c>
      <c r="L511" s="53">
        <v>0</v>
      </c>
      <c r="M511" s="53">
        <v>0</v>
      </c>
      <c r="N511" s="53">
        <v>0</v>
      </c>
      <c r="O511" s="53">
        <v>0</v>
      </c>
      <c r="P511" s="53">
        <v>0</v>
      </c>
      <c r="Q511" s="53">
        <v>0</v>
      </c>
      <c r="R511" s="53">
        <v>0</v>
      </c>
      <c r="S511" s="53">
        <v>0</v>
      </c>
      <c r="T511" s="53">
        <v>0</v>
      </c>
      <c r="U511" s="53">
        <v>0</v>
      </c>
      <c r="V511" s="53">
        <v>0</v>
      </c>
      <c r="W511" s="30">
        <f t="shared" si="184"/>
        <v>37.180399999999999</v>
      </c>
      <c r="Y511" s="53">
        <v>4</v>
      </c>
      <c r="Z511" s="53" t="s">
        <v>16</v>
      </c>
      <c r="AA511" s="53">
        <v>29304</v>
      </c>
      <c r="AB511" s="53">
        <v>88</v>
      </c>
      <c r="AC511" s="53">
        <v>2</v>
      </c>
      <c r="AD511" s="53">
        <v>8</v>
      </c>
      <c r="AE511" s="53">
        <v>410.87</v>
      </c>
      <c r="AF511" s="119">
        <v>40.834000000000003</v>
      </c>
      <c r="AG511" s="54">
        <v>45410</v>
      </c>
      <c r="AH511" s="55">
        <v>0.18334490740740741</v>
      </c>
      <c r="AI511" s="53">
        <v>0</v>
      </c>
      <c r="AJ511" s="53">
        <v>0</v>
      </c>
      <c r="AK511" s="53">
        <v>0</v>
      </c>
      <c r="AL511" s="53">
        <v>0</v>
      </c>
      <c r="AM511" s="53">
        <v>0</v>
      </c>
      <c r="AN511" s="53">
        <v>0</v>
      </c>
      <c r="AO511" s="53">
        <v>0</v>
      </c>
      <c r="AP511" s="53">
        <v>0</v>
      </c>
      <c r="AQ511" s="53">
        <v>0</v>
      </c>
      <c r="AR511" s="53">
        <v>0</v>
      </c>
      <c r="AS511" s="53">
        <v>0</v>
      </c>
      <c r="AT511" s="53">
        <v>0</v>
      </c>
      <c r="AU511" s="30">
        <f t="shared" si="192"/>
        <v>40.819200000000002</v>
      </c>
    </row>
    <row r="512" spans="1:47" x14ac:dyDescent="0.25">
      <c r="A512" s="53">
        <v>0</v>
      </c>
      <c r="B512" s="53" t="s">
        <v>16</v>
      </c>
      <c r="C512" s="53">
        <v>28896</v>
      </c>
      <c r="D512" s="53">
        <v>172</v>
      </c>
      <c r="E512" s="53">
        <v>2</v>
      </c>
      <c r="F512" s="53">
        <v>8</v>
      </c>
      <c r="G512" s="53">
        <v>442.44</v>
      </c>
      <c r="H512" s="119">
        <v>36.357999999999997</v>
      </c>
      <c r="I512" s="54">
        <v>45413</v>
      </c>
      <c r="J512" s="120">
        <v>9.4351851851851853E-2</v>
      </c>
      <c r="K512" s="53">
        <v>0</v>
      </c>
      <c r="L512" s="53">
        <v>0</v>
      </c>
      <c r="M512" s="53">
        <v>0</v>
      </c>
      <c r="N512" s="53">
        <v>0</v>
      </c>
      <c r="O512" s="53">
        <v>0</v>
      </c>
      <c r="P512" s="53">
        <v>0</v>
      </c>
      <c r="Q512" s="53">
        <v>0</v>
      </c>
      <c r="R512" s="53">
        <v>0</v>
      </c>
      <c r="S512" s="53">
        <v>0</v>
      </c>
      <c r="T512" s="53">
        <v>0</v>
      </c>
      <c r="U512" s="53">
        <v>0</v>
      </c>
      <c r="V512" s="53">
        <v>0</v>
      </c>
      <c r="W512" s="30">
        <f t="shared" ref="W512" si="193">AVERAGE(H512:H516)</f>
        <v>36.660199999999996</v>
      </c>
      <c r="Y512" s="53">
        <v>0</v>
      </c>
      <c r="Z512" s="53" t="s">
        <v>16</v>
      </c>
      <c r="AA512" s="53">
        <v>29016</v>
      </c>
      <c r="AB512" s="53">
        <v>104</v>
      </c>
      <c r="AC512" s="53">
        <v>2</v>
      </c>
      <c r="AD512" s="53">
        <v>8</v>
      </c>
      <c r="AE512" s="53">
        <v>398.77</v>
      </c>
      <c r="AF512" s="119">
        <v>40.844999999999999</v>
      </c>
      <c r="AG512" s="54">
        <v>45408</v>
      </c>
      <c r="AH512" s="55">
        <v>0.95054398148148145</v>
      </c>
      <c r="AI512" s="53">
        <v>0</v>
      </c>
      <c r="AJ512" s="53">
        <v>0</v>
      </c>
      <c r="AK512" s="53">
        <v>0</v>
      </c>
      <c r="AL512" s="53">
        <v>0</v>
      </c>
      <c r="AM512" s="53">
        <v>0</v>
      </c>
      <c r="AN512" s="53">
        <v>0</v>
      </c>
      <c r="AO512" s="53">
        <v>0</v>
      </c>
      <c r="AP512" s="53">
        <v>0</v>
      </c>
      <c r="AQ512" s="53">
        <v>0</v>
      </c>
      <c r="AR512" s="53">
        <v>0</v>
      </c>
      <c r="AS512" s="53">
        <v>0</v>
      </c>
      <c r="AT512" s="53">
        <v>0</v>
      </c>
      <c r="AU512" s="30">
        <f t="shared" ref="AU512:AU542" si="194">AVERAGE(AF512:AF516)</f>
        <v>40.664000000000001</v>
      </c>
    </row>
    <row r="513" spans="1:47" x14ac:dyDescent="0.25">
      <c r="A513" s="53">
        <v>1</v>
      </c>
      <c r="B513" s="53" t="s">
        <v>16</v>
      </c>
      <c r="C513" s="53">
        <v>28896</v>
      </c>
      <c r="D513" s="53">
        <v>172</v>
      </c>
      <c r="E513" s="53">
        <v>2</v>
      </c>
      <c r="F513" s="53">
        <v>8</v>
      </c>
      <c r="G513" s="53">
        <v>437.3</v>
      </c>
      <c r="H513" s="119">
        <v>36.784999999999997</v>
      </c>
      <c r="I513" s="54">
        <v>45413</v>
      </c>
      <c r="J513" s="120">
        <v>0.14315972222222223</v>
      </c>
      <c r="K513" s="53">
        <v>0</v>
      </c>
      <c r="L513" s="53">
        <v>0</v>
      </c>
      <c r="M513" s="53">
        <v>0</v>
      </c>
      <c r="N513" s="53">
        <v>0</v>
      </c>
      <c r="O513" s="53">
        <v>0</v>
      </c>
      <c r="P513" s="53">
        <v>0</v>
      </c>
      <c r="Q513" s="53">
        <v>0</v>
      </c>
      <c r="R513" s="53">
        <v>0</v>
      </c>
      <c r="S513" s="53">
        <v>0</v>
      </c>
      <c r="T513" s="53">
        <v>0</v>
      </c>
      <c r="U513" s="53">
        <v>0</v>
      </c>
      <c r="V513" s="53">
        <v>0</v>
      </c>
      <c r="W513" s="30">
        <f t="shared" ref="W513" si="195">W512</f>
        <v>36.660199999999996</v>
      </c>
      <c r="Y513" s="53">
        <v>1</v>
      </c>
      <c r="Z513" s="53" t="s">
        <v>16</v>
      </c>
      <c r="AA513" s="53">
        <v>29016</v>
      </c>
      <c r="AB513" s="53">
        <v>104</v>
      </c>
      <c r="AC513" s="53">
        <v>2</v>
      </c>
      <c r="AD513" s="53">
        <v>8</v>
      </c>
      <c r="AE513" s="53">
        <v>397.55</v>
      </c>
      <c r="AF513" s="119">
        <v>40.97</v>
      </c>
      <c r="AG513" s="54">
        <v>45409</v>
      </c>
      <c r="AH513" s="55">
        <v>4.8622685185185185E-2</v>
      </c>
      <c r="AI513" s="53">
        <v>0</v>
      </c>
      <c r="AJ513" s="53">
        <v>0</v>
      </c>
      <c r="AK513" s="53">
        <v>0</v>
      </c>
      <c r="AL513" s="53">
        <v>0</v>
      </c>
      <c r="AM513" s="53">
        <v>0</v>
      </c>
      <c r="AN513" s="53">
        <v>0</v>
      </c>
      <c r="AO513" s="53">
        <v>0</v>
      </c>
      <c r="AP513" s="53">
        <v>0</v>
      </c>
      <c r="AQ513" s="53">
        <v>0</v>
      </c>
      <c r="AR513" s="53">
        <v>0</v>
      </c>
      <c r="AS513" s="53">
        <v>0</v>
      </c>
      <c r="AT513" s="53">
        <v>0</v>
      </c>
      <c r="AU513" s="30">
        <f t="shared" ref="AU513:AU543" si="196">AU512</f>
        <v>40.664000000000001</v>
      </c>
    </row>
    <row r="514" spans="1:47" x14ac:dyDescent="0.25">
      <c r="A514" s="53">
        <v>2</v>
      </c>
      <c r="B514" s="53" t="s">
        <v>16</v>
      </c>
      <c r="C514" s="53">
        <v>28896</v>
      </c>
      <c r="D514" s="53">
        <v>172</v>
      </c>
      <c r="E514" s="53">
        <v>2</v>
      </c>
      <c r="F514" s="53">
        <v>8</v>
      </c>
      <c r="G514" s="53">
        <v>437.83</v>
      </c>
      <c r="H514" s="119">
        <v>36.741</v>
      </c>
      <c r="I514" s="54">
        <v>45411</v>
      </c>
      <c r="J514" s="120">
        <v>7.6412037037037042E-2</v>
      </c>
      <c r="K514" s="53">
        <v>0</v>
      </c>
      <c r="L514" s="53">
        <v>0</v>
      </c>
      <c r="M514" s="53">
        <v>0</v>
      </c>
      <c r="N514" s="53">
        <v>0</v>
      </c>
      <c r="O514" s="53">
        <v>0</v>
      </c>
      <c r="P514" s="53">
        <v>0</v>
      </c>
      <c r="Q514" s="53">
        <v>0</v>
      </c>
      <c r="R514" s="53">
        <v>0</v>
      </c>
      <c r="S514" s="53">
        <v>0</v>
      </c>
      <c r="T514" s="53">
        <v>0</v>
      </c>
      <c r="U514" s="53">
        <v>0</v>
      </c>
      <c r="V514" s="53">
        <v>0</v>
      </c>
      <c r="W514" s="30">
        <f t="shared" si="182"/>
        <v>36.660199999999996</v>
      </c>
      <c r="Y514" s="53">
        <v>2</v>
      </c>
      <c r="Z514" s="53" t="s">
        <v>16</v>
      </c>
      <c r="AA514" s="53">
        <v>29016</v>
      </c>
      <c r="AB514" s="53">
        <v>104</v>
      </c>
      <c r="AC514" s="53">
        <v>2</v>
      </c>
      <c r="AD514" s="53">
        <v>8</v>
      </c>
      <c r="AE514" s="53">
        <v>410.68</v>
      </c>
      <c r="AF514" s="119">
        <v>39.659999999999997</v>
      </c>
      <c r="AG514" s="54">
        <v>45409</v>
      </c>
      <c r="AH514" s="55">
        <v>0.94353009259259257</v>
      </c>
      <c r="AI514" s="53">
        <v>0</v>
      </c>
      <c r="AJ514" s="53">
        <v>0</v>
      </c>
      <c r="AK514" s="53">
        <v>0</v>
      </c>
      <c r="AL514" s="53">
        <v>0</v>
      </c>
      <c r="AM514" s="53">
        <v>0</v>
      </c>
      <c r="AN514" s="53">
        <v>0</v>
      </c>
      <c r="AO514" s="53">
        <v>0</v>
      </c>
      <c r="AP514" s="53">
        <v>0</v>
      </c>
      <c r="AQ514" s="53">
        <v>0</v>
      </c>
      <c r="AR514" s="53">
        <v>0</v>
      </c>
      <c r="AS514" s="53">
        <v>0</v>
      </c>
      <c r="AT514" s="53">
        <v>0</v>
      </c>
      <c r="AU514" s="30">
        <f t="shared" si="192"/>
        <v>40.664000000000001</v>
      </c>
    </row>
    <row r="515" spans="1:47" x14ac:dyDescent="0.25">
      <c r="A515" s="53">
        <v>3</v>
      </c>
      <c r="B515" s="53" t="s">
        <v>16</v>
      </c>
      <c r="C515" s="53">
        <v>28896</v>
      </c>
      <c r="D515" s="53">
        <v>172</v>
      </c>
      <c r="E515" s="53">
        <v>2</v>
      </c>
      <c r="F515" s="53">
        <v>8</v>
      </c>
      <c r="G515" s="53">
        <v>437.23</v>
      </c>
      <c r="H515" s="119">
        <v>36.792000000000002</v>
      </c>
      <c r="I515" s="54">
        <v>45411</v>
      </c>
      <c r="J515" s="120">
        <v>0.17310185185185184</v>
      </c>
      <c r="K515" s="53">
        <v>0</v>
      </c>
      <c r="L515" s="53">
        <v>0</v>
      </c>
      <c r="M515" s="53">
        <v>0</v>
      </c>
      <c r="N515" s="53">
        <v>0</v>
      </c>
      <c r="O515" s="53">
        <v>0</v>
      </c>
      <c r="P515" s="53">
        <v>0</v>
      </c>
      <c r="Q515" s="53">
        <v>0</v>
      </c>
      <c r="R515" s="53">
        <v>0</v>
      </c>
      <c r="S515" s="53">
        <v>0</v>
      </c>
      <c r="T515" s="53">
        <v>0</v>
      </c>
      <c r="U515" s="53">
        <v>0</v>
      </c>
      <c r="V515" s="53">
        <v>0</v>
      </c>
      <c r="W515" s="30">
        <f t="shared" si="182"/>
        <v>36.660199999999996</v>
      </c>
      <c r="Y515" s="53">
        <v>3</v>
      </c>
      <c r="Z515" s="53" t="s">
        <v>16</v>
      </c>
      <c r="AA515" s="53">
        <v>29016</v>
      </c>
      <c r="AB515" s="53">
        <v>104</v>
      </c>
      <c r="AC515" s="53">
        <v>2</v>
      </c>
      <c r="AD515" s="53">
        <v>8</v>
      </c>
      <c r="AE515" s="53">
        <v>397.84</v>
      </c>
      <c r="AF515" s="119">
        <v>40.94</v>
      </c>
      <c r="AG515" s="54">
        <v>45410</v>
      </c>
      <c r="AH515" s="55">
        <v>4.1701388888888892E-2</v>
      </c>
      <c r="AI515" s="53">
        <v>0</v>
      </c>
      <c r="AJ515" s="53">
        <v>0</v>
      </c>
      <c r="AK515" s="53">
        <v>0</v>
      </c>
      <c r="AL515" s="53">
        <v>0</v>
      </c>
      <c r="AM515" s="53">
        <v>0</v>
      </c>
      <c r="AN515" s="53">
        <v>0</v>
      </c>
      <c r="AO515" s="53">
        <v>0</v>
      </c>
      <c r="AP515" s="53">
        <v>0</v>
      </c>
      <c r="AQ515" s="53">
        <v>0</v>
      </c>
      <c r="AR515" s="53">
        <v>0</v>
      </c>
      <c r="AS515" s="53">
        <v>0</v>
      </c>
      <c r="AT515" s="53">
        <v>0</v>
      </c>
      <c r="AU515" s="30">
        <f t="shared" si="192"/>
        <v>40.664000000000001</v>
      </c>
    </row>
    <row r="516" spans="1:47" x14ac:dyDescent="0.25">
      <c r="A516" s="53">
        <v>4</v>
      </c>
      <c r="B516" s="53" t="s">
        <v>16</v>
      </c>
      <c r="C516" s="53">
        <v>28896</v>
      </c>
      <c r="D516" s="53">
        <v>172</v>
      </c>
      <c r="E516" s="53">
        <v>2</v>
      </c>
      <c r="F516" s="53">
        <v>8</v>
      </c>
      <c r="G516" s="53">
        <v>439.21</v>
      </c>
      <c r="H516" s="119">
        <v>36.625</v>
      </c>
      <c r="I516" s="54">
        <v>45411</v>
      </c>
      <c r="J516" s="120">
        <v>0.26989583333333333</v>
      </c>
      <c r="K516" s="53">
        <v>0</v>
      </c>
      <c r="L516" s="53">
        <v>0</v>
      </c>
      <c r="M516" s="53">
        <v>0</v>
      </c>
      <c r="N516" s="53">
        <v>0</v>
      </c>
      <c r="O516" s="53">
        <v>0</v>
      </c>
      <c r="P516" s="53">
        <v>0</v>
      </c>
      <c r="Q516" s="53">
        <v>0</v>
      </c>
      <c r="R516" s="53">
        <v>0</v>
      </c>
      <c r="S516" s="53">
        <v>0</v>
      </c>
      <c r="T516" s="53">
        <v>0</v>
      </c>
      <c r="U516" s="53">
        <v>0</v>
      </c>
      <c r="V516" s="53">
        <v>0</v>
      </c>
      <c r="W516" s="30">
        <f t="shared" si="182"/>
        <v>36.660199999999996</v>
      </c>
      <c r="Y516" s="53">
        <v>4</v>
      </c>
      <c r="Z516" s="53" t="s">
        <v>16</v>
      </c>
      <c r="AA516" s="53">
        <v>29016</v>
      </c>
      <c r="AB516" s="53">
        <v>104</v>
      </c>
      <c r="AC516" s="53">
        <v>2</v>
      </c>
      <c r="AD516" s="53">
        <v>8</v>
      </c>
      <c r="AE516" s="53">
        <v>398.17</v>
      </c>
      <c r="AF516" s="119">
        <v>40.905000000000001</v>
      </c>
      <c r="AG516" s="54">
        <v>45410</v>
      </c>
      <c r="AH516" s="55">
        <v>0.13982638888888888</v>
      </c>
      <c r="AI516" s="53">
        <v>0</v>
      </c>
      <c r="AJ516" s="53">
        <v>0</v>
      </c>
      <c r="AK516" s="53">
        <v>0</v>
      </c>
      <c r="AL516" s="53">
        <v>0</v>
      </c>
      <c r="AM516" s="53">
        <v>0</v>
      </c>
      <c r="AN516" s="53">
        <v>0</v>
      </c>
      <c r="AO516" s="53">
        <v>0</v>
      </c>
      <c r="AP516" s="53">
        <v>0</v>
      </c>
      <c r="AQ516" s="53">
        <v>0</v>
      </c>
      <c r="AR516" s="53">
        <v>0</v>
      </c>
      <c r="AS516" s="53">
        <v>0</v>
      </c>
      <c r="AT516" s="53">
        <v>0</v>
      </c>
      <c r="AU516" s="30">
        <f t="shared" si="192"/>
        <v>40.664000000000001</v>
      </c>
    </row>
    <row r="517" spans="1:47" x14ac:dyDescent="0.25">
      <c r="A517" s="53">
        <v>0</v>
      </c>
      <c r="B517" s="53" t="s">
        <v>16</v>
      </c>
      <c r="C517" s="53">
        <v>29240</v>
      </c>
      <c r="D517" s="53">
        <v>172</v>
      </c>
      <c r="E517" s="53">
        <v>2</v>
      </c>
      <c r="F517" s="53">
        <v>8</v>
      </c>
      <c r="G517" s="53">
        <v>456.69</v>
      </c>
      <c r="H517" s="119">
        <v>36.497</v>
      </c>
      <c r="I517" s="54">
        <v>45413</v>
      </c>
      <c r="J517" s="120">
        <v>0.11614583333333334</v>
      </c>
      <c r="K517" s="53">
        <v>0</v>
      </c>
      <c r="L517" s="53">
        <v>0</v>
      </c>
      <c r="M517" s="53">
        <v>0</v>
      </c>
      <c r="N517" s="53">
        <v>0</v>
      </c>
      <c r="O517" s="53">
        <v>0</v>
      </c>
      <c r="P517" s="53">
        <v>0</v>
      </c>
      <c r="Q517" s="53">
        <v>0</v>
      </c>
      <c r="R517" s="53">
        <v>0</v>
      </c>
      <c r="S517" s="53">
        <v>0</v>
      </c>
      <c r="T517" s="53">
        <v>0</v>
      </c>
      <c r="U517" s="53">
        <v>0</v>
      </c>
      <c r="V517" s="53">
        <v>0</v>
      </c>
      <c r="W517" s="30">
        <f t="shared" ref="W517" si="197">AVERAGE(H517:H521)</f>
        <v>36.594799999999999</v>
      </c>
      <c r="Y517" s="53">
        <v>0</v>
      </c>
      <c r="Z517" s="53" t="s">
        <v>16</v>
      </c>
      <c r="AA517" s="53">
        <v>29224</v>
      </c>
      <c r="AB517" s="53">
        <v>104</v>
      </c>
      <c r="AC517" s="53">
        <v>2</v>
      </c>
      <c r="AD517" s="53">
        <v>8</v>
      </c>
      <c r="AE517" s="53">
        <v>405.79</v>
      </c>
      <c r="AF517" s="119">
        <v>41.006999999999998</v>
      </c>
      <c r="AG517" s="54">
        <v>45408</v>
      </c>
      <c r="AH517" s="55">
        <v>0.9994791666666667</v>
      </c>
      <c r="AI517" s="53">
        <v>0</v>
      </c>
      <c r="AJ517" s="53">
        <v>0</v>
      </c>
      <c r="AK517" s="53">
        <v>0</v>
      </c>
      <c r="AL517" s="53">
        <v>0</v>
      </c>
      <c r="AM517" s="53">
        <v>0</v>
      </c>
      <c r="AN517" s="53">
        <v>0</v>
      </c>
      <c r="AO517" s="53">
        <v>0</v>
      </c>
      <c r="AP517" s="53">
        <v>0</v>
      </c>
      <c r="AQ517" s="53">
        <v>0</v>
      </c>
      <c r="AR517" s="53">
        <v>0</v>
      </c>
      <c r="AS517" s="53">
        <v>0</v>
      </c>
      <c r="AT517" s="53">
        <v>0</v>
      </c>
      <c r="AU517" s="30">
        <f t="shared" ref="AU517:AU547" si="198">AVERAGE(AF517:AF521)</f>
        <v>40.979599999999991</v>
      </c>
    </row>
    <row r="518" spans="1:47" x14ac:dyDescent="0.25">
      <c r="A518" s="53">
        <v>1</v>
      </c>
      <c r="B518" s="53" t="s">
        <v>16</v>
      </c>
      <c r="C518" s="53">
        <v>29240</v>
      </c>
      <c r="D518" s="53">
        <v>172</v>
      </c>
      <c r="E518" s="53">
        <v>2</v>
      </c>
      <c r="F518" s="53">
        <v>8</v>
      </c>
      <c r="G518" s="53">
        <v>455.13</v>
      </c>
      <c r="H518" s="119">
        <v>36.622</v>
      </c>
      <c r="I518" s="54">
        <v>45411</v>
      </c>
      <c r="J518" s="120">
        <v>2.8622685185185185E-2</v>
      </c>
      <c r="K518" s="53">
        <v>0</v>
      </c>
      <c r="L518" s="53">
        <v>0</v>
      </c>
      <c r="M518" s="53">
        <v>0</v>
      </c>
      <c r="N518" s="53">
        <v>0</v>
      </c>
      <c r="O518" s="53">
        <v>0</v>
      </c>
      <c r="P518" s="53">
        <v>0</v>
      </c>
      <c r="Q518" s="53">
        <v>0</v>
      </c>
      <c r="R518" s="53">
        <v>0</v>
      </c>
      <c r="S518" s="53">
        <v>0</v>
      </c>
      <c r="T518" s="53">
        <v>0</v>
      </c>
      <c r="U518" s="53">
        <v>0</v>
      </c>
      <c r="V518" s="53">
        <v>0</v>
      </c>
      <c r="W518" s="30">
        <f t="shared" ref="W518" si="199">W517</f>
        <v>36.594799999999999</v>
      </c>
      <c r="Y518" s="53">
        <v>1</v>
      </c>
      <c r="Z518" s="53" t="s">
        <v>16</v>
      </c>
      <c r="AA518" s="53">
        <v>29224</v>
      </c>
      <c r="AB518" s="53">
        <v>104</v>
      </c>
      <c r="AC518" s="53">
        <v>2</v>
      </c>
      <c r="AD518" s="53">
        <v>8</v>
      </c>
      <c r="AE518" s="53">
        <v>405.95</v>
      </c>
      <c r="AF518" s="119">
        <v>40.991</v>
      </c>
      <c r="AG518" s="54">
        <v>45409</v>
      </c>
      <c r="AH518" s="55">
        <v>0.89418981481481485</v>
      </c>
      <c r="AI518" s="53">
        <v>0</v>
      </c>
      <c r="AJ518" s="53">
        <v>0</v>
      </c>
      <c r="AK518" s="53">
        <v>0</v>
      </c>
      <c r="AL518" s="53">
        <v>0</v>
      </c>
      <c r="AM518" s="53">
        <v>0</v>
      </c>
      <c r="AN518" s="53">
        <v>0</v>
      </c>
      <c r="AO518" s="53">
        <v>0</v>
      </c>
      <c r="AP518" s="53">
        <v>0</v>
      </c>
      <c r="AQ518" s="53">
        <v>0</v>
      </c>
      <c r="AR518" s="53">
        <v>0</v>
      </c>
      <c r="AS518" s="53">
        <v>0</v>
      </c>
      <c r="AT518" s="53">
        <v>953</v>
      </c>
      <c r="AU518" s="30">
        <f t="shared" ref="AU518:AU548" si="200">AU517</f>
        <v>40.979599999999991</v>
      </c>
    </row>
    <row r="519" spans="1:47" x14ac:dyDescent="0.25">
      <c r="A519" s="53">
        <v>2</v>
      </c>
      <c r="B519" s="53" t="s">
        <v>16</v>
      </c>
      <c r="C519" s="53">
        <v>29240</v>
      </c>
      <c r="D519" s="53">
        <v>172</v>
      </c>
      <c r="E519" s="53">
        <v>2</v>
      </c>
      <c r="F519" s="53">
        <v>8</v>
      </c>
      <c r="G519" s="53">
        <v>454.97</v>
      </c>
      <c r="H519" s="119">
        <v>36.634999999999998</v>
      </c>
      <c r="I519" s="54">
        <v>45411</v>
      </c>
      <c r="J519" s="120">
        <v>0.12531249999999999</v>
      </c>
      <c r="K519" s="53">
        <v>0</v>
      </c>
      <c r="L519" s="53">
        <v>0</v>
      </c>
      <c r="M519" s="53">
        <v>0</v>
      </c>
      <c r="N519" s="53">
        <v>0</v>
      </c>
      <c r="O519" s="53">
        <v>0</v>
      </c>
      <c r="P519" s="53">
        <v>0</v>
      </c>
      <c r="Q519" s="53">
        <v>0</v>
      </c>
      <c r="R519" s="53">
        <v>0</v>
      </c>
      <c r="S519" s="53">
        <v>0</v>
      </c>
      <c r="T519" s="53">
        <v>0</v>
      </c>
      <c r="U519" s="53">
        <v>0</v>
      </c>
      <c r="V519" s="53">
        <v>0</v>
      </c>
      <c r="W519" s="30">
        <f t="shared" si="184"/>
        <v>36.594799999999999</v>
      </c>
      <c r="Y519" s="53">
        <v>2</v>
      </c>
      <c r="Z519" s="53" t="s">
        <v>16</v>
      </c>
      <c r="AA519" s="53">
        <v>29224</v>
      </c>
      <c r="AB519" s="53">
        <v>104</v>
      </c>
      <c r="AC519" s="53">
        <v>2</v>
      </c>
      <c r="AD519" s="53">
        <v>8</v>
      </c>
      <c r="AE519" s="53">
        <v>406.52</v>
      </c>
      <c r="AF519" s="119">
        <v>40.933999999999997</v>
      </c>
      <c r="AG519" s="54">
        <v>45409</v>
      </c>
      <c r="AH519" s="55">
        <v>0.99252314814814813</v>
      </c>
      <c r="AI519" s="53">
        <v>0</v>
      </c>
      <c r="AJ519" s="53">
        <v>0</v>
      </c>
      <c r="AK519" s="53">
        <v>0</v>
      </c>
      <c r="AL519" s="53">
        <v>0</v>
      </c>
      <c r="AM519" s="53">
        <v>0</v>
      </c>
      <c r="AN519" s="53">
        <v>0</v>
      </c>
      <c r="AO519" s="53">
        <v>0</v>
      </c>
      <c r="AP519" s="53">
        <v>0</v>
      </c>
      <c r="AQ519" s="53">
        <v>0</v>
      </c>
      <c r="AR519" s="53">
        <v>0</v>
      </c>
      <c r="AS519" s="53">
        <v>0</v>
      </c>
      <c r="AT519" s="53">
        <v>0</v>
      </c>
      <c r="AU519" s="30">
        <f t="shared" si="192"/>
        <v>40.979599999999991</v>
      </c>
    </row>
    <row r="520" spans="1:47" x14ac:dyDescent="0.25">
      <c r="A520" s="53">
        <v>3</v>
      </c>
      <c r="B520" s="53" t="s">
        <v>16</v>
      </c>
      <c r="C520" s="53">
        <v>29240</v>
      </c>
      <c r="D520" s="53">
        <v>172</v>
      </c>
      <c r="E520" s="53">
        <v>2</v>
      </c>
      <c r="F520" s="53">
        <v>8</v>
      </c>
      <c r="G520" s="53">
        <v>455.43</v>
      </c>
      <c r="H520" s="119">
        <v>36.597000000000001</v>
      </c>
      <c r="I520" s="54">
        <v>45411</v>
      </c>
      <c r="J520" s="120">
        <v>0.22207175925925926</v>
      </c>
      <c r="K520" s="53">
        <v>0</v>
      </c>
      <c r="L520" s="53">
        <v>0</v>
      </c>
      <c r="M520" s="53">
        <v>0</v>
      </c>
      <c r="N520" s="53">
        <v>0</v>
      </c>
      <c r="O520" s="53">
        <v>0</v>
      </c>
      <c r="P520" s="53">
        <v>0</v>
      </c>
      <c r="Q520" s="53">
        <v>0</v>
      </c>
      <c r="R520" s="53">
        <v>0</v>
      </c>
      <c r="S520" s="53">
        <v>0</v>
      </c>
      <c r="T520" s="53">
        <v>0</v>
      </c>
      <c r="U520" s="53">
        <v>0</v>
      </c>
      <c r="V520" s="53">
        <v>0</v>
      </c>
      <c r="W520" s="30">
        <f t="shared" si="184"/>
        <v>36.594799999999999</v>
      </c>
      <c r="Y520" s="53">
        <v>3</v>
      </c>
      <c r="Z520" s="53" t="s">
        <v>16</v>
      </c>
      <c r="AA520" s="53">
        <v>29224</v>
      </c>
      <c r="AB520" s="53">
        <v>104</v>
      </c>
      <c r="AC520" s="53">
        <v>2</v>
      </c>
      <c r="AD520" s="53">
        <v>8</v>
      </c>
      <c r="AE520" s="53">
        <v>405.4</v>
      </c>
      <c r="AF520" s="119">
        <v>41.045999999999999</v>
      </c>
      <c r="AG520" s="54">
        <v>45410</v>
      </c>
      <c r="AH520" s="55">
        <v>9.0648148148148144E-2</v>
      </c>
      <c r="AI520" s="53">
        <v>0</v>
      </c>
      <c r="AJ520" s="53">
        <v>0</v>
      </c>
      <c r="AK520" s="53">
        <v>0</v>
      </c>
      <c r="AL520" s="53">
        <v>0</v>
      </c>
      <c r="AM520" s="53">
        <v>0</v>
      </c>
      <c r="AN520" s="53">
        <v>0</v>
      </c>
      <c r="AO520" s="53">
        <v>0</v>
      </c>
      <c r="AP520" s="53">
        <v>0</v>
      </c>
      <c r="AQ520" s="53">
        <v>0</v>
      </c>
      <c r="AR520" s="53">
        <v>0</v>
      </c>
      <c r="AS520" s="53">
        <v>0</v>
      </c>
      <c r="AT520" s="53">
        <v>0</v>
      </c>
      <c r="AU520" s="30">
        <f t="shared" si="192"/>
        <v>40.979599999999991</v>
      </c>
    </row>
    <row r="521" spans="1:47" x14ac:dyDescent="0.25">
      <c r="A521" s="53">
        <v>4</v>
      </c>
      <c r="B521" s="53" t="s">
        <v>16</v>
      </c>
      <c r="C521" s="53">
        <v>29240</v>
      </c>
      <c r="D521" s="53">
        <v>172</v>
      </c>
      <c r="E521" s="53">
        <v>2</v>
      </c>
      <c r="F521" s="53">
        <v>8</v>
      </c>
      <c r="G521" s="53">
        <v>455.11</v>
      </c>
      <c r="H521" s="119">
        <v>36.622999999999998</v>
      </c>
      <c r="I521" s="54">
        <v>45411</v>
      </c>
      <c r="J521" s="120">
        <v>0.31891203703703702</v>
      </c>
      <c r="K521" s="53">
        <v>0</v>
      </c>
      <c r="L521" s="53">
        <v>0</v>
      </c>
      <c r="M521" s="53">
        <v>0</v>
      </c>
      <c r="N521" s="53">
        <v>0</v>
      </c>
      <c r="O521" s="53">
        <v>0</v>
      </c>
      <c r="P521" s="53">
        <v>0</v>
      </c>
      <c r="Q521" s="53">
        <v>0</v>
      </c>
      <c r="R521" s="53">
        <v>0</v>
      </c>
      <c r="S521" s="53">
        <v>0</v>
      </c>
      <c r="T521" s="53">
        <v>0</v>
      </c>
      <c r="U521" s="53">
        <v>0</v>
      </c>
      <c r="V521" s="53">
        <v>0</v>
      </c>
      <c r="W521" s="30">
        <f t="shared" si="184"/>
        <v>36.594799999999999</v>
      </c>
      <c r="Y521" s="53">
        <v>4</v>
      </c>
      <c r="Z521" s="53" t="s">
        <v>16</v>
      </c>
      <c r="AA521" s="53">
        <v>29224</v>
      </c>
      <c r="AB521" s="53">
        <v>104</v>
      </c>
      <c r="AC521" s="53">
        <v>2</v>
      </c>
      <c r="AD521" s="53">
        <v>8</v>
      </c>
      <c r="AE521" s="53">
        <v>406.66</v>
      </c>
      <c r="AF521" s="119">
        <v>40.92</v>
      </c>
      <c r="AG521" s="54">
        <v>45410</v>
      </c>
      <c r="AH521" s="55">
        <v>0.18880787037037036</v>
      </c>
      <c r="AI521" s="53">
        <v>0</v>
      </c>
      <c r="AJ521" s="53">
        <v>0</v>
      </c>
      <c r="AK521" s="53">
        <v>0</v>
      </c>
      <c r="AL521" s="53">
        <v>0</v>
      </c>
      <c r="AM521" s="53">
        <v>0</v>
      </c>
      <c r="AN521" s="53">
        <v>0</v>
      </c>
      <c r="AO521" s="53">
        <v>0</v>
      </c>
      <c r="AP521" s="53">
        <v>0</v>
      </c>
      <c r="AQ521" s="53">
        <v>0</v>
      </c>
      <c r="AR521" s="53">
        <v>0</v>
      </c>
      <c r="AS521" s="53">
        <v>0</v>
      </c>
      <c r="AT521" s="53">
        <v>0</v>
      </c>
      <c r="AU521" s="30">
        <f t="shared" si="192"/>
        <v>40.979599999999991</v>
      </c>
    </row>
    <row r="522" spans="1:47" x14ac:dyDescent="0.25">
      <c r="A522" s="53">
        <v>0</v>
      </c>
      <c r="B522" s="53" t="s">
        <v>16</v>
      </c>
      <c r="C522" s="53">
        <v>29040</v>
      </c>
      <c r="D522" s="53">
        <v>176</v>
      </c>
      <c r="E522" s="53">
        <v>2</v>
      </c>
      <c r="F522" s="53">
        <v>8</v>
      </c>
      <c r="G522" s="53">
        <v>442.08</v>
      </c>
      <c r="H522" s="119">
        <v>36.935000000000002</v>
      </c>
      <c r="I522" s="54">
        <v>45410</v>
      </c>
      <c r="J522" s="120">
        <v>0.37792824074074072</v>
      </c>
      <c r="K522" s="53">
        <v>0</v>
      </c>
      <c r="L522" s="53">
        <v>0</v>
      </c>
      <c r="M522" s="53">
        <v>0</v>
      </c>
      <c r="N522" s="53">
        <v>0</v>
      </c>
      <c r="O522" s="53">
        <v>0</v>
      </c>
      <c r="P522" s="53">
        <v>0</v>
      </c>
      <c r="Q522" s="53">
        <v>0</v>
      </c>
      <c r="R522" s="53">
        <v>0</v>
      </c>
      <c r="S522" s="53">
        <v>0</v>
      </c>
      <c r="T522" s="53">
        <v>0</v>
      </c>
      <c r="U522" s="53">
        <v>0</v>
      </c>
      <c r="V522" s="53">
        <v>0</v>
      </c>
      <c r="W522" s="30">
        <f t="shared" ref="W522" si="201">AVERAGE(H522:H526)</f>
        <v>37.301400000000001</v>
      </c>
      <c r="Y522" s="53">
        <v>0</v>
      </c>
      <c r="Z522" s="53" t="s">
        <v>16</v>
      </c>
      <c r="AA522" s="53">
        <v>29008</v>
      </c>
      <c r="AB522" s="53">
        <v>112</v>
      </c>
      <c r="AC522" s="53">
        <v>2</v>
      </c>
      <c r="AD522" s="53">
        <v>8</v>
      </c>
      <c r="AE522" s="53">
        <v>397.58</v>
      </c>
      <c r="AF522" s="119">
        <v>40.933</v>
      </c>
      <c r="AG522" s="54">
        <v>45408</v>
      </c>
      <c r="AH522" s="55">
        <v>0.95589120370370373</v>
      </c>
      <c r="AI522" s="53">
        <v>0</v>
      </c>
      <c r="AJ522" s="53">
        <v>0</v>
      </c>
      <c r="AK522" s="53">
        <v>0</v>
      </c>
      <c r="AL522" s="53">
        <v>0</v>
      </c>
      <c r="AM522" s="53">
        <v>0</v>
      </c>
      <c r="AN522" s="53">
        <v>0</v>
      </c>
      <c r="AO522" s="53">
        <v>0</v>
      </c>
      <c r="AP522" s="53">
        <v>0</v>
      </c>
      <c r="AQ522" s="53">
        <v>0</v>
      </c>
      <c r="AR522" s="53">
        <v>0</v>
      </c>
      <c r="AS522" s="53">
        <v>0</v>
      </c>
      <c r="AT522" s="53">
        <v>0</v>
      </c>
      <c r="AU522" s="30">
        <f t="shared" ref="AU522:AU552" si="202">AVERAGE(AF522:AF526)</f>
        <v>40.878599999999999</v>
      </c>
    </row>
    <row r="523" spans="1:47" x14ac:dyDescent="0.25">
      <c r="A523" s="53">
        <v>1</v>
      </c>
      <c r="B523" s="53" t="s">
        <v>16</v>
      </c>
      <c r="C523" s="53">
        <v>29040</v>
      </c>
      <c r="D523" s="53">
        <v>176</v>
      </c>
      <c r="E523" s="53">
        <v>2</v>
      </c>
      <c r="F523" s="53">
        <v>8</v>
      </c>
      <c r="G523" s="53">
        <v>436.7</v>
      </c>
      <c r="H523" s="119">
        <v>37.389000000000003</v>
      </c>
      <c r="I523" s="54">
        <v>45410</v>
      </c>
      <c r="J523" s="120">
        <v>0.97440972222222222</v>
      </c>
      <c r="K523" s="53">
        <v>0</v>
      </c>
      <c r="L523" s="53">
        <v>0</v>
      </c>
      <c r="M523" s="53">
        <v>0</v>
      </c>
      <c r="N523" s="53">
        <v>0</v>
      </c>
      <c r="O523" s="53">
        <v>0</v>
      </c>
      <c r="P523" s="53">
        <v>0</v>
      </c>
      <c r="Q523" s="53">
        <v>0</v>
      </c>
      <c r="R523" s="53">
        <v>0</v>
      </c>
      <c r="S523" s="53">
        <v>0</v>
      </c>
      <c r="T523" s="53">
        <v>0</v>
      </c>
      <c r="U523" s="53">
        <v>0</v>
      </c>
      <c r="V523" s="53">
        <v>0</v>
      </c>
      <c r="W523" s="30">
        <f t="shared" ref="W523" si="203">W522</f>
        <v>37.301400000000001</v>
      </c>
      <c r="Y523" s="53">
        <v>1</v>
      </c>
      <c r="Z523" s="53" t="s">
        <v>16</v>
      </c>
      <c r="AA523" s="53">
        <v>29008</v>
      </c>
      <c r="AB523" s="53">
        <v>112</v>
      </c>
      <c r="AC523" s="53">
        <v>2</v>
      </c>
      <c r="AD523" s="53">
        <v>8</v>
      </c>
      <c r="AE523" s="53">
        <v>397.97</v>
      </c>
      <c r="AF523" s="119">
        <v>40.893000000000001</v>
      </c>
      <c r="AG523" s="54">
        <v>45409</v>
      </c>
      <c r="AH523" s="55">
        <v>5.3969907407407404E-2</v>
      </c>
      <c r="AI523" s="53">
        <v>0</v>
      </c>
      <c r="AJ523" s="53">
        <v>0</v>
      </c>
      <c r="AK523" s="53">
        <v>0</v>
      </c>
      <c r="AL523" s="53">
        <v>0</v>
      </c>
      <c r="AM523" s="53">
        <v>0</v>
      </c>
      <c r="AN523" s="53">
        <v>0</v>
      </c>
      <c r="AO523" s="53">
        <v>0</v>
      </c>
      <c r="AP523" s="53">
        <v>0</v>
      </c>
      <c r="AQ523" s="53">
        <v>0</v>
      </c>
      <c r="AR523" s="53">
        <v>0</v>
      </c>
      <c r="AS523" s="53">
        <v>0</v>
      </c>
      <c r="AT523" s="53">
        <v>0</v>
      </c>
      <c r="AU523" s="30">
        <f t="shared" ref="AU523:AU553" si="204">AU522</f>
        <v>40.878599999999999</v>
      </c>
    </row>
    <row r="524" spans="1:47" x14ac:dyDescent="0.25">
      <c r="A524" s="53">
        <v>2</v>
      </c>
      <c r="B524" s="53" t="s">
        <v>16</v>
      </c>
      <c r="C524" s="53">
        <v>29040</v>
      </c>
      <c r="D524" s="53">
        <v>176</v>
      </c>
      <c r="E524" s="53">
        <v>2</v>
      </c>
      <c r="F524" s="53">
        <v>8</v>
      </c>
      <c r="G524" s="53">
        <v>436.4</v>
      </c>
      <c r="H524" s="119">
        <v>37.414999999999999</v>
      </c>
      <c r="I524" s="54">
        <v>45411</v>
      </c>
      <c r="J524" s="120">
        <v>7.1122685185185192E-2</v>
      </c>
      <c r="K524" s="53">
        <v>0</v>
      </c>
      <c r="L524" s="53">
        <v>0</v>
      </c>
      <c r="M524" s="53">
        <v>0</v>
      </c>
      <c r="N524" s="53">
        <v>0</v>
      </c>
      <c r="O524" s="53">
        <v>0</v>
      </c>
      <c r="P524" s="53">
        <v>0</v>
      </c>
      <c r="Q524" s="53">
        <v>0</v>
      </c>
      <c r="R524" s="53">
        <v>0</v>
      </c>
      <c r="S524" s="53">
        <v>0</v>
      </c>
      <c r="T524" s="53">
        <v>0</v>
      </c>
      <c r="U524" s="53">
        <v>0</v>
      </c>
      <c r="V524" s="53">
        <v>0</v>
      </c>
      <c r="W524" s="30">
        <f t="shared" si="182"/>
        <v>37.301400000000001</v>
      </c>
      <c r="Y524" s="53">
        <v>2</v>
      </c>
      <c r="Z524" s="53" t="s">
        <v>16</v>
      </c>
      <c r="AA524" s="53">
        <v>29008</v>
      </c>
      <c r="AB524" s="53">
        <v>112</v>
      </c>
      <c r="AC524" s="53">
        <v>2</v>
      </c>
      <c r="AD524" s="53">
        <v>8</v>
      </c>
      <c r="AE524" s="53">
        <v>398.68</v>
      </c>
      <c r="AF524" s="119">
        <v>40.819000000000003</v>
      </c>
      <c r="AG524" s="54">
        <v>45409</v>
      </c>
      <c r="AH524" s="55">
        <v>0.94887731481481485</v>
      </c>
      <c r="AI524" s="53">
        <v>0</v>
      </c>
      <c r="AJ524" s="53">
        <v>0</v>
      </c>
      <c r="AK524" s="53">
        <v>0</v>
      </c>
      <c r="AL524" s="53">
        <v>0</v>
      </c>
      <c r="AM524" s="53">
        <v>0</v>
      </c>
      <c r="AN524" s="53">
        <v>0</v>
      </c>
      <c r="AO524" s="53">
        <v>0</v>
      </c>
      <c r="AP524" s="53">
        <v>0</v>
      </c>
      <c r="AQ524" s="53">
        <v>0</v>
      </c>
      <c r="AR524" s="53">
        <v>0</v>
      </c>
      <c r="AS524" s="53">
        <v>0</v>
      </c>
      <c r="AT524" s="53">
        <v>0</v>
      </c>
      <c r="AU524" s="30">
        <f t="shared" si="192"/>
        <v>40.878599999999999</v>
      </c>
    </row>
    <row r="525" spans="1:47" x14ac:dyDescent="0.25">
      <c r="A525" s="53">
        <v>3</v>
      </c>
      <c r="B525" s="53" t="s">
        <v>16</v>
      </c>
      <c r="C525" s="53">
        <v>29040</v>
      </c>
      <c r="D525" s="53">
        <v>176</v>
      </c>
      <c r="E525" s="53">
        <v>2</v>
      </c>
      <c r="F525" s="53">
        <v>8</v>
      </c>
      <c r="G525" s="53">
        <v>436.81</v>
      </c>
      <c r="H525" s="119">
        <v>37.380000000000003</v>
      </c>
      <c r="I525" s="54">
        <v>45411</v>
      </c>
      <c r="J525" s="120">
        <v>0.16782407407407407</v>
      </c>
      <c r="K525" s="53">
        <v>0</v>
      </c>
      <c r="L525" s="53">
        <v>0</v>
      </c>
      <c r="M525" s="53">
        <v>0</v>
      </c>
      <c r="N525" s="53">
        <v>0</v>
      </c>
      <c r="O525" s="53">
        <v>0</v>
      </c>
      <c r="P525" s="53">
        <v>0</v>
      </c>
      <c r="Q525" s="53">
        <v>0</v>
      </c>
      <c r="R525" s="53">
        <v>0</v>
      </c>
      <c r="S525" s="53">
        <v>0</v>
      </c>
      <c r="T525" s="53">
        <v>0</v>
      </c>
      <c r="U525" s="53">
        <v>0</v>
      </c>
      <c r="V525" s="53">
        <v>0</v>
      </c>
      <c r="W525" s="30">
        <f t="shared" si="182"/>
        <v>37.301400000000001</v>
      </c>
      <c r="Y525" s="53">
        <v>3</v>
      </c>
      <c r="Z525" s="53" t="s">
        <v>16</v>
      </c>
      <c r="AA525" s="53">
        <v>29008</v>
      </c>
      <c r="AB525" s="53">
        <v>112</v>
      </c>
      <c r="AC525" s="53">
        <v>2</v>
      </c>
      <c r="AD525" s="53">
        <v>8</v>
      </c>
      <c r="AE525" s="53">
        <v>397.98</v>
      </c>
      <c r="AF525" s="119">
        <v>40.892000000000003</v>
      </c>
      <c r="AG525" s="54">
        <v>45410</v>
      </c>
      <c r="AH525" s="55">
        <v>4.704861111111111E-2</v>
      </c>
      <c r="AI525" s="53">
        <v>0</v>
      </c>
      <c r="AJ525" s="53">
        <v>0</v>
      </c>
      <c r="AK525" s="53">
        <v>0</v>
      </c>
      <c r="AL525" s="53">
        <v>0</v>
      </c>
      <c r="AM525" s="53">
        <v>0</v>
      </c>
      <c r="AN525" s="53">
        <v>0</v>
      </c>
      <c r="AO525" s="53">
        <v>0</v>
      </c>
      <c r="AP525" s="53">
        <v>0</v>
      </c>
      <c r="AQ525" s="53">
        <v>0</v>
      </c>
      <c r="AR525" s="53">
        <v>0</v>
      </c>
      <c r="AS525" s="53">
        <v>0</v>
      </c>
      <c r="AT525" s="53">
        <v>0</v>
      </c>
      <c r="AU525" s="30">
        <f t="shared" si="192"/>
        <v>40.878599999999999</v>
      </c>
    </row>
    <row r="526" spans="1:47" x14ac:dyDescent="0.25">
      <c r="A526" s="53">
        <v>4</v>
      </c>
      <c r="B526" s="53" t="s">
        <v>16</v>
      </c>
      <c r="C526" s="53">
        <v>29040</v>
      </c>
      <c r="D526" s="53">
        <v>176</v>
      </c>
      <c r="E526" s="53">
        <v>2</v>
      </c>
      <c r="F526" s="53">
        <v>8</v>
      </c>
      <c r="G526" s="53">
        <v>436.72</v>
      </c>
      <c r="H526" s="119">
        <v>37.387999999999998</v>
      </c>
      <c r="I526" s="54">
        <v>45411</v>
      </c>
      <c r="J526" s="120">
        <v>0.26459490740740743</v>
      </c>
      <c r="K526" s="53">
        <v>0</v>
      </c>
      <c r="L526" s="53">
        <v>0</v>
      </c>
      <c r="M526" s="53">
        <v>0</v>
      </c>
      <c r="N526" s="53">
        <v>0</v>
      </c>
      <c r="O526" s="53">
        <v>0</v>
      </c>
      <c r="P526" s="53">
        <v>0</v>
      </c>
      <c r="Q526" s="53">
        <v>0</v>
      </c>
      <c r="R526" s="53">
        <v>0</v>
      </c>
      <c r="S526" s="53">
        <v>0</v>
      </c>
      <c r="T526" s="53">
        <v>0</v>
      </c>
      <c r="U526" s="53">
        <v>0</v>
      </c>
      <c r="V526" s="53">
        <v>0</v>
      </c>
      <c r="W526" s="30">
        <f t="shared" si="182"/>
        <v>37.301400000000001</v>
      </c>
      <c r="Y526" s="53">
        <v>4</v>
      </c>
      <c r="Z526" s="53" t="s">
        <v>16</v>
      </c>
      <c r="AA526" s="53">
        <v>29008</v>
      </c>
      <c r="AB526" s="53">
        <v>112</v>
      </c>
      <c r="AC526" s="53">
        <v>2</v>
      </c>
      <c r="AD526" s="53">
        <v>8</v>
      </c>
      <c r="AE526" s="53">
        <v>398.32</v>
      </c>
      <c r="AF526" s="119">
        <v>40.856000000000002</v>
      </c>
      <c r="AG526" s="54">
        <v>45410</v>
      </c>
      <c r="AH526" s="55">
        <v>0.1451736111111111</v>
      </c>
      <c r="AI526" s="53">
        <v>0</v>
      </c>
      <c r="AJ526" s="53">
        <v>0</v>
      </c>
      <c r="AK526" s="53">
        <v>0</v>
      </c>
      <c r="AL526" s="53">
        <v>0</v>
      </c>
      <c r="AM526" s="53">
        <v>0</v>
      </c>
      <c r="AN526" s="53">
        <v>0</v>
      </c>
      <c r="AO526" s="53">
        <v>0</v>
      </c>
      <c r="AP526" s="53">
        <v>0</v>
      </c>
      <c r="AQ526" s="53">
        <v>0</v>
      </c>
      <c r="AR526" s="53">
        <v>0</v>
      </c>
      <c r="AS526" s="53">
        <v>0</v>
      </c>
      <c r="AT526" s="53">
        <v>0</v>
      </c>
      <c r="AU526" s="30">
        <f t="shared" si="192"/>
        <v>40.878599999999999</v>
      </c>
    </row>
    <row r="527" spans="1:47" x14ac:dyDescent="0.25">
      <c r="A527" s="53">
        <v>0</v>
      </c>
      <c r="B527" s="53" t="s">
        <v>16</v>
      </c>
      <c r="C527" s="53">
        <v>29216</v>
      </c>
      <c r="D527" s="53">
        <v>176</v>
      </c>
      <c r="E527" s="53">
        <v>2</v>
      </c>
      <c r="F527" s="53">
        <v>8</v>
      </c>
      <c r="G527" s="53">
        <v>443.85</v>
      </c>
      <c r="H527" s="119">
        <v>37.46</v>
      </c>
      <c r="I527" s="54">
        <v>45413</v>
      </c>
      <c r="J527" s="120">
        <v>0.12150462962962963</v>
      </c>
      <c r="K527" s="53">
        <v>0</v>
      </c>
      <c r="L527" s="53">
        <v>0</v>
      </c>
      <c r="M527" s="53">
        <v>0</v>
      </c>
      <c r="N527" s="53">
        <v>0</v>
      </c>
      <c r="O527" s="53">
        <v>0</v>
      </c>
      <c r="P527" s="53">
        <v>0</v>
      </c>
      <c r="Q527" s="53">
        <v>0</v>
      </c>
      <c r="R527" s="53">
        <v>0</v>
      </c>
      <c r="S527" s="53">
        <v>0</v>
      </c>
      <c r="T527" s="53">
        <v>0</v>
      </c>
      <c r="U527" s="53">
        <v>0</v>
      </c>
      <c r="V527" s="53">
        <v>0</v>
      </c>
      <c r="W527" s="30">
        <f t="shared" ref="W527" si="205">AVERAGE(H527:H531)</f>
        <v>37.490799999999993</v>
      </c>
      <c r="Y527" s="53">
        <v>0</v>
      </c>
      <c r="Z527" s="53" t="s">
        <v>16</v>
      </c>
      <c r="AA527" s="53">
        <v>29232</v>
      </c>
      <c r="AB527" s="53">
        <v>112</v>
      </c>
      <c r="AC527" s="53">
        <v>2</v>
      </c>
      <c r="AD527" s="53">
        <v>8</v>
      </c>
      <c r="AE527" s="53">
        <v>406.92</v>
      </c>
      <c r="AF527" s="119">
        <v>40.927</v>
      </c>
      <c r="AG527" s="54">
        <v>45409</v>
      </c>
      <c r="AH527" s="55">
        <v>4.9305555555555552E-3</v>
      </c>
      <c r="AI527" s="53">
        <v>0</v>
      </c>
      <c r="AJ527" s="53">
        <v>0</v>
      </c>
      <c r="AK527" s="53">
        <v>0</v>
      </c>
      <c r="AL527" s="53">
        <v>0</v>
      </c>
      <c r="AM527" s="53">
        <v>0</v>
      </c>
      <c r="AN527" s="53">
        <v>0</v>
      </c>
      <c r="AO527" s="53">
        <v>0</v>
      </c>
      <c r="AP527" s="53">
        <v>0</v>
      </c>
      <c r="AQ527" s="53">
        <v>0</v>
      </c>
      <c r="AR527" s="53">
        <v>0</v>
      </c>
      <c r="AS527" s="53">
        <v>0</v>
      </c>
      <c r="AT527" s="53">
        <v>0</v>
      </c>
      <c r="AU527" s="30">
        <f t="shared" ref="AU527:AU557" si="206">AVERAGE(AF527:AF531)</f>
        <v>40.877400000000009</v>
      </c>
    </row>
    <row r="528" spans="1:47" x14ac:dyDescent="0.25">
      <c r="A528" s="53">
        <v>1</v>
      </c>
      <c r="B528" s="53" t="s">
        <v>16</v>
      </c>
      <c r="C528" s="53">
        <v>29216</v>
      </c>
      <c r="D528" s="53">
        <v>176</v>
      </c>
      <c r="E528" s="53">
        <v>2</v>
      </c>
      <c r="F528" s="53">
        <v>8</v>
      </c>
      <c r="G528" s="53">
        <v>443.13</v>
      </c>
      <c r="H528" s="119">
        <v>37.521000000000001</v>
      </c>
      <c r="I528" s="54">
        <v>45411</v>
      </c>
      <c r="J528" s="120">
        <v>2.3125E-2</v>
      </c>
      <c r="K528" s="53">
        <v>0</v>
      </c>
      <c r="L528" s="53">
        <v>0</v>
      </c>
      <c r="M528" s="53">
        <v>0</v>
      </c>
      <c r="N528" s="53">
        <v>0</v>
      </c>
      <c r="O528" s="53">
        <v>0</v>
      </c>
      <c r="P528" s="53">
        <v>0</v>
      </c>
      <c r="Q528" s="53">
        <v>0</v>
      </c>
      <c r="R528" s="53">
        <v>0</v>
      </c>
      <c r="S528" s="53">
        <v>0</v>
      </c>
      <c r="T528" s="53">
        <v>0</v>
      </c>
      <c r="U528" s="53">
        <v>0</v>
      </c>
      <c r="V528" s="53">
        <v>0</v>
      </c>
      <c r="W528" s="30">
        <f t="shared" ref="W528" si="207">W527</f>
        <v>37.490799999999993</v>
      </c>
      <c r="Y528" s="53">
        <v>1</v>
      </c>
      <c r="Z528" s="53" t="s">
        <v>16</v>
      </c>
      <c r="AA528" s="53">
        <v>29232</v>
      </c>
      <c r="AB528" s="53">
        <v>112</v>
      </c>
      <c r="AC528" s="53">
        <v>2</v>
      </c>
      <c r="AD528" s="53">
        <v>8</v>
      </c>
      <c r="AE528" s="53">
        <v>407.99</v>
      </c>
      <c r="AF528" s="119">
        <v>40.819000000000003</v>
      </c>
      <c r="AG528" s="54">
        <v>45409</v>
      </c>
      <c r="AH528" s="55">
        <v>0.8996643518518519</v>
      </c>
      <c r="AI528" s="53">
        <v>0</v>
      </c>
      <c r="AJ528" s="53">
        <v>0</v>
      </c>
      <c r="AK528" s="53">
        <v>0</v>
      </c>
      <c r="AL528" s="53">
        <v>0</v>
      </c>
      <c r="AM528" s="53">
        <v>0</v>
      </c>
      <c r="AN528" s="53">
        <v>0</v>
      </c>
      <c r="AO528" s="53">
        <v>0</v>
      </c>
      <c r="AP528" s="53">
        <v>0</v>
      </c>
      <c r="AQ528" s="53">
        <v>0</v>
      </c>
      <c r="AR528" s="53">
        <v>0</v>
      </c>
      <c r="AS528" s="53">
        <v>0</v>
      </c>
      <c r="AT528" s="53">
        <v>1025</v>
      </c>
      <c r="AU528" s="30">
        <f t="shared" ref="AU528:AU558" si="208">AU527</f>
        <v>40.877400000000009</v>
      </c>
    </row>
    <row r="529" spans="1:47" x14ac:dyDescent="0.25">
      <c r="A529" s="53">
        <v>2</v>
      </c>
      <c r="B529" s="53" t="s">
        <v>16</v>
      </c>
      <c r="C529" s="53">
        <v>29216</v>
      </c>
      <c r="D529" s="53">
        <v>176</v>
      </c>
      <c r="E529" s="53">
        <v>2</v>
      </c>
      <c r="F529" s="53">
        <v>8</v>
      </c>
      <c r="G529" s="53">
        <v>443.68</v>
      </c>
      <c r="H529" s="119">
        <v>37.475000000000001</v>
      </c>
      <c r="I529" s="54">
        <v>45411</v>
      </c>
      <c r="J529" s="120">
        <v>0.11981481481481482</v>
      </c>
      <c r="K529" s="53">
        <v>0</v>
      </c>
      <c r="L529" s="53">
        <v>0</v>
      </c>
      <c r="M529" s="53">
        <v>0</v>
      </c>
      <c r="N529" s="53">
        <v>0</v>
      </c>
      <c r="O529" s="53">
        <v>0</v>
      </c>
      <c r="P529" s="53">
        <v>0</v>
      </c>
      <c r="Q529" s="53">
        <v>0</v>
      </c>
      <c r="R529" s="53">
        <v>0</v>
      </c>
      <c r="S529" s="53">
        <v>0</v>
      </c>
      <c r="T529" s="53">
        <v>0</v>
      </c>
      <c r="U529" s="53">
        <v>0</v>
      </c>
      <c r="V529" s="53">
        <v>0</v>
      </c>
      <c r="W529" s="30">
        <f t="shared" si="184"/>
        <v>37.490799999999993</v>
      </c>
      <c r="Y529" s="53">
        <v>2</v>
      </c>
      <c r="Z529" s="53" t="s">
        <v>16</v>
      </c>
      <c r="AA529" s="53">
        <v>29232</v>
      </c>
      <c r="AB529" s="53">
        <v>112</v>
      </c>
      <c r="AC529" s="53">
        <v>2</v>
      </c>
      <c r="AD529" s="53">
        <v>8</v>
      </c>
      <c r="AE529" s="53">
        <v>407.76</v>
      </c>
      <c r="AF529" s="119">
        <v>40.841999999999999</v>
      </c>
      <c r="AG529" s="54">
        <v>45409</v>
      </c>
      <c r="AH529" s="55">
        <v>0.99798611111111113</v>
      </c>
      <c r="AI529" s="53">
        <v>0</v>
      </c>
      <c r="AJ529" s="53">
        <v>0</v>
      </c>
      <c r="AK529" s="53">
        <v>0</v>
      </c>
      <c r="AL529" s="53">
        <v>0</v>
      </c>
      <c r="AM529" s="53">
        <v>0</v>
      </c>
      <c r="AN529" s="53">
        <v>0</v>
      </c>
      <c r="AO529" s="53">
        <v>0</v>
      </c>
      <c r="AP529" s="53">
        <v>0</v>
      </c>
      <c r="AQ529" s="53">
        <v>0</v>
      </c>
      <c r="AR529" s="53">
        <v>0</v>
      </c>
      <c r="AS529" s="53">
        <v>0</v>
      </c>
      <c r="AT529" s="53">
        <v>0</v>
      </c>
      <c r="AU529" s="30">
        <f t="shared" si="192"/>
        <v>40.877400000000009</v>
      </c>
    </row>
    <row r="530" spans="1:47" x14ac:dyDescent="0.25">
      <c r="A530" s="53">
        <v>3</v>
      </c>
      <c r="B530" s="53" t="s">
        <v>16</v>
      </c>
      <c r="C530" s="53">
        <v>29216</v>
      </c>
      <c r="D530" s="53">
        <v>176</v>
      </c>
      <c r="E530" s="53">
        <v>2</v>
      </c>
      <c r="F530" s="53">
        <v>8</v>
      </c>
      <c r="G530" s="53">
        <v>443.38</v>
      </c>
      <c r="H530" s="119">
        <v>37.5</v>
      </c>
      <c r="I530" s="54">
        <v>45411</v>
      </c>
      <c r="J530" s="120">
        <v>0.21657407407407409</v>
      </c>
      <c r="K530" s="53">
        <v>0</v>
      </c>
      <c r="L530" s="53">
        <v>0</v>
      </c>
      <c r="M530" s="53">
        <v>0</v>
      </c>
      <c r="N530" s="53">
        <v>0</v>
      </c>
      <c r="O530" s="53">
        <v>0</v>
      </c>
      <c r="P530" s="53">
        <v>0</v>
      </c>
      <c r="Q530" s="53">
        <v>0</v>
      </c>
      <c r="R530" s="53">
        <v>0</v>
      </c>
      <c r="S530" s="53">
        <v>0</v>
      </c>
      <c r="T530" s="53">
        <v>0</v>
      </c>
      <c r="U530" s="53">
        <v>0</v>
      </c>
      <c r="V530" s="53">
        <v>0</v>
      </c>
      <c r="W530" s="30">
        <f t="shared" si="184"/>
        <v>37.490799999999993</v>
      </c>
      <c r="Y530" s="53">
        <v>3</v>
      </c>
      <c r="Z530" s="53" t="s">
        <v>16</v>
      </c>
      <c r="AA530" s="53">
        <v>29232</v>
      </c>
      <c r="AB530" s="53">
        <v>112</v>
      </c>
      <c r="AC530" s="53">
        <v>2</v>
      </c>
      <c r="AD530" s="53">
        <v>8</v>
      </c>
      <c r="AE530" s="53">
        <v>407.2</v>
      </c>
      <c r="AF530" s="119">
        <v>40.899000000000001</v>
      </c>
      <c r="AG530" s="54">
        <v>45410</v>
      </c>
      <c r="AH530" s="55">
        <v>9.6099537037037039E-2</v>
      </c>
      <c r="AI530" s="53">
        <v>0</v>
      </c>
      <c r="AJ530" s="53">
        <v>0</v>
      </c>
      <c r="AK530" s="53">
        <v>0</v>
      </c>
      <c r="AL530" s="53">
        <v>0</v>
      </c>
      <c r="AM530" s="53">
        <v>0</v>
      </c>
      <c r="AN530" s="53">
        <v>0</v>
      </c>
      <c r="AO530" s="53">
        <v>0</v>
      </c>
      <c r="AP530" s="53">
        <v>0</v>
      </c>
      <c r="AQ530" s="53">
        <v>0</v>
      </c>
      <c r="AR530" s="53">
        <v>0</v>
      </c>
      <c r="AS530" s="53">
        <v>0</v>
      </c>
      <c r="AT530" s="53">
        <v>0</v>
      </c>
      <c r="AU530" s="30">
        <f t="shared" si="192"/>
        <v>40.877400000000009</v>
      </c>
    </row>
    <row r="531" spans="1:47" x14ac:dyDescent="0.25">
      <c r="A531" s="53">
        <v>4</v>
      </c>
      <c r="B531" s="53" t="s">
        <v>16</v>
      </c>
      <c r="C531" s="53">
        <v>29216</v>
      </c>
      <c r="D531" s="53">
        <v>176</v>
      </c>
      <c r="E531" s="53">
        <v>2</v>
      </c>
      <c r="F531" s="53">
        <v>8</v>
      </c>
      <c r="G531" s="53">
        <v>443.41</v>
      </c>
      <c r="H531" s="119">
        <v>37.497999999999998</v>
      </c>
      <c r="I531" s="54">
        <v>45411</v>
      </c>
      <c r="J531" s="120">
        <v>0.31341435185185185</v>
      </c>
      <c r="K531" s="53">
        <v>0</v>
      </c>
      <c r="L531" s="53">
        <v>0</v>
      </c>
      <c r="M531" s="53">
        <v>0</v>
      </c>
      <c r="N531" s="53">
        <v>0</v>
      </c>
      <c r="O531" s="53">
        <v>0</v>
      </c>
      <c r="P531" s="53">
        <v>0</v>
      </c>
      <c r="Q531" s="53">
        <v>0</v>
      </c>
      <c r="R531" s="53">
        <v>0</v>
      </c>
      <c r="S531" s="53">
        <v>0</v>
      </c>
      <c r="T531" s="53">
        <v>0</v>
      </c>
      <c r="U531" s="53">
        <v>0</v>
      </c>
      <c r="V531" s="53">
        <v>0</v>
      </c>
      <c r="W531" s="30">
        <f t="shared" si="184"/>
        <v>37.490799999999993</v>
      </c>
      <c r="Y531" s="53">
        <v>4</v>
      </c>
      <c r="Z531" s="53" t="s">
        <v>16</v>
      </c>
      <c r="AA531" s="53">
        <v>29232</v>
      </c>
      <c r="AB531" s="53">
        <v>112</v>
      </c>
      <c r="AC531" s="53">
        <v>2</v>
      </c>
      <c r="AD531" s="53">
        <v>8</v>
      </c>
      <c r="AE531" s="53">
        <v>407.19</v>
      </c>
      <c r="AF531" s="119">
        <v>40.9</v>
      </c>
      <c r="AG531" s="54">
        <v>45410</v>
      </c>
      <c r="AH531" s="55">
        <v>0.19425925925925927</v>
      </c>
      <c r="AI531" s="53">
        <v>0</v>
      </c>
      <c r="AJ531" s="53">
        <v>0</v>
      </c>
      <c r="AK531" s="53">
        <v>0</v>
      </c>
      <c r="AL531" s="53">
        <v>0</v>
      </c>
      <c r="AM531" s="53">
        <v>0</v>
      </c>
      <c r="AN531" s="53">
        <v>0</v>
      </c>
      <c r="AO531" s="53">
        <v>0</v>
      </c>
      <c r="AP531" s="53">
        <v>0</v>
      </c>
      <c r="AQ531" s="53">
        <v>0</v>
      </c>
      <c r="AR531" s="53">
        <v>0</v>
      </c>
      <c r="AS531" s="53">
        <v>0</v>
      </c>
      <c r="AT531" s="53">
        <v>0</v>
      </c>
      <c r="AU531" s="30">
        <f t="shared" si="192"/>
        <v>40.877400000000009</v>
      </c>
    </row>
    <row r="532" spans="1:47" x14ac:dyDescent="0.25">
      <c r="A532" s="53">
        <v>0</v>
      </c>
      <c r="B532" s="53" t="s">
        <v>16</v>
      </c>
      <c r="C532" s="53">
        <v>28980</v>
      </c>
      <c r="D532" s="53">
        <v>180</v>
      </c>
      <c r="E532" s="53">
        <v>2</v>
      </c>
      <c r="F532" s="53">
        <v>8</v>
      </c>
      <c r="G532" s="53">
        <v>445.93</v>
      </c>
      <c r="H532" s="119">
        <v>36.389000000000003</v>
      </c>
      <c r="I532" s="54">
        <v>45409</v>
      </c>
      <c r="J532" s="120">
        <v>0.42831018518518521</v>
      </c>
      <c r="K532" s="53">
        <v>0</v>
      </c>
      <c r="L532" s="53">
        <v>0</v>
      </c>
      <c r="M532" s="53">
        <v>0</v>
      </c>
      <c r="N532" s="53">
        <v>0</v>
      </c>
      <c r="O532" s="53">
        <v>0</v>
      </c>
      <c r="P532" s="53">
        <v>0</v>
      </c>
      <c r="Q532" s="53">
        <v>0</v>
      </c>
      <c r="R532" s="53">
        <v>0</v>
      </c>
      <c r="S532" s="53">
        <v>0</v>
      </c>
      <c r="T532" s="53">
        <v>0</v>
      </c>
      <c r="U532" s="53">
        <v>0</v>
      </c>
      <c r="V532" s="53">
        <v>0</v>
      </c>
      <c r="W532" s="30">
        <f t="shared" ref="W532" si="209">AVERAGE(H532:H536)</f>
        <v>36.495800000000003</v>
      </c>
      <c r="Y532" s="53">
        <v>0</v>
      </c>
      <c r="Z532" s="53" t="s">
        <v>16</v>
      </c>
      <c r="AA532" s="53">
        <v>29040</v>
      </c>
      <c r="AB532" s="53">
        <v>120</v>
      </c>
      <c r="AC532" s="53">
        <v>2</v>
      </c>
      <c r="AD532" s="53">
        <v>8</v>
      </c>
      <c r="AE532" s="53">
        <v>398.71</v>
      </c>
      <c r="AF532" s="119">
        <v>40.951999999999998</v>
      </c>
      <c r="AG532" s="54">
        <v>45408</v>
      </c>
      <c r="AH532" s="55">
        <v>0.9612384259259259</v>
      </c>
      <c r="AI532" s="53">
        <v>0</v>
      </c>
      <c r="AJ532" s="53">
        <v>0</v>
      </c>
      <c r="AK532" s="53">
        <v>0</v>
      </c>
      <c r="AL532" s="53">
        <v>0</v>
      </c>
      <c r="AM532" s="53">
        <v>0</v>
      </c>
      <c r="AN532" s="53">
        <v>0</v>
      </c>
      <c r="AO532" s="53">
        <v>0</v>
      </c>
      <c r="AP532" s="53">
        <v>0</v>
      </c>
      <c r="AQ532" s="53">
        <v>0</v>
      </c>
      <c r="AR532" s="53">
        <v>0</v>
      </c>
      <c r="AS532" s="53">
        <v>0</v>
      </c>
      <c r="AT532" s="53">
        <v>0</v>
      </c>
      <c r="AU532" s="30">
        <f t="shared" ref="AU532" si="210">AVERAGE(AF532:AF536)</f>
        <v>40.977199999999996</v>
      </c>
    </row>
    <row r="533" spans="1:47" x14ac:dyDescent="0.25">
      <c r="A533" s="53">
        <v>1</v>
      </c>
      <c r="B533" s="53" t="s">
        <v>16</v>
      </c>
      <c r="C533" s="53">
        <v>28980</v>
      </c>
      <c r="D533" s="53">
        <v>180</v>
      </c>
      <c r="E533" s="53">
        <v>2</v>
      </c>
      <c r="F533" s="53">
        <v>8</v>
      </c>
      <c r="G533" s="53">
        <v>444.42</v>
      </c>
      <c r="H533" s="119">
        <v>36.512</v>
      </c>
      <c r="I533" s="54">
        <v>45410</v>
      </c>
      <c r="J533" s="120">
        <v>0.96376157407407403</v>
      </c>
      <c r="K533" s="53">
        <v>0</v>
      </c>
      <c r="L533" s="53">
        <v>0</v>
      </c>
      <c r="M533" s="53">
        <v>0</v>
      </c>
      <c r="N533" s="53">
        <v>0</v>
      </c>
      <c r="O533" s="53">
        <v>0</v>
      </c>
      <c r="P533" s="53">
        <v>0</v>
      </c>
      <c r="Q533" s="53">
        <v>0</v>
      </c>
      <c r="R533" s="53">
        <v>0</v>
      </c>
      <c r="S533" s="53">
        <v>0</v>
      </c>
      <c r="T533" s="53">
        <v>0</v>
      </c>
      <c r="U533" s="53">
        <v>0</v>
      </c>
      <c r="V533" s="53">
        <v>0</v>
      </c>
      <c r="W533" s="30">
        <f t="shared" ref="W533" si="211">W532</f>
        <v>36.495800000000003</v>
      </c>
      <c r="Y533" s="53">
        <v>1</v>
      </c>
      <c r="Z533" s="53" t="s">
        <v>16</v>
      </c>
      <c r="AA533" s="53">
        <v>29040</v>
      </c>
      <c r="AB533" s="53">
        <v>120</v>
      </c>
      <c r="AC533" s="53">
        <v>2</v>
      </c>
      <c r="AD533" s="53">
        <v>8</v>
      </c>
      <c r="AE533" s="53">
        <v>398.42</v>
      </c>
      <c r="AF533" s="119">
        <v>40.981999999999999</v>
      </c>
      <c r="AG533" s="54">
        <v>45409</v>
      </c>
      <c r="AH533" s="55">
        <v>5.9317129629629629E-2</v>
      </c>
      <c r="AI533" s="53">
        <v>0</v>
      </c>
      <c r="AJ533" s="53">
        <v>0</v>
      </c>
      <c r="AK533" s="53">
        <v>0</v>
      </c>
      <c r="AL533" s="53">
        <v>0</v>
      </c>
      <c r="AM533" s="53">
        <v>0</v>
      </c>
      <c r="AN533" s="53">
        <v>0</v>
      </c>
      <c r="AO533" s="53">
        <v>0</v>
      </c>
      <c r="AP533" s="53">
        <v>0</v>
      </c>
      <c r="AQ533" s="53">
        <v>0</v>
      </c>
      <c r="AR533" s="53">
        <v>0</v>
      </c>
      <c r="AS533" s="53">
        <v>0</v>
      </c>
      <c r="AT533" s="53">
        <v>0</v>
      </c>
      <c r="AU533" s="30">
        <f t="shared" ref="AU533" si="212">AU532</f>
        <v>40.977199999999996</v>
      </c>
    </row>
    <row r="534" spans="1:47" x14ac:dyDescent="0.25">
      <c r="A534" s="53">
        <v>2</v>
      </c>
      <c r="B534" s="53" t="s">
        <v>16</v>
      </c>
      <c r="C534" s="53">
        <v>28980</v>
      </c>
      <c r="D534" s="53">
        <v>180</v>
      </c>
      <c r="E534" s="53">
        <v>2</v>
      </c>
      <c r="F534" s="53">
        <v>8</v>
      </c>
      <c r="G534" s="53">
        <v>444.07</v>
      </c>
      <c r="H534" s="119">
        <v>36.540999999999997</v>
      </c>
      <c r="I534" s="54">
        <v>45411</v>
      </c>
      <c r="J534" s="120">
        <v>6.0462962962962961E-2</v>
      </c>
      <c r="K534" s="53">
        <v>0</v>
      </c>
      <c r="L534" s="53">
        <v>0</v>
      </c>
      <c r="M534" s="53">
        <v>0</v>
      </c>
      <c r="N534" s="53">
        <v>0</v>
      </c>
      <c r="O534" s="53">
        <v>0</v>
      </c>
      <c r="P534" s="53">
        <v>0</v>
      </c>
      <c r="Q534" s="53">
        <v>0</v>
      </c>
      <c r="R534" s="53">
        <v>0</v>
      </c>
      <c r="S534" s="53">
        <v>0</v>
      </c>
      <c r="T534" s="53">
        <v>0</v>
      </c>
      <c r="U534" s="53">
        <v>0</v>
      </c>
      <c r="V534" s="53">
        <v>0</v>
      </c>
      <c r="W534" s="30">
        <f t="shared" si="182"/>
        <v>36.495800000000003</v>
      </c>
      <c r="Y534" s="53">
        <v>2</v>
      </c>
      <c r="Z534" s="53" t="s">
        <v>16</v>
      </c>
      <c r="AA534" s="53">
        <v>29040</v>
      </c>
      <c r="AB534" s="53">
        <v>120</v>
      </c>
      <c r="AC534" s="53">
        <v>2</v>
      </c>
      <c r="AD534" s="53">
        <v>8</v>
      </c>
      <c r="AE534" s="53">
        <v>398.72</v>
      </c>
      <c r="AF534" s="119">
        <v>40.951000000000001</v>
      </c>
      <c r="AG534" s="54">
        <v>45409</v>
      </c>
      <c r="AH534" s="55">
        <v>0.95423611111111106</v>
      </c>
      <c r="AI534" s="53">
        <v>0</v>
      </c>
      <c r="AJ534" s="53">
        <v>0</v>
      </c>
      <c r="AK534" s="53">
        <v>0</v>
      </c>
      <c r="AL534" s="53">
        <v>0</v>
      </c>
      <c r="AM534" s="53">
        <v>0</v>
      </c>
      <c r="AN534" s="53">
        <v>0</v>
      </c>
      <c r="AO534" s="53">
        <v>0</v>
      </c>
      <c r="AP534" s="53">
        <v>0</v>
      </c>
      <c r="AQ534" s="53">
        <v>0</v>
      </c>
      <c r="AR534" s="53">
        <v>0</v>
      </c>
      <c r="AS534" s="53">
        <v>0</v>
      </c>
      <c r="AT534" s="53">
        <v>0</v>
      </c>
      <c r="AU534" s="30">
        <f t="shared" si="188"/>
        <v>40.977199999999996</v>
      </c>
    </row>
    <row r="535" spans="1:47" x14ac:dyDescent="0.25">
      <c r="A535" s="53">
        <v>3</v>
      </c>
      <c r="B535" s="53" t="s">
        <v>16</v>
      </c>
      <c r="C535" s="53">
        <v>28980</v>
      </c>
      <c r="D535" s="53">
        <v>180</v>
      </c>
      <c r="E535" s="53">
        <v>2</v>
      </c>
      <c r="F535" s="53">
        <v>8</v>
      </c>
      <c r="G535" s="53">
        <v>444.5</v>
      </c>
      <c r="H535" s="119">
        <v>36.506</v>
      </c>
      <c r="I535" s="54">
        <v>45411</v>
      </c>
      <c r="J535" s="120">
        <v>0.15716435185185185</v>
      </c>
      <c r="K535" s="53">
        <v>0</v>
      </c>
      <c r="L535" s="53">
        <v>0</v>
      </c>
      <c r="M535" s="53">
        <v>0</v>
      </c>
      <c r="N535" s="53">
        <v>0</v>
      </c>
      <c r="O535" s="53">
        <v>0</v>
      </c>
      <c r="P535" s="53">
        <v>0</v>
      </c>
      <c r="Q535" s="53">
        <v>0</v>
      </c>
      <c r="R535" s="53">
        <v>0</v>
      </c>
      <c r="S535" s="53">
        <v>0</v>
      </c>
      <c r="T535" s="53">
        <v>0</v>
      </c>
      <c r="U535" s="53">
        <v>0</v>
      </c>
      <c r="V535" s="53">
        <v>0</v>
      </c>
      <c r="W535" s="30">
        <f t="shared" si="182"/>
        <v>36.495800000000003</v>
      </c>
      <c r="Y535" s="53">
        <v>3</v>
      </c>
      <c r="Z535" s="53" t="s">
        <v>16</v>
      </c>
      <c r="AA535" s="53">
        <v>29040</v>
      </c>
      <c r="AB535" s="53">
        <v>120</v>
      </c>
      <c r="AC535" s="53">
        <v>2</v>
      </c>
      <c r="AD535" s="53">
        <v>8</v>
      </c>
      <c r="AE535" s="53">
        <v>397.67</v>
      </c>
      <c r="AF535" s="119">
        <v>41.058999999999997</v>
      </c>
      <c r="AG535" s="54">
        <v>45410</v>
      </c>
      <c r="AH535" s="55">
        <v>5.2395833333333336E-2</v>
      </c>
      <c r="AI535" s="53">
        <v>0</v>
      </c>
      <c r="AJ535" s="53">
        <v>0</v>
      </c>
      <c r="AK535" s="53">
        <v>0</v>
      </c>
      <c r="AL535" s="53">
        <v>0</v>
      </c>
      <c r="AM535" s="53">
        <v>0</v>
      </c>
      <c r="AN535" s="53">
        <v>0</v>
      </c>
      <c r="AO535" s="53">
        <v>0</v>
      </c>
      <c r="AP535" s="53">
        <v>0</v>
      </c>
      <c r="AQ535" s="53">
        <v>0</v>
      </c>
      <c r="AR535" s="53">
        <v>0</v>
      </c>
      <c r="AS535" s="53">
        <v>0</v>
      </c>
      <c r="AT535" s="53">
        <v>0</v>
      </c>
      <c r="AU535" s="30">
        <f t="shared" si="188"/>
        <v>40.977199999999996</v>
      </c>
    </row>
    <row r="536" spans="1:47" x14ac:dyDescent="0.25">
      <c r="A536" s="53">
        <v>4</v>
      </c>
      <c r="B536" s="53" t="s">
        <v>16</v>
      </c>
      <c r="C536" s="53">
        <v>28980</v>
      </c>
      <c r="D536" s="53">
        <v>180</v>
      </c>
      <c r="E536" s="53">
        <v>2</v>
      </c>
      <c r="F536" s="53">
        <v>8</v>
      </c>
      <c r="G536" s="53">
        <v>444.19</v>
      </c>
      <c r="H536" s="119">
        <v>36.530999999999999</v>
      </c>
      <c r="I536" s="54">
        <v>45411</v>
      </c>
      <c r="J536" s="120">
        <v>0.25391203703703702</v>
      </c>
      <c r="K536" s="53">
        <v>0</v>
      </c>
      <c r="L536" s="53">
        <v>0</v>
      </c>
      <c r="M536" s="53">
        <v>0</v>
      </c>
      <c r="N536" s="53">
        <v>0</v>
      </c>
      <c r="O536" s="53">
        <v>0</v>
      </c>
      <c r="P536" s="53">
        <v>0</v>
      </c>
      <c r="Q536" s="53">
        <v>0</v>
      </c>
      <c r="R536" s="53">
        <v>0</v>
      </c>
      <c r="S536" s="53">
        <v>0</v>
      </c>
      <c r="T536" s="53">
        <v>0</v>
      </c>
      <c r="U536" s="53">
        <v>0</v>
      </c>
      <c r="V536" s="53">
        <v>0</v>
      </c>
      <c r="W536" s="30">
        <f t="shared" si="182"/>
        <v>36.495800000000003</v>
      </c>
      <c r="Y536" s="53">
        <v>4</v>
      </c>
      <c r="Z536" s="53" t="s">
        <v>16</v>
      </c>
      <c r="AA536" s="53">
        <v>29040</v>
      </c>
      <c r="AB536" s="53">
        <v>120</v>
      </c>
      <c r="AC536" s="53">
        <v>2</v>
      </c>
      <c r="AD536" s="53">
        <v>8</v>
      </c>
      <c r="AE536" s="53">
        <v>398.81</v>
      </c>
      <c r="AF536" s="119">
        <v>40.942</v>
      </c>
      <c r="AG536" s="54">
        <v>45410</v>
      </c>
      <c r="AH536" s="55">
        <v>0.15053240740740742</v>
      </c>
      <c r="AI536" s="53">
        <v>0</v>
      </c>
      <c r="AJ536" s="53">
        <v>0</v>
      </c>
      <c r="AK536" s="53">
        <v>0</v>
      </c>
      <c r="AL536" s="53">
        <v>0</v>
      </c>
      <c r="AM536" s="53">
        <v>0</v>
      </c>
      <c r="AN536" s="53">
        <v>0</v>
      </c>
      <c r="AO536" s="53">
        <v>0</v>
      </c>
      <c r="AP536" s="53">
        <v>0</v>
      </c>
      <c r="AQ536" s="53">
        <v>0</v>
      </c>
      <c r="AR536" s="53">
        <v>0</v>
      </c>
      <c r="AS536" s="53">
        <v>0</v>
      </c>
      <c r="AT536" s="53">
        <v>0</v>
      </c>
      <c r="AU536" s="30">
        <f t="shared" si="188"/>
        <v>40.977199999999996</v>
      </c>
    </row>
    <row r="537" spans="1:47" x14ac:dyDescent="0.25">
      <c r="A537" s="53">
        <v>0</v>
      </c>
      <c r="B537" s="53" t="s">
        <v>16</v>
      </c>
      <c r="C537" s="53">
        <v>29160</v>
      </c>
      <c r="D537" s="53">
        <v>180</v>
      </c>
      <c r="E537" s="53">
        <v>2</v>
      </c>
      <c r="F537" s="53">
        <v>8</v>
      </c>
      <c r="G537" s="53">
        <v>450.17</v>
      </c>
      <c r="H537" s="119">
        <v>36.722000000000001</v>
      </c>
      <c r="I537" s="54">
        <v>45413</v>
      </c>
      <c r="J537" s="120">
        <v>0.12694444444444444</v>
      </c>
      <c r="K537" s="53">
        <v>0</v>
      </c>
      <c r="L537" s="53">
        <v>0</v>
      </c>
      <c r="M537" s="53">
        <v>0</v>
      </c>
      <c r="N537" s="53">
        <v>0</v>
      </c>
      <c r="O537" s="53">
        <v>0</v>
      </c>
      <c r="P537" s="53">
        <v>0</v>
      </c>
      <c r="Q537" s="53">
        <v>0</v>
      </c>
      <c r="R537" s="53">
        <v>0</v>
      </c>
      <c r="S537" s="53">
        <v>0</v>
      </c>
      <c r="T537" s="53">
        <v>0</v>
      </c>
      <c r="U537" s="53">
        <v>0</v>
      </c>
      <c r="V537" s="53">
        <v>0</v>
      </c>
      <c r="W537" s="30">
        <f t="shared" ref="W537" si="213">AVERAGE(H537:H541)</f>
        <v>36.698799999999991</v>
      </c>
      <c r="Y537" s="53">
        <v>0</v>
      </c>
      <c r="Z537" s="53" t="s">
        <v>16</v>
      </c>
      <c r="AA537" s="53">
        <v>29280</v>
      </c>
      <c r="AB537" s="53">
        <v>120</v>
      </c>
      <c r="AC537" s="53">
        <v>2</v>
      </c>
      <c r="AD537" s="53">
        <v>8</v>
      </c>
      <c r="AE537" s="53">
        <v>407.59</v>
      </c>
      <c r="AF537" s="119">
        <v>41.061</v>
      </c>
      <c r="AG537" s="54">
        <v>45409</v>
      </c>
      <c r="AH537" s="55">
        <v>1.0405092592592593E-2</v>
      </c>
      <c r="AI537" s="53">
        <v>0</v>
      </c>
      <c r="AJ537" s="53">
        <v>0</v>
      </c>
      <c r="AK537" s="53">
        <v>0</v>
      </c>
      <c r="AL537" s="53">
        <v>0</v>
      </c>
      <c r="AM537" s="53">
        <v>0</v>
      </c>
      <c r="AN537" s="53">
        <v>0</v>
      </c>
      <c r="AO537" s="53">
        <v>0</v>
      </c>
      <c r="AP537" s="53">
        <v>0</v>
      </c>
      <c r="AQ537" s="53">
        <v>0</v>
      </c>
      <c r="AR537" s="53">
        <v>0</v>
      </c>
      <c r="AS537" s="53">
        <v>0</v>
      </c>
      <c r="AT537" s="53">
        <v>0</v>
      </c>
      <c r="AU537" s="30">
        <f t="shared" si="190"/>
        <v>40.994999999999997</v>
      </c>
    </row>
    <row r="538" spans="1:47" x14ac:dyDescent="0.25">
      <c r="A538" s="53">
        <v>1</v>
      </c>
      <c r="B538" s="53" t="s">
        <v>16</v>
      </c>
      <c r="C538" s="53">
        <v>29160</v>
      </c>
      <c r="D538" s="53">
        <v>180</v>
      </c>
      <c r="E538" s="53">
        <v>2</v>
      </c>
      <c r="F538" s="53">
        <v>8</v>
      </c>
      <c r="G538" s="53">
        <v>450.82</v>
      </c>
      <c r="H538" s="119">
        <v>36.668999999999997</v>
      </c>
      <c r="I538" s="54">
        <v>45411</v>
      </c>
      <c r="J538" s="120">
        <v>1.2291666666666666E-2</v>
      </c>
      <c r="K538" s="53">
        <v>0</v>
      </c>
      <c r="L538" s="53">
        <v>0</v>
      </c>
      <c r="M538" s="53">
        <v>0</v>
      </c>
      <c r="N538" s="53">
        <v>0</v>
      </c>
      <c r="O538" s="53">
        <v>0</v>
      </c>
      <c r="P538" s="53">
        <v>0</v>
      </c>
      <c r="Q538" s="53">
        <v>0</v>
      </c>
      <c r="R538" s="53">
        <v>0</v>
      </c>
      <c r="S538" s="53">
        <v>0</v>
      </c>
      <c r="T538" s="53">
        <v>0</v>
      </c>
      <c r="U538" s="53">
        <v>0</v>
      </c>
      <c r="V538" s="53">
        <v>26</v>
      </c>
      <c r="W538" s="30">
        <f t="shared" ref="W538" si="214">W537</f>
        <v>36.698799999999991</v>
      </c>
      <c r="Y538" s="53">
        <v>1</v>
      </c>
      <c r="Z538" s="53" t="s">
        <v>16</v>
      </c>
      <c r="AA538" s="53">
        <v>29280</v>
      </c>
      <c r="AB538" s="53">
        <v>120</v>
      </c>
      <c r="AC538" s="53">
        <v>2</v>
      </c>
      <c r="AD538" s="53">
        <v>8</v>
      </c>
      <c r="AE538" s="53">
        <v>408.3</v>
      </c>
      <c r="AF538" s="119">
        <v>40.99</v>
      </c>
      <c r="AG538" s="54">
        <v>45409</v>
      </c>
      <c r="AH538" s="55">
        <v>0.90512731481481479</v>
      </c>
      <c r="AI538" s="53">
        <v>0</v>
      </c>
      <c r="AJ538" s="53">
        <v>0</v>
      </c>
      <c r="AK538" s="53">
        <v>0</v>
      </c>
      <c r="AL538" s="53">
        <v>0</v>
      </c>
      <c r="AM538" s="53">
        <v>0</v>
      </c>
      <c r="AN538" s="53">
        <v>0</v>
      </c>
      <c r="AO538" s="53">
        <v>0</v>
      </c>
      <c r="AP538" s="53">
        <v>0</v>
      </c>
      <c r="AQ538" s="53">
        <v>0</v>
      </c>
      <c r="AR538" s="53">
        <v>0</v>
      </c>
      <c r="AS538" s="53">
        <v>0</v>
      </c>
      <c r="AT538" s="53">
        <v>1285</v>
      </c>
      <c r="AU538" s="30">
        <f t="shared" si="192"/>
        <v>40.994999999999997</v>
      </c>
    </row>
    <row r="539" spans="1:47" x14ac:dyDescent="0.25">
      <c r="A539" s="53">
        <v>2</v>
      </c>
      <c r="B539" s="53" t="s">
        <v>16</v>
      </c>
      <c r="C539" s="53">
        <v>29160</v>
      </c>
      <c r="D539" s="53">
        <v>180</v>
      </c>
      <c r="E539" s="53">
        <v>2</v>
      </c>
      <c r="F539" s="53">
        <v>8</v>
      </c>
      <c r="G539" s="53">
        <v>450.19</v>
      </c>
      <c r="H539" s="119">
        <v>36.72</v>
      </c>
      <c r="I539" s="54">
        <v>45411</v>
      </c>
      <c r="J539" s="120">
        <v>0.10898148148148148</v>
      </c>
      <c r="K539" s="53">
        <v>0</v>
      </c>
      <c r="L539" s="53">
        <v>0</v>
      </c>
      <c r="M539" s="53">
        <v>0</v>
      </c>
      <c r="N539" s="53">
        <v>0</v>
      </c>
      <c r="O539" s="53">
        <v>0</v>
      </c>
      <c r="P539" s="53">
        <v>0</v>
      </c>
      <c r="Q539" s="53">
        <v>0</v>
      </c>
      <c r="R539" s="53">
        <v>0</v>
      </c>
      <c r="S539" s="53">
        <v>0</v>
      </c>
      <c r="T539" s="53">
        <v>0</v>
      </c>
      <c r="U539" s="53">
        <v>0</v>
      </c>
      <c r="V539" s="53">
        <v>0</v>
      </c>
      <c r="W539" s="30">
        <f t="shared" si="184"/>
        <v>36.698799999999991</v>
      </c>
      <c r="Y539" s="53">
        <v>2</v>
      </c>
      <c r="Z539" s="53" t="s">
        <v>16</v>
      </c>
      <c r="AA539" s="53">
        <v>29280</v>
      </c>
      <c r="AB539" s="53">
        <v>120</v>
      </c>
      <c r="AC539" s="53">
        <v>2</v>
      </c>
      <c r="AD539" s="53">
        <v>8</v>
      </c>
      <c r="AE539" s="53">
        <v>408.92</v>
      </c>
      <c r="AF539" s="119">
        <v>40.927999999999997</v>
      </c>
      <c r="AG539" s="54">
        <v>45410</v>
      </c>
      <c r="AH539" s="55">
        <v>3.460648148148148E-3</v>
      </c>
      <c r="AI539" s="53">
        <v>0</v>
      </c>
      <c r="AJ539" s="53">
        <v>0</v>
      </c>
      <c r="AK539" s="53">
        <v>0</v>
      </c>
      <c r="AL539" s="53">
        <v>0</v>
      </c>
      <c r="AM539" s="53">
        <v>0</v>
      </c>
      <c r="AN539" s="53">
        <v>0</v>
      </c>
      <c r="AO539" s="53">
        <v>0</v>
      </c>
      <c r="AP539" s="53">
        <v>0</v>
      </c>
      <c r="AQ539" s="53">
        <v>0</v>
      </c>
      <c r="AR539" s="53">
        <v>0</v>
      </c>
      <c r="AS539" s="53">
        <v>0</v>
      </c>
      <c r="AT539" s="53">
        <v>0</v>
      </c>
      <c r="AU539" s="30">
        <f t="shared" si="192"/>
        <v>40.994999999999997</v>
      </c>
    </row>
    <row r="540" spans="1:47" x14ac:dyDescent="0.25">
      <c r="A540" s="53">
        <v>3</v>
      </c>
      <c r="B540" s="53" t="s">
        <v>16</v>
      </c>
      <c r="C540" s="53">
        <v>29160</v>
      </c>
      <c r="D540" s="53">
        <v>180</v>
      </c>
      <c r="E540" s="53">
        <v>2</v>
      </c>
      <c r="F540" s="53">
        <v>8</v>
      </c>
      <c r="G540" s="53">
        <v>451.09</v>
      </c>
      <c r="H540" s="119">
        <v>36.648000000000003</v>
      </c>
      <c r="I540" s="54">
        <v>45411</v>
      </c>
      <c r="J540" s="120">
        <v>0.20574074074074075</v>
      </c>
      <c r="K540" s="53">
        <v>0</v>
      </c>
      <c r="L540" s="53">
        <v>0</v>
      </c>
      <c r="M540" s="53">
        <v>0</v>
      </c>
      <c r="N540" s="53">
        <v>0</v>
      </c>
      <c r="O540" s="53">
        <v>0</v>
      </c>
      <c r="P540" s="53">
        <v>0</v>
      </c>
      <c r="Q540" s="53">
        <v>0</v>
      </c>
      <c r="R540" s="53">
        <v>0</v>
      </c>
      <c r="S540" s="53">
        <v>0</v>
      </c>
      <c r="T540" s="53">
        <v>0</v>
      </c>
      <c r="U540" s="53">
        <v>0</v>
      </c>
      <c r="V540" s="53">
        <v>0</v>
      </c>
      <c r="W540" s="30">
        <f t="shared" si="184"/>
        <v>36.698799999999991</v>
      </c>
      <c r="Y540" s="53">
        <v>3</v>
      </c>
      <c r="Z540" s="53" t="s">
        <v>16</v>
      </c>
      <c r="AA540" s="53">
        <v>29280</v>
      </c>
      <c r="AB540" s="53">
        <v>120</v>
      </c>
      <c r="AC540" s="53">
        <v>2</v>
      </c>
      <c r="AD540" s="53">
        <v>8</v>
      </c>
      <c r="AE540" s="53">
        <v>408.41</v>
      </c>
      <c r="AF540" s="119">
        <v>40.978000000000002</v>
      </c>
      <c r="AG540" s="54">
        <v>45410</v>
      </c>
      <c r="AH540" s="55">
        <v>0.10157407407407408</v>
      </c>
      <c r="AI540" s="53">
        <v>0</v>
      </c>
      <c r="AJ540" s="53">
        <v>0</v>
      </c>
      <c r="AK540" s="53">
        <v>0</v>
      </c>
      <c r="AL540" s="53">
        <v>0</v>
      </c>
      <c r="AM540" s="53">
        <v>0</v>
      </c>
      <c r="AN540" s="53">
        <v>0</v>
      </c>
      <c r="AO540" s="53">
        <v>0</v>
      </c>
      <c r="AP540" s="53">
        <v>0</v>
      </c>
      <c r="AQ540" s="53">
        <v>0</v>
      </c>
      <c r="AR540" s="53">
        <v>0</v>
      </c>
      <c r="AS540" s="53">
        <v>0</v>
      </c>
      <c r="AT540" s="53">
        <v>0</v>
      </c>
      <c r="AU540" s="30">
        <f t="shared" si="192"/>
        <v>40.994999999999997</v>
      </c>
    </row>
    <row r="541" spans="1:47" x14ac:dyDescent="0.25">
      <c r="A541" s="53">
        <v>4</v>
      </c>
      <c r="B541" s="53" t="s">
        <v>16</v>
      </c>
      <c r="C541" s="53">
        <v>29160</v>
      </c>
      <c r="D541" s="53">
        <v>180</v>
      </c>
      <c r="E541" s="53">
        <v>2</v>
      </c>
      <c r="F541" s="53">
        <v>8</v>
      </c>
      <c r="G541" s="53">
        <v>450.01</v>
      </c>
      <c r="H541" s="119">
        <v>36.734999999999999</v>
      </c>
      <c r="I541" s="54">
        <v>45411</v>
      </c>
      <c r="J541" s="120">
        <v>0.30259259259259258</v>
      </c>
      <c r="K541" s="53">
        <v>0</v>
      </c>
      <c r="L541" s="53">
        <v>0</v>
      </c>
      <c r="M541" s="53">
        <v>0</v>
      </c>
      <c r="N541" s="53">
        <v>0</v>
      </c>
      <c r="O541" s="53">
        <v>0</v>
      </c>
      <c r="P541" s="53">
        <v>0</v>
      </c>
      <c r="Q541" s="53">
        <v>0</v>
      </c>
      <c r="R541" s="53">
        <v>0</v>
      </c>
      <c r="S541" s="53">
        <v>0</v>
      </c>
      <c r="T541" s="53">
        <v>0</v>
      </c>
      <c r="U541" s="53">
        <v>0</v>
      </c>
      <c r="V541" s="53">
        <v>0</v>
      </c>
      <c r="W541" s="30">
        <f t="shared" si="184"/>
        <v>36.698799999999991</v>
      </c>
      <c r="Y541" s="53">
        <v>4</v>
      </c>
      <c r="Z541" s="53" t="s">
        <v>16</v>
      </c>
      <c r="AA541" s="53">
        <v>29280</v>
      </c>
      <c r="AB541" s="53">
        <v>120</v>
      </c>
      <c r="AC541" s="53">
        <v>2</v>
      </c>
      <c r="AD541" s="53">
        <v>8</v>
      </c>
      <c r="AE541" s="53">
        <v>408.02</v>
      </c>
      <c r="AF541" s="119">
        <v>41.018000000000001</v>
      </c>
      <c r="AG541" s="54">
        <v>45410</v>
      </c>
      <c r="AH541" s="55">
        <v>0.19972222222222222</v>
      </c>
      <c r="AI541" s="53">
        <v>0</v>
      </c>
      <c r="AJ541" s="53">
        <v>0</v>
      </c>
      <c r="AK541" s="53">
        <v>0</v>
      </c>
      <c r="AL541" s="53">
        <v>0</v>
      </c>
      <c r="AM541" s="53">
        <v>0</v>
      </c>
      <c r="AN541" s="53">
        <v>0</v>
      </c>
      <c r="AO541" s="53">
        <v>0</v>
      </c>
      <c r="AP541" s="53">
        <v>0</v>
      </c>
      <c r="AQ541" s="53">
        <v>0</v>
      </c>
      <c r="AR541" s="53">
        <v>0</v>
      </c>
      <c r="AS541" s="53">
        <v>0</v>
      </c>
      <c r="AT541" s="53">
        <v>0</v>
      </c>
      <c r="AU541" s="30">
        <f t="shared" si="192"/>
        <v>40.994999999999997</v>
      </c>
    </row>
    <row r="542" spans="1:47" x14ac:dyDescent="0.25">
      <c r="A542" s="53">
        <v>0</v>
      </c>
      <c r="B542" s="53" t="s">
        <v>16</v>
      </c>
      <c r="C542" s="53">
        <v>28888</v>
      </c>
      <c r="D542" s="53">
        <v>184</v>
      </c>
      <c r="E542" s="53">
        <v>2</v>
      </c>
      <c r="F542" s="53">
        <v>8</v>
      </c>
      <c r="G542" s="53">
        <v>431.22</v>
      </c>
      <c r="H542" s="119">
        <v>37.273000000000003</v>
      </c>
      <c r="I542" s="54">
        <v>45409</v>
      </c>
      <c r="J542" s="120">
        <v>0.42292824074074076</v>
      </c>
      <c r="K542" s="53">
        <v>0</v>
      </c>
      <c r="L542" s="53">
        <v>0</v>
      </c>
      <c r="M542" s="53">
        <v>0</v>
      </c>
      <c r="N542" s="53">
        <v>0</v>
      </c>
      <c r="O542" s="53">
        <v>0</v>
      </c>
      <c r="P542" s="53">
        <v>0</v>
      </c>
      <c r="Q542" s="53">
        <v>0</v>
      </c>
      <c r="R542" s="53">
        <v>0</v>
      </c>
      <c r="S542" s="53">
        <v>0</v>
      </c>
      <c r="T542" s="53">
        <v>0</v>
      </c>
      <c r="U542" s="53">
        <v>0</v>
      </c>
      <c r="V542" s="53">
        <v>0</v>
      </c>
      <c r="W542" s="30">
        <f t="shared" ref="W542" si="215">AVERAGE(H542:H546)</f>
        <v>37.436199999999999</v>
      </c>
      <c r="Y542" s="53">
        <v>0</v>
      </c>
      <c r="Z542" s="53" t="s">
        <v>16</v>
      </c>
      <c r="AA542" s="53">
        <v>28968</v>
      </c>
      <c r="AB542" s="53">
        <v>136</v>
      </c>
      <c r="AC542" s="53">
        <v>2</v>
      </c>
      <c r="AD542" s="53">
        <v>8</v>
      </c>
      <c r="AE542" s="53">
        <v>409.83</v>
      </c>
      <c r="AF542" s="119">
        <v>39.545000000000002</v>
      </c>
      <c r="AG542" s="54">
        <v>45408</v>
      </c>
      <c r="AH542" s="55">
        <v>0.97207175925925926</v>
      </c>
      <c r="AI542" s="53">
        <v>0</v>
      </c>
      <c r="AJ542" s="53">
        <v>0</v>
      </c>
      <c r="AK542" s="53">
        <v>0</v>
      </c>
      <c r="AL542" s="53">
        <v>0</v>
      </c>
      <c r="AM542" s="53">
        <v>0</v>
      </c>
      <c r="AN542" s="53">
        <v>0</v>
      </c>
      <c r="AO542" s="53">
        <v>0</v>
      </c>
      <c r="AP542" s="53">
        <v>0</v>
      </c>
      <c r="AQ542" s="53">
        <v>0</v>
      </c>
      <c r="AR542" s="53">
        <v>0</v>
      </c>
      <c r="AS542" s="53">
        <v>0</v>
      </c>
      <c r="AT542" s="53">
        <v>0</v>
      </c>
      <c r="AU542" s="30">
        <f t="shared" si="194"/>
        <v>39.584600000000002</v>
      </c>
    </row>
    <row r="543" spans="1:47" x14ac:dyDescent="0.25">
      <c r="A543" s="53">
        <v>1</v>
      </c>
      <c r="B543" s="53" t="s">
        <v>16</v>
      </c>
      <c r="C543" s="53">
        <v>28888</v>
      </c>
      <c r="D543" s="53">
        <v>184</v>
      </c>
      <c r="E543" s="53">
        <v>2</v>
      </c>
      <c r="F543" s="53">
        <v>8</v>
      </c>
      <c r="G543" s="53">
        <v>428.92</v>
      </c>
      <c r="H543" s="119">
        <v>37.472999999999999</v>
      </c>
      <c r="I543" s="54">
        <v>45410</v>
      </c>
      <c r="J543" s="120">
        <v>0.95839120370370368</v>
      </c>
      <c r="K543" s="53">
        <v>0</v>
      </c>
      <c r="L543" s="53">
        <v>0</v>
      </c>
      <c r="M543" s="53">
        <v>0</v>
      </c>
      <c r="N543" s="53">
        <v>0</v>
      </c>
      <c r="O543" s="53">
        <v>0</v>
      </c>
      <c r="P543" s="53">
        <v>0</v>
      </c>
      <c r="Q543" s="53">
        <v>0</v>
      </c>
      <c r="R543" s="53">
        <v>0</v>
      </c>
      <c r="S543" s="53">
        <v>0</v>
      </c>
      <c r="T543" s="53">
        <v>0</v>
      </c>
      <c r="U543" s="53">
        <v>0</v>
      </c>
      <c r="V543" s="53">
        <v>0</v>
      </c>
      <c r="W543" s="30">
        <f t="shared" ref="W543" si="216">W542</f>
        <v>37.436199999999999</v>
      </c>
      <c r="Y543" s="53">
        <v>1</v>
      </c>
      <c r="Z543" s="53" t="s">
        <v>16</v>
      </c>
      <c r="AA543" s="53">
        <v>28968</v>
      </c>
      <c r="AB543" s="53">
        <v>136</v>
      </c>
      <c r="AC543" s="53">
        <v>2</v>
      </c>
      <c r="AD543" s="53">
        <v>8</v>
      </c>
      <c r="AE543" s="53">
        <v>409.19</v>
      </c>
      <c r="AF543" s="119">
        <v>39.606999999999999</v>
      </c>
      <c r="AG543" s="54">
        <v>45409</v>
      </c>
      <c r="AH543" s="55">
        <v>7.0150462962962956E-2</v>
      </c>
      <c r="AI543" s="53">
        <v>0</v>
      </c>
      <c r="AJ543" s="53">
        <v>0</v>
      </c>
      <c r="AK543" s="53">
        <v>0</v>
      </c>
      <c r="AL543" s="53">
        <v>0</v>
      </c>
      <c r="AM543" s="53">
        <v>0</v>
      </c>
      <c r="AN543" s="53">
        <v>0</v>
      </c>
      <c r="AO543" s="53">
        <v>0</v>
      </c>
      <c r="AP543" s="53">
        <v>0</v>
      </c>
      <c r="AQ543" s="53">
        <v>0</v>
      </c>
      <c r="AR543" s="53">
        <v>0</v>
      </c>
      <c r="AS543" s="53">
        <v>0</v>
      </c>
      <c r="AT543" s="53">
        <v>0</v>
      </c>
      <c r="AU543" s="30">
        <f t="shared" si="196"/>
        <v>39.584600000000002</v>
      </c>
    </row>
    <row r="544" spans="1:47" x14ac:dyDescent="0.25">
      <c r="A544" s="53">
        <v>2</v>
      </c>
      <c r="B544" s="53" t="s">
        <v>16</v>
      </c>
      <c r="C544" s="53">
        <v>28888</v>
      </c>
      <c r="D544" s="53">
        <v>184</v>
      </c>
      <c r="E544" s="53">
        <v>2</v>
      </c>
      <c r="F544" s="53">
        <v>8</v>
      </c>
      <c r="G544" s="53">
        <v>428.87</v>
      </c>
      <c r="H544" s="119">
        <v>37.478000000000002</v>
      </c>
      <c r="I544" s="54">
        <v>45411</v>
      </c>
      <c r="J544" s="120">
        <v>5.5104166666666669E-2</v>
      </c>
      <c r="K544" s="53">
        <v>0</v>
      </c>
      <c r="L544" s="53">
        <v>0</v>
      </c>
      <c r="M544" s="53">
        <v>0</v>
      </c>
      <c r="N544" s="53">
        <v>0</v>
      </c>
      <c r="O544" s="53">
        <v>0</v>
      </c>
      <c r="P544" s="53">
        <v>0</v>
      </c>
      <c r="Q544" s="53">
        <v>0</v>
      </c>
      <c r="R544" s="53">
        <v>0</v>
      </c>
      <c r="S544" s="53">
        <v>0</v>
      </c>
      <c r="T544" s="53">
        <v>0</v>
      </c>
      <c r="U544" s="53">
        <v>0</v>
      </c>
      <c r="V544" s="53">
        <v>0</v>
      </c>
      <c r="W544" s="30">
        <f t="shared" si="182"/>
        <v>37.436199999999999</v>
      </c>
      <c r="Y544" s="53">
        <v>2</v>
      </c>
      <c r="Z544" s="53" t="s">
        <v>16</v>
      </c>
      <c r="AA544" s="53">
        <v>28968</v>
      </c>
      <c r="AB544" s="53">
        <v>136</v>
      </c>
      <c r="AC544" s="53">
        <v>2</v>
      </c>
      <c r="AD544" s="53">
        <v>8</v>
      </c>
      <c r="AE544" s="53">
        <v>409.34</v>
      </c>
      <c r="AF544" s="119">
        <v>39.591999999999999</v>
      </c>
      <c r="AG544" s="54">
        <v>45409</v>
      </c>
      <c r="AH544" s="55">
        <v>0.96506944444444442</v>
      </c>
      <c r="AI544" s="53">
        <v>0</v>
      </c>
      <c r="AJ544" s="53">
        <v>0</v>
      </c>
      <c r="AK544" s="53">
        <v>0</v>
      </c>
      <c r="AL544" s="53">
        <v>0</v>
      </c>
      <c r="AM544" s="53">
        <v>0</v>
      </c>
      <c r="AN544" s="53">
        <v>0</v>
      </c>
      <c r="AO544" s="53">
        <v>0</v>
      </c>
      <c r="AP544" s="53">
        <v>0</v>
      </c>
      <c r="AQ544" s="53">
        <v>0</v>
      </c>
      <c r="AR544" s="53">
        <v>0</v>
      </c>
      <c r="AS544" s="53">
        <v>0</v>
      </c>
      <c r="AT544" s="53">
        <v>0</v>
      </c>
      <c r="AU544" s="30">
        <f t="shared" si="192"/>
        <v>39.584600000000002</v>
      </c>
    </row>
    <row r="545" spans="1:47" x14ac:dyDescent="0.25">
      <c r="A545" s="53">
        <v>3</v>
      </c>
      <c r="B545" s="53" t="s">
        <v>16</v>
      </c>
      <c r="C545" s="53">
        <v>28888</v>
      </c>
      <c r="D545" s="53">
        <v>184</v>
      </c>
      <c r="E545" s="53">
        <v>2</v>
      </c>
      <c r="F545" s="53">
        <v>8</v>
      </c>
      <c r="G545" s="53">
        <v>428.9</v>
      </c>
      <c r="H545" s="119">
        <v>37.473999999999997</v>
      </c>
      <c r="I545" s="54">
        <v>45411</v>
      </c>
      <c r="J545" s="120">
        <v>0.15179398148148149</v>
      </c>
      <c r="K545" s="53">
        <v>0</v>
      </c>
      <c r="L545" s="53">
        <v>0</v>
      </c>
      <c r="M545" s="53">
        <v>0</v>
      </c>
      <c r="N545" s="53">
        <v>0</v>
      </c>
      <c r="O545" s="53">
        <v>0</v>
      </c>
      <c r="P545" s="53">
        <v>0</v>
      </c>
      <c r="Q545" s="53">
        <v>0</v>
      </c>
      <c r="R545" s="53">
        <v>0</v>
      </c>
      <c r="S545" s="53">
        <v>0</v>
      </c>
      <c r="T545" s="53">
        <v>0</v>
      </c>
      <c r="U545" s="53">
        <v>0</v>
      </c>
      <c r="V545" s="53">
        <v>0</v>
      </c>
      <c r="W545" s="30">
        <f t="shared" si="182"/>
        <v>37.436199999999999</v>
      </c>
      <c r="Y545" s="53">
        <v>3</v>
      </c>
      <c r="Z545" s="53" t="s">
        <v>16</v>
      </c>
      <c r="AA545" s="53">
        <v>28968</v>
      </c>
      <c r="AB545" s="53">
        <v>136</v>
      </c>
      <c r="AC545" s="53">
        <v>2</v>
      </c>
      <c r="AD545" s="53">
        <v>8</v>
      </c>
      <c r="AE545" s="53">
        <v>409.15</v>
      </c>
      <c r="AF545" s="119">
        <v>39.610999999999997</v>
      </c>
      <c r="AG545" s="54">
        <v>45410</v>
      </c>
      <c r="AH545" s="55">
        <v>6.322916666666667E-2</v>
      </c>
      <c r="AI545" s="53">
        <v>0</v>
      </c>
      <c r="AJ545" s="53">
        <v>0</v>
      </c>
      <c r="AK545" s="53">
        <v>0</v>
      </c>
      <c r="AL545" s="53">
        <v>0</v>
      </c>
      <c r="AM545" s="53">
        <v>0</v>
      </c>
      <c r="AN545" s="53">
        <v>0</v>
      </c>
      <c r="AO545" s="53">
        <v>0</v>
      </c>
      <c r="AP545" s="53">
        <v>0</v>
      </c>
      <c r="AQ545" s="53">
        <v>0</v>
      </c>
      <c r="AR545" s="53">
        <v>0</v>
      </c>
      <c r="AS545" s="53">
        <v>0</v>
      </c>
      <c r="AT545" s="53">
        <v>0</v>
      </c>
      <c r="AU545" s="30">
        <f t="shared" si="192"/>
        <v>39.584600000000002</v>
      </c>
    </row>
    <row r="546" spans="1:47" x14ac:dyDescent="0.25">
      <c r="A546" s="53">
        <v>4</v>
      </c>
      <c r="B546" s="53" t="s">
        <v>16</v>
      </c>
      <c r="C546" s="53">
        <v>28888</v>
      </c>
      <c r="D546" s="53">
        <v>184</v>
      </c>
      <c r="E546" s="53">
        <v>2</v>
      </c>
      <c r="F546" s="53">
        <v>8</v>
      </c>
      <c r="G546" s="53">
        <v>428.8</v>
      </c>
      <c r="H546" s="119">
        <v>37.482999999999997</v>
      </c>
      <c r="I546" s="54">
        <v>45411</v>
      </c>
      <c r="J546" s="120">
        <v>0.24855324074074073</v>
      </c>
      <c r="K546" s="53">
        <v>0</v>
      </c>
      <c r="L546" s="53">
        <v>0</v>
      </c>
      <c r="M546" s="53">
        <v>0</v>
      </c>
      <c r="N546" s="53">
        <v>0</v>
      </c>
      <c r="O546" s="53">
        <v>0</v>
      </c>
      <c r="P546" s="53">
        <v>0</v>
      </c>
      <c r="Q546" s="53">
        <v>0</v>
      </c>
      <c r="R546" s="53">
        <v>0</v>
      </c>
      <c r="S546" s="53">
        <v>0</v>
      </c>
      <c r="T546" s="53">
        <v>0</v>
      </c>
      <c r="U546" s="53">
        <v>0</v>
      </c>
      <c r="V546" s="53">
        <v>0</v>
      </c>
      <c r="W546" s="30">
        <f t="shared" si="182"/>
        <v>37.436199999999999</v>
      </c>
      <c r="Y546" s="53">
        <v>4</v>
      </c>
      <c r="Z546" s="53" t="s">
        <v>16</v>
      </c>
      <c r="AA546" s="53">
        <v>28968</v>
      </c>
      <c r="AB546" s="53">
        <v>136</v>
      </c>
      <c r="AC546" s="53">
        <v>2</v>
      </c>
      <c r="AD546" s="53">
        <v>8</v>
      </c>
      <c r="AE546" s="53">
        <v>409.59</v>
      </c>
      <c r="AF546" s="119">
        <v>39.567999999999998</v>
      </c>
      <c r="AG546" s="54">
        <v>45410</v>
      </c>
      <c r="AH546" s="55">
        <v>0.16136574074074075</v>
      </c>
      <c r="AI546" s="53">
        <v>0</v>
      </c>
      <c r="AJ546" s="53">
        <v>0</v>
      </c>
      <c r="AK546" s="53">
        <v>0</v>
      </c>
      <c r="AL546" s="53">
        <v>0</v>
      </c>
      <c r="AM546" s="53">
        <v>0</v>
      </c>
      <c r="AN546" s="53">
        <v>0</v>
      </c>
      <c r="AO546" s="53">
        <v>0</v>
      </c>
      <c r="AP546" s="53">
        <v>0</v>
      </c>
      <c r="AQ546" s="53">
        <v>0</v>
      </c>
      <c r="AR546" s="53">
        <v>0</v>
      </c>
      <c r="AS546" s="53">
        <v>0</v>
      </c>
      <c r="AT546" s="53">
        <v>0</v>
      </c>
      <c r="AU546" s="30">
        <f t="shared" si="192"/>
        <v>39.584600000000002</v>
      </c>
    </row>
    <row r="547" spans="1:47" x14ac:dyDescent="0.25">
      <c r="A547" s="53">
        <v>0</v>
      </c>
      <c r="B547" s="53" t="s">
        <v>16</v>
      </c>
      <c r="C547" s="53">
        <v>29256</v>
      </c>
      <c r="D547" s="53">
        <v>184</v>
      </c>
      <c r="E547" s="53">
        <v>2</v>
      </c>
      <c r="F547" s="53">
        <v>8</v>
      </c>
      <c r="G547" s="53">
        <v>451.04</v>
      </c>
      <c r="H547" s="119">
        <v>37.015000000000001</v>
      </c>
      <c r="I547" s="54">
        <v>45413</v>
      </c>
      <c r="J547" s="120">
        <v>0.13238425925925926</v>
      </c>
      <c r="K547" s="53">
        <v>0</v>
      </c>
      <c r="L547" s="53">
        <v>0</v>
      </c>
      <c r="M547" s="53">
        <v>0</v>
      </c>
      <c r="N547" s="53">
        <v>0</v>
      </c>
      <c r="O547" s="53">
        <v>0</v>
      </c>
      <c r="P547" s="53">
        <v>0</v>
      </c>
      <c r="Q547" s="53">
        <v>0</v>
      </c>
      <c r="R547" s="53">
        <v>0</v>
      </c>
      <c r="S547" s="53">
        <v>0</v>
      </c>
      <c r="T547" s="53">
        <v>0</v>
      </c>
      <c r="U547" s="53">
        <v>0</v>
      </c>
      <c r="V547" s="53">
        <v>0</v>
      </c>
      <c r="W547" s="30">
        <f t="shared" ref="W547" si="217">AVERAGE(H547:H551)</f>
        <v>37.1526</v>
      </c>
      <c r="Y547" s="53">
        <v>0</v>
      </c>
      <c r="Z547" s="53" t="s">
        <v>16</v>
      </c>
      <c r="AA547" s="53">
        <v>29240</v>
      </c>
      <c r="AB547" s="53">
        <v>136</v>
      </c>
      <c r="AC547" s="53">
        <v>2</v>
      </c>
      <c r="AD547" s="53">
        <v>8</v>
      </c>
      <c r="AE547" s="53">
        <v>420.4</v>
      </c>
      <c r="AF547" s="119">
        <v>39.646999999999998</v>
      </c>
      <c r="AG547" s="54">
        <v>45409</v>
      </c>
      <c r="AH547" s="55">
        <v>2.1516203703703704E-2</v>
      </c>
      <c r="AI547" s="53">
        <v>0</v>
      </c>
      <c r="AJ547" s="53">
        <v>0</v>
      </c>
      <c r="AK547" s="53">
        <v>0</v>
      </c>
      <c r="AL547" s="53">
        <v>0</v>
      </c>
      <c r="AM547" s="53">
        <v>0</v>
      </c>
      <c r="AN547" s="53">
        <v>0</v>
      </c>
      <c r="AO547" s="53">
        <v>0</v>
      </c>
      <c r="AP547" s="53">
        <v>0</v>
      </c>
      <c r="AQ547" s="53">
        <v>0</v>
      </c>
      <c r="AR547" s="53">
        <v>0</v>
      </c>
      <c r="AS547" s="53">
        <v>0</v>
      </c>
      <c r="AT547" s="53">
        <v>0</v>
      </c>
      <c r="AU547" s="30">
        <f t="shared" si="198"/>
        <v>39.599400000000003</v>
      </c>
    </row>
    <row r="548" spans="1:47" x14ac:dyDescent="0.25">
      <c r="A548" s="53">
        <v>1</v>
      </c>
      <c r="B548" s="53" t="s">
        <v>16</v>
      </c>
      <c r="C548" s="53">
        <v>29256</v>
      </c>
      <c r="D548" s="53">
        <v>184</v>
      </c>
      <c r="E548" s="53">
        <v>2</v>
      </c>
      <c r="F548" s="53">
        <v>8</v>
      </c>
      <c r="G548" s="53">
        <v>448.7</v>
      </c>
      <c r="H548" s="119">
        <v>37.207999999999998</v>
      </c>
      <c r="I548" s="54">
        <v>45413</v>
      </c>
      <c r="J548" s="120">
        <v>0.15935185185185186</v>
      </c>
      <c r="K548" s="53">
        <v>0</v>
      </c>
      <c r="L548" s="53">
        <v>0</v>
      </c>
      <c r="M548" s="53">
        <v>0</v>
      </c>
      <c r="N548" s="53">
        <v>0</v>
      </c>
      <c r="O548" s="53">
        <v>0</v>
      </c>
      <c r="P548" s="53">
        <v>0</v>
      </c>
      <c r="Q548" s="53">
        <v>0</v>
      </c>
      <c r="R548" s="53">
        <v>0</v>
      </c>
      <c r="S548" s="53">
        <v>0</v>
      </c>
      <c r="T548" s="53">
        <v>0</v>
      </c>
      <c r="U548" s="53">
        <v>0</v>
      </c>
      <c r="V548" s="53">
        <v>0</v>
      </c>
      <c r="W548" s="30">
        <f t="shared" ref="W548" si="218">W547</f>
        <v>37.1526</v>
      </c>
      <c r="Y548" s="53">
        <v>1</v>
      </c>
      <c r="Z548" s="53" t="s">
        <v>16</v>
      </c>
      <c r="AA548" s="53">
        <v>29240</v>
      </c>
      <c r="AB548" s="53">
        <v>136</v>
      </c>
      <c r="AC548" s="53">
        <v>2</v>
      </c>
      <c r="AD548" s="53">
        <v>8</v>
      </c>
      <c r="AE548" s="53">
        <v>421.12</v>
      </c>
      <c r="AF548" s="119">
        <v>39.579000000000001</v>
      </c>
      <c r="AG548" s="54">
        <v>45409</v>
      </c>
      <c r="AH548" s="55">
        <v>0.9162731481481482</v>
      </c>
      <c r="AI548" s="53">
        <v>0</v>
      </c>
      <c r="AJ548" s="53">
        <v>0</v>
      </c>
      <c r="AK548" s="53">
        <v>0</v>
      </c>
      <c r="AL548" s="53">
        <v>0</v>
      </c>
      <c r="AM548" s="53">
        <v>0</v>
      </c>
      <c r="AN548" s="53">
        <v>0</v>
      </c>
      <c r="AO548" s="53">
        <v>0</v>
      </c>
      <c r="AP548" s="53">
        <v>0</v>
      </c>
      <c r="AQ548" s="53">
        <v>0</v>
      </c>
      <c r="AR548" s="53">
        <v>0</v>
      </c>
      <c r="AS548" s="53">
        <v>0</v>
      </c>
      <c r="AT548" s="53">
        <v>590</v>
      </c>
      <c r="AU548" s="30">
        <f t="shared" si="200"/>
        <v>39.599400000000003</v>
      </c>
    </row>
    <row r="549" spans="1:47" x14ac:dyDescent="0.25">
      <c r="A549" s="53">
        <v>2</v>
      </c>
      <c r="B549" s="53" t="s">
        <v>16</v>
      </c>
      <c r="C549" s="53">
        <v>29256</v>
      </c>
      <c r="D549" s="53">
        <v>184</v>
      </c>
      <c r="E549" s="53">
        <v>2</v>
      </c>
      <c r="F549" s="53">
        <v>8</v>
      </c>
      <c r="G549" s="53">
        <v>447.27</v>
      </c>
      <c r="H549" s="119">
        <v>37.326999999999998</v>
      </c>
      <c r="I549" s="54">
        <v>45411</v>
      </c>
      <c r="J549" s="120">
        <v>0.10355324074074074</v>
      </c>
      <c r="K549" s="53">
        <v>0</v>
      </c>
      <c r="L549" s="53">
        <v>0</v>
      </c>
      <c r="M549" s="53">
        <v>0</v>
      </c>
      <c r="N549" s="53">
        <v>0</v>
      </c>
      <c r="O549" s="53">
        <v>0</v>
      </c>
      <c r="P549" s="53">
        <v>0</v>
      </c>
      <c r="Q549" s="53">
        <v>0</v>
      </c>
      <c r="R549" s="53">
        <v>0</v>
      </c>
      <c r="S549" s="53">
        <v>0</v>
      </c>
      <c r="T549" s="53">
        <v>0</v>
      </c>
      <c r="U549" s="53">
        <v>0</v>
      </c>
      <c r="V549" s="53">
        <v>0</v>
      </c>
      <c r="W549" s="30">
        <f t="shared" si="184"/>
        <v>37.1526</v>
      </c>
      <c r="Y549" s="53">
        <v>2</v>
      </c>
      <c r="Z549" s="53" t="s">
        <v>16</v>
      </c>
      <c r="AA549" s="53">
        <v>29240</v>
      </c>
      <c r="AB549" s="53">
        <v>136</v>
      </c>
      <c r="AC549" s="53">
        <v>2</v>
      </c>
      <c r="AD549" s="53">
        <v>8</v>
      </c>
      <c r="AE549" s="53">
        <v>420.67</v>
      </c>
      <c r="AF549" s="119">
        <v>39.622</v>
      </c>
      <c r="AG549" s="54">
        <v>45410</v>
      </c>
      <c r="AH549" s="55">
        <v>1.4583333333333334E-2</v>
      </c>
      <c r="AI549" s="53">
        <v>0</v>
      </c>
      <c r="AJ549" s="53">
        <v>0</v>
      </c>
      <c r="AK549" s="53">
        <v>0</v>
      </c>
      <c r="AL549" s="53">
        <v>0</v>
      </c>
      <c r="AM549" s="53">
        <v>0</v>
      </c>
      <c r="AN549" s="53">
        <v>0</v>
      </c>
      <c r="AO549" s="53">
        <v>0</v>
      </c>
      <c r="AP549" s="53">
        <v>0</v>
      </c>
      <c r="AQ549" s="53">
        <v>0</v>
      </c>
      <c r="AR549" s="53">
        <v>0</v>
      </c>
      <c r="AS549" s="53">
        <v>0</v>
      </c>
      <c r="AT549" s="53">
        <v>0</v>
      </c>
      <c r="AU549" s="30">
        <f t="shared" si="192"/>
        <v>39.599400000000003</v>
      </c>
    </row>
    <row r="550" spans="1:47" x14ac:dyDescent="0.25">
      <c r="A550" s="53">
        <v>3</v>
      </c>
      <c r="B550" s="53" t="s">
        <v>16</v>
      </c>
      <c r="C550" s="53">
        <v>29256</v>
      </c>
      <c r="D550" s="53">
        <v>184</v>
      </c>
      <c r="E550" s="53">
        <v>2</v>
      </c>
      <c r="F550" s="53">
        <v>8</v>
      </c>
      <c r="G550" s="53">
        <v>449.37</v>
      </c>
      <c r="H550" s="119">
        <v>37.152000000000001</v>
      </c>
      <c r="I550" s="54">
        <v>45411</v>
      </c>
      <c r="J550" s="120">
        <v>0.20028935185185184</v>
      </c>
      <c r="K550" s="53">
        <v>0</v>
      </c>
      <c r="L550" s="53">
        <v>0</v>
      </c>
      <c r="M550" s="53">
        <v>0</v>
      </c>
      <c r="N550" s="53">
        <v>0</v>
      </c>
      <c r="O550" s="53">
        <v>0</v>
      </c>
      <c r="P550" s="53">
        <v>0</v>
      </c>
      <c r="Q550" s="53">
        <v>0</v>
      </c>
      <c r="R550" s="53">
        <v>0</v>
      </c>
      <c r="S550" s="53">
        <v>0</v>
      </c>
      <c r="T550" s="53">
        <v>0</v>
      </c>
      <c r="U550" s="53">
        <v>0</v>
      </c>
      <c r="V550" s="53">
        <v>0</v>
      </c>
      <c r="W550" s="30">
        <f t="shared" si="184"/>
        <v>37.1526</v>
      </c>
      <c r="Y550" s="53">
        <v>3</v>
      </c>
      <c r="Z550" s="53" t="s">
        <v>16</v>
      </c>
      <c r="AA550" s="53">
        <v>29240</v>
      </c>
      <c r="AB550" s="53">
        <v>136</v>
      </c>
      <c r="AC550" s="53">
        <v>2</v>
      </c>
      <c r="AD550" s="53">
        <v>8</v>
      </c>
      <c r="AE550" s="53">
        <v>420.9</v>
      </c>
      <c r="AF550" s="119">
        <v>39.6</v>
      </c>
      <c r="AG550" s="54">
        <v>45410</v>
      </c>
      <c r="AH550" s="55">
        <v>0.11269675925925926</v>
      </c>
      <c r="AI550" s="53">
        <v>0</v>
      </c>
      <c r="AJ550" s="53">
        <v>0</v>
      </c>
      <c r="AK550" s="53">
        <v>0</v>
      </c>
      <c r="AL550" s="53">
        <v>0</v>
      </c>
      <c r="AM550" s="53">
        <v>0</v>
      </c>
      <c r="AN550" s="53">
        <v>0</v>
      </c>
      <c r="AO550" s="53">
        <v>0</v>
      </c>
      <c r="AP550" s="53">
        <v>0</v>
      </c>
      <c r="AQ550" s="53">
        <v>0</v>
      </c>
      <c r="AR550" s="53">
        <v>0</v>
      </c>
      <c r="AS550" s="53">
        <v>0</v>
      </c>
      <c r="AT550" s="53">
        <v>0</v>
      </c>
      <c r="AU550" s="30">
        <f t="shared" si="192"/>
        <v>39.599400000000003</v>
      </c>
    </row>
    <row r="551" spans="1:47" x14ac:dyDescent="0.25">
      <c r="A551" s="53">
        <v>4</v>
      </c>
      <c r="B551" s="53" t="s">
        <v>16</v>
      </c>
      <c r="C551" s="53">
        <v>29256</v>
      </c>
      <c r="D551" s="53">
        <v>184</v>
      </c>
      <c r="E551" s="53">
        <v>2</v>
      </c>
      <c r="F551" s="53">
        <v>8</v>
      </c>
      <c r="G551" s="53">
        <v>450.48</v>
      </c>
      <c r="H551" s="119">
        <v>37.061</v>
      </c>
      <c r="I551" s="54">
        <v>45411</v>
      </c>
      <c r="J551" s="120">
        <v>0.29715277777777777</v>
      </c>
      <c r="K551" s="53">
        <v>0</v>
      </c>
      <c r="L551" s="53">
        <v>0</v>
      </c>
      <c r="M551" s="53">
        <v>0</v>
      </c>
      <c r="N551" s="53">
        <v>0</v>
      </c>
      <c r="O551" s="53">
        <v>0</v>
      </c>
      <c r="P551" s="53">
        <v>0</v>
      </c>
      <c r="Q551" s="53">
        <v>0</v>
      </c>
      <c r="R551" s="53">
        <v>0</v>
      </c>
      <c r="S551" s="53">
        <v>0</v>
      </c>
      <c r="T551" s="53">
        <v>0</v>
      </c>
      <c r="U551" s="53">
        <v>0</v>
      </c>
      <c r="V551" s="53">
        <v>0</v>
      </c>
      <c r="W551" s="30">
        <f t="shared" si="184"/>
        <v>37.1526</v>
      </c>
      <c r="Y551" s="53">
        <v>4</v>
      </c>
      <c r="Z551" s="53" t="s">
        <v>16</v>
      </c>
      <c r="AA551" s="53">
        <v>29240</v>
      </c>
      <c r="AB551" s="53">
        <v>136</v>
      </c>
      <c r="AC551" s="53">
        <v>2</v>
      </c>
      <c r="AD551" s="53">
        <v>8</v>
      </c>
      <c r="AE551" s="53">
        <v>421.44</v>
      </c>
      <c r="AF551" s="119">
        <v>39.548999999999999</v>
      </c>
      <c r="AG551" s="54">
        <v>45410</v>
      </c>
      <c r="AH551" s="55">
        <v>0.21085648148148148</v>
      </c>
      <c r="AI551" s="53">
        <v>0</v>
      </c>
      <c r="AJ551" s="53">
        <v>0</v>
      </c>
      <c r="AK551" s="53">
        <v>0</v>
      </c>
      <c r="AL551" s="53">
        <v>0</v>
      </c>
      <c r="AM551" s="53">
        <v>0</v>
      </c>
      <c r="AN551" s="53">
        <v>0</v>
      </c>
      <c r="AO551" s="53">
        <v>0</v>
      </c>
      <c r="AP551" s="53">
        <v>0</v>
      </c>
      <c r="AQ551" s="53">
        <v>0</v>
      </c>
      <c r="AR551" s="53">
        <v>0</v>
      </c>
      <c r="AS551" s="53">
        <v>0</v>
      </c>
      <c r="AT551" s="53">
        <v>0</v>
      </c>
      <c r="AU551" s="30">
        <f t="shared" si="192"/>
        <v>39.599400000000003</v>
      </c>
    </row>
    <row r="552" spans="1:47" x14ac:dyDescent="0.25">
      <c r="A552" s="53">
        <v>0</v>
      </c>
      <c r="B552" s="53" t="s">
        <v>16</v>
      </c>
      <c r="C552" s="53">
        <v>28952</v>
      </c>
      <c r="D552" s="53">
        <v>188</v>
      </c>
      <c r="E552" s="53">
        <v>2</v>
      </c>
      <c r="F552" s="53">
        <v>8</v>
      </c>
      <c r="G552" s="53">
        <v>446.85</v>
      </c>
      <c r="H552" s="119">
        <v>36.209000000000003</v>
      </c>
      <c r="I552" s="54">
        <v>45409</v>
      </c>
      <c r="J552" s="120">
        <v>0.4337037037037037</v>
      </c>
      <c r="K552" s="53">
        <v>0</v>
      </c>
      <c r="L552" s="53">
        <v>0</v>
      </c>
      <c r="M552" s="53">
        <v>0</v>
      </c>
      <c r="N552" s="53">
        <v>0</v>
      </c>
      <c r="O552" s="53">
        <v>0</v>
      </c>
      <c r="P552" s="53">
        <v>0</v>
      </c>
      <c r="Q552" s="53">
        <v>0</v>
      </c>
      <c r="R552" s="53">
        <v>0</v>
      </c>
      <c r="S552" s="53">
        <v>0</v>
      </c>
      <c r="T552" s="53">
        <v>0</v>
      </c>
      <c r="U552" s="53">
        <v>0</v>
      </c>
      <c r="V552" s="53">
        <v>51</v>
      </c>
      <c r="W552" s="30">
        <f t="shared" ref="W552" si="219">AVERAGE(H552:H556)</f>
        <v>36.248800000000003</v>
      </c>
      <c r="Y552" s="53">
        <v>0</v>
      </c>
      <c r="Z552" s="53" t="s">
        <v>16</v>
      </c>
      <c r="AA552" s="53">
        <v>28944</v>
      </c>
      <c r="AB552" s="53">
        <v>144</v>
      </c>
      <c r="AC552" s="53">
        <v>2</v>
      </c>
      <c r="AD552" s="53">
        <v>8</v>
      </c>
      <c r="AE552" s="53">
        <v>401.43</v>
      </c>
      <c r="AF552" s="119">
        <v>40.273000000000003</v>
      </c>
      <c r="AG552" s="54">
        <v>45408</v>
      </c>
      <c r="AH552" s="55">
        <v>0.97746527777777781</v>
      </c>
      <c r="AI552" s="53">
        <v>0</v>
      </c>
      <c r="AJ552" s="53">
        <v>0</v>
      </c>
      <c r="AK552" s="53">
        <v>0</v>
      </c>
      <c r="AL552" s="53">
        <v>0</v>
      </c>
      <c r="AM552" s="53">
        <v>0</v>
      </c>
      <c r="AN552" s="53">
        <v>0</v>
      </c>
      <c r="AO552" s="53">
        <v>0</v>
      </c>
      <c r="AP552" s="53">
        <v>0</v>
      </c>
      <c r="AQ552" s="53">
        <v>0</v>
      </c>
      <c r="AR552" s="53">
        <v>0</v>
      </c>
      <c r="AS552" s="53">
        <v>0</v>
      </c>
      <c r="AT552" s="53">
        <v>0</v>
      </c>
      <c r="AU552" s="30">
        <f t="shared" si="202"/>
        <v>40.237000000000002</v>
      </c>
    </row>
    <row r="553" spans="1:47" x14ac:dyDescent="0.25">
      <c r="A553" s="53">
        <v>1</v>
      </c>
      <c r="B553" s="53" t="s">
        <v>16</v>
      </c>
      <c r="C553" s="53">
        <v>28952</v>
      </c>
      <c r="D553" s="53">
        <v>188</v>
      </c>
      <c r="E553" s="53">
        <v>2</v>
      </c>
      <c r="F553" s="53">
        <v>8</v>
      </c>
      <c r="G553" s="53">
        <v>445.74</v>
      </c>
      <c r="H553" s="119">
        <v>36.298999999999999</v>
      </c>
      <c r="I553" s="54">
        <v>45410</v>
      </c>
      <c r="J553" s="120">
        <v>0.96914351851851854</v>
      </c>
      <c r="K553" s="53">
        <v>0</v>
      </c>
      <c r="L553" s="53">
        <v>0</v>
      </c>
      <c r="M553" s="53">
        <v>0</v>
      </c>
      <c r="N553" s="53">
        <v>0</v>
      </c>
      <c r="O553" s="53">
        <v>0</v>
      </c>
      <c r="P553" s="53">
        <v>0</v>
      </c>
      <c r="Q553" s="53">
        <v>0</v>
      </c>
      <c r="R553" s="53">
        <v>0</v>
      </c>
      <c r="S553" s="53">
        <v>0</v>
      </c>
      <c r="T553" s="53">
        <v>0</v>
      </c>
      <c r="U553" s="53">
        <v>0</v>
      </c>
      <c r="V553" s="53">
        <v>0</v>
      </c>
      <c r="W553" s="30">
        <f t="shared" ref="W553" si="220">W552</f>
        <v>36.248800000000003</v>
      </c>
      <c r="Y553" s="53">
        <v>1</v>
      </c>
      <c r="Z553" s="53" t="s">
        <v>16</v>
      </c>
      <c r="AA553" s="53">
        <v>28944</v>
      </c>
      <c r="AB553" s="53">
        <v>144</v>
      </c>
      <c r="AC553" s="53">
        <v>2</v>
      </c>
      <c r="AD553" s="53">
        <v>8</v>
      </c>
      <c r="AE553" s="53">
        <v>401.9</v>
      </c>
      <c r="AF553" s="119">
        <v>40.225000000000001</v>
      </c>
      <c r="AG553" s="54">
        <v>45409</v>
      </c>
      <c r="AH553" s="55">
        <v>7.5555555555555556E-2</v>
      </c>
      <c r="AI553" s="53">
        <v>0</v>
      </c>
      <c r="AJ553" s="53">
        <v>0</v>
      </c>
      <c r="AK553" s="53">
        <v>0</v>
      </c>
      <c r="AL553" s="53">
        <v>0</v>
      </c>
      <c r="AM553" s="53">
        <v>0</v>
      </c>
      <c r="AN553" s="53">
        <v>0</v>
      </c>
      <c r="AO553" s="53">
        <v>0</v>
      </c>
      <c r="AP553" s="53">
        <v>0</v>
      </c>
      <c r="AQ553" s="53">
        <v>0</v>
      </c>
      <c r="AR553" s="53">
        <v>0</v>
      </c>
      <c r="AS553" s="53">
        <v>0</v>
      </c>
      <c r="AT553" s="53">
        <v>0</v>
      </c>
      <c r="AU553" s="30">
        <f t="shared" si="204"/>
        <v>40.237000000000002</v>
      </c>
    </row>
    <row r="554" spans="1:47" x14ac:dyDescent="0.25">
      <c r="A554" s="53">
        <v>2</v>
      </c>
      <c r="B554" s="53" t="s">
        <v>16</v>
      </c>
      <c r="C554" s="53">
        <v>28952</v>
      </c>
      <c r="D554" s="53">
        <v>188</v>
      </c>
      <c r="E554" s="53">
        <v>2</v>
      </c>
      <c r="F554" s="53">
        <v>8</v>
      </c>
      <c r="G554" s="53">
        <v>446.23</v>
      </c>
      <c r="H554" s="119">
        <v>36.259</v>
      </c>
      <c r="I554" s="54">
        <v>45411</v>
      </c>
      <c r="J554" s="120">
        <v>6.5844907407407408E-2</v>
      </c>
      <c r="K554" s="53">
        <v>0</v>
      </c>
      <c r="L554" s="53">
        <v>0</v>
      </c>
      <c r="M554" s="53">
        <v>0</v>
      </c>
      <c r="N554" s="53">
        <v>0</v>
      </c>
      <c r="O554" s="53">
        <v>0</v>
      </c>
      <c r="P554" s="53">
        <v>0</v>
      </c>
      <c r="Q554" s="53">
        <v>0</v>
      </c>
      <c r="R554" s="53">
        <v>0</v>
      </c>
      <c r="S554" s="53">
        <v>0</v>
      </c>
      <c r="T554" s="53">
        <v>0</v>
      </c>
      <c r="U554" s="53">
        <v>0</v>
      </c>
      <c r="V554" s="53">
        <v>0</v>
      </c>
      <c r="W554" s="30">
        <f t="shared" si="182"/>
        <v>36.248800000000003</v>
      </c>
      <c r="Y554" s="53">
        <v>2</v>
      </c>
      <c r="Z554" s="53" t="s">
        <v>16</v>
      </c>
      <c r="AA554" s="53">
        <v>28944</v>
      </c>
      <c r="AB554" s="53">
        <v>144</v>
      </c>
      <c r="AC554" s="53">
        <v>2</v>
      </c>
      <c r="AD554" s="53">
        <v>8</v>
      </c>
      <c r="AE554" s="53">
        <v>402.3</v>
      </c>
      <c r="AF554" s="119">
        <v>40.185000000000002</v>
      </c>
      <c r="AG554" s="54">
        <v>45409</v>
      </c>
      <c r="AH554" s="55">
        <v>0.97047453703703701</v>
      </c>
      <c r="AI554" s="53">
        <v>0</v>
      </c>
      <c r="AJ554" s="53">
        <v>0</v>
      </c>
      <c r="AK554" s="53">
        <v>0</v>
      </c>
      <c r="AL554" s="53">
        <v>0</v>
      </c>
      <c r="AM554" s="53">
        <v>0</v>
      </c>
      <c r="AN554" s="53">
        <v>0</v>
      </c>
      <c r="AO554" s="53">
        <v>0</v>
      </c>
      <c r="AP554" s="53">
        <v>0</v>
      </c>
      <c r="AQ554" s="53">
        <v>0</v>
      </c>
      <c r="AR554" s="53">
        <v>0</v>
      </c>
      <c r="AS554" s="53">
        <v>0</v>
      </c>
      <c r="AT554" s="53">
        <v>0</v>
      </c>
      <c r="AU554" s="30">
        <f t="shared" si="192"/>
        <v>40.237000000000002</v>
      </c>
    </row>
    <row r="555" spans="1:47" x14ac:dyDescent="0.25">
      <c r="A555" s="53">
        <v>3</v>
      </c>
      <c r="B555" s="53" t="s">
        <v>16</v>
      </c>
      <c r="C555" s="53">
        <v>28952</v>
      </c>
      <c r="D555" s="53">
        <v>188</v>
      </c>
      <c r="E555" s="53">
        <v>2</v>
      </c>
      <c r="F555" s="53">
        <v>8</v>
      </c>
      <c r="G555" s="53">
        <v>446.11</v>
      </c>
      <c r="H555" s="119">
        <v>36.268999999999998</v>
      </c>
      <c r="I555" s="54">
        <v>45411</v>
      </c>
      <c r="J555" s="120">
        <v>0.1625462962962963</v>
      </c>
      <c r="K555" s="53">
        <v>0</v>
      </c>
      <c r="L555" s="53">
        <v>0</v>
      </c>
      <c r="M555" s="53">
        <v>0</v>
      </c>
      <c r="N555" s="53">
        <v>0</v>
      </c>
      <c r="O555" s="53">
        <v>0</v>
      </c>
      <c r="P555" s="53">
        <v>0</v>
      </c>
      <c r="Q555" s="53">
        <v>0</v>
      </c>
      <c r="R555" s="53">
        <v>0</v>
      </c>
      <c r="S555" s="53">
        <v>0</v>
      </c>
      <c r="T555" s="53">
        <v>0</v>
      </c>
      <c r="U555" s="53">
        <v>0</v>
      </c>
      <c r="V555" s="53">
        <v>0</v>
      </c>
      <c r="W555" s="30">
        <f t="shared" si="182"/>
        <v>36.248800000000003</v>
      </c>
      <c r="Y555" s="53">
        <v>3</v>
      </c>
      <c r="Z555" s="53" t="s">
        <v>16</v>
      </c>
      <c r="AA555" s="53">
        <v>28944</v>
      </c>
      <c r="AB555" s="53">
        <v>144</v>
      </c>
      <c r="AC555" s="53">
        <v>2</v>
      </c>
      <c r="AD555" s="53">
        <v>8</v>
      </c>
      <c r="AE555" s="53">
        <v>402.01</v>
      </c>
      <c r="AF555" s="119">
        <v>40.213999999999999</v>
      </c>
      <c r="AG555" s="54">
        <v>45410</v>
      </c>
      <c r="AH555" s="55">
        <v>6.8622685185185189E-2</v>
      </c>
      <c r="AI555" s="53">
        <v>0</v>
      </c>
      <c r="AJ555" s="53">
        <v>0</v>
      </c>
      <c r="AK555" s="53">
        <v>0</v>
      </c>
      <c r="AL555" s="53">
        <v>0</v>
      </c>
      <c r="AM555" s="53">
        <v>0</v>
      </c>
      <c r="AN555" s="53">
        <v>0</v>
      </c>
      <c r="AO555" s="53">
        <v>0</v>
      </c>
      <c r="AP555" s="53">
        <v>0</v>
      </c>
      <c r="AQ555" s="53">
        <v>0</v>
      </c>
      <c r="AR555" s="53">
        <v>0</v>
      </c>
      <c r="AS555" s="53">
        <v>0</v>
      </c>
      <c r="AT555" s="53">
        <v>0</v>
      </c>
      <c r="AU555" s="30">
        <f t="shared" si="192"/>
        <v>40.237000000000002</v>
      </c>
    </row>
    <row r="556" spans="1:47" x14ac:dyDescent="0.25">
      <c r="A556" s="53">
        <v>4</v>
      </c>
      <c r="B556" s="53" t="s">
        <v>16</v>
      </c>
      <c r="C556" s="53">
        <v>28952</v>
      </c>
      <c r="D556" s="53">
        <v>188</v>
      </c>
      <c r="E556" s="53">
        <v>2</v>
      </c>
      <c r="F556" s="53">
        <v>8</v>
      </c>
      <c r="G556" s="53">
        <v>446.86</v>
      </c>
      <c r="H556" s="119">
        <v>36.207999999999998</v>
      </c>
      <c r="I556" s="54">
        <v>45411</v>
      </c>
      <c r="J556" s="120">
        <v>0.25931712962962961</v>
      </c>
      <c r="K556" s="53">
        <v>0</v>
      </c>
      <c r="L556" s="53">
        <v>0</v>
      </c>
      <c r="M556" s="53">
        <v>0</v>
      </c>
      <c r="N556" s="53">
        <v>0</v>
      </c>
      <c r="O556" s="53">
        <v>0</v>
      </c>
      <c r="P556" s="53">
        <v>0</v>
      </c>
      <c r="Q556" s="53">
        <v>0</v>
      </c>
      <c r="R556" s="53">
        <v>0</v>
      </c>
      <c r="S556" s="53">
        <v>0</v>
      </c>
      <c r="T556" s="53">
        <v>0</v>
      </c>
      <c r="U556" s="53">
        <v>0</v>
      </c>
      <c r="V556" s="53">
        <v>0</v>
      </c>
      <c r="W556" s="30">
        <f t="shared" si="182"/>
        <v>36.248800000000003</v>
      </c>
      <c r="Y556" s="53">
        <v>4</v>
      </c>
      <c r="Z556" s="53" t="s">
        <v>16</v>
      </c>
      <c r="AA556" s="53">
        <v>28944</v>
      </c>
      <c r="AB556" s="53">
        <v>144</v>
      </c>
      <c r="AC556" s="53">
        <v>2</v>
      </c>
      <c r="AD556" s="53">
        <v>8</v>
      </c>
      <c r="AE556" s="53">
        <v>401.27</v>
      </c>
      <c r="AF556" s="119">
        <v>40.287999999999997</v>
      </c>
      <c r="AG556" s="54">
        <v>45410</v>
      </c>
      <c r="AH556" s="55">
        <v>0.16675925925925925</v>
      </c>
      <c r="AI556" s="53">
        <v>0</v>
      </c>
      <c r="AJ556" s="53">
        <v>0</v>
      </c>
      <c r="AK556" s="53">
        <v>0</v>
      </c>
      <c r="AL556" s="53">
        <v>0</v>
      </c>
      <c r="AM556" s="53">
        <v>0</v>
      </c>
      <c r="AN556" s="53">
        <v>0</v>
      </c>
      <c r="AO556" s="53">
        <v>0</v>
      </c>
      <c r="AP556" s="53">
        <v>0</v>
      </c>
      <c r="AQ556" s="53">
        <v>0</v>
      </c>
      <c r="AR556" s="53">
        <v>0</v>
      </c>
      <c r="AS556" s="53">
        <v>0</v>
      </c>
      <c r="AT556" s="53">
        <v>0</v>
      </c>
      <c r="AU556" s="30">
        <f t="shared" si="192"/>
        <v>40.237000000000002</v>
      </c>
    </row>
    <row r="557" spans="1:47" x14ac:dyDescent="0.25">
      <c r="A557" s="53">
        <v>0</v>
      </c>
      <c r="B557" s="53" t="s">
        <v>16</v>
      </c>
      <c r="C557" s="53">
        <v>29140</v>
      </c>
      <c r="D557" s="53">
        <v>188</v>
      </c>
      <c r="E557" s="53">
        <v>2</v>
      </c>
      <c r="F557" s="53">
        <v>8</v>
      </c>
      <c r="G557" s="53">
        <v>455.15</v>
      </c>
      <c r="H557" s="119">
        <v>36.246000000000002</v>
      </c>
      <c r="I557" s="54">
        <v>45413</v>
      </c>
      <c r="J557" s="120">
        <v>0.13788194444444443</v>
      </c>
      <c r="K557" s="53">
        <v>0</v>
      </c>
      <c r="L557" s="53">
        <v>0</v>
      </c>
      <c r="M557" s="53">
        <v>0</v>
      </c>
      <c r="N557" s="53">
        <v>0</v>
      </c>
      <c r="O557" s="53">
        <v>0</v>
      </c>
      <c r="P557" s="53">
        <v>0</v>
      </c>
      <c r="Q557" s="53">
        <v>0</v>
      </c>
      <c r="R557" s="53">
        <v>0</v>
      </c>
      <c r="S557" s="53">
        <v>0</v>
      </c>
      <c r="T557" s="53">
        <v>0</v>
      </c>
      <c r="U557" s="53">
        <v>0</v>
      </c>
      <c r="V557" s="53">
        <v>0</v>
      </c>
      <c r="W557" s="30">
        <f t="shared" ref="W557" si="221">AVERAGE(H557:H561)</f>
        <v>36.3172</v>
      </c>
      <c r="Y557" s="53">
        <v>0</v>
      </c>
      <c r="Z557" s="53" t="s">
        <v>16</v>
      </c>
      <c r="AA557" s="53">
        <v>29232</v>
      </c>
      <c r="AB557" s="53">
        <v>144</v>
      </c>
      <c r="AC557" s="53">
        <v>2</v>
      </c>
      <c r="AD557" s="53">
        <v>8</v>
      </c>
      <c r="AE557" s="53">
        <v>414.74</v>
      </c>
      <c r="AF557" s="119">
        <v>40.155000000000001</v>
      </c>
      <c r="AG557" s="54">
        <v>45409</v>
      </c>
      <c r="AH557" s="55">
        <v>2.7071759259259261E-2</v>
      </c>
      <c r="AI557" s="53">
        <v>0</v>
      </c>
      <c r="AJ557" s="53">
        <v>0</v>
      </c>
      <c r="AK557" s="53">
        <v>0</v>
      </c>
      <c r="AL557" s="53">
        <v>0</v>
      </c>
      <c r="AM557" s="53">
        <v>0</v>
      </c>
      <c r="AN557" s="53">
        <v>0</v>
      </c>
      <c r="AO557" s="53">
        <v>0</v>
      </c>
      <c r="AP557" s="53">
        <v>0</v>
      </c>
      <c r="AQ557" s="53">
        <v>0</v>
      </c>
      <c r="AR557" s="53">
        <v>0</v>
      </c>
      <c r="AS557" s="53">
        <v>0</v>
      </c>
      <c r="AT557" s="53">
        <v>0</v>
      </c>
      <c r="AU557" s="30">
        <f t="shared" si="206"/>
        <v>40.185400000000001</v>
      </c>
    </row>
    <row r="558" spans="1:47" x14ac:dyDescent="0.25">
      <c r="A558" s="53">
        <v>1</v>
      </c>
      <c r="B558" s="53" t="s">
        <v>16</v>
      </c>
      <c r="C558" s="53">
        <v>29140</v>
      </c>
      <c r="D558" s="53">
        <v>188</v>
      </c>
      <c r="E558" s="53">
        <v>2</v>
      </c>
      <c r="F558" s="53">
        <v>8</v>
      </c>
      <c r="G558" s="53">
        <v>454.54</v>
      </c>
      <c r="H558" s="119">
        <v>36.295000000000002</v>
      </c>
      <c r="I558" s="54">
        <v>45411</v>
      </c>
      <c r="J558" s="120">
        <v>1.7777777777777778E-2</v>
      </c>
      <c r="K558" s="53">
        <v>0</v>
      </c>
      <c r="L558" s="53">
        <v>0</v>
      </c>
      <c r="M558" s="53">
        <v>0</v>
      </c>
      <c r="N558" s="53">
        <v>0</v>
      </c>
      <c r="O558" s="53">
        <v>0</v>
      </c>
      <c r="P558" s="53">
        <v>0</v>
      </c>
      <c r="Q558" s="53">
        <v>0</v>
      </c>
      <c r="R558" s="53">
        <v>0</v>
      </c>
      <c r="S558" s="53">
        <v>0</v>
      </c>
      <c r="T558" s="53">
        <v>0</v>
      </c>
      <c r="U558" s="53">
        <v>0</v>
      </c>
      <c r="V558" s="53">
        <v>0</v>
      </c>
      <c r="W558" s="30">
        <f t="shared" ref="W558" si="222">W557</f>
        <v>36.3172</v>
      </c>
      <c r="Y558" s="53">
        <v>1</v>
      </c>
      <c r="Z558" s="53" t="s">
        <v>16</v>
      </c>
      <c r="AA558" s="53">
        <v>29232</v>
      </c>
      <c r="AB558" s="53">
        <v>144</v>
      </c>
      <c r="AC558" s="53">
        <v>2</v>
      </c>
      <c r="AD558" s="53">
        <v>8</v>
      </c>
      <c r="AE558" s="53">
        <v>414.86</v>
      </c>
      <c r="AF558" s="119">
        <v>40.143000000000001</v>
      </c>
      <c r="AG558" s="54">
        <v>45409</v>
      </c>
      <c r="AH558" s="55">
        <v>0.92181712962962958</v>
      </c>
      <c r="AI558" s="53">
        <v>0</v>
      </c>
      <c r="AJ558" s="53">
        <v>0</v>
      </c>
      <c r="AK558" s="53">
        <v>0</v>
      </c>
      <c r="AL558" s="53">
        <v>0</v>
      </c>
      <c r="AM558" s="53">
        <v>0</v>
      </c>
      <c r="AN558" s="53">
        <v>0</v>
      </c>
      <c r="AO558" s="53">
        <v>0</v>
      </c>
      <c r="AP558" s="53">
        <v>0</v>
      </c>
      <c r="AQ558" s="53">
        <v>0</v>
      </c>
      <c r="AR558" s="53">
        <v>0</v>
      </c>
      <c r="AS558" s="53">
        <v>0</v>
      </c>
      <c r="AT558" s="53">
        <v>1309</v>
      </c>
      <c r="AU558" s="30">
        <f t="shared" si="208"/>
        <v>40.185400000000001</v>
      </c>
    </row>
    <row r="559" spans="1:47" x14ac:dyDescent="0.25">
      <c r="A559" s="53">
        <v>2</v>
      </c>
      <c r="B559" s="53" t="s">
        <v>16</v>
      </c>
      <c r="C559" s="53">
        <v>29140</v>
      </c>
      <c r="D559" s="53">
        <v>188</v>
      </c>
      <c r="E559" s="53">
        <v>2</v>
      </c>
      <c r="F559" s="53">
        <v>8</v>
      </c>
      <c r="G559" s="53">
        <v>453.71</v>
      </c>
      <c r="H559" s="119">
        <v>36.360999999999997</v>
      </c>
      <c r="I559" s="54">
        <v>45411</v>
      </c>
      <c r="J559" s="120">
        <v>0.11446759259259259</v>
      </c>
      <c r="K559" s="53">
        <v>0</v>
      </c>
      <c r="L559" s="53">
        <v>0</v>
      </c>
      <c r="M559" s="53">
        <v>0</v>
      </c>
      <c r="N559" s="53">
        <v>0</v>
      </c>
      <c r="O559" s="53">
        <v>0</v>
      </c>
      <c r="P559" s="53">
        <v>0</v>
      </c>
      <c r="Q559" s="53">
        <v>0</v>
      </c>
      <c r="R559" s="53">
        <v>0</v>
      </c>
      <c r="S559" s="53">
        <v>0</v>
      </c>
      <c r="T559" s="53">
        <v>0</v>
      </c>
      <c r="U559" s="53">
        <v>0</v>
      </c>
      <c r="V559" s="53">
        <v>0</v>
      </c>
      <c r="W559" s="30">
        <f t="shared" si="184"/>
        <v>36.3172</v>
      </c>
      <c r="Y559" s="53">
        <v>2</v>
      </c>
      <c r="Z559" s="53" t="s">
        <v>16</v>
      </c>
      <c r="AA559" s="53">
        <v>29232</v>
      </c>
      <c r="AB559" s="53">
        <v>144</v>
      </c>
      <c r="AC559" s="53">
        <v>2</v>
      </c>
      <c r="AD559" s="53">
        <v>8</v>
      </c>
      <c r="AE559" s="53">
        <v>414.18</v>
      </c>
      <c r="AF559" s="119">
        <v>40.21</v>
      </c>
      <c r="AG559" s="54">
        <v>45410</v>
      </c>
      <c r="AH559" s="55">
        <v>2.0127314814814813E-2</v>
      </c>
      <c r="AI559" s="53">
        <v>0</v>
      </c>
      <c r="AJ559" s="53">
        <v>0</v>
      </c>
      <c r="AK559" s="53">
        <v>0</v>
      </c>
      <c r="AL559" s="53">
        <v>0</v>
      </c>
      <c r="AM559" s="53">
        <v>0</v>
      </c>
      <c r="AN559" s="53">
        <v>0</v>
      </c>
      <c r="AO559" s="53">
        <v>0</v>
      </c>
      <c r="AP559" s="53">
        <v>0</v>
      </c>
      <c r="AQ559" s="53">
        <v>0</v>
      </c>
      <c r="AR559" s="53">
        <v>0</v>
      </c>
      <c r="AS559" s="53">
        <v>0</v>
      </c>
      <c r="AT559" s="53">
        <v>0</v>
      </c>
      <c r="AU559" s="30">
        <f t="shared" si="192"/>
        <v>40.185400000000001</v>
      </c>
    </row>
    <row r="560" spans="1:47" x14ac:dyDescent="0.25">
      <c r="A560" s="53">
        <v>3</v>
      </c>
      <c r="B560" s="53" t="s">
        <v>16</v>
      </c>
      <c r="C560" s="53">
        <v>29140</v>
      </c>
      <c r="D560" s="53">
        <v>188</v>
      </c>
      <c r="E560" s="53">
        <v>2</v>
      </c>
      <c r="F560" s="53">
        <v>8</v>
      </c>
      <c r="G560" s="53">
        <v>454.21</v>
      </c>
      <c r="H560" s="119">
        <v>36.320999999999998</v>
      </c>
      <c r="I560" s="54">
        <v>45411</v>
      </c>
      <c r="J560" s="120">
        <v>0.21122685185185186</v>
      </c>
      <c r="K560" s="53">
        <v>0</v>
      </c>
      <c r="L560" s="53">
        <v>0</v>
      </c>
      <c r="M560" s="53">
        <v>0</v>
      </c>
      <c r="N560" s="53">
        <v>0</v>
      </c>
      <c r="O560" s="53">
        <v>0</v>
      </c>
      <c r="P560" s="53">
        <v>0</v>
      </c>
      <c r="Q560" s="53">
        <v>0</v>
      </c>
      <c r="R560" s="53">
        <v>0</v>
      </c>
      <c r="S560" s="53">
        <v>0</v>
      </c>
      <c r="T560" s="53">
        <v>0</v>
      </c>
      <c r="U560" s="53">
        <v>0</v>
      </c>
      <c r="V560" s="53">
        <v>0</v>
      </c>
      <c r="W560" s="30">
        <f t="shared" si="184"/>
        <v>36.3172</v>
      </c>
      <c r="Y560" s="53">
        <v>3</v>
      </c>
      <c r="Z560" s="53" t="s">
        <v>16</v>
      </c>
      <c r="AA560" s="53">
        <v>29232</v>
      </c>
      <c r="AB560" s="53">
        <v>144</v>
      </c>
      <c r="AC560" s="53">
        <v>2</v>
      </c>
      <c r="AD560" s="53">
        <v>8</v>
      </c>
      <c r="AE560" s="53">
        <v>414.12</v>
      </c>
      <c r="AF560" s="119">
        <v>40.215000000000003</v>
      </c>
      <c r="AG560" s="54">
        <v>45410</v>
      </c>
      <c r="AH560" s="55">
        <v>0.11824074074074074</v>
      </c>
      <c r="AI560" s="53">
        <v>0</v>
      </c>
      <c r="AJ560" s="53">
        <v>0</v>
      </c>
      <c r="AK560" s="53">
        <v>0</v>
      </c>
      <c r="AL560" s="53">
        <v>0</v>
      </c>
      <c r="AM560" s="53">
        <v>0</v>
      </c>
      <c r="AN560" s="53">
        <v>0</v>
      </c>
      <c r="AO560" s="53">
        <v>0</v>
      </c>
      <c r="AP560" s="53">
        <v>0</v>
      </c>
      <c r="AQ560" s="53">
        <v>0</v>
      </c>
      <c r="AR560" s="53">
        <v>0</v>
      </c>
      <c r="AS560" s="53">
        <v>0</v>
      </c>
      <c r="AT560" s="53">
        <v>0</v>
      </c>
      <c r="AU560" s="30">
        <f t="shared" si="192"/>
        <v>40.185400000000001</v>
      </c>
    </row>
    <row r="561" spans="1:47" x14ac:dyDescent="0.25">
      <c r="A561" s="53">
        <v>4</v>
      </c>
      <c r="B561" s="53" t="s">
        <v>16</v>
      </c>
      <c r="C561" s="53">
        <v>29140</v>
      </c>
      <c r="D561" s="53">
        <v>188</v>
      </c>
      <c r="E561" s="53">
        <v>2</v>
      </c>
      <c r="F561" s="53">
        <v>8</v>
      </c>
      <c r="G561" s="53">
        <v>453.69</v>
      </c>
      <c r="H561" s="119">
        <v>36.363</v>
      </c>
      <c r="I561" s="54">
        <v>45411</v>
      </c>
      <c r="J561" s="120">
        <v>0.30806712962962962</v>
      </c>
      <c r="K561" s="53">
        <v>0</v>
      </c>
      <c r="L561" s="53">
        <v>0</v>
      </c>
      <c r="M561" s="53">
        <v>0</v>
      </c>
      <c r="N561" s="53">
        <v>0</v>
      </c>
      <c r="O561" s="53">
        <v>0</v>
      </c>
      <c r="P561" s="53">
        <v>0</v>
      </c>
      <c r="Q561" s="53">
        <v>0</v>
      </c>
      <c r="R561" s="53">
        <v>0</v>
      </c>
      <c r="S561" s="53">
        <v>0</v>
      </c>
      <c r="T561" s="53">
        <v>0</v>
      </c>
      <c r="U561" s="53">
        <v>0</v>
      </c>
      <c r="V561" s="53">
        <v>0</v>
      </c>
      <c r="W561" s="30">
        <f t="shared" si="184"/>
        <v>36.3172</v>
      </c>
      <c r="Y561" s="53">
        <v>4</v>
      </c>
      <c r="Z561" s="53" t="s">
        <v>16</v>
      </c>
      <c r="AA561" s="53">
        <v>29232</v>
      </c>
      <c r="AB561" s="53">
        <v>144</v>
      </c>
      <c r="AC561" s="53">
        <v>2</v>
      </c>
      <c r="AD561" s="53">
        <v>8</v>
      </c>
      <c r="AE561" s="53">
        <v>414.24</v>
      </c>
      <c r="AF561" s="119">
        <v>40.204000000000001</v>
      </c>
      <c r="AG561" s="54">
        <v>45410</v>
      </c>
      <c r="AH561" s="55">
        <v>0.21640046296296298</v>
      </c>
      <c r="AI561" s="53">
        <v>0</v>
      </c>
      <c r="AJ561" s="53">
        <v>0</v>
      </c>
      <c r="AK561" s="53">
        <v>0</v>
      </c>
      <c r="AL561" s="53">
        <v>0</v>
      </c>
      <c r="AM561" s="53">
        <v>0</v>
      </c>
      <c r="AN561" s="53">
        <v>0</v>
      </c>
      <c r="AO561" s="53">
        <v>0</v>
      </c>
      <c r="AP561" s="53">
        <v>0</v>
      </c>
      <c r="AQ561" s="53">
        <v>0</v>
      </c>
      <c r="AR561" s="53">
        <v>0</v>
      </c>
      <c r="AS561" s="53">
        <v>0</v>
      </c>
      <c r="AT561" s="53">
        <v>0</v>
      </c>
      <c r="AU561" s="30">
        <f t="shared" si="192"/>
        <v>40.185400000000001</v>
      </c>
    </row>
  </sheetData>
  <sortState xmlns:xlrd2="http://schemas.microsoft.com/office/spreadsheetml/2017/richdata2" ref="Y5:AT364">
    <sortCondition ref="AB5:AB364"/>
    <sortCondition ref="AC5:AC364"/>
    <sortCondition ref="AA5:AA364"/>
    <sortCondition ref="Y5:Y364"/>
  </sortState>
  <mergeCells count="11">
    <mergeCell ref="X5:X9"/>
    <mergeCell ref="AO2:AQ2"/>
    <mergeCell ref="A1:V1"/>
    <mergeCell ref="Y1:AT1"/>
    <mergeCell ref="K2:M2"/>
    <mergeCell ref="AR2:AT2"/>
    <mergeCell ref="N2:P2"/>
    <mergeCell ref="Q2:S2"/>
    <mergeCell ref="T2:V2"/>
    <mergeCell ref="AI2:AK2"/>
    <mergeCell ref="AL2:AN2"/>
  </mergeCells>
  <conditionalFormatting sqref="W1:W1048576">
    <cfRule type="cellIs" dxfId="1" priority="2" operator="equal">
      <formula>$B$3</formula>
    </cfRule>
  </conditionalFormatting>
  <conditionalFormatting sqref="W5 W472 W10 W15 W25 W35 W45 W55 W65 W75 W85 W95 W105 W115 W125 W135 W145 W155 W165 W175 W185 W195 W205 W215 W225 W235 W245 W255 W265 W482 W492 W502 W512 W522 W532 W542 W552 W20 W30 W40 W50 W60 W70 W80 W90 W100 W110 W120 W130 W140 W150 W160 W170 W180 W190 W200 W210 W220 W230 W240 W250 W260 W270 W477 W487 W497 W507 W517 W527 W537 W547 W557 W275 W280 W285 W290 W295 W300 W305 W310 W315 W320 W325 W330 W335 W340 W345 W350 W355 W360">
    <cfRule type="colorScale" priority="4">
      <colorScale>
        <cfvo type="min"/>
        <cfvo type="percentile" val="50"/>
        <cfvo type="max"/>
        <color rgb="FFF8696B"/>
        <color rgb="FFFFEB84"/>
        <color rgb="FF63BE7B"/>
      </colorScale>
    </cfRule>
  </conditionalFormatting>
  <conditionalFormatting sqref="AU1:AU1048576">
    <cfRule type="cellIs" dxfId="0" priority="1" operator="equal">
      <formula>$Z$3</formula>
    </cfRule>
  </conditionalFormatting>
  <conditionalFormatting sqref="AU5 AU472 AU10 AU15 AU20 AU25 AU30 AU35 AU65 AU95 AU125 AU155 AU185 AU215 AU245 AU502 AU532 AU40 AU70 AU100 AU130 AU160 AU190 AU220 AU250 AU477 AU507 AU537 AU45 AU75 AU105 AU135 AU165 AU195 AU225 AU255 AU482 AU512 AU542 AU50 AU80 AU110 AU140 AU170 AU200 AU230 AU260 AU487 AU517 AU547 AU55 AU85 AU115 AU145 AU175 AU205 AU235 AU265 AU492 AU522 AU552 AU60 AU90 AU120 AU150 AU180 AU210 AU240 AU270 AU497 AU527 AU557 AU275 AU280 AU285 AU290 AU295 AU300 AU305 AU310 AU315 AU320 AU325 AU330 AU335 AU340 AU345 AU350 AU355 AU360">
    <cfRule type="colorScale" priority="3">
      <colorScale>
        <cfvo type="min"/>
        <cfvo type="percentile" val="50"/>
        <cfvo type="max"/>
        <color rgb="FFF8696B"/>
        <color rgb="FFFFEB84"/>
        <color rgb="FF63BE7B"/>
      </colorScale>
    </cfRule>
  </conditionalFormatting>
  <pageMargins left="0.7" right="0.7" top="0.75" bottom="0.75" header="0.3" footer="0.3"/>
  <pageSetup paperSize="9" orientation="portrait" verticalDpi="0"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C64BB-EED5-451F-AA0D-AAAA5FE297D1}">
  <dimension ref="A1:AW182"/>
  <sheetViews>
    <sheetView zoomScaleNormal="100" workbookViewId="0">
      <selection activeCell="N17" sqref="N17"/>
    </sheetView>
  </sheetViews>
  <sheetFormatPr defaultRowHeight="15" x14ac:dyDescent="0.25"/>
  <cols>
    <col min="2" max="2" width="10.140625" style="16" bestFit="1" customWidth="1"/>
    <col min="3" max="5" width="9.28515625" style="16" bestFit="1" customWidth="1"/>
    <col min="6" max="6" width="9.140625" style="30"/>
    <col min="9" max="9" width="10.140625" style="16" bestFit="1" customWidth="1"/>
    <col min="10" max="12" width="9.28515625" style="16" bestFit="1" customWidth="1"/>
    <col min="13" max="13" width="9.140625" style="30"/>
    <col min="25" max="25" width="9.140625" style="30"/>
    <col min="34" max="34" width="9.140625" style="17"/>
    <col min="49" max="49" width="9.140625" style="30"/>
  </cols>
  <sheetData>
    <row r="1" spans="1:13" x14ac:dyDescent="0.25">
      <c r="B1" s="160" t="s">
        <v>337</v>
      </c>
      <c r="C1" s="160"/>
      <c r="D1" s="160"/>
      <c r="E1" s="160"/>
      <c r="F1" s="160"/>
      <c r="I1" s="160" t="s">
        <v>336</v>
      </c>
      <c r="J1" s="160"/>
      <c r="K1" s="160"/>
      <c r="L1" s="160"/>
      <c r="M1" s="160"/>
    </row>
    <row r="2" spans="1:13" x14ac:dyDescent="0.25">
      <c r="B2" s="135">
        <f>INDEX(B4:B500,MATCH(MAX(F4:F500),F4:F500,0))</f>
        <v>28960</v>
      </c>
      <c r="C2" s="135">
        <f>INDEX(C4:C500,MATCH(MAX(F4:F500),F4:F500,0))</f>
        <v>160</v>
      </c>
      <c r="D2" s="135">
        <f>INDEX(D4:D500,MATCH(MAX(F4:F500),F4:F500,0))</f>
        <v>2</v>
      </c>
      <c r="E2" s="135">
        <f>INDEX(E4:E500,MATCH(MAX(F4:F500),F4:F500,0))</f>
        <v>8</v>
      </c>
      <c r="F2" s="136">
        <f>MAX(F4:F500)</f>
        <v>37.409800000000004</v>
      </c>
      <c r="I2" s="135">
        <f>INDEX(I4:I500,MATCH(MAX(M4:M500),M4:M500,0))</f>
        <v>28992</v>
      </c>
      <c r="J2" s="135">
        <f>INDEX(J4:J500,MATCH(MAX(M4:M500),M4:M500,0))</f>
        <v>96</v>
      </c>
      <c r="K2" s="135">
        <f>INDEX(K4:K500,MATCH(MAX(M4:M500),M4:M500,0))</f>
        <v>2</v>
      </c>
      <c r="L2" s="135">
        <f>INDEX(L4:L500,MATCH(MAX(M4:M500),M4:M500,0))</f>
        <v>8</v>
      </c>
      <c r="M2" s="136">
        <f>MAX(M4:M500)</f>
        <v>40.822799999999994</v>
      </c>
    </row>
    <row r="3" spans="1:13" x14ac:dyDescent="0.25">
      <c r="A3" t="s">
        <v>351</v>
      </c>
      <c r="B3" s="135" t="s">
        <v>5</v>
      </c>
      <c r="C3" s="135" t="s">
        <v>6</v>
      </c>
      <c r="D3" s="135" t="s">
        <v>7</v>
      </c>
      <c r="E3" s="135" t="s">
        <v>8</v>
      </c>
      <c r="F3" s="137" t="s">
        <v>333</v>
      </c>
      <c r="H3" t="s">
        <v>351</v>
      </c>
      <c r="I3" s="135" t="s">
        <v>5</v>
      </c>
      <c r="J3" s="135" t="s">
        <v>6</v>
      </c>
      <c r="K3" s="135" t="s">
        <v>7</v>
      </c>
      <c r="L3" s="135" t="s">
        <v>8</v>
      </c>
      <c r="M3" s="137" t="s">
        <v>333</v>
      </c>
    </row>
    <row r="4" spans="1:13" x14ac:dyDescent="0.25">
      <c r="A4">
        <f>IF(ABS(B4-25984)&lt;ABS(B4-27520),IF(ABS(B4-25984)&lt;ABS(B4-29056),25984,29056),IF(ABS(B4-27520)&lt;ABS(B4-29056),27520,29056))</f>
        <v>25984</v>
      </c>
      <c r="B4" s="16" cm="1">
        <f t="array" ref="B4:F182">_xlfn.CHOOSECOLS(_xlfn._xlws.FILTER('4 node, 825, params, RAW'!A5:W471,'4 node, 825, params, RAW'!A5:A471=0),3,4,5,6,23)</f>
        <v>25984</v>
      </c>
      <c r="C4" s="16">
        <v>32</v>
      </c>
      <c r="D4" s="16">
        <v>1</v>
      </c>
      <c r="E4" s="16">
        <v>16</v>
      </c>
      <c r="F4" s="30">
        <v>30.379399999999997</v>
      </c>
      <c r="H4">
        <f>IF(ABS(I4-25984)&lt;ABS(I4-27520),IF(ABS(I4-25984)&lt;ABS(I4-29056),25984,29056),IF(ABS(I4-27520)&lt;ABS(I4-29056),27520,29056))</f>
        <v>25984</v>
      </c>
      <c r="I4" s="16" cm="1">
        <f t="array" ref="I4:M182">_xlfn.CHOOSECOLS(_xlfn._xlws.FILTER('4 node, 825, params, RAW'!Y5:AU471,'4 node, 825, params, RAW'!Y5:Y471=0),3,4,5,6,23)</f>
        <v>25984</v>
      </c>
      <c r="J4" s="16">
        <v>32</v>
      </c>
      <c r="K4" s="16">
        <v>1</v>
      </c>
      <c r="L4" s="16">
        <v>16</v>
      </c>
      <c r="M4" s="30">
        <v>34.288999999999994</v>
      </c>
    </row>
    <row r="5" spans="1:13" x14ac:dyDescent="0.25">
      <c r="A5">
        <f t="shared" ref="A5:A68" si="0">IF(ABS(B5-25984)&lt;ABS(B5-27520),IF(ABS(B5-25984)&lt;ABS(B5-29056),25984,29056),IF(ABS(B5-27520)&lt;ABS(B5-29056),27520,29056))</f>
        <v>27520</v>
      </c>
      <c r="B5" s="16">
        <v>27520</v>
      </c>
      <c r="C5" s="16">
        <v>32</v>
      </c>
      <c r="D5" s="16">
        <v>1</v>
      </c>
      <c r="E5" s="16">
        <v>16</v>
      </c>
      <c r="F5" s="30">
        <v>30.4788</v>
      </c>
      <c r="H5">
        <f t="shared" ref="H5:H68" si="1">IF(ABS(I5-25984)&lt;ABS(I5-27520),IF(ABS(I5-25984)&lt;ABS(I5-29056),25984,29056),IF(ABS(I5-27520)&lt;ABS(I5-29056),27520,29056))</f>
        <v>27520</v>
      </c>
      <c r="I5" s="16">
        <v>27520</v>
      </c>
      <c r="J5" s="16">
        <v>32</v>
      </c>
      <c r="K5" s="16">
        <v>1</v>
      </c>
      <c r="L5" s="16">
        <v>16</v>
      </c>
      <c r="M5" s="30">
        <v>34.478750000000005</v>
      </c>
    </row>
    <row r="6" spans="1:13" x14ac:dyDescent="0.25">
      <c r="A6">
        <f t="shared" si="0"/>
        <v>29056</v>
      </c>
      <c r="B6" s="16">
        <v>29056</v>
      </c>
      <c r="C6" s="16">
        <v>32</v>
      </c>
      <c r="D6" s="16">
        <v>1</v>
      </c>
      <c r="E6" s="16">
        <v>16</v>
      </c>
      <c r="F6" s="30">
        <v>30.998199999999997</v>
      </c>
      <c r="H6">
        <f t="shared" si="1"/>
        <v>29056</v>
      </c>
      <c r="I6" s="16">
        <v>29056</v>
      </c>
      <c r="J6" s="16">
        <v>32</v>
      </c>
      <c r="K6" s="16">
        <v>1</v>
      </c>
      <c r="L6" s="16">
        <v>16</v>
      </c>
      <c r="M6" s="30">
        <v>34.675999999999995</v>
      </c>
    </row>
    <row r="7" spans="1:13" x14ac:dyDescent="0.25">
      <c r="A7">
        <f t="shared" si="0"/>
        <v>25984</v>
      </c>
      <c r="B7" s="16">
        <v>25984</v>
      </c>
      <c r="C7" s="16">
        <v>32</v>
      </c>
      <c r="D7" s="16">
        <v>2</v>
      </c>
      <c r="E7" s="16">
        <v>8</v>
      </c>
      <c r="F7" s="30">
        <v>31.669999999999998</v>
      </c>
      <c r="H7">
        <f t="shared" si="1"/>
        <v>25984</v>
      </c>
      <c r="I7" s="16">
        <v>25984</v>
      </c>
      <c r="J7" s="16">
        <v>32</v>
      </c>
      <c r="K7" s="16">
        <v>2</v>
      </c>
      <c r="L7" s="16">
        <v>8</v>
      </c>
      <c r="M7" s="30">
        <v>36.662999999999997</v>
      </c>
    </row>
    <row r="8" spans="1:13" x14ac:dyDescent="0.25">
      <c r="A8">
        <f t="shared" si="0"/>
        <v>27520</v>
      </c>
      <c r="B8" s="16">
        <v>27520</v>
      </c>
      <c r="C8" s="16">
        <v>32</v>
      </c>
      <c r="D8" s="16">
        <v>2</v>
      </c>
      <c r="E8" s="16">
        <v>8</v>
      </c>
      <c r="F8" s="30">
        <v>32.001600000000003</v>
      </c>
      <c r="H8">
        <f t="shared" si="1"/>
        <v>27520</v>
      </c>
      <c r="I8" s="16">
        <v>27520</v>
      </c>
      <c r="J8" s="16">
        <v>32</v>
      </c>
      <c r="K8" s="16">
        <v>2</v>
      </c>
      <c r="L8" s="16">
        <v>8</v>
      </c>
      <c r="M8" s="30">
        <v>36.519500000000001</v>
      </c>
    </row>
    <row r="9" spans="1:13" x14ac:dyDescent="0.25">
      <c r="A9">
        <f t="shared" si="0"/>
        <v>29056</v>
      </c>
      <c r="B9" s="16">
        <v>29056</v>
      </c>
      <c r="C9" s="16">
        <v>32</v>
      </c>
      <c r="D9" s="16">
        <v>2</v>
      </c>
      <c r="E9" s="16">
        <v>8</v>
      </c>
      <c r="F9" s="30">
        <v>32.257400000000004</v>
      </c>
      <c r="H9">
        <f t="shared" si="1"/>
        <v>29056</v>
      </c>
      <c r="I9" s="16">
        <v>29056</v>
      </c>
      <c r="J9" s="16">
        <v>32</v>
      </c>
      <c r="K9" s="16">
        <v>2</v>
      </c>
      <c r="L9" s="16">
        <v>8</v>
      </c>
      <c r="M9" s="30">
        <v>37.248333333333335</v>
      </c>
    </row>
    <row r="10" spans="1:13" x14ac:dyDescent="0.25">
      <c r="A10">
        <f t="shared" si="0"/>
        <v>25984</v>
      </c>
      <c r="B10" s="16">
        <v>25984</v>
      </c>
      <c r="C10" s="16">
        <v>32</v>
      </c>
      <c r="D10" s="16">
        <v>4</v>
      </c>
      <c r="E10" s="16">
        <v>4</v>
      </c>
      <c r="F10" s="30">
        <v>29.929600000000001</v>
      </c>
      <c r="H10">
        <f t="shared" si="1"/>
        <v>25984</v>
      </c>
      <c r="I10" s="16">
        <v>25984</v>
      </c>
      <c r="J10" s="16">
        <v>32</v>
      </c>
      <c r="K10" s="16">
        <v>4</v>
      </c>
      <c r="L10" s="16">
        <v>4</v>
      </c>
      <c r="M10" s="30">
        <v>34.479999999999997</v>
      </c>
    </row>
    <row r="11" spans="1:13" x14ac:dyDescent="0.25">
      <c r="A11">
        <f t="shared" si="0"/>
        <v>27520</v>
      </c>
      <c r="B11" s="16">
        <v>27520</v>
      </c>
      <c r="C11" s="16">
        <v>32</v>
      </c>
      <c r="D11" s="16">
        <v>4</v>
      </c>
      <c r="E11" s="16">
        <v>4</v>
      </c>
      <c r="F11" s="30">
        <v>30.479200000000002</v>
      </c>
      <c r="H11">
        <f t="shared" si="1"/>
        <v>27520</v>
      </c>
      <c r="I11" s="16">
        <v>27520</v>
      </c>
      <c r="J11" s="16">
        <v>32</v>
      </c>
      <c r="K11" s="16">
        <v>4</v>
      </c>
      <c r="L11" s="16">
        <v>4</v>
      </c>
      <c r="M11" s="30">
        <v>35.119</v>
      </c>
    </row>
    <row r="12" spans="1:13" x14ac:dyDescent="0.25">
      <c r="A12">
        <f t="shared" si="0"/>
        <v>29056</v>
      </c>
      <c r="B12" s="16">
        <v>29056</v>
      </c>
      <c r="C12" s="16">
        <v>32</v>
      </c>
      <c r="D12" s="16">
        <v>4</v>
      </c>
      <c r="E12" s="16">
        <v>4</v>
      </c>
      <c r="F12" s="30">
        <v>30.798199999999998</v>
      </c>
      <c r="H12">
        <f t="shared" si="1"/>
        <v>29056</v>
      </c>
      <c r="I12" s="16">
        <v>29056</v>
      </c>
      <c r="J12" s="16">
        <v>32</v>
      </c>
      <c r="K12" s="16">
        <v>4</v>
      </c>
      <c r="L12" s="16">
        <v>4</v>
      </c>
      <c r="M12" s="30">
        <v>35.536999999999999</v>
      </c>
    </row>
    <row r="13" spans="1:13" x14ac:dyDescent="0.25">
      <c r="A13">
        <f t="shared" si="0"/>
        <v>25984</v>
      </c>
      <c r="B13" s="16">
        <v>25984</v>
      </c>
      <c r="C13" s="16">
        <v>64</v>
      </c>
      <c r="D13" s="16">
        <v>1</v>
      </c>
      <c r="E13" s="16">
        <v>16</v>
      </c>
      <c r="F13" s="30">
        <v>34.211399999999998</v>
      </c>
      <c r="H13">
        <f t="shared" si="1"/>
        <v>25984</v>
      </c>
      <c r="I13" s="16">
        <v>25984</v>
      </c>
      <c r="J13" s="16">
        <v>64</v>
      </c>
      <c r="K13" s="16">
        <v>1</v>
      </c>
      <c r="L13" s="16">
        <v>16</v>
      </c>
      <c r="M13" s="30">
        <v>37.43566666666667</v>
      </c>
    </row>
    <row r="14" spans="1:13" x14ac:dyDescent="0.25">
      <c r="A14">
        <f t="shared" si="0"/>
        <v>27520</v>
      </c>
      <c r="B14" s="16">
        <v>27520</v>
      </c>
      <c r="C14" s="16">
        <v>64</v>
      </c>
      <c r="D14" s="16">
        <v>1</v>
      </c>
      <c r="E14" s="16">
        <v>16</v>
      </c>
      <c r="F14" s="30">
        <v>34.4328</v>
      </c>
      <c r="H14">
        <f t="shared" si="1"/>
        <v>27520</v>
      </c>
      <c r="I14" s="16">
        <v>27520</v>
      </c>
      <c r="J14" s="16">
        <v>64</v>
      </c>
      <c r="K14" s="16">
        <v>1</v>
      </c>
      <c r="L14" s="16">
        <v>16</v>
      </c>
      <c r="M14" s="30">
        <v>37.871000000000002</v>
      </c>
    </row>
    <row r="15" spans="1:13" x14ac:dyDescent="0.25">
      <c r="A15">
        <f t="shared" si="0"/>
        <v>29056</v>
      </c>
      <c r="B15" s="16">
        <v>29056</v>
      </c>
      <c r="C15" s="16">
        <v>64</v>
      </c>
      <c r="D15" s="16">
        <v>1</v>
      </c>
      <c r="E15" s="16">
        <v>16</v>
      </c>
      <c r="F15" s="30">
        <v>34.567800000000005</v>
      </c>
      <c r="H15">
        <f t="shared" si="1"/>
        <v>29056</v>
      </c>
      <c r="I15" s="16">
        <v>29056</v>
      </c>
      <c r="J15" s="16">
        <v>64</v>
      </c>
      <c r="K15" s="16">
        <v>1</v>
      </c>
      <c r="L15" s="16">
        <v>16</v>
      </c>
      <c r="M15" s="30">
        <v>38.05766666666667</v>
      </c>
    </row>
    <row r="16" spans="1:13" x14ac:dyDescent="0.25">
      <c r="A16">
        <f t="shared" si="0"/>
        <v>25984</v>
      </c>
      <c r="B16" s="16">
        <v>25984</v>
      </c>
      <c r="C16" s="16">
        <v>64</v>
      </c>
      <c r="D16" s="16">
        <v>2</v>
      </c>
      <c r="E16" s="16">
        <v>8</v>
      </c>
      <c r="F16" s="30">
        <v>35.3446</v>
      </c>
      <c r="H16">
        <f t="shared" si="1"/>
        <v>25984</v>
      </c>
      <c r="I16" s="16">
        <v>25984</v>
      </c>
      <c r="J16" s="16">
        <v>64</v>
      </c>
      <c r="K16" s="16">
        <v>2</v>
      </c>
      <c r="L16" s="16">
        <v>8</v>
      </c>
      <c r="M16" s="30">
        <v>39.212666666666671</v>
      </c>
    </row>
    <row r="17" spans="1:13" x14ac:dyDescent="0.25">
      <c r="A17">
        <f t="shared" si="0"/>
        <v>27520</v>
      </c>
      <c r="B17" s="16">
        <v>27520</v>
      </c>
      <c r="C17" s="16">
        <v>64</v>
      </c>
      <c r="D17" s="16">
        <v>2</v>
      </c>
      <c r="E17" s="16">
        <v>8</v>
      </c>
      <c r="F17" s="30">
        <v>35.817399999999999</v>
      </c>
      <c r="H17">
        <f t="shared" si="1"/>
        <v>27520</v>
      </c>
      <c r="I17" s="16">
        <v>27520</v>
      </c>
      <c r="J17" s="16">
        <v>64</v>
      </c>
      <c r="K17" s="16">
        <v>2</v>
      </c>
      <c r="L17" s="16">
        <v>8</v>
      </c>
      <c r="M17" s="30">
        <v>39.650666666666666</v>
      </c>
    </row>
    <row r="18" spans="1:13" x14ac:dyDescent="0.25">
      <c r="A18">
        <f t="shared" si="0"/>
        <v>29056</v>
      </c>
      <c r="B18" s="16">
        <v>29056</v>
      </c>
      <c r="C18" s="16">
        <v>64</v>
      </c>
      <c r="D18" s="16">
        <v>2</v>
      </c>
      <c r="E18" s="16">
        <v>8</v>
      </c>
      <c r="F18" s="30">
        <v>36.141999999999996</v>
      </c>
      <c r="H18">
        <f t="shared" si="1"/>
        <v>29056</v>
      </c>
      <c r="I18" s="16">
        <v>29056</v>
      </c>
      <c r="J18" s="16">
        <v>64</v>
      </c>
      <c r="K18" s="16">
        <v>2</v>
      </c>
      <c r="L18" s="16">
        <v>8</v>
      </c>
      <c r="M18" s="30">
        <v>39.977666666666671</v>
      </c>
    </row>
    <row r="19" spans="1:13" x14ac:dyDescent="0.25">
      <c r="A19">
        <f t="shared" si="0"/>
        <v>25984</v>
      </c>
      <c r="B19" s="16">
        <v>25984</v>
      </c>
      <c r="C19" s="16">
        <v>64</v>
      </c>
      <c r="D19" s="16">
        <v>4</v>
      </c>
      <c r="E19" s="16">
        <v>4</v>
      </c>
      <c r="F19" s="30">
        <v>33.131599999999999</v>
      </c>
      <c r="H19">
        <f t="shared" si="1"/>
        <v>25984</v>
      </c>
      <c r="I19" s="16">
        <v>25984</v>
      </c>
      <c r="J19" s="16">
        <v>64</v>
      </c>
      <c r="K19" s="16">
        <v>4</v>
      </c>
      <c r="L19" s="16">
        <v>4</v>
      </c>
      <c r="M19" s="30">
        <v>36.622333333333337</v>
      </c>
    </row>
    <row r="20" spans="1:13" x14ac:dyDescent="0.25">
      <c r="A20">
        <f t="shared" si="0"/>
        <v>27520</v>
      </c>
      <c r="B20" s="16">
        <v>27520</v>
      </c>
      <c r="C20" s="16">
        <v>64</v>
      </c>
      <c r="D20" s="16">
        <v>4</v>
      </c>
      <c r="E20" s="16">
        <v>4</v>
      </c>
      <c r="F20" s="30">
        <v>33.183</v>
      </c>
      <c r="H20">
        <f t="shared" si="1"/>
        <v>27520</v>
      </c>
      <c r="I20" s="16">
        <v>27520</v>
      </c>
      <c r="J20" s="16">
        <v>64</v>
      </c>
      <c r="K20" s="16">
        <v>4</v>
      </c>
      <c r="L20" s="16">
        <v>4</v>
      </c>
      <c r="M20" s="30">
        <v>37.081333333333333</v>
      </c>
    </row>
    <row r="21" spans="1:13" x14ac:dyDescent="0.25">
      <c r="A21">
        <f t="shared" si="0"/>
        <v>29056</v>
      </c>
      <c r="B21" s="16">
        <v>29056</v>
      </c>
      <c r="C21" s="16">
        <v>64</v>
      </c>
      <c r="D21" s="16">
        <v>4</v>
      </c>
      <c r="E21" s="16">
        <v>4</v>
      </c>
      <c r="F21" s="30">
        <v>34.186</v>
      </c>
      <c r="H21">
        <f t="shared" si="1"/>
        <v>29056</v>
      </c>
      <c r="I21" s="16">
        <v>29056</v>
      </c>
      <c r="J21" s="16">
        <v>64</v>
      </c>
      <c r="K21" s="16">
        <v>4</v>
      </c>
      <c r="L21" s="16">
        <v>4</v>
      </c>
      <c r="M21" s="30">
        <v>37.832000000000001</v>
      </c>
    </row>
    <row r="22" spans="1:13" x14ac:dyDescent="0.25">
      <c r="A22">
        <f t="shared" si="0"/>
        <v>25984</v>
      </c>
      <c r="B22" s="16">
        <v>25920</v>
      </c>
      <c r="C22" s="16">
        <v>96</v>
      </c>
      <c r="D22" s="16">
        <v>1</v>
      </c>
      <c r="E22" s="16">
        <v>16</v>
      </c>
      <c r="F22" s="30">
        <v>34.2776</v>
      </c>
      <c r="H22">
        <f t="shared" si="1"/>
        <v>25984</v>
      </c>
      <c r="I22" s="16">
        <v>25920</v>
      </c>
      <c r="J22" s="16">
        <v>96</v>
      </c>
      <c r="K22" s="16">
        <v>1</v>
      </c>
      <c r="L22" s="16">
        <v>16</v>
      </c>
      <c r="M22" s="30">
        <v>38.321000000000005</v>
      </c>
    </row>
    <row r="23" spans="1:13" x14ac:dyDescent="0.25">
      <c r="A23">
        <f t="shared" si="0"/>
        <v>27520</v>
      </c>
      <c r="B23" s="16">
        <v>27456</v>
      </c>
      <c r="C23" s="16">
        <v>96</v>
      </c>
      <c r="D23" s="16">
        <v>1</v>
      </c>
      <c r="E23" s="16">
        <v>16</v>
      </c>
      <c r="F23" s="30">
        <v>34.5822</v>
      </c>
      <c r="H23">
        <f t="shared" si="1"/>
        <v>27520</v>
      </c>
      <c r="I23" s="16">
        <v>27456</v>
      </c>
      <c r="J23" s="16">
        <v>96</v>
      </c>
      <c r="K23" s="16">
        <v>1</v>
      </c>
      <c r="L23" s="16">
        <v>16</v>
      </c>
      <c r="M23" s="30">
        <v>38.726399999999998</v>
      </c>
    </row>
    <row r="24" spans="1:13" x14ac:dyDescent="0.25">
      <c r="A24">
        <f t="shared" si="0"/>
        <v>29056</v>
      </c>
      <c r="B24" s="16">
        <v>28992</v>
      </c>
      <c r="C24" s="16">
        <v>96</v>
      </c>
      <c r="D24" s="16">
        <v>1</v>
      </c>
      <c r="E24" s="16">
        <v>16</v>
      </c>
      <c r="F24" s="30">
        <v>34.921199999999999</v>
      </c>
      <c r="H24">
        <f t="shared" si="1"/>
        <v>29056</v>
      </c>
      <c r="I24" s="16">
        <v>28992</v>
      </c>
      <c r="J24" s="16">
        <v>96</v>
      </c>
      <c r="K24" s="16">
        <v>1</v>
      </c>
      <c r="L24" s="16">
        <v>16</v>
      </c>
      <c r="M24" s="30">
        <v>39.218000000000004</v>
      </c>
    </row>
    <row r="25" spans="1:13" x14ac:dyDescent="0.25">
      <c r="A25">
        <f t="shared" si="0"/>
        <v>25984</v>
      </c>
      <c r="B25" s="16">
        <v>25920</v>
      </c>
      <c r="C25" s="16">
        <v>96</v>
      </c>
      <c r="D25" s="16">
        <v>2</v>
      </c>
      <c r="E25" s="16">
        <v>8</v>
      </c>
      <c r="F25" s="30">
        <v>35.272999999999996</v>
      </c>
      <c r="H25">
        <f t="shared" si="1"/>
        <v>25984</v>
      </c>
      <c r="I25" s="16">
        <v>25920</v>
      </c>
      <c r="J25" s="16">
        <v>96</v>
      </c>
      <c r="K25" s="16">
        <v>2</v>
      </c>
      <c r="L25" s="16">
        <v>8</v>
      </c>
      <c r="M25" s="30">
        <v>39.905199999999994</v>
      </c>
    </row>
    <row r="26" spans="1:13" x14ac:dyDescent="0.25">
      <c r="A26">
        <f t="shared" si="0"/>
        <v>27520</v>
      </c>
      <c r="B26" s="16">
        <v>27456</v>
      </c>
      <c r="C26" s="16">
        <v>96</v>
      </c>
      <c r="D26" s="16">
        <v>2</v>
      </c>
      <c r="E26" s="16">
        <v>8</v>
      </c>
      <c r="F26" s="30">
        <v>35.705600000000004</v>
      </c>
      <c r="H26">
        <f t="shared" si="1"/>
        <v>27520</v>
      </c>
      <c r="I26" s="16">
        <v>27456</v>
      </c>
      <c r="J26" s="16">
        <v>96</v>
      </c>
      <c r="K26" s="16">
        <v>2</v>
      </c>
      <c r="L26" s="16">
        <v>8</v>
      </c>
      <c r="M26" s="30">
        <v>40.427200000000006</v>
      </c>
    </row>
    <row r="27" spans="1:13" x14ac:dyDescent="0.25">
      <c r="A27">
        <f t="shared" si="0"/>
        <v>29056</v>
      </c>
      <c r="B27" s="16">
        <v>28992</v>
      </c>
      <c r="C27" s="16">
        <v>96</v>
      </c>
      <c r="D27" s="16">
        <v>2</v>
      </c>
      <c r="E27" s="16">
        <v>8</v>
      </c>
      <c r="F27" s="30">
        <v>35.811799999999998</v>
      </c>
      <c r="H27">
        <f t="shared" si="1"/>
        <v>29056</v>
      </c>
      <c r="I27" s="16">
        <v>28992</v>
      </c>
      <c r="J27" s="16">
        <v>96</v>
      </c>
      <c r="K27" s="16">
        <v>2</v>
      </c>
      <c r="L27" s="16">
        <v>8</v>
      </c>
      <c r="M27" s="30">
        <v>40.822799999999994</v>
      </c>
    </row>
    <row r="28" spans="1:13" x14ac:dyDescent="0.25">
      <c r="A28">
        <f t="shared" si="0"/>
        <v>25984</v>
      </c>
      <c r="B28" s="16">
        <v>25920</v>
      </c>
      <c r="C28" s="16">
        <v>96</v>
      </c>
      <c r="D28" s="16">
        <v>4</v>
      </c>
      <c r="E28" s="16">
        <v>4</v>
      </c>
      <c r="F28" s="30">
        <v>33.491399999999999</v>
      </c>
      <c r="H28">
        <f t="shared" si="1"/>
        <v>25984</v>
      </c>
      <c r="I28" s="16">
        <v>25920</v>
      </c>
      <c r="J28" s="16">
        <v>96</v>
      </c>
      <c r="K28" s="16">
        <v>4</v>
      </c>
      <c r="L28" s="16">
        <v>4</v>
      </c>
      <c r="M28" s="30">
        <v>36.926400000000001</v>
      </c>
    </row>
    <row r="29" spans="1:13" x14ac:dyDescent="0.25">
      <c r="A29">
        <f t="shared" si="0"/>
        <v>27520</v>
      </c>
      <c r="B29" s="16">
        <v>27456</v>
      </c>
      <c r="C29" s="16">
        <v>96</v>
      </c>
      <c r="D29" s="16">
        <v>4</v>
      </c>
      <c r="E29" s="16">
        <v>4</v>
      </c>
      <c r="F29" s="30">
        <v>33.5608</v>
      </c>
      <c r="H29">
        <f t="shared" si="1"/>
        <v>27520</v>
      </c>
      <c r="I29" s="16">
        <v>27456</v>
      </c>
      <c r="J29" s="16">
        <v>96</v>
      </c>
      <c r="K29" s="16">
        <v>4</v>
      </c>
      <c r="L29" s="16">
        <v>4</v>
      </c>
      <c r="M29" s="30">
        <v>37.4848</v>
      </c>
    </row>
    <row r="30" spans="1:13" x14ac:dyDescent="0.25">
      <c r="A30">
        <f t="shared" si="0"/>
        <v>29056</v>
      </c>
      <c r="B30" s="16">
        <v>28992</v>
      </c>
      <c r="C30" s="16">
        <v>96</v>
      </c>
      <c r="D30" s="16">
        <v>4</v>
      </c>
      <c r="E30" s="16">
        <v>4</v>
      </c>
      <c r="F30" s="30">
        <v>34.614800000000002</v>
      </c>
      <c r="H30">
        <f t="shared" si="1"/>
        <v>29056</v>
      </c>
      <c r="I30" s="16">
        <v>28992</v>
      </c>
      <c r="J30" s="16">
        <v>96</v>
      </c>
      <c r="K30" s="16">
        <v>4</v>
      </c>
      <c r="L30" s="16">
        <v>4</v>
      </c>
      <c r="M30" s="30">
        <v>38.264200000000002</v>
      </c>
    </row>
    <row r="31" spans="1:13" x14ac:dyDescent="0.25">
      <c r="A31">
        <f t="shared" si="0"/>
        <v>25984</v>
      </c>
      <c r="B31" s="16">
        <v>25984</v>
      </c>
      <c r="C31" s="16">
        <v>128</v>
      </c>
      <c r="D31" s="16">
        <v>1</v>
      </c>
      <c r="E31" s="16">
        <v>16</v>
      </c>
      <c r="F31" s="30">
        <v>34.385000000000005</v>
      </c>
      <c r="H31">
        <f t="shared" si="1"/>
        <v>25984</v>
      </c>
      <c r="I31" s="16">
        <v>25984</v>
      </c>
      <c r="J31" s="16">
        <v>128</v>
      </c>
      <c r="K31" s="16">
        <v>1</v>
      </c>
      <c r="L31" s="16">
        <v>16</v>
      </c>
      <c r="M31" s="30">
        <v>36.763799999999996</v>
      </c>
    </row>
    <row r="32" spans="1:13" x14ac:dyDescent="0.25">
      <c r="A32">
        <f t="shared" si="0"/>
        <v>27520</v>
      </c>
      <c r="B32" s="16">
        <v>27520</v>
      </c>
      <c r="C32" s="16">
        <v>128</v>
      </c>
      <c r="D32" s="16">
        <v>1</v>
      </c>
      <c r="E32" s="16">
        <v>16</v>
      </c>
      <c r="F32" s="30">
        <v>34.683</v>
      </c>
      <c r="H32">
        <f t="shared" si="1"/>
        <v>27520</v>
      </c>
      <c r="I32" s="16">
        <v>27520</v>
      </c>
      <c r="J32" s="16">
        <v>128</v>
      </c>
      <c r="K32" s="16">
        <v>1</v>
      </c>
      <c r="L32" s="16">
        <v>16</v>
      </c>
      <c r="M32" s="30">
        <v>37.161000000000001</v>
      </c>
    </row>
    <row r="33" spans="1:13" x14ac:dyDescent="0.25">
      <c r="A33">
        <f t="shared" si="0"/>
        <v>29056</v>
      </c>
      <c r="B33" s="16">
        <v>29056</v>
      </c>
      <c r="C33" s="16">
        <v>128</v>
      </c>
      <c r="D33" s="16">
        <v>1</v>
      </c>
      <c r="E33" s="16">
        <v>16</v>
      </c>
      <c r="F33" s="30">
        <v>35.136199999999995</v>
      </c>
      <c r="H33">
        <f t="shared" si="1"/>
        <v>29056</v>
      </c>
      <c r="I33" s="16">
        <v>29056</v>
      </c>
      <c r="J33" s="16">
        <v>128</v>
      </c>
      <c r="K33" s="16">
        <v>1</v>
      </c>
      <c r="L33" s="16">
        <v>16</v>
      </c>
      <c r="M33" s="30">
        <v>37.728200000000001</v>
      </c>
    </row>
    <row r="34" spans="1:13" x14ac:dyDescent="0.25">
      <c r="A34">
        <f t="shared" si="0"/>
        <v>25984</v>
      </c>
      <c r="B34" s="16">
        <v>25984</v>
      </c>
      <c r="C34" s="16">
        <v>128</v>
      </c>
      <c r="D34" s="16">
        <v>2</v>
      </c>
      <c r="E34" s="16">
        <v>8</v>
      </c>
      <c r="F34" s="30">
        <v>35.586399999999998</v>
      </c>
      <c r="H34">
        <f t="shared" si="1"/>
        <v>25984</v>
      </c>
      <c r="I34" s="16">
        <v>25984</v>
      </c>
      <c r="J34" s="16">
        <v>128</v>
      </c>
      <c r="K34" s="16">
        <v>2</v>
      </c>
      <c r="L34" s="16">
        <v>8</v>
      </c>
      <c r="M34" s="30">
        <v>38.663400000000003</v>
      </c>
    </row>
    <row r="35" spans="1:13" x14ac:dyDescent="0.25">
      <c r="A35">
        <f t="shared" si="0"/>
        <v>27520</v>
      </c>
      <c r="B35" s="16">
        <v>27520</v>
      </c>
      <c r="C35" s="16">
        <v>128</v>
      </c>
      <c r="D35" s="16">
        <v>2</v>
      </c>
      <c r="E35" s="16">
        <v>8</v>
      </c>
      <c r="F35" s="30">
        <v>33.168999999999997</v>
      </c>
      <c r="H35">
        <f t="shared" si="1"/>
        <v>27520</v>
      </c>
      <c r="I35" s="16">
        <v>27520</v>
      </c>
      <c r="J35" s="16">
        <v>128</v>
      </c>
      <c r="K35" s="16">
        <v>2</v>
      </c>
      <c r="L35" s="16">
        <v>8</v>
      </c>
      <c r="M35" s="30">
        <v>37.246400000000001</v>
      </c>
    </row>
    <row r="36" spans="1:13" x14ac:dyDescent="0.25">
      <c r="A36">
        <f t="shared" si="0"/>
        <v>29056</v>
      </c>
      <c r="B36" s="16">
        <v>29056</v>
      </c>
      <c r="C36" s="16">
        <v>128</v>
      </c>
      <c r="D36" s="16">
        <v>2</v>
      </c>
      <c r="E36" s="16">
        <v>8</v>
      </c>
      <c r="F36" s="30">
        <v>36.606199999999994</v>
      </c>
      <c r="H36">
        <f t="shared" si="1"/>
        <v>29056</v>
      </c>
      <c r="I36" s="16">
        <v>29056</v>
      </c>
      <c r="J36" s="16">
        <v>128</v>
      </c>
      <c r="K36" s="16">
        <v>2</v>
      </c>
      <c r="L36" s="16">
        <v>8</v>
      </c>
      <c r="M36" s="30">
        <v>39.651400000000002</v>
      </c>
    </row>
    <row r="37" spans="1:13" x14ac:dyDescent="0.25">
      <c r="A37">
        <f t="shared" si="0"/>
        <v>25984</v>
      </c>
      <c r="B37" s="16">
        <v>25984</v>
      </c>
      <c r="C37" s="16">
        <v>128</v>
      </c>
      <c r="D37" s="16">
        <v>4</v>
      </c>
      <c r="E37" s="16">
        <v>4</v>
      </c>
      <c r="F37" s="30">
        <v>33.941200000000002</v>
      </c>
      <c r="H37">
        <f t="shared" si="1"/>
        <v>25984</v>
      </c>
      <c r="I37" s="16">
        <v>25984</v>
      </c>
      <c r="J37" s="16">
        <v>128</v>
      </c>
      <c r="K37" s="16">
        <v>4</v>
      </c>
      <c r="L37" s="16">
        <v>4</v>
      </c>
      <c r="M37" s="30">
        <v>36.145400000000002</v>
      </c>
    </row>
    <row r="38" spans="1:13" x14ac:dyDescent="0.25">
      <c r="A38">
        <f t="shared" si="0"/>
        <v>27520</v>
      </c>
      <c r="B38" s="16">
        <v>27520</v>
      </c>
      <c r="C38" s="16">
        <v>128</v>
      </c>
      <c r="D38" s="16">
        <v>4</v>
      </c>
      <c r="E38" s="16">
        <v>4</v>
      </c>
      <c r="F38" s="30">
        <v>34.083399999999997</v>
      </c>
      <c r="H38">
        <f t="shared" si="1"/>
        <v>27520</v>
      </c>
      <c r="I38" s="16">
        <v>27520</v>
      </c>
      <c r="J38" s="16">
        <v>128</v>
      </c>
      <c r="K38" s="16">
        <v>4</v>
      </c>
      <c r="L38" s="16">
        <v>4</v>
      </c>
      <c r="M38" s="30">
        <v>36.644599999999997</v>
      </c>
    </row>
    <row r="39" spans="1:13" x14ac:dyDescent="0.25">
      <c r="A39">
        <f t="shared" si="0"/>
        <v>29056</v>
      </c>
      <c r="B39" s="16">
        <v>29056</v>
      </c>
      <c r="C39" s="16">
        <v>128</v>
      </c>
      <c r="D39" s="16">
        <v>4</v>
      </c>
      <c r="E39" s="16">
        <v>4</v>
      </c>
      <c r="F39" s="30">
        <v>35.007199999999997</v>
      </c>
      <c r="H39">
        <f t="shared" si="1"/>
        <v>29056</v>
      </c>
      <c r="I39" s="16">
        <v>29056</v>
      </c>
      <c r="J39" s="16">
        <v>128</v>
      </c>
      <c r="K39" s="16">
        <v>4</v>
      </c>
      <c r="L39" s="16">
        <v>4</v>
      </c>
      <c r="M39" s="30">
        <v>37.4208</v>
      </c>
    </row>
    <row r="40" spans="1:13" x14ac:dyDescent="0.25">
      <c r="A40">
        <f t="shared" si="0"/>
        <v>25984</v>
      </c>
      <c r="B40" s="16">
        <v>25920</v>
      </c>
      <c r="C40" s="16">
        <v>160</v>
      </c>
      <c r="D40" s="16">
        <v>1</v>
      </c>
      <c r="E40" s="16">
        <v>16</v>
      </c>
      <c r="F40" s="30">
        <v>34.936199999999999</v>
      </c>
      <c r="H40">
        <f t="shared" si="1"/>
        <v>25984</v>
      </c>
      <c r="I40" s="16">
        <v>25920</v>
      </c>
      <c r="J40" s="16">
        <v>160</v>
      </c>
      <c r="K40" s="16">
        <v>1</v>
      </c>
      <c r="L40" s="16">
        <v>16</v>
      </c>
      <c r="M40" s="30">
        <v>37.193599999999989</v>
      </c>
    </row>
    <row r="41" spans="1:13" x14ac:dyDescent="0.25">
      <c r="A41">
        <f t="shared" si="0"/>
        <v>27520</v>
      </c>
      <c r="B41" s="16">
        <v>27520</v>
      </c>
      <c r="C41" s="16">
        <v>160</v>
      </c>
      <c r="D41" s="16">
        <v>1</v>
      </c>
      <c r="E41" s="16">
        <v>16</v>
      </c>
      <c r="F41" s="30">
        <v>35.2102</v>
      </c>
      <c r="H41">
        <f t="shared" si="1"/>
        <v>27520</v>
      </c>
      <c r="I41" s="16">
        <v>27520</v>
      </c>
      <c r="J41" s="16">
        <v>160</v>
      </c>
      <c r="K41" s="16">
        <v>1</v>
      </c>
      <c r="L41" s="16">
        <v>16</v>
      </c>
      <c r="M41" s="30">
        <v>37.431200000000004</v>
      </c>
    </row>
    <row r="42" spans="1:13" x14ac:dyDescent="0.25">
      <c r="A42">
        <f t="shared" si="0"/>
        <v>29056</v>
      </c>
      <c r="B42" s="16">
        <v>28960</v>
      </c>
      <c r="C42" s="16">
        <v>160</v>
      </c>
      <c r="D42" s="16">
        <v>1</v>
      </c>
      <c r="E42" s="16">
        <v>16</v>
      </c>
      <c r="F42" s="30">
        <v>35.655200000000001</v>
      </c>
      <c r="H42">
        <f t="shared" si="1"/>
        <v>29056</v>
      </c>
      <c r="I42" s="16">
        <v>28960</v>
      </c>
      <c r="J42" s="16">
        <v>160</v>
      </c>
      <c r="K42" s="16">
        <v>1</v>
      </c>
      <c r="L42" s="16">
        <v>16</v>
      </c>
      <c r="M42" s="30">
        <v>37.611800000000002</v>
      </c>
    </row>
    <row r="43" spans="1:13" x14ac:dyDescent="0.25">
      <c r="A43">
        <f t="shared" si="0"/>
        <v>25984</v>
      </c>
      <c r="B43" s="16">
        <v>25920</v>
      </c>
      <c r="C43" s="16">
        <v>160</v>
      </c>
      <c r="D43" s="16">
        <v>2</v>
      </c>
      <c r="E43" s="16">
        <v>8</v>
      </c>
      <c r="F43" s="30">
        <v>36.776600000000002</v>
      </c>
      <c r="H43">
        <f t="shared" si="1"/>
        <v>25984</v>
      </c>
      <c r="I43" s="16">
        <v>25920</v>
      </c>
      <c r="J43" s="16">
        <v>160</v>
      </c>
      <c r="K43" s="16">
        <v>2</v>
      </c>
      <c r="L43" s="16">
        <v>8</v>
      </c>
      <c r="M43" s="30">
        <v>38.984200000000001</v>
      </c>
    </row>
    <row r="44" spans="1:13" x14ac:dyDescent="0.25">
      <c r="A44">
        <f t="shared" si="0"/>
        <v>27520</v>
      </c>
      <c r="B44" s="16">
        <v>27520</v>
      </c>
      <c r="C44" s="16">
        <v>160</v>
      </c>
      <c r="D44" s="16">
        <v>2</v>
      </c>
      <c r="E44" s="16">
        <v>8</v>
      </c>
      <c r="F44" s="30">
        <v>37.213000000000001</v>
      </c>
      <c r="H44">
        <f t="shared" si="1"/>
        <v>27520</v>
      </c>
      <c r="I44" s="16">
        <v>27520</v>
      </c>
      <c r="J44" s="16">
        <v>160</v>
      </c>
      <c r="K44" s="16">
        <v>2</v>
      </c>
      <c r="L44" s="16">
        <v>8</v>
      </c>
      <c r="M44" s="30">
        <v>39.4938</v>
      </c>
    </row>
    <row r="45" spans="1:13" x14ac:dyDescent="0.25">
      <c r="A45">
        <f t="shared" si="0"/>
        <v>29056</v>
      </c>
      <c r="B45" s="16">
        <v>28960</v>
      </c>
      <c r="C45" s="16">
        <v>160</v>
      </c>
      <c r="D45" s="16">
        <v>2</v>
      </c>
      <c r="E45" s="16">
        <v>8</v>
      </c>
      <c r="F45" s="30">
        <v>37.409800000000004</v>
      </c>
      <c r="H45">
        <f t="shared" si="1"/>
        <v>29056</v>
      </c>
      <c r="I45" s="16">
        <v>28960</v>
      </c>
      <c r="J45" s="16">
        <v>160</v>
      </c>
      <c r="K45" s="16">
        <v>2</v>
      </c>
      <c r="L45" s="16">
        <v>8</v>
      </c>
      <c r="M45" s="30">
        <v>39.890799999999999</v>
      </c>
    </row>
    <row r="46" spans="1:13" x14ac:dyDescent="0.25">
      <c r="A46">
        <f t="shared" si="0"/>
        <v>25984</v>
      </c>
      <c r="B46" s="16">
        <v>25920</v>
      </c>
      <c r="C46" s="16">
        <v>160</v>
      </c>
      <c r="D46" s="16">
        <v>4</v>
      </c>
      <c r="E46" s="16">
        <v>4</v>
      </c>
      <c r="F46" s="30">
        <v>34.449799999999996</v>
      </c>
      <c r="H46">
        <f t="shared" si="1"/>
        <v>25984</v>
      </c>
      <c r="I46" s="16">
        <v>25920</v>
      </c>
      <c r="J46" s="16">
        <v>160</v>
      </c>
      <c r="K46" s="16">
        <v>4</v>
      </c>
      <c r="L46" s="16">
        <v>4</v>
      </c>
      <c r="M46" s="30">
        <v>36.384399999999999</v>
      </c>
    </row>
    <row r="47" spans="1:13" x14ac:dyDescent="0.25">
      <c r="A47">
        <f t="shared" si="0"/>
        <v>27520</v>
      </c>
      <c r="B47" s="16">
        <v>27520</v>
      </c>
      <c r="C47" s="16">
        <v>160</v>
      </c>
      <c r="D47" s="16">
        <v>4</v>
      </c>
      <c r="E47" s="16">
        <v>4</v>
      </c>
      <c r="F47" s="30">
        <v>35.293399999999998</v>
      </c>
      <c r="H47">
        <f t="shared" si="1"/>
        <v>27520</v>
      </c>
      <c r="I47" s="16">
        <v>27520</v>
      </c>
      <c r="J47" s="16">
        <v>160</v>
      </c>
      <c r="K47" s="16">
        <v>4</v>
      </c>
      <c r="L47" s="16">
        <v>4</v>
      </c>
      <c r="M47" s="30">
        <v>37.156199999999998</v>
      </c>
    </row>
    <row r="48" spans="1:13" x14ac:dyDescent="0.25">
      <c r="A48">
        <f t="shared" si="0"/>
        <v>29056</v>
      </c>
      <c r="B48" s="16">
        <v>28960</v>
      </c>
      <c r="C48" s="16">
        <v>160</v>
      </c>
      <c r="D48" s="16">
        <v>4</v>
      </c>
      <c r="E48" s="16">
        <v>4</v>
      </c>
      <c r="F48" s="30">
        <v>35.791200000000003</v>
      </c>
      <c r="H48">
        <f t="shared" si="1"/>
        <v>29056</v>
      </c>
      <c r="I48" s="16">
        <v>28960</v>
      </c>
      <c r="J48" s="16">
        <v>160</v>
      </c>
      <c r="K48" s="16">
        <v>4</v>
      </c>
      <c r="L48" s="16">
        <v>4</v>
      </c>
      <c r="M48" s="30">
        <v>37.708200000000005</v>
      </c>
    </row>
    <row r="49" spans="1:13" x14ac:dyDescent="0.25">
      <c r="A49">
        <f t="shared" si="0"/>
        <v>25984</v>
      </c>
      <c r="B49" s="16">
        <v>25920</v>
      </c>
      <c r="C49" s="16">
        <v>192</v>
      </c>
      <c r="D49" s="16">
        <v>1</v>
      </c>
      <c r="E49" s="16">
        <v>16</v>
      </c>
      <c r="F49" s="30">
        <v>34.085400000000007</v>
      </c>
      <c r="H49">
        <f t="shared" si="1"/>
        <v>25984</v>
      </c>
      <c r="I49" s="16">
        <v>25920</v>
      </c>
      <c r="J49" s="16">
        <v>192</v>
      </c>
      <c r="K49" s="16">
        <v>1</v>
      </c>
      <c r="L49" s="16">
        <v>16</v>
      </c>
      <c r="M49" s="30">
        <v>36.800399999999996</v>
      </c>
    </row>
    <row r="50" spans="1:13" x14ac:dyDescent="0.25">
      <c r="A50">
        <f t="shared" si="0"/>
        <v>27520</v>
      </c>
      <c r="B50" s="16">
        <v>27456</v>
      </c>
      <c r="C50" s="16">
        <v>192</v>
      </c>
      <c r="D50" s="16">
        <v>1</v>
      </c>
      <c r="E50" s="16">
        <v>16</v>
      </c>
      <c r="F50" s="30">
        <v>34.595199999999991</v>
      </c>
      <c r="H50">
        <f t="shared" si="1"/>
        <v>27520</v>
      </c>
      <c r="I50" s="16">
        <v>27456</v>
      </c>
      <c r="J50" s="16">
        <v>192</v>
      </c>
      <c r="K50" s="16">
        <v>1</v>
      </c>
      <c r="L50" s="16">
        <v>16</v>
      </c>
      <c r="M50" s="30">
        <v>37.366599999999991</v>
      </c>
    </row>
    <row r="51" spans="1:13" x14ac:dyDescent="0.25">
      <c r="A51">
        <f t="shared" si="0"/>
        <v>29056</v>
      </c>
      <c r="B51" s="16">
        <v>28992</v>
      </c>
      <c r="C51" s="16">
        <v>192</v>
      </c>
      <c r="D51" s="16">
        <v>1</v>
      </c>
      <c r="E51" s="16">
        <v>16</v>
      </c>
      <c r="F51" s="30">
        <v>34.7804</v>
      </c>
      <c r="H51">
        <f t="shared" si="1"/>
        <v>29056</v>
      </c>
      <c r="I51" s="16">
        <v>28992</v>
      </c>
      <c r="J51" s="16">
        <v>192</v>
      </c>
      <c r="K51" s="16">
        <v>1</v>
      </c>
      <c r="L51" s="16">
        <v>16</v>
      </c>
      <c r="M51" s="30">
        <v>37.399000000000001</v>
      </c>
    </row>
    <row r="52" spans="1:13" x14ac:dyDescent="0.25">
      <c r="A52">
        <f t="shared" si="0"/>
        <v>25984</v>
      </c>
      <c r="B52" s="16">
        <v>25920</v>
      </c>
      <c r="C52" s="16">
        <v>192</v>
      </c>
      <c r="D52" s="16">
        <v>2</v>
      </c>
      <c r="E52" s="16">
        <v>8</v>
      </c>
      <c r="F52" s="30">
        <v>36.126199999999997</v>
      </c>
      <c r="H52">
        <f t="shared" si="1"/>
        <v>25984</v>
      </c>
      <c r="I52" s="16">
        <v>25920</v>
      </c>
      <c r="J52" s="16">
        <v>192</v>
      </c>
      <c r="K52" s="16">
        <v>2</v>
      </c>
      <c r="L52" s="16">
        <v>8</v>
      </c>
      <c r="M52" s="30">
        <v>38.909799999999997</v>
      </c>
    </row>
    <row r="53" spans="1:13" x14ac:dyDescent="0.25">
      <c r="A53">
        <f t="shared" si="0"/>
        <v>27520</v>
      </c>
      <c r="B53" s="16">
        <v>27456</v>
      </c>
      <c r="C53" s="16">
        <v>192</v>
      </c>
      <c r="D53" s="16">
        <v>2</v>
      </c>
      <c r="E53" s="16">
        <v>8</v>
      </c>
      <c r="F53" s="30">
        <v>34.068399999999997</v>
      </c>
      <c r="H53">
        <f t="shared" si="1"/>
        <v>27520</v>
      </c>
      <c r="I53" s="16">
        <v>27456</v>
      </c>
      <c r="J53" s="16">
        <v>192</v>
      </c>
      <c r="K53" s="16">
        <v>2</v>
      </c>
      <c r="L53" s="16">
        <v>8</v>
      </c>
      <c r="M53" s="30">
        <v>38.365200000000002</v>
      </c>
    </row>
    <row r="54" spans="1:13" x14ac:dyDescent="0.25">
      <c r="A54">
        <f t="shared" si="0"/>
        <v>29056</v>
      </c>
      <c r="B54" s="16">
        <v>28992</v>
      </c>
      <c r="C54" s="16">
        <v>192</v>
      </c>
      <c r="D54" s="16">
        <v>2</v>
      </c>
      <c r="E54" s="16">
        <v>8</v>
      </c>
      <c r="F54" s="30">
        <v>37.263400000000004</v>
      </c>
      <c r="H54">
        <f t="shared" si="1"/>
        <v>29056</v>
      </c>
      <c r="I54" s="16">
        <v>28992</v>
      </c>
      <c r="J54" s="16">
        <v>192</v>
      </c>
      <c r="K54" s="16">
        <v>2</v>
      </c>
      <c r="L54" s="16">
        <v>8</v>
      </c>
      <c r="M54" s="30">
        <v>40.033200000000001</v>
      </c>
    </row>
    <row r="55" spans="1:13" x14ac:dyDescent="0.25">
      <c r="A55">
        <f t="shared" si="0"/>
        <v>25984</v>
      </c>
      <c r="B55" s="16">
        <v>25920</v>
      </c>
      <c r="C55" s="16">
        <v>192</v>
      </c>
      <c r="D55" s="16">
        <v>4</v>
      </c>
      <c r="E55" s="16">
        <v>4</v>
      </c>
      <c r="F55" s="30">
        <v>34.244</v>
      </c>
      <c r="H55">
        <f t="shared" si="1"/>
        <v>25984</v>
      </c>
      <c r="I55" s="16">
        <v>25920</v>
      </c>
      <c r="J55" s="16">
        <v>192</v>
      </c>
      <c r="K55" s="16">
        <v>4</v>
      </c>
      <c r="L55" s="16">
        <v>4</v>
      </c>
      <c r="M55" s="30">
        <v>36.431400000000004</v>
      </c>
    </row>
    <row r="56" spans="1:13" x14ac:dyDescent="0.25">
      <c r="A56">
        <f t="shared" si="0"/>
        <v>27520</v>
      </c>
      <c r="B56" s="16">
        <v>27456</v>
      </c>
      <c r="C56" s="16">
        <v>192</v>
      </c>
      <c r="D56" s="16">
        <v>4</v>
      </c>
      <c r="E56" s="16">
        <v>4</v>
      </c>
      <c r="F56" s="30">
        <v>34.468399999999995</v>
      </c>
      <c r="H56">
        <f t="shared" si="1"/>
        <v>27520</v>
      </c>
      <c r="I56" s="16">
        <v>27456</v>
      </c>
      <c r="J56" s="16">
        <v>192</v>
      </c>
      <c r="K56" s="16">
        <v>4</v>
      </c>
      <c r="L56" s="16">
        <v>4</v>
      </c>
      <c r="M56" s="30">
        <v>36.992399999999996</v>
      </c>
    </row>
    <row r="57" spans="1:13" x14ac:dyDescent="0.25">
      <c r="A57">
        <f t="shared" si="0"/>
        <v>29056</v>
      </c>
      <c r="B57" s="16">
        <v>28992</v>
      </c>
      <c r="C57" s="16">
        <v>192</v>
      </c>
      <c r="D57" s="16">
        <v>4</v>
      </c>
      <c r="E57" s="16">
        <v>4</v>
      </c>
      <c r="F57" s="30">
        <v>35.522599999999997</v>
      </c>
      <c r="H57">
        <f t="shared" si="1"/>
        <v>29056</v>
      </c>
      <c r="I57" s="16">
        <v>28992</v>
      </c>
      <c r="J57" s="16">
        <v>192</v>
      </c>
      <c r="K57" s="16">
        <v>4</v>
      </c>
      <c r="L57" s="16">
        <v>4</v>
      </c>
      <c r="M57" s="30">
        <v>37.810199999999995</v>
      </c>
    </row>
    <row r="58" spans="1:13" x14ac:dyDescent="0.25">
      <c r="A58">
        <f t="shared" si="0"/>
        <v>25984</v>
      </c>
      <c r="B58" s="16">
        <v>25984</v>
      </c>
      <c r="C58" s="16">
        <v>224</v>
      </c>
      <c r="D58" s="16">
        <v>1</v>
      </c>
      <c r="E58" s="16">
        <v>16</v>
      </c>
      <c r="F58" s="30">
        <v>33.509</v>
      </c>
      <c r="H58">
        <f t="shared" si="1"/>
        <v>25984</v>
      </c>
      <c r="I58" s="16">
        <v>25984</v>
      </c>
      <c r="J58" s="16">
        <v>224</v>
      </c>
      <c r="K58" s="16">
        <v>1</v>
      </c>
      <c r="L58" s="16">
        <v>16</v>
      </c>
      <c r="M58" s="30">
        <v>36.398600000000002</v>
      </c>
    </row>
    <row r="59" spans="1:13" x14ac:dyDescent="0.25">
      <c r="A59">
        <f t="shared" si="0"/>
        <v>27520</v>
      </c>
      <c r="B59" s="16">
        <v>27328</v>
      </c>
      <c r="C59" s="16">
        <v>224</v>
      </c>
      <c r="D59" s="16">
        <v>1</v>
      </c>
      <c r="E59" s="16">
        <v>16</v>
      </c>
      <c r="F59" s="30">
        <v>33.931400000000004</v>
      </c>
      <c r="H59">
        <f t="shared" si="1"/>
        <v>27520</v>
      </c>
      <c r="I59" s="16">
        <v>27328</v>
      </c>
      <c r="J59" s="16">
        <v>224</v>
      </c>
      <c r="K59" s="16">
        <v>1</v>
      </c>
      <c r="L59" s="16">
        <v>16</v>
      </c>
      <c r="M59" s="30">
        <v>36.756600000000006</v>
      </c>
    </row>
    <row r="60" spans="1:13" x14ac:dyDescent="0.25">
      <c r="A60">
        <f t="shared" si="0"/>
        <v>29056</v>
      </c>
      <c r="B60" s="16">
        <v>28896</v>
      </c>
      <c r="C60" s="16">
        <v>224</v>
      </c>
      <c r="D60" s="16">
        <v>1</v>
      </c>
      <c r="E60" s="16">
        <v>16</v>
      </c>
      <c r="F60" s="30">
        <v>34.285999999999994</v>
      </c>
      <c r="H60">
        <f t="shared" si="1"/>
        <v>29056</v>
      </c>
      <c r="I60" s="16">
        <v>28896</v>
      </c>
      <c r="J60" s="16">
        <v>224</v>
      </c>
      <c r="K60" s="16">
        <v>1</v>
      </c>
      <c r="L60" s="16">
        <v>16</v>
      </c>
      <c r="M60" s="30">
        <v>37.339999999999996</v>
      </c>
    </row>
    <row r="61" spans="1:13" x14ac:dyDescent="0.25">
      <c r="A61">
        <f t="shared" si="0"/>
        <v>25984</v>
      </c>
      <c r="B61" s="16">
        <v>25984</v>
      </c>
      <c r="C61" s="16">
        <v>224</v>
      </c>
      <c r="D61" s="16">
        <v>2</v>
      </c>
      <c r="E61" s="16">
        <v>8</v>
      </c>
      <c r="F61" s="30">
        <v>36.297399999999996</v>
      </c>
      <c r="H61">
        <f t="shared" si="1"/>
        <v>25984</v>
      </c>
      <c r="I61" s="16">
        <v>25984</v>
      </c>
      <c r="J61" s="16">
        <v>224</v>
      </c>
      <c r="K61" s="16">
        <v>2</v>
      </c>
      <c r="L61" s="16">
        <v>8</v>
      </c>
      <c r="M61" s="30">
        <v>38.740200000000002</v>
      </c>
    </row>
    <row r="62" spans="1:13" x14ac:dyDescent="0.25">
      <c r="A62">
        <f t="shared" si="0"/>
        <v>27520</v>
      </c>
      <c r="B62" s="16">
        <v>27328</v>
      </c>
      <c r="C62" s="16">
        <v>224</v>
      </c>
      <c r="D62" s="16">
        <v>2</v>
      </c>
      <c r="E62" s="16">
        <v>8</v>
      </c>
      <c r="F62" s="30">
        <v>36.784200000000006</v>
      </c>
      <c r="H62">
        <f t="shared" si="1"/>
        <v>27520</v>
      </c>
      <c r="I62" s="16">
        <v>27328</v>
      </c>
      <c r="J62" s="16">
        <v>224</v>
      </c>
      <c r="K62" s="16">
        <v>2</v>
      </c>
      <c r="L62" s="16">
        <v>8</v>
      </c>
      <c r="M62" s="30">
        <v>39.275400000000005</v>
      </c>
    </row>
    <row r="63" spans="1:13" x14ac:dyDescent="0.25">
      <c r="A63">
        <f t="shared" si="0"/>
        <v>29056</v>
      </c>
      <c r="B63" s="16">
        <v>28896</v>
      </c>
      <c r="C63" s="16">
        <v>224</v>
      </c>
      <c r="D63" s="16">
        <v>2</v>
      </c>
      <c r="E63" s="16">
        <v>8</v>
      </c>
      <c r="F63" s="30">
        <v>36.961199999999998</v>
      </c>
      <c r="H63">
        <f t="shared" si="1"/>
        <v>29056</v>
      </c>
      <c r="I63" s="16">
        <v>28896</v>
      </c>
      <c r="J63" s="16">
        <v>224</v>
      </c>
      <c r="K63" s="16">
        <v>2</v>
      </c>
      <c r="L63" s="16">
        <v>8</v>
      </c>
      <c r="M63" s="30">
        <v>39.7774</v>
      </c>
    </row>
    <row r="64" spans="1:13" x14ac:dyDescent="0.25">
      <c r="A64">
        <f t="shared" si="0"/>
        <v>25984</v>
      </c>
      <c r="B64" s="16">
        <v>25984</v>
      </c>
      <c r="C64" s="16">
        <v>224</v>
      </c>
      <c r="D64" s="16">
        <v>4</v>
      </c>
      <c r="E64" s="16">
        <v>4</v>
      </c>
      <c r="F64" s="30">
        <v>34.309800000000003</v>
      </c>
      <c r="H64">
        <f t="shared" si="1"/>
        <v>25984</v>
      </c>
      <c r="I64" s="16">
        <v>25984</v>
      </c>
      <c r="J64" s="16">
        <v>224</v>
      </c>
      <c r="K64" s="16">
        <v>4</v>
      </c>
      <c r="L64" s="16">
        <v>4</v>
      </c>
      <c r="M64" s="30">
        <v>36.340400000000002</v>
      </c>
    </row>
    <row r="65" spans="1:13" x14ac:dyDescent="0.25">
      <c r="A65">
        <f t="shared" si="0"/>
        <v>27520</v>
      </c>
      <c r="B65" s="16">
        <v>27328</v>
      </c>
      <c r="C65" s="16">
        <v>224</v>
      </c>
      <c r="D65" s="16">
        <v>4</v>
      </c>
      <c r="E65" s="16">
        <v>4</v>
      </c>
      <c r="F65" s="30">
        <v>34.918599999999998</v>
      </c>
      <c r="H65">
        <f t="shared" si="1"/>
        <v>27520</v>
      </c>
      <c r="I65" s="16">
        <v>27328</v>
      </c>
      <c r="J65" s="16">
        <v>224</v>
      </c>
      <c r="K65" s="16">
        <v>4</v>
      </c>
      <c r="L65" s="16">
        <v>4</v>
      </c>
      <c r="M65" s="30">
        <v>36.945599999999999</v>
      </c>
    </row>
    <row r="66" spans="1:13" x14ac:dyDescent="0.25">
      <c r="A66">
        <f t="shared" si="0"/>
        <v>29056</v>
      </c>
      <c r="B66" s="16">
        <v>28896</v>
      </c>
      <c r="C66" s="16">
        <v>224</v>
      </c>
      <c r="D66" s="16">
        <v>4</v>
      </c>
      <c r="E66" s="16">
        <v>4</v>
      </c>
      <c r="F66" s="30">
        <v>35.231200000000001</v>
      </c>
      <c r="H66">
        <f t="shared" si="1"/>
        <v>29056</v>
      </c>
      <c r="I66" s="16">
        <v>28896</v>
      </c>
      <c r="J66" s="16">
        <v>224</v>
      </c>
      <c r="K66" s="16">
        <v>4</v>
      </c>
      <c r="L66" s="16">
        <v>4</v>
      </c>
      <c r="M66" s="30">
        <v>37.559400000000004</v>
      </c>
    </row>
    <row r="67" spans="1:13" x14ac:dyDescent="0.25">
      <c r="A67">
        <f t="shared" si="0"/>
        <v>25984</v>
      </c>
      <c r="B67" s="16">
        <v>25856</v>
      </c>
      <c r="C67" s="16">
        <v>256</v>
      </c>
      <c r="D67" s="16">
        <v>1</v>
      </c>
      <c r="E67" s="16">
        <v>16</v>
      </c>
      <c r="F67" s="30">
        <v>32.398200000000003</v>
      </c>
      <c r="H67">
        <f t="shared" si="1"/>
        <v>25984</v>
      </c>
      <c r="I67" s="16">
        <v>25856</v>
      </c>
      <c r="J67" s="16">
        <v>256</v>
      </c>
      <c r="K67" s="16">
        <v>1</v>
      </c>
      <c r="L67" s="16">
        <v>16</v>
      </c>
      <c r="M67" s="30">
        <v>34.819599999999994</v>
      </c>
    </row>
    <row r="68" spans="1:13" x14ac:dyDescent="0.25">
      <c r="A68">
        <f t="shared" si="0"/>
        <v>27520</v>
      </c>
      <c r="B68" s="16">
        <v>27392</v>
      </c>
      <c r="C68" s="16">
        <v>256</v>
      </c>
      <c r="D68" s="16">
        <v>1</v>
      </c>
      <c r="E68" s="16">
        <v>16</v>
      </c>
      <c r="F68" s="30">
        <v>33.182000000000002</v>
      </c>
      <c r="H68">
        <f t="shared" si="1"/>
        <v>27520</v>
      </c>
      <c r="I68" s="16">
        <v>27392</v>
      </c>
      <c r="J68" s="16">
        <v>256</v>
      </c>
      <c r="K68" s="16">
        <v>1</v>
      </c>
      <c r="L68" s="16">
        <v>16</v>
      </c>
      <c r="M68" s="30">
        <v>35.5244</v>
      </c>
    </row>
    <row r="69" spans="1:13" x14ac:dyDescent="0.25">
      <c r="A69">
        <f t="shared" ref="A69:A132" si="2">IF(ABS(B69-25984)&lt;ABS(B69-27520),IF(ABS(B69-25984)&lt;ABS(B69-29056),25984,29056),IF(ABS(B69-27520)&lt;ABS(B69-29056),27520,29056))</f>
        <v>29056</v>
      </c>
      <c r="B69" s="16">
        <v>28928</v>
      </c>
      <c r="C69" s="16">
        <v>256</v>
      </c>
      <c r="D69" s="16">
        <v>1</v>
      </c>
      <c r="E69" s="16">
        <v>16</v>
      </c>
      <c r="F69" s="30">
        <v>33.483600000000003</v>
      </c>
      <c r="H69">
        <f t="shared" ref="H69:H132" si="3">IF(ABS(I69-25984)&lt;ABS(I69-27520),IF(ABS(I69-25984)&lt;ABS(I69-29056),25984,29056),IF(ABS(I69-27520)&lt;ABS(I69-29056),27520,29056))</f>
        <v>29056</v>
      </c>
      <c r="I69" s="16">
        <v>28928</v>
      </c>
      <c r="J69" s="16">
        <v>256</v>
      </c>
      <c r="K69" s="16">
        <v>1</v>
      </c>
      <c r="L69" s="16">
        <v>16</v>
      </c>
      <c r="M69" s="30">
        <v>35.936599999999999</v>
      </c>
    </row>
    <row r="70" spans="1:13" x14ac:dyDescent="0.25">
      <c r="A70">
        <f t="shared" si="2"/>
        <v>25984</v>
      </c>
      <c r="B70" s="16">
        <v>25856</v>
      </c>
      <c r="C70" s="16">
        <v>256</v>
      </c>
      <c r="D70" s="16">
        <v>2</v>
      </c>
      <c r="E70" s="16">
        <v>8</v>
      </c>
      <c r="F70" s="30">
        <v>35.360799999999998</v>
      </c>
      <c r="H70">
        <f t="shared" si="3"/>
        <v>25984</v>
      </c>
      <c r="I70" s="16">
        <v>25856</v>
      </c>
      <c r="J70" s="16">
        <v>256</v>
      </c>
      <c r="K70" s="16">
        <v>2</v>
      </c>
      <c r="L70" s="16">
        <v>8</v>
      </c>
      <c r="M70" s="30">
        <v>37.440800000000003</v>
      </c>
    </row>
    <row r="71" spans="1:13" x14ac:dyDescent="0.25">
      <c r="A71">
        <f t="shared" si="2"/>
        <v>27520</v>
      </c>
      <c r="B71" s="16">
        <v>27392</v>
      </c>
      <c r="C71" s="16">
        <v>256</v>
      </c>
      <c r="D71" s="16">
        <v>2</v>
      </c>
      <c r="E71" s="16">
        <v>8</v>
      </c>
      <c r="F71" s="30">
        <v>33.333600000000004</v>
      </c>
      <c r="H71">
        <f t="shared" si="3"/>
        <v>27520</v>
      </c>
      <c r="I71" s="16">
        <v>27392</v>
      </c>
      <c r="J71" s="16">
        <v>256</v>
      </c>
      <c r="K71" s="16">
        <v>2</v>
      </c>
      <c r="L71" s="16">
        <v>8</v>
      </c>
      <c r="M71" s="30">
        <v>36.653599999999997</v>
      </c>
    </row>
    <row r="72" spans="1:13" x14ac:dyDescent="0.25">
      <c r="A72">
        <f t="shared" si="2"/>
        <v>29056</v>
      </c>
      <c r="B72" s="16">
        <v>28928</v>
      </c>
      <c r="C72" s="16">
        <v>256</v>
      </c>
      <c r="D72" s="16">
        <v>2</v>
      </c>
      <c r="E72" s="16">
        <v>8</v>
      </c>
      <c r="F72" s="30">
        <v>36.674199999999999</v>
      </c>
      <c r="H72">
        <f t="shared" si="3"/>
        <v>29056</v>
      </c>
      <c r="I72" s="16">
        <v>28928</v>
      </c>
      <c r="J72" s="16">
        <v>256</v>
      </c>
      <c r="K72" s="16">
        <v>2</v>
      </c>
      <c r="L72" s="16">
        <v>8</v>
      </c>
      <c r="M72" s="30">
        <v>38.704999999999998</v>
      </c>
    </row>
    <row r="73" spans="1:13" x14ac:dyDescent="0.25">
      <c r="A73">
        <f t="shared" si="2"/>
        <v>25984</v>
      </c>
      <c r="B73" s="16">
        <v>25856</v>
      </c>
      <c r="C73" s="16">
        <v>256</v>
      </c>
      <c r="D73" s="16">
        <v>4</v>
      </c>
      <c r="E73" s="16">
        <v>4</v>
      </c>
      <c r="F73" s="30">
        <v>33.490600000000001</v>
      </c>
      <c r="H73">
        <f t="shared" si="3"/>
        <v>25984</v>
      </c>
      <c r="I73" s="16">
        <v>25856</v>
      </c>
      <c r="J73" s="16">
        <v>256</v>
      </c>
      <c r="K73" s="16">
        <v>4</v>
      </c>
      <c r="L73" s="16">
        <v>4</v>
      </c>
      <c r="M73" s="30">
        <v>35.361000000000004</v>
      </c>
    </row>
    <row r="74" spans="1:13" x14ac:dyDescent="0.25">
      <c r="A74">
        <f t="shared" si="2"/>
        <v>27520</v>
      </c>
      <c r="B74" s="16">
        <v>27392</v>
      </c>
      <c r="C74" s="16">
        <v>256</v>
      </c>
      <c r="D74" s="16">
        <v>4</v>
      </c>
      <c r="E74" s="16">
        <v>4</v>
      </c>
      <c r="F74" s="30">
        <v>33.995600000000003</v>
      </c>
      <c r="H74">
        <f t="shared" si="3"/>
        <v>27520</v>
      </c>
      <c r="I74" s="16">
        <v>27392</v>
      </c>
      <c r="J74" s="16">
        <v>256</v>
      </c>
      <c r="K74" s="16">
        <v>4</v>
      </c>
      <c r="L74" s="16">
        <v>4</v>
      </c>
      <c r="M74" s="30">
        <v>35.818599999999996</v>
      </c>
    </row>
    <row r="75" spans="1:13" x14ac:dyDescent="0.25">
      <c r="A75">
        <f t="shared" si="2"/>
        <v>29056</v>
      </c>
      <c r="B75" s="16">
        <v>28928</v>
      </c>
      <c r="C75" s="16">
        <v>256</v>
      </c>
      <c r="D75" s="16">
        <v>4</v>
      </c>
      <c r="E75" s="16">
        <v>4</v>
      </c>
      <c r="F75" s="30">
        <v>34.809399999999997</v>
      </c>
      <c r="H75">
        <f t="shared" si="3"/>
        <v>29056</v>
      </c>
      <c r="I75" s="16">
        <v>28928</v>
      </c>
      <c r="J75" s="16">
        <v>256</v>
      </c>
      <c r="K75" s="16">
        <v>4</v>
      </c>
      <c r="L75" s="16">
        <v>4</v>
      </c>
      <c r="M75" s="30">
        <v>36.705799999999996</v>
      </c>
    </row>
    <row r="76" spans="1:13" x14ac:dyDescent="0.25">
      <c r="A76">
        <f t="shared" si="2"/>
        <v>25984</v>
      </c>
      <c r="B76" s="16">
        <v>0</v>
      </c>
      <c r="C76" s="16">
        <v>0</v>
      </c>
      <c r="D76" s="16">
        <v>0</v>
      </c>
      <c r="E76" s="16">
        <v>0</v>
      </c>
      <c r="F76" s="30">
        <v>0</v>
      </c>
      <c r="H76">
        <f t="shared" si="3"/>
        <v>25984</v>
      </c>
      <c r="I76" s="16">
        <v>0</v>
      </c>
      <c r="J76" s="16">
        <v>0</v>
      </c>
      <c r="K76" s="16">
        <v>0</v>
      </c>
      <c r="L76" s="16">
        <v>0</v>
      </c>
      <c r="M76" s="30">
        <v>0</v>
      </c>
    </row>
    <row r="77" spans="1:13" x14ac:dyDescent="0.25">
      <c r="A77">
        <f t="shared" si="2"/>
        <v>25984</v>
      </c>
      <c r="B77" s="16">
        <v>0</v>
      </c>
      <c r="C77" s="16">
        <v>0</v>
      </c>
      <c r="D77" s="16">
        <v>0</v>
      </c>
      <c r="E77" s="16">
        <v>0</v>
      </c>
      <c r="F77" s="30">
        <v>0</v>
      </c>
      <c r="H77">
        <f t="shared" si="3"/>
        <v>25984</v>
      </c>
      <c r="I77" s="16">
        <v>0</v>
      </c>
      <c r="J77" s="16">
        <v>0</v>
      </c>
      <c r="K77" s="16">
        <v>0</v>
      </c>
      <c r="L77" s="16">
        <v>0</v>
      </c>
      <c r="M77" s="30">
        <v>0</v>
      </c>
    </row>
    <row r="78" spans="1:13" x14ac:dyDescent="0.25">
      <c r="A78">
        <f t="shared" si="2"/>
        <v>25984</v>
      </c>
      <c r="B78" s="16">
        <v>0</v>
      </c>
      <c r="C78" s="16">
        <v>0</v>
      </c>
      <c r="D78" s="16">
        <v>0</v>
      </c>
      <c r="E78" s="16">
        <v>0</v>
      </c>
      <c r="F78" s="30">
        <v>0</v>
      </c>
      <c r="H78">
        <f t="shared" si="3"/>
        <v>25984</v>
      </c>
      <c r="I78" s="16">
        <v>0</v>
      </c>
      <c r="J78" s="16">
        <v>0</v>
      </c>
      <c r="K78" s="16">
        <v>0</v>
      </c>
      <c r="L78" s="16">
        <v>0</v>
      </c>
      <c r="M78" s="30">
        <v>0</v>
      </c>
    </row>
    <row r="79" spans="1:13" x14ac:dyDescent="0.25">
      <c r="A79">
        <f t="shared" si="2"/>
        <v>25984</v>
      </c>
      <c r="B79" s="16">
        <v>0</v>
      </c>
      <c r="C79" s="16">
        <v>0</v>
      </c>
      <c r="D79" s="16">
        <v>0</v>
      </c>
      <c r="E79" s="16">
        <v>0</v>
      </c>
      <c r="F79" s="30">
        <v>0</v>
      </c>
      <c r="H79">
        <f t="shared" si="3"/>
        <v>25984</v>
      </c>
      <c r="I79" s="16">
        <v>0</v>
      </c>
      <c r="J79" s="16">
        <v>0</v>
      </c>
      <c r="K79" s="16">
        <v>0</v>
      </c>
      <c r="L79" s="16">
        <v>0</v>
      </c>
      <c r="M79" s="30">
        <v>0</v>
      </c>
    </row>
    <row r="80" spans="1:13" x14ac:dyDescent="0.25">
      <c r="A80">
        <f t="shared" si="2"/>
        <v>25984</v>
      </c>
      <c r="B80" s="16">
        <v>0</v>
      </c>
      <c r="C80" s="16">
        <v>0</v>
      </c>
      <c r="D80" s="16">
        <v>0</v>
      </c>
      <c r="E80" s="16">
        <v>0</v>
      </c>
      <c r="F80" s="30">
        <v>0</v>
      </c>
      <c r="H80">
        <f t="shared" si="3"/>
        <v>25984</v>
      </c>
      <c r="I80" s="16">
        <v>0</v>
      </c>
      <c r="J80" s="16">
        <v>0</v>
      </c>
      <c r="K80" s="16">
        <v>0</v>
      </c>
      <c r="L80" s="16">
        <v>0</v>
      </c>
      <c r="M80" s="30">
        <v>0</v>
      </c>
    </row>
    <row r="81" spans="1:13" x14ac:dyDescent="0.25">
      <c r="A81">
        <f t="shared" si="2"/>
        <v>25984</v>
      </c>
      <c r="B81" s="16">
        <v>0</v>
      </c>
      <c r="C81" s="16">
        <v>0</v>
      </c>
      <c r="D81" s="16">
        <v>0</v>
      </c>
      <c r="E81" s="16">
        <v>0</v>
      </c>
      <c r="F81" s="30">
        <v>0</v>
      </c>
      <c r="H81">
        <f t="shared" si="3"/>
        <v>25984</v>
      </c>
      <c r="I81" s="16">
        <v>0</v>
      </c>
      <c r="J81" s="16">
        <v>0</v>
      </c>
      <c r="K81" s="16">
        <v>0</v>
      </c>
      <c r="L81" s="16">
        <v>0</v>
      </c>
      <c r="M81" s="30">
        <v>0</v>
      </c>
    </row>
    <row r="82" spans="1:13" x14ac:dyDescent="0.25">
      <c r="A82">
        <f t="shared" si="2"/>
        <v>25984</v>
      </c>
      <c r="B82" s="16">
        <v>0</v>
      </c>
      <c r="C82" s="16">
        <v>0</v>
      </c>
      <c r="D82" s="16">
        <v>0</v>
      </c>
      <c r="E82" s="16">
        <v>0</v>
      </c>
      <c r="F82" s="30">
        <v>0</v>
      </c>
      <c r="H82">
        <f t="shared" si="3"/>
        <v>25984</v>
      </c>
      <c r="I82" s="16">
        <v>0</v>
      </c>
      <c r="J82" s="16">
        <v>0</v>
      </c>
      <c r="K82" s="16">
        <v>0</v>
      </c>
      <c r="L82" s="16">
        <v>0</v>
      </c>
      <c r="M82" s="30">
        <v>0</v>
      </c>
    </row>
    <row r="83" spans="1:13" x14ac:dyDescent="0.25">
      <c r="A83">
        <f t="shared" si="2"/>
        <v>25984</v>
      </c>
      <c r="B83" s="16">
        <v>0</v>
      </c>
      <c r="C83" s="16">
        <v>0</v>
      </c>
      <c r="D83" s="16">
        <v>0</v>
      </c>
      <c r="E83" s="16">
        <v>0</v>
      </c>
      <c r="F83" s="30">
        <v>0</v>
      </c>
      <c r="H83">
        <f t="shared" si="3"/>
        <v>25984</v>
      </c>
      <c r="I83" s="16">
        <v>0</v>
      </c>
      <c r="J83" s="16">
        <v>0</v>
      </c>
      <c r="K83" s="16">
        <v>0</v>
      </c>
      <c r="L83" s="16">
        <v>0</v>
      </c>
      <c r="M83" s="30">
        <v>0</v>
      </c>
    </row>
    <row r="84" spans="1:13" x14ac:dyDescent="0.25">
      <c r="A84">
        <f t="shared" si="2"/>
        <v>25984</v>
      </c>
      <c r="B84" s="16">
        <v>0</v>
      </c>
      <c r="C84" s="16">
        <v>0</v>
      </c>
      <c r="D84" s="16">
        <v>0</v>
      </c>
      <c r="E84" s="16">
        <v>0</v>
      </c>
      <c r="F84" s="30">
        <v>0</v>
      </c>
      <c r="H84">
        <f t="shared" si="3"/>
        <v>25984</v>
      </c>
      <c r="I84" s="16">
        <v>0</v>
      </c>
      <c r="J84" s="16">
        <v>0</v>
      </c>
      <c r="K84" s="16">
        <v>0</v>
      </c>
      <c r="L84" s="16">
        <v>0</v>
      </c>
      <c r="M84" s="30">
        <v>0</v>
      </c>
    </row>
    <row r="85" spans="1:13" x14ac:dyDescent="0.25">
      <c r="A85">
        <f t="shared" si="2"/>
        <v>25984</v>
      </c>
      <c r="B85" s="16">
        <v>0</v>
      </c>
      <c r="C85" s="16">
        <v>0</v>
      </c>
      <c r="D85" s="16">
        <v>0</v>
      </c>
      <c r="E85" s="16">
        <v>0</v>
      </c>
      <c r="F85" s="30">
        <v>0</v>
      </c>
      <c r="H85">
        <f t="shared" si="3"/>
        <v>25984</v>
      </c>
      <c r="I85" s="16">
        <v>0</v>
      </c>
      <c r="J85" s="16">
        <v>0</v>
      </c>
      <c r="K85" s="16">
        <v>0</v>
      </c>
      <c r="L85" s="16">
        <v>0</v>
      </c>
      <c r="M85" s="30">
        <v>0</v>
      </c>
    </row>
    <row r="86" spans="1:13" x14ac:dyDescent="0.25">
      <c r="A86">
        <f t="shared" si="2"/>
        <v>25984</v>
      </c>
      <c r="B86" s="16">
        <v>0</v>
      </c>
      <c r="C86" s="16">
        <v>0</v>
      </c>
      <c r="D86" s="16">
        <v>0</v>
      </c>
      <c r="E86" s="16">
        <v>0</v>
      </c>
      <c r="F86" s="30">
        <v>0</v>
      </c>
      <c r="H86">
        <f t="shared" si="3"/>
        <v>25984</v>
      </c>
      <c r="I86" s="16">
        <v>0</v>
      </c>
      <c r="J86" s="16">
        <v>0</v>
      </c>
      <c r="K86" s="16">
        <v>0</v>
      </c>
      <c r="L86" s="16">
        <v>0</v>
      </c>
      <c r="M86" s="30">
        <v>0</v>
      </c>
    </row>
    <row r="87" spans="1:13" x14ac:dyDescent="0.25">
      <c r="A87">
        <f t="shared" si="2"/>
        <v>25984</v>
      </c>
      <c r="B87" s="16">
        <v>0</v>
      </c>
      <c r="C87" s="16">
        <v>0</v>
      </c>
      <c r="D87" s="16">
        <v>0</v>
      </c>
      <c r="E87" s="16">
        <v>0</v>
      </c>
      <c r="F87" s="30">
        <v>0</v>
      </c>
      <c r="H87">
        <f t="shared" si="3"/>
        <v>25984</v>
      </c>
      <c r="I87" s="16">
        <v>0</v>
      </c>
      <c r="J87" s="16">
        <v>0</v>
      </c>
      <c r="K87" s="16">
        <v>0</v>
      </c>
      <c r="L87" s="16">
        <v>0</v>
      </c>
      <c r="M87" s="30">
        <v>0</v>
      </c>
    </row>
    <row r="88" spans="1:13" x14ac:dyDescent="0.25">
      <c r="A88">
        <f t="shared" si="2"/>
        <v>25984</v>
      </c>
      <c r="B88" s="16">
        <v>0</v>
      </c>
      <c r="C88" s="16">
        <v>0</v>
      </c>
      <c r="D88" s="16">
        <v>0</v>
      </c>
      <c r="E88" s="16">
        <v>0</v>
      </c>
      <c r="F88" s="30">
        <v>0</v>
      </c>
      <c r="H88">
        <f t="shared" si="3"/>
        <v>25984</v>
      </c>
      <c r="I88" s="16">
        <v>0</v>
      </c>
      <c r="J88" s="16">
        <v>0</v>
      </c>
      <c r="K88" s="16">
        <v>0</v>
      </c>
      <c r="L88" s="16">
        <v>0</v>
      </c>
      <c r="M88" s="30">
        <v>0</v>
      </c>
    </row>
    <row r="89" spans="1:13" x14ac:dyDescent="0.25">
      <c r="A89">
        <f t="shared" si="2"/>
        <v>25984</v>
      </c>
      <c r="B89" s="16">
        <v>0</v>
      </c>
      <c r="C89" s="16">
        <v>0</v>
      </c>
      <c r="D89" s="16">
        <v>0</v>
      </c>
      <c r="E89" s="16">
        <v>0</v>
      </c>
      <c r="F89" s="30">
        <v>0</v>
      </c>
      <c r="H89">
        <f t="shared" si="3"/>
        <v>25984</v>
      </c>
      <c r="I89" s="16">
        <v>0</v>
      </c>
      <c r="J89" s="16">
        <v>0</v>
      </c>
      <c r="K89" s="16">
        <v>0</v>
      </c>
      <c r="L89" s="16">
        <v>0</v>
      </c>
      <c r="M89" s="30">
        <v>0</v>
      </c>
    </row>
    <row r="90" spans="1:13" x14ac:dyDescent="0.25">
      <c r="A90">
        <f t="shared" si="2"/>
        <v>25984</v>
      </c>
      <c r="B90" s="16">
        <v>0</v>
      </c>
      <c r="C90" s="16">
        <v>0</v>
      </c>
      <c r="D90" s="16">
        <v>0</v>
      </c>
      <c r="E90" s="16">
        <v>0</v>
      </c>
      <c r="F90" s="30">
        <v>0</v>
      </c>
      <c r="H90">
        <f t="shared" si="3"/>
        <v>25984</v>
      </c>
      <c r="I90" s="16">
        <v>0</v>
      </c>
      <c r="J90" s="16">
        <v>0</v>
      </c>
      <c r="K90" s="16">
        <v>0</v>
      </c>
      <c r="L90" s="16">
        <v>0</v>
      </c>
      <c r="M90" s="30">
        <v>0</v>
      </c>
    </row>
    <row r="91" spans="1:13" x14ac:dyDescent="0.25">
      <c r="A91">
        <f t="shared" si="2"/>
        <v>25984</v>
      </c>
      <c r="B91" s="16">
        <v>0</v>
      </c>
      <c r="C91" s="16">
        <v>0</v>
      </c>
      <c r="D91" s="16">
        <v>0</v>
      </c>
      <c r="E91" s="16">
        <v>0</v>
      </c>
      <c r="F91" s="30">
        <v>0</v>
      </c>
      <c r="H91">
        <f t="shared" si="3"/>
        <v>25984</v>
      </c>
      <c r="I91" s="16">
        <v>0</v>
      </c>
      <c r="J91" s="16">
        <v>0</v>
      </c>
      <c r="K91" s="16">
        <v>0</v>
      </c>
      <c r="L91" s="16">
        <v>0</v>
      </c>
      <c r="M91" s="30">
        <v>0</v>
      </c>
    </row>
    <row r="92" spans="1:13" x14ac:dyDescent="0.25">
      <c r="A92">
        <f t="shared" si="2"/>
        <v>25984</v>
      </c>
      <c r="B92" s="16">
        <v>0</v>
      </c>
      <c r="C92" s="16">
        <v>0</v>
      </c>
      <c r="D92" s="16">
        <v>0</v>
      </c>
      <c r="E92" s="16">
        <v>0</v>
      </c>
      <c r="F92" s="30">
        <v>0</v>
      </c>
      <c r="H92">
        <f t="shared" si="3"/>
        <v>25984</v>
      </c>
      <c r="I92" s="16">
        <v>0</v>
      </c>
      <c r="J92" s="16">
        <v>0</v>
      </c>
      <c r="K92" s="16">
        <v>0</v>
      </c>
      <c r="L92" s="16">
        <v>0</v>
      </c>
      <c r="M92" s="30">
        <v>0</v>
      </c>
    </row>
    <row r="93" spans="1:13" x14ac:dyDescent="0.25">
      <c r="A93">
        <f t="shared" si="2"/>
        <v>25984</v>
      </c>
      <c r="B93" s="16">
        <v>0</v>
      </c>
      <c r="C93" s="16">
        <v>0</v>
      </c>
      <c r="D93" s="16">
        <v>0</v>
      </c>
      <c r="E93" s="16">
        <v>0</v>
      </c>
      <c r="F93" s="30">
        <v>0</v>
      </c>
      <c r="H93">
        <f t="shared" si="3"/>
        <v>25984</v>
      </c>
      <c r="I93" s="16">
        <v>0</v>
      </c>
      <c r="J93" s="16">
        <v>0</v>
      </c>
      <c r="K93" s="16">
        <v>0</v>
      </c>
      <c r="L93" s="16">
        <v>0</v>
      </c>
      <c r="M93" s="30">
        <v>0</v>
      </c>
    </row>
    <row r="94" spans="1:13" x14ac:dyDescent="0.25">
      <c r="A94">
        <f t="shared" si="2"/>
        <v>25984</v>
      </c>
      <c r="B94" s="16">
        <v>0</v>
      </c>
      <c r="C94" s="16">
        <v>0</v>
      </c>
      <c r="D94" s="16">
        <v>0</v>
      </c>
      <c r="E94" s="16">
        <v>0</v>
      </c>
      <c r="F94" s="30">
        <v>0</v>
      </c>
      <c r="H94">
        <f t="shared" si="3"/>
        <v>25984</v>
      </c>
      <c r="I94" s="16">
        <v>0</v>
      </c>
      <c r="J94" s="16">
        <v>0</v>
      </c>
      <c r="K94" s="16">
        <v>0</v>
      </c>
      <c r="L94" s="16">
        <v>0</v>
      </c>
      <c r="M94" s="30">
        <v>0</v>
      </c>
    </row>
    <row r="95" spans="1:13" x14ac:dyDescent="0.25">
      <c r="A95">
        <f t="shared" si="2"/>
        <v>25984</v>
      </c>
      <c r="B95" s="16">
        <v>0</v>
      </c>
      <c r="C95" s="16">
        <v>0</v>
      </c>
      <c r="D95" s="16">
        <v>0</v>
      </c>
      <c r="E95" s="16">
        <v>0</v>
      </c>
      <c r="F95" s="30">
        <v>0</v>
      </c>
      <c r="H95">
        <f t="shared" si="3"/>
        <v>25984</v>
      </c>
      <c r="I95" s="16">
        <v>0</v>
      </c>
      <c r="J95" s="16">
        <v>0</v>
      </c>
      <c r="K95" s="16">
        <v>0</v>
      </c>
      <c r="L95" s="16">
        <v>0</v>
      </c>
      <c r="M95" s="30">
        <v>0</v>
      </c>
    </row>
    <row r="96" spans="1:13" x14ac:dyDescent="0.25">
      <c r="A96">
        <f t="shared" si="2"/>
        <v>25984</v>
      </c>
      <c r="B96" s="16">
        <v>0</v>
      </c>
      <c r="C96" s="16">
        <v>0</v>
      </c>
      <c r="D96" s="16">
        <v>0</v>
      </c>
      <c r="E96" s="16">
        <v>0</v>
      </c>
      <c r="F96" s="30">
        <v>0</v>
      </c>
      <c r="H96">
        <f t="shared" si="3"/>
        <v>25984</v>
      </c>
      <c r="I96" s="16">
        <v>0</v>
      </c>
      <c r="J96" s="16">
        <v>0</v>
      </c>
      <c r="K96" s="16">
        <v>0</v>
      </c>
      <c r="L96" s="16">
        <v>0</v>
      </c>
      <c r="M96" s="30">
        <v>0</v>
      </c>
    </row>
    <row r="97" spans="1:13" x14ac:dyDescent="0.25">
      <c r="A97">
        <f t="shared" si="2"/>
        <v>25984</v>
      </c>
      <c r="B97" s="16">
        <v>0</v>
      </c>
      <c r="C97" s="16">
        <v>0</v>
      </c>
      <c r="D97" s="16">
        <v>0</v>
      </c>
      <c r="E97" s="16">
        <v>0</v>
      </c>
      <c r="F97" s="30">
        <v>0</v>
      </c>
      <c r="H97">
        <f t="shared" si="3"/>
        <v>25984</v>
      </c>
      <c r="I97" s="16">
        <v>0</v>
      </c>
      <c r="J97" s="16">
        <v>0</v>
      </c>
      <c r="K97" s="16">
        <v>0</v>
      </c>
      <c r="L97" s="16">
        <v>0</v>
      </c>
      <c r="M97" s="30">
        <v>0</v>
      </c>
    </row>
    <row r="98" spans="1:13" x14ac:dyDescent="0.25">
      <c r="A98">
        <f t="shared" si="2"/>
        <v>25984</v>
      </c>
      <c r="B98" s="16">
        <v>0</v>
      </c>
      <c r="C98" s="16">
        <v>0</v>
      </c>
      <c r="D98" s="16">
        <v>0</v>
      </c>
      <c r="E98" s="16">
        <v>0</v>
      </c>
      <c r="F98" s="30">
        <v>0</v>
      </c>
      <c r="H98">
        <f t="shared" si="3"/>
        <v>25984</v>
      </c>
      <c r="I98" s="16">
        <v>0</v>
      </c>
      <c r="J98" s="16">
        <v>0</v>
      </c>
      <c r="K98" s="16">
        <v>0</v>
      </c>
      <c r="L98" s="16">
        <v>0</v>
      </c>
      <c r="M98" s="30">
        <v>0</v>
      </c>
    </row>
    <row r="99" spans="1:13" x14ac:dyDescent="0.25">
      <c r="A99">
        <f t="shared" si="2"/>
        <v>25984</v>
      </c>
      <c r="B99" s="16">
        <v>0</v>
      </c>
      <c r="C99" s="16">
        <v>0</v>
      </c>
      <c r="D99" s="16">
        <v>0</v>
      </c>
      <c r="E99" s="16">
        <v>0</v>
      </c>
      <c r="F99" s="30">
        <v>0</v>
      </c>
      <c r="H99">
        <f t="shared" si="3"/>
        <v>25984</v>
      </c>
      <c r="I99" s="16">
        <v>0</v>
      </c>
      <c r="J99" s="16">
        <v>0</v>
      </c>
      <c r="K99" s="16">
        <v>0</v>
      </c>
      <c r="L99" s="16">
        <v>0</v>
      </c>
      <c r="M99" s="30">
        <v>0</v>
      </c>
    </row>
    <row r="100" spans="1:13" x14ac:dyDescent="0.25">
      <c r="A100">
        <f t="shared" si="2"/>
        <v>25984</v>
      </c>
      <c r="B100" s="16">
        <v>0</v>
      </c>
      <c r="C100" s="16">
        <v>0</v>
      </c>
      <c r="D100" s="16">
        <v>0</v>
      </c>
      <c r="E100" s="16">
        <v>0</v>
      </c>
      <c r="F100" s="30">
        <v>0</v>
      </c>
      <c r="H100">
        <f t="shared" si="3"/>
        <v>25984</v>
      </c>
      <c r="I100" s="16">
        <v>0</v>
      </c>
      <c r="J100" s="16">
        <v>0</v>
      </c>
      <c r="K100" s="16">
        <v>0</v>
      </c>
      <c r="L100" s="16">
        <v>0</v>
      </c>
      <c r="M100" s="30">
        <v>0</v>
      </c>
    </row>
    <row r="101" spans="1:13" x14ac:dyDescent="0.25">
      <c r="A101">
        <f t="shared" si="2"/>
        <v>25984</v>
      </c>
      <c r="B101" s="16">
        <v>0</v>
      </c>
      <c r="C101" s="16">
        <v>0</v>
      </c>
      <c r="D101" s="16">
        <v>0</v>
      </c>
      <c r="E101" s="16">
        <v>0</v>
      </c>
      <c r="F101" s="30">
        <v>0</v>
      </c>
      <c r="H101">
        <f t="shared" si="3"/>
        <v>25984</v>
      </c>
      <c r="I101" s="16">
        <v>0</v>
      </c>
      <c r="J101" s="16">
        <v>0</v>
      </c>
      <c r="K101" s="16">
        <v>0</v>
      </c>
      <c r="L101" s="16">
        <v>0</v>
      </c>
      <c r="M101" s="30">
        <v>0</v>
      </c>
    </row>
    <row r="102" spans="1:13" x14ac:dyDescent="0.25">
      <c r="A102">
        <f t="shared" si="2"/>
        <v>25984</v>
      </c>
      <c r="B102" s="16">
        <v>0</v>
      </c>
      <c r="C102" s="16">
        <v>0</v>
      </c>
      <c r="D102" s="16">
        <v>0</v>
      </c>
      <c r="E102" s="16">
        <v>0</v>
      </c>
      <c r="F102" s="30">
        <v>0</v>
      </c>
      <c r="H102">
        <f t="shared" si="3"/>
        <v>25984</v>
      </c>
      <c r="I102" s="16">
        <v>0</v>
      </c>
      <c r="J102" s="16">
        <v>0</v>
      </c>
      <c r="K102" s="16">
        <v>0</v>
      </c>
      <c r="L102" s="16">
        <v>0</v>
      </c>
      <c r="M102" s="30">
        <v>0</v>
      </c>
    </row>
    <row r="103" spans="1:13" x14ac:dyDescent="0.25">
      <c r="A103">
        <f t="shared" si="2"/>
        <v>25984</v>
      </c>
      <c r="B103" s="16">
        <v>0</v>
      </c>
      <c r="C103" s="16">
        <v>0</v>
      </c>
      <c r="D103" s="16">
        <v>0</v>
      </c>
      <c r="E103" s="16">
        <v>0</v>
      </c>
      <c r="F103" s="30">
        <v>0</v>
      </c>
      <c r="H103">
        <f t="shared" si="3"/>
        <v>25984</v>
      </c>
      <c r="I103" s="16">
        <v>0</v>
      </c>
      <c r="J103" s="16">
        <v>0</v>
      </c>
      <c r="K103" s="16">
        <v>0</v>
      </c>
      <c r="L103" s="16">
        <v>0</v>
      </c>
      <c r="M103" s="30">
        <v>0</v>
      </c>
    </row>
    <row r="104" spans="1:13" x14ac:dyDescent="0.25">
      <c r="A104">
        <f t="shared" si="2"/>
        <v>25984</v>
      </c>
      <c r="B104" s="16">
        <v>0</v>
      </c>
      <c r="C104" s="16">
        <v>0</v>
      </c>
      <c r="D104" s="16">
        <v>0</v>
      </c>
      <c r="E104" s="16">
        <v>0</v>
      </c>
      <c r="F104" s="30">
        <v>0</v>
      </c>
      <c r="H104">
        <f t="shared" si="3"/>
        <v>25984</v>
      </c>
      <c r="I104" s="16">
        <v>0</v>
      </c>
      <c r="J104" s="16">
        <v>0</v>
      </c>
      <c r="K104" s="16">
        <v>0</v>
      </c>
      <c r="L104" s="16">
        <v>0</v>
      </c>
      <c r="M104" s="30">
        <v>0</v>
      </c>
    </row>
    <row r="105" spans="1:13" x14ac:dyDescent="0.25">
      <c r="A105">
        <f t="shared" si="2"/>
        <v>25984</v>
      </c>
      <c r="B105" s="16">
        <v>0</v>
      </c>
      <c r="C105" s="16">
        <v>0</v>
      </c>
      <c r="D105" s="16">
        <v>0</v>
      </c>
      <c r="E105" s="16">
        <v>0</v>
      </c>
      <c r="F105" s="30">
        <v>0</v>
      </c>
      <c r="H105">
        <f t="shared" si="3"/>
        <v>25984</v>
      </c>
      <c r="I105" s="16">
        <v>0</v>
      </c>
      <c r="J105" s="16">
        <v>0</v>
      </c>
      <c r="K105" s="16">
        <v>0</v>
      </c>
      <c r="L105" s="16">
        <v>0</v>
      </c>
      <c r="M105" s="30">
        <v>0</v>
      </c>
    </row>
    <row r="106" spans="1:13" x14ac:dyDescent="0.25">
      <c r="A106">
        <f t="shared" si="2"/>
        <v>25984</v>
      </c>
      <c r="B106" s="16">
        <v>0</v>
      </c>
      <c r="C106" s="16">
        <v>0</v>
      </c>
      <c r="D106" s="16">
        <v>0</v>
      </c>
      <c r="E106" s="16">
        <v>0</v>
      </c>
      <c r="F106" s="30">
        <v>0</v>
      </c>
      <c r="H106">
        <f t="shared" si="3"/>
        <v>25984</v>
      </c>
      <c r="I106" s="16">
        <v>0</v>
      </c>
      <c r="J106" s="16">
        <v>0</v>
      </c>
      <c r="K106" s="16">
        <v>0</v>
      </c>
      <c r="L106" s="16">
        <v>0</v>
      </c>
      <c r="M106" s="30">
        <v>0</v>
      </c>
    </row>
    <row r="107" spans="1:13" x14ac:dyDescent="0.25">
      <c r="A107">
        <f t="shared" si="2"/>
        <v>25984</v>
      </c>
      <c r="B107" s="16">
        <v>0</v>
      </c>
      <c r="C107" s="16">
        <v>0</v>
      </c>
      <c r="D107" s="16">
        <v>0</v>
      </c>
      <c r="E107" s="16">
        <v>0</v>
      </c>
      <c r="F107" s="30">
        <v>0</v>
      </c>
      <c r="H107">
        <f t="shared" si="3"/>
        <v>25984</v>
      </c>
      <c r="I107" s="16">
        <v>0</v>
      </c>
      <c r="J107" s="16">
        <v>0</v>
      </c>
      <c r="K107" s="16">
        <v>0</v>
      </c>
      <c r="L107" s="16">
        <v>0</v>
      </c>
      <c r="M107" s="30">
        <v>0</v>
      </c>
    </row>
    <row r="108" spans="1:13" x14ac:dyDescent="0.25">
      <c r="A108">
        <f t="shared" si="2"/>
        <v>25984</v>
      </c>
      <c r="B108" s="16">
        <v>0</v>
      </c>
      <c r="C108" s="16">
        <v>0</v>
      </c>
      <c r="D108" s="16">
        <v>0</v>
      </c>
      <c r="E108" s="16">
        <v>0</v>
      </c>
      <c r="F108" s="30">
        <v>0</v>
      </c>
      <c r="H108">
        <f t="shared" si="3"/>
        <v>25984</v>
      </c>
      <c r="I108" s="16">
        <v>0</v>
      </c>
      <c r="J108" s="16">
        <v>0</v>
      </c>
      <c r="K108" s="16">
        <v>0</v>
      </c>
      <c r="L108" s="16">
        <v>0</v>
      </c>
      <c r="M108" s="30">
        <v>0</v>
      </c>
    </row>
    <row r="109" spans="1:13" x14ac:dyDescent="0.25">
      <c r="A109">
        <f t="shared" si="2"/>
        <v>25984</v>
      </c>
      <c r="B109" s="16">
        <v>0</v>
      </c>
      <c r="C109" s="16">
        <v>0</v>
      </c>
      <c r="D109" s="16">
        <v>0</v>
      </c>
      <c r="E109" s="16">
        <v>0</v>
      </c>
      <c r="F109" s="30">
        <v>0</v>
      </c>
      <c r="H109">
        <f t="shared" si="3"/>
        <v>25984</v>
      </c>
      <c r="I109" s="16">
        <v>0</v>
      </c>
      <c r="J109" s="16">
        <v>0</v>
      </c>
      <c r="K109" s="16">
        <v>0</v>
      </c>
      <c r="L109" s="16">
        <v>0</v>
      </c>
      <c r="M109" s="30">
        <v>0</v>
      </c>
    </row>
    <row r="110" spans="1:13" x14ac:dyDescent="0.25">
      <c r="A110">
        <f t="shared" si="2"/>
        <v>25984</v>
      </c>
      <c r="B110" s="16">
        <v>0</v>
      </c>
      <c r="C110" s="16">
        <v>0</v>
      </c>
      <c r="D110" s="16">
        <v>0</v>
      </c>
      <c r="E110" s="16">
        <v>0</v>
      </c>
      <c r="F110" s="30">
        <v>0</v>
      </c>
      <c r="H110">
        <f t="shared" si="3"/>
        <v>25984</v>
      </c>
      <c r="I110" s="16">
        <v>0</v>
      </c>
      <c r="J110" s="16">
        <v>0</v>
      </c>
      <c r="K110" s="16">
        <v>0</v>
      </c>
      <c r="L110" s="16">
        <v>0</v>
      </c>
      <c r="M110" s="30">
        <v>0</v>
      </c>
    </row>
    <row r="111" spans="1:13" x14ac:dyDescent="0.25">
      <c r="A111">
        <f t="shared" si="2"/>
        <v>25984</v>
      </c>
      <c r="B111" s="16">
        <v>0</v>
      </c>
      <c r="C111" s="16">
        <v>0</v>
      </c>
      <c r="D111" s="16">
        <v>0</v>
      </c>
      <c r="E111" s="16">
        <v>0</v>
      </c>
      <c r="F111" s="30">
        <v>0</v>
      </c>
      <c r="H111">
        <f t="shared" si="3"/>
        <v>25984</v>
      </c>
      <c r="I111" s="16">
        <v>0</v>
      </c>
      <c r="J111" s="16">
        <v>0</v>
      </c>
      <c r="K111" s="16">
        <v>0</v>
      </c>
      <c r="L111" s="16">
        <v>0</v>
      </c>
      <c r="M111" s="30">
        <v>0</v>
      </c>
    </row>
    <row r="112" spans="1:13" x14ac:dyDescent="0.25">
      <c r="A112">
        <f t="shared" si="2"/>
        <v>25984</v>
      </c>
      <c r="B112" s="16">
        <v>0</v>
      </c>
      <c r="C112" s="16">
        <v>0</v>
      </c>
      <c r="D112" s="16">
        <v>0</v>
      </c>
      <c r="E112" s="16">
        <v>0</v>
      </c>
      <c r="F112" s="30">
        <v>0</v>
      </c>
      <c r="H112">
        <f t="shared" si="3"/>
        <v>25984</v>
      </c>
      <c r="I112" s="16">
        <v>0</v>
      </c>
      <c r="J112" s="16">
        <v>0</v>
      </c>
      <c r="K112" s="16">
        <v>0</v>
      </c>
      <c r="L112" s="16">
        <v>0</v>
      </c>
      <c r="M112" s="30">
        <v>0</v>
      </c>
    </row>
    <row r="113" spans="1:13" x14ac:dyDescent="0.25">
      <c r="A113">
        <f t="shared" si="2"/>
        <v>25984</v>
      </c>
      <c r="B113" s="16">
        <v>0</v>
      </c>
      <c r="C113" s="16">
        <v>0</v>
      </c>
      <c r="D113" s="16">
        <v>0</v>
      </c>
      <c r="E113" s="16">
        <v>0</v>
      </c>
      <c r="F113" s="30">
        <v>0</v>
      </c>
      <c r="H113">
        <f t="shared" si="3"/>
        <v>25984</v>
      </c>
      <c r="I113" s="16">
        <v>0</v>
      </c>
      <c r="J113" s="16">
        <v>0</v>
      </c>
      <c r="K113" s="16">
        <v>0</v>
      </c>
      <c r="L113" s="16">
        <v>0</v>
      </c>
      <c r="M113" s="30">
        <v>0</v>
      </c>
    </row>
    <row r="114" spans="1:13" x14ac:dyDescent="0.25">
      <c r="A114">
        <f t="shared" si="2"/>
        <v>25984</v>
      </c>
      <c r="B114" s="16">
        <v>0</v>
      </c>
      <c r="C114" s="16">
        <v>0</v>
      </c>
      <c r="D114" s="16">
        <v>0</v>
      </c>
      <c r="E114" s="16">
        <v>0</v>
      </c>
      <c r="F114" s="30">
        <v>0</v>
      </c>
      <c r="H114">
        <f t="shared" si="3"/>
        <v>25984</v>
      </c>
      <c r="I114" s="16">
        <v>0</v>
      </c>
      <c r="J114" s="16">
        <v>0</v>
      </c>
      <c r="K114" s="16">
        <v>0</v>
      </c>
      <c r="L114" s="16">
        <v>0</v>
      </c>
      <c r="M114" s="30">
        <v>0</v>
      </c>
    </row>
    <row r="115" spans="1:13" x14ac:dyDescent="0.25">
      <c r="A115">
        <f t="shared" si="2"/>
        <v>25984</v>
      </c>
      <c r="B115" s="16">
        <v>0</v>
      </c>
      <c r="C115" s="16">
        <v>0</v>
      </c>
      <c r="D115" s="16">
        <v>0</v>
      </c>
      <c r="E115" s="16">
        <v>0</v>
      </c>
      <c r="F115" s="30">
        <v>0</v>
      </c>
      <c r="H115">
        <f t="shared" si="3"/>
        <v>25984</v>
      </c>
      <c r="I115" s="16">
        <v>0</v>
      </c>
      <c r="J115" s="16">
        <v>0</v>
      </c>
      <c r="K115" s="16">
        <v>0</v>
      </c>
      <c r="L115" s="16">
        <v>0</v>
      </c>
      <c r="M115" s="30">
        <v>0</v>
      </c>
    </row>
    <row r="116" spans="1:13" x14ac:dyDescent="0.25">
      <c r="A116">
        <f t="shared" si="2"/>
        <v>25984</v>
      </c>
      <c r="B116" s="16">
        <v>0</v>
      </c>
      <c r="C116" s="16">
        <v>0</v>
      </c>
      <c r="D116" s="16">
        <v>0</v>
      </c>
      <c r="E116" s="16">
        <v>0</v>
      </c>
      <c r="F116" s="30">
        <v>0</v>
      </c>
      <c r="H116">
        <f t="shared" si="3"/>
        <v>25984</v>
      </c>
      <c r="I116" s="16">
        <v>0</v>
      </c>
      <c r="J116" s="16">
        <v>0</v>
      </c>
      <c r="K116" s="16">
        <v>0</v>
      </c>
      <c r="L116" s="16">
        <v>0</v>
      </c>
      <c r="M116" s="30">
        <v>0</v>
      </c>
    </row>
    <row r="117" spans="1:13" x14ac:dyDescent="0.25">
      <c r="A117">
        <f t="shared" si="2"/>
        <v>25984</v>
      </c>
      <c r="B117" s="16">
        <v>0</v>
      </c>
      <c r="C117" s="16">
        <v>0</v>
      </c>
      <c r="D117" s="16">
        <v>0</v>
      </c>
      <c r="E117" s="16">
        <v>0</v>
      </c>
      <c r="F117" s="30">
        <v>0</v>
      </c>
      <c r="H117">
        <f t="shared" si="3"/>
        <v>25984</v>
      </c>
      <c r="I117" s="16">
        <v>0</v>
      </c>
      <c r="J117" s="16">
        <v>0</v>
      </c>
      <c r="K117" s="16">
        <v>0</v>
      </c>
      <c r="L117" s="16">
        <v>0</v>
      </c>
      <c r="M117" s="30">
        <v>0</v>
      </c>
    </row>
    <row r="118" spans="1:13" x14ac:dyDescent="0.25">
      <c r="A118">
        <f t="shared" si="2"/>
        <v>25984</v>
      </c>
      <c r="B118" s="16">
        <v>0</v>
      </c>
      <c r="C118" s="16">
        <v>0</v>
      </c>
      <c r="D118" s="16">
        <v>0</v>
      </c>
      <c r="E118" s="16">
        <v>0</v>
      </c>
      <c r="F118" s="30">
        <v>0</v>
      </c>
      <c r="H118">
        <f t="shared" si="3"/>
        <v>25984</v>
      </c>
      <c r="I118" s="16">
        <v>0</v>
      </c>
      <c r="J118" s="16">
        <v>0</v>
      </c>
      <c r="K118" s="16">
        <v>0</v>
      </c>
      <c r="L118" s="16">
        <v>0</v>
      </c>
      <c r="M118" s="30">
        <v>0</v>
      </c>
    </row>
    <row r="119" spans="1:13" x14ac:dyDescent="0.25">
      <c r="A119">
        <f t="shared" si="2"/>
        <v>25984</v>
      </c>
      <c r="B119" s="16">
        <v>0</v>
      </c>
      <c r="C119" s="16">
        <v>0</v>
      </c>
      <c r="D119" s="16">
        <v>0</v>
      </c>
      <c r="E119" s="16">
        <v>0</v>
      </c>
      <c r="F119" s="30">
        <v>0</v>
      </c>
      <c r="H119">
        <f t="shared" si="3"/>
        <v>25984</v>
      </c>
      <c r="I119" s="16">
        <v>0</v>
      </c>
      <c r="J119" s="16">
        <v>0</v>
      </c>
      <c r="K119" s="16">
        <v>0</v>
      </c>
      <c r="L119" s="16">
        <v>0</v>
      </c>
      <c r="M119" s="30">
        <v>0</v>
      </c>
    </row>
    <row r="120" spans="1:13" x14ac:dyDescent="0.25">
      <c r="A120">
        <f t="shared" si="2"/>
        <v>25984</v>
      </c>
      <c r="B120" s="16">
        <v>0</v>
      </c>
      <c r="C120" s="16">
        <v>0</v>
      </c>
      <c r="D120" s="16">
        <v>0</v>
      </c>
      <c r="E120" s="16">
        <v>0</v>
      </c>
      <c r="F120" s="30">
        <v>0</v>
      </c>
      <c r="H120">
        <f t="shared" si="3"/>
        <v>25984</v>
      </c>
      <c r="I120" s="16">
        <v>0</v>
      </c>
      <c r="J120" s="16">
        <v>0</v>
      </c>
      <c r="K120" s="16">
        <v>0</v>
      </c>
      <c r="L120" s="16">
        <v>0</v>
      </c>
      <c r="M120" s="30">
        <v>0</v>
      </c>
    </row>
    <row r="121" spans="1:13" x14ac:dyDescent="0.25">
      <c r="A121">
        <f t="shared" si="2"/>
        <v>25984</v>
      </c>
      <c r="B121" s="16">
        <v>0</v>
      </c>
      <c r="C121" s="16">
        <v>0</v>
      </c>
      <c r="D121" s="16">
        <v>0</v>
      </c>
      <c r="E121" s="16">
        <v>0</v>
      </c>
      <c r="F121" s="30">
        <v>0</v>
      </c>
      <c r="H121">
        <f t="shared" si="3"/>
        <v>25984</v>
      </c>
      <c r="I121" s="16">
        <v>0</v>
      </c>
      <c r="J121" s="16">
        <v>0</v>
      </c>
      <c r="K121" s="16">
        <v>0</v>
      </c>
      <c r="L121" s="16">
        <v>0</v>
      </c>
      <c r="M121" s="30">
        <v>0</v>
      </c>
    </row>
    <row r="122" spans="1:13" x14ac:dyDescent="0.25">
      <c r="A122">
        <f t="shared" si="2"/>
        <v>25984</v>
      </c>
      <c r="B122" s="16">
        <v>0</v>
      </c>
      <c r="C122" s="16">
        <v>0</v>
      </c>
      <c r="D122" s="16">
        <v>0</v>
      </c>
      <c r="E122" s="16">
        <v>0</v>
      </c>
      <c r="F122" s="30">
        <v>0</v>
      </c>
      <c r="H122">
        <f t="shared" si="3"/>
        <v>25984</v>
      </c>
      <c r="I122" s="16">
        <v>0</v>
      </c>
      <c r="J122" s="16">
        <v>0</v>
      </c>
      <c r="K122" s="16">
        <v>0</v>
      </c>
      <c r="L122" s="16">
        <v>0</v>
      </c>
      <c r="M122" s="30">
        <v>0</v>
      </c>
    </row>
    <row r="123" spans="1:13" x14ac:dyDescent="0.25">
      <c r="A123">
        <f t="shared" si="2"/>
        <v>25984</v>
      </c>
      <c r="B123" s="16">
        <v>0</v>
      </c>
      <c r="C123" s="16">
        <v>0</v>
      </c>
      <c r="D123" s="16">
        <v>0</v>
      </c>
      <c r="E123" s="16">
        <v>0</v>
      </c>
      <c r="F123" s="30">
        <v>0</v>
      </c>
      <c r="H123">
        <f t="shared" si="3"/>
        <v>25984</v>
      </c>
      <c r="I123" s="16">
        <v>0</v>
      </c>
      <c r="J123" s="16">
        <v>0</v>
      </c>
      <c r="K123" s="16">
        <v>0</v>
      </c>
      <c r="L123" s="16">
        <v>0</v>
      </c>
      <c r="M123" s="30">
        <v>0</v>
      </c>
    </row>
    <row r="124" spans="1:13" x14ac:dyDescent="0.25">
      <c r="A124">
        <f t="shared" si="2"/>
        <v>25984</v>
      </c>
      <c r="B124" s="16">
        <v>0</v>
      </c>
      <c r="C124" s="16">
        <v>0</v>
      </c>
      <c r="D124" s="16">
        <v>0</v>
      </c>
      <c r="E124" s="16">
        <v>0</v>
      </c>
      <c r="F124" s="30">
        <v>0</v>
      </c>
      <c r="H124">
        <f t="shared" si="3"/>
        <v>25984</v>
      </c>
      <c r="I124" s="16">
        <v>0</v>
      </c>
      <c r="J124" s="16">
        <v>0</v>
      </c>
      <c r="K124" s="16">
        <v>0</v>
      </c>
      <c r="L124" s="16">
        <v>0</v>
      </c>
      <c r="M124" s="30">
        <v>0</v>
      </c>
    </row>
    <row r="125" spans="1:13" x14ac:dyDescent="0.25">
      <c r="A125">
        <f t="shared" si="2"/>
        <v>25984</v>
      </c>
      <c r="B125" s="16">
        <v>0</v>
      </c>
      <c r="C125" s="16">
        <v>0</v>
      </c>
      <c r="D125" s="16">
        <v>0</v>
      </c>
      <c r="E125" s="16">
        <v>0</v>
      </c>
      <c r="F125" s="30">
        <v>0</v>
      </c>
      <c r="H125">
        <f t="shared" si="3"/>
        <v>25984</v>
      </c>
      <c r="I125" s="16">
        <v>0</v>
      </c>
      <c r="J125" s="16">
        <v>0</v>
      </c>
      <c r="K125" s="16">
        <v>0</v>
      </c>
      <c r="L125" s="16">
        <v>0</v>
      </c>
      <c r="M125" s="30">
        <v>0</v>
      </c>
    </row>
    <row r="126" spans="1:13" x14ac:dyDescent="0.25">
      <c r="A126">
        <f t="shared" si="2"/>
        <v>25984</v>
      </c>
      <c r="B126" s="16">
        <v>0</v>
      </c>
      <c r="C126" s="16">
        <v>0</v>
      </c>
      <c r="D126" s="16">
        <v>0</v>
      </c>
      <c r="E126" s="16">
        <v>0</v>
      </c>
      <c r="F126" s="30">
        <v>0</v>
      </c>
      <c r="H126">
        <f t="shared" si="3"/>
        <v>25984</v>
      </c>
      <c r="I126" s="16">
        <v>0</v>
      </c>
      <c r="J126" s="16">
        <v>0</v>
      </c>
      <c r="K126" s="16">
        <v>0</v>
      </c>
      <c r="L126" s="16">
        <v>0</v>
      </c>
      <c r="M126" s="30">
        <v>0</v>
      </c>
    </row>
    <row r="127" spans="1:13" x14ac:dyDescent="0.25">
      <c r="A127">
        <f t="shared" si="2"/>
        <v>25984</v>
      </c>
      <c r="B127" s="16">
        <v>0</v>
      </c>
      <c r="C127" s="16">
        <v>0</v>
      </c>
      <c r="D127" s="16">
        <v>0</v>
      </c>
      <c r="E127" s="16">
        <v>0</v>
      </c>
      <c r="F127" s="30">
        <v>0</v>
      </c>
      <c r="H127">
        <f t="shared" si="3"/>
        <v>25984</v>
      </c>
      <c r="I127" s="16">
        <v>0</v>
      </c>
      <c r="J127" s="16">
        <v>0</v>
      </c>
      <c r="K127" s="16">
        <v>0</v>
      </c>
      <c r="L127" s="16">
        <v>0</v>
      </c>
      <c r="M127" s="30">
        <v>0</v>
      </c>
    </row>
    <row r="128" spans="1:13" x14ac:dyDescent="0.25">
      <c r="A128">
        <f t="shared" si="2"/>
        <v>25984</v>
      </c>
      <c r="B128" s="16">
        <v>0</v>
      </c>
      <c r="C128" s="16">
        <v>0</v>
      </c>
      <c r="D128" s="16">
        <v>0</v>
      </c>
      <c r="E128" s="16">
        <v>0</v>
      </c>
      <c r="F128" s="30">
        <v>0</v>
      </c>
      <c r="H128">
        <f t="shared" si="3"/>
        <v>25984</v>
      </c>
      <c r="I128" s="16">
        <v>0</v>
      </c>
      <c r="J128" s="16">
        <v>0</v>
      </c>
      <c r="K128" s="16">
        <v>0</v>
      </c>
      <c r="L128" s="16">
        <v>0</v>
      </c>
      <c r="M128" s="30">
        <v>0</v>
      </c>
    </row>
    <row r="129" spans="1:13" x14ac:dyDescent="0.25">
      <c r="A129">
        <f t="shared" si="2"/>
        <v>25984</v>
      </c>
      <c r="B129" s="16">
        <v>0</v>
      </c>
      <c r="C129" s="16">
        <v>0</v>
      </c>
      <c r="D129" s="16">
        <v>0</v>
      </c>
      <c r="E129" s="16">
        <v>0</v>
      </c>
      <c r="F129" s="30">
        <v>0</v>
      </c>
      <c r="H129">
        <f t="shared" si="3"/>
        <v>25984</v>
      </c>
      <c r="I129" s="16">
        <v>0</v>
      </c>
      <c r="J129" s="16">
        <v>0</v>
      </c>
      <c r="K129" s="16">
        <v>0</v>
      </c>
      <c r="L129" s="16">
        <v>0</v>
      </c>
      <c r="M129" s="30">
        <v>0</v>
      </c>
    </row>
    <row r="130" spans="1:13" x14ac:dyDescent="0.25">
      <c r="A130">
        <f t="shared" si="2"/>
        <v>25984</v>
      </c>
      <c r="B130" s="16">
        <v>0</v>
      </c>
      <c r="C130" s="16">
        <v>0</v>
      </c>
      <c r="D130" s="16">
        <v>0</v>
      </c>
      <c r="E130" s="16">
        <v>0</v>
      </c>
      <c r="F130" s="30">
        <v>0</v>
      </c>
      <c r="H130">
        <f t="shared" si="3"/>
        <v>25984</v>
      </c>
      <c r="I130" s="16">
        <v>0</v>
      </c>
      <c r="J130" s="16">
        <v>0</v>
      </c>
      <c r="K130" s="16">
        <v>0</v>
      </c>
      <c r="L130" s="16">
        <v>0</v>
      </c>
      <c r="M130" s="30">
        <v>0</v>
      </c>
    </row>
    <row r="131" spans="1:13" x14ac:dyDescent="0.25">
      <c r="A131">
        <f t="shared" si="2"/>
        <v>25984</v>
      </c>
      <c r="B131" s="16">
        <v>0</v>
      </c>
      <c r="C131" s="16">
        <v>0</v>
      </c>
      <c r="D131" s="16">
        <v>0</v>
      </c>
      <c r="E131" s="16">
        <v>0</v>
      </c>
      <c r="F131" s="30">
        <v>0</v>
      </c>
      <c r="H131">
        <f t="shared" si="3"/>
        <v>25984</v>
      </c>
      <c r="I131" s="16">
        <v>0</v>
      </c>
      <c r="J131" s="16">
        <v>0</v>
      </c>
      <c r="K131" s="16">
        <v>0</v>
      </c>
      <c r="L131" s="16">
        <v>0</v>
      </c>
      <c r="M131" s="30">
        <v>0</v>
      </c>
    </row>
    <row r="132" spans="1:13" x14ac:dyDescent="0.25">
      <c r="A132">
        <f t="shared" si="2"/>
        <v>25984</v>
      </c>
      <c r="B132" s="16">
        <v>0</v>
      </c>
      <c r="C132" s="16">
        <v>0</v>
      </c>
      <c r="D132" s="16">
        <v>0</v>
      </c>
      <c r="E132" s="16">
        <v>0</v>
      </c>
      <c r="F132" s="30">
        <v>0</v>
      </c>
      <c r="H132">
        <f t="shared" si="3"/>
        <v>25984</v>
      </c>
      <c r="I132" s="16">
        <v>0</v>
      </c>
      <c r="J132" s="16">
        <v>0</v>
      </c>
      <c r="K132" s="16">
        <v>0</v>
      </c>
      <c r="L132" s="16">
        <v>0</v>
      </c>
      <c r="M132" s="30">
        <v>0</v>
      </c>
    </row>
    <row r="133" spans="1:13" x14ac:dyDescent="0.25">
      <c r="A133">
        <f t="shared" ref="A133:A182" si="4">IF(ABS(B133-25984)&lt;ABS(B133-27520),IF(ABS(B133-25984)&lt;ABS(B133-29056),25984,29056),IF(ABS(B133-27520)&lt;ABS(B133-29056),27520,29056))</f>
        <v>25984</v>
      </c>
      <c r="B133" s="16">
        <v>0</v>
      </c>
      <c r="C133" s="16">
        <v>0</v>
      </c>
      <c r="D133" s="16">
        <v>0</v>
      </c>
      <c r="E133" s="16">
        <v>0</v>
      </c>
      <c r="F133" s="30">
        <v>0</v>
      </c>
      <c r="H133">
        <f t="shared" ref="H133:H182" si="5">IF(ABS(I133-25984)&lt;ABS(I133-27520),IF(ABS(I133-25984)&lt;ABS(I133-29056),25984,29056),IF(ABS(I133-27520)&lt;ABS(I133-29056),27520,29056))</f>
        <v>25984</v>
      </c>
      <c r="I133" s="16">
        <v>0</v>
      </c>
      <c r="J133" s="16">
        <v>0</v>
      </c>
      <c r="K133" s="16">
        <v>0</v>
      </c>
      <c r="L133" s="16">
        <v>0</v>
      </c>
      <c r="M133" s="30">
        <v>0</v>
      </c>
    </row>
    <row r="134" spans="1:13" x14ac:dyDescent="0.25">
      <c r="A134">
        <f t="shared" si="4"/>
        <v>25984</v>
      </c>
      <c r="B134" s="16">
        <v>0</v>
      </c>
      <c r="C134" s="16">
        <v>0</v>
      </c>
      <c r="D134" s="16">
        <v>0</v>
      </c>
      <c r="E134" s="16">
        <v>0</v>
      </c>
      <c r="F134" s="30">
        <v>0</v>
      </c>
      <c r="H134">
        <f t="shared" si="5"/>
        <v>25984</v>
      </c>
      <c r="I134" s="16">
        <v>0</v>
      </c>
      <c r="J134" s="16">
        <v>0</v>
      </c>
      <c r="K134" s="16">
        <v>0</v>
      </c>
      <c r="L134" s="16">
        <v>0</v>
      </c>
      <c r="M134" s="30">
        <v>0</v>
      </c>
    </row>
    <row r="135" spans="1:13" x14ac:dyDescent="0.25">
      <c r="A135">
        <f t="shared" si="4"/>
        <v>25984</v>
      </c>
      <c r="B135" s="16">
        <v>0</v>
      </c>
      <c r="C135" s="16">
        <v>0</v>
      </c>
      <c r="D135" s="16">
        <v>0</v>
      </c>
      <c r="E135" s="16">
        <v>0</v>
      </c>
      <c r="F135" s="30">
        <v>0</v>
      </c>
      <c r="H135">
        <f t="shared" si="5"/>
        <v>25984</v>
      </c>
      <c r="I135" s="16">
        <v>0</v>
      </c>
      <c r="J135" s="16">
        <v>0</v>
      </c>
      <c r="K135" s="16">
        <v>0</v>
      </c>
      <c r="L135" s="16">
        <v>0</v>
      </c>
      <c r="M135" s="30">
        <v>0</v>
      </c>
    </row>
    <row r="136" spans="1:13" x14ac:dyDescent="0.25">
      <c r="A136">
        <f t="shared" si="4"/>
        <v>25984</v>
      </c>
      <c r="B136" s="16">
        <v>0</v>
      </c>
      <c r="C136" s="16">
        <v>0</v>
      </c>
      <c r="D136" s="16">
        <v>0</v>
      </c>
      <c r="E136" s="16">
        <v>0</v>
      </c>
      <c r="F136" s="30">
        <v>0</v>
      </c>
      <c r="H136">
        <f t="shared" si="5"/>
        <v>25984</v>
      </c>
      <c r="I136" s="16">
        <v>0</v>
      </c>
      <c r="J136" s="16">
        <v>0</v>
      </c>
      <c r="K136" s="16">
        <v>0</v>
      </c>
      <c r="L136" s="16">
        <v>0</v>
      </c>
      <c r="M136" s="30">
        <v>0</v>
      </c>
    </row>
    <row r="137" spans="1:13" x14ac:dyDescent="0.25">
      <c r="A137">
        <f t="shared" si="4"/>
        <v>25984</v>
      </c>
      <c r="B137" s="16">
        <v>0</v>
      </c>
      <c r="C137" s="16">
        <v>0</v>
      </c>
      <c r="D137" s="16">
        <v>0</v>
      </c>
      <c r="E137" s="16">
        <v>0</v>
      </c>
      <c r="F137" s="30">
        <v>0</v>
      </c>
      <c r="H137">
        <f t="shared" si="5"/>
        <v>25984</v>
      </c>
      <c r="I137" s="16">
        <v>0</v>
      </c>
      <c r="J137" s="16">
        <v>0</v>
      </c>
      <c r="K137" s="16">
        <v>0</v>
      </c>
      <c r="L137" s="16">
        <v>0</v>
      </c>
      <c r="M137" s="30">
        <v>0</v>
      </c>
    </row>
    <row r="138" spans="1:13" x14ac:dyDescent="0.25">
      <c r="A138">
        <f t="shared" si="4"/>
        <v>25984</v>
      </c>
      <c r="B138" s="16">
        <v>0</v>
      </c>
      <c r="C138" s="16">
        <v>0</v>
      </c>
      <c r="D138" s="16">
        <v>0</v>
      </c>
      <c r="E138" s="16">
        <v>0</v>
      </c>
      <c r="F138" s="30">
        <v>0</v>
      </c>
      <c r="H138">
        <f t="shared" si="5"/>
        <v>25984</v>
      </c>
      <c r="I138" s="16">
        <v>0</v>
      </c>
      <c r="J138" s="16">
        <v>0</v>
      </c>
      <c r="K138" s="16">
        <v>0</v>
      </c>
      <c r="L138" s="16">
        <v>0</v>
      </c>
      <c r="M138" s="30">
        <v>0</v>
      </c>
    </row>
    <row r="139" spans="1:13" x14ac:dyDescent="0.25">
      <c r="A139">
        <f t="shared" si="4"/>
        <v>25984</v>
      </c>
      <c r="B139" s="16">
        <v>0</v>
      </c>
      <c r="C139" s="16">
        <v>0</v>
      </c>
      <c r="D139" s="16">
        <v>0</v>
      </c>
      <c r="E139" s="16">
        <v>0</v>
      </c>
      <c r="F139" s="30">
        <v>0</v>
      </c>
      <c r="H139">
        <f t="shared" si="5"/>
        <v>25984</v>
      </c>
      <c r="I139" s="16">
        <v>0</v>
      </c>
      <c r="J139" s="16">
        <v>0</v>
      </c>
      <c r="K139" s="16">
        <v>0</v>
      </c>
      <c r="L139" s="16">
        <v>0</v>
      </c>
      <c r="M139" s="30">
        <v>0</v>
      </c>
    </row>
    <row r="140" spans="1:13" x14ac:dyDescent="0.25">
      <c r="A140">
        <f t="shared" si="4"/>
        <v>25984</v>
      </c>
      <c r="B140" s="16">
        <v>0</v>
      </c>
      <c r="C140" s="16">
        <v>0</v>
      </c>
      <c r="D140" s="16">
        <v>0</v>
      </c>
      <c r="E140" s="16">
        <v>0</v>
      </c>
      <c r="F140" s="30">
        <v>0</v>
      </c>
      <c r="H140">
        <f t="shared" si="5"/>
        <v>25984</v>
      </c>
      <c r="I140" s="16">
        <v>0</v>
      </c>
      <c r="J140" s="16">
        <v>0</v>
      </c>
      <c r="K140" s="16">
        <v>0</v>
      </c>
      <c r="L140" s="16">
        <v>0</v>
      </c>
      <c r="M140" s="30">
        <v>0</v>
      </c>
    </row>
    <row r="141" spans="1:13" x14ac:dyDescent="0.25">
      <c r="A141">
        <f t="shared" si="4"/>
        <v>25984</v>
      </c>
      <c r="B141" s="16">
        <v>0</v>
      </c>
      <c r="C141" s="16">
        <v>0</v>
      </c>
      <c r="D141" s="16">
        <v>0</v>
      </c>
      <c r="E141" s="16">
        <v>0</v>
      </c>
      <c r="F141" s="30">
        <v>0</v>
      </c>
      <c r="H141">
        <f t="shared" si="5"/>
        <v>25984</v>
      </c>
      <c r="I141" s="16">
        <v>0</v>
      </c>
      <c r="J141" s="16">
        <v>0</v>
      </c>
      <c r="K141" s="16">
        <v>0</v>
      </c>
      <c r="L141" s="16">
        <v>0</v>
      </c>
      <c r="M141" s="30">
        <v>0</v>
      </c>
    </row>
    <row r="142" spans="1:13" x14ac:dyDescent="0.25">
      <c r="A142">
        <f t="shared" si="4"/>
        <v>25984</v>
      </c>
      <c r="B142" s="16">
        <v>0</v>
      </c>
      <c r="C142" s="16">
        <v>0</v>
      </c>
      <c r="D142" s="16">
        <v>0</v>
      </c>
      <c r="E142" s="16">
        <v>0</v>
      </c>
      <c r="F142" s="30">
        <v>0</v>
      </c>
      <c r="H142">
        <f t="shared" si="5"/>
        <v>25984</v>
      </c>
      <c r="I142" s="16">
        <v>0</v>
      </c>
      <c r="J142" s="16">
        <v>0</v>
      </c>
      <c r="K142" s="16">
        <v>0</v>
      </c>
      <c r="L142" s="16">
        <v>0</v>
      </c>
      <c r="M142" s="30">
        <v>0</v>
      </c>
    </row>
    <row r="143" spans="1:13" x14ac:dyDescent="0.25">
      <c r="A143">
        <f t="shared" si="4"/>
        <v>25984</v>
      </c>
      <c r="B143" s="16">
        <v>0</v>
      </c>
      <c r="C143" s="16">
        <v>0</v>
      </c>
      <c r="D143" s="16">
        <v>0</v>
      </c>
      <c r="E143" s="16">
        <v>0</v>
      </c>
      <c r="F143" s="30">
        <v>0</v>
      </c>
      <c r="H143">
        <f t="shared" si="5"/>
        <v>25984</v>
      </c>
      <c r="I143" s="16">
        <v>0</v>
      </c>
      <c r="J143" s="16">
        <v>0</v>
      </c>
      <c r="K143" s="16">
        <v>0</v>
      </c>
      <c r="L143" s="16">
        <v>0</v>
      </c>
      <c r="M143" s="30">
        <v>0</v>
      </c>
    </row>
    <row r="144" spans="1:13" x14ac:dyDescent="0.25">
      <c r="A144">
        <f t="shared" si="4"/>
        <v>25984</v>
      </c>
      <c r="B144" s="16">
        <v>0</v>
      </c>
      <c r="C144" s="16">
        <v>0</v>
      </c>
      <c r="D144" s="16">
        <v>0</v>
      </c>
      <c r="E144" s="16">
        <v>0</v>
      </c>
      <c r="F144" s="30">
        <v>0</v>
      </c>
      <c r="H144">
        <f t="shared" si="5"/>
        <v>25984</v>
      </c>
      <c r="I144" s="16">
        <v>0</v>
      </c>
      <c r="J144" s="16">
        <v>0</v>
      </c>
      <c r="K144" s="16">
        <v>0</v>
      </c>
      <c r="L144" s="16">
        <v>0</v>
      </c>
      <c r="M144" s="30">
        <v>0</v>
      </c>
    </row>
    <row r="145" spans="1:13" x14ac:dyDescent="0.25">
      <c r="A145">
        <f t="shared" si="4"/>
        <v>25984</v>
      </c>
      <c r="B145" s="16">
        <v>0</v>
      </c>
      <c r="C145" s="16">
        <v>0</v>
      </c>
      <c r="D145" s="16">
        <v>0</v>
      </c>
      <c r="E145" s="16">
        <v>0</v>
      </c>
      <c r="F145" s="30">
        <v>0</v>
      </c>
      <c r="H145">
        <f t="shared" si="5"/>
        <v>25984</v>
      </c>
      <c r="I145" s="16">
        <v>0</v>
      </c>
      <c r="J145" s="16">
        <v>0</v>
      </c>
      <c r="K145" s="16">
        <v>0</v>
      </c>
      <c r="L145" s="16">
        <v>0</v>
      </c>
      <c r="M145" s="30">
        <v>0</v>
      </c>
    </row>
    <row r="146" spans="1:13" x14ac:dyDescent="0.25">
      <c r="A146">
        <f t="shared" si="4"/>
        <v>25984</v>
      </c>
      <c r="B146" s="16">
        <v>0</v>
      </c>
      <c r="C146" s="16">
        <v>0</v>
      </c>
      <c r="D146" s="16">
        <v>0</v>
      </c>
      <c r="E146" s="16">
        <v>0</v>
      </c>
      <c r="F146" s="30">
        <v>0</v>
      </c>
      <c r="H146">
        <f t="shared" si="5"/>
        <v>25984</v>
      </c>
      <c r="I146" s="16">
        <v>0</v>
      </c>
      <c r="J146" s="16">
        <v>0</v>
      </c>
      <c r="K146" s="16">
        <v>0</v>
      </c>
      <c r="L146" s="16">
        <v>0</v>
      </c>
      <c r="M146" s="30">
        <v>0</v>
      </c>
    </row>
    <row r="147" spans="1:13" x14ac:dyDescent="0.25">
      <c r="A147">
        <f t="shared" si="4"/>
        <v>25984</v>
      </c>
      <c r="B147" s="16">
        <v>0</v>
      </c>
      <c r="C147" s="16">
        <v>0</v>
      </c>
      <c r="D147" s="16">
        <v>0</v>
      </c>
      <c r="E147" s="16">
        <v>0</v>
      </c>
      <c r="F147" s="30">
        <v>0</v>
      </c>
      <c r="H147">
        <f t="shared" si="5"/>
        <v>25984</v>
      </c>
      <c r="I147" s="16">
        <v>0</v>
      </c>
      <c r="J147" s="16">
        <v>0</v>
      </c>
      <c r="K147" s="16">
        <v>0</v>
      </c>
      <c r="L147" s="16">
        <v>0</v>
      </c>
      <c r="M147" s="30">
        <v>0</v>
      </c>
    </row>
    <row r="148" spans="1:13" x14ac:dyDescent="0.25">
      <c r="A148">
        <f t="shared" si="4"/>
        <v>25984</v>
      </c>
      <c r="B148" s="16">
        <v>0</v>
      </c>
      <c r="C148" s="16">
        <v>0</v>
      </c>
      <c r="D148" s="16">
        <v>0</v>
      </c>
      <c r="E148" s="16">
        <v>0</v>
      </c>
      <c r="F148" s="30">
        <v>0</v>
      </c>
      <c r="H148">
        <f t="shared" si="5"/>
        <v>25984</v>
      </c>
      <c r="I148" s="16">
        <v>0</v>
      </c>
      <c r="J148" s="16">
        <v>0</v>
      </c>
      <c r="K148" s="16">
        <v>0</v>
      </c>
      <c r="L148" s="16">
        <v>0</v>
      </c>
      <c r="M148" s="30">
        <v>0</v>
      </c>
    </row>
    <row r="149" spans="1:13" x14ac:dyDescent="0.25">
      <c r="A149">
        <f t="shared" si="4"/>
        <v>25984</v>
      </c>
      <c r="B149" s="16">
        <v>0</v>
      </c>
      <c r="C149" s="16">
        <v>0</v>
      </c>
      <c r="D149" s="16">
        <v>0</v>
      </c>
      <c r="E149" s="16">
        <v>0</v>
      </c>
      <c r="F149" s="30">
        <v>0</v>
      </c>
      <c r="H149">
        <f t="shared" si="5"/>
        <v>25984</v>
      </c>
      <c r="I149" s="16">
        <v>0</v>
      </c>
      <c r="J149" s="16">
        <v>0</v>
      </c>
      <c r="K149" s="16">
        <v>0</v>
      </c>
      <c r="L149" s="16">
        <v>0</v>
      </c>
      <c r="M149" s="30">
        <v>0</v>
      </c>
    </row>
    <row r="150" spans="1:13" x14ac:dyDescent="0.25">
      <c r="A150">
        <f t="shared" si="4"/>
        <v>25984</v>
      </c>
      <c r="B150" s="16">
        <v>0</v>
      </c>
      <c r="C150" s="16">
        <v>0</v>
      </c>
      <c r="D150" s="16">
        <v>0</v>
      </c>
      <c r="E150" s="16">
        <v>0</v>
      </c>
      <c r="F150" s="30">
        <v>0</v>
      </c>
      <c r="H150">
        <f t="shared" si="5"/>
        <v>25984</v>
      </c>
      <c r="I150" s="16">
        <v>0</v>
      </c>
      <c r="J150" s="16">
        <v>0</v>
      </c>
      <c r="K150" s="16">
        <v>0</v>
      </c>
      <c r="L150" s="16">
        <v>0</v>
      </c>
      <c r="M150" s="30">
        <v>0</v>
      </c>
    </row>
    <row r="151" spans="1:13" x14ac:dyDescent="0.25">
      <c r="A151">
        <f t="shared" si="4"/>
        <v>25984</v>
      </c>
      <c r="B151" s="16">
        <v>0</v>
      </c>
      <c r="C151" s="16">
        <v>0</v>
      </c>
      <c r="D151" s="16">
        <v>0</v>
      </c>
      <c r="E151" s="16">
        <v>0</v>
      </c>
      <c r="F151" s="30">
        <v>0</v>
      </c>
      <c r="H151">
        <f t="shared" si="5"/>
        <v>25984</v>
      </c>
      <c r="I151" s="16">
        <v>0</v>
      </c>
      <c r="J151" s="16">
        <v>0</v>
      </c>
      <c r="K151" s="16">
        <v>0</v>
      </c>
      <c r="L151" s="16">
        <v>0</v>
      </c>
      <c r="M151" s="30">
        <v>0</v>
      </c>
    </row>
    <row r="152" spans="1:13" x14ac:dyDescent="0.25">
      <c r="A152">
        <f t="shared" si="4"/>
        <v>25984</v>
      </c>
      <c r="B152" s="16">
        <v>0</v>
      </c>
      <c r="C152" s="16">
        <v>0</v>
      </c>
      <c r="D152" s="16">
        <v>0</v>
      </c>
      <c r="E152" s="16">
        <v>0</v>
      </c>
      <c r="F152" s="30">
        <v>0</v>
      </c>
      <c r="H152">
        <f t="shared" si="5"/>
        <v>25984</v>
      </c>
      <c r="I152" s="16">
        <v>0</v>
      </c>
      <c r="J152" s="16">
        <v>0</v>
      </c>
      <c r="K152" s="16">
        <v>0</v>
      </c>
      <c r="L152" s="16">
        <v>0</v>
      </c>
      <c r="M152" s="30">
        <v>0</v>
      </c>
    </row>
    <row r="153" spans="1:13" x14ac:dyDescent="0.25">
      <c r="A153">
        <f t="shared" si="4"/>
        <v>25984</v>
      </c>
      <c r="B153" s="16">
        <v>0</v>
      </c>
      <c r="C153" s="16">
        <v>0</v>
      </c>
      <c r="D153" s="16">
        <v>0</v>
      </c>
      <c r="E153" s="16">
        <v>0</v>
      </c>
      <c r="F153" s="30">
        <v>0</v>
      </c>
      <c r="H153">
        <f t="shared" si="5"/>
        <v>25984</v>
      </c>
      <c r="I153" s="16">
        <v>0</v>
      </c>
      <c r="J153" s="16">
        <v>0</v>
      </c>
      <c r="K153" s="16">
        <v>0</v>
      </c>
      <c r="L153" s="16">
        <v>0</v>
      </c>
      <c r="M153" s="30">
        <v>0</v>
      </c>
    </row>
    <row r="154" spans="1:13" x14ac:dyDescent="0.25">
      <c r="A154">
        <f t="shared" si="4"/>
        <v>25984</v>
      </c>
      <c r="B154" s="16">
        <v>0</v>
      </c>
      <c r="C154" s="16">
        <v>0</v>
      </c>
      <c r="D154" s="16">
        <v>0</v>
      </c>
      <c r="E154" s="16">
        <v>0</v>
      </c>
      <c r="F154" s="30">
        <v>0</v>
      </c>
      <c r="H154">
        <f t="shared" si="5"/>
        <v>25984</v>
      </c>
      <c r="I154" s="16">
        <v>0</v>
      </c>
      <c r="J154" s="16">
        <v>0</v>
      </c>
      <c r="K154" s="16">
        <v>0</v>
      </c>
      <c r="L154" s="16">
        <v>0</v>
      </c>
      <c r="M154" s="30">
        <v>0</v>
      </c>
    </row>
    <row r="155" spans="1:13" x14ac:dyDescent="0.25">
      <c r="A155">
        <f t="shared" si="4"/>
        <v>25984</v>
      </c>
      <c r="B155" s="16">
        <v>0</v>
      </c>
      <c r="C155" s="16">
        <v>0</v>
      </c>
      <c r="D155" s="16">
        <v>0</v>
      </c>
      <c r="E155" s="16">
        <v>0</v>
      </c>
      <c r="F155" s="30">
        <v>0</v>
      </c>
      <c r="H155">
        <f t="shared" si="5"/>
        <v>25984</v>
      </c>
      <c r="I155" s="16">
        <v>0</v>
      </c>
      <c r="J155" s="16">
        <v>0</v>
      </c>
      <c r="K155" s="16">
        <v>0</v>
      </c>
      <c r="L155" s="16">
        <v>0</v>
      </c>
      <c r="M155" s="30">
        <v>0</v>
      </c>
    </row>
    <row r="156" spans="1:13" x14ac:dyDescent="0.25">
      <c r="A156">
        <f t="shared" si="4"/>
        <v>25984</v>
      </c>
      <c r="B156" s="16">
        <v>0</v>
      </c>
      <c r="C156" s="16">
        <v>0</v>
      </c>
      <c r="D156" s="16">
        <v>0</v>
      </c>
      <c r="E156" s="16">
        <v>0</v>
      </c>
      <c r="F156" s="30">
        <v>0</v>
      </c>
      <c r="H156">
        <f t="shared" si="5"/>
        <v>25984</v>
      </c>
      <c r="I156" s="16">
        <v>0</v>
      </c>
      <c r="J156" s="16">
        <v>0</v>
      </c>
      <c r="K156" s="16">
        <v>0</v>
      </c>
      <c r="L156" s="16">
        <v>0</v>
      </c>
      <c r="M156" s="30">
        <v>0</v>
      </c>
    </row>
    <row r="157" spans="1:13" x14ac:dyDescent="0.25">
      <c r="A157">
        <f t="shared" si="4"/>
        <v>25984</v>
      </c>
      <c r="B157" s="16">
        <v>0</v>
      </c>
      <c r="C157" s="16">
        <v>0</v>
      </c>
      <c r="D157" s="16">
        <v>0</v>
      </c>
      <c r="E157" s="16">
        <v>0</v>
      </c>
      <c r="F157" s="30">
        <v>0</v>
      </c>
      <c r="H157">
        <f t="shared" si="5"/>
        <v>25984</v>
      </c>
      <c r="I157" s="16">
        <v>0</v>
      </c>
      <c r="J157" s="16">
        <v>0</v>
      </c>
      <c r="K157" s="16">
        <v>0</v>
      </c>
      <c r="L157" s="16">
        <v>0</v>
      </c>
      <c r="M157" s="30">
        <v>0</v>
      </c>
    </row>
    <row r="158" spans="1:13" x14ac:dyDescent="0.25">
      <c r="A158">
        <f t="shared" si="4"/>
        <v>25984</v>
      </c>
      <c r="B158" s="16">
        <v>0</v>
      </c>
      <c r="C158" s="16">
        <v>0</v>
      </c>
      <c r="D158" s="16">
        <v>0</v>
      </c>
      <c r="E158" s="16">
        <v>0</v>
      </c>
      <c r="F158" s="30">
        <v>0</v>
      </c>
      <c r="H158">
        <f t="shared" si="5"/>
        <v>25984</v>
      </c>
      <c r="I158" s="16">
        <v>0</v>
      </c>
      <c r="J158" s="16">
        <v>0</v>
      </c>
      <c r="K158" s="16">
        <v>0</v>
      </c>
      <c r="L158" s="16">
        <v>0</v>
      </c>
      <c r="M158" s="30">
        <v>0</v>
      </c>
    </row>
    <row r="159" spans="1:13" x14ac:dyDescent="0.25">
      <c r="A159">
        <f t="shared" si="4"/>
        <v>25984</v>
      </c>
      <c r="B159" s="16">
        <v>0</v>
      </c>
      <c r="C159" s="16">
        <v>0</v>
      </c>
      <c r="D159" s="16">
        <v>0</v>
      </c>
      <c r="E159" s="16">
        <v>0</v>
      </c>
      <c r="F159" s="30">
        <v>0</v>
      </c>
      <c r="H159">
        <f t="shared" si="5"/>
        <v>25984</v>
      </c>
      <c r="I159" s="16">
        <v>0</v>
      </c>
      <c r="J159" s="16">
        <v>0</v>
      </c>
      <c r="K159" s="16">
        <v>0</v>
      </c>
      <c r="L159" s="16">
        <v>0</v>
      </c>
      <c r="M159" s="30">
        <v>0</v>
      </c>
    </row>
    <row r="160" spans="1:13" x14ac:dyDescent="0.25">
      <c r="A160">
        <f t="shared" si="4"/>
        <v>25984</v>
      </c>
      <c r="B160" s="16">
        <v>0</v>
      </c>
      <c r="C160" s="16">
        <v>0</v>
      </c>
      <c r="D160" s="16">
        <v>0</v>
      </c>
      <c r="E160" s="16">
        <v>0</v>
      </c>
      <c r="F160" s="30">
        <v>0</v>
      </c>
      <c r="H160">
        <f t="shared" si="5"/>
        <v>25984</v>
      </c>
      <c r="I160" s="16">
        <v>0</v>
      </c>
      <c r="J160" s="16">
        <v>0</v>
      </c>
      <c r="K160" s="16">
        <v>0</v>
      </c>
      <c r="L160" s="16">
        <v>0</v>
      </c>
      <c r="M160" s="30">
        <v>0</v>
      </c>
    </row>
    <row r="161" spans="1:13" x14ac:dyDescent="0.25">
      <c r="A161">
        <f t="shared" si="4"/>
        <v>25984</v>
      </c>
      <c r="B161" s="16">
        <v>0</v>
      </c>
      <c r="C161" s="16">
        <v>0</v>
      </c>
      <c r="D161" s="16">
        <v>0</v>
      </c>
      <c r="E161" s="16">
        <v>0</v>
      </c>
      <c r="F161" s="30">
        <v>0</v>
      </c>
      <c r="H161">
        <f t="shared" si="5"/>
        <v>25984</v>
      </c>
      <c r="I161" s="16">
        <v>0</v>
      </c>
      <c r="J161" s="16">
        <v>0</v>
      </c>
      <c r="K161" s="16">
        <v>0</v>
      </c>
      <c r="L161" s="16">
        <v>0</v>
      </c>
      <c r="M161" s="30">
        <v>0</v>
      </c>
    </row>
    <row r="162" spans="1:13" x14ac:dyDescent="0.25">
      <c r="A162">
        <f t="shared" si="4"/>
        <v>25984</v>
      </c>
      <c r="B162" s="16">
        <v>0</v>
      </c>
      <c r="C162" s="16">
        <v>0</v>
      </c>
      <c r="D162" s="16">
        <v>0</v>
      </c>
      <c r="E162" s="16">
        <v>0</v>
      </c>
      <c r="F162" s="30">
        <v>0</v>
      </c>
      <c r="H162">
        <f t="shared" si="5"/>
        <v>25984</v>
      </c>
      <c r="I162" s="16">
        <v>0</v>
      </c>
      <c r="J162" s="16">
        <v>0</v>
      </c>
      <c r="K162" s="16">
        <v>0</v>
      </c>
      <c r="L162" s="16">
        <v>0</v>
      </c>
      <c r="M162" s="30">
        <v>0</v>
      </c>
    </row>
    <row r="163" spans="1:13" x14ac:dyDescent="0.25">
      <c r="A163">
        <f t="shared" si="4"/>
        <v>25984</v>
      </c>
      <c r="B163" s="16">
        <v>0</v>
      </c>
      <c r="C163" s="16">
        <v>0</v>
      </c>
      <c r="D163" s="16">
        <v>0</v>
      </c>
      <c r="E163" s="16">
        <v>0</v>
      </c>
      <c r="F163" s="30">
        <v>0</v>
      </c>
      <c r="H163">
        <f t="shared" si="5"/>
        <v>25984</v>
      </c>
      <c r="I163" s="16">
        <v>0</v>
      </c>
      <c r="J163" s="16">
        <v>0</v>
      </c>
      <c r="K163" s="16">
        <v>0</v>
      </c>
      <c r="L163" s="16">
        <v>0</v>
      </c>
      <c r="M163" s="30">
        <v>0</v>
      </c>
    </row>
    <row r="164" spans="1:13" x14ac:dyDescent="0.25">
      <c r="A164">
        <f t="shared" si="4"/>
        <v>25984</v>
      </c>
      <c r="B164" s="16">
        <v>0</v>
      </c>
      <c r="C164" s="16">
        <v>0</v>
      </c>
      <c r="D164" s="16">
        <v>0</v>
      </c>
      <c r="E164" s="16">
        <v>0</v>
      </c>
      <c r="F164" s="30">
        <v>0</v>
      </c>
      <c r="H164">
        <f t="shared" si="5"/>
        <v>25984</v>
      </c>
      <c r="I164" s="16">
        <v>0</v>
      </c>
      <c r="J164" s="16">
        <v>0</v>
      </c>
      <c r="K164" s="16">
        <v>0</v>
      </c>
      <c r="L164" s="16">
        <v>0</v>
      </c>
      <c r="M164" s="30">
        <v>0</v>
      </c>
    </row>
    <row r="165" spans="1:13" x14ac:dyDescent="0.25">
      <c r="A165">
        <f t="shared" si="4"/>
        <v>25984</v>
      </c>
      <c r="B165" s="16">
        <v>0</v>
      </c>
      <c r="C165" s="16">
        <v>0</v>
      </c>
      <c r="D165" s="16">
        <v>0</v>
      </c>
      <c r="E165" s="16">
        <v>0</v>
      </c>
      <c r="F165" s="30">
        <v>0</v>
      </c>
      <c r="H165">
        <f t="shared" si="5"/>
        <v>25984</v>
      </c>
      <c r="I165" s="16">
        <v>0</v>
      </c>
      <c r="J165" s="16">
        <v>0</v>
      </c>
      <c r="K165" s="16">
        <v>0</v>
      </c>
      <c r="L165" s="16">
        <v>0</v>
      </c>
      <c r="M165" s="30">
        <v>0</v>
      </c>
    </row>
    <row r="166" spans="1:13" x14ac:dyDescent="0.25">
      <c r="A166">
        <f t="shared" si="4"/>
        <v>25984</v>
      </c>
      <c r="B166" s="16">
        <v>0</v>
      </c>
      <c r="C166" s="16">
        <v>0</v>
      </c>
      <c r="D166" s="16">
        <v>0</v>
      </c>
      <c r="E166" s="16">
        <v>0</v>
      </c>
      <c r="F166" s="30">
        <v>0</v>
      </c>
      <c r="H166">
        <f t="shared" si="5"/>
        <v>25984</v>
      </c>
      <c r="I166" s="16">
        <v>0</v>
      </c>
      <c r="J166" s="16">
        <v>0</v>
      </c>
      <c r="K166" s="16">
        <v>0</v>
      </c>
      <c r="L166" s="16">
        <v>0</v>
      </c>
      <c r="M166" s="30">
        <v>0</v>
      </c>
    </row>
    <row r="167" spans="1:13" x14ac:dyDescent="0.25">
      <c r="A167">
        <f t="shared" si="4"/>
        <v>25984</v>
      </c>
      <c r="B167" s="16">
        <v>0</v>
      </c>
      <c r="C167" s="16">
        <v>0</v>
      </c>
      <c r="D167" s="16">
        <v>0</v>
      </c>
      <c r="E167" s="16">
        <v>0</v>
      </c>
      <c r="F167" s="30">
        <v>0</v>
      </c>
      <c r="H167">
        <f t="shared" si="5"/>
        <v>25984</v>
      </c>
      <c r="I167" s="16">
        <v>0</v>
      </c>
      <c r="J167" s="16">
        <v>0</v>
      </c>
      <c r="K167" s="16">
        <v>0</v>
      </c>
      <c r="L167" s="16">
        <v>0</v>
      </c>
      <c r="M167" s="30">
        <v>0</v>
      </c>
    </row>
    <row r="168" spans="1:13" x14ac:dyDescent="0.25">
      <c r="A168">
        <f t="shared" si="4"/>
        <v>25984</v>
      </c>
      <c r="B168" s="16">
        <v>0</v>
      </c>
      <c r="C168" s="16">
        <v>0</v>
      </c>
      <c r="D168" s="16">
        <v>0</v>
      </c>
      <c r="E168" s="16">
        <v>0</v>
      </c>
      <c r="F168" s="30">
        <v>0</v>
      </c>
      <c r="H168">
        <f t="shared" si="5"/>
        <v>25984</v>
      </c>
      <c r="I168" s="16">
        <v>0</v>
      </c>
      <c r="J168" s="16">
        <v>0</v>
      </c>
      <c r="K168" s="16">
        <v>0</v>
      </c>
      <c r="L168" s="16">
        <v>0</v>
      </c>
      <c r="M168" s="30">
        <v>0</v>
      </c>
    </row>
    <row r="169" spans="1:13" x14ac:dyDescent="0.25">
      <c r="A169">
        <f t="shared" si="4"/>
        <v>25984</v>
      </c>
      <c r="B169" s="16">
        <v>0</v>
      </c>
      <c r="C169" s="16">
        <v>0</v>
      </c>
      <c r="D169" s="16">
        <v>0</v>
      </c>
      <c r="E169" s="16">
        <v>0</v>
      </c>
      <c r="F169" s="30">
        <v>0</v>
      </c>
      <c r="H169">
        <f t="shared" si="5"/>
        <v>25984</v>
      </c>
      <c r="I169" s="16">
        <v>0</v>
      </c>
      <c r="J169" s="16">
        <v>0</v>
      </c>
      <c r="K169" s="16">
        <v>0</v>
      </c>
      <c r="L169" s="16">
        <v>0</v>
      </c>
      <c r="M169" s="30">
        <v>0</v>
      </c>
    </row>
    <row r="170" spans="1:13" x14ac:dyDescent="0.25">
      <c r="A170">
        <f t="shared" si="4"/>
        <v>25984</v>
      </c>
      <c r="B170" s="16">
        <v>0</v>
      </c>
      <c r="C170" s="16">
        <v>0</v>
      </c>
      <c r="D170" s="16">
        <v>0</v>
      </c>
      <c r="E170" s="16">
        <v>0</v>
      </c>
      <c r="F170" s="30">
        <v>0</v>
      </c>
      <c r="H170">
        <f t="shared" si="5"/>
        <v>25984</v>
      </c>
      <c r="I170" s="16">
        <v>0</v>
      </c>
      <c r="J170" s="16">
        <v>0</v>
      </c>
      <c r="K170" s="16">
        <v>0</v>
      </c>
      <c r="L170" s="16">
        <v>0</v>
      </c>
      <c r="M170" s="30">
        <v>0</v>
      </c>
    </row>
    <row r="171" spans="1:13" x14ac:dyDescent="0.25">
      <c r="A171">
        <f t="shared" si="4"/>
        <v>25984</v>
      </c>
      <c r="B171" s="16">
        <v>0</v>
      </c>
      <c r="C171" s="16">
        <v>0</v>
      </c>
      <c r="D171" s="16">
        <v>0</v>
      </c>
      <c r="E171" s="16">
        <v>0</v>
      </c>
      <c r="F171" s="30">
        <v>0</v>
      </c>
      <c r="H171">
        <f t="shared" si="5"/>
        <v>25984</v>
      </c>
      <c r="I171" s="16">
        <v>0</v>
      </c>
      <c r="J171" s="16">
        <v>0</v>
      </c>
      <c r="K171" s="16">
        <v>0</v>
      </c>
      <c r="L171" s="16">
        <v>0</v>
      </c>
      <c r="M171" s="30">
        <v>0</v>
      </c>
    </row>
    <row r="172" spans="1:13" x14ac:dyDescent="0.25">
      <c r="A172">
        <f t="shared" si="4"/>
        <v>25984</v>
      </c>
      <c r="B172" s="16">
        <v>0</v>
      </c>
      <c r="C172" s="16">
        <v>0</v>
      </c>
      <c r="D172" s="16">
        <v>0</v>
      </c>
      <c r="E172" s="16">
        <v>0</v>
      </c>
      <c r="F172" s="30">
        <v>0</v>
      </c>
      <c r="H172">
        <f t="shared" si="5"/>
        <v>25984</v>
      </c>
      <c r="I172" s="16">
        <v>0</v>
      </c>
      <c r="J172" s="16">
        <v>0</v>
      </c>
      <c r="K172" s="16">
        <v>0</v>
      </c>
      <c r="L172" s="16">
        <v>0</v>
      </c>
      <c r="M172" s="30">
        <v>0</v>
      </c>
    </row>
    <row r="173" spans="1:13" x14ac:dyDescent="0.25">
      <c r="A173">
        <f t="shared" si="4"/>
        <v>25984</v>
      </c>
      <c r="B173" s="16">
        <v>0</v>
      </c>
      <c r="C173" s="16">
        <v>0</v>
      </c>
      <c r="D173" s="16">
        <v>0</v>
      </c>
      <c r="E173" s="16">
        <v>0</v>
      </c>
      <c r="F173" s="30">
        <v>0</v>
      </c>
      <c r="H173">
        <f t="shared" si="5"/>
        <v>25984</v>
      </c>
      <c r="I173" s="16">
        <v>0</v>
      </c>
      <c r="J173" s="16">
        <v>0</v>
      </c>
      <c r="K173" s="16">
        <v>0</v>
      </c>
      <c r="L173" s="16">
        <v>0</v>
      </c>
      <c r="M173" s="30">
        <v>0</v>
      </c>
    </row>
    <row r="174" spans="1:13" x14ac:dyDescent="0.25">
      <c r="A174">
        <f t="shared" si="4"/>
        <v>25984</v>
      </c>
      <c r="B174" s="16">
        <v>0</v>
      </c>
      <c r="C174" s="16">
        <v>0</v>
      </c>
      <c r="D174" s="16">
        <v>0</v>
      </c>
      <c r="E174" s="16">
        <v>0</v>
      </c>
      <c r="F174" s="30">
        <v>0</v>
      </c>
      <c r="H174">
        <f t="shared" si="5"/>
        <v>25984</v>
      </c>
      <c r="I174" s="16">
        <v>0</v>
      </c>
      <c r="J174" s="16">
        <v>0</v>
      </c>
      <c r="K174" s="16">
        <v>0</v>
      </c>
      <c r="L174" s="16">
        <v>0</v>
      </c>
      <c r="M174" s="30">
        <v>0</v>
      </c>
    </row>
    <row r="175" spans="1:13" x14ac:dyDescent="0.25">
      <c r="A175">
        <f t="shared" si="4"/>
        <v>25984</v>
      </c>
      <c r="B175" s="16">
        <v>0</v>
      </c>
      <c r="C175" s="16">
        <v>0</v>
      </c>
      <c r="D175" s="16">
        <v>0</v>
      </c>
      <c r="E175" s="16">
        <v>0</v>
      </c>
      <c r="F175" s="30">
        <v>0</v>
      </c>
      <c r="H175">
        <f t="shared" si="5"/>
        <v>25984</v>
      </c>
      <c r="I175" s="16">
        <v>0</v>
      </c>
      <c r="J175" s="16">
        <v>0</v>
      </c>
      <c r="K175" s="16">
        <v>0</v>
      </c>
      <c r="L175" s="16">
        <v>0</v>
      </c>
      <c r="M175" s="30">
        <v>0</v>
      </c>
    </row>
    <row r="176" spans="1:13" x14ac:dyDescent="0.25">
      <c r="A176">
        <f t="shared" si="4"/>
        <v>25984</v>
      </c>
      <c r="B176" s="16">
        <v>0</v>
      </c>
      <c r="C176" s="16">
        <v>0</v>
      </c>
      <c r="D176" s="16">
        <v>0</v>
      </c>
      <c r="E176" s="16">
        <v>0</v>
      </c>
      <c r="F176" s="30">
        <v>0</v>
      </c>
      <c r="H176">
        <f t="shared" si="5"/>
        <v>25984</v>
      </c>
      <c r="I176" s="16">
        <v>0</v>
      </c>
      <c r="J176" s="16">
        <v>0</v>
      </c>
      <c r="K176" s="16">
        <v>0</v>
      </c>
      <c r="L176" s="16">
        <v>0</v>
      </c>
      <c r="M176" s="30">
        <v>0</v>
      </c>
    </row>
    <row r="177" spans="1:13" x14ac:dyDescent="0.25">
      <c r="A177">
        <f t="shared" si="4"/>
        <v>25984</v>
      </c>
      <c r="B177" s="16">
        <v>0</v>
      </c>
      <c r="C177" s="16">
        <v>0</v>
      </c>
      <c r="D177" s="16">
        <v>0</v>
      </c>
      <c r="E177" s="16">
        <v>0</v>
      </c>
      <c r="F177" s="30">
        <v>0</v>
      </c>
      <c r="H177">
        <f t="shared" si="5"/>
        <v>25984</v>
      </c>
      <c r="I177" s="16">
        <v>0</v>
      </c>
      <c r="J177" s="16">
        <v>0</v>
      </c>
      <c r="K177" s="16">
        <v>0</v>
      </c>
      <c r="L177" s="16">
        <v>0</v>
      </c>
      <c r="M177" s="30">
        <v>0</v>
      </c>
    </row>
    <row r="178" spans="1:13" x14ac:dyDescent="0.25">
      <c r="A178">
        <f t="shared" si="4"/>
        <v>25984</v>
      </c>
      <c r="B178" s="16">
        <v>0</v>
      </c>
      <c r="C178" s="16">
        <v>0</v>
      </c>
      <c r="D178" s="16">
        <v>0</v>
      </c>
      <c r="E178" s="16">
        <v>0</v>
      </c>
      <c r="F178" s="30">
        <v>0</v>
      </c>
      <c r="H178">
        <f t="shared" si="5"/>
        <v>25984</v>
      </c>
      <c r="I178" s="16">
        <v>0</v>
      </c>
      <c r="J178" s="16">
        <v>0</v>
      </c>
      <c r="K178" s="16">
        <v>0</v>
      </c>
      <c r="L178" s="16">
        <v>0</v>
      </c>
      <c r="M178" s="30">
        <v>0</v>
      </c>
    </row>
    <row r="179" spans="1:13" x14ac:dyDescent="0.25">
      <c r="A179">
        <f t="shared" si="4"/>
        <v>25984</v>
      </c>
      <c r="B179" s="16">
        <v>0</v>
      </c>
      <c r="C179" s="16">
        <v>0</v>
      </c>
      <c r="D179" s="16">
        <v>0</v>
      </c>
      <c r="E179" s="16">
        <v>0</v>
      </c>
      <c r="F179" s="30">
        <v>0</v>
      </c>
      <c r="H179">
        <f t="shared" si="5"/>
        <v>25984</v>
      </c>
      <c r="I179" s="16">
        <v>0</v>
      </c>
      <c r="J179" s="16">
        <v>0</v>
      </c>
      <c r="K179" s="16">
        <v>0</v>
      </c>
      <c r="L179" s="16">
        <v>0</v>
      </c>
      <c r="M179" s="30">
        <v>0</v>
      </c>
    </row>
    <row r="180" spans="1:13" x14ac:dyDescent="0.25">
      <c r="A180">
        <f t="shared" si="4"/>
        <v>25984</v>
      </c>
      <c r="B180" s="16">
        <v>0</v>
      </c>
      <c r="C180" s="16">
        <v>0</v>
      </c>
      <c r="D180" s="16">
        <v>0</v>
      </c>
      <c r="E180" s="16">
        <v>0</v>
      </c>
      <c r="F180" s="30">
        <v>0</v>
      </c>
      <c r="H180">
        <f t="shared" si="5"/>
        <v>25984</v>
      </c>
      <c r="I180" s="16">
        <v>0</v>
      </c>
      <c r="J180" s="16">
        <v>0</v>
      </c>
      <c r="K180" s="16">
        <v>0</v>
      </c>
      <c r="L180" s="16">
        <v>0</v>
      </c>
      <c r="M180" s="30">
        <v>0</v>
      </c>
    </row>
    <row r="181" spans="1:13" x14ac:dyDescent="0.25">
      <c r="A181">
        <f t="shared" si="4"/>
        <v>25984</v>
      </c>
      <c r="B181" s="16">
        <v>0</v>
      </c>
      <c r="C181" s="16">
        <v>0</v>
      </c>
      <c r="D181" s="16">
        <v>0</v>
      </c>
      <c r="E181" s="16">
        <v>0</v>
      </c>
      <c r="F181" s="30">
        <v>0</v>
      </c>
      <c r="H181">
        <f t="shared" si="5"/>
        <v>25984</v>
      </c>
      <c r="I181" s="16">
        <v>0</v>
      </c>
      <c r="J181" s="16">
        <v>0</v>
      </c>
      <c r="K181" s="16">
        <v>0</v>
      </c>
      <c r="L181" s="16">
        <v>0</v>
      </c>
      <c r="M181" s="30">
        <v>0</v>
      </c>
    </row>
    <row r="182" spans="1:13" x14ac:dyDescent="0.25">
      <c r="A182">
        <f t="shared" si="4"/>
        <v>25984</v>
      </c>
      <c r="B182" s="16">
        <v>0</v>
      </c>
      <c r="C182" s="16">
        <v>0</v>
      </c>
      <c r="D182" s="16">
        <v>0</v>
      </c>
      <c r="E182" s="16">
        <v>0</v>
      </c>
      <c r="F182" s="30">
        <v>0</v>
      </c>
      <c r="H182">
        <f t="shared" si="5"/>
        <v>25984</v>
      </c>
      <c r="I182" s="16">
        <v>0</v>
      </c>
      <c r="J182" s="16">
        <v>0</v>
      </c>
      <c r="K182" s="16">
        <v>0</v>
      </c>
      <c r="L182" s="16">
        <v>0</v>
      </c>
      <c r="M182" s="30">
        <v>0</v>
      </c>
    </row>
  </sheetData>
  <mergeCells count="2">
    <mergeCell ref="B1:F1"/>
    <mergeCell ref="I1:M1"/>
  </mergeCells>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B950A-BF45-446A-BECD-70A1F47E7832}">
  <dimension ref="A1:AV439"/>
  <sheetViews>
    <sheetView zoomScale="85" zoomScaleNormal="85" workbookViewId="0">
      <selection activeCell="AU270" sqref="AU270:AU364"/>
    </sheetView>
  </sheetViews>
  <sheetFormatPr defaultRowHeight="15" x14ac:dyDescent="0.25"/>
  <cols>
    <col min="8" max="8" width="9.140625" style="17"/>
    <col min="9" max="9" width="10.28515625" style="33" bestFit="1" customWidth="1"/>
    <col min="10" max="10" width="9.140625" style="37"/>
    <col min="23" max="23" width="9.140625" style="30"/>
    <col min="32" max="32" width="9.5703125" style="58" bestFit="1" customWidth="1"/>
    <col min="33" max="33" width="10.28515625" bestFit="1" customWidth="1"/>
    <col min="47" max="47" width="10.5703125" style="30" bestFit="1" customWidth="1"/>
  </cols>
  <sheetData>
    <row r="1" spans="1:48" s="6" customFormat="1" x14ac:dyDescent="0.25">
      <c r="A1" s="155" t="s">
        <v>273</v>
      </c>
      <c r="B1" s="155"/>
      <c r="C1" s="155"/>
      <c r="D1" s="155"/>
      <c r="E1" s="155"/>
      <c r="F1" s="155"/>
      <c r="G1" s="155"/>
      <c r="H1" s="155"/>
      <c r="I1" s="155"/>
      <c r="J1" s="155"/>
      <c r="K1" s="155"/>
      <c r="L1" s="155"/>
      <c r="M1" s="155"/>
      <c r="N1" s="155"/>
      <c r="O1" s="155"/>
      <c r="P1" s="155"/>
      <c r="Q1" s="155"/>
      <c r="R1" s="155"/>
      <c r="S1" s="155"/>
      <c r="T1" s="155"/>
      <c r="U1" s="155"/>
      <c r="V1" s="155"/>
      <c r="W1" s="31"/>
      <c r="Y1" s="155" t="s">
        <v>274</v>
      </c>
      <c r="Z1" s="155"/>
      <c r="AA1" s="155"/>
      <c r="AB1" s="155"/>
      <c r="AC1" s="155"/>
      <c r="AD1" s="155"/>
      <c r="AE1" s="155"/>
      <c r="AF1" s="155"/>
      <c r="AG1" s="155"/>
      <c r="AH1" s="155"/>
      <c r="AI1" s="155"/>
      <c r="AJ1" s="155"/>
      <c r="AK1" s="155"/>
      <c r="AL1" s="155"/>
      <c r="AM1" s="155"/>
      <c r="AN1" s="155"/>
      <c r="AO1" s="155"/>
      <c r="AP1" s="155"/>
      <c r="AQ1" s="155"/>
      <c r="AR1" s="155"/>
      <c r="AS1" s="155"/>
      <c r="AT1" s="155"/>
      <c r="AU1" s="31"/>
    </row>
    <row r="2" spans="1:48" s="6" customFormat="1" x14ac:dyDescent="0.25">
      <c r="A2" s="14"/>
      <c r="B2" s="14"/>
      <c r="C2" s="14"/>
      <c r="D2" s="14"/>
      <c r="E2" s="14"/>
      <c r="F2" s="14"/>
      <c r="G2" s="14"/>
      <c r="H2" s="35"/>
      <c r="I2" s="49"/>
      <c r="J2" s="38"/>
      <c r="K2" s="156" t="s">
        <v>2</v>
      </c>
      <c r="L2" s="156"/>
      <c r="M2" s="156"/>
      <c r="N2" s="156" t="s">
        <v>17</v>
      </c>
      <c r="O2" s="156"/>
      <c r="P2" s="156"/>
      <c r="Q2" s="156" t="s">
        <v>18</v>
      </c>
      <c r="R2" s="156"/>
      <c r="S2" s="156"/>
      <c r="T2" s="156" t="s">
        <v>19</v>
      </c>
      <c r="U2" s="156"/>
      <c r="V2" s="156"/>
      <c r="W2" s="31"/>
      <c r="Y2" s="14"/>
      <c r="Z2" s="14"/>
      <c r="AA2" s="14"/>
      <c r="AB2" s="14"/>
      <c r="AC2" s="14"/>
      <c r="AD2" s="14"/>
      <c r="AE2" s="14"/>
      <c r="AF2" s="56"/>
      <c r="AG2" s="49"/>
      <c r="AH2" s="38"/>
      <c r="AI2" s="156" t="s">
        <v>2</v>
      </c>
      <c r="AJ2" s="156"/>
      <c r="AK2" s="156"/>
      <c r="AL2" s="156" t="s">
        <v>17</v>
      </c>
      <c r="AM2" s="156"/>
      <c r="AN2" s="156"/>
      <c r="AO2" s="156" t="s">
        <v>18</v>
      </c>
      <c r="AP2" s="156"/>
      <c r="AQ2" s="156"/>
      <c r="AR2" s="156" t="s">
        <v>19</v>
      </c>
      <c r="AS2" s="156"/>
      <c r="AT2" s="156"/>
      <c r="AU2" s="31"/>
    </row>
    <row r="3" spans="1:48" s="6" customFormat="1" x14ac:dyDescent="0.25">
      <c r="A3" s="116" t="s">
        <v>327</v>
      </c>
      <c r="B3" s="117">
        <f>MAX(W5:W499)</f>
        <v>38.205200000000005</v>
      </c>
      <c r="C3" s="118">
        <f>INDEX(C:C,MATCH(MAX($W:$W),$W:$W,0))</f>
        <v>28888</v>
      </c>
      <c r="D3" s="118">
        <f>INDEX(D:D,MATCH(MAX($W:$W),$W:$W,0))</f>
        <v>184</v>
      </c>
      <c r="E3" s="118">
        <f>INDEX(E:E,MATCH(MAX($W:$W),$W:$W,0))</f>
        <v>2</v>
      </c>
      <c r="F3" s="118">
        <f>INDEX(F:F,MATCH(MAX($W:$W),$W:$W,0))</f>
        <v>8</v>
      </c>
      <c r="G3" s="14"/>
      <c r="H3" s="35"/>
      <c r="I3" s="49"/>
      <c r="J3" s="38"/>
      <c r="K3" s="50"/>
      <c r="L3" s="50"/>
      <c r="M3" s="50"/>
      <c r="N3" s="50"/>
      <c r="O3" s="50"/>
      <c r="P3" s="50"/>
      <c r="Q3" s="50"/>
      <c r="R3" s="50"/>
      <c r="S3" s="50"/>
      <c r="T3" s="50"/>
      <c r="U3" s="50"/>
      <c r="V3" s="50"/>
      <c r="Y3" s="116" t="s">
        <v>327</v>
      </c>
      <c r="Z3" s="117">
        <f>MAX(AU5:AU498)</f>
        <v>41.718399999999995</v>
      </c>
      <c r="AA3" s="118">
        <f>INDEX(AA:AA,MATCH(MAX($AU:$AU),$AU:$AU,0))</f>
        <v>29040</v>
      </c>
      <c r="AB3" s="118">
        <f>INDEX(AB:AB,MATCH(MAX($AU:$AU),$AU:$AU,0))</f>
        <v>120</v>
      </c>
      <c r="AC3" s="118">
        <f>INDEX(AC:AC,MATCH(MAX($AU:$AU),$AU:$AU,0))</f>
        <v>2</v>
      </c>
      <c r="AD3" s="118">
        <f>INDEX(AD:AD,MATCH(MAX($AU:$AU),$AU:$AU,0))</f>
        <v>8</v>
      </c>
      <c r="AE3" s="14"/>
      <c r="AF3" s="56"/>
      <c r="AG3" s="49"/>
      <c r="AH3" s="38"/>
      <c r="AI3" s="50"/>
      <c r="AJ3" s="50"/>
      <c r="AK3" s="50"/>
      <c r="AL3" s="50"/>
      <c r="AM3" s="50"/>
      <c r="AN3" s="50"/>
      <c r="AO3" s="50"/>
      <c r="AP3" s="50"/>
      <c r="AQ3" s="50"/>
      <c r="AR3" s="50"/>
      <c r="AS3" s="50"/>
      <c r="AT3" s="50"/>
      <c r="AU3" s="46"/>
    </row>
    <row r="4" spans="1:48" s="6" customFormat="1" x14ac:dyDescent="0.25">
      <c r="A4" s="6" t="s">
        <v>20</v>
      </c>
      <c r="B4" s="6" t="s">
        <v>330</v>
      </c>
      <c r="C4" s="6" t="s">
        <v>5</v>
      </c>
      <c r="D4" s="6" t="s">
        <v>6</v>
      </c>
      <c r="E4" s="6" t="s">
        <v>7</v>
      </c>
      <c r="F4" s="6" t="s">
        <v>8</v>
      </c>
      <c r="G4" s="6" t="s">
        <v>9</v>
      </c>
      <c r="H4" s="18" t="s">
        <v>10</v>
      </c>
      <c r="I4" s="51" t="s">
        <v>11</v>
      </c>
      <c r="J4" s="39" t="s">
        <v>9</v>
      </c>
      <c r="K4" s="50" t="s">
        <v>12</v>
      </c>
      <c r="L4" s="50" t="s">
        <v>13</v>
      </c>
      <c r="M4" s="50" t="s">
        <v>14</v>
      </c>
      <c r="N4" s="50" t="s">
        <v>12</v>
      </c>
      <c r="O4" s="50" t="s">
        <v>13</v>
      </c>
      <c r="P4" s="50" t="s">
        <v>14</v>
      </c>
      <c r="Q4" s="50" t="s">
        <v>12</v>
      </c>
      <c r="R4" s="50" t="s">
        <v>13</v>
      </c>
      <c r="S4" s="50" t="s">
        <v>14</v>
      </c>
      <c r="T4" s="50" t="s">
        <v>12</v>
      </c>
      <c r="U4" s="50" t="s">
        <v>13</v>
      </c>
      <c r="V4" s="50" t="s">
        <v>14</v>
      </c>
      <c r="W4" s="31" t="s">
        <v>329</v>
      </c>
      <c r="Y4" s="6" t="s">
        <v>20</v>
      </c>
      <c r="AA4" s="6" t="s">
        <v>5</v>
      </c>
      <c r="AB4" s="6" t="s">
        <v>6</v>
      </c>
      <c r="AC4" s="6" t="s">
        <v>7</v>
      </c>
      <c r="AD4" s="6" t="s">
        <v>8</v>
      </c>
      <c r="AE4" s="6" t="s">
        <v>9</v>
      </c>
      <c r="AF4" s="57" t="s">
        <v>10</v>
      </c>
      <c r="AG4" s="51" t="s">
        <v>11</v>
      </c>
      <c r="AH4" s="39" t="s">
        <v>9</v>
      </c>
      <c r="AI4" s="50" t="s">
        <v>12</v>
      </c>
      <c r="AJ4" s="50" t="s">
        <v>13</v>
      </c>
      <c r="AK4" s="50" t="s">
        <v>14</v>
      </c>
      <c r="AL4" s="50" t="s">
        <v>12</v>
      </c>
      <c r="AM4" s="50" t="s">
        <v>13</v>
      </c>
      <c r="AN4" s="50" t="s">
        <v>14</v>
      </c>
      <c r="AO4" s="50" t="s">
        <v>12</v>
      </c>
      <c r="AP4" s="50" t="s">
        <v>13</v>
      </c>
      <c r="AQ4" s="50" t="s">
        <v>14</v>
      </c>
      <c r="AR4" s="50" t="s">
        <v>12</v>
      </c>
      <c r="AS4" s="50" t="s">
        <v>13</v>
      </c>
      <c r="AT4" s="50" t="s">
        <v>14</v>
      </c>
      <c r="AU4" s="31"/>
    </row>
    <row r="5" spans="1:48" x14ac:dyDescent="0.25">
      <c r="A5">
        <v>0</v>
      </c>
      <c r="B5" t="s">
        <v>16</v>
      </c>
      <c r="C5">
        <v>25984</v>
      </c>
      <c r="D5">
        <v>32</v>
      </c>
      <c r="E5">
        <v>1</v>
      </c>
      <c r="F5">
        <v>16</v>
      </c>
      <c r="G5">
        <v>371.74</v>
      </c>
      <c r="H5" s="139">
        <v>31.465</v>
      </c>
      <c r="I5" s="33">
        <v>45606</v>
      </c>
      <c r="J5" s="37">
        <v>0.8875925925925926</v>
      </c>
      <c r="K5">
        <v>0</v>
      </c>
      <c r="L5">
        <v>0</v>
      </c>
      <c r="M5">
        <v>0</v>
      </c>
      <c r="N5">
        <v>0</v>
      </c>
      <c r="O5">
        <v>0</v>
      </c>
      <c r="P5">
        <v>0</v>
      </c>
      <c r="Q5">
        <v>0</v>
      </c>
      <c r="R5">
        <v>0</v>
      </c>
      <c r="S5">
        <v>0</v>
      </c>
      <c r="T5">
        <v>0</v>
      </c>
      <c r="U5">
        <v>0</v>
      </c>
      <c r="V5">
        <v>0</v>
      </c>
      <c r="W5" s="30">
        <f>AVERAGE(H5:H9)</f>
        <v>31.496199999999998</v>
      </c>
      <c r="X5" s="17"/>
      <c r="Y5">
        <v>0</v>
      </c>
      <c r="Z5" t="s">
        <v>16</v>
      </c>
      <c r="AA5">
        <v>25984</v>
      </c>
      <c r="AB5">
        <v>32</v>
      </c>
      <c r="AC5">
        <v>1</v>
      </c>
      <c r="AD5">
        <v>16</v>
      </c>
      <c r="AE5">
        <v>330</v>
      </c>
      <c r="AF5" s="139">
        <v>35.444000000000003</v>
      </c>
      <c r="AG5" s="33">
        <v>45604</v>
      </c>
      <c r="AH5" s="34">
        <v>0.93748842592592596</v>
      </c>
      <c r="AI5">
        <v>0</v>
      </c>
      <c r="AJ5">
        <v>0</v>
      </c>
      <c r="AK5">
        <v>0</v>
      </c>
      <c r="AL5">
        <v>0</v>
      </c>
      <c r="AM5">
        <v>0</v>
      </c>
      <c r="AN5">
        <v>0</v>
      </c>
      <c r="AO5">
        <v>0</v>
      </c>
      <c r="AP5">
        <v>0</v>
      </c>
      <c r="AQ5">
        <v>0</v>
      </c>
      <c r="AR5">
        <v>0</v>
      </c>
      <c r="AS5">
        <v>0</v>
      </c>
      <c r="AT5">
        <v>0</v>
      </c>
      <c r="AU5" s="30">
        <f>AVERAGE(AF5:AF9)</f>
        <v>35.1768</v>
      </c>
      <c r="AV5" s="17"/>
    </row>
    <row r="6" spans="1:48" x14ac:dyDescent="0.25">
      <c r="A6">
        <v>1</v>
      </c>
      <c r="B6" t="s">
        <v>16</v>
      </c>
      <c r="C6">
        <v>25984</v>
      </c>
      <c r="D6">
        <v>32</v>
      </c>
      <c r="E6">
        <v>1</v>
      </c>
      <c r="F6">
        <v>16</v>
      </c>
      <c r="G6">
        <v>370.89</v>
      </c>
      <c r="H6" s="139">
        <v>31.536999999999999</v>
      </c>
      <c r="I6" s="33">
        <v>45606</v>
      </c>
      <c r="J6" s="37">
        <v>0.97783564814814816</v>
      </c>
      <c r="K6">
        <v>0</v>
      </c>
      <c r="L6">
        <v>0</v>
      </c>
      <c r="M6">
        <v>0</v>
      </c>
      <c r="N6">
        <v>0</v>
      </c>
      <c r="O6">
        <v>0</v>
      </c>
      <c r="P6">
        <v>0</v>
      </c>
      <c r="Q6">
        <v>0</v>
      </c>
      <c r="R6">
        <v>0</v>
      </c>
      <c r="S6">
        <v>0</v>
      </c>
      <c r="T6">
        <v>0</v>
      </c>
      <c r="U6">
        <v>0</v>
      </c>
      <c r="V6">
        <v>0</v>
      </c>
      <c r="W6" s="30">
        <f>W5</f>
        <v>31.496199999999998</v>
      </c>
      <c r="X6" s="17"/>
      <c r="Y6">
        <v>1</v>
      </c>
      <c r="Z6" t="s">
        <v>16</v>
      </c>
      <c r="AA6">
        <v>25984</v>
      </c>
      <c r="AB6">
        <v>32</v>
      </c>
      <c r="AC6">
        <v>1</v>
      </c>
      <c r="AD6">
        <v>16</v>
      </c>
      <c r="AE6">
        <v>331.98</v>
      </c>
      <c r="AF6" s="139">
        <v>35.232999999999997</v>
      </c>
      <c r="AG6" s="33">
        <v>45605</v>
      </c>
      <c r="AH6" s="34">
        <v>2.6828703703703705E-2</v>
      </c>
      <c r="AI6">
        <v>0</v>
      </c>
      <c r="AJ6">
        <v>0</v>
      </c>
      <c r="AK6">
        <v>0</v>
      </c>
      <c r="AL6">
        <v>0</v>
      </c>
      <c r="AM6">
        <v>0</v>
      </c>
      <c r="AN6">
        <v>0</v>
      </c>
      <c r="AO6">
        <v>0</v>
      </c>
      <c r="AP6">
        <v>0</v>
      </c>
      <c r="AQ6">
        <v>0</v>
      </c>
      <c r="AR6">
        <v>0</v>
      </c>
      <c r="AS6">
        <v>0</v>
      </c>
      <c r="AT6">
        <v>0</v>
      </c>
      <c r="AU6" s="30">
        <f>AU5</f>
        <v>35.1768</v>
      </c>
      <c r="AV6" s="17"/>
    </row>
    <row r="7" spans="1:48" x14ac:dyDescent="0.25">
      <c r="A7">
        <v>2</v>
      </c>
      <c r="B7" t="s">
        <v>16</v>
      </c>
      <c r="C7">
        <v>25984</v>
      </c>
      <c r="D7">
        <v>32</v>
      </c>
      <c r="E7">
        <v>1</v>
      </c>
      <c r="F7">
        <v>16</v>
      </c>
      <c r="G7">
        <v>371.34</v>
      </c>
      <c r="H7" s="139">
        <v>31.498000000000001</v>
      </c>
      <c r="I7" s="33">
        <v>45607</v>
      </c>
      <c r="J7" s="37">
        <v>6.8009259259259255E-2</v>
      </c>
      <c r="K7">
        <v>0</v>
      </c>
      <c r="L7">
        <v>0</v>
      </c>
      <c r="M7">
        <v>0</v>
      </c>
      <c r="N7">
        <v>0</v>
      </c>
      <c r="O7">
        <v>0</v>
      </c>
      <c r="P7">
        <v>0</v>
      </c>
      <c r="Q7">
        <v>0</v>
      </c>
      <c r="R7">
        <v>0</v>
      </c>
      <c r="S7">
        <v>0</v>
      </c>
      <c r="T7">
        <v>0</v>
      </c>
      <c r="U7">
        <v>0</v>
      </c>
      <c r="V7">
        <v>0</v>
      </c>
      <c r="W7" s="30">
        <f>W6</f>
        <v>31.496199999999998</v>
      </c>
      <c r="X7" s="17"/>
      <c r="Y7">
        <v>2</v>
      </c>
      <c r="Z7" t="s">
        <v>16</v>
      </c>
      <c r="AA7">
        <v>25984</v>
      </c>
      <c r="AB7">
        <v>32</v>
      </c>
      <c r="AC7">
        <v>1</v>
      </c>
      <c r="AD7">
        <v>16</v>
      </c>
      <c r="AE7">
        <v>334.25</v>
      </c>
      <c r="AF7" s="139">
        <v>34.994</v>
      </c>
      <c r="AG7" s="33">
        <v>45605</v>
      </c>
      <c r="AH7" s="34">
        <v>0.11609953703703704</v>
      </c>
      <c r="AI7">
        <v>0</v>
      </c>
      <c r="AJ7">
        <v>0</v>
      </c>
      <c r="AK7">
        <v>0</v>
      </c>
      <c r="AL7">
        <v>0</v>
      </c>
      <c r="AM7">
        <v>0</v>
      </c>
      <c r="AN7">
        <v>0</v>
      </c>
      <c r="AO7">
        <v>0</v>
      </c>
      <c r="AP7">
        <v>0</v>
      </c>
      <c r="AQ7">
        <v>0</v>
      </c>
      <c r="AR7">
        <v>0</v>
      </c>
      <c r="AS7">
        <v>0</v>
      </c>
      <c r="AT7">
        <v>0</v>
      </c>
      <c r="AU7" s="30">
        <f t="shared" ref="AU7:AU9" si="0">AU6</f>
        <v>35.1768</v>
      </c>
      <c r="AV7" s="17"/>
    </row>
    <row r="8" spans="1:48" x14ac:dyDescent="0.25">
      <c r="A8">
        <v>3</v>
      </c>
      <c r="B8" t="s">
        <v>16</v>
      </c>
      <c r="C8">
        <v>25984</v>
      </c>
      <c r="D8">
        <v>32</v>
      </c>
      <c r="E8">
        <v>1</v>
      </c>
      <c r="F8">
        <v>16</v>
      </c>
      <c r="G8">
        <v>371.72</v>
      </c>
      <c r="H8" s="139">
        <v>31.466000000000001</v>
      </c>
      <c r="I8" s="33">
        <v>45607</v>
      </c>
      <c r="J8" s="37">
        <v>0.15818287037037038</v>
      </c>
      <c r="K8">
        <v>0</v>
      </c>
      <c r="L8">
        <v>0</v>
      </c>
      <c r="M8">
        <v>0</v>
      </c>
      <c r="N8">
        <v>0</v>
      </c>
      <c r="O8">
        <v>0</v>
      </c>
      <c r="P8">
        <v>0</v>
      </c>
      <c r="Q8">
        <v>0</v>
      </c>
      <c r="R8">
        <v>0</v>
      </c>
      <c r="S8">
        <v>0</v>
      </c>
      <c r="T8">
        <v>0</v>
      </c>
      <c r="U8">
        <v>0</v>
      </c>
      <c r="V8">
        <v>0</v>
      </c>
      <c r="W8" s="30">
        <f>W7</f>
        <v>31.496199999999998</v>
      </c>
      <c r="X8" s="17"/>
      <c r="Y8">
        <v>3</v>
      </c>
      <c r="Z8" t="s">
        <v>16</v>
      </c>
      <c r="AA8">
        <v>25984</v>
      </c>
      <c r="AB8">
        <v>32</v>
      </c>
      <c r="AC8">
        <v>1</v>
      </c>
      <c r="AD8">
        <v>16</v>
      </c>
      <c r="AE8">
        <v>334.57</v>
      </c>
      <c r="AF8" s="139">
        <v>34.960999999999999</v>
      </c>
      <c r="AG8" s="33">
        <v>45605</v>
      </c>
      <c r="AH8" s="34">
        <v>0.20534722222222221</v>
      </c>
      <c r="AI8">
        <v>0</v>
      </c>
      <c r="AJ8">
        <v>0</v>
      </c>
      <c r="AK8">
        <v>0</v>
      </c>
      <c r="AL8">
        <v>0</v>
      </c>
      <c r="AM8">
        <v>0</v>
      </c>
      <c r="AN8">
        <v>0</v>
      </c>
      <c r="AO8">
        <v>0</v>
      </c>
      <c r="AP8">
        <v>0</v>
      </c>
      <c r="AQ8">
        <v>0</v>
      </c>
      <c r="AR8">
        <v>0</v>
      </c>
      <c r="AS8">
        <v>0</v>
      </c>
      <c r="AT8">
        <v>0</v>
      </c>
      <c r="AU8" s="30">
        <f t="shared" si="0"/>
        <v>35.1768</v>
      </c>
      <c r="AV8" s="17"/>
    </row>
    <row r="9" spans="1:48" x14ac:dyDescent="0.25">
      <c r="A9">
        <v>4</v>
      </c>
      <c r="B9" t="s">
        <v>16</v>
      </c>
      <c r="C9">
        <v>25984</v>
      </c>
      <c r="D9">
        <v>32</v>
      </c>
      <c r="E9">
        <v>1</v>
      </c>
      <c r="F9">
        <v>16</v>
      </c>
      <c r="G9">
        <v>371.15</v>
      </c>
      <c r="H9" s="139">
        <v>31.515000000000001</v>
      </c>
      <c r="I9" s="33">
        <v>45607</v>
      </c>
      <c r="J9" s="37">
        <v>0.24839120370370371</v>
      </c>
      <c r="K9">
        <v>0</v>
      </c>
      <c r="L9">
        <v>0</v>
      </c>
      <c r="M9">
        <v>0</v>
      </c>
      <c r="N9">
        <v>0</v>
      </c>
      <c r="O9">
        <v>0</v>
      </c>
      <c r="P9">
        <v>0</v>
      </c>
      <c r="Q9">
        <v>0</v>
      </c>
      <c r="R9">
        <v>0</v>
      </c>
      <c r="S9">
        <v>0</v>
      </c>
      <c r="T9">
        <v>0</v>
      </c>
      <c r="U9">
        <v>0</v>
      </c>
      <c r="V9">
        <v>0</v>
      </c>
      <c r="W9" s="30">
        <f>W8</f>
        <v>31.496199999999998</v>
      </c>
      <c r="X9" s="17"/>
      <c r="Y9">
        <v>4</v>
      </c>
      <c r="Z9" t="s">
        <v>16</v>
      </c>
      <c r="AA9">
        <v>25984</v>
      </c>
      <c r="AB9">
        <v>32</v>
      </c>
      <c r="AC9">
        <v>1</v>
      </c>
      <c r="AD9">
        <v>16</v>
      </c>
      <c r="AE9">
        <v>331.8</v>
      </c>
      <c r="AF9" s="139">
        <v>35.252000000000002</v>
      </c>
      <c r="AG9" s="33">
        <v>45605</v>
      </c>
      <c r="AH9" s="34">
        <v>0.51956018518518521</v>
      </c>
      <c r="AI9">
        <v>0</v>
      </c>
      <c r="AJ9">
        <v>0</v>
      </c>
      <c r="AK9">
        <v>0</v>
      </c>
      <c r="AL9">
        <v>0</v>
      </c>
      <c r="AM9">
        <v>0</v>
      </c>
      <c r="AN9">
        <v>0</v>
      </c>
      <c r="AO9">
        <v>0</v>
      </c>
      <c r="AP9">
        <v>0</v>
      </c>
      <c r="AQ9">
        <v>0</v>
      </c>
      <c r="AR9">
        <v>0</v>
      </c>
      <c r="AS9">
        <v>0</v>
      </c>
      <c r="AT9">
        <v>0</v>
      </c>
      <c r="AU9" s="30">
        <f t="shared" si="0"/>
        <v>35.1768</v>
      </c>
      <c r="AV9" s="17"/>
    </row>
    <row r="10" spans="1:48" x14ac:dyDescent="0.25">
      <c r="A10">
        <v>0</v>
      </c>
      <c r="B10" t="s">
        <v>16</v>
      </c>
      <c r="C10">
        <v>27520</v>
      </c>
      <c r="D10">
        <v>32</v>
      </c>
      <c r="E10">
        <v>1</v>
      </c>
      <c r="F10">
        <v>16</v>
      </c>
      <c r="G10">
        <v>440.07</v>
      </c>
      <c r="H10" s="139">
        <v>31.577000000000002</v>
      </c>
      <c r="I10" s="33">
        <v>45606</v>
      </c>
      <c r="J10" s="37">
        <v>0.80857638888888894</v>
      </c>
      <c r="K10">
        <v>0</v>
      </c>
      <c r="L10">
        <v>0</v>
      </c>
      <c r="M10">
        <v>0</v>
      </c>
      <c r="N10">
        <v>0</v>
      </c>
      <c r="O10">
        <v>0</v>
      </c>
      <c r="P10">
        <v>0</v>
      </c>
      <c r="Q10">
        <v>0</v>
      </c>
      <c r="R10">
        <v>0</v>
      </c>
      <c r="S10">
        <v>0</v>
      </c>
      <c r="T10">
        <v>0</v>
      </c>
      <c r="U10">
        <v>0</v>
      </c>
      <c r="V10">
        <v>0</v>
      </c>
      <c r="W10" s="30">
        <f>AVERAGE(H10:H14)</f>
        <v>31.570399999999999</v>
      </c>
      <c r="X10" s="17"/>
      <c r="Y10">
        <v>0</v>
      </c>
      <c r="Z10" t="s">
        <v>16</v>
      </c>
      <c r="AA10">
        <v>27520</v>
      </c>
      <c r="AB10">
        <v>32</v>
      </c>
      <c r="AC10">
        <v>1</v>
      </c>
      <c r="AD10">
        <v>16</v>
      </c>
      <c r="AE10">
        <v>406</v>
      </c>
      <c r="AF10" s="139">
        <v>34.226999999999997</v>
      </c>
      <c r="AG10" s="33">
        <v>45604</v>
      </c>
      <c r="AH10" s="34">
        <v>0.90861111111111115</v>
      </c>
      <c r="AI10">
        <v>0</v>
      </c>
      <c r="AJ10">
        <v>0</v>
      </c>
      <c r="AK10">
        <v>0</v>
      </c>
      <c r="AL10">
        <v>0</v>
      </c>
      <c r="AM10">
        <v>0</v>
      </c>
      <c r="AN10">
        <v>0</v>
      </c>
      <c r="AO10">
        <v>0</v>
      </c>
      <c r="AP10">
        <v>0</v>
      </c>
      <c r="AQ10">
        <v>0</v>
      </c>
      <c r="AR10">
        <v>0</v>
      </c>
      <c r="AS10">
        <v>0</v>
      </c>
      <c r="AT10">
        <v>0</v>
      </c>
      <c r="AU10" s="30">
        <f>AVERAGE(AF10:AF14)</f>
        <v>35.195399999999992</v>
      </c>
      <c r="AV10" s="17"/>
    </row>
    <row r="11" spans="1:48" x14ac:dyDescent="0.25">
      <c r="A11">
        <v>1</v>
      </c>
      <c r="B11" t="s">
        <v>16</v>
      </c>
      <c r="C11">
        <v>27520</v>
      </c>
      <c r="D11">
        <v>32</v>
      </c>
      <c r="E11">
        <v>1</v>
      </c>
      <c r="F11">
        <v>16</v>
      </c>
      <c r="G11">
        <v>440.08</v>
      </c>
      <c r="H11" s="139">
        <v>31.576000000000001</v>
      </c>
      <c r="I11" s="33">
        <v>45606</v>
      </c>
      <c r="J11" s="37">
        <v>0.94868055555555553</v>
      </c>
      <c r="K11">
        <v>0</v>
      </c>
      <c r="L11">
        <v>0</v>
      </c>
      <c r="M11">
        <v>0</v>
      </c>
      <c r="N11">
        <v>0</v>
      </c>
      <c r="O11">
        <v>0</v>
      </c>
      <c r="P11">
        <v>0</v>
      </c>
      <c r="Q11">
        <v>0</v>
      </c>
      <c r="R11">
        <v>0</v>
      </c>
      <c r="S11">
        <v>0</v>
      </c>
      <c r="T11">
        <v>0</v>
      </c>
      <c r="U11">
        <v>0</v>
      </c>
      <c r="V11">
        <v>0</v>
      </c>
      <c r="W11" s="30">
        <f>W10</f>
        <v>31.570399999999999</v>
      </c>
      <c r="X11" s="17"/>
      <c r="Y11">
        <v>1</v>
      </c>
      <c r="Z11" t="s">
        <v>16</v>
      </c>
      <c r="AA11">
        <v>27520</v>
      </c>
      <c r="AB11">
        <v>32</v>
      </c>
      <c r="AC11">
        <v>1</v>
      </c>
      <c r="AD11">
        <v>16</v>
      </c>
      <c r="AE11">
        <v>391.74</v>
      </c>
      <c r="AF11" s="139">
        <v>35.472000000000001</v>
      </c>
      <c r="AG11" s="33">
        <v>45604</v>
      </c>
      <c r="AH11" s="34">
        <v>0.9979513888888889</v>
      </c>
      <c r="AI11">
        <v>0</v>
      </c>
      <c r="AJ11">
        <v>0</v>
      </c>
      <c r="AK11">
        <v>0</v>
      </c>
      <c r="AL11">
        <v>0</v>
      </c>
      <c r="AM11">
        <v>0</v>
      </c>
      <c r="AN11">
        <v>0</v>
      </c>
      <c r="AO11">
        <v>0</v>
      </c>
      <c r="AP11">
        <v>0</v>
      </c>
      <c r="AQ11">
        <v>0</v>
      </c>
      <c r="AR11">
        <v>0</v>
      </c>
      <c r="AS11">
        <v>0</v>
      </c>
      <c r="AT11">
        <v>0</v>
      </c>
      <c r="AU11" s="30">
        <f>AU10</f>
        <v>35.195399999999992</v>
      </c>
      <c r="AV11" s="17"/>
    </row>
    <row r="12" spans="1:48" x14ac:dyDescent="0.25">
      <c r="A12">
        <v>2</v>
      </c>
      <c r="B12" t="s">
        <v>16</v>
      </c>
      <c r="C12">
        <v>27520</v>
      </c>
      <c r="D12">
        <v>32</v>
      </c>
      <c r="E12">
        <v>1</v>
      </c>
      <c r="F12">
        <v>16</v>
      </c>
      <c r="G12">
        <v>439.83</v>
      </c>
      <c r="H12" s="139">
        <v>31.594000000000001</v>
      </c>
      <c r="I12" s="33">
        <v>45607</v>
      </c>
      <c r="J12" s="37">
        <v>3.8865740740740742E-2</v>
      </c>
      <c r="K12">
        <v>0</v>
      </c>
      <c r="L12">
        <v>0</v>
      </c>
      <c r="M12">
        <v>0</v>
      </c>
      <c r="N12">
        <v>0</v>
      </c>
      <c r="O12">
        <v>0</v>
      </c>
      <c r="P12">
        <v>0</v>
      </c>
      <c r="Q12">
        <v>0</v>
      </c>
      <c r="R12">
        <v>0</v>
      </c>
      <c r="S12">
        <v>0</v>
      </c>
      <c r="T12">
        <v>0</v>
      </c>
      <c r="U12">
        <v>0</v>
      </c>
      <c r="V12">
        <v>0</v>
      </c>
      <c r="W12" s="30">
        <f>W11</f>
        <v>31.570399999999999</v>
      </c>
      <c r="X12" s="17"/>
      <c r="Y12">
        <v>2</v>
      </c>
      <c r="Z12" t="s">
        <v>16</v>
      </c>
      <c r="AA12">
        <v>27520</v>
      </c>
      <c r="AB12">
        <v>32</v>
      </c>
      <c r="AC12">
        <v>1</v>
      </c>
      <c r="AD12">
        <v>16</v>
      </c>
      <c r="AE12">
        <v>392.74</v>
      </c>
      <c r="AF12" s="139">
        <v>35.381999999999998</v>
      </c>
      <c r="AG12" s="33">
        <v>45605</v>
      </c>
      <c r="AH12" s="34">
        <v>8.7233796296296295E-2</v>
      </c>
      <c r="AI12">
        <v>0</v>
      </c>
      <c r="AJ12">
        <v>0</v>
      </c>
      <c r="AK12">
        <v>0</v>
      </c>
      <c r="AL12">
        <v>0</v>
      </c>
      <c r="AM12">
        <v>0</v>
      </c>
      <c r="AN12">
        <v>0</v>
      </c>
      <c r="AO12">
        <v>0</v>
      </c>
      <c r="AP12">
        <v>0</v>
      </c>
      <c r="AQ12">
        <v>0</v>
      </c>
      <c r="AR12">
        <v>0</v>
      </c>
      <c r="AS12">
        <v>0</v>
      </c>
      <c r="AT12">
        <v>0</v>
      </c>
      <c r="AU12" s="30">
        <f t="shared" ref="AU12:AU14" si="1">AU11</f>
        <v>35.195399999999992</v>
      </c>
      <c r="AV12" s="17"/>
    </row>
    <row r="13" spans="1:48" x14ac:dyDescent="0.25">
      <c r="A13">
        <v>3</v>
      </c>
      <c r="B13" t="s">
        <v>16</v>
      </c>
      <c r="C13">
        <v>27520</v>
      </c>
      <c r="D13">
        <v>32</v>
      </c>
      <c r="E13">
        <v>1</v>
      </c>
      <c r="F13">
        <v>16</v>
      </c>
      <c r="G13">
        <v>440.28</v>
      </c>
      <c r="H13" s="139">
        <v>31.562000000000001</v>
      </c>
      <c r="I13" s="33">
        <v>45607</v>
      </c>
      <c r="J13" s="37">
        <v>0.12902777777777777</v>
      </c>
      <c r="K13">
        <v>0</v>
      </c>
      <c r="L13">
        <v>0</v>
      </c>
      <c r="M13">
        <v>0</v>
      </c>
      <c r="N13">
        <v>0</v>
      </c>
      <c r="O13">
        <v>0</v>
      </c>
      <c r="P13">
        <v>0</v>
      </c>
      <c r="Q13">
        <v>0</v>
      </c>
      <c r="R13">
        <v>0</v>
      </c>
      <c r="S13">
        <v>0</v>
      </c>
      <c r="T13">
        <v>0</v>
      </c>
      <c r="U13">
        <v>0</v>
      </c>
      <c r="V13">
        <v>0</v>
      </c>
      <c r="W13" s="30">
        <f>W12</f>
        <v>31.570399999999999</v>
      </c>
      <c r="X13" s="17"/>
      <c r="Y13">
        <v>3</v>
      </c>
      <c r="Z13" t="s">
        <v>16</v>
      </c>
      <c r="AA13">
        <v>27520</v>
      </c>
      <c r="AB13">
        <v>32</v>
      </c>
      <c r="AC13">
        <v>1</v>
      </c>
      <c r="AD13">
        <v>16</v>
      </c>
      <c r="AE13">
        <v>393.22</v>
      </c>
      <c r="AF13" s="139">
        <v>35.338999999999999</v>
      </c>
      <c r="AG13" s="33">
        <v>45605</v>
      </c>
      <c r="AH13" s="34">
        <v>0.17651620370370372</v>
      </c>
      <c r="AI13">
        <v>0</v>
      </c>
      <c r="AJ13">
        <v>0</v>
      </c>
      <c r="AK13">
        <v>0</v>
      </c>
      <c r="AL13">
        <v>0</v>
      </c>
      <c r="AM13">
        <v>0</v>
      </c>
      <c r="AN13">
        <v>0</v>
      </c>
      <c r="AO13">
        <v>0</v>
      </c>
      <c r="AP13">
        <v>0</v>
      </c>
      <c r="AQ13">
        <v>0</v>
      </c>
      <c r="AR13">
        <v>0</v>
      </c>
      <c r="AS13">
        <v>0</v>
      </c>
      <c r="AT13">
        <v>0</v>
      </c>
      <c r="AU13" s="30">
        <f t="shared" si="1"/>
        <v>35.195399999999992</v>
      </c>
      <c r="AV13" s="17"/>
    </row>
    <row r="14" spans="1:48" x14ac:dyDescent="0.25">
      <c r="A14">
        <v>4</v>
      </c>
      <c r="B14" t="s">
        <v>16</v>
      </c>
      <c r="C14">
        <v>27520</v>
      </c>
      <c r="D14">
        <v>32</v>
      </c>
      <c r="E14">
        <v>1</v>
      </c>
      <c r="F14">
        <v>16</v>
      </c>
      <c r="G14">
        <v>440.55</v>
      </c>
      <c r="H14" s="139">
        <v>31.542999999999999</v>
      </c>
      <c r="I14" s="33">
        <v>45607</v>
      </c>
      <c r="J14" s="37">
        <v>0.21922453703703704</v>
      </c>
      <c r="K14">
        <v>0</v>
      </c>
      <c r="L14">
        <v>0</v>
      </c>
      <c r="M14">
        <v>0</v>
      </c>
      <c r="N14">
        <v>0</v>
      </c>
      <c r="O14">
        <v>0</v>
      </c>
      <c r="P14">
        <v>0</v>
      </c>
      <c r="Q14">
        <v>0</v>
      </c>
      <c r="R14">
        <v>0</v>
      </c>
      <c r="S14">
        <v>0</v>
      </c>
      <c r="T14">
        <v>0</v>
      </c>
      <c r="U14">
        <v>0</v>
      </c>
      <c r="V14">
        <v>0</v>
      </c>
      <c r="W14" s="30">
        <f>W13</f>
        <v>31.570399999999999</v>
      </c>
      <c r="X14" s="17"/>
      <c r="Y14">
        <v>4</v>
      </c>
      <c r="Z14" t="s">
        <v>16</v>
      </c>
      <c r="AA14">
        <v>27520</v>
      </c>
      <c r="AB14">
        <v>32</v>
      </c>
      <c r="AC14">
        <v>1</v>
      </c>
      <c r="AD14">
        <v>16</v>
      </c>
      <c r="AE14">
        <v>390.81</v>
      </c>
      <c r="AF14" s="139">
        <v>35.557000000000002</v>
      </c>
      <c r="AG14" s="33">
        <v>45605</v>
      </c>
      <c r="AH14" s="34">
        <v>0.4906712962962963</v>
      </c>
      <c r="AI14">
        <v>0</v>
      </c>
      <c r="AJ14">
        <v>0</v>
      </c>
      <c r="AK14">
        <v>0</v>
      </c>
      <c r="AL14">
        <v>0</v>
      </c>
      <c r="AM14">
        <v>0</v>
      </c>
      <c r="AN14">
        <v>0</v>
      </c>
      <c r="AO14">
        <v>0</v>
      </c>
      <c r="AP14">
        <v>0</v>
      </c>
      <c r="AQ14">
        <v>0</v>
      </c>
      <c r="AR14">
        <v>0</v>
      </c>
      <c r="AS14">
        <v>0</v>
      </c>
      <c r="AT14">
        <v>0</v>
      </c>
      <c r="AU14" s="30">
        <f t="shared" si="1"/>
        <v>35.195399999999992</v>
      </c>
      <c r="AV14" s="17"/>
    </row>
    <row r="15" spans="1:48" x14ac:dyDescent="0.25">
      <c r="A15">
        <v>0</v>
      </c>
      <c r="B15" t="s">
        <v>16</v>
      </c>
      <c r="C15">
        <v>29056</v>
      </c>
      <c r="D15">
        <v>32</v>
      </c>
      <c r="E15">
        <v>1</v>
      </c>
      <c r="F15">
        <v>16</v>
      </c>
      <c r="G15">
        <v>509.7</v>
      </c>
      <c r="H15" s="139">
        <v>32.087000000000003</v>
      </c>
      <c r="I15" s="33">
        <v>45606</v>
      </c>
      <c r="J15" s="37">
        <v>0.91473379629629625</v>
      </c>
      <c r="K15">
        <v>0</v>
      </c>
      <c r="L15">
        <v>0</v>
      </c>
      <c r="M15">
        <v>0</v>
      </c>
      <c r="N15">
        <v>0</v>
      </c>
      <c r="O15">
        <v>0</v>
      </c>
      <c r="P15">
        <v>0</v>
      </c>
      <c r="Q15">
        <v>0</v>
      </c>
      <c r="R15">
        <v>0</v>
      </c>
      <c r="S15">
        <v>0</v>
      </c>
      <c r="T15">
        <v>0</v>
      </c>
      <c r="U15">
        <v>0</v>
      </c>
      <c r="V15">
        <v>0</v>
      </c>
      <c r="W15" s="30">
        <f>AVERAGE(H15:H19)</f>
        <v>32.1004</v>
      </c>
      <c r="X15" s="17"/>
      <c r="Y15">
        <v>0</v>
      </c>
      <c r="Z15" t="s">
        <v>16</v>
      </c>
      <c r="AA15">
        <v>29056</v>
      </c>
      <c r="AB15">
        <v>32</v>
      </c>
      <c r="AC15">
        <v>1</v>
      </c>
      <c r="AD15">
        <v>16</v>
      </c>
      <c r="AE15">
        <v>462.54</v>
      </c>
      <c r="AF15" s="139">
        <v>35.359000000000002</v>
      </c>
      <c r="AG15" s="33">
        <v>45604</v>
      </c>
      <c r="AH15" s="34">
        <v>0.96453703703703708</v>
      </c>
      <c r="AI15">
        <v>0</v>
      </c>
      <c r="AJ15">
        <v>0</v>
      </c>
      <c r="AK15">
        <v>0</v>
      </c>
      <c r="AL15">
        <v>0</v>
      </c>
      <c r="AM15">
        <v>0</v>
      </c>
      <c r="AN15">
        <v>0</v>
      </c>
      <c r="AO15">
        <v>0</v>
      </c>
      <c r="AP15">
        <v>0</v>
      </c>
      <c r="AQ15">
        <v>0</v>
      </c>
      <c r="AR15">
        <v>0</v>
      </c>
      <c r="AS15">
        <v>0</v>
      </c>
      <c r="AT15">
        <v>0</v>
      </c>
      <c r="AU15" s="30">
        <f t="shared" ref="AU15" si="2">AVERAGE(AF15:AF19)</f>
        <v>35.778199999999998</v>
      </c>
      <c r="AV15" s="17"/>
    </row>
    <row r="16" spans="1:48" x14ac:dyDescent="0.25">
      <c r="A16">
        <v>1</v>
      </c>
      <c r="B16" t="s">
        <v>16</v>
      </c>
      <c r="C16">
        <v>29056</v>
      </c>
      <c r="D16">
        <v>32</v>
      </c>
      <c r="E16">
        <v>1</v>
      </c>
      <c r="F16">
        <v>16</v>
      </c>
      <c r="G16">
        <v>509.51</v>
      </c>
      <c r="H16" s="139">
        <v>32.1</v>
      </c>
      <c r="I16" s="33">
        <v>45607</v>
      </c>
      <c r="J16" s="37">
        <v>5.0000000000000001E-3</v>
      </c>
      <c r="K16">
        <v>0</v>
      </c>
      <c r="L16">
        <v>0</v>
      </c>
      <c r="M16">
        <v>0</v>
      </c>
      <c r="N16">
        <v>0</v>
      </c>
      <c r="O16">
        <v>0</v>
      </c>
      <c r="P16">
        <v>0</v>
      </c>
      <c r="Q16">
        <v>0</v>
      </c>
      <c r="R16">
        <v>0</v>
      </c>
      <c r="S16">
        <v>0</v>
      </c>
      <c r="T16">
        <v>0</v>
      </c>
      <c r="U16">
        <v>0</v>
      </c>
      <c r="V16">
        <v>0</v>
      </c>
      <c r="W16" s="30">
        <f>W15</f>
        <v>32.1004</v>
      </c>
      <c r="X16" s="17"/>
      <c r="Y16">
        <v>1</v>
      </c>
      <c r="Z16" t="s">
        <v>16</v>
      </c>
      <c r="AA16">
        <v>29056</v>
      </c>
      <c r="AB16">
        <v>32</v>
      </c>
      <c r="AC16">
        <v>1</v>
      </c>
      <c r="AD16">
        <v>16</v>
      </c>
      <c r="AE16">
        <v>455.08</v>
      </c>
      <c r="AF16" s="139">
        <v>35.939</v>
      </c>
      <c r="AG16" s="33">
        <v>45605</v>
      </c>
      <c r="AH16" s="34">
        <v>5.3807870370370367E-2</v>
      </c>
      <c r="AI16">
        <v>0</v>
      </c>
      <c r="AJ16">
        <v>0</v>
      </c>
      <c r="AK16">
        <v>0</v>
      </c>
      <c r="AL16">
        <v>0</v>
      </c>
      <c r="AM16">
        <v>0</v>
      </c>
      <c r="AN16">
        <v>0</v>
      </c>
      <c r="AO16">
        <v>0</v>
      </c>
      <c r="AP16">
        <v>0</v>
      </c>
      <c r="AQ16">
        <v>0</v>
      </c>
      <c r="AR16">
        <v>0</v>
      </c>
      <c r="AS16">
        <v>0</v>
      </c>
      <c r="AT16">
        <v>0</v>
      </c>
      <c r="AU16" s="30">
        <f t="shared" ref="AU16:AU79" si="3">AU15</f>
        <v>35.778199999999998</v>
      </c>
      <c r="AV16" s="17"/>
    </row>
    <row r="17" spans="1:48" x14ac:dyDescent="0.25">
      <c r="A17">
        <v>2</v>
      </c>
      <c r="B17" t="s">
        <v>16</v>
      </c>
      <c r="C17">
        <v>29056</v>
      </c>
      <c r="D17">
        <v>32</v>
      </c>
      <c r="E17">
        <v>1</v>
      </c>
      <c r="F17">
        <v>16</v>
      </c>
      <c r="G17">
        <v>509.27</v>
      </c>
      <c r="H17" s="139">
        <v>32.115000000000002</v>
      </c>
      <c r="I17" s="33">
        <v>45607</v>
      </c>
      <c r="J17" s="37">
        <v>9.5185185185185192E-2</v>
      </c>
      <c r="K17">
        <v>0</v>
      </c>
      <c r="L17">
        <v>0</v>
      </c>
      <c r="M17">
        <v>0</v>
      </c>
      <c r="N17">
        <v>0</v>
      </c>
      <c r="O17">
        <v>0</v>
      </c>
      <c r="P17">
        <v>0</v>
      </c>
      <c r="Q17">
        <v>0</v>
      </c>
      <c r="R17">
        <v>0</v>
      </c>
      <c r="S17">
        <v>0</v>
      </c>
      <c r="T17">
        <v>0</v>
      </c>
      <c r="U17">
        <v>0</v>
      </c>
      <c r="V17">
        <v>0</v>
      </c>
      <c r="W17" s="30">
        <f>W16</f>
        <v>32.1004</v>
      </c>
      <c r="X17" s="17"/>
      <c r="Y17">
        <v>2</v>
      </c>
      <c r="Z17" t="s">
        <v>16</v>
      </c>
      <c r="AA17">
        <v>29056</v>
      </c>
      <c r="AB17">
        <v>32</v>
      </c>
      <c r="AC17">
        <v>1</v>
      </c>
      <c r="AD17">
        <v>16</v>
      </c>
      <c r="AE17">
        <v>455.77</v>
      </c>
      <c r="AF17" s="139">
        <v>35.884</v>
      </c>
      <c r="AG17" s="33">
        <v>45605</v>
      </c>
      <c r="AH17" s="34">
        <v>0.14307870370370371</v>
      </c>
      <c r="AI17">
        <v>0</v>
      </c>
      <c r="AJ17">
        <v>0</v>
      </c>
      <c r="AK17">
        <v>0</v>
      </c>
      <c r="AL17">
        <v>0</v>
      </c>
      <c r="AM17">
        <v>0</v>
      </c>
      <c r="AN17">
        <v>0</v>
      </c>
      <c r="AO17">
        <v>0</v>
      </c>
      <c r="AP17">
        <v>0</v>
      </c>
      <c r="AQ17">
        <v>0</v>
      </c>
      <c r="AR17">
        <v>0</v>
      </c>
      <c r="AS17">
        <v>0</v>
      </c>
      <c r="AT17">
        <v>0</v>
      </c>
      <c r="AU17" s="30">
        <f t="shared" si="3"/>
        <v>35.778199999999998</v>
      </c>
      <c r="AV17" s="17"/>
    </row>
    <row r="18" spans="1:48" x14ac:dyDescent="0.25">
      <c r="A18">
        <v>3</v>
      </c>
      <c r="B18" t="s">
        <v>16</v>
      </c>
      <c r="C18">
        <v>29056</v>
      </c>
      <c r="D18">
        <v>32</v>
      </c>
      <c r="E18">
        <v>1</v>
      </c>
      <c r="F18">
        <v>16</v>
      </c>
      <c r="G18">
        <v>509.19</v>
      </c>
      <c r="H18" s="139">
        <v>32.119999999999997</v>
      </c>
      <c r="I18" s="33">
        <v>45607</v>
      </c>
      <c r="J18" s="37">
        <v>0.18533564814814815</v>
      </c>
      <c r="K18">
        <v>0</v>
      </c>
      <c r="L18">
        <v>0</v>
      </c>
      <c r="M18">
        <v>0</v>
      </c>
      <c r="N18">
        <v>0</v>
      </c>
      <c r="O18">
        <v>0</v>
      </c>
      <c r="P18">
        <v>0</v>
      </c>
      <c r="Q18">
        <v>0</v>
      </c>
      <c r="R18">
        <v>0</v>
      </c>
      <c r="S18">
        <v>0</v>
      </c>
      <c r="T18">
        <v>0</v>
      </c>
      <c r="U18">
        <v>0</v>
      </c>
      <c r="V18">
        <v>0</v>
      </c>
      <c r="W18" s="30">
        <f>W17</f>
        <v>32.1004</v>
      </c>
      <c r="X18" s="17"/>
      <c r="Y18">
        <v>3</v>
      </c>
      <c r="Z18" t="s">
        <v>16</v>
      </c>
      <c r="AA18">
        <v>29056</v>
      </c>
      <c r="AB18">
        <v>32</v>
      </c>
      <c r="AC18">
        <v>1</v>
      </c>
      <c r="AD18">
        <v>16</v>
      </c>
      <c r="AE18">
        <v>456.31</v>
      </c>
      <c r="AF18" s="139">
        <v>35.841999999999999</v>
      </c>
      <c r="AG18" s="33">
        <v>45605</v>
      </c>
      <c r="AH18" s="34">
        <v>0.45725694444444442</v>
      </c>
      <c r="AI18">
        <v>0</v>
      </c>
      <c r="AJ18">
        <v>0</v>
      </c>
      <c r="AK18">
        <v>0</v>
      </c>
      <c r="AL18">
        <v>0</v>
      </c>
      <c r="AM18">
        <v>0</v>
      </c>
      <c r="AN18">
        <v>0</v>
      </c>
      <c r="AO18">
        <v>0</v>
      </c>
      <c r="AP18">
        <v>0</v>
      </c>
      <c r="AQ18">
        <v>0</v>
      </c>
      <c r="AR18">
        <v>0</v>
      </c>
      <c r="AS18">
        <v>0</v>
      </c>
      <c r="AT18">
        <v>0</v>
      </c>
      <c r="AU18" s="30">
        <f t="shared" si="3"/>
        <v>35.778199999999998</v>
      </c>
      <c r="AV18" s="17"/>
    </row>
    <row r="19" spans="1:48" x14ac:dyDescent="0.25">
      <c r="A19">
        <v>4</v>
      </c>
      <c r="B19" t="s">
        <v>16</v>
      </c>
      <c r="C19">
        <v>29056</v>
      </c>
      <c r="D19">
        <v>32</v>
      </c>
      <c r="E19">
        <v>1</v>
      </c>
      <c r="F19">
        <v>16</v>
      </c>
      <c r="G19">
        <v>509.82</v>
      </c>
      <c r="H19" s="139">
        <v>32.08</v>
      </c>
      <c r="I19" s="33">
        <v>45607</v>
      </c>
      <c r="J19" s="37">
        <v>0.27555555555555555</v>
      </c>
      <c r="K19">
        <v>0</v>
      </c>
      <c r="L19">
        <v>0</v>
      </c>
      <c r="M19">
        <v>0</v>
      </c>
      <c r="N19">
        <v>0</v>
      </c>
      <c r="O19">
        <v>0</v>
      </c>
      <c r="P19">
        <v>0</v>
      </c>
      <c r="Q19">
        <v>0</v>
      </c>
      <c r="R19">
        <v>0</v>
      </c>
      <c r="S19">
        <v>0</v>
      </c>
      <c r="T19">
        <v>0</v>
      </c>
      <c r="U19">
        <v>0</v>
      </c>
      <c r="V19">
        <v>0</v>
      </c>
      <c r="W19" s="30">
        <f>W18</f>
        <v>32.1004</v>
      </c>
      <c r="X19" s="17"/>
      <c r="Y19">
        <v>4</v>
      </c>
      <c r="Z19" t="s">
        <v>16</v>
      </c>
      <c r="AA19">
        <v>29056</v>
      </c>
      <c r="AB19">
        <v>32</v>
      </c>
      <c r="AC19">
        <v>1</v>
      </c>
      <c r="AD19">
        <v>16</v>
      </c>
      <c r="AE19">
        <v>455.99</v>
      </c>
      <c r="AF19" s="139">
        <v>35.866999999999997</v>
      </c>
      <c r="AG19" s="33">
        <v>45605</v>
      </c>
      <c r="AH19" s="34">
        <v>0.92303240740740744</v>
      </c>
      <c r="AI19">
        <v>0</v>
      </c>
      <c r="AJ19">
        <v>0</v>
      </c>
      <c r="AK19">
        <v>0</v>
      </c>
      <c r="AL19">
        <v>0</v>
      </c>
      <c r="AM19">
        <v>0</v>
      </c>
      <c r="AN19">
        <v>0</v>
      </c>
      <c r="AO19">
        <v>0</v>
      </c>
      <c r="AP19">
        <v>0</v>
      </c>
      <c r="AQ19">
        <v>0</v>
      </c>
      <c r="AR19">
        <v>0</v>
      </c>
      <c r="AS19">
        <v>0</v>
      </c>
      <c r="AT19">
        <v>0</v>
      </c>
      <c r="AU19" s="30">
        <f t="shared" si="3"/>
        <v>35.778199999999998</v>
      </c>
      <c r="AV19" s="17"/>
    </row>
    <row r="20" spans="1:48" x14ac:dyDescent="0.25">
      <c r="A20">
        <v>0</v>
      </c>
      <c r="B20" t="s">
        <v>16</v>
      </c>
      <c r="C20">
        <v>25984</v>
      </c>
      <c r="D20">
        <v>32</v>
      </c>
      <c r="E20">
        <v>2</v>
      </c>
      <c r="F20">
        <v>8</v>
      </c>
      <c r="G20">
        <v>357.3</v>
      </c>
      <c r="H20" s="139">
        <v>32.737000000000002</v>
      </c>
      <c r="I20" s="33">
        <v>45606</v>
      </c>
      <c r="J20" s="37">
        <v>0.8919097222222222</v>
      </c>
      <c r="K20">
        <v>0</v>
      </c>
      <c r="L20">
        <v>0</v>
      </c>
      <c r="M20">
        <v>0</v>
      </c>
      <c r="N20">
        <v>0</v>
      </c>
      <c r="O20">
        <v>0</v>
      </c>
      <c r="P20">
        <v>0</v>
      </c>
      <c r="Q20">
        <v>0</v>
      </c>
      <c r="R20">
        <v>0</v>
      </c>
      <c r="S20">
        <v>0</v>
      </c>
      <c r="T20">
        <v>0</v>
      </c>
      <c r="U20">
        <v>0</v>
      </c>
      <c r="V20">
        <v>0</v>
      </c>
      <c r="W20" s="30">
        <f>AVERAGE(H20:H24)</f>
        <v>32.702399999999997</v>
      </c>
      <c r="X20" s="17"/>
      <c r="Y20">
        <v>0</v>
      </c>
      <c r="Z20" t="s">
        <v>16</v>
      </c>
      <c r="AA20">
        <v>25984</v>
      </c>
      <c r="AB20">
        <v>32</v>
      </c>
      <c r="AC20">
        <v>2</v>
      </c>
      <c r="AD20">
        <v>8</v>
      </c>
      <c r="AE20">
        <v>310.56</v>
      </c>
      <c r="AF20" s="139">
        <v>37.664000000000001</v>
      </c>
      <c r="AG20" s="33">
        <v>45604</v>
      </c>
      <c r="AH20" s="34">
        <v>0.94168981481481484</v>
      </c>
      <c r="AI20">
        <v>0</v>
      </c>
      <c r="AJ20">
        <v>0</v>
      </c>
      <c r="AK20">
        <v>0</v>
      </c>
      <c r="AL20">
        <v>0</v>
      </c>
      <c r="AM20">
        <v>0</v>
      </c>
      <c r="AN20">
        <v>0</v>
      </c>
      <c r="AO20">
        <v>0</v>
      </c>
      <c r="AP20">
        <v>0</v>
      </c>
      <c r="AQ20">
        <v>0</v>
      </c>
      <c r="AR20">
        <v>0</v>
      </c>
      <c r="AS20">
        <v>0</v>
      </c>
      <c r="AT20">
        <v>0</v>
      </c>
      <c r="AU20" s="30">
        <f t="shared" ref="AU20" si="4">AVERAGE(AF20:AF24)</f>
        <v>37.555599999999998</v>
      </c>
      <c r="AV20" s="17"/>
    </row>
    <row r="21" spans="1:48" x14ac:dyDescent="0.25">
      <c r="A21">
        <v>1</v>
      </c>
      <c r="B21" t="s">
        <v>16</v>
      </c>
      <c r="C21">
        <v>25984</v>
      </c>
      <c r="D21">
        <v>32</v>
      </c>
      <c r="E21">
        <v>2</v>
      </c>
      <c r="F21">
        <v>8</v>
      </c>
      <c r="G21">
        <v>357.61</v>
      </c>
      <c r="H21" s="139">
        <v>32.707999999999998</v>
      </c>
      <c r="I21" s="33">
        <v>45606</v>
      </c>
      <c r="J21" s="37">
        <v>0.9821643518518518</v>
      </c>
      <c r="K21">
        <v>0</v>
      </c>
      <c r="L21">
        <v>0</v>
      </c>
      <c r="M21">
        <v>0</v>
      </c>
      <c r="N21">
        <v>0</v>
      </c>
      <c r="O21">
        <v>0</v>
      </c>
      <c r="P21">
        <v>0</v>
      </c>
      <c r="Q21">
        <v>0</v>
      </c>
      <c r="R21">
        <v>0</v>
      </c>
      <c r="S21">
        <v>0</v>
      </c>
      <c r="T21">
        <v>0</v>
      </c>
      <c r="U21">
        <v>0</v>
      </c>
      <c r="V21">
        <v>0</v>
      </c>
      <c r="W21" s="30">
        <f>W20</f>
        <v>32.702399999999997</v>
      </c>
      <c r="X21" s="17"/>
      <c r="Y21">
        <v>1</v>
      </c>
      <c r="Z21" t="s">
        <v>16</v>
      </c>
      <c r="AA21">
        <v>25984</v>
      </c>
      <c r="AB21">
        <v>32</v>
      </c>
      <c r="AC21">
        <v>2</v>
      </c>
      <c r="AD21">
        <v>8</v>
      </c>
      <c r="AE21">
        <v>310.26</v>
      </c>
      <c r="AF21" s="139">
        <v>37.700000000000003</v>
      </c>
      <c r="AG21" s="33">
        <v>45605</v>
      </c>
      <c r="AH21" s="34">
        <v>3.1018518518518518E-2</v>
      </c>
      <c r="AI21">
        <v>0</v>
      </c>
      <c r="AJ21">
        <v>0</v>
      </c>
      <c r="AK21">
        <v>0</v>
      </c>
      <c r="AL21">
        <v>0</v>
      </c>
      <c r="AM21">
        <v>0</v>
      </c>
      <c r="AN21">
        <v>0</v>
      </c>
      <c r="AO21">
        <v>0</v>
      </c>
      <c r="AP21">
        <v>0</v>
      </c>
      <c r="AQ21">
        <v>0</v>
      </c>
      <c r="AR21">
        <v>0</v>
      </c>
      <c r="AS21">
        <v>0</v>
      </c>
      <c r="AT21">
        <v>0</v>
      </c>
      <c r="AU21" s="30">
        <f t="shared" ref="AU21:AU84" si="5">AU20</f>
        <v>37.555599999999998</v>
      </c>
      <c r="AV21" s="17"/>
    </row>
    <row r="22" spans="1:48" x14ac:dyDescent="0.25">
      <c r="A22">
        <v>2</v>
      </c>
      <c r="B22" t="s">
        <v>16</v>
      </c>
      <c r="C22">
        <v>25984</v>
      </c>
      <c r="D22">
        <v>32</v>
      </c>
      <c r="E22">
        <v>2</v>
      </c>
      <c r="F22">
        <v>8</v>
      </c>
      <c r="G22">
        <v>358.04</v>
      </c>
      <c r="H22" s="139">
        <v>32.668999999999997</v>
      </c>
      <c r="I22" s="33">
        <v>45607</v>
      </c>
      <c r="J22" s="37">
        <v>7.2337962962962965E-2</v>
      </c>
      <c r="K22">
        <v>0</v>
      </c>
      <c r="L22">
        <v>0</v>
      </c>
      <c r="M22">
        <v>0</v>
      </c>
      <c r="N22">
        <v>0</v>
      </c>
      <c r="O22">
        <v>0</v>
      </c>
      <c r="P22">
        <v>0</v>
      </c>
      <c r="Q22">
        <v>0</v>
      </c>
      <c r="R22">
        <v>0</v>
      </c>
      <c r="S22">
        <v>0</v>
      </c>
      <c r="T22">
        <v>0</v>
      </c>
      <c r="U22">
        <v>0</v>
      </c>
      <c r="V22">
        <v>0</v>
      </c>
      <c r="W22" s="30">
        <f>W21</f>
        <v>32.702399999999997</v>
      </c>
      <c r="X22" s="17"/>
      <c r="Y22">
        <v>2</v>
      </c>
      <c r="Z22" t="s">
        <v>16</v>
      </c>
      <c r="AA22">
        <v>25984</v>
      </c>
      <c r="AB22">
        <v>32</v>
      </c>
      <c r="AC22">
        <v>2</v>
      </c>
      <c r="AD22">
        <v>8</v>
      </c>
      <c r="AE22">
        <v>310.58999999999997</v>
      </c>
      <c r="AF22" s="139">
        <v>37.658999999999999</v>
      </c>
      <c r="AG22" s="33">
        <v>45605</v>
      </c>
      <c r="AH22" s="34">
        <v>0.12030092592592592</v>
      </c>
      <c r="AI22">
        <v>0</v>
      </c>
      <c r="AJ22">
        <v>0</v>
      </c>
      <c r="AK22">
        <v>0</v>
      </c>
      <c r="AL22">
        <v>0</v>
      </c>
      <c r="AM22">
        <v>0</v>
      </c>
      <c r="AN22">
        <v>0</v>
      </c>
      <c r="AO22">
        <v>0</v>
      </c>
      <c r="AP22">
        <v>0</v>
      </c>
      <c r="AQ22">
        <v>0</v>
      </c>
      <c r="AR22">
        <v>0</v>
      </c>
      <c r="AS22">
        <v>0</v>
      </c>
      <c r="AT22">
        <v>0</v>
      </c>
      <c r="AU22" s="30">
        <f t="shared" si="5"/>
        <v>37.555599999999998</v>
      </c>
      <c r="AV22" s="17"/>
    </row>
    <row r="23" spans="1:48" x14ac:dyDescent="0.25">
      <c r="A23">
        <v>3</v>
      </c>
      <c r="B23" t="s">
        <v>16</v>
      </c>
      <c r="C23">
        <v>25984</v>
      </c>
      <c r="D23">
        <v>32</v>
      </c>
      <c r="E23">
        <v>2</v>
      </c>
      <c r="F23">
        <v>8</v>
      </c>
      <c r="G23">
        <v>357.78</v>
      </c>
      <c r="H23" s="139">
        <v>32.692999999999998</v>
      </c>
      <c r="I23" s="33">
        <v>45607</v>
      </c>
      <c r="J23" s="37">
        <v>0.16251157407407407</v>
      </c>
      <c r="K23">
        <v>0</v>
      </c>
      <c r="L23">
        <v>0</v>
      </c>
      <c r="M23">
        <v>0</v>
      </c>
      <c r="N23">
        <v>0</v>
      </c>
      <c r="O23">
        <v>0</v>
      </c>
      <c r="P23">
        <v>0</v>
      </c>
      <c r="Q23">
        <v>0</v>
      </c>
      <c r="R23">
        <v>0</v>
      </c>
      <c r="S23">
        <v>0</v>
      </c>
      <c r="T23">
        <v>0</v>
      </c>
      <c r="U23">
        <v>0</v>
      </c>
      <c r="V23">
        <v>0</v>
      </c>
      <c r="W23" s="30">
        <f>W22</f>
        <v>32.702399999999997</v>
      </c>
      <c r="X23" s="17"/>
      <c r="Y23">
        <v>3</v>
      </c>
      <c r="Z23" t="s">
        <v>16</v>
      </c>
      <c r="AA23">
        <v>25984</v>
      </c>
      <c r="AB23">
        <v>32</v>
      </c>
      <c r="AC23">
        <v>2</v>
      </c>
      <c r="AD23">
        <v>8</v>
      </c>
      <c r="AE23">
        <v>312.26</v>
      </c>
      <c r="AF23" s="139">
        <v>37.457999999999998</v>
      </c>
      <c r="AG23" s="33">
        <v>45605</v>
      </c>
      <c r="AH23" s="34">
        <v>0.20957175925925925</v>
      </c>
      <c r="AI23">
        <v>0</v>
      </c>
      <c r="AJ23">
        <v>0</v>
      </c>
      <c r="AK23">
        <v>0</v>
      </c>
      <c r="AL23">
        <v>0</v>
      </c>
      <c r="AM23">
        <v>0</v>
      </c>
      <c r="AN23">
        <v>0</v>
      </c>
      <c r="AO23">
        <v>0</v>
      </c>
      <c r="AP23">
        <v>0</v>
      </c>
      <c r="AQ23">
        <v>0</v>
      </c>
      <c r="AR23">
        <v>0</v>
      </c>
      <c r="AS23">
        <v>0</v>
      </c>
      <c r="AT23">
        <v>0</v>
      </c>
      <c r="AU23" s="30">
        <f t="shared" si="5"/>
        <v>37.555599999999998</v>
      </c>
      <c r="AV23" s="17"/>
    </row>
    <row r="24" spans="1:48" x14ac:dyDescent="0.25">
      <c r="A24">
        <v>4</v>
      </c>
      <c r="B24" t="s">
        <v>16</v>
      </c>
      <c r="C24">
        <v>25984</v>
      </c>
      <c r="D24">
        <v>32</v>
      </c>
      <c r="E24">
        <v>2</v>
      </c>
      <c r="F24">
        <v>8</v>
      </c>
      <c r="G24">
        <v>357.64</v>
      </c>
      <c r="H24" s="139">
        <v>32.704999999999998</v>
      </c>
      <c r="I24" s="33">
        <v>45607</v>
      </c>
      <c r="J24" s="37">
        <v>0.25271990740740741</v>
      </c>
      <c r="K24">
        <v>0</v>
      </c>
      <c r="L24">
        <v>0</v>
      </c>
      <c r="M24">
        <v>0</v>
      </c>
      <c r="N24">
        <v>0</v>
      </c>
      <c r="O24">
        <v>0</v>
      </c>
      <c r="P24">
        <v>0</v>
      </c>
      <c r="Q24">
        <v>0</v>
      </c>
      <c r="R24">
        <v>0</v>
      </c>
      <c r="S24">
        <v>0</v>
      </c>
      <c r="T24">
        <v>0</v>
      </c>
      <c r="U24">
        <v>0</v>
      </c>
      <c r="V24">
        <v>0</v>
      </c>
      <c r="W24" s="30">
        <f>W23</f>
        <v>32.702399999999997</v>
      </c>
      <c r="X24" s="17"/>
      <c r="Y24">
        <v>4</v>
      </c>
      <c r="Z24" t="s">
        <v>16</v>
      </c>
      <c r="AA24">
        <v>25984</v>
      </c>
      <c r="AB24">
        <v>32</v>
      </c>
      <c r="AC24">
        <v>2</v>
      </c>
      <c r="AD24">
        <v>8</v>
      </c>
      <c r="AE24">
        <v>313.61</v>
      </c>
      <c r="AF24" s="139">
        <v>37.296999999999997</v>
      </c>
      <c r="AG24" s="33">
        <v>45605</v>
      </c>
      <c r="AH24" s="34">
        <v>0.90025462962962965</v>
      </c>
      <c r="AI24">
        <v>0</v>
      </c>
      <c r="AJ24">
        <v>0</v>
      </c>
      <c r="AK24">
        <v>0</v>
      </c>
      <c r="AL24">
        <v>0</v>
      </c>
      <c r="AM24">
        <v>0</v>
      </c>
      <c r="AN24">
        <v>0</v>
      </c>
      <c r="AO24">
        <v>0</v>
      </c>
      <c r="AP24">
        <v>0</v>
      </c>
      <c r="AQ24">
        <v>0</v>
      </c>
      <c r="AR24">
        <v>0</v>
      </c>
      <c r="AS24">
        <v>0</v>
      </c>
      <c r="AT24">
        <v>0</v>
      </c>
      <c r="AU24" s="30">
        <f t="shared" si="5"/>
        <v>37.555599999999998</v>
      </c>
      <c r="AV24" s="17"/>
    </row>
    <row r="25" spans="1:48" x14ac:dyDescent="0.25">
      <c r="A25">
        <v>0</v>
      </c>
      <c r="B25" t="s">
        <v>16</v>
      </c>
      <c r="C25">
        <v>27520</v>
      </c>
      <c r="D25">
        <v>32</v>
      </c>
      <c r="E25">
        <v>2</v>
      </c>
      <c r="F25">
        <v>8</v>
      </c>
      <c r="G25">
        <v>420.54</v>
      </c>
      <c r="H25" s="139">
        <v>33.042999999999999</v>
      </c>
      <c r="I25" s="33">
        <v>45606</v>
      </c>
      <c r="J25" s="37">
        <v>0.81364583333333329</v>
      </c>
      <c r="K25">
        <v>0</v>
      </c>
      <c r="L25">
        <v>0</v>
      </c>
      <c r="M25">
        <v>0</v>
      </c>
      <c r="N25">
        <v>0</v>
      </c>
      <c r="O25">
        <v>0</v>
      </c>
      <c r="P25">
        <v>0</v>
      </c>
      <c r="Q25">
        <v>0</v>
      </c>
      <c r="R25">
        <v>0</v>
      </c>
      <c r="S25">
        <v>0</v>
      </c>
      <c r="T25">
        <v>0</v>
      </c>
      <c r="U25">
        <v>0</v>
      </c>
      <c r="V25">
        <v>0</v>
      </c>
      <c r="W25" s="30">
        <f>AVERAGE(H25:H29)</f>
        <v>33.022399999999998</v>
      </c>
      <c r="X25" s="17"/>
      <c r="Y25">
        <v>0</v>
      </c>
      <c r="Z25" t="s">
        <v>16</v>
      </c>
      <c r="AA25">
        <v>27520</v>
      </c>
      <c r="AB25">
        <v>32</v>
      </c>
      <c r="AC25">
        <v>2</v>
      </c>
      <c r="AD25">
        <v>8</v>
      </c>
      <c r="AE25">
        <v>364.91</v>
      </c>
      <c r="AF25" s="139">
        <v>38.08</v>
      </c>
      <c r="AG25" s="33">
        <v>45604</v>
      </c>
      <c r="AH25" s="34">
        <v>0.91350694444444447</v>
      </c>
      <c r="AI25">
        <v>0</v>
      </c>
      <c r="AJ25">
        <v>0</v>
      </c>
      <c r="AK25">
        <v>0</v>
      </c>
      <c r="AL25">
        <v>0</v>
      </c>
      <c r="AM25">
        <v>0</v>
      </c>
      <c r="AN25">
        <v>0</v>
      </c>
      <c r="AO25">
        <v>0</v>
      </c>
      <c r="AP25">
        <v>0</v>
      </c>
      <c r="AQ25">
        <v>0</v>
      </c>
      <c r="AR25">
        <v>0</v>
      </c>
      <c r="AS25">
        <v>0</v>
      </c>
      <c r="AT25">
        <v>0</v>
      </c>
      <c r="AU25" s="30">
        <f t="shared" ref="AU25" si="6">AVERAGE(AF25:AF29)</f>
        <v>38.009399999999992</v>
      </c>
      <c r="AV25" s="17"/>
    </row>
    <row r="26" spans="1:48" x14ac:dyDescent="0.25">
      <c r="A26">
        <v>1</v>
      </c>
      <c r="B26" t="s">
        <v>16</v>
      </c>
      <c r="C26">
        <v>27520</v>
      </c>
      <c r="D26">
        <v>32</v>
      </c>
      <c r="E26">
        <v>2</v>
      </c>
      <c r="F26">
        <v>8</v>
      </c>
      <c r="G26">
        <v>420.86</v>
      </c>
      <c r="H26" s="139">
        <v>33.018000000000001</v>
      </c>
      <c r="I26" s="33">
        <v>45606</v>
      </c>
      <c r="J26" s="37">
        <v>0.95374999999999999</v>
      </c>
      <c r="K26">
        <v>0</v>
      </c>
      <c r="L26">
        <v>0</v>
      </c>
      <c r="M26">
        <v>0</v>
      </c>
      <c r="N26">
        <v>0</v>
      </c>
      <c r="O26">
        <v>0</v>
      </c>
      <c r="P26">
        <v>0</v>
      </c>
      <c r="Q26">
        <v>0</v>
      </c>
      <c r="R26">
        <v>0</v>
      </c>
      <c r="S26">
        <v>0</v>
      </c>
      <c r="T26">
        <v>0</v>
      </c>
      <c r="U26">
        <v>0</v>
      </c>
      <c r="V26">
        <v>0</v>
      </c>
      <c r="W26" s="30">
        <f>W25</f>
        <v>33.022399999999998</v>
      </c>
      <c r="X26" s="17"/>
      <c r="Y26">
        <v>1</v>
      </c>
      <c r="Z26" t="s">
        <v>16</v>
      </c>
      <c r="AA26">
        <v>27520</v>
      </c>
      <c r="AB26">
        <v>32</v>
      </c>
      <c r="AC26">
        <v>2</v>
      </c>
      <c r="AD26">
        <v>8</v>
      </c>
      <c r="AE26">
        <v>367.48</v>
      </c>
      <c r="AF26" s="139">
        <v>37.814</v>
      </c>
      <c r="AG26" s="33">
        <v>45605</v>
      </c>
      <c r="AH26" s="34">
        <v>2.8703703703703703E-3</v>
      </c>
      <c r="AI26">
        <v>0</v>
      </c>
      <c r="AJ26">
        <v>0</v>
      </c>
      <c r="AK26">
        <v>0</v>
      </c>
      <c r="AL26">
        <v>0</v>
      </c>
      <c r="AM26">
        <v>0</v>
      </c>
      <c r="AN26">
        <v>0</v>
      </c>
      <c r="AO26">
        <v>0</v>
      </c>
      <c r="AP26">
        <v>0</v>
      </c>
      <c r="AQ26">
        <v>0</v>
      </c>
      <c r="AR26">
        <v>0</v>
      </c>
      <c r="AS26">
        <v>0</v>
      </c>
      <c r="AT26">
        <v>0</v>
      </c>
      <c r="AU26" s="30">
        <f t="shared" ref="AU26" si="7">AU25</f>
        <v>38.009399999999992</v>
      </c>
      <c r="AV26" s="17"/>
    </row>
    <row r="27" spans="1:48" x14ac:dyDescent="0.25">
      <c r="A27">
        <v>2</v>
      </c>
      <c r="B27" t="s">
        <v>16</v>
      </c>
      <c r="C27">
        <v>27520</v>
      </c>
      <c r="D27">
        <v>32</v>
      </c>
      <c r="E27">
        <v>2</v>
      </c>
      <c r="F27">
        <v>8</v>
      </c>
      <c r="G27">
        <v>420.46</v>
      </c>
      <c r="H27" s="139">
        <v>33.049999999999997</v>
      </c>
      <c r="I27" s="33">
        <v>45607</v>
      </c>
      <c r="J27" s="37">
        <v>4.3935185185185188E-2</v>
      </c>
      <c r="K27">
        <v>0</v>
      </c>
      <c r="L27">
        <v>0</v>
      </c>
      <c r="M27">
        <v>0</v>
      </c>
      <c r="N27">
        <v>0</v>
      </c>
      <c r="O27">
        <v>0</v>
      </c>
      <c r="P27">
        <v>0</v>
      </c>
      <c r="Q27">
        <v>0</v>
      </c>
      <c r="R27">
        <v>0</v>
      </c>
      <c r="S27">
        <v>0</v>
      </c>
      <c r="T27">
        <v>0</v>
      </c>
      <c r="U27">
        <v>0</v>
      </c>
      <c r="V27">
        <v>0</v>
      </c>
      <c r="W27" s="30">
        <f>W26</f>
        <v>33.022399999999998</v>
      </c>
      <c r="X27" s="17"/>
      <c r="Y27">
        <v>2</v>
      </c>
      <c r="Z27" t="s">
        <v>16</v>
      </c>
      <c r="AA27">
        <v>27520</v>
      </c>
      <c r="AB27">
        <v>32</v>
      </c>
      <c r="AC27">
        <v>2</v>
      </c>
      <c r="AD27">
        <v>8</v>
      </c>
      <c r="AE27">
        <v>364.74</v>
      </c>
      <c r="AF27" s="139">
        <v>38.098999999999997</v>
      </c>
      <c r="AG27" s="33">
        <v>45605</v>
      </c>
      <c r="AH27" s="34">
        <v>9.2129629629629631E-2</v>
      </c>
      <c r="AI27">
        <v>0</v>
      </c>
      <c r="AJ27">
        <v>0</v>
      </c>
      <c r="AK27">
        <v>0</v>
      </c>
      <c r="AL27">
        <v>0</v>
      </c>
      <c r="AM27">
        <v>0</v>
      </c>
      <c r="AN27">
        <v>0</v>
      </c>
      <c r="AO27">
        <v>0</v>
      </c>
      <c r="AP27">
        <v>0</v>
      </c>
      <c r="AQ27">
        <v>0</v>
      </c>
      <c r="AR27">
        <v>0</v>
      </c>
      <c r="AS27">
        <v>0</v>
      </c>
      <c r="AT27">
        <v>0</v>
      </c>
      <c r="AU27" s="30">
        <f t="shared" si="3"/>
        <v>38.009399999999992</v>
      </c>
      <c r="AV27" s="17"/>
    </row>
    <row r="28" spans="1:48" x14ac:dyDescent="0.25">
      <c r="A28">
        <v>3</v>
      </c>
      <c r="B28" t="s">
        <v>16</v>
      </c>
      <c r="C28">
        <v>27520</v>
      </c>
      <c r="D28">
        <v>32</v>
      </c>
      <c r="E28">
        <v>2</v>
      </c>
      <c r="F28">
        <v>8</v>
      </c>
      <c r="G28">
        <v>420.75</v>
      </c>
      <c r="H28" s="139">
        <v>33.027000000000001</v>
      </c>
      <c r="I28" s="33">
        <v>45607</v>
      </c>
      <c r="J28" s="37">
        <v>0.13409722222222223</v>
      </c>
      <c r="K28">
        <v>0</v>
      </c>
      <c r="L28">
        <v>0</v>
      </c>
      <c r="M28">
        <v>0</v>
      </c>
      <c r="N28">
        <v>0</v>
      </c>
      <c r="O28">
        <v>0</v>
      </c>
      <c r="P28">
        <v>0</v>
      </c>
      <c r="Q28">
        <v>0</v>
      </c>
      <c r="R28">
        <v>0</v>
      </c>
      <c r="S28">
        <v>0</v>
      </c>
      <c r="T28">
        <v>0</v>
      </c>
      <c r="U28">
        <v>0</v>
      </c>
      <c r="V28">
        <v>0</v>
      </c>
      <c r="W28" s="30">
        <f>W27</f>
        <v>33.022399999999998</v>
      </c>
      <c r="X28" s="17"/>
      <c r="Y28">
        <v>3</v>
      </c>
      <c r="Z28" t="s">
        <v>16</v>
      </c>
      <c r="AA28">
        <v>27520</v>
      </c>
      <c r="AB28">
        <v>32</v>
      </c>
      <c r="AC28">
        <v>2</v>
      </c>
      <c r="AD28">
        <v>8</v>
      </c>
      <c r="AE28">
        <v>363.77</v>
      </c>
      <c r="AF28" s="139">
        <v>38.200000000000003</v>
      </c>
      <c r="AG28" s="33">
        <v>45605</v>
      </c>
      <c r="AH28" s="34">
        <v>0.18138888888888888</v>
      </c>
      <c r="AI28">
        <v>0</v>
      </c>
      <c r="AJ28">
        <v>0</v>
      </c>
      <c r="AK28">
        <v>0</v>
      </c>
      <c r="AL28">
        <v>0</v>
      </c>
      <c r="AM28">
        <v>0</v>
      </c>
      <c r="AN28">
        <v>0</v>
      </c>
      <c r="AO28">
        <v>0</v>
      </c>
      <c r="AP28">
        <v>0</v>
      </c>
      <c r="AQ28">
        <v>0</v>
      </c>
      <c r="AR28">
        <v>0</v>
      </c>
      <c r="AS28">
        <v>0</v>
      </c>
      <c r="AT28">
        <v>0</v>
      </c>
      <c r="AU28" s="30">
        <f t="shared" si="3"/>
        <v>38.009399999999992</v>
      </c>
      <c r="AV28" s="17"/>
    </row>
    <row r="29" spans="1:48" x14ac:dyDescent="0.25">
      <c r="A29">
        <v>4</v>
      </c>
      <c r="B29" t="s">
        <v>16</v>
      </c>
      <c r="C29">
        <v>27520</v>
      </c>
      <c r="D29">
        <v>32</v>
      </c>
      <c r="E29">
        <v>2</v>
      </c>
      <c r="F29">
        <v>8</v>
      </c>
      <c r="G29">
        <v>421.42</v>
      </c>
      <c r="H29" s="139">
        <v>32.973999999999997</v>
      </c>
      <c r="I29" s="33">
        <v>45607</v>
      </c>
      <c r="J29" s="37">
        <v>0.22430555555555556</v>
      </c>
      <c r="K29">
        <v>0</v>
      </c>
      <c r="L29">
        <v>0</v>
      </c>
      <c r="M29">
        <v>0</v>
      </c>
      <c r="N29">
        <v>0</v>
      </c>
      <c r="O29">
        <v>0</v>
      </c>
      <c r="P29">
        <v>0</v>
      </c>
      <c r="Q29">
        <v>0</v>
      </c>
      <c r="R29">
        <v>0</v>
      </c>
      <c r="S29">
        <v>0</v>
      </c>
      <c r="T29">
        <v>0</v>
      </c>
      <c r="U29">
        <v>0</v>
      </c>
      <c r="V29">
        <v>0</v>
      </c>
      <c r="W29" s="30">
        <f>W28</f>
        <v>33.022399999999998</v>
      </c>
      <c r="X29" s="17"/>
      <c r="Y29">
        <v>4</v>
      </c>
      <c r="Z29" t="s">
        <v>16</v>
      </c>
      <c r="AA29">
        <v>27520</v>
      </c>
      <c r="AB29">
        <v>32</v>
      </c>
      <c r="AC29">
        <v>2</v>
      </c>
      <c r="AD29">
        <v>8</v>
      </c>
      <c r="AE29">
        <v>367.09</v>
      </c>
      <c r="AF29" s="139">
        <v>37.853999999999999</v>
      </c>
      <c r="AG29" s="33">
        <v>45605</v>
      </c>
      <c r="AH29" s="34">
        <v>0.49557870370370372</v>
      </c>
      <c r="AI29">
        <v>0</v>
      </c>
      <c r="AJ29">
        <v>0</v>
      </c>
      <c r="AK29">
        <v>0</v>
      </c>
      <c r="AL29">
        <v>0</v>
      </c>
      <c r="AM29">
        <v>0</v>
      </c>
      <c r="AN29">
        <v>0</v>
      </c>
      <c r="AO29">
        <v>0</v>
      </c>
      <c r="AP29">
        <v>0</v>
      </c>
      <c r="AQ29">
        <v>0</v>
      </c>
      <c r="AR29">
        <v>0</v>
      </c>
      <c r="AS29">
        <v>0</v>
      </c>
      <c r="AT29">
        <v>0</v>
      </c>
      <c r="AU29" s="30">
        <f t="shared" si="3"/>
        <v>38.009399999999992</v>
      </c>
      <c r="AV29" s="17"/>
    </row>
    <row r="30" spans="1:48" x14ac:dyDescent="0.25">
      <c r="A30">
        <v>0</v>
      </c>
      <c r="B30" t="s">
        <v>16</v>
      </c>
      <c r="C30">
        <v>29056</v>
      </c>
      <c r="D30">
        <v>32</v>
      </c>
      <c r="E30">
        <v>2</v>
      </c>
      <c r="F30">
        <v>8</v>
      </c>
      <c r="G30">
        <v>491.02</v>
      </c>
      <c r="H30" s="139">
        <v>33.308</v>
      </c>
      <c r="I30" s="33">
        <v>45606</v>
      </c>
      <c r="J30" s="37">
        <v>0.92063657407407407</v>
      </c>
      <c r="K30">
        <v>0</v>
      </c>
      <c r="L30">
        <v>0</v>
      </c>
      <c r="M30">
        <v>0</v>
      </c>
      <c r="N30">
        <v>0</v>
      </c>
      <c r="O30">
        <v>0</v>
      </c>
      <c r="P30">
        <v>0</v>
      </c>
      <c r="Q30">
        <v>0</v>
      </c>
      <c r="R30">
        <v>0</v>
      </c>
      <c r="S30">
        <v>0</v>
      </c>
      <c r="T30">
        <v>0</v>
      </c>
      <c r="U30">
        <v>0</v>
      </c>
      <c r="V30">
        <v>0</v>
      </c>
      <c r="W30" s="30">
        <f>AVERAGE(H30:H34)</f>
        <v>33.289400000000001</v>
      </c>
      <c r="X30" s="17"/>
      <c r="Y30">
        <v>0</v>
      </c>
      <c r="Z30" t="s">
        <v>16</v>
      </c>
      <c r="AA30">
        <v>29056</v>
      </c>
      <c r="AB30">
        <v>32</v>
      </c>
      <c r="AC30">
        <v>2</v>
      </c>
      <c r="AD30">
        <v>8</v>
      </c>
      <c r="AE30">
        <v>429.38</v>
      </c>
      <c r="AF30" s="139">
        <v>38.090000000000003</v>
      </c>
      <c r="AG30" s="33">
        <v>45604</v>
      </c>
      <c r="AH30" s="34">
        <v>0.97024305555555557</v>
      </c>
      <c r="AI30">
        <v>0</v>
      </c>
      <c r="AJ30">
        <v>0</v>
      </c>
      <c r="AK30">
        <v>0</v>
      </c>
      <c r="AL30">
        <v>0</v>
      </c>
      <c r="AM30">
        <v>0</v>
      </c>
      <c r="AN30">
        <v>0</v>
      </c>
      <c r="AO30">
        <v>0</v>
      </c>
      <c r="AP30">
        <v>0</v>
      </c>
      <c r="AQ30">
        <v>0</v>
      </c>
      <c r="AR30">
        <v>0</v>
      </c>
      <c r="AS30">
        <v>0</v>
      </c>
      <c r="AT30">
        <v>0</v>
      </c>
      <c r="AU30" s="30">
        <f t="shared" ref="AU30" si="8">AVERAGE(AF30:AF34)</f>
        <v>38.1404</v>
      </c>
      <c r="AV30" s="17"/>
    </row>
    <row r="31" spans="1:48" x14ac:dyDescent="0.25">
      <c r="A31">
        <v>1</v>
      </c>
      <c r="B31" t="s">
        <v>16</v>
      </c>
      <c r="C31">
        <v>29056</v>
      </c>
      <c r="D31">
        <v>32</v>
      </c>
      <c r="E31">
        <v>2</v>
      </c>
      <c r="F31">
        <v>8</v>
      </c>
      <c r="G31">
        <v>491.39</v>
      </c>
      <c r="H31" s="139">
        <v>33.283000000000001</v>
      </c>
      <c r="I31" s="33">
        <v>45607</v>
      </c>
      <c r="J31" s="37">
        <v>1.0902777777777779E-2</v>
      </c>
      <c r="K31">
        <v>0</v>
      </c>
      <c r="L31">
        <v>0</v>
      </c>
      <c r="M31">
        <v>0</v>
      </c>
      <c r="N31">
        <v>0</v>
      </c>
      <c r="O31">
        <v>0</v>
      </c>
      <c r="P31">
        <v>0</v>
      </c>
      <c r="Q31">
        <v>0</v>
      </c>
      <c r="R31">
        <v>0</v>
      </c>
      <c r="S31">
        <v>0</v>
      </c>
      <c r="T31">
        <v>0</v>
      </c>
      <c r="U31">
        <v>0</v>
      </c>
      <c r="V31">
        <v>0</v>
      </c>
      <c r="W31" s="30">
        <f>W30</f>
        <v>33.289400000000001</v>
      </c>
      <c r="X31" s="17"/>
      <c r="Y31">
        <v>1</v>
      </c>
      <c r="Z31" t="s">
        <v>16</v>
      </c>
      <c r="AA31">
        <v>29056</v>
      </c>
      <c r="AB31">
        <v>32</v>
      </c>
      <c r="AC31">
        <v>2</v>
      </c>
      <c r="AD31">
        <v>8</v>
      </c>
      <c r="AE31">
        <v>426.29</v>
      </c>
      <c r="AF31" s="139">
        <v>38.365000000000002</v>
      </c>
      <c r="AG31" s="33">
        <v>45605</v>
      </c>
      <c r="AH31" s="34">
        <v>5.9479166666666666E-2</v>
      </c>
      <c r="AI31">
        <v>0</v>
      </c>
      <c r="AJ31">
        <v>0</v>
      </c>
      <c r="AK31">
        <v>0</v>
      </c>
      <c r="AL31">
        <v>0</v>
      </c>
      <c r="AM31">
        <v>0</v>
      </c>
      <c r="AN31">
        <v>0</v>
      </c>
      <c r="AO31">
        <v>0</v>
      </c>
      <c r="AP31">
        <v>0</v>
      </c>
      <c r="AQ31">
        <v>0</v>
      </c>
      <c r="AR31">
        <v>0</v>
      </c>
      <c r="AS31">
        <v>0</v>
      </c>
      <c r="AT31">
        <v>0</v>
      </c>
      <c r="AU31" s="30">
        <f t="shared" ref="AU31" si="9">AU30</f>
        <v>38.1404</v>
      </c>
      <c r="AV31" s="17"/>
    </row>
    <row r="32" spans="1:48" x14ac:dyDescent="0.25">
      <c r="A32">
        <v>2</v>
      </c>
      <c r="B32" t="s">
        <v>16</v>
      </c>
      <c r="C32">
        <v>29056</v>
      </c>
      <c r="D32">
        <v>32</v>
      </c>
      <c r="E32">
        <v>2</v>
      </c>
      <c r="F32">
        <v>8</v>
      </c>
      <c r="G32">
        <v>491.16</v>
      </c>
      <c r="H32" s="139">
        <v>33.298999999999999</v>
      </c>
      <c r="I32" s="33">
        <v>45607</v>
      </c>
      <c r="J32" s="37">
        <v>0.10108796296296296</v>
      </c>
      <c r="K32">
        <v>0</v>
      </c>
      <c r="L32">
        <v>0</v>
      </c>
      <c r="M32">
        <v>0</v>
      </c>
      <c r="N32">
        <v>0</v>
      </c>
      <c r="O32">
        <v>0</v>
      </c>
      <c r="P32">
        <v>0</v>
      </c>
      <c r="Q32">
        <v>0</v>
      </c>
      <c r="R32">
        <v>0</v>
      </c>
      <c r="S32">
        <v>0</v>
      </c>
      <c r="T32">
        <v>0</v>
      </c>
      <c r="U32">
        <v>0</v>
      </c>
      <c r="V32">
        <v>0</v>
      </c>
      <c r="W32" s="30">
        <f>W31</f>
        <v>33.289400000000001</v>
      </c>
      <c r="X32" s="17"/>
      <c r="Y32">
        <v>2</v>
      </c>
      <c r="Z32" t="s">
        <v>16</v>
      </c>
      <c r="AA32">
        <v>29056</v>
      </c>
      <c r="AB32">
        <v>32</v>
      </c>
      <c r="AC32">
        <v>2</v>
      </c>
      <c r="AD32">
        <v>8</v>
      </c>
      <c r="AE32">
        <v>430.14</v>
      </c>
      <c r="AF32" s="139">
        <v>38.023000000000003</v>
      </c>
      <c r="AG32" s="33">
        <v>45605</v>
      </c>
      <c r="AH32" s="34">
        <v>0.14878472222222222</v>
      </c>
      <c r="AI32">
        <v>0</v>
      </c>
      <c r="AJ32">
        <v>0</v>
      </c>
      <c r="AK32">
        <v>0</v>
      </c>
      <c r="AL32">
        <v>0</v>
      </c>
      <c r="AM32">
        <v>0</v>
      </c>
      <c r="AN32">
        <v>0</v>
      </c>
      <c r="AO32">
        <v>0</v>
      </c>
      <c r="AP32">
        <v>0</v>
      </c>
      <c r="AQ32">
        <v>0</v>
      </c>
      <c r="AR32">
        <v>0</v>
      </c>
      <c r="AS32">
        <v>0</v>
      </c>
      <c r="AT32">
        <v>0</v>
      </c>
      <c r="AU32" s="30">
        <f t="shared" si="5"/>
        <v>38.1404</v>
      </c>
      <c r="AV32" s="17"/>
    </row>
    <row r="33" spans="1:48" x14ac:dyDescent="0.25">
      <c r="A33">
        <v>3</v>
      </c>
      <c r="B33" t="s">
        <v>16</v>
      </c>
      <c r="C33">
        <v>29056</v>
      </c>
      <c r="D33">
        <v>32</v>
      </c>
      <c r="E33">
        <v>2</v>
      </c>
      <c r="F33">
        <v>8</v>
      </c>
      <c r="G33">
        <v>491.6</v>
      </c>
      <c r="H33" s="139">
        <v>33.268999999999998</v>
      </c>
      <c r="I33" s="33">
        <v>45607</v>
      </c>
      <c r="J33" s="37">
        <v>0.19125</v>
      </c>
      <c r="K33">
        <v>0</v>
      </c>
      <c r="L33">
        <v>0</v>
      </c>
      <c r="M33">
        <v>0</v>
      </c>
      <c r="N33">
        <v>0</v>
      </c>
      <c r="O33">
        <v>0</v>
      </c>
      <c r="P33">
        <v>0</v>
      </c>
      <c r="Q33">
        <v>0</v>
      </c>
      <c r="R33">
        <v>0</v>
      </c>
      <c r="S33">
        <v>0</v>
      </c>
      <c r="T33">
        <v>0</v>
      </c>
      <c r="U33">
        <v>0</v>
      </c>
      <c r="V33">
        <v>0</v>
      </c>
      <c r="W33" s="30">
        <f>W32</f>
        <v>33.289400000000001</v>
      </c>
      <c r="X33" s="17"/>
      <c r="Y33">
        <v>3</v>
      </c>
      <c r="Z33" t="s">
        <v>16</v>
      </c>
      <c r="AA33">
        <v>29056</v>
      </c>
      <c r="AB33">
        <v>32</v>
      </c>
      <c r="AC33">
        <v>2</v>
      </c>
      <c r="AD33">
        <v>8</v>
      </c>
      <c r="AE33">
        <v>426.73</v>
      </c>
      <c r="AF33" s="139">
        <v>38.326999999999998</v>
      </c>
      <c r="AG33" s="33">
        <v>45605</v>
      </c>
      <c r="AH33" s="34">
        <v>0.46293981481481483</v>
      </c>
      <c r="AI33">
        <v>0</v>
      </c>
      <c r="AJ33">
        <v>0</v>
      </c>
      <c r="AK33">
        <v>0</v>
      </c>
      <c r="AL33">
        <v>0</v>
      </c>
      <c r="AM33">
        <v>0</v>
      </c>
      <c r="AN33">
        <v>0</v>
      </c>
      <c r="AO33">
        <v>0</v>
      </c>
      <c r="AP33">
        <v>0</v>
      </c>
      <c r="AQ33">
        <v>0</v>
      </c>
      <c r="AR33">
        <v>0</v>
      </c>
      <c r="AS33">
        <v>0</v>
      </c>
      <c r="AT33">
        <v>0</v>
      </c>
      <c r="AU33" s="30">
        <f t="shared" si="5"/>
        <v>38.1404</v>
      </c>
      <c r="AV33" s="17"/>
    </row>
    <row r="34" spans="1:48" x14ac:dyDescent="0.25">
      <c r="A34">
        <v>4</v>
      </c>
      <c r="B34" t="s">
        <v>16</v>
      </c>
      <c r="C34">
        <v>29056</v>
      </c>
      <c r="D34">
        <v>32</v>
      </c>
      <c r="E34">
        <v>2</v>
      </c>
      <c r="F34">
        <v>8</v>
      </c>
      <c r="G34">
        <v>491.32</v>
      </c>
      <c r="H34" s="139">
        <v>33.287999999999997</v>
      </c>
      <c r="I34" s="33">
        <v>45607</v>
      </c>
      <c r="J34" s="37">
        <v>0.28145833333333331</v>
      </c>
      <c r="K34">
        <v>0</v>
      </c>
      <c r="L34">
        <v>0</v>
      </c>
      <c r="M34">
        <v>0</v>
      </c>
      <c r="N34">
        <v>0</v>
      </c>
      <c r="O34">
        <v>0</v>
      </c>
      <c r="P34">
        <v>0</v>
      </c>
      <c r="Q34">
        <v>0</v>
      </c>
      <c r="R34">
        <v>0</v>
      </c>
      <c r="S34">
        <v>0</v>
      </c>
      <c r="T34">
        <v>0</v>
      </c>
      <c r="U34">
        <v>0</v>
      </c>
      <c r="V34">
        <v>0</v>
      </c>
      <c r="W34" s="30">
        <f>W33</f>
        <v>33.289400000000001</v>
      </c>
      <c r="X34" s="17"/>
      <c r="Y34">
        <v>4</v>
      </c>
      <c r="Z34" t="s">
        <v>16</v>
      </c>
      <c r="AA34">
        <v>29056</v>
      </c>
      <c r="AB34">
        <v>32</v>
      </c>
      <c r="AC34">
        <v>2</v>
      </c>
      <c r="AD34">
        <v>8</v>
      </c>
      <c r="AE34">
        <v>431.56</v>
      </c>
      <c r="AF34" s="139">
        <v>37.896999999999998</v>
      </c>
      <c r="AG34" s="33">
        <v>45605</v>
      </c>
      <c r="AH34" s="34">
        <v>0.92876157407407411</v>
      </c>
      <c r="AI34">
        <v>0</v>
      </c>
      <c r="AJ34">
        <v>0</v>
      </c>
      <c r="AK34">
        <v>0</v>
      </c>
      <c r="AL34">
        <v>0</v>
      </c>
      <c r="AM34">
        <v>0</v>
      </c>
      <c r="AN34">
        <v>0</v>
      </c>
      <c r="AO34">
        <v>0</v>
      </c>
      <c r="AP34">
        <v>0</v>
      </c>
      <c r="AQ34">
        <v>0</v>
      </c>
      <c r="AR34">
        <v>0</v>
      </c>
      <c r="AS34">
        <v>0</v>
      </c>
      <c r="AT34">
        <v>0</v>
      </c>
      <c r="AU34" s="30">
        <f t="shared" si="5"/>
        <v>38.1404</v>
      </c>
      <c r="AV34" s="17"/>
    </row>
    <row r="35" spans="1:48" x14ac:dyDescent="0.25">
      <c r="A35">
        <v>0</v>
      </c>
      <c r="B35" t="s">
        <v>16</v>
      </c>
      <c r="C35">
        <v>25984</v>
      </c>
      <c r="D35">
        <v>32</v>
      </c>
      <c r="E35">
        <v>4</v>
      </c>
      <c r="F35">
        <v>4</v>
      </c>
      <c r="G35">
        <v>379.55</v>
      </c>
      <c r="H35" s="139">
        <v>30.818000000000001</v>
      </c>
      <c r="I35" s="33">
        <v>45606</v>
      </c>
      <c r="J35" s="37">
        <v>0.89648148148148143</v>
      </c>
      <c r="K35">
        <v>0</v>
      </c>
      <c r="L35">
        <v>0</v>
      </c>
      <c r="M35">
        <v>0</v>
      </c>
      <c r="N35">
        <v>0</v>
      </c>
      <c r="O35">
        <v>0</v>
      </c>
      <c r="P35">
        <v>0</v>
      </c>
      <c r="Q35">
        <v>0</v>
      </c>
      <c r="R35">
        <v>0</v>
      </c>
      <c r="S35">
        <v>0</v>
      </c>
      <c r="T35">
        <v>0</v>
      </c>
      <c r="U35">
        <v>0</v>
      </c>
      <c r="V35">
        <v>0</v>
      </c>
      <c r="W35" s="30">
        <f>AVERAGE(H35:H39)</f>
        <v>30.7788</v>
      </c>
      <c r="X35" s="17"/>
      <c r="Y35">
        <v>0</v>
      </c>
      <c r="Z35" t="s">
        <v>16</v>
      </c>
      <c r="AA35">
        <v>25984</v>
      </c>
      <c r="AB35">
        <v>32</v>
      </c>
      <c r="AC35">
        <v>4</v>
      </c>
      <c r="AD35">
        <v>4</v>
      </c>
      <c r="AE35">
        <v>330.85</v>
      </c>
      <c r="AF35" s="139">
        <v>35.353999999999999</v>
      </c>
      <c r="AG35" s="33">
        <v>45604</v>
      </c>
      <c r="AH35" s="34">
        <v>0.94611111111111112</v>
      </c>
      <c r="AI35">
        <v>0</v>
      </c>
      <c r="AJ35">
        <v>0</v>
      </c>
      <c r="AK35">
        <v>0</v>
      </c>
      <c r="AL35">
        <v>0</v>
      </c>
      <c r="AM35">
        <v>0</v>
      </c>
      <c r="AN35">
        <v>0</v>
      </c>
      <c r="AO35">
        <v>0</v>
      </c>
      <c r="AP35">
        <v>0</v>
      </c>
      <c r="AQ35">
        <v>0</v>
      </c>
      <c r="AR35">
        <v>0</v>
      </c>
      <c r="AS35">
        <v>0</v>
      </c>
      <c r="AT35">
        <v>0</v>
      </c>
      <c r="AU35" s="30">
        <f t="shared" ref="AU35" si="10">AVERAGE(AF35:AF39)</f>
        <v>35.263599999999997</v>
      </c>
      <c r="AV35" s="17"/>
    </row>
    <row r="36" spans="1:48" x14ac:dyDescent="0.25">
      <c r="A36">
        <v>1</v>
      </c>
      <c r="B36" t="s">
        <v>16</v>
      </c>
      <c r="C36">
        <v>25984</v>
      </c>
      <c r="D36">
        <v>32</v>
      </c>
      <c r="E36">
        <v>4</v>
      </c>
      <c r="F36">
        <v>4</v>
      </c>
      <c r="G36">
        <v>380.61</v>
      </c>
      <c r="H36" s="139">
        <v>30.731000000000002</v>
      </c>
      <c r="I36" s="33">
        <v>45606</v>
      </c>
      <c r="J36" s="37">
        <v>0.98674768518518519</v>
      </c>
      <c r="K36">
        <v>0</v>
      </c>
      <c r="L36">
        <v>0</v>
      </c>
      <c r="M36">
        <v>0</v>
      </c>
      <c r="N36">
        <v>0</v>
      </c>
      <c r="O36">
        <v>0</v>
      </c>
      <c r="P36">
        <v>0</v>
      </c>
      <c r="Q36">
        <v>0</v>
      </c>
      <c r="R36">
        <v>0</v>
      </c>
      <c r="S36">
        <v>0</v>
      </c>
      <c r="T36">
        <v>0</v>
      </c>
      <c r="U36">
        <v>0</v>
      </c>
      <c r="V36">
        <v>0</v>
      </c>
      <c r="W36" s="30">
        <f>W35</f>
        <v>30.7788</v>
      </c>
      <c r="X36" s="17"/>
      <c r="Y36">
        <v>1</v>
      </c>
      <c r="Z36" t="s">
        <v>16</v>
      </c>
      <c r="AA36">
        <v>25984</v>
      </c>
      <c r="AB36">
        <v>32</v>
      </c>
      <c r="AC36">
        <v>4</v>
      </c>
      <c r="AD36">
        <v>4</v>
      </c>
      <c r="AE36">
        <v>332.84</v>
      </c>
      <c r="AF36" s="139">
        <v>35.142000000000003</v>
      </c>
      <c r="AG36" s="33">
        <v>45605</v>
      </c>
      <c r="AH36" s="34">
        <v>3.5474537037037034E-2</v>
      </c>
      <c r="AI36">
        <v>0</v>
      </c>
      <c r="AJ36">
        <v>0</v>
      </c>
      <c r="AK36">
        <v>0</v>
      </c>
      <c r="AL36">
        <v>0</v>
      </c>
      <c r="AM36">
        <v>0</v>
      </c>
      <c r="AN36">
        <v>0</v>
      </c>
      <c r="AO36">
        <v>0</v>
      </c>
      <c r="AP36">
        <v>0</v>
      </c>
      <c r="AQ36">
        <v>0</v>
      </c>
      <c r="AR36">
        <v>0</v>
      </c>
      <c r="AS36">
        <v>0</v>
      </c>
      <c r="AT36">
        <v>0</v>
      </c>
      <c r="AU36" s="30">
        <f t="shared" ref="AU36" si="11">AU35</f>
        <v>35.263599999999997</v>
      </c>
      <c r="AV36" s="17"/>
    </row>
    <row r="37" spans="1:48" x14ac:dyDescent="0.25">
      <c r="A37">
        <v>2</v>
      </c>
      <c r="B37" t="s">
        <v>16</v>
      </c>
      <c r="C37">
        <v>25984</v>
      </c>
      <c r="D37">
        <v>32</v>
      </c>
      <c r="E37">
        <v>4</v>
      </c>
      <c r="F37">
        <v>4</v>
      </c>
      <c r="G37">
        <v>380.92</v>
      </c>
      <c r="H37" s="139">
        <v>30.707000000000001</v>
      </c>
      <c r="I37" s="33">
        <v>45607</v>
      </c>
      <c r="J37" s="37">
        <v>7.6932870370370374E-2</v>
      </c>
      <c r="K37">
        <v>0</v>
      </c>
      <c r="L37">
        <v>0</v>
      </c>
      <c r="M37">
        <v>0</v>
      </c>
      <c r="N37">
        <v>0</v>
      </c>
      <c r="O37">
        <v>0</v>
      </c>
      <c r="P37">
        <v>0</v>
      </c>
      <c r="Q37">
        <v>0</v>
      </c>
      <c r="R37">
        <v>0</v>
      </c>
      <c r="S37">
        <v>0</v>
      </c>
      <c r="T37">
        <v>0</v>
      </c>
      <c r="U37">
        <v>0</v>
      </c>
      <c r="V37">
        <v>0</v>
      </c>
      <c r="W37" s="30">
        <f>W36</f>
        <v>30.7788</v>
      </c>
      <c r="X37" s="17"/>
      <c r="Y37">
        <v>2</v>
      </c>
      <c r="Z37" t="s">
        <v>16</v>
      </c>
      <c r="AA37">
        <v>25984</v>
      </c>
      <c r="AB37">
        <v>32</v>
      </c>
      <c r="AC37">
        <v>4</v>
      </c>
      <c r="AD37">
        <v>4</v>
      </c>
      <c r="AE37">
        <v>331.05</v>
      </c>
      <c r="AF37" s="139">
        <v>35.332000000000001</v>
      </c>
      <c r="AG37" s="33">
        <v>45605</v>
      </c>
      <c r="AH37" s="34">
        <v>0.12472222222222222</v>
      </c>
      <c r="AI37">
        <v>0</v>
      </c>
      <c r="AJ37">
        <v>0</v>
      </c>
      <c r="AK37">
        <v>0</v>
      </c>
      <c r="AL37">
        <v>0</v>
      </c>
      <c r="AM37">
        <v>0</v>
      </c>
      <c r="AN37">
        <v>0</v>
      </c>
      <c r="AO37">
        <v>0</v>
      </c>
      <c r="AP37">
        <v>0</v>
      </c>
      <c r="AQ37">
        <v>0</v>
      </c>
      <c r="AR37">
        <v>0</v>
      </c>
      <c r="AS37">
        <v>0</v>
      </c>
      <c r="AT37">
        <v>0</v>
      </c>
      <c r="AU37" s="30">
        <f t="shared" si="3"/>
        <v>35.263599999999997</v>
      </c>
      <c r="AV37" s="17"/>
    </row>
    <row r="38" spans="1:48" x14ac:dyDescent="0.25">
      <c r="A38">
        <v>3</v>
      </c>
      <c r="B38" t="s">
        <v>16</v>
      </c>
      <c r="C38">
        <v>25984</v>
      </c>
      <c r="D38">
        <v>32</v>
      </c>
      <c r="E38">
        <v>4</v>
      </c>
      <c r="F38">
        <v>4</v>
      </c>
      <c r="G38">
        <v>379.75</v>
      </c>
      <c r="H38" s="139">
        <v>30.800999999999998</v>
      </c>
      <c r="I38" s="33">
        <v>45607</v>
      </c>
      <c r="J38" s="37">
        <v>0.1670949074074074</v>
      </c>
      <c r="K38">
        <v>0</v>
      </c>
      <c r="L38">
        <v>0</v>
      </c>
      <c r="M38">
        <v>0</v>
      </c>
      <c r="N38">
        <v>0</v>
      </c>
      <c r="O38">
        <v>0</v>
      </c>
      <c r="P38">
        <v>0</v>
      </c>
      <c r="Q38">
        <v>0</v>
      </c>
      <c r="R38">
        <v>0</v>
      </c>
      <c r="S38">
        <v>0</v>
      </c>
      <c r="T38">
        <v>0</v>
      </c>
      <c r="U38">
        <v>0</v>
      </c>
      <c r="V38">
        <v>0</v>
      </c>
      <c r="W38" s="30">
        <f>W37</f>
        <v>30.7788</v>
      </c>
      <c r="X38" s="17"/>
      <c r="Y38">
        <v>3</v>
      </c>
      <c r="Z38" t="s">
        <v>16</v>
      </c>
      <c r="AA38">
        <v>25984</v>
      </c>
      <c r="AB38">
        <v>32</v>
      </c>
      <c r="AC38">
        <v>4</v>
      </c>
      <c r="AD38">
        <v>4</v>
      </c>
      <c r="AE38">
        <v>332.8</v>
      </c>
      <c r="AF38" s="139">
        <v>35.146999999999998</v>
      </c>
      <c r="AG38" s="33">
        <v>45605</v>
      </c>
      <c r="AH38" s="34">
        <v>0.21401620370370369</v>
      </c>
      <c r="AI38">
        <v>0</v>
      </c>
      <c r="AJ38">
        <v>0</v>
      </c>
      <c r="AK38">
        <v>0</v>
      </c>
      <c r="AL38">
        <v>0</v>
      </c>
      <c r="AM38">
        <v>0</v>
      </c>
      <c r="AN38">
        <v>0</v>
      </c>
      <c r="AO38">
        <v>0</v>
      </c>
      <c r="AP38">
        <v>0</v>
      </c>
      <c r="AQ38">
        <v>0</v>
      </c>
      <c r="AR38">
        <v>0</v>
      </c>
      <c r="AS38">
        <v>0</v>
      </c>
      <c r="AT38">
        <v>0</v>
      </c>
      <c r="AU38" s="30">
        <f t="shared" si="3"/>
        <v>35.263599999999997</v>
      </c>
      <c r="AV38" s="17"/>
    </row>
    <row r="39" spans="1:48" x14ac:dyDescent="0.25">
      <c r="A39">
        <v>4</v>
      </c>
      <c r="B39" t="s">
        <v>16</v>
      </c>
      <c r="C39">
        <v>25984</v>
      </c>
      <c r="D39">
        <v>32</v>
      </c>
      <c r="E39">
        <v>4</v>
      </c>
      <c r="F39">
        <v>4</v>
      </c>
      <c r="G39">
        <v>379.3</v>
      </c>
      <c r="H39" s="139">
        <v>30.837</v>
      </c>
      <c r="I39" s="33">
        <v>45607</v>
      </c>
      <c r="J39" s="37">
        <v>0.25729166666666664</v>
      </c>
      <c r="K39">
        <v>0</v>
      </c>
      <c r="L39">
        <v>0</v>
      </c>
      <c r="M39">
        <v>0</v>
      </c>
      <c r="N39">
        <v>0</v>
      </c>
      <c r="O39">
        <v>0</v>
      </c>
      <c r="P39">
        <v>0</v>
      </c>
      <c r="Q39">
        <v>0</v>
      </c>
      <c r="R39">
        <v>0</v>
      </c>
      <c r="S39">
        <v>0</v>
      </c>
      <c r="T39">
        <v>0</v>
      </c>
      <c r="U39">
        <v>0</v>
      </c>
      <c r="V39">
        <v>0</v>
      </c>
      <c r="W39" s="30">
        <f>W38</f>
        <v>30.7788</v>
      </c>
      <c r="X39" s="17"/>
      <c r="Y39">
        <v>4</v>
      </c>
      <c r="Z39" t="s">
        <v>16</v>
      </c>
      <c r="AA39">
        <v>25984</v>
      </c>
      <c r="AB39">
        <v>32</v>
      </c>
      <c r="AC39">
        <v>4</v>
      </c>
      <c r="AD39">
        <v>4</v>
      </c>
      <c r="AE39">
        <v>330.95</v>
      </c>
      <c r="AF39" s="139">
        <v>35.343000000000004</v>
      </c>
      <c r="AG39" s="33">
        <v>45605</v>
      </c>
      <c r="AH39" s="34">
        <v>0.90468749999999998</v>
      </c>
      <c r="AI39">
        <v>0</v>
      </c>
      <c r="AJ39">
        <v>0</v>
      </c>
      <c r="AK39">
        <v>0</v>
      </c>
      <c r="AL39">
        <v>0</v>
      </c>
      <c r="AM39">
        <v>0</v>
      </c>
      <c r="AN39">
        <v>0</v>
      </c>
      <c r="AO39">
        <v>0</v>
      </c>
      <c r="AP39">
        <v>0</v>
      </c>
      <c r="AQ39">
        <v>0</v>
      </c>
      <c r="AR39">
        <v>0</v>
      </c>
      <c r="AS39">
        <v>0</v>
      </c>
      <c r="AT39">
        <v>0</v>
      </c>
      <c r="AU39" s="30">
        <f t="shared" si="3"/>
        <v>35.263599999999997</v>
      </c>
      <c r="AV39" s="17"/>
    </row>
    <row r="40" spans="1:48" x14ac:dyDescent="0.25">
      <c r="A40">
        <v>0</v>
      </c>
      <c r="B40" t="s">
        <v>16</v>
      </c>
      <c r="C40">
        <v>27520</v>
      </c>
      <c r="D40">
        <v>32</v>
      </c>
      <c r="E40">
        <v>4</v>
      </c>
      <c r="F40">
        <v>4</v>
      </c>
      <c r="G40">
        <v>443.54</v>
      </c>
      <c r="H40" s="139">
        <v>31.33</v>
      </c>
      <c r="I40" s="33">
        <v>45606</v>
      </c>
      <c r="J40" s="37">
        <v>0.81896990740740738</v>
      </c>
      <c r="K40">
        <v>0</v>
      </c>
      <c r="L40">
        <v>0</v>
      </c>
      <c r="M40">
        <v>0</v>
      </c>
      <c r="N40">
        <v>0</v>
      </c>
      <c r="O40">
        <v>0</v>
      </c>
      <c r="P40">
        <v>0</v>
      </c>
      <c r="Q40">
        <v>0</v>
      </c>
      <c r="R40">
        <v>0</v>
      </c>
      <c r="S40">
        <v>0</v>
      </c>
      <c r="T40">
        <v>0</v>
      </c>
      <c r="U40">
        <v>0</v>
      </c>
      <c r="V40">
        <v>0</v>
      </c>
      <c r="W40" s="30">
        <f>AVERAGE(H40:H44)</f>
        <v>31.351399999999995</v>
      </c>
      <c r="X40" s="17"/>
      <c r="Y40">
        <v>0</v>
      </c>
      <c r="Z40" t="s">
        <v>16</v>
      </c>
      <c r="AA40">
        <v>27520</v>
      </c>
      <c r="AB40">
        <v>32</v>
      </c>
      <c r="AC40">
        <v>4</v>
      </c>
      <c r="AD40">
        <v>4</v>
      </c>
      <c r="AE40">
        <v>387.65</v>
      </c>
      <c r="AF40" s="139">
        <v>35.847000000000001</v>
      </c>
      <c r="AG40" s="33">
        <v>45604</v>
      </c>
      <c r="AH40" s="34">
        <v>0.91864583333333338</v>
      </c>
      <c r="AI40">
        <v>0</v>
      </c>
      <c r="AJ40">
        <v>0</v>
      </c>
      <c r="AK40">
        <v>0</v>
      </c>
      <c r="AL40">
        <v>0</v>
      </c>
      <c r="AM40">
        <v>0</v>
      </c>
      <c r="AN40">
        <v>0</v>
      </c>
      <c r="AO40">
        <v>0</v>
      </c>
      <c r="AP40">
        <v>0</v>
      </c>
      <c r="AQ40">
        <v>0</v>
      </c>
      <c r="AR40">
        <v>0</v>
      </c>
      <c r="AS40">
        <v>0</v>
      </c>
      <c r="AT40">
        <v>0</v>
      </c>
      <c r="AU40" s="30">
        <f t="shared" ref="AU40" si="12">AVERAGE(AF40:AF44)</f>
        <v>35.885599999999997</v>
      </c>
      <c r="AV40" s="17"/>
    </row>
    <row r="41" spans="1:48" x14ac:dyDescent="0.25">
      <c r="A41">
        <v>1</v>
      </c>
      <c r="B41" t="s">
        <v>16</v>
      </c>
      <c r="C41">
        <v>27520</v>
      </c>
      <c r="D41">
        <v>32</v>
      </c>
      <c r="E41">
        <v>4</v>
      </c>
      <c r="F41">
        <v>4</v>
      </c>
      <c r="G41">
        <v>443.43</v>
      </c>
      <c r="H41" s="139">
        <v>31.338000000000001</v>
      </c>
      <c r="I41" s="33">
        <v>45606</v>
      </c>
      <c r="J41" s="37">
        <v>0.95908564814814812</v>
      </c>
      <c r="K41">
        <v>0</v>
      </c>
      <c r="L41">
        <v>0</v>
      </c>
      <c r="M41">
        <v>0</v>
      </c>
      <c r="N41">
        <v>0</v>
      </c>
      <c r="O41">
        <v>0</v>
      </c>
      <c r="P41">
        <v>0</v>
      </c>
      <c r="Q41">
        <v>0</v>
      </c>
      <c r="R41">
        <v>0</v>
      </c>
      <c r="S41">
        <v>0</v>
      </c>
      <c r="T41">
        <v>0</v>
      </c>
      <c r="U41">
        <v>0</v>
      </c>
      <c r="V41">
        <v>0</v>
      </c>
      <c r="W41" s="30">
        <f>W40</f>
        <v>31.351399999999995</v>
      </c>
      <c r="X41" s="17"/>
      <c r="Y41">
        <v>1</v>
      </c>
      <c r="Z41" t="s">
        <v>16</v>
      </c>
      <c r="AA41">
        <v>27520</v>
      </c>
      <c r="AB41">
        <v>32</v>
      </c>
      <c r="AC41">
        <v>4</v>
      </c>
      <c r="AD41">
        <v>4</v>
      </c>
      <c r="AE41">
        <v>387.96</v>
      </c>
      <c r="AF41" s="139">
        <v>35.817999999999998</v>
      </c>
      <c r="AG41" s="33">
        <v>45605</v>
      </c>
      <c r="AH41" s="34">
        <v>8.0208333333333329E-3</v>
      </c>
      <c r="AI41">
        <v>0</v>
      </c>
      <c r="AJ41">
        <v>0</v>
      </c>
      <c r="AK41">
        <v>0</v>
      </c>
      <c r="AL41">
        <v>0</v>
      </c>
      <c r="AM41">
        <v>0</v>
      </c>
      <c r="AN41">
        <v>0</v>
      </c>
      <c r="AO41">
        <v>0</v>
      </c>
      <c r="AP41">
        <v>0</v>
      </c>
      <c r="AQ41">
        <v>0</v>
      </c>
      <c r="AR41">
        <v>0</v>
      </c>
      <c r="AS41">
        <v>0</v>
      </c>
      <c r="AT41">
        <v>0</v>
      </c>
      <c r="AU41" s="30">
        <f t="shared" ref="AU41" si="13">AU40</f>
        <v>35.885599999999997</v>
      </c>
      <c r="AV41" s="17"/>
    </row>
    <row r="42" spans="1:48" x14ac:dyDescent="0.25">
      <c r="A42">
        <v>2</v>
      </c>
      <c r="B42" t="s">
        <v>16</v>
      </c>
      <c r="C42">
        <v>27520</v>
      </c>
      <c r="D42">
        <v>32</v>
      </c>
      <c r="E42">
        <v>4</v>
      </c>
      <c r="F42">
        <v>4</v>
      </c>
      <c r="G42">
        <v>443.36</v>
      </c>
      <c r="H42" s="139">
        <v>31.341999999999999</v>
      </c>
      <c r="I42" s="33">
        <v>45607</v>
      </c>
      <c r="J42" s="37">
        <v>4.925925925925926E-2</v>
      </c>
      <c r="K42">
        <v>0</v>
      </c>
      <c r="L42">
        <v>0</v>
      </c>
      <c r="M42">
        <v>0</v>
      </c>
      <c r="N42">
        <v>0</v>
      </c>
      <c r="O42">
        <v>0</v>
      </c>
      <c r="P42">
        <v>0</v>
      </c>
      <c r="Q42">
        <v>0</v>
      </c>
      <c r="R42">
        <v>0</v>
      </c>
      <c r="S42">
        <v>0</v>
      </c>
      <c r="T42">
        <v>0</v>
      </c>
      <c r="U42">
        <v>0</v>
      </c>
      <c r="V42">
        <v>0</v>
      </c>
      <c r="W42" s="30">
        <f>W41</f>
        <v>31.351399999999995</v>
      </c>
      <c r="X42" s="17"/>
      <c r="Y42">
        <v>2</v>
      </c>
      <c r="Z42" t="s">
        <v>16</v>
      </c>
      <c r="AA42">
        <v>27520</v>
      </c>
      <c r="AB42">
        <v>32</v>
      </c>
      <c r="AC42">
        <v>4</v>
      </c>
      <c r="AD42">
        <v>4</v>
      </c>
      <c r="AE42">
        <v>387.1</v>
      </c>
      <c r="AF42" s="139">
        <v>35.896999999999998</v>
      </c>
      <c r="AG42" s="33">
        <v>45605</v>
      </c>
      <c r="AH42" s="34">
        <v>9.7268518518518518E-2</v>
      </c>
      <c r="AI42">
        <v>0</v>
      </c>
      <c r="AJ42">
        <v>0</v>
      </c>
      <c r="AK42">
        <v>0</v>
      </c>
      <c r="AL42">
        <v>0</v>
      </c>
      <c r="AM42">
        <v>0</v>
      </c>
      <c r="AN42">
        <v>0</v>
      </c>
      <c r="AO42">
        <v>0</v>
      </c>
      <c r="AP42">
        <v>0</v>
      </c>
      <c r="AQ42">
        <v>0</v>
      </c>
      <c r="AR42">
        <v>0</v>
      </c>
      <c r="AS42">
        <v>0</v>
      </c>
      <c r="AT42">
        <v>0</v>
      </c>
      <c r="AU42" s="30">
        <f t="shared" si="5"/>
        <v>35.885599999999997</v>
      </c>
      <c r="AV42" s="17"/>
    </row>
    <row r="43" spans="1:48" x14ac:dyDescent="0.25">
      <c r="A43">
        <v>3</v>
      </c>
      <c r="B43" t="s">
        <v>16</v>
      </c>
      <c r="C43">
        <v>27520</v>
      </c>
      <c r="D43">
        <v>32</v>
      </c>
      <c r="E43">
        <v>4</v>
      </c>
      <c r="F43">
        <v>4</v>
      </c>
      <c r="G43">
        <v>442.68</v>
      </c>
      <c r="H43" s="139">
        <v>31.390999999999998</v>
      </c>
      <c r="I43" s="33">
        <v>45607</v>
      </c>
      <c r="J43" s="37">
        <v>0.13942129629629629</v>
      </c>
      <c r="K43">
        <v>0</v>
      </c>
      <c r="L43">
        <v>0</v>
      </c>
      <c r="M43">
        <v>0</v>
      </c>
      <c r="N43">
        <v>0</v>
      </c>
      <c r="O43">
        <v>0</v>
      </c>
      <c r="P43">
        <v>0</v>
      </c>
      <c r="Q43">
        <v>0</v>
      </c>
      <c r="R43">
        <v>0</v>
      </c>
      <c r="S43">
        <v>0</v>
      </c>
      <c r="T43">
        <v>0</v>
      </c>
      <c r="U43">
        <v>0</v>
      </c>
      <c r="V43">
        <v>0</v>
      </c>
      <c r="W43" s="30">
        <f>W42</f>
        <v>31.351399999999995</v>
      </c>
      <c r="X43" s="17"/>
      <c r="Y43">
        <v>3</v>
      </c>
      <c r="Z43" t="s">
        <v>16</v>
      </c>
      <c r="AA43">
        <v>27520</v>
      </c>
      <c r="AB43">
        <v>32</v>
      </c>
      <c r="AC43">
        <v>4</v>
      </c>
      <c r="AD43">
        <v>4</v>
      </c>
      <c r="AE43">
        <v>384.7</v>
      </c>
      <c r="AF43" s="139">
        <v>36.121000000000002</v>
      </c>
      <c r="AG43" s="33">
        <v>45605</v>
      </c>
      <c r="AH43" s="34">
        <v>0.18650462962962963</v>
      </c>
      <c r="AI43">
        <v>0</v>
      </c>
      <c r="AJ43">
        <v>0</v>
      </c>
      <c r="AK43">
        <v>0</v>
      </c>
      <c r="AL43">
        <v>0</v>
      </c>
      <c r="AM43">
        <v>0</v>
      </c>
      <c r="AN43">
        <v>0</v>
      </c>
      <c r="AO43">
        <v>0</v>
      </c>
      <c r="AP43">
        <v>0</v>
      </c>
      <c r="AQ43">
        <v>0</v>
      </c>
      <c r="AR43">
        <v>0</v>
      </c>
      <c r="AS43">
        <v>0</v>
      </c>
      <c r="AT43">
        <v>0</v>
      </c>
      <c r="AU43" s="30">
        <f t="shared" si="5"/>
        <v>35.885599999999997</v>
      </c>
      <c r="AV43" s="17"/>
    </row>
    <row r="44" spans="1:48" x14ac:dyDescent="0.25">
      <c r="A44">
        <v>4</v>
      </c>
      <c r="B44" t="s">
        <v>16</v>
      </c>
      <c r="C44">
        <v>27520</v>
      </c>
      <c r="D44">
        <v>32</v>
      </c>
      <c r="E44">
        <v>4</v>
      </c>
      <c r="F44">
        <v>4</v>
      </c>
      <c r="G44">
        <v>443.17</v>
      </c>
      <c r="H44" s="139">
        <v>31.356000000000002</v>
      </c>
      <c r="I44" s="33">
        <v>45607</v>
      </c>
      <c r="J44" s="37">
        <v>0.22964120370370369</v>
      </c>
      <c r="K44">
        <v>0</v>
      </c>
      <c r="L44">
        <v>0</v>
      </c>
      <c r="M44">
        <v>0</v>
      </c>
      <c r="N44">
        <v>0</v>
      </c>
      <c r="O44">
        <v>0</v>
      </c>
      <c r="P44">
        <v>0</v>
      </c>
      <c r="Q44">
        <v>0</v>
      </c>
      <c r="R44">
        <v>0</v>
      </c>
      <c r="S44">
        <v>0</v>
      </c>
      <c r="T44">
        <v>0</v>
      </c>
      <c r="U44">
        <v>0</v>
      </c>
      <c r="V44">
        <v>0</v>
      </c>
      <c r="W44" s="30">
        <f>W43</f>
        <v>31.351399999999995</v>
      </c>
      <c r="X44" s="17"/>
      <c r="Y44">
        <v>4</v>
      </c>
      <c r="Z44" t="s">
        <v>16</v>
      </c>
      <c r="AA44">
        <v>27520</v>
      </c>
      <c r="AB44">
        <v>32</v>
      </c>
      <c r="AC44">
        <v>4</v>
      </c>
      <c r="AD44">
        <v>4</v>
      </c>
      <c r="AE44">
        <v>388.75</v>
      </c>
      <c r="AF44" s="139">
        <v>35.744999999999997</v>
      </c>
      <c r="AG44" s="33">
        <v>45605</v>
      </c>
      <c r="AH44" s="34">
        <v>0.50075231481481486</v>
      </c>
      <c r="AI44">
        <v>0</v>
      </c>
      <c r="AJ44">
        <v>0</v>
      </c>
      <c r="AK44">
        <v>0</v>
      </c>
      <c r="AL44">
        <v>0</v>
      </c>
      <c r="AM44">
        <v>0</v>
      </c>
      <c r="AN44">
        <v>0</v>
      </c>
      <c r="AO44">
        <v>0</v>
      </c>
      <c r="AP44">
        <v>0</v>
      </c>
      <c r="AQ44">
        <v>0</v>
      </c>
      <c r="AR44">
        <v>0</v>
      </c>
      <c r="AS44">
        <v>0</v>
      </c>
      <c r="AT44">
        <v>0</v>
      </c>
      <c r="AU44" s="30">
        <f t="shared" si="5"/>
        <v>35.885599999999997</v>
      </c>
      <c r="AV44" s="17"/>
    </row>
    <row r="45" spans="1:48" x14ac:dyDescent="0.25">
      <c r="A45">
        <v>0</v>
      </c>
      <c r="B45" t="s">
        <v>16</v>
      </c>
      <c r="C45">
        <v>29056</v>
      </c>
      <c r="D45">
        <v>32</v>
      </c>
      <c r="E45">
        <v>4</v>
      </c>
      <c r="F45">
        <v>4</v>
      </c>
      <c r="G45">
        <v>516.53</v>
      </c>
      <c r="H45" s="139">
        <v>31.663</v>
      </c>
      <c r="I45" s="33">
        <v>45606</v>
      </c>
      <c r="J45" s="37">
        <v>0.92682870370370374</v>
      </c>
      <c r="K45">
        <v>0</v>
      </c>
      <c r="L45">
        <v>0</v>
      </c>
      <c r="M45">
        <v>0</v>
      </c>
      <c r="N45">
        <v>0</v>
      </c>
      <c r="O45">
        <v>0</v>
      </c>
      <c r="P45">
        <v>0</v>
      </c>
      <c r="Q45">
        <v>0</v>
      </c>
      <c r="R45">
        <v>0</v>
      </c>
      <c r="S45">
        <v>0</v>
      </c>
      <c r="T45">
        <v>0</v>
      </c>
      <c r="U45">
        <v>0</v>
      </c>
      <c r="V45">
        <v>0</v>
      </c>
      <c r="W45" s="30">
        <f>AVERAGE(H45:H49)</f>
        <v>31.683999999999997</v>
      </c>
      <c r="X45" s="17"/>
      <c r="Y45">
        <v>0</v>
      </c>
      <c r="Z45" t="s">
        <v>16</v>
      </c>
      <c r="AA45">
        <v>29056</v>
      </c>
      <c r="AB45">
        <v>32</v>
      </c>
      <c r="AC45">
        <v>4</v>
      </c>
      <c r="AD45">
        <v>4</v>
      </c>
      <c r="AE45">
        <v>448.28</v>
      </c>
      <c r="AF45" s="139">
        <v>36.482999999999997</v>
      </c>
      <c r="AG45" s="33">
        <v>45604</v>
      </c>
      <c r="AH45" s="34">
        <v>0.97616898148148146</v>
      </c>
      <c r="AI45">
        <v>0</v>
      </c>
      <c r="AJ45">
        <v>0</v>
      </c>
      <c r="AK45">
        <v>0</v>
      </c>
      <c r="AL45">
        <v>0</v>
      </c>
      <c r="AM45">
        <v>0</v>
      </c>
      <c r="AN45">
        <v>0</v>
      </c>
      <c r="AO45">
        <v>0</v>
      </c>
      <c r="AP45">
        <v>0</v>
      </c>
      <c r="AQ45">
        <v>0</v>
      </c>
      <c r="AR45">
        <v>0</v>
      </c>
      <c r="AS45">
        <v>0</v>
      </c>
      <c r="AT45">
        <v>0</v>
      </c>
      <c r="AU45" s="30">
        <f t="shared" ref="AU45" si="14">AVERAGE(AF45:AF49)</f>
        <v>36.314599999999999</v>
      </c>
      <c r="AV45" s="17"/>
    </row>
    <row r="46" spans="1:48" x14ac:dyDescent="0.25">
      <c r="A46">
        <v>1</v>
      </c>
      <c r="B46" t="s">
        <v>16</v>
      </c>
      <c r="C46">
        <v>29056</v>
      </c>
      <c r="D46">
        <v>32</v>
      </c>
      <c r="E46">
        <v>4</v>
      </c>
      <c r="F46">
        <v>4</v>
      </c>
      <c r="G46">
        <v>515.53</v>
      </c>
      <c r="H46" s="139">
        <v>31.725000000000001</v>
      </c>
      <c r="I46" s="33">
        <v>45607</v>
      </c>
      <c r="J46" s="37">
        <v>1.7094907407407406E-2</v>
      </c>
      <c r="K46">
        <v>0</v>
      </c>
      <c r="L46">
        <v>0</v>
      </c>
      <c r="M46">
        <v>0</v>
      </c>
      <c r="N46">
        <v>0</v>
      </c>
      <c r="O46">
        <v>0</v>
      </c>
      <c r="P46">
        <v>0</v>
      </c>
      <c r="Q46">
        <v>0</v>
      </c>
      <c r="R46">
        <v>0</v>
      </c>
      <c r="S46">
        <v>0</v>
      </c>
      <c r="T46">
        <v>0</v>
      </c>
      <c r="U46">
        <v>0</v>
      </c>
      <c r="V46">
        <v>0</v>
      </c>
      <c r="W46" s="30">
        <f>W45</f>
        <v>31.683999999999997</v>
      </c>
      <c r="X46" s="17"/>
      <c r="Y46">
        <v>1</v>
      </c>
      <c r="Z46" t="s">
        <v>16</v>
      </c>
      <c r="AA46">
        <v>29056</v>
      </c>
      <c r="AB46">
        <v>32</v>
      </c>
      <c r="AC46">
        <v>4</v>
      </c>
      <c r="AD46">
        <v>4</v>
      </c>
      <c r="AE46">
        <v>453.03</v>
      </c>
      <c r="AF46" s="139">
        <v>36.100999999999999</v>
      </c>
      <c r="AG46" s="33">
        <v>45605</v>
      </c>
      <c r="AH46" s="34">
        <v>6.5462962962962959E-2</v>
      </c>
      <c r="AI46">
        <v>0</v>
      </c>
      <c r="AJ46">
        <v>0</v>
      </c>
      <c r="AK46">
        <v>0</v>
      </c>
      <c r="AL46">
        <v>0</v>
      </c>
      <c r="AM46">
        <v>0</v>
      </c>
      <c r="AN46">
        <v>0</v>
      </c>
      <c r="AO46">
        <v>0</v>
      </c>
      <c r="AP46">
        <v>0</v>
      </c>
      <c r="AQ46">
        <v>0</v>
      </c>
      <c r="AR46">
        <v>0</v>
      </c>
      <c r="AS46">
        <v>0</v>
      </c>
      <c r="AT46">
        <v>0</v>
      </c>
      <c r="AU46" s="30">
        <f t="shared" ref="AU46" si="15">AU45</f>
        <v>36.314599999999999</v>
      </c>
      <c r="AV46" s="17"/>
    </row>
    <row r="47" spans="1:48" x14ac:dyDescent="0.25">
      <c r="A47">
        <v>2</v>
      </c>
      <c r="B47" t="s">
        <v>16</v>
      </c>
      <c r="C47">
        <v>29056</v>
      </c>
      <c r="D47">
        <v>32</v>
      </c>
      <c r="E47">
        <v>4</v>
      </c>
      <c r="F47">
        <v>4</v>
      </c>
      <c r="G47">
        <v>516.30999999999995</v>
      </c>
      <c r="H47" s="139">
        <v>31.677</v>
      </c>
      <c r="I47" s="33">
        <v>45607</v>
      </c>
      <c r="J47" s="37">
        <v>0.10728009259259259</v>
      </c>
      <c r="K47">
        <v>0</v>
      </c>
      <c r="L47">
        <v>0</v>
      </c>
      <c r="M47">
        <v>0</v>
      </c>
      <c r="N47">
        <v>0</v>
      </c>
      <c r="O47">
        <v>0</v>
      </c>
      <c r="P47">
        <v>0</v>
      </c>
      <c r="Q47">
        <v>0</v>
      </c>
      <c r="R47">
        <v>0</v>
      </c>
      <c r="S47">
        <v>0</v>
      </c>
      <c r="T47">
        <v>0</v>
      </c>
      <c r="U47">
        <v>0</v>
      </c>
      <c r="V47">
        <v>0</v>
      </c>
      <c r="W47" s="30">
        <f>W46</f>
        <v>31.683999999999997</v>
      </c>
      <c r="X47" s="17"/>
      <c r="Y47">
        <v>2</v>
      </c>
      <c r="Z47" t="s">
        <v>16</v>
      </c>
      <c r="AA47">
        <v>29056</v>
      </c>
      <c r="AB47">
        <v>32</v>
      </c>
      <c r="AC47">
        <v>4</v>
      </c>
      <c r="AD47">
        <v>4</v>
      </c>
      <c r="AE47">
        <v>449.27</v>
      </c>
      <c r="AF47" s="139">
        <v>36.404000000000003</v>
      </c>
      <c r="AG47" s="33">
        <v>45605</v>
      </c>
      <c r="AH47" s="34">
        <v>0.15472222222222223</v>
      </c>
      <c r="AI47">
        <v>0</v>
      </c>
      <c r="AJ47">
        <v>0</v>
      </c>
      <c r="AK47">
        <v>0</v>
      </c>
      <c r="AL47">
        <v>0</v>
      </c>
      <c r="AM47">
        <v>0</v>
      </c>
      <c r="AN47">
        <v>0</v>
      </c>
      <c r="AO47">
        <v>0</v>
      </c>
      <c r="AP47">
        <v>0</v>
      </c>
      <c r="AQ47">
        <v>0</v>
      </c>
      <c r="AR47">
        <v>0</v>
      </c>
      <c r="AS47">
        <v>0</v>
      </c>
      <c r="AT47">
        <v>0</v>
      </c>
      <c r="AU47" s="30">
        <f t="shared" si="3"/>
        <v>36.314599999999999</v>
      </c>
      <c r="AV47" s="17"/>
    </row>
    <row r="48" spans="1:48" x14ac:dyDescent="0.25">
      <c r="A48">
        <v>3</v>
      </c>
      <c r="B48" t="s">
        <v>16</v>
      </c>
      <c r="C48">
        <v>29056</v>
      </c>
      <c r="D48">
        <v>32</v>
      </c>
      <c r="E48">
        <v>4</v>
      </c>
      <c r="F48">
        <v>4</v>
      </c>
      <c r="G48">
        <v>516.36</v>
      </c>
      <c r="H48" s="139">
        <v>31.672999999999998</v>
      </c>
      <c r="I48" s="33">
        <v>45607</v>
      </c>
      <c r="J48" s="37">
        <v>0.19744212962962962</v>
      </c>
      <c r="K48">
        <v>0</v>
      </c>
      <c r="L48">
        <v>0</v>
      </c>
      <c r="M48">
        <v>0</v>
      </c>
      <c r="N48">
        <v>0</v>
      </c>
      <c r="O48">
        <v>0</v>
      </c>
      <c r="P48">
        <v>0</v>
      </c>
      <c r="Q48">
        <v>0</v>
      </c>
      <c r="R48">
        <v>0</v>
      </c>
      <c r="S48">
        <v>0</v>
      </c>
      <c r="T48">
        <v>0</v>
      </c>
      <c r="U48">
        <v>0</v>
      </c>
      <c r="V48">
        <v>0</v>
      </c>
      <c r="W48" s="30">
        <f>W47</f>
        <v>31.683999999999997</v>
      </c>
      <c r="X48" s="17"/>
      <c r="Y48">
        <v>3</v>
      </c>
      <c r="Z48" t="s">
        <v>16</v>
      </c>
      <c r="AA48">
        <v>29056</v>
      </c>
      <c r="AB48">
        <v>32</v>
      </c>
      <c r="AC48">
        <v>4</v>
      </c>
      <c r="AD48">
        <v>4</v>
      </c>
      <c r="AE48">
        <v>450.88</v>
      </c>
      <c r="AF48" s="139">
        <v>36.274000000000001</v>
      </c>
      <c r="AG48" s="33">
        <v>45605</v>
      </c>
      <c r="AH48" s="34">
        <v>0.46888888888888891</v>
      </c>
      <c r="AI48">
        <v>0</v>
      </c>
      <c r="AJ48">
        <v>0</v>
      </c>
      <c r="AK48">
        <v>0</v>
      </c>
      <c r="AL48">
        <v>0</v>
      </c>
      <c r="AM48">
        <v>0</v>
      </c>
      <c r="AN48">
        <v>0</v>
      </c>
      <c r="AO48">
        <v>0</v>
      </c>
      <c r="AP48">
        <v>0</v>
      </c>
      <c r="AQ48">
        <v>0</v>
      </c>
      <c r="AR48">
        <v>0</v>
      </c>
      <c r="AS48">
        <v>0</v>
      </c>
      <c r="AT48">
        <v>0</v>
      </c>
      <c r="AU48" s="30">
        <f t="shared" si="3"/>
        <v>36.314599999999999</v>
      </c>
      <c r="AV48" s="17"/>
    </row>
    <row r="49" spans="1:48" x14ac:dyDescent="0.25">
      <c r="A49">
        <v>4</v>
      </c>
      <c r="B49" t="s">
        <v>16</v>
      </c>
      <c r="C49">
        <v>29056</v>
      </c>
      <c r="D49">
        <v>32</v>
      </c>
      <c r="E49">
        <v>4</v>
      </c>
      <c r="F49">
        <v>4</v>
      </c>
      <c r="G49">
        <v>516.23</v>
      </c>
      <c r="H49" s="139">
        <v>31.681999999999999</v>
      </c>
      <c r="I49" s="33">
        <v>45607</v>
      </c>
      <c r="J49" s="37">
        <v>0.28765046296296298</v>
      </c>
      <c r="K49">
        <v>0</v>
      </c>
      <c r="L49">
        <v>0</v>
      </c>
      <c r="M49">
        <v>0</v>
      </c>
      <c r="N49">
        <v>0</v>
      </c>
      <c r="O49">
        <v>0</v>
      </c>
      <c r="P49">
        <v>0</v>
      </c>
      <c r="Q49">
        <v>0</v>
      </c>
      <c r="R49">
        <v>0</v>
      </c>
      <c r="S49">
        <v>0</v>
      </c>
      <c r="T49">
        <v>0</v>
      </c>
      <c r="U49">
        <v>0</v>
      </c>
      <c r="V49">
        <v>0</v>
      </c>
      <c r="W49" s="30">
        <f>W48</f>
        <v>31.683999999999997</v>
      </c>
      <c r="X49" s="17"/>
      <c r="Y49">
        <v>4</v>
      </c>
      <c r="Z49" t="s">
        <v>16</v>
      </c>
      <c r="AA49">
        <v>29056</v>
      </c>
      <c r="AB49">
        <v>32</v>
      </c>
      <c r="AC49">
        <v>4</v>
      </c>
      <c r="AD49">
        <v>4</v>
      </c>
      <c r="AE49">
        <v>450.42</v>
      </c>
      <c r="AF49" s="139">
        <v>36.311</v>
      </c>
      <c r="AG49" s="33">
        <v>45606</v>
      </c>
      <c r="AH49" s="34">
        <v>0.69980324074074074</v>
      </c>
      <c r="AI49">
        <v>0</v>
      </c>
      <c r="AJ49">
        <v>0</v>
      </c>
      <c r="AK49">
        <v>0</v>
      </c>
      <c r="AL49">
        <v>0</v>
      </c>
      <c r="AM49">
        <v>0</v>
      </c>
      <c r="AN49">
        <v>0</v>
      </c>
      <c r="AO49">
        <v>0</v>
      </c>
      <c r="AP49">
        <v>0</v>
      </c>
      <c r="AQ49">
        <v>0</v>
      </c>
      <c r="AR49">
        <v>0</v>
      </c>
      <c r="AS49">
        <v>0</v>
      </c>
      <c r="AT49">
        <v>0</v>
      </c>
      <c r="AU49" s="30">
        <f t="shared" si="3"/>
        <v>36.314599999999999</v>
      </c>
      <c r="AV49" s="17"/>
    </row>
    <row r="50" spans="1:48" x14ac:dyDescent="0.25">
      <c r="A50">
        <v>0</v>
      </c>
      <c r="B50" t="s">
        <v>16</v>
      </c>
      <c r="C50">
        <v>25984</v>
      </c>
      <c r="D50">
        <v>64</v>
      </c>
      <c r="E50">
        <v>1</v>
      </c>
      <c r="F50">
        <v>16</v>
      </c>
      <c r="G50">
        <v>332.48</v>
      </c>
      <c r="H50" s="139">
        <v>35.18</v>
      </c>
      <c r="I50" s="33">
        <v>45606</v>
      </c>
      <c r="J50" s="37">
        <v>0.90052083333333333</v>
      </c>
      <c r="K50">
        <v>0</v>
      </c>
      <c r="L50">
        <v>0</v>
      </c>
      <c r="M50">
        <v>0</v>
      </c>
      <c r="N50">
        <v>0</v>
      </c>
      <c r="O50">
        <v>0</v>
      </c>
      <c r="P50">
        <v>0</v>
      </c>
      <c r="Q50">
        <v>0</v>
      </c>
      <c r="R50">
        <v>0</v>
      </c>
      <c r="S50">
        <v>0</v>
      </c>
      <c r="T50">
        <v>0</v>
      </c>
      <c r="U50">
        <v>0</v>
      </c>
      <c r="V50">
        <v>0</v>
      </c>
      <c r="W50" s="30">
        <f>AVERAGE(H50:H54)</f>
        <v>35.1798</v>
      </c>
      <c r="X50" s="17"/>
      <c r="Y50">
        <v>0</v>
      </c>
      <c r="Z50" t="s">
        <v>16</v>
      </c>
      <c r="AA50">
        <v>25984</v>
      </c>
      <c r="AB50">
        <v>64</v>
      </c>
      <c r="AC50">
        <v>1</v>
      </c>
      <c r="AD50">
        <v>16</v>
      </c>
      <c r="AE50">
        <v>304.91000000000003</v>
      </c>
      <c r="AF50" s="139">
        <v>38.360999999999997</v>
      </c>
      <c r="AG50" s="33">
        <v>45604</v>
      </c>
      <c r="AH50" s="34">
        <v>0.95024305555555555</v>
      </c>
      <c r="AI50">
        <v>0</v>
      </c>
      <c r="AJ50">
        <v>0</v>
      </c>
      <c r="AK50">
        <v>0</v>
      </c>
      <c r="AL50">
        <v>0</v>
      </c>
      <c r="AM50">
        <v>0</v>
      </c>
      <c r="AN50">
        <v>0</v>
      </c>
      <c r="AO50">
        <v>0</v>
      </c>
      <c r="AP50">
        <v>0</v>
      </c>
      <c r="AQ50">
        <v>0</v>
      </c>
      <c r="AR50">
        <v>0</v>
      </c>
      <c r="AS50">
        <v>0</v>
      </c>
      <c r="AT50">
        <v>0</v>
      </c>
      <c r="AU50" s="30">
        <f t="shared" ref="AU50" si="16">AVERAGE(AF50:AF54)</f>
        <v>38.332399999999993</v>
      </c>
      <c r="AV50" s="17"/>
    </row>
    <row r="51" spans="1:48" x14ac:dyDescent="0.25">
      <c r="A51">
        <v>1</v>
      </c>
      <c r="B51" t="s">
        <v>16</v>
      </c>
      <c r="C51">
        <v>25984</v>
      </c>
      <c r="D51">
        <v>64</v>
      </c>
      <c r="E51">
        <v>1</v>
      </c>
      <c r="F51">
        <v>16</v>
      </c>
      <c r="G51">
        <v>332.55</v>
      </c>
      <c r="H51" s="139">
        <v>35.173000000000002</v>
      </c>
      <c r="I51" s="33">
        <v>45606</v>
      </c>
      <c r="J51" s="37">
        <v>0.99078703703703708</v>
      </c>
      <c r="K51">
        <v>0</v>
      </c>
      <c r="L51">
        <v>0</v>
      </c>
      <c r="M51">
        <v>0</v>
      </c>
      <c r="N51">
        <v>0</v>
      </c>
      <c r="O51">
        <v>0</v>
      </c>
      <c r="P51">
        <v>0</v>
      </c>
      <c r="Q51">
        <v>0</v>
      </c>
      <c r="R51">
        <v>0</v>
      </c>
      <c r="S51">
        <v>0</v>
      </c>
      <c r="T51">
        <v>0</v>
      </c>
      <c r="U51">
        <v>0</v>
      </c>
      <c r="V51">
        <v>0</v>
      </c>
      <c r="W51" s="30">
        <f>W50</f>
        <v>35.1798</v>
      </c>
      <c r="X51" s="17"/>
      <c r="Y51">
        <v>1</v>
      </c>
      <c r="Z51" t="s">
        <v>16</v>
      </c>
      <c r="AA51">
        <v>25984</v>
      </c>
      <c r="AB51">
        <v>64</v>
      </c>
      <c r="AC51">
        <v>1</v>
      </c>
      <c r="AD51">
        <v>16</v>
      </c>
      <c r="AE51">
        <v>305.13</v>
      </c>
      <c r="AF51" s="139">
        <v>38.334000000000003</v>
      </c>
      <c r="AG51" s="33">
        <v>45605</v>
      </c>
      <c r="AH51" s="34">
        <v>3.9606481481481479E-2</v>
      </c>
      <c r="AI51">
        <v>0</v>
      </c>
      <c r="AJ51">
        <v>0</v>
      </c>
      <c r="AK51">
        <v>0</v>
      </c>
      <c r="AL51">
        <v>0</v>
      </c>
      <c r="AM51">
        <v>0</v>
      </c>
      <c r="AN51">
        <v>0</v>
      </c>
      <c r="AO51">
        <v>0</v>
      </c>
      <c r="AP51">
        <v>0</v>
      </c>
      <c r="AQ51">
        <v>0</v>
      </c>
      <c r="AR51">
        <v>0</v>
      </c>
      <c r="AS51">
        <v>0</v>
      </c>
      <c r="AT51">
        <v>0</v>
      </c>
      <c r="AU51" s="30">
        <f t="shared" ref="AU51" si="17">AU50</f>
        <v>38.332399999999993</v>
      </c>
      <c r="AV51" s="17"/>
    </row>
    <row r="52" spans="1:48" x14ac:dyDescent="0.25">
      <c r="A52">
        <v>2</v>
      </c>
      <c r="B52" t="s">
        <v>16</v>
      </c>
      <c r="C52">
        <v>25984</v>
      </c>
      <c r="D52">
        <v>64</v>
      </c>
      <c r="E52">
        <v>1</v>
      </c>
      <c r="F52">
        <v>16</v>
      </c>
      <c r="G52">
        <v>332.63</v>
      </c>
      <c r="H52" s="139">
        <v>35.164000000000001</v>
      </c>
      <c r="I52" s="33">
        <v>45607</v>
      </c>
      <c r="J52" s="37">
        <v>8.0972222222222223E-2</v>
      </c>
      <c r="K52">
        <v>0</v>
      </c>
      <c r="L52">
        <v>0</v>
      </c>
      <c r="M52">
        <v>0</v>
      </c>
      <c r="N52">
        <v>0</v>
      </c>
      <c r="O52">
        <v>0</v>
      </c>
      <c r="P52">
        <v>0</v>
      </c>
      <c r="Q52">
        <v>0</v>
      </c>
      <c r="R52">
        <v>0</v>
      </c>
      <c r="S52">
        <v>0</v>
      </c>
      <c r="T52">
        <v>0</v>
      </c>
      <c r="U52">
        <v>0</v>
      </c>
      <c r="V52">
        <v>0</v>
      </c>
      <c r="W52" s="30">
        <f>W51</f>
        <v>35.1798</v>
      </c>
      <c r="X52" s="17"/>
      <c r="Y52">
        <v>2</v>
      </c>
      <c r="Z52" t="s">
        <v>16</v>
      </c>
      <c r="AA52">
        <v>25984</v>
      </c>
      <c r="AB52">
        <v>64</v>
      </c>
      <c r="AC52">
        <v>1</v>
      </c>
      <c r="AD52">
        <v>16</v>
      </c>
      <c r="AE52">
        <v>305.23</v>
      </c>
      <c r="AF52" s="139">
        <v>38.320999999999998</v>
      </c>
      <c r="AG52" s="33">
        <v>45605</v>
      </c>
      <c r="AH52" s="34">
        <v>0.12885416666666666</v>
      </c>
      <c r="AI52">
        <v>0</v>
      </c>
      <c r="AJ52">
        <v>0</v>
      </c>
      <c r="AK52">
        <v>0</v>
      </c>
      <c r="AL52">
        <v>0</v>
      </c>
      <c r="AM52">
        <v>0</v>
      </c>
      <c r="AN52">
        <v>0</v>
      </c>
      <c r="AO52">
        <v>0</v>
      </c>
      <c r="AP52">
        <v>0</v>
      </c>
      <c r="AQ52">
        <v>0</v>
      </c>
      <c r="AR52">
        <v>0</v>
      </c>
      <c r="AS52">
        <v>0</v>
      </c>
      <c r="AT52">
        <v>0</v>
      </c>
      <c r="AU52" s="30">
        <f t="shared" si="5"/>
        <v>38.332399999999993</v>
      </c>
      <c r="AV52" s="17"/>
    </row>
    <row r="53" spans="1:48" x14ac:dyDescent="0.25">
      <c r="A53">
        <v>3</v>
      </c>
      <c r="B53" t="s">
        <v>16</v>
      </c>
      <c r="C53">
        <v>25984</v>
      </c>
      <c r="D53">
        <v>64</v>
      </c>
      <c r="E53">
        <v>1</v>
      </c>
      <c r="F53">
        <v>16</v>
      </c>
      <c r="G53">
        <v>332.34</v>
      </c>
      <c r="H53" s="139">
        <v>35.195</v>
      </c>
      <c r="I53" s="33">
        <v>45607</v>
      </c>
      <c r="J53" s="37">
        <v>0.1711226851851852</v>
      </c>
      <c r="K53">
        <v>0</v>
      </c>
      <c r="L53">
        <v>0</v>
      </c>
      <c r="M53">
        <v>0</v>
      </c>
      <c r="N53">
        <v>0</v>
      </c>
      <c r="O53">
        <v>0</v>
      </c>
      <c r="P53">
        <v>0</v>
      </c>
      <c r="Q53">
        <v>0</v>
      </c>
      <c r="R53">
        <v>0</v>
      </c>
      <c r="S53">
        <v>0</v>
      </c>
      <c r="T53">
        <v>0</v>
      </c>
      <c r="U53">
        <v>0</v>
      </c>
      <c r="V53">
        <v>0</v>
      </c>
      <c r="W53" s="30">
        <f>W52</f>
        <v>35.1798</v>
      </c>
      <c r="X53" s="17"/>
      <c r="Y53">
        <v>3</v>
      </c>
      <c r="Z53" t="s">
        <v>16</v>
      </c>
      <c r="AA53">
        <v>25984</v>
      </c>
      <c r="AB53">
        <v>64</v>
      </c>
      <c r="AC53">
        <v>1</v>
      </c>
      <c r="AD53">
        <v>16</v>
      </c>
      <c r="AE53">
        <v>305.41000000000003</v>
      </c>
      <c r="AF53" s="139">
        <v>38.298000000000002</v>
      </c>
      <c r="AG53" s="33">
        <v>45605</v>
      </c>
      <c r="AH53" s="34">
        <v>0.21814814814814815</v>
      </c>
      <c r="AI53">
        <v>0</v>
      </c>
      <c r="AJ53">
        <v>0</v>
      </c>
      <c r="AK53">
        <v>0</v>
      </c>
      <c r="AL53">
        <v>0</v>
      </c>
      <c r="AM53">
        <v>0</v>
      </c>
      <c r="AN53">
        <v>0</v>
      </c>
      <c r="AO53">
        <v>0</v>
      </c>
      <c r="AP53">
        <v>0</v>
      </c>
      <c r="AQ53">
        <v>0</v>
      </c>
      <c r="AR53">
        <v>0</v>
      </c>
      <c r="AS53">
        <v>0</v>
      </c>
      <c r="AT53">
        <v>0</v>
      </c>
      <c r="AU53" s="30">
        <f t="shared" si="5"/>
        <v>38.332399999999993</v>
      </c>
      <c r="AV53" s="17"/>
    </row>
    <row r="54" spans="1:48" x14ac:dyDescent="0.25">
      <c r="A54">
        <v>4</v>
      </c>
      <c r="B54" t="s">
        <v>16</v>
      </c>
      <c r="C54">
        <v>25984</v>
      </c>
      <c r="D54">
        <v>64</v>
      </c>
      <c r="E54">
        <v>1</v>
      </c>
      <c r="F54">
        <v>16</v>
      </c>
      <c r="G54">
        <v>332.42</v>
      </c>
      <c r="H54" s="139">
        <v>35.186999999999998</v>
      </c>
      <c r="I54" s="33">
        <v>45607</v>
      </c>
      <c r="J54" s="37">
        <v>0.26133101851851853</v>
      </c>
      <c r="K54">
        <v>0</v>
      </c>
      <c r="L54">
        <v>0</v>
      </c>
      <c r="M54">
        <v>0</v>
      </c>
      <c r="N54">
        <v>0</v>
      </c>
      <c r="O54">
        <v>0</v>
      </c>
      <c r="P54">
        <v>0</v>
      </c>
      <c r="Q54">
        <v>0</v>
      </c>
      <c r="R54">
        <v>0</v>
      </c>
      <c r="S54">
        <v>0</v>
      </c>
      <c r="T54">
        <v>0</v>
      </c>
      <c r="U54">
        <v>0</v>
      </c>
      <c r="V54">
        <v>0</v>
      </c>
      <c r="W54" s="30">
        <f>W53</f>
        <v>35.1798</v>
      </c>
      <c r="X54" s="17"/>
      <c r="Y54">
        <v>4</v>
      </c>
      <c r="Z54" t="s">
        <v>16</v>
      </c>
      <c r="AA54">
        <v>25984</v>
      </c>
      <c r="AB54">
        <v>64</v>
      </c>
      <c r="AC54">
        <v>1</v>
      </c>
      <c r="AD54">
        <v>16</v>
      </c>
      <c r="AE54">
        <v>305.01</v>
      </c>
      <c r="AF54" s="139">
        <v>38.347999999999999</v>
      </c>
      <c r="AG54" s="33">
        <v>45605</v>
      </c>
      <c r="AH54" s="34">
        <v>0.90880787037037036</v>
      </c>
      <c r="AI54">
        <v>0</v>
      </c>
      <c r="AJ54">
        <v>0</v>
      </c>
      <c r="AK54">
        <v>0</v>
      </c>
      <c r="AL54">
        <v>0</v>
      </c>
      <c r="AM54">
        <v>0</v>
      </c>
      <c r="AN54">
        <v>0</v>
      </c>
      <c r="AO54">
        <v>0</v>
      </c>
      <c r="AP54">
        <v>0</v>
      </c>
      <c r="AQ54">
        <v>0</v>
      </c>
      <c r="AR54">
        <v>0</v>
      </c>
      <c r="AS54">
        <v>0</v>
      </c>
      <c r="AT54">
        <v>0</v>
      </c>
      <c r="AU54" s="30">
        <f t="shared" si="5"/>
        <v>38.332399999999993</v>
      </c>
      <c r="AV54" s="17"/>
    </row>
    <row r="55" spans="1:48" x14ac:dyDescent="0.25">
      <c r="A55">
        <v>0</v>
      </c>
      <c r="B55" t="s">
        <v>16</v>
      </c>
      <c r="C55">
        <v>27520</v>
      </c>
      <c r="D55">
        <v>64</v>
      </c>
      <c r="E55">
        <v>1</v>
      </c>
      <c r="F55">
        <v>16</v>
      </c>
      <c r="G55">
        <v>392.59</v>
      </c>
      <c r="H55" s="139">
        <v>35.396000000000001</v>
      </c>
      <c r="I55" s="33">
        <v>45606</v>
      </c>
      <c r="J55" s="37">
        <v>0.82371527777777775</v>
      </c>
      <c r="K55">
        <v>0</v>
      </c>
      <c r="L55">
        <v>0</v>
      </c>
      <c r="M55">
        <v>0</v>
      </c>
      <c r="N55">
        <v>0</v>
      </c>
      <c r="O55">
        <v>0</v>
      </c>
      <c r="P55">
        <v>0</v>
      </c>
      <c r="Q55">
        <v>0</v>
      </c>
      <c r="R55">
        <v>0</v>
      </c>
      <c r="S55">
        <v>0</v>
      </c>
      <c r="T55">
        <v>0</v>
      </c>
      <c r="U55">
        <v>0</v>
      </c>
      <c r="V55">
        <v>0</v>
      </c>
      <c r="W55" s="30">
        <f>AVERAGE(H55:H59)</f>
        <v>35.373000000000005</v>
      </c>
      <c r="X55" s="17"/>
      <c r="Y55">
        <v>0</v>
      </c>
      <c r="Z55" t="s">
        <v>16</v>
      </c>
      <c r="AA55">
        <v>27520</v>
      </c>
      <c r="AB55">
        <v>64</v>
      </c>
      <c r="AC55">
        <v>1</v>
      </c>
      <c r="AD55">
        <v>16</v>
      </c>
      <c r="AE55">
        <v>363.06</v>
      </c>
      <c r="AF55" s="139">
        <v>38.274999999999999</v>
      </c>
      <c r="AG55" s="33">
        <v>45604</v>
      </c>
      <c r="AH55" s="34">
        <v>0.92350694444444448</v>
      </c>
      <c r="AI55">
        <v>0</v>
      </c>
      <c r="AJ55">
        <v>0</v>
      </c>
      <c r="AK55">
        <v>0</v>
      </c>
      <c r="AL55">
        <v>0</v>
      </c>
      <c r="AM55">
        <v>0</v>
      </c>
      <c r="AN55">
        <v>0</v>
      </c>
      <c r="AO55">
        <v>0</v>
      </c>
      <c r="AP55">
        <v>0</v>
      </c>
      <c r="AQ55">
        <v>0</v>
      </c>
      <c r="AR55">
        <v>0</v>
      </c>
      <c r="AS55">
        <v>0</v>
      </c>
      <c r="AT55">
        <v>0</v>
      </c>
      <c r="AU55" s="30">
        <f t="shared" ref="AU55" si="18">AVERAGE(AF55:AF59)</f>
        <v>38.660800000000002</v>
      </c>
      <c r="AV55" s="17"/>
    </row>
    <row r="56" spans="1:48" x14ac:dyDescent="0.25">
      <c r="A56">
        <v>1</v>
      </c>
      <c r="B56" t="s">
        <v>16</v>
      </c>
      <c r="C56">
        <v>27520</v>
      </c>
      <c r="D56">
        <v>64</v>
      </c>
      <c r="E56">
        <v>1</v>
      </c>
      <c r="F56">
        <v>16</v>
      </c>
      <c r="G56">
        <v>392.77</v>
      </c>
      <c r="H56" s="139">
        <v>35.380000000000003</v>
      </c>
      <c r="I56" s="33">
        <v>45606</v>
      </c>
      <c r="J56" s="37">
        <v>0.96383101851851849</v>
      </c>
      <c r="K56">
        <v>0</v>
      </c>
      <c r="L56">
        <v>0</v>
      </c>
      <c r="M56">
        <v>0</v>
      </c>
      <c r="N56">
        <v>0</v>
      </c>
      <c r="O56">
        <v>0</v>
      </c>
      <c r="P56">
        <v>0</v>
      </c>
      <c r="Q56">
        <v>0</v>
      </c>
      <c r="R56">
        <v>0</v>
      </c>
      <c r="S56">
        <v>0</v>
      </c>
      <c r="T56">
        <v>0</v>
      </c>
      <c r="U56">
        <v>0</v>
      </c>
      <c r="V56">
        <v>0</v>
      </c>
      <c r="W56" s="30">
        <f>W55</f>
        <v>35.373000000000005</v>
      </c>
      <c r="X56" s="17"/>
      <c r="Y56">
        <v>1</v>
      </c>
      <c r="Z56" t="s">
        <v>16</v>
      </c>
      <c r="AA56">
        <v>27520</v>
      </c>
      <c r="AB56">
        <v>64</v>
      </c>
      <c r="AC56">
        <v>1</v>
      </c>
      <c r="AD56">
        <v>16</v>
      </c>
      <c r="AE56">
        <v>358.64</v>
      </c>
      <c r="AF56" s="139">
        <v>38.746000000000002</v>
      </c>
      <c r="AG56" s="33">
        <v>45605</v>
      </c>
      <c r="AH56" s="34">
        <v>1.2824074074074075E-2</v>
      </c>
      <c r="AI56">
        <v>0</v>
      </c>
      <c r="AJ56">
        <v>0</v>
      </c>
      <c r="AK56">
        <v>0</v>
      </c>
      <c r="AL56">
        <v>0</v>
      </c>
      <c r="AM56">
        <v>0</v>
      </c>
      <c r="AN56">
        <v>0</v>
      </c>
      <c r="AO56">
        <v>0</v>
      </c>
      <c r="AP56">
        <v>0</v>
      </c>
      <c r="AQ56">
        <v>0</v>
      </c>
      <c r="AR56">
        <v>0</v>
      </c>
      <c r="AS56">
        <v>0</v>
      </c>
      <c r="AT56">
        <v>0</v>
      </c>
      <c r="AU56" s="30">
        <f t="shared" ref="AU56" si="19">AU55</f>
        <v>38.660800000000002</v>
      </c>
      <c r="AV56" s="17"/>
    </row>
    <row r="57" spans="1:48" x14ac:dyDescent="0.25">
      <c r="A57">
        <v>2</v>
      </c>
      <c r="B57" t="s">
        <v>16</v>
      </c>
      <c r="C57">
        <v>27520</v>
      </c>
      <c r="D57">
        <v>64</v>
      </c>
      <c r="E57">
        <v>1</v>
      </c>
      <c r="F57">
        <v>16</v>
      </c>
      <c r="G57">
        <v>392.91</v>
      </c>
      <c r="H57" s="139">
        <v>35.366999999999997</v>
      </c>
      <c r="I57" s="33">
        <v>45607</v>
      </c>
      <c r="J57" s="37">
        <v>5.4004629629629632E-2</v>
      </c>
      <c r="K57">
        <v>0</v>
      </c>
      <c r="L57">
        <v>0</v>
      </c>
      <c r="M57">
        <v>0</v>
      </c>
      <c r="N57">
        <v>0</v>
      </c>
      <c r="O57">
        <v>0</v>
      </c>
      <c r="P57">
        <v>0</v>
      </c>
      <c r="Q57">
        <v>0</v>
      </c>
      <c r="R57">
        <v>0</v>
      </c>
      <c r="S57">
        <v>0</v>
      </c>
      <c r="T57">
        <v>0</v>
      </c>
      <c r="U57">
        <v>0</v>
      </c>
      <c r="V57">
        <v>0</v>
      </c>
      <c r="W57" s="30">
        <f>W56</f>
        <v>35.373000000000005</v>
      </c>
      <c r="X57" s="17"/>
      <c r="Y57">
        <v>2</v>
      </c>
      <c r="Z57" t="s">
        <v>16</v>
      </c>
      <c r="AA57">
        <v>27520</v>
      </c>
      <c r="AB57">
        <v>64</v>
      </c>
      <c r="AC57">
        <v>1</v>
      </c>
      <c r="AD57">
        <v>16</v>
      </c>
      <c r="AE57">
        <v>358.27</v>
      </c>
      <c r="AF57" s="139">
        <v>38.786999999999999</v>
      </c>
      <c r="AG57" s="33">
        <v>45605</v>
      </c>
      <c r="AH57" s="34">
        <v>0.10207175925925926</v>
      </c>
      <c r="AI57">
        <v>0</v>
      </c>
      <c r="AJ57">
        <v>0</v>
      </c>
      <c r="AK57">
        <v>0</v>
      </c>
      <c r="AL57">
        <v>0</v>
      </c>
      <c r="AM57">
        <v>0</v>
      </c>
      <c r="AN57">
        <v>0</v>
      </c>
      <c r="AO57">
        <v>0</v>
      </c>
      <c r="AP57">
        <v>0</v>
      </c>
      <c r="AQ57">
        <v>0</v>
      </c>
      <c r="AR57">
        <v>0</v>
      </c>
      <c r="AS57">
        <v>0</v>
      </c>
      <c r="AT57">
        <v>0</v>
      </c>
      <c r="AU57" s="30">
        <f t="shared" si="3"/>
        <v>38.660800000000002</v>
      </c>
      <c r="AV57" s="17"/>
    </row>
    <row r="58" spans="1:48" x14ac:dyDescent="0.25">
      <c r="A58">
        <v>3</v>
      </c>
      <c r="B58" t="s">
        <v>16</v>
      </c>
      <c r="C58">
        <v>27520</v>
      </c>
      <c r="D58">
        <v>64</v>
      </c>
      <c r="E58">
        <v>1</v>
      </c>
      <c r="F58">
        <v>16</v>
      </c>
      <c r="G58">
        <v>392.9</v>
      </c>
      <c r="H58" s="139">
        <v>35.368000000000002</v>
      </c>
      <c r="I58" s="33">
        <v>45607</v>
      </c>
      <c r="J58" s="37">
        <v>0.14417824074074073</v>
      </c>
      <c r="K58">
        <v>0</v>
      </c>
      <c r="L58">
        <v>0</v>
      </c>
      <c r="M58">
        <v>0</v>
      </c>
      <c r="N58">
        <v>0</v>
      </c>
      <c r="O58">
        <v>0</v>
      </c>
      <c r="P58">
        <v>0</v>
      </c>
      <c r="Q58">
        <v>0</v>
      </c>
      <c r="R58">
        <v>0</v>
      </c>
      <c r="S58">
        <v>0</v>
      </c>
      <c r="T58">
        <v>0</v>
      </c>
      <c r="U58">
        <v>0</v>
      </c>
      <c r="V58">
        <v>0</v>
      </c>
      <c r="W58" s="30">
        <f>W57</f>
        <v>35.373000000000005</v>
      </c>
      <c r="X58" s="17"/>
      <c r="Y58">
        <v>3</v>
      </c>
      <c r="Z58" t="s">
        <v>16</v>
      </c>
      <c r="AA58">
        <v>27520</v>
      </c>
      <c r="AB58">
        <v>64</v>
      </c>
      <c r="AC58">
        <v>1</v>
      </c>
      <c r="AD58">
        <v>16</v>
      </c>
      <c r="AE58">
        <v>358.59</v>
      </c>
      <c r="AF58" s="139">
        <v>38.750999999999998</v>
      </c>
      <c r="AG58" s="33">
        <v>45605</v>
      </c>
      <c r="AH58" s="34">
        <v>0.19130787037037036</v>
      </c>
      <c r="AI58">
        <v>0</v>
      </c>
      <c r="AJ58">
        <v>0</v>
      </c>
      <c r="AK58">
        <v>0</v>
      </c>
      <c r="AL58">
        <v>0</v>
      </c>
      <c r="AM58">
        <v>0</v>
      </c>
      <c r="AN58">
        <v>0</v>
      </c>
      <c r="AO58">
        <v>0</v>
      </c>
      <c r="AP58">
        <v>0</v>
      </c>
      <c r="AQ58">
        <v>0</v>
      </c>
      <c r="AR58">
        <v>0</v>
      </c>
      <c r="AS58">
        <v>0</v>
      </c>
      <c r="AT58">
        <v>0</v>
      </c>
      <c r="AU58" s="30">
        <f t="shared" si="3"/>
        <v>38.660800000000002</v>
      </c>
      <c r="AV58" s="17"/>
    </row>
    <row r="59" spans="1:48" x14ac:dyDescent="0.25">
      <c r="A59">
        <v>4</v>
      </c>
      <c r="B59" t="s">
        <v>16</v>
      </c>
      <c r="C59">
        <v>27520</v>
      </c>
      <c r="D59">
        <v>64</v>
      </c>
      <c r="E59">
        <v>1</v>
      </c>
      <c r="F59">
        <v>16</v>
      </c>
      <c r="G59">
        <v>393.05</v>
      </c>
      <c r="H59" s="139">
        <v>35.353999999999999</v>
      </c>
      <c r="I59" s="33">
        <v>45607</v>
      </c>
      <c r="J59" s="37">
        <v>0.23438657407407407</v>
      </c>
      <c r="K59">
        <v>0</v>
      </c>
      <c r="L59">
        <v>0</v>
      </c>
      <c r="M59">
        <v>0</v>
      </c>
      <c r="N59">
        <v>0</v>
      </c>
      <c r="O59">
        <v>0</v>
      </c>
      <c r="P59">
        <v>0</v>
      </c>
      <c r="Q59">
        <v>0</v>
      </c>
      <c r="R59">
        <v>0</v>
      </c>
      <c r="S59">
        <v>0</v>
      </c>
      <c r="T59">
        <v>0</v>
      </c>
      <c r="U59">
        <v>0</v>
      </c>
      <c r="V59">
        <v>0</v>
      </c>
      <c r="W59" s="30">
        <f>W58</f>
        <v>35.373000000000005</v>
      </c>
      <c r="X59" s="17"/>
      <c r="Y59">
        <v>4</v>
      </c>
      <c r="Z59" t="s">
        <v>16</v>
      </c>
      <c r="AA59">
        <v>27520</v>
      </c>
      <c r="AB59">
        <v>64</v>
      </c>
      <c r="AC59">
        <v>1</v>
      </c>
      <c r="AD59">
        <v>16</v>
      </c>
      <c r="AE59">
        <v>358.65</v>
      </c>
      <c r="AF59" s="139">
        <v>38.744999999999997</v>
      </c>
      <c r="AG59" s="33">
        <v>45605</v>
      </c>
      <c r="AH59" s="34">
        <v>0.50555555555555554</v>
      </c>
      <c r="AI59">
        <v>0</v>
      </c>
      <c r="AJ59">
        <v>0</v>
      </c>
      <c r="AK59">
        <v>0</v>
      </c>
      <c r="AL59">
        <v>0</v>
      </c>
      <c r="AM59">
        <v>0</v>
      </c>
      <c r="AN59">
        <v>0</v>
      </c>
      <c r="AO59">
        <v>0</v>
      </c>
      <c r="AP59">
        <v>0</v>
      </c>
      <c r="AQ59">
        <v>0</v>
      </c>
      <c r="AR59">
        <v>0</v>
      </c>
      <c r="AS59">
        <v>0</v>
      </c>
      <c r="AT59">
        <v>0</v>
      </c>
      <c r="AU59" s="30">
        <f t="shared" si="3"/>
        <v>38.660800000000002</v>
      </c>
      <c r="AV59" s="17"/>
    </row>
    <row r="60" spans="1:48" x14ac:dyDescent="0.25">
      <c r="A60">
        <v>0</v>
      </c>
      <c r="B60" t="s">
        <v>16</v>
      </c>
      <c r="C60">
        <v>29056</v>
      </c>
      <c r="D60">
        <v>64</v>
      </c>
      <c r="E60">
        <v>1</v>
      </c>
      <c r="F60">
        <v>16</v>
      </c>
      <c r="G60">
        <v>463.94</v>
      </c>
      <c r="H60" s="139">
        <v>35.253</v>
      </c>
      <c r="I60" s="33">
        <v>45606</v>
      </c>
      <c r="J60" s="37">
        <v>0.9324189814814815</v>
      </c>
      <c r="K60">
        <v>0</v>
      </c>
      <c r="L60">
        <v>0</v>
      </c>
      <c r="M60">
        <v>0</v>
      </c>
      <c r="N60">
        <v>0</v>
      </c>
      <c r="O60">
        <v>0</v>
      </c>
      <c r="P60">
        <v>0</v>
      </c>
      <c r="Q60">
        <v>0</v>
      </c>
      <c r="R60">
        <v>0</v>
      </c>
      <c r="S60">
        <v>0</v>
      </c>
      <c r="T60">
        <v>0</v>
      </c>
      <c r="U60">
        <v>0</v>
      </c>
      <c r="V60">
        <v>0</v>
      </c>
      <c r="W60" s="30">
        <f>AVERAGE(H60:H64)</f>
        <v>35.624600000000001</v>
      </c>
      <c r="X60" s="17"/>
      <c r="Y60">
        <v>0</v>
      </c>
      <c r="Z60" t="s">
        <v>16</v>
      </c>
      <c r="AA60">
        <v>29056</v>
      </c>
      <c r="AB60">
        <v>64</v>
      </c>
      <c r="AC60">
        <v>1</v>
      </c>
      <c r="AD60">
        <v>16</v>
      </c>
      <c r="AE60">
        <v>417.71</v>
      </c>
      <c r="AF60" s="139">
        <v>39.154000000000003</v>
      </c>
      <c r="AG60" s="33">
        <v>45604</v>
      </c>
      <c r="AH60" s="34">
        <v>0.98173611111111114</v>
      </c>
      <c r="AI60">
        <v>0</v>
      </c>
      <c r="AJ60">
        <v>0</v>
      </c>
      <c r="AK60">
        <v>0</v>
      </c>
      <c r="AL60">
        <v>0</v>
      </c>
      <c r="AM60">
        <v>0</v>
      </c>
      <c r="AN60">
        <v>0</v>
      </c>
      <c r="AO60">
        <v>0</v>
      </c>
      <c r="AP60">
        <v>0</v>
      </c>
      <c r="AQ60">
        <v>0</v>
      </c>
      <c r="AR60">
        <v>0</v>
      </c>
      <c r="AS60">
        <v>0</v>
      </c>
      <c r="AT60">
        <v>0</v>
      </c>
      <c r="AU60" s="30">
        <f t="shared" ref="AU60" si="20">AVERAGE(AF60:AF64)</f>
        <v>39.193399999999997</v>
      </c>
      <c r="AV60" s="17"/>
    </row>
    <row r="61" spans="1:48" x14ac:dyDescent="0.25">
      <c r="A61">
        <v>1</v>
      </c>
      <c r="B61" t="s">
        <v>16</v>
      </c>
      <c r="C61">
        <v>29056</v>
      </c>
      <c r="D61">
        <v>64</v>
      </c>
      <c r="E61">
        <v>1</v>
      </c>
      <c r="F61">
        <v>16</v>
      </c>
      <c r="G61">
        <v>457.52</v>
      </c>
      <c r="H61" s="139">
        <v>35.747</v>
      </c>
      <c r="I61" s="33">
        <v>45607</v>
      </c>
      <c r="J61" s="37">
        <v>2.2604166666666668E-2</v>
      </c>
      <c r="K61">
        <v>0</v>
      </c>
      <c r="L61">
        <v>0</v>
      </c>
      <c r="M61">
        <v>0</v>
      </c>
      <c r="N61">
        <v>0</v>
      </c>
      <c r="O61">
        <v>0</v>
      </c>
      <c r="P61">
        <v>0</v>
      </c>
      <c r="Q61">
        <v>0</v>
      </c>
      <c r="R61">
        <v>0</v>
      </c>
      <c r="S61">
        <v>0</v>
      </c>
      <c r="T61">
        <v>0</v>
      </c>
      <c r="U61">
        <v>0</v>
      </c>
      <c r="V61">
        <v>0</v>
      </c>
      <c r="W61" s="30">
        <f>W60</f>
        <v>35.624600000000001</v>
      </c>
      <c r="X61" s="17"/>
      <c r="Y61">
        <v>1</v>
      </c>
      <c r="Z61" t="s">
        <v>16</v>
      </c>
      <c r="AA61">
        <v>29056</v>
      </c>
      <c r="AB61">
        <v>64</v>
      </c>
      <c r="AC61">
        <v>1</v>
      </c>
      <c r="AD61">
        <v>16</v>
      </c>
      <c r="AE61">
        <v>416.6</v>
      </c>
      <c r="AF61" s="139">
        <v>39.258000000000003</v>
      </c>
      <c r="AG61" s="33">
        <v>45605</v>
      </c>
      <c r="AH61" s="34">
        <v>7.1018518518518522E-2</v>
      </c>
      <c r="AI61">
        <v>0</v>
      </c>
      <c r="AJ61">
        <v>0</v>
      </c>
      <c r="AK61">
        <v>0</v>
      </c>
      <c r="AL61">
        <v>0</v>
      </c>
      <c r="AM61">
        <v>0</v>
      </c>
      <c r="AN61">
        <v>0</v>
      </c>
      <c r="AO61">
        <v>0</v>
      </c>
      <c r="AP61">
        <v>0</v>
      </c>
      <c r="AQ61">
        <v>0</v>
      </c>
      <c r="AR61">
        <v>0</v>
      </c>
      <c r="AS61">
        <v>0</v>
      </c>
      <c r="AT61">
        <v>0</v>
      </c>
      <c r="AU61" s="30">
        <f t="shared" ref="AU61" si="21">AU60</f>
        <v>39.193399999999997</v>
      </c>
      <c r="AV61" s="17"/>
    </row>
    <row r="62" spans="1:48" x14ac:dyDescent="0.25">
      <c r="A62">
        <v>2</v>
      </c>
      <c r="B62" t="s">
        <v>16</v>
      </c>
      <c r="C62">
        <v>29056</v>
      </c>
      <c r="D62">
        <v>64</v>
      </c>
      <c r="E62">
        <v>1</v>
      </c>
      <c r="F62">
        <v>16</v>
      </c>
      <c r="G62">
        <v>455.77</v>
      </c>
      <c r="H62" s="139">
        <v>35.884</v>
      </c>
      <c r="I62" s="33">
        <v>45607</v>
      </c>
      <c r="J62" s="37">
        <v>0.11277777777777778</v>
      </c>
      <c r="K62">
        <v>0</v>
      </c>
      <c r="L62">
        <v>0</v>
      </c>
      <c r="M62">
        <v>0</v>
      </c>
      <c r="N62">
        <v>0</v>
      </c>
      <c r="O62">
        <v>0</v>
      </c>
      <c r="P62">
        <v>0</v>
      </c>
      <c r="Q62">
        <v>0</v>
      </c>
      <c r="R62">
        <v>0</v>
      </c>
      <c r="S62">
        <v>0</v>
      </c>
      <c r="T62">
        <v>0</v>
      </c>
      <c r="U62">
        <v>0</v>
      </c>
      <c r="V62">
        <v>0</v>
      </c>
      <c r="W62" s="30">
        <f>W61</f>
        <v>35.624600000000001</v>
      </c>
      <c r="X62" s="17"/>
      <c r="Y62">
        <v>2</v>
      </c>
      <c r="Z62" t="s">
        <v>16</v>
      </c>
      <c r="AA62">
        <v>29056</v>
      </c>
      <c r="AB62">
        <v>64</v>
      </c>
      <c r="AC62">
        <v>1</v>
      </c>
      <c r="AD62">
        <v>16</v>
      </c>
      <c r="AE62">
        <v>416.81</v>
      </c>
      <c r="AF62" s="139">
        <v>39.238</v>
      </c>
      <c r="AG62" s="33">
        <v>45605</v>
      </c>
      <c r="AH62" s="34">
        <v>0.16027777777777777</v>
      </c>
      <c r="AI62">
        <v>0</v>
      </c>
      <c r="AJ62">
        <v>0</v>
      </c>
      <c r="AK62">
        <v>0</v>
      </c>
      <c r="AL62">
        <v>0</v>
      </c>
      <c r="AM62">
        <v>0</v>
      </c>
      <c r="AN62">
        <v>0</v>
      </c>
      <c r="AO62">
        <v>0</v>
      </c>
      <c r="AP62">
        <v>0</v>
      </c>
      <c r="AQ62">
        <v>0</v>
      </c>
      <c r="AR62">
        <v>0</v>
      </c>
      <c r="AS62">
        <v>0</v>
      </c>
      <c r="AT62">
        <v>0</v>
      </c>
      <c r="AU62" s="30">
        <f t="shared" si="5"/>
        <v>39.193399999999997</v>
      </c>
      <c r="AV62" s="17"/>
    </row>
    <row r="63" spans="1:48" x14ac:dyDescent="0.25">
      <c r="A63">
        <v>3</v>
      </c>
      <c r="B63" t="s">
        <v>16</v>
      </c>
      <c r="C63">
        <v>29056</v>
      </c>
      <c r="D63">
        <v>64</v>
      </c>
      <c r="E63">
        <v>1</v>
      </c>
      <c r="F63">
        <v>16</v>
      </c>
      <c r="G63">
        <v>457.65</v>
      </c>
      <c r="H63" s="139">
        <v>35.737000000000002</v>
      </c>
      <c r="I63" s="33">
        <v>45607</v>
      </c>
      <c r="J63" s="37">
        <v>0.20295138888888889</v>
      </c>
      <c r="K63">
        <v>0</v>
      </c>
      <c r="L63">
        <v>0</v>
      </c>
      <c r="M63">
        <v>0</v>
      </c>
      <c r="N63">
        <v>0</v>
      </c>
      <c r="O63">
        <v>0</v>
      </c>
      <c r="P63">
        <v>0</v>
      </c>
      <c r="Q63">
        <v>0</v>
      </c>
      <c r="R63">
        <v>0</v>
      </c>
      <c r="S63">
        <v>0</v>
      </c>
      <c r="T63">
        <v>0</v>
      </c>
      <c r="U63">
        <v>0</v>
      </c>
      <c r="V63">
        <v>0</v>
      </c>
      <c r="W63" s="30">
        <f>W62</f>
        <v>35.624600000000001</v>
      </c>
      <c r="X63" s="17"/>
      <c r="Y63">
        <v>3</v>
      </c>
      <c r="Z63" t="s">
        <v>16</v>
      </c>
      <c r="AA63">
        <v>29056</v>
      </c>
      <c r="AB63">
        <v>64</v>
      </c>
      <c r="AC63">
        <v>1</v>
      </c>
      <c r="AD63">
        <v>16</v>
      </c>
      <c r="AE63">
        <v>417.79</v>
      </c>
      <c r="AF63" s="139">
        <v>39.146999999999998</v>
      </c>
      <c r="AG63" s="33">
        <v>45605</v>
      </c>
      <c r="AH63" s="34">
        <v>0.47445601851851854</v>
      </c>
      <c r="AI63">
        <v>0</v>
      </c>
      <c r="AJ63">
        <v>0</v>
      </c>
      <c r="AK63">
        <v>0</v>
      </c>
      <c r="AL63">
        <v>0</v>
      </c>
      <c r="AM63">
        <v>0</v>
      </c>
      <c r="AN63">
        <v>0</v>
      </c>
      <c r="AO63">
        <v>0</v>
      </c>
      <c r="AP63">
        <v>0</v>
      </c>
      <c r="AQ63">
        <v>0</v>
      </c>
      <c r="AR63">
        <v>0</v>
      </c>
      <c r="AS63">
        <v>0</v>
      </c>
      <c r="AT63">
        <v>0</v>
      </c>
      <c r="AU63" s="30">
        <f t="shared" si="5"/>
        <v>39.193399999999997</v>
      </c>
      <c r="AV63" s="17"/>
    </row>
    <row r="64" spans="1:48" x14ac:dyDescent="0.25">
      <c r="A64">
        <v>4</v>
      </c>
      <c r="B64" t="s">
        <v>16</v>
      </c>
      <c r="C64">
        <v>29056</v>
      </c>
      <c r="D64">
        <v>64</v>
      </c>
      <c r="E64">
        <v>1</v>
      </c>
      <c r="F64">
        <v>16</v>
      </c>
      <c r="G64">
        <v>460.68</v>
      </c>
      <c r="H64" s="139">
        <v>35.502000000000002</v>
      </c>
      <c r="I64" s="33">
        <v>45607</v>
      </c>
      <c r="J64" s="37">
        <v>0.29320601851851852</v>
      </c>
      <c r="K64">
        <v>0</v>
      </c>
      <c r="L64">
        <v>0</v>
      </c>
      <c r="M64">
        <v>0</v>
      </c>
      <c r="N64">
        <v>0</v>
      </c>
      <c r="O64">
        <v>0</v>
      </c>
      <c r="P64">
        <v>0</v>
      </c>
      <c r="Q64">
        <v>0</v>
      </c>
      <c r="R64">
        <v>0</v>
      </c>
      <c r="S64">
        <v>0</v>
      </c>
      <c r="T64">
        <v>0</v>
      </c>
      <c r="U64">
        <v>0</v>
      </c>
      <c r="V64">
        <v>0</v>
      </c>
      <c r="W64" s="30">
        <f>W63</f>
        <v>35.624600000000001</v>
      </c>
      <c r="X64" s="17"/>
      <c r="Y64">
        <v>4</v>
      </c>
      <c r="Z64" t="s">
        <v>16</v>
      </c>
      <c r="AA64">
        <v>29056</v>
      </c>
      <c r="AB64">
        <v>64</v>
      </c>
      <c r="AC64">
        <v>1</v>
      </c>
      <c r="AD64">
        <v>16</v>
      </c>
      <c r="AE64">
        <v>417.54</v>
      </c>
      <c r="AF64" s="139">
        <v>39.17</v>
      </c>
      <c r="AG64" s="33">
        <v>45606</v>
      </c>
      <c r="AH64" s="34">
        <v>0.70537037037037043</v>
      </c>
      <c r="AI64">
        <v>0</v>
      </c>
      <c r="AJ64">
        <v>0</v>
      </c>
      <c r="AK64">
        <v>0</v>
      </c>
      <c r="AL64">
        <v>0</v>
      </c>
      <c r="AM64">
        <v>0</v>
      </c>
      <c r="AN64">
        <v>0</v>
      </c>
      <c r="AO64">
        <v>0</v>
      </c>
      <c r="AP64">
        <v>0</v>
      </c>
      <c r="AQ64">
        <v>0</v>
      </c>
      <c r="AR64">
        <v>0</v>
      </c>
      <c r="AS64">
        <v>0</v>
      </c>
      <c r="AT64">
        <v>0</v>
      </c>
      <c r="AU64" s="30">
        <f t="shared" si="5"/>
        <v>39.193399999999997</v>
      </c>
      <c r="AV64" s="17"/>
    </row>
    <row r="65" spans="1:48" x14ac:dyDescent="0.25">
      <c r="A65">
        <v>0</v>
      </c>
      <c r="B65" t="s">
        <v>16</v>
      </c>
      <c r="C65">
        <v>25984</v>
      </c>
      <c r="D65">
        <v>64</v>
      </c>
      <c r="E65">
        <v>2</v>
      </c>
      <c r="F65">
        <v>8</v>
      </c>
      <c r="G65">
        <v>322.82</v>
      </c>
      <c r="H65" s="139">
        <v>36.232999999999997</v>
      </c>
      <c r="I65" s="33">
        <v>45606</v>
      </c>
      <c r="J65" s="37">
        <v>0.9044444444444445</v>
      </c>
      <c r="K65">
        <v>0</v>
      </c>
      <c r="L65">
        <v>0</v>
      </c>
      <c r="M65">
        <v>0</v>
      </c>
      <c r="N65">
        <v>0</v>
      </c>
      <c r="O65">
        <v>0</v>
      </c>
      <c r="P65">
        <v>0</v>
      </c>
      <c r="Q65">
        <v>0</v>
      </c>
      <c r="R65">
        <v>0</v>
      </c>
      <c r="S65">
        <v>0</v>
      </c>
      <c r="T65">
        <v>0</v>
      </c>
      <c r="U65">
        <v>0</v>
      </c>
      <c r="V65">
        <v>0</v>
      </c>
      <c r="W65" s="30">
        <f>AVERAGE(H65:H69)</f>
        <v>36.197400000000002</v>
      </c>
      <c r="X65" s="17"/>
      <c r="Y65">
        <v>0</v>
      </c>
      <c r="Z65" t="s">
        <v>16</v>
      </c>
      <c r="AA65">
        <v>25984</v>
      </c>
      <c r="AB65">
        <v>64</v>
      </c>
      <c r="AC65">
        <v>2</v>
      </c>
      <c r="AD65">
        <v>8</v>
      </c>
      <c r="AE65">
        <v>292.35000000000002</v>
      </c>
      <c r="AF65" s="139">
        <v>40.009</v>
      </c>
      <c r="AG65" s="33">
        <v>45604</v>
      </c>
      <c r="AH65" s="34">
        <v>0.95421296296296299</v>
      </c>
      <c r="AI65">
        <v>0</v>
      </c>
      <c r="AJ65">
        <v>0</v>
      </c>
      <c r="AK65">
        <v>0</v>
      </c>
      <c r="AL65">
        <v>0</v>
      </c>
      <c r="AM65">
        <v>0</v>
      </c>
      <c r="AN65">
        <v>0</v>
      </c>
      <c r="AO65">
        <v>0</v>
      </c>
      <c r="AP65">
        <v>0</v>
      </c>
      <c r="AQ65">
        <v>0</v>
      </c>
      <c r="AR65">
        <v>0</v>
      </c>
      <c r="AS65">
        <v>0</v>
      </c>
      <c r="AT65">
        <v>0</v>
      </c>
      <c r="AU65" s="30">
        <f t="shared" ref="AU65" si="22">AVERAGE(AF65:AF69)</f>
        <v>40.001200000000004</v>
      </c>
      <c r="AV65" s="17"/>
    </row>
    <row r="66" spans="1:48" x14ac:dyDescent="0.25">
      <c r="A66">
        <v>1</v>
      </c>
      <c r="B66" t="s">
        <v>16</v>
      </c>
      <c r="C66">
        <v>25984</v>
      </c>
      <c r="D66">
        <v>64</v>
      </c>
      <c r="E66">
        <v>2</v>
      </c>
      <c r="F66">
        <v>8</v>
      </c>
      <c r="G66">
        <v>323.04000000000002</v>
      </c>
      <c r="H66" s="139">
        <v>36.207999999999998</v>
      </c>
      <c r="I66" s="33">
        <v>45606</v>
      </c>
      <c r="J66" s="37">
        <v>0.99471064814814814</v>
      </c>
      <c r="K66">
        <v>0</v>
      </c>
      <c r="L66">
        <v>0</v>
      </c>
      <c r="M66">
        <v>0</v>
      </c>
      <c r="N66">
        <v>0</v>
      </c>
      <c r="O66">
        <v>0</v>
      </c>
      <c r="P66">
        <v>0</v>
      </c>
      <c r="Q66">
        <v>0</v>
      </c>
      <c r="R66">
        <v>0</v>
      </c>
      <c r="S66">
        <v>0</v>
      </c>
      <c r="T66">
        <v>0</v>
      </c>
      <c r="U66">
        <v>0</v>
      </c>
      <c r="V66">
        <v>0</v>
      </c>
      <c r="W66" s="30">
        <f>W65</f>
        <v>36.197400000000002</v>
      </c>
      <c r="X66" s="17"/>
      <c r="Y66">
        <v>1</v>
      </c>
      <c r="Z66" t="s">
        <v>16</v>
      </c>
      <c r="AA66">
        <v>25984</v>
      </c>
      <c r="AB66">
        <v>64</v>
      </c>
      <c r="AC66">
        <v>2</v>
      </c>
      <c r="AD66">
        <v>8</v>
      </c>
      <c r="AE66">
        <v>292.64</v>
      </c>
      <c r="AF66" s="139">
        <v>39.969000000000001</v>
      </c>
      <c r="AG66" s="33">
        <v>45605</v>
      </c>
      <c r="AH66" s="34">
        <v>4.3576388888888887E-2</v>
      </c>
      <c r="AI66">
        <v>0</v>
      </c>
      <c r="AJ66">
        <v>0</v>
      </c>
      <c r="AK66">
        <v>0</v>
      </c>
      <c r="AL66">
        <v>0</v>
      </c>
      <c r="AM66">
        <v>0</v>
      </c>
      <c r="AN66">
        <v>0</v>
      </c>
      <c r="AO66">
        <v>0</v>
      </c>
      <c r="AP66">
        <v>0</v>
      </c>
      <c r="AQ66">
        <v>0</v>
      </c>
      <c r="AR66">
        <v>0</v>
      </c>
      <c r="AS66">
        <v>0</v>
      </c>
      <c r="AT66">
        <v>0</v>
      </c>
      <c r="AU66" s="30">
        <f t="shared" ref="AU66" si="23">AU65</f>
        <v>40.001200000000004</v>
      </c>
      <c r="AV66" s="17"/>
    </row>
    <row r="67" spans="1:48" x14ac:dyDescent="0.25">
      <c r="A67">
        <v>2</v>
      </c>
      <c r="B67" t="s">
        <v>16</v>
      </c>
      <c r="C67">
        <v>25984</v>
      </c>
      <c r="D67">
        <v>64</v>
      </c>
      <c r="E67">
        <v>2</v>
      </c>
      <c r="F67">
        <v>8</v>
      </c>
      <c r="G67">
        <v>323.23</v>
      </c>
      <c r="H67" s="139">
        <v>36.186999999999998</v>
      </c>
      <c r="I67" s="33">
        <v>45607</v>
      </c>
      <c r="J67" s="37">
        <v>8.4895833333333337E-2</v>
      </c>
      <c r="K67">
        <v>0</v>
      </c>
      <c r="L67">
        <v>0</v>
      </c>
      <c r="M67">
        <v>0</v>
      </c>
      <c r="N67">
        <v>0</v>
      </c>
      <c r="O67">
        <v>0</v>
      </c>
      <c r="P67">
        <v>0</v>
      </c>
      <c r="Q67">
        <v>0</v>
      </c>
      <c r="R67">
        <v>0</v>
      </c>
      <c r="S67">
        <v>0</v>
      </c>
      <c r="T67">
        <v>0</v>
      </c>
      <c r="U67">
        <v>0</v>
      </c>
      <c r="V67">
        <v>0</v>
      </c>
      <c r="W67" s="30">
        <f>W66</f>
        <v>36.197400000000002</v>
      </c>
      <c r="X67" s="17"/>
      <c r="Y67">
        <v>2</v>
      </c>
      <c r="Z67" t="s">
        <v>16</v>
      </c>
      <c r="AA67">
        <v>25984</v>
      </c>
      <c r="AB67">
        <v>64</v>
      </c>
      <c r="AC67">
        <v>2</v>
      </c>
      <c r="AD67">
        <v>8</v>
      </c>
      <c r="AE67">
        <v>292.45999999999998</v>
      </c>
      <c r="AF67" s="139">
        <v>39.994</v>
      </c>
      <c r="AG67" s="33">
        <v>45605</v>
      </c>
      <c r="AH67" s="34">
        <v>0.13283564814814816</v>
      </c>
      <c r="AI67">
        <v>0</v>
      </c>
      <c r="AJ67">
        <v>0</v>
      </c>
      <c r="AK67">
        <v>0</v>
      </c>
      <c r="AL67">
        <v>0</v>
      </c>
      <c r="AM67">
        <v>0</v>
      </c>
      <c r="AN67">
        <v>0</v>
      </c>
      <c r="AO67">
        <v>0</v>
      </c>
      <c r="AP67">
        <v>0</v>
      </c>
      <c r="AQ67">
        <v>0</v>
      </c>
      <c r="AR67">
        <v>0</v>
      </c>
      <c r="AS67">
        <v>0</v>
      </c>
      <c r="AT67">
        <v>0</v>
      </c>
      <c r="AU67" s="30">
        <f t="shared" si="3"/>
        <v>40.001200000000004</v>
      </c>
      <c r="AV67" s="17"/>
    </row>
    <row r="68" spans="1:48" x14ac:dyDescent="0.25">
      <c r="A68">
        <v>3</v>
      </c>
      <c r="B68" t="s">
        <v>16</v>
      </c>
      <c r="C68">
        <v>25984</v>
      </c>
      <c r="D68">
        <v>64</v>
      </c>
      <c r="E68">
        <v>2</v>
      </c>
      <c r="F68">
        <v>8</v>
      </c>
      <c r="G68">
        <v>323.2</v>
      </c>
      <c r="H68" s="139">
        <v>36.191000000000003</v>
      </c>
      <c r="I68" s="33">
        <v>45607</v>
      </c>
      <c r="J68" s="37">
        <v>0.17504629629629628</v>
      </c>
      <c r="K68">
        <v>0</v>
      </c>
      <c r="L68">
        <v>0</v>
      </c>
      <c r="M68">
        <v>0</v>
      </c>
      <c r="N68">
        <v>0</v>
      </c>
      <c r="O68">
        <v>0</v>
      </c>
      <c r="P68">
        <v>0</v>
      </c>
      <c r="Q68">
        <v>0</v>
      </c>
      <c r="R68">
        <v>0</v>
      </c>
      <c r="S68">
        <v>0</v>
      </c>
      <c r="T68">
        <v>0</v>
      </c>
      <c r="U68">
        <v>0</v>
      </c>
      <c r="V68">
        <v>0</v>
      </c>
      <c r="W68" s="30">
        <f>W67</f>
        <v>36.197400000000002</v>
      </c>
      <c r="X68" s="17"/>
      <c r="Y68">
        <v>3</v>
      </c>
      <c r="Z68" t="s">
        <v>16</v>
      </c>
      <c r="AA68">
        <v>25984</v>
      </c>
      <c r="AB68">
        <v>64</v>
      </c>
      <c r="AC68">
        <v>2</v>
      </c>
      <c r="AD68">
        <v>8</v>
      </c>
      <c r="AE68">
        <v>292.23</v>
      </c>
      <c r="AF68" s="139">
        <v>40.026000000000003</v>
      </c>
      <c r="AG68" s="33">
        <v>45605</v>
      </c>
      <c r="AH68" s="34">
        <v>0.22212962962962962</v>
      </c>
      <c r="AI68">
        <v>0</v>
      </c>
      <c r="AJ68">
        <v>0</v>
      </c>
      <c r="AK68">
        <v>0</v>
      </c>
      <c r="AL68">
        <v>0</v>
      </c>
      <c r="AM68">
        <v>0</v>
      </c>
      <c r="AN68">
        <v>0</v>
      </c>
      <c r="AO68">
        <v>0</v>
      </c>
      <c r="AP68">
        <v>0</v>
      </c>
      <c r="AQ68">
        <v>0</v>
      </c>
      <c r="AR68">
        <v>0</v>
      </c>
      <c r="AS68">
        <v>0</v>
      </c>
      <c r="AT68">
        <v>0</v>
      </c>
      <c r="AU68" s="30">
        <f t="shared" si="3"/>
        <v>40.001200000000004</v>
      </c>
      <c r="AV68" s="17"/>
    </row>
    <row r="69" spans="1:48" x14ac:dyDescent="0.25">
      <c r="A69">
        <v>4</v>
      </c>
      <c r="B69" t="s">
        <v>16</v>
      </c>
      <c r="C69">
        <v>25984</v>
      </c>
      <c r="D69">
        <v>64</v>
      </c>
      <c r="E69">
        <v>2</v>
      </c>
      <c r="F69">
        <v>8</v>
      </c>
      <c r="G69">
        <v>323.39999999999998</v>
      </c>
      <c r="H69" s="139">
        <v>36.167999999999999</v>
      </c>
      <c r="I69" s="33">
        <v>45607</v>
      </c>
      <c r="J69" s="37">
        <v>0.26525462962962965</v>
      </c>
      <c r="K69">
        <v>0</v>
      </c>
      <c r="L69">
        <v>0</v>
      </c>
      <c r="M69">
        <v>0</v>
      </c>
      <c r="N69">
        <v>0</v>
      </c>
      <c r="O69">
        <v>0</v>
      </c>
      <c r="P69">
        <v>0</v>
      </c>
      <c r="Q69">
        <v>0</v>
      </c>
      <c r="R69">
        <v>0</v>
      </c>
      <c r="S69">
        <v>0</v>
      </c>
      <c r="T69">
        <v>0</v>
      </c>
      <c r="U69">
        <v>0</v>
      </c>
      <c r="V69">
        <v>0</v>
      </c>
      <c r="W69" s="30">
        <f>W68</f>
        <v>36.197400000000002</v>
      </c>
      <c r="X69" s="17"/>
      <c r="Y69">
        <v>4</v>
      </c>
      <c r="Z69" t="s">
        <v>16</v>
      </c>
      <c r="AA69">
        <v>25984</v>
      </c>
      <c r="AB69">
        <v>64</v>
      </c>
      <c r="AC69">
        <v>2</v>
      </c>
      <c r="AD69">
        <v>8</v>
      </c>
      <c r="AE69">
        <v>292.36</v>
      </c>
      <c r="AF69" s="139">
        <v>40.008000000000003</v>
      </c>
      <c r="AG69" s="33">
        <v>45605</v>
      </c>
      <c r="AH69" s="34">
        <v>0.91278935185185184</v>
      </c>
      <c r="AI69">
        <v>0</v>
      </c>
      <c r="AJ69">
        <v>0</v>
      </c>
      <c r="AK69">
        <v>0</v>
      </c>
      <c r="AL69">
        <v>0</v>
      </c>
      <c r="AM69">
        <v>0</v>
      </c>
      <c r="AN69">
        <v>0</v>
      </c>
      <c r="AO69">
        <v>0</v>
      </c>
      <c r="AP69">
        <v>0</v>
      </c>
      <c r="AQ69">
        <v>0</v>
      </c>
      <c r="AR69">
        <v>0</v>
      </c>
      <c r="AS69">
        <v>0</v>
      </c>
      <c r="AT69">
        <v>0</v>
      </c>
      <c r="AU69" s="30">
        <f t="shared" si="3"/>
        <v>40.001200000000004</v>
      </c>
      <c r="AV69" s="17"/>
    </row>
    <row r="70" spans="1:48" x14ac:dyDescent="0.25">
      <c r="A70">
        <v>0</v>
      </c>
      <c r="B70" t="s">
        <v>16</v>
      </c>
      <c r="C70">
        <v>27520</v>
      </c>
      <c r="D70">
        <v>64</v>
      </c>
      <c r="E70">
        <v>2</v>
      </c>
      <c r="F70">
        <v>8</v>
      </c>
      <c r="G70">
        <v>378.74</v>
      </c>
      <c r="H70" s="139">
        <v>36.69</v>
      </c>
      <c r="I70" s="33">
        <v>45606</v>
      </c>
      <c r="J70" s="37">
        <v>0.82829861111111114</v>
      </c>
      <c r="K70">
        <v>0</v>
      </c>
      <c r="L70">
        <v>0</v>
      </c>
      <c r="M70">
        <v>0</v>
      </c>
      <c r="N70">
        <v>0</v>
      </c>
      <c r="O70">
        <v>0</v>
      </c>
      <c r="P70">
        <v>0</v>
      </c>
      <c r="Q70">
        <v>0</v>
      </c>
      <c r="R70">
        <v>0</v>
      </c>
      <c r="S70">
        <v>0</v>
      </c>
      <c r="T70">
        <v>0</v>
      </c>
      <c r="U70">
        <v>0</v>
      </c>
      <c r="V70">
        <v>0</v>
      </c>
      <c r="W70" s="30">
        <f>AVERAGE(H70:H74)</f>
        <v>36.685199999999995</v>
      </c>
      <c r="X70" s="17"/>
      <c r="Y70">
        <v>0</v>
      </c>
      <c r="Z70" t="s">
        <v>16</v>
      </c>
      <c r="AA70">
        <v>27520</v>
      </c>
      <c r="AB70">
        <v>64</v>
      </c>
      <c r="AC70">
        <v>2</v>
      </c>
      <c r="AD70">
        <v>8</v>
      </c>
      <c r="AE70">
        <v>343.95</v>
      </c>
      <c r="AF70" s="139">
        <v>40.401000000000003</v>
      </c>
      <c r="AG70" s="33">
        <v>45604</v>
      </c>
      <c r="AH70" s="34">
        <v>0.92814814814814817</v>
      </c>
      <c r="AI70">
        <v>0</v>
      </c>
      <c r="AJ70">
        <v>0</v>
      </c>
      <c r="AK70">
        <v>0</v>
      </c>
      <c r="AL70">
        <v>0</v>
      </c>
      <c r="AM70">
        <v>0</v>
      </c>
      <c r="AN70">
        <v>0</v>
      </c>
      <c r="AO70">
        <v>0</v>
      </c>
      <c r="AP70">
        <v>0</v>
      </c>
      <c r="AQ70">
        <v>0</v>
      </c>
      <c r="AR70">
        <v>0</v>
      </c>
      <c r="AS70">
        <v>0</v>
      </c>
      <c r="AT70">
        <v>0</v>
      </c>
      <c r="AU70" s="30">
        <f t="shared" ref="AU70" si="24">AVERAGE(AF70:AF74)</f>
        <v>40.432600000000001</v>
      </c>
      <c r="AV70" s="17"/>
    </row>
    <row r="71" spans="1:48" x14ac:dyDescent="0.25">
      <c r="A71">
        <v>1</v>
      </c>
      <c r="B71" t="s">
        <v>16</v>
      </c>
      <c r="C71">
        <v>27520</v>
      </c>
      <c r="D71">
        <v>64</v>
      </c>
      <c r="E71">
        <v>2</v>
      </c>
      <c r="F71">
        <v>8</v>
      </c>
      <c r="G71">
        <v>378.81</v>
      </c>
      <c r="H71" s="139">
        <v>36.683999999999997</v>
      </c>
      <c r="I71" s="33">
        <v>45606</v>
      </c>
      <c r="J71" s="37">
        <v>0.96841435185185187</v>
      </c>
      <c r="K71">
        <v>0</v>
      </c>
      <c r="L71">
        <v>0</v>
      </c>
      <c r="M71">
        <v>0</v>
      </c>
      <c r="N71">
        <v>0</v>
      </c>
      <c r="O71">
        <v>0</v>
      </c>
      <c r="P71">
        <v>0</v>
      </c>
      <c r="Q71">
        <v>0</v>
      </c>
      <c r="R71">
        <v>0</v>
      </c>
      <c r="S71">
        <v>0</v>
      </c>
      <c r="T71">
        <v>0</v>
      </c>
      <c r="U71">
        <v>0</v>
      </c>
      <c r="V71">
        <v>0</v>
      </c>
      <c r="W71" s="30">
        <f>W70</f>
        <v>36.685199999999995</v>
      </c>
      <c r="X71" s="17"/>
      <c r="Y71">
        <v>1</v>
      </c>
      <c r="Z71" t="s">
        <v>16</v>
      </c>
      <c r="AA71">
        <v>27520</v>
      </c>
      <c r="AB71">
        <v>64</v>
      </c>
      <c r="AC71">
        <v>2</v>
      </c>
      <c r="AD71">
        <v>8</v>
      </c>
      <c r="AE71">
        <v>343.41</v>
      </c>
      <c r="AF71" s="139">
        <v>40.463999999999999</v>
      </c>
      <c r="AG71" s="33">
        <v>45605</v>
      </c>
      <c r="AH71" s="34">
        <v>1.7465277777777777E-2</v>
      </c>
      <c r="AI71">
        <v>0</v>
      </c>
      <c r="AJ71">
        <v>0</v>
      </c>
      <c r="AK71">
        <v>0</v>
      </c>
      <c r="AL71">
        <v>0</v>
      </c>
      <c r="AM71">
        <v>0</v>
      </c>
      <c r="AN71">
        <v>0</v>
      </c>
      <c r="AO71">
        <v>0</v>
      </c>
      <c r="AP71">
        <v>0</v>
      </c>
      <c r="AQ71">
        <v>0</v>
      </c>
      <c r="AR71">
        <v>0</v>
      </c>
      <c r="AS71">
        <v>0</v>
      </c>
      <c r="AT71">
        <v>0</v>
      </c>
      <c r="AU71" s="30">
        <f t="shared" ref="AU71" si="25">AU70</f>
        <v>40.432600000000001</v>
      </c>
      <c r="AV71" s="17"/>
    </row>
    <row r="72" spans="1:48" x14ac:dyDescent="0.25">
      <c r="A72">
        <v>2</v>
      </c>
      <c r="B72" t="s">
        <v>16</v>
      </c>
      <c r="C72">
        <v>27520</v>
      </c>
      <c r="D72">
        <v>64</v>
      </c>
      <c r="E72">
        <v>2</v>
      </c>
      <c r="F72">
        <v>8</v>
      </c>
      <c r="G72">
        <v>378.73</v>
      </c>
      <c r="H72" s="139">
        <v>36.691000000000003</v>
      </c>
      <c r="I72" s="33">
        <v>45607</v>
      </c>
      <c r="J72" s="37">
        <v>5.858796296296296E-2</v>
      </c>
      <c r="K72">
        <v>0</v>
      </c>
      <c r="L72">
        <v>0</v>
      </c>
      <c r="M72">
        <v>0</v>
      </c>
      <c r="N72">
        <v>0</v>
      </c>
      <c r="O72">
        <v>0</v>
      </c>
      <c r="P72">
        <v>0</v>
      </c>
      <c r="Q72">
        <v>0</v>
      </c>
      <c r="R72">
        <v>0</v>
      </c>
      <c r="S72">
        <v>0</v>
      </c>
      <c r="T72">
        <v>0</v>
      </c>
      <c r="U72">
        <v>0</v>
      </c>
      <c r="V72">
        <v>0</v>
      </c>
      <c r="W72" s="30">
        <f>W71</f>
        <v>36.685199999999995</v>
      </c>
      <c r="X72" s="17"/>
      <c r="Y72">
        <v>2</v>
      </c>
      <c r="Z72" t="s">
        <v>16</v>
      </c>
      <c r="AA72">
        <v>27520</v>
      </c>
      <c r="AB72">
        <v>64</v>
      </c>
      <c r="AC72">
        <v>2</v>
      </c>
      <c r="AD72">
        <v>8</v>
      </c>
      <c r="AE72">
        <v>343.57</v>
      </c>
      <c r="AF72" s="139">
        <v>40.445999999999998</v>
      </c>
      <c r="AG72" s="33">
        <v>45605</v>
      </c>
      <c r="AH72" s="34">
        <v>0.10670138888888889</v>
      </c>
      <c r="AI72">
        <v>0</v>
      </c>
      <c r="AJ72">
        <v>0</v>
      </c>
      <c r="AK72">
        <v>0</v>
      </c>
      <c r="AL72">
        <v>0</v>
      </c>
      <c r="AM72">
        <v>0</v>
      </c>
      <c r="AN72">
        <v>0</v>
      </c>
      <c r="AO72">
        <v>0</v>
      </c>
      <c r="AP72">
        <v>0</v>
      </c>
      <c r="AQ72">
        <v>0</v>
      </c>
      <c r="AR72">
        <v>0</v>
      </c>
      <c r="AS72">
        <v>0</v>
      </c>
      <c r="AT72">
        <v>0</v>
      </c>
      <c r="AU72" s="30">
        <f t="shared" si="5"/>
        <v>40.432600000000001</v>
      </c>
      <c r="AV72" s="17"/>
    </row>
    <row r="73" spans="1:48" x14ac:dyDescent="0.25">
      <c r="A73">
        <v>3</v>
      </c>
      <c r="B73" t="s">
        <v>16</v>
      </c>
      <c r="C73">
        <v>27520</v>
      </c>
      <c r="D73">
        <v>64</v>
      </c>
      <c r="E73">
        <v>2</v>
      </c>
      <c r="F73">
        <v>8</v>
      </c>
      <c r="G73">
        <v>378.92</v>
      </c>
      <c r="H73" s="139">
        <v>36.673000000000002</v>
      </c>
      <c r="I73" s="33">
        <v>45607</v>
      </c>
      <c r="J73" s="37">
        <v>0.14876157407407409</v>
      </c>
      <c r="K73">
        <v>0</v>
      </c>
      <c r="L73">
        <v>0</v>
      </c>
      <c r="M73">
        <v>0</v>
      </c>
      <c r="N73">
        <v>0</v>
      </c>
      <c r="O73">
        <v>0</v>
      </c>
      <c r="P73">
        <v>0</v>
      </c>
      <c r="Q73">
        <v>0</v>
      </c>
      <c r="R73">
        <v>0</v>
      </c>
      <c r="S73">
        <v>0</v>
      </c>
      <c r="T73">
        <v>0</v>
      </c>
      <c r="U73">
        <v>0</v>
      </c>
      <c r="V73">
        <v>0</v>
      </c>
      <c r="W73" s="30">
        <f>W72</f>
        <v>36.685199999999995</v>
      </c>
      <c r="X73" s="17"/>
      <c r="Y73">
        <v>3</v>
      </c>
      <c r="Z73" t="s">
        <v>16</v>
      </c>
      <c r="AA73">
        <v>27520</v>
      </c>
      <c r="AB73">
        <v>64</v>
      </c>
      <c r="AC73">
        <v>2</v>
      </c>
      <c r="AD73">
        <v>8</v>
      </c>
      <c r="AE73">
        <v>343.97</v>
      </c>
      <c r="AF73" s="139">
        <v>40.399000000000001</v>
      </c>
      <c r="AG73" s="33">
        <v>45605</v>
      </c>
      <c r="AH73" s="34">
        <v>0.19594907407407408</v>
      </c>
      <c r="AI73">
        <v>0</v>
      </c>
      <c r="AJ73">
        <v>0</v>
      </c>
      <c r="AK73">
        <v>0</v>
      </c>
      <c r="AL73">
        <v>0</v>
      </c>
      <c r="AM73">
        <v>0</v>
      </c>
      <c r="AN73">
        <v>0</v>
      </c>
      <c r="AO73">
        <v>0</v>
      </c>
      <c r="AP73">
        <v>0</v>
      </c>
      <c r="AQ73">
        <v>0</v>
      </c>
      <c r="AR73">
        <v>0</v>
      </c>
      <c r="AS73">
        <v>0</v>
      </c>
      <c r="AT73">
        <v>0</v>
      </c>
      <c r="AU73" s="30">
        <f t="shared" si="5"/>
        <v>40.432600000000001</v>
      </c>
      <c r="AV73" s="17"/>
    </row>
    <row r="74" spans="1:48" x14ac:dyDescent="0.25">
      <c r="A74">
        <v>4</v>
      </c>
      <c r="B74" t="s">
        <v>16</v>
      </c>
      <c r="C74">
        <v>27520</v>
      </c>
      <c r="D74">
        <v>64</v>
      </c>
      <c r="E74">
        <v>2</v>
      </c>
      <c r="F74">
        <v>8</v>
      </c>
      <c r="G74">
        <v>378.76</v>
      </c>
      <c r="H74" s="139">
        <v>36.688000000000002</v>
      </c>
      <c r="I74" s="33">
        <v>45607</v>
      </c>
      <c r="J74" s="37">
        <v>0.23896990740740739</v>
      </c>
      <c r="K74">
        <v>0</v>
      </c>
      <c r="L74">
        <v>0</v>
      </c>
      <c r="M74">
        <v>0</v>
      </c>
      <c r="N74">
        <v>0</v>
      </c>
      <c r="O74">
        <v>0</v>
      </c>
      <c r="P74">
        <v>0</v>
      </c>
      <c r="Q74">
        <v>0</v>
      </c>
      <c r="R74">
        <v>0</v>
      </c>
      <c r="S74">
        <v>0</v>
      </c>
      <c r="T74">
        <v>0</v>
      </c>
      <c r="U74">
        <v>0</v>
      </c>
      <c r="V74">
        <v>0</v>
      </c>
      <c r="W74" s="30">
        <f>W73</f>
        <v>36.685199999999995</v>
      </c>
      <c r="X74" s="17"/>
      <c r="Y74">
        <v>4</v>
      </c>
      <c r="Z74" t="s">
        <v>16</v>
      </c>
      <c r="AA74">
        <v>27520</v>
      </c>
      <c r="AB74">
        <v>64</v>
      </c>
      <c r="AC74">
        <v>2</v>
      </c>
      <c r="AD74">
        <v>8</v>
      </c>
      <c r="AE74">
        <v>343.51</v>
      </c>
      <c r="AF74" s="139">
        <v>40.453000000000003</v>
      </c>
      <c r="AG74" s="33">
        <v>45605</v>
      </c>
      <c r="AH74" s="34">
        <v>0.51018518518518519</v>
      </c>
      <c r="AI74">
        <v>0</v>
      </c>
      <c r="AJ74">
        <v>0</v>
      </c>
      <c r="AK74">
        <v>0</v>
      </c>
      <c r="AL74">
        <v>0</v>
      </c>
      <c r="AM74">
        <v>0</v>
      </c>
      <c r="AN74">
        <v>0</v>
      </c>
      <c r="AO74">
        <v>0</v>
      </c>
      <c r="AP74">
        <v>0</v>
      </c>
      <c r="AQ74">
        <v>0</v>
      </c>
      <c r="AR74">
        <v>0</v>
      </c>
      <c r="AS74">
        <v>0</v>
      </c>
      <c r="AT74">
        <v>0</v>
      </c>
      <c r="AU74" s="30">
        <f t="shared" si="5"/>
        <v>40.432600000000001</v>
      </c>
      <c r="AV74" s="17"/>
    </row>
    <row r="75" spans="1:48" x14ac:dyDescent="0.25">
      <c r="A75">
        <v>0</v>
      </c>
      <c r="B75" t="s">
        <v>16</v>
      </c>
      <c r="C75">
        <v>29056</v>
      </c>
      <c r="D75">
        <v>64</v>
      </c>
      <c r="E75">
        <v>2</v>
      </c>
      <c r="F75">
        <v>8</v>
      </c>
      <c r="G75">
        <v>441.88</v>
      </c>
      <c r="H75" s="139">
        <v>37.012999999999998</v>
      </c>
      <c r="I75" s="33">
        <v>45606</v>
      </c>
      <c r="J75" s="37">
        <v>0.93775462962962963</v>
      </c>
      <c r="K75">
        <v>0</v>
      </c>
      <c r="L75">
        <v>0</v>
      </c>
      <c r="M75">
        <v>0</v>
      </c>
      <c r="N75">
        <v>0</v>
      </c>
      <c r="O75">
        <v>0</v>
      </c>
      <c r="P75">
        <v>0</v>
      </c>
      <c r="Q75">
        <v>0</v>
      </c>
      <c r="R75">
        <v>0</v>
      </c>
      <c r="S75">
        <v>0</v>
      </c>
      <c r="T75">
        <v>0</v>
      </c>
      <c r="U75">
        <v>0</v>
      </c>
      <c r="V75">
        <v>0</v>
      </c>
      <c r="W75" s="30">
        <f>AVERAGE(H75:H79)</f>
        <v>36.999000000000002</v>
      </c>
      <c r="X75" s="17"/>
      <c r="Y75">
        <v>0</v>
      </c>
      <c r="Z75" t="s">
        <v>16</v>
      </c>
      <c r="AA75">
        <v>29056</v>
      </c>
      <c r="AB75">
        <v>64</v>
      </c>
      <c r="AC75">
        <v>2</v>
      </c>
      <c r="AD75">
        <v>8</v>
      </c>
      <c r="AE75">
        <v>400.95</v>
      </c>
      <c r="AF75" s="139">
        <v>40.790999999999997</v>
      </c>
      <c r="AG75" s="33">
        <v>45604</v>
      </c>
      <c r="AH75" s="34">
        <v>0.9871064814814815</v>
      </c>
      <c r="AI75">
        <v>0</v>
      </c>
      <c r="AJ75">
        <v>0</v>
      </c>
      <c r="AK75">
        <v>0</v>
      </c>
      <c r="AL75">
        <v>0</v>
      </c>
      <c r="AM75">
        <v>0</v>
      </c>
      <c r="AN75">
        <v>0</v>
      </c>
      <c r="AO75">
        <v>0</v>
      </c>
      <c r="AP75">
        <v>0</v>
      </c>
      <c r="AQ75">
        <v>0</v>
      </c>
      <c r="AR75">
        <v>0</v>
      </c>
      <c r="AS75">
        <v>0</v>
      </c>
      <c r="AT75">
        <v>0</v>
      </c>
      <c r="AU75" s="30">
        <f t="shared" ref="AU75" si="26">AVERAGE(AF75:AF79)</f>
        <v>40.797800000000002</v>
      </c>
      <c r="AV75" s="17"/>
    </row>
    <row r="76" spans="1:48" x14ac:dyDescent="0.25">
      <c r="A76">
        <v>1</v>
      </c>
      <c r="B76" t="s">
        <v>16</v>
      </c>
      <c r="C76">
        <v>29056</v>
      </c>
      <c r="D76">
        <v>64</v>
      </c>
      <c r="E76">
        <v>2</v>
      </c>
      <c r="F76">
        <v>8</v>
      </c>
      <c r="G76">
        <v>442.05</v>
      </c>
      <c r="H76" s="139">
        <v>36.997999999999998</v>
      </c>
      <c r="I76" s="33">
        <v>45607</v>
      </c>
      <c r="J76" s="37">
        <v>2.7939814814814813E-2</v>
      </c>
      <c r="K76">
        <v>0</v>
      </c>
      <c r="L76">
        <v>0</v>
      </c>
      <c r="M76">
        <v>0</v>
      </c>
      <c r="N76">
        <v>0</v>
      </c>
      <c r="O76">
        <v>0</v>
      </c>
      <c r="P76">
        <v>0</v>
      </c>
      <c r="Q76">
        <v>0</v>
      </c>
      <c r="R76">
        <v>0</v>
      </c>
      <c r="S76">
        <v>0</v>
      </c>
      <c r="T76">
        <v>0</v>
      </c>
      <c r="U76">
        <v>0</v>
      </c>
      <c r="V76">
        <v>0</v>
      </c>
      <c r="W76" s="30">
        <f>W75</f>
        <v>36.999000000000002</v>
      </c>
      <c r="X76" s="17"/>
      <c r="Y76">
        <v>1</v>
      </c>
      <c r="Z76" t="s">
        <v>16</v>
      </c>
      <c r="AA76">
        <v>29056</v>
      </c>
      <c r="AB76">
        <v>64</v>
      </c>
      <c r="AC76">
        <v>2</v>
      </c>
      <c r="AD76">
        <v>8</v>
      </c>
      <c r="AE76">
        <v>400.94</v>
      </c>
      <c r="AF76" s="139">
        <v>40.792000000000002</v>
      </c>
      <c r="AG76" s="33">
        <v>45605</v>
      </c>
      <c r="AH76" s="34">
        <v>7.6388888888888895E-2</v>
      </c>
      <c r="AI76">
        <v>0</v>
      </c>
      <c r="AJ76">
        <v>0</v>
      </c>
      <c r="AK76">
        <v>0</v>
      </c>
      <c r="AL76">
        <v>0</v>
      </c>
      <c r="AM76">
        <v>0</v>
      </c>
      <c r="AN76">
        <v>0</v>
      </c>
      <c r="AO76">
        <v>0</v>
      </c>
      <c r="AP76">
        <v>0</v>
      </c>
      <c r="AQ76">
        <v>0</v>
      </c>
      <c r="AR76">
        <v>0</v>
      </c>
      <c r="AS76">
        <v>0</v>
      </c>
      <c r="AT76">
        <v>0</v>
      </c>
      <c r="AU76" s="30">
        <f t="shared" ref="AU76" si="27">AU75</f>
        <v>40.797800000000002</v>
      </c>
      <c r="AV76" s="17"/>
    </row>
    <row r="77" spans="1:48" x14ac:dyDescent="0.25">
      <c r="A77">
        <v>2</v>
      </c>
      <c r="B77" t="s">
        <v>16</v>
      </c>
      <c r="C77">
        <v>29056</v>
      </c>
      <c r="D77">
        <v>64</v>
      </c>
      <c r="E77">
        <v>2</v>
      </c>
      <c r="F77">
        <v>8</v>
      </c>
      <c r="G77">
        <v>441.94</v>
      </c>
      <c r="H77" s="139">
        <v>37.006999999999998</v>
      </c>
      <c r="I77" s="33">
        <v>45607</v>
      </c>
      <c r="J77" s="37">
        <v>0.11810185185185185</v>
      </c>
      <c r="K77">
        <v>0</v>
      </c>
      <c r="L77">
        <v>0</v>
      </c>
      <c r="M77">
        <v>0</v>
      </c>
      <c r="N77">
        <v>0</v>
      </c>
      <c r="O77">
        <v>0</v>
      </c>
      <c r="P77">
        <v>0</v>
      </c>
      <c r="Q77">
        <v>0</v>
      </c>
      <c r="R77">
        <v>0</v>
      </c>
      <c r="S77">
        <v>0</v>
      </c>
      <c r="T77">
        <v>0</v>
      </c>
      <c r="U77">
        <v>0</v>
      </c>
      <c r="V77">
        <v>0</v>
      </c>
      <c r="W77" s="30">
        <f>W76</f>
        <v>36.999000000000002</v>
      </c>
      <c r="X77" s="17"/>
      <c r="Y77">
        <v>2</v>
      </c>
      <c r="Z77" t="s">
        <v>16</v>
      </c>
      <c r="AA77">
        <v>29056</v>
      </c>
      <c r="AB77">
        <v>64</v>
      </c>
      <c r="AC77">
        <v>2</v>
      </c>
      <c r="AD77">
        <v>8</v>
      </c>
      <c r="AE77">
        <v>400.77</v>
      </c>
      <c r="AF77" s="139">
        <v>40.808</v>
      </c>
      <c r="AG77" s="33">
        <v>45605</v>
      </c>
      <c r="AH77" s="34">
        <v>0.16564814814814816</v>
      </c>
      <c r="AI77">
        <v>0</v>
      </c>
      <c r="AJ77">
        <v>0</v>
      </c>
      <c r="AK77">
        <v>0</v>
      </c>
      <c r="AL77">
        <v>0</v>
      </c>
      <c r="AM77">
        <v>0</v>
      </c>
      <c r="AN77">
        <v>0</v>
      </c>
      <c r="AO77">
        <v>0</v>
      </c>
      <c r="AP77">
        <v>0</v>
      </c>
      <c r="AQ77">
        <v>0</v>
      </c>
      <c r="AR77">
        <v>0</v>
      </c>
      <c r="AS77">
        <v>0</v>
      </c>
      <c r="AT77">
        <v>0</v>
      </c>
      <c r="AU77" s="30">
        <f t="shared" si="3"/>
        <v>40.797800000000002</v>
      </c>
      <c r="AV77" s="17"/>
    </row>
    <row r="78" spans="1:48" x14ac:dyDescent="0.25">
      <c r="A78">
        <v>3</v>
      </c>
      <c r="B78" t="s">
        <v>16</v>
      </c>
      <c r="C78">
        <v>29056</v>
      </c>
      <c r="D78">
        <v>64</v>
      </c>
      <c r="E78">
        <v>2</v>
      </c>
      <c r="F78">
        <v>8</v>
      </c>
      <c r="G78">
        <v>442.18</v>
      </c>
      <c r="H78" s="139">
        <v>36.987000000000002</v>
      </c>
      <c r="I78" s="33">
        <v>45607</v>
      </c>
      <c r="J78" s="37">
        <v>0.20828703703703705</v>
      </c>
      <c r="K78">
        <v>0</v>
      </c>
      <c r="L78">
        <v>0</v>
      </c>
      <c r="M78">
        <v>0</v>
      </c>
      <c r="N78">
        <v>0</v>
      </c>
      <c r="O78">
        <v>0</v>
      </c>
      <c r="P78">
        <v>0</v>
      </c>
      <c r="Q78">
        <v>0</v>
      </c>
      <c r="R78">
        <v>0</v>
      </c>
      <c r="S78">
        <v>0</v>
      </c>
      <c r="T78">
        <v>0</v>
      </c>
      <c r="U78">
        <v>0</v>
      </c>
      <c r="V78">
        <v>0</v>
      </c>
      <c r="W78" s="30">
        <f>W77</f>
        <v>36.999000000000002</v>
      </c>
      <c r="X78" s="17"/>
      <c r="Y78">
        <v>3</v>
      </c>
      <c r="Z78" t="s">
        <v>16</v>
      </c>
      <c r="AA78">
        <v>29056</v>
      </c>
      <c r="AB78">
        <v>64</v>
      </c>
      <c r="AC78">
        <v>2</v>
      </c>
      <c r="AD78">
        <v>8</v>
      </c>
      <c r="AE78">
        <v>401.22</v>
      </c>
      <c r="AF78" s="139">
        <v>40.762999999999998</v>
      </c>
      <c r="AG78" s="33">
        <v>45605</v>
      </c>
      <c r="AH78" s="34">
        <v>0.4798263888888889</v>
      </c>
      <c r="AI78">
        <v>0</v>
      </c>
      <c r="AJ78">
        <v>0</v>
      </c>
      <c r="AK78">
        <v>0</v>
      </c>
      <c r="AL78">
        <v>0</v>
      </c>
      <c r="AM78">
        <v>0</v>
      </c>
      <c r="AN78">
        <v>0</v>
      </c>
      <c r="AO78">
        <v>0</v>
      </c>
      <c r="AP78">
        <v>0</v>
      </c>
      <c r="AQ78">
        <v>0</v>
      </c>
      <c r="AR78">
        <v>0</v>
      </c>
      <c r="AS78">
        <v>0</v>
      </c>
      <c r="AT78">
        <v>0</v>
      </c>
      <c r="AU78" s="30">
        <f t="shared" si="3"/>
        <v>40.797800000000002</v>
      </c>
      <c r="AV78" s="17"/>
    </row>
    <row r="79" spans="1:48" x14ac:dyDescent="0.25">
      <c r="A79">
        <v>4</v>
      </c>
      <c r="B79" t="s">
        <v>16</v>
      </c>
      <c r="C79">
        <v>29056</v>
      </c>
      <c r="D79">
        <v>64</v>
      </c>
      <c r="E79">
        <v>2</v>
      </c>
      <c r="F79">
        <v>8</v>
      </c>
      <c r="G79">
        <v>442.14</v>
      </c>
      <c r="H79" s="139">
        <v>36.99</v>
      </c>
      <c r="I79" s="33">
        <v>45607</v>
      </c>
      <c r="J79" s="37">
        <v>0.29854166666666665</v>
      </c>
      <c r="K79">
        <v>0</v>
      </c>
      <c r="L79">
        <v>0</v>
      </c>
      <c r="M79">
        <v>0</v>
      </c>
      <c r="N79">
        <v>0</v>
      </c>
      <c r="O79">
        <v>0</v>
      </c>
      <c r="P79">
        <v>0</v>
      </c>
      <c r="Q79">
        <v>0</v>
      </c>
      <c r="R79">
        <v>0</v>
      </c>
      <c r="S79">
        <v>0</v>
      </c>
      <c r="T79">
        <v>0</v>
      </c>
      <c r="U79">
        <v>0</v>
      </c>
      <c r="V79">
        <v>0</v>
      </c>
      <c r="W79" s="30">
        <f>W78</f>
        <v>36.999000000000002</v>
      </c>
      <c r="X79" s="17"/>
      <c r="Y79">
        <v>4</v>
      </c>
      <c r="Z79" t="s">
        <v>16</v>
      </c>
      <c r="AA79">
        <v>29056</v>
      </c>
      <c r="AB79">
        <v>64</v>
      </c>
      <c r="AC79">
        <v>2</v>
      </c>
      <c r="AD79">
        <v>8</v>
      </c>
      <c r="AE79">
        <v>400.51</v>
      </c>
      <c r="AF79" s="139">
        <v>40.835000000000001</v>
      </c>
      <c r="AG79" s="33">
        <v>45606</v>
      </c>
      <c r="AH79" s="34">
        <v>0.71072916666666663</v>
      </c>
      <c r="AI79">
        <v>0</v>
      </c>
      <c r="AJ79">
        <v>0</v>
      </c>
      <c r="AK79">
        <v>0</v>
      </c>
      <c r="AL79">
        <v>0</v>
      </c>
      <c r="AM79">
        <v>0</v>
      </c>
      <c r="AN79">
        <v>0</v>
      </c>
      <c r="AO79">
        <v>0</v>
      </c>
      <c r="AP79">
        <v>0</v>
      </c>
      <c r="AQ79">
        <v>0</v>
      </c>
      <c r="AR79">
        <v>0</v>
      </c>
      <c r="AS79">
        <v>0</v>
      </c>
      <c r="AT79">
        <v>0</v>
      </c>
      <c r="AU79" s="30">
        <f t="shared" si="3"/>
        <v>40.797800000000002</v>
      </c>
      <c r="AV79" s="17"/>
    </row>
    <row r="80" spans="1:48" x14ac:dyDescent="0.25">
      <c r="A80">
        <v>0</v>
      </c>
      <c r="B80" t="s">
        <v>16</v>
      </c>
      <c r="C80">
        <v>25984</v>
      </c>
      <c r="D80">
        <v>64</v>
      </c>
      <c r="E80">
        <v>4</v>
      </c>
      <c r="F80">
        <v>4</v>
      </c>
      <c r="G80">
        <v>345.22</v>
      </c>
      <c r="H80" s="139">
        <v>33.881999999999998</v>
      </c>
      <c r="I80" s="33">
        <v>45606</v>
      </c>
      <c r="J80" s="37">
        <v>0.90861111111111115</v>
      </c>
      <c r="K80">
        <v>0</v>
      </c>
      <c r="L80">
        <v>0</v>
      </c>
      <c r="M80">
        <v>0</v>
      </c>
      <c r="N80">
        <v>0</v>
      </c>
      <c r="O80">
        <v>0</v>
      </c>
      <c r="P80">
        <v>0</v>
      </c>
      <c r="Q80">
        <v>0</v>
      </c>
      <c r="R80">
        <v>0</v>
      </c>
      <c r="S80">
        <v>0</v>
      </c>
      <c r="T80">
        <v>0</v>
      </c>
      <c r="U80">
        <v>0</v>
      </c>
      <c r="V80">
        <v>0</v>
      </c>
      <c r="W80" s="30">
        <f>AVERAGE(H80:H84)</f>
        <v>33.869399999999999</v>
      </c>
      <c r="X80" s="17"/>
      <c r="Y80">
        <v>0</v>
      </c>
      <c r="Z80" t="s">
        <v>16</v>
      </c>
      <c r="AA80">
        <v>25984</v>
      </c>
      <c r="AB80">
        <v>64</v>
      </c>
      <c r="AC80">
        <v>4</v>
      </c>
      <c r="AD80">
        <v>4</v>
      </c>
      <c r="AE80">
        <v>314.22000000000003</v>
      </c>
      <c r="AF80" s="139">
        <v>37.223999999999997</v>
      </c>
      <c r="AG80" s="33">
        <v>45604</v>
      </c>
      <c r="AH80" s="34">
        <v>0.95844907407407409</v>
      </c>
      <c r="AI80">
        <v>0</v>
      </c>
      <c r="AJ80">
        <v>0</v>
      </c>
      <c r="AK80">
        <v>0</v>
      </c>
      <c r="AL80">
        <v>0</v>
      </c>
      <c r="AM80">
        <v>0</v>
      </c>
      <c r="AN80">
        <v>0</v>
      </c>
      <c r="AO80">
        <v>0</v>
      </c>
      <c r="AP80">
        <v>0</v>
      </c>
      <c r="AQ80">
        <v>0</v>
      </c>
      <c r="AR80">
        <v>0</v>
      </c>
      <c r="AS80">
        <v>0</v>
      </c>
      <c r="AT80">
        <v>0</v>
      </c>
      <c r="AU80" s="30">
        <f t="shared" ref="AU80" si="28">AVERAGE(AF80:AF84)</f>
        <v>37.220399999999998</v>
      </c>
      <c r="AV80" s="17"/>
    </row>
    <row r="81" spans="1:48" x14ac:dyDescent="0.25">
      <c r="A81">
        <v>1</v>
      </c>
      <c r="B81" t="s">
        <v>16</v>
      </c>
      <c r="C81">
        <v>25984</v>
      </c>
      <c r="D81">
        <v>64</v>
      </c>
      <c r="E81">
        <v>4</v>
      </c>
      <c r="F81">
        <v>4</v>
      </c>
      <c r="G81">
        <v>345.37</v>
      </c>
      <c r="H81" s="139">
        <v>33.866999999999997</v>
      </c>
      <c r="I81" s="33">
        <v>45606</v>
      </c>
      <c r="J81" s="37">
        <v>0.99888888888888894</v>
      </c>
      <c r="K81">
        <v>0</v>
      </c>
      <c r="L81">
        <v>0</v>
      </c>
      <c r="M81">
        <v>0</v>
      </c>
      <c r="N81">
        <v>0</v>
      </c>
      <c r="O81">
        <v>0</v>
      </c>
      <c r="P81">
        <v>0</v>
      </c>
      <c r="Q81">
        <v>0</v>
      </c>
      <c r="R81">
        <v>0</v>
      </c>
      <c r="S81">
        <v>0</v>
      </c>
      <c r="T81">
        <v>0</v>
      </c>
      <c r="U81">
        <v>0</v>
      </c>
      <c r="V81">
        <v>0</v>
      </c>
      <c r="W81" s="30">
        <f>W80</f>
        <v>33.869399999999999</v>
      </c>
      <c r="X81" s="17"/>
      <c r="Y81">
        <v>1</v>
      </c>
      <c r="Z81" t="s">
        <v>16</v>
      </c>
      <c r="AA81">
        <v>25984</v>
      </c>
      <c r="AB81">
        <v>64</v>
      </c>
      <c r="AC81">
        <v>4</v>
      </c>
      <c r="AD81">
        <v>4</v>
      </c>
      <c r="AE81">
        <v>314.11</v>
      </c>
      <c r="AF81" s="139">
        <v>37.237000000000002</v>
      </c>
      <c r="AG81" s="33">
        <v>45605</v>
      </c>
      <c r="AH81" s="34">
        <v>4.7812500000000001E-2</v>
      </c>
      <c r="AI81">
        <v>0</v>
      </c>
      <c r="AJ81">
        <v>0</v>
      </c>
      <c r="AK81">
        <v>0</v>
      </c>
      <c r="AL81">
        <v>0</v>
      </c>
      <c r="AM81">
        <v>0</v>
      </c>
      <c r="AN81">
        <v>0</v>
      </c>
      <c r="AO81">
        <v>0</v>
      </c>
      <c r="AP81">
        <v>0</v>
      </c>
      <c r="AQ81">
        <v>0</v>
      </c>
      <c r="AR81">
        <v>0</v>
      </c>
      <c r="AS81">
        <v>0</v>
      </c>
      <c r="AT81">
        <v>0</v>
      </c>
      <c r="AU81" s="30">
        <f t="shared" ref="AU81" si="29">AU80</f>
        <v>37.220399999999998</v>
      </c>
      <c r="AV81" s="17"/>
    </row>
    <row r="82" spans="1:48" x14ac:dyDescent="0.25">
      <c r="A82">
        <v>2</v>
      </c>
      <c r="B82" t="s">
        <v>16</v>
      </c>
      <c r="C82">
        <v>25984</v>
      </c>
      <c r="D82">
        <v>64</v>
      </c>
      <c r="E82">
        <v>4</v>
      </c>
      <c r="F82">
        <v>4</v>
      </c>
      <c r="G82">
        <v>345.55</v>
      </c>
      <c r="H82" s="139">
        <v>33.85</v>
      </c>
      <c r="I82" s="33">
        <v>45607</v>
      </c>
      <c r="J82" s="37">
        <v>8.9074074074074069E-2</v>
      </c>
      <c r="K82">
        <v>0</v>
      </c>
      <c r="L82">
        <v>0</v>
      </c>
      <c r="M82">
        <v>0</v>
      </c>
      <c r="N82">
        <v>0</v>
      </c>
      <c r="O82">
        <v>0</v>
      </c>
      <c r="P82">
        <v>0</v>
      </c>
      <c r="Q82">
        <v>0</v>
      </c>
      <c r="R82">
        <v>0</v>
      </c>
      <c r="S82">
        <v>0</v>
      </c>
      <c r="T82">
        <v>0</v>
      </c>
      <c r="U82">
        <v>0</v>
      </c>
      <c r="V82">
        <v>0</v>
      </c>
      <c r="W82" s="30">
        <f>W81</f>
        <v>33.869399999999999</v>
      </c>
      <c r="X82" s="17"/>
      <c r="Y82">
        <v>2</v>
      </c>
      <c r="Z82" t="s">
        <v>16</v>
      </c>
      <c r="AA82">
        <v>25984</v>
      </c>
      <c r="AB82">
        <v>64</v>
      </c>
      <c r="AC82">
        <v>4</v>
      </c>
      <c r="AD82">
        <v>4</v>
      </c>
      <c r="AE82">
        <v>314.18</v>
      </c>
      <c r="AF82" s="139">
        <v>37.229999999999997</v>
      </c>
      <c r="AG82" s="33">
        <v>45605</v>
      </c>
      <c r="AH82" s="34">
        <v>0.13706018518518517</v>
      </c>
      <c r="AI82">
        <v>0</v>
      </c>
      <c r="AJ82">
        <v>0</v>
      </c>
      <c r="AK82">
        <v>0</v>
      </c>
      <c r="AL82">
        <v>0</v>
      </c>
      <c r="AM82">
        <v>0</v>
      </c>
      <c r="AN82">
        <v>0</v>
      </c>
      <c r="AO82">
        <v>0</v>
      </c>
      <c r="AP82">
        <v>0</v>
      </c>
      <c r="AQ82">
        <v>0</v>
      </c>
      <c r="AR82">
        <v>0</v>
      </c>
      <c r="AS82">
        <v>0</v>
      </c>
      <c r="AT82">
        <v>0</v>
      </c>
      <c r="AU82" s="30">
        <f t="shared" si="5"/>
        <v>37.220399999999998</v>
      </c>
      <c r="AV82" s="17"/>
    </row>
    <row r="83" spans="1:48" x14ac:dyDescent="0.25">
      <c r="A83">
        <v>3</v>
      </c>
      <c r="B83" t="s">
        <v>16</v>
      </c>
      <c r="C83">
        <v>25984</v>
      </c>
      <c r="D83">
        <v>64</v>
      </c>
      <c r="E83">
        <v>4</v>
      </c>
      <c r="F83">
        <v>4</v>
      </c>
      <c r="G83">
        <v>345.35</v>
      </c>
      <c r="H83" s="139">
        <v>33.869999999999997</v>
      </c>
      <c r="I83" s="33">
        <v>45607</v>
      </c>
      <c r="J83" s="37">
        <v>0.17922453703703703</v>
      </c>
      <c r="K83">
        <v>0</v>
      </c>
      <c r="L83">
        <v>0</v>
      </c>
      <c r="M83">
        <v>0</v>
      </c>
      <c r="N83">
        <v>0</v>
      </c>
      <c r="O83">
        <v>0</v>
      </c>
      <c r="P83">
        <v>0</v>
      </c>
      <c r="Q83">
        <v>0</v>
      </c>
      <c r="R83">
        <v>0</v>
      </c>
      <c r="S83">
        <v>0</v>
      </c>
      <c r="T83">
        <v>0</v>
      </c>
      <c r="U83">
        <v>0</v>
      </c>
      <c r="V83">
        <v>0</v>
      </c>
      <c r="W83" s="30">
        <f>W82</f>
        <v>33.869399999999999</v>
      </c>
      <c r="X83" s="17"/>
      <c r="Y83">
        <v>3</v>
      </c>
      <c r="Z83" t="s">
        <v>16</v>
      </c>
      <c r="AA83">
        <v>25984</v>
      </c>
      <c r="AB83">
        <v>64</v>
      </c>
      <c r="AC83">
        <v>4</v>
      </c>
      <c r="AD83">
        <v>4</v>
      </c>
      <c r="AE83">
        <v>314.25</v>
      </c>
      <c r="AF83" s="139">
        <v>37.220999999999997</v>
      </c>
      <c r="AG83" s="33">
        <v>45605</v>
      </c>
      <c r="AH83" s="34">
        <v>0.22635416666666666</v>
      </c>
      <c r="AI83">
        <v>0</v>
      </c>
      <c r="AJ83">
        <v>0</v>
      </c>
      <c r="AK83">
        <v>0</v>
      </c>
      <c r="AL83">
        <v>0</v>
      </c>
      <c r="AM83">
        <v>0</v>
      </c>
      <c r="AN83">
        <v>0</v>
      </c>
      <c r="AO83">
        <v>0</v>
      </c>
      <c r="AP83">
        <v>0</v>
      </c>
      <c r="AQ83">
        <v>0</v>
      </c>
      <c r="AR83">
        <v>0</v>
      </c>
      <c r="AS83">
        <v>0</v>
      </c>
      <c r="AT83">
        <v>0</v>
      </c>
      <c r="AU83" s="30">
        <f t="shared" si="5"/>
        <v>37.220399999999998</v>
      </c>
      <c r="AV83" s="17"/>
    </row>
    <row r="84" spans="1:48" x14ac:dyDescent="0.25">
      <c r="A84">
        <v>4</v>
      </c>
      <c r="B84" t="s">
        <v>16</v>
      </c>
      <c r="C84">
        <v>25984</v>
      </c>
      <c r="D84">
        <v>64</v>
      </c>
      <c r="E84">
        <v>4</v>
      </c>
      <c r="F84">
        <v>4</v>
      </c>
      <c r="G84">
        <v>345.26</v>
      </c>
      <c r="H84" s="139">
        <v>33.878</v>
      </c>
      <c r="I84" s="33">
        <v>45607</v>
      </c>
      <c r="J84" s="37">
        <v>0.26943287037037039</v>
      </c>
      <c r="K84">
        <v>0</v>
      </c>
      <c r="L84">
        <v>0</v>
      </c>
      <c r="M84">
        <v>0</v>
      </c>
      <c r="N84">
        <v>0</v>
      </c>
      <c r="O84">
        <v>0</v>
      </c>
      <c r="P84">
        <v>0</v>
      </c>
      <c r="Q84">
        <v>0</v>
      </c>
      <c r="R84">
        <v>0</v>
      </c>
      <c r="S84">
        <v>0</v>
      </c>
      <c r="T84">
        <v>0</v>
      </c>
      <c r="U84">
        <v>0</v>
      </c>
      <c r="V84">
        <v>0</v>
      </c>
      <c r="W84" s="30">
        <f>W83</f>
        <v>33.869399999999999</v>
      </c>
      <c r="X84" s="17"/>
      <c r="Y84">
        <v>4</v>
      </c>
      <c r="Z84" t="s">
        <v>16</v>
      </c>
      <c r="AA84">
        <v>25984</v>
      </c>
      <c r="AB84">
        <v>64</v>
      </c>
      <c r="AC84">
        <v>4</v>
      </c>
      <c r="AD84">
        <v>4</v>
      </c>
      <c r="AE84">
        <v>314.52</v>
      </c>
      <c r="AF84" s="139">
        <v>37.19</v>
      </c>
      <c r="AG84" s="33">
        <v>45605</v>
      </c>
      <c r="AH84" s="34">
        <v>0.91702546296296295</v>
      </c>
      <c r="AI84">
        <v>0</v>
      </c>
      <c r="AJ84">
        <v>0</v>
      </c>
      <c r="AK84">
        <v>0</v>
      </c>
      <c r="AL84">
        <v>0</v>
      </c>
      <c r="AM84">
        <v>0</v>
      </c>
      <c r="AN84">
        <v>0</v>
      </c>
      <c r="AO84">
        <v>0</v>
      </c>
      <c r="AP84">
        <v>0</v>
      </c>
      <c r="AQ84">
        <v>0</v>
      </c>
      <c r="AR84">
        <v>0</v>
      </c>
      <c r="AS84">
        <v>0</v>
      </c>
      <c r="AT84">
        <v>0</v>
      </c>
      <c r="AU84" s="30">
        <f t="shared" si="5"/>
        <v>37.220399999999998</v>
      </c>
      <c r="AV84" s="17"/>
    </row>
    <row r="85" spans="1:48" x14ac:dyDescent="0.25">
      <c r="A85">
        <v>0</v>
      </c>
      <c r="B85" t="s">
        <v>16</v>
      </c>
      <c r="C85">
        <v>27520</v>
      </c>
      <c r="D85">
        <v>64</v>
      </c>
      <c r="E85">
        <v>4</v>
      </c>
      <c r="F85">
        <v>4</v>
      </c>
      <c r="G85">
        <v>410.29</v>
      </c>
      <c r="H85" s="139">
        <v>33.869</v>
      </c>
      <c r="I85" s="33">
        <v>45606</v>
      </c>
      <c r="J85" s="37">
        <v>0.88310185185185186</v>
      </c>
      <c r="K85">
        <v>0</v>
      </c>
      <c r="L85">
        <v>0</v>
      </c>
      <c r="M85">
        <v>0</v>
      </c>
      <c r="N85">
        <v>0</v>
      </c>
      <c r="O85">
        <v>0</v>
      </c>
      <c r="P85">
        <v>0</v>
      </c>
      <c r="Q85">
        <v>0</v>
      </c>
      <c r="R85">
        <v>0</v>
      </c>
      <c r="S85">
        <v>0</v>
      </c>
      <c r="T85">
        <v>0</v>
      </c>
      <c r="U85">
        <v>0</v>
      </c>
      <c r="V85">
        <v>0</v>
      </c>
      <c r="W85" s="30">
        <f>AVERAGE(H85:H89)</f>
        <v>33.877000000000002</v>
      </c>
      <c r="X85" s="17"/>
      <c r="Y85">
        <v>0</v>
      </c>
      <c r="Z85" t="s">
        <v>16</v>
      </c>
      <c r="AA85">
        <v>27520</v>
      </c>
      <c r="AB85">
        <v>64</v>
      </c>
      <c r="AC85">
        <v>4</v>
      </c>
      <c r="AD85">
        <v>4</v>
      </c>
      <c r="AE85">
        <v>368.5</v>
      </c>
      <c r="AF85" s="139">
        <v>37.71</v>
      </c>
      <c r="AG85" s="33">
        <v>45604</v>
      </c>
      <c r="AH85" s="34">
        <v>0.93307870370370372</v>
      </c>
      <c r="AI85">
        <v>0</v>
      </c>
      <c r="AJ85">
        <v>0</v>
      </c>
      <c r="AK85">
        <v>0</v>
      </c>
      <c r="AL85">
        <v>0</v>
      </c>
      <c r="AM85">
        <v>0</v>
      </c>
      <c r="AN85">
        <v>0</v>
      </c>
      <c r="AO85">
        <v>0</v>
      </c>
      <c r="AP85">
        <v>0</v>
      </c>
      <c r="AQ85">
        <v>0</v>
      </c>
      <c r="AR85">
        <v>0</v>
      </c>
      <c r="AS85">
        <v>0</v>
      </c>
      <c r="AT85">
        <v>0</v>
      </c>
      <c r="AU85" s="30">
        <f t="shared" ref="AU85" si="30">AVERAGE(AF85:AF89)</f>
        <v>37.673000000000002</v>
      </c>
      <c r="AV85" s="17"/>
    </row>
    <row r="86" spans="1:48" x14ac:dyDescent="0.25">
      <c r="A86">
        <v>1</v>
      </c>
      <c r="B86" t="s">
        <v>16</v>
      </c>
      <c r="C86">
        <v>27520</v>
      </c>
      <c r="D86">
        <v>64</v>
      </c>
      <c r="E86">
        <v>4</v>
      </c>
      <c r="F86">
        <v>4</v>
      </c>
      <c r="G86">
        <v>410.42</v>
      </c>
      <c r="H86" s="139">
        <v>33.857999999999997</v>
      </c>
      <c r="I86" s="33">
        <v>45606</v>
      </c>
      <c r="J86" s="37">
        <v>0.97335648148148146</v>
      </c>
      <c r="K86">
        <v>0</v>
      </c>
      <c r="L86">
        <v>0</v>
      </c>
      <c r="M86">
        <v>0</v>
      </c>
      <c r="N86">
        <v>0</v>
      </c>
      <c r="O86">
        <v>0</v>
      </c>
      <c r="P86">
        <v>0</v>
      </c>
      <c r="Q86">
        <v>0</v>
      </c>
      <c r="R86">
        <v>0</v>
      </c>
      <c r="S86">
        <v>0</v>
      </c>
      <c r="T86">
        <v>0</v>
      </c>
      <c r="U86">
        <v>0</v>
      </c>
      <c r="V86">
        <v>0</v>
      </c>
      <c r="W86" s="30">
        <f>W85</f>
        <v>33.877000000000002</v>
      </c>
      <c r="X86" s="17"/>
      <c r="Y86">
        <v>1</v>
      </c>
      <c r="Z86" t="s">
        <v>16</v>
      </c>
      <c r="AA86">
        <v>27520</v>
      </c>
      <c r="AB86">
        <v>64</v>
      </c>
      <c r="AC86">
        <v>4</v>
      </c>
      <c r="AD86">
        <v>4</v>
      </c>
      <c r="AE86">
        <v>368.88</v>
      </c>
      <c r="AF86" s="139">
        <v>37.670999999999999</v>
      </c>
      <c r="AG86" s="33">
        <v>45605</v>
      </c>
      <c r="AH86" s="34">
        <v>2.2395833333333334E-2</v>
      </c>
      <c r="AI86">
        <v>0</v>
      </c>
      <c r="AJ86">
        <v>0</v>
      </c>
      <c r="AK86">
        <v>0</v>
      </c>
      <c r="AL86">
        <v>0</v>
      </c>
      <c r="AM86">
        <v>0</v>
      </c>
      <c r="AN86">
        <v>0</v>
      </c>
      <c r="AO86">
        <v>0</v>
      </c>
      <c r="AP86">
        <v>0</v>
      </c>
      <c r="AQ86">
        <v>0</v>
      </c>
      <c r="AR86">
        <v>0</v>
      </c>
      <c r="AS86">
        <v>0</v>
      </c>
      <c r="AT86">
        <v>0</v>
      </c>
      <c r="AU86" s="30">
        <f t="shared" ref="AU86:AU149" si="31">AU85</f>
        <v>37.673000000000002</v>
      </c>
      <c r="AV86" s="17"/>
    </row>
    <row r="87" spans="1:48" x14ac:dyDescent="0.25">
      <c r="A87">
        <v>2</v>
      </c>
      <c r="B87" t="s">
        <v>16</v>
      </c>
      <c r="C87">
        <v>27520</v>
      </c>
      <c r="D87">
        <v>64</v>
      </c>
      <c r="E87">
        <v>4</v>
      </c>
      <c r="F87">
        <v>4</v>
      </c>
      <c r="G87">
        <v>409.88</v>
      </c>
      <c r="H87" s="139">
        <v>33.902000000000001</v>
      </c>
      <c r="I87" s="33">
        <v>45607</v>
      </c>
      <c r="J87" s="37">
        <v>6.3530092592592596E-2</v>
      </c>
      <c r="K87">
        <v>0</v>
      </c>
      <c r="L87">
        <v>0</v>
      </c>
      <c r="M87">
        <v>0</v>
      </c>
      <c r="N87">
        <v>0</v>
      </c>
      <c r="O87">
        <v>0</v>
      </c>
      <c r="P87">
        <v>0</v>
      </c>
      <c r="Q87">
        <v>0</v>
      </c>
      <c r="R87">
        <v>0</v>
      </c>
      <c r="S87">
        <v>0</v>
      </c>
      <c r="T87">
        <v>0</v>
      </c>
      <c r="U87">
        <v>0</v>
      </c>
      <c r="V87">
        <v>0</v>
      </c>
      <c r="W87" s="30">
        <f>W86</f>
        <v>33.877000000000002</v>
      </c>
      <c r="X87" s="17"/>
      <c r="Y87">
        <v>2</v>
      </c>
      <c r="Z87" t="s">
        <v>16</v>
      </c>
      <c r="AA87">
        <v>27520</v>
      </c>
      <c r="AB87">
        <v>64</v>
      </c>
      <c r="AC87">
        <v>4</v>
      </c>
      <c r="AD87">
        <v>4</v>
      </c>
      <c r="AE87">
        <v>368.71</v>
      </c>
      <c r="AF87" s="139">
        <v>37.688000000000002</v>
      </c>
      <c r="AG87" s="33">
        <v>45605</v>
      </c>
      <c r="AH87" s="34">
        <v>0.11163194444444445</v>
      </c>
      <c r="AI87">
        <v>0</v>
      </c>
      <c r="AJ87">
        <v>0</v>
      </c>
      <c r="AK87">
        <v>0</v>
      </c>
      <c r="AL87">
        <v>0</v>
      </c>
      <c r="AM87">
        <v>0</v>
      </c>
      <c r="AN87">
        <v>0</v>
      </c>
      <c r="AO87">
        <v>0</v>
      </c>
      <c r="AP87">
        <v>0</v>
      </c>
      <c r="AQ87">
        <v>0</v>
      </c>
      <c r="AR87">
        <v>0</v>
      </c>
      <c r="AS87">
        <v>0</v>
      </c>
      <c r="AT87">
        <v>0</v>
      </c>
      <c r="AU87" s="30">
        <f t="shared" si="31"/>
        <v>37.673000000000002</v>
      </c>
      <c r="AV87" s="17"/>
    </row>
    <row r="88" spans="1:48" x14ac:dyDescent="0.25">
      <c r="A88">
        <v>3</v>
      </c>
      <c r="B88" t="s">
        <v>16</v>
      </c>
      <c r="C88">
        <v>27520</v>
      </c>
      <c r="D88">
        <v>64</v>
      </c>
      <c r="E88">
        <v>4</v>
      </c>
      <c r="F88">
        <v>4</v>
      </c>
      <c r="G88">
        <v>409.93</v>
      </c>
      <c r="H88" s="139">
        <v>33.898000000000003</v>
      </c>
      <c r="I88" s="33">
        <v>45607</v>
      </c>
      <c r="J88" s="37">
        <v>0.1537037037037037</v>
      </c>
      <c r="K88">
        <v>0</v>
      </c>
      <c r="L88">
        <v>0</v>
      </c>
      <c r="M88">
        <v>0</v>
      </c>
      <c r="N88">
        <v>0</v>
      </c>
      <c r="O88">
        <v>0</v>
      </c>
      <c r="P88">
        <v>0</v>
      </c>
      <c r="Q88">
        <v>0</v>
      </c>
      <c r="R88">
        <v>0</v>
      </c>
      <c r="S88">
        <v>0</v>
      </c>
      <c r="T88">
        <v>0</v>
      </c>
      <c r="U88">
        <v>0</v>
      </c>
      <c r="V88">
        <v>0</v>
      </c>
      <c r="W88" s="30">
        <f>W87</f>
        <v>33.877000000000002</v>
      </c>
      <c r="X88" s="17"/>
      <c r="Y88">
        <v>3</v>
      </c>
      <c r="Z88" t="s">
        <v>16</v>
      </c>
      <c r="AA88">
        <v>27520</v>
      </c>
      <c r="AB88">
        <v>64</v>
      </c>
      <c r="AC88">
        <v>4</v>
      </c>
      <c r="AD88">
        <v>4</v>
      </c>
      <c r="AE88">
        <v>369.01</v>
      </c>
      <c r="AF88" s="139">
        <v>37.656999999999996</v>
      </c>
      <c r="AG88" s="33">
        <v>45605</v>
      </c>
      <c r="AH88" s="34">
        <v>0.20087962962962963</v>
      </c>
      <c r="AI88">
        <v>0</v>
      </c>
      <c r="AJ88">
        <v>0</v>
      </c>
      <c r="AK88">
        <v>0</v>
      </c>
      <c r="AL88">
        <v>0</v>
      </c>
      <c r="AM88">
        <v>0</v>
      </c>
      <c r="AN88">
        <v>0</v>
      </c>
      <c r="AO88">
        <v>0</v>
      </c>
      <c r="AP88">
        <v>0</v>
      </c>
      <c r="AQ88">
        <v>0</v>
      </c>
      <c r="AR88">
        <v>0</v>
      </c>
      <c r="AS88">
        <v>0</v>
      </c>
      <c r="AT88">
        <v>0</v>
      </c>
      <c r="AU88" s="30">
        <f t="shared" si="31"/>
        <v>37.673000000000002</v>
      </c>
      <c r="AV88" s="17"/>
    </row>
    <row r="89" spans="1:48" x14ac:dyDescent="0.25">
      <c r="A89">
        <v>4</v>
      </c>
      <c r="B89" t="s">
        <v>16</v>
      </c>
      <c r="C89">
        <v>27520</v>
      </c>
      <c r="D89">
        <v>64</v>
      </c>
      <c r="E89">
        <v>4</v>
      </c>
      <c r="F89">
        <v>4</v>
      </c>
      <c r="G89">
        <v>410.42</v>
      </c>
      <c r="H89" s="139">
        <v>33.857999999999997</v>
      </c>
      <c r="I89" s="33">
        <v>45607</v>
      </c>
      <c r="J89" s="37">
        <v>0.24391203703703704</v>
      </c>
      <c r="K89">
        <v>0</v>
      </c>
      <c r="L89">
        <v>0</v>
      </c>
      <c r="M89">
        <v>0</v>
      </c>
      <c r="N89">
        <v>0</v>
      </c>
      <c r="O89">
        <v>0</v>
      </c>
      <c r="P89">
        <v>0</v>
      </c>
      <c r="Q89">
        <v>0</v>
      </c>
      <c r="R89">
        <v>0</v>
      </c>
      <c r="S89">
        <v>0</v>
      </c>
      <c r="T89">
        <v>0</v>
      </c>
      <c r="U89">
        <v>0</v>
      </c>
      <c r="V89">
        <v>0</v>
      </c>
      <c r="W89" s="30">
        <f>W88</f>
        <v>33.877000000000002</v>
      </c>
      <c r="X89" s="17"/>
      <c r="Y89">
        <v>4</v>
      </c>
      <c r="Z89" t="s">
        <v>16</v>
      </c>
      <c r="AA89">
        <v>27520</v>
      </c>
      <c r="AB89">
        <v>64</v>
      </c>
      <c r="AC89">
        <v>4</v>
      </c>
      <c r="AD89">
        <v>4</v>
      </c>
      <c r="AE89">
        <v>369.19</v>
      </c>
      <c r="AF89" s="139">
        <v>37.639000000000003</v>
      </c>
      <c r="AG89" s="33">
        <v>45605</v>
      </c>
      <c r="AH89" s="34">
        <v>0.51511574074074074</v>
      </c>
      <c r="AI89">
        <v>0</v>
      </c>
      <c r="AJ89">
        <v>0</v>
      </c>
      <c r="AK89">
        <v>0</v>
      </c>
      <c r="AL89">
        <v>0</v>
      </c>
      <c r="AM89">
        <v>0</v>
      </c>
      <c r="AN89">
        <v>0</v>
      </c>
      <c r="AO89">
        <v>0</v>
      </c>
      <c r="AP89">
        <v>0</v>
      </c>
      <c r="AQ89">
        <v>0</v>
      </c>
      <c r="AR89">
        <v>0</v>
      </c>
      <c r="AS89">
        <v>0</v>
      </c>
      <c r="AT89">
        <v>0</v>
      </c>
      <c r="AU89" s="30">
        <f t="shared" si="31"/>
        <v>37.673000000000002</v>
      </c>
      <c r="AV89" s="17"/>
    </row>
    <row r="90" spans="1:48" x14ac:dyDescent="0.25">
      <c r="A90">
        <v>0</v>
      </c>
      <c r="B90" t="s">
        <v>16</v>
      </c>
      <c r="C90">
        <v>29056</v>
      </c>
      <c r="D90">
        <v>64</v>
      </c>
      <c r="E90">
        <v>4</v>
      </c>
      <c r="F90">
        <v>4</v>
      </c>
      <c r="G90">
        <v>468.46</v>
      </c>
      <c r="H90" s="139">
        <v>34.911999999999999</v>
      </c>
      <c r="I90" s="33">
        <v>45606</v>
      </c>
      <c r="J90" s="37">
        <v>0.94337962962962962</v>
      </c>
      <c r="K90">
        <v>0</v>
      </c>
      <c r="L90">
        <v>0</v>
      </c>
      <c r="M90">
        <v>0</v>
      </c>
      <c r="N90">
        <v>0</v>
      </c>
      <c r="O90">
        <v>0</v>
      </c>
      <c r="P90">
        <v>0</v>
      </c>
      <c r="Q90">
        <v>0</v>
      </c>
      <c r="R90">
        <v>0</v>
      </c>
      <c r="S90">
        <v>0</v>
      </c>
      <c r="T90">
        <v>0</v>
      </c>
      <c r="U90">
        <v>0</v>
      </c>
      <c r="V90">
        <v>0</v>
      </c>
      <c r="W90" s="30">
        <f>AVERAGE(H90:H94)</f>
        <v>34.918600000000005</v>
      </c>
      <c r="X90" s="17"/>
      <c r="Y90">
        <v>0</v>
      </c>
      <c r="Z90" t="s">
        <v>16</v>
      </c>
      <c r="AA90">
        <v>29056</v>
      </c>
      <c r="AB90">
        <v>64</v>
      </c>
      <c r="AC90">
        <v>4</v>
      </c>
      <c r="AD90">
        <v>4</v>
      </c>
      <c r="AE90">
        <v>424.93</v>
      </c>
      <c r="AF90" s="139">
        <v>38.488999999999997</v>
      </c>
      <c r="AG90" s="33">
        <v>45604</v>
      </c>
      <c r="AH90" s="34">
        <v>0.99275462962962968</v>
      </c>
      <c r="AI90">
        <v>0</v>
      </c>
      <c r="AJ90">
        <v>0</v>
      </c>
      <c r="AK90">
        <v>0</v>
      </c>
      <c r="AL90">
        <v>0</v>
      </c>
      <c r="AM90">
        <v>0</v>
      </c>
      <c r="AN90">
        <v>0</v>
      </c>
      <c r="AO90">
        <v>0</v>
      </c>
      <c r="AP90">
        <v>0</v>
      </c>
      <c r="AQ90">
        <v>0</v>
      </c>
      <c r="AR90">
        <v>0</v>
      </c>
      <c r="AS90">
        <v>0</v>
      </c>
      <c r="AT90">
        <v>0</v>
      </c>
      <c r="AU90" s="30">
        <f t="shared" ref="AU90" si="32">AVERAGE(AF90:AF94)</f>
        <v>38.461599999999997</v>
      </c>
      <c r="AV90" s="17"/>
    </row>
    <row r="91" spans="1:48" x14ac:dyDescent="0.25">
      <c r="A91">
        <v>1</v>
      </c>
      <c r="B91" t="s">
        <v>16</v>
      </c>
      <c r="C91">
        <v>29056</v>
      </c>
      <c r="D91">
        <v>64</v>
      </c>
      <c r="E91">
        <v>4</v>
      </c>
      <c r="F91">
        <v>4</v>
      </c>
      <c r="G91">
        <v>468.32</v>
      </c>
      <c r="H91" s="139">
        <v>34.923000000000002</v>
      </c>
      <c r="I91" s="33">
        <v>45607</v>
      </c>
      <c r="J91" s="37">
        <v>3.3564814814814818E-2</v>
      </c>
      <c r="K91">
        <v>0</v>
      </c>
      <c r="L91">
        <v>0</v>
      </c>
      <c r="M91">
        <v>0</v>
      </c>
      <c r="N91">
        <v>0</v>
      </c>
      <c r="O91">
        <v>0</v>
      </c>
      <c r="P91">
        <v>0</v>
      </c>
      <c r="Q91">
        <v>0</v>
      </c>
      <c r="R91">
        <v>0</v>
      </c>
      <c r="S91">
        <v>0</v>
      </c>
      <c r="T91">
        <v>0</v>
      </c>
      <c r="U91">
        <v>0</v>
      </c>
      <c r="V91">
        <v>0</v>
      </c>
      <c r="W91" s="30">
        <f>W90</f>
        <v>34.918600000000005</v>
      </c>
      <c r="X91" s="17"/>
      <c r="Y91">
        <v>1</v>
      </c>
      <c r="Z91" t="s">
        <v>16</v>
      </c>
      <c r="AA91">
        <v>29056</v>
      </c>
      <c r="AB91">
        <v>64</v>
      </c>
      <c r="AC91">
        <v>4</v>
      </c>
      <c r="AD91">
        <v>4</v>
      </c>
      <c r="AE91">
        <v>424.8</v>
      </c>
      <c r="AF91" s="139">
        <v>38.500999999999998</v>
      </c>
      <c r="AG91" s="33">
        <v>45605</v>
      </c>
      <c r="AH91" s="34">
        <v>8.2025462962962967E-2</v>
      </c>
      <c r="AI91">
        <v>0</v>
      </c>
      <c r="AJ91">
        <v>0</v>
      </c>
      <c r="AK91">
        <v>0</v>
      </c>
      <c r="AL91">
        <v>0</v>
      </c>
      <c r="AM91">
        <v>0</v>
      </c>
      <c r="AN91">
        <v>0</v>
      </c>
      <c r="AO91">
        <v>0</v>
      </c>
      <c r="AP91">
        <v>0</v>
      </c>
      <c r="AQ91">
        <v>0</v>
      </c>
      <c r="AR91">
        <v>0</v>
      </c>
      <c r="AS91">
        <v>0</v>
      </c>
      <c r="AT91">
        <v>0</v>
      </c>
      <c r="AU91" s="30">
        <f t="shared" ref="AU91:AU154" si="33">AU90</f>
        <v>38.461599999999997</v>
      </c>
      <c r="AV91" s="17"/>
    </row>
    <row r="92" spans="1:48" x14ac:dyDescent="0.25">
      <c r="A92">
        <v>2</v>
      </c>
      <c r="B92" t="s">
        <v>16</v>
      </c>
      <c r="C92">
        <v>29056</v>
      </c>
      <c r="D92">
        <v>64</v>
      </c>
      <c r="E92">
        <v>4</v>
      </c>
      <c r="F92">
        <v>4</v>
      </c>
      <c r="G92">
        <v>467.99</v>
      </c>
      <c r="H92" s="139">
        <v>34.947000000000003</v>
      </c>
      <c r="I92" s="33">
        <v>45607</v>
      </c>
      <c r="J92" s="37">
        <v>0.12373842592592593</v>
      </c>
      <c r="K92">
        <v>0</v>
      </c>
      <c r="L92">
        <v>0</v>
      </c>
      <c r="M92">
        <v>0</v>
      </c>
      <c r="N92">
        <v>0</v>
      </c>
      <c r="O92">
        <v>0</v>
      </c>
      <c r="P92">
        <v>0</v>
      </c>
      <c r="Q92">
        <v>0</v>
      </c>
      <c r="R92">
        <v>0</v>
      </c>
      <c r="S92">
        <v>0</v>
      </c>
      <c r="T92">
        <v>0</v>
      </c>
      <c r="U92">
        <v>0</v>
      </c>
      <c r="V92">
        <v>0</v>
      </c>
      <c r="W92" s="30">
        <f>W91</f>
        <v>34.918600000000005</v>
      </c>
      <c r="X92" s="17"/>
      <c r="Y92">
        <v>2</v>
      </c>
      <c r="Z92" t="s">
        <v>16</v>
      </c>
      <c r="AA92">
        <v>29056</v>
      </c>
      <c r="AB92">
        <v>64</v>
      </c>
      <c r="AC92">
        <v>4</v>
      </c>
      <c r="AD92">
        <v>4</v>
      </c>
      <c r="AE92">
        <v>425.5</v>
      </c>
      <c r="AF92" s="139">
        <v>38.436999999999998</v>
      </c>
      <c r="AG92" s="33">
        <v>45605</v>
      </c>
      <c r="AH92" s="34">
        <v>0.17129629629629631</v>
      </c>
      <c r="AI92">
        <v>0</v>
      </c>
      <c r="AJ92">
        <v>0</v>
      </c>
      <c r="AK92">
        <v>0</v>
      </c>
      <c r="AL92">
        <v>0</v>
      </c>
      <c r="AM92">
        <v>0</v>
      </c>
      <c r="AN92">
        <v>0</v>
      </c>
      <c r="AO92">
        <v>0</v>
      </c>
      <c r="AP92">
        <v>0</v>
      </c>
      <c r="AQ92">
        <v>0</v>
      </c>
      <c r="AR92">
        <v>0</v>
      </c>
      <c r="AS92">
        <v>0</v>
      </c>
      <c r="AT92">
        <v>0</v>
      </c>
      <c r="AU92" s="30">
        <f t="shared" si="33"/>
        <v>38.461599999999997</v>
      </c>
      <c r="AV92" s="17"/>
    </row>
    <row r="93" spans="1:48" x14ac:dyDescent="0.25">
      <c r="A93">
        <v>3</v>
      </c>
      <c r="B93" t="s">
        <v>16</v>
      </c>
      <c r="C93">
        <v>29056</v>
      </c>
      <c r="D93">
        <v>64</v>
      </c>
      <c r="E93">
        <v>4</v>
      </c>
      <c r="F93">
        <v>4</v>
      </c>
      <c r="G93">
        <v>468.85</v>
      </c>
      <c r="H93" s="139">
        <v>34.883000000000003</v>
      </c>
      <c r="I93" s="33">
        <v>45607</v>
      </c>
      <c r="J93" s="37">
        <v>0.21392361111111111</v>
      </c>
      <c r="K93">
        <v>0</v>
      </c>
      <c r="L93">
        <v>0</v>
      </c>
      <c r="M93">
        <v>0</v>
      </c>
      <c r="N93">
        <v>0</v>
      </c>
      <c r="O93">
        <v>0</v>
      </c>
      <c r="P93">
        <v>0</v>
      </c>
      <c r="Q93">
        <v>0</v>
      </c>
      <c r="R93">
        <v>0</v>
      </c>
      <c r="S93">
        <v>0</v>
      </c>
      <c r="T93">
        <v>0</v>
      </c>
      <c r="U93">
        <v>0</v>
      </c>
      <c r="V93">
        <v>0</v>
      </c>
      <c r="W93" s="30">
        <f>W92</f>
        <v>34.918600000000005</v>
      </c>
      <c r="X93" s="17"/>
      <c r="Y93">
        <v>3</v>
      </c>
      <c r="Z93" t="s">
        <v>16</v>
      </c>
      <c r="AA93">
        <v>29056</v>
      </c>
      <c r="AB93">
        <v>64</v>
      </c>
      <c r="AC93">
        <v>4</v>
      </c>
      <c r="AD93">
        <v>4</v>
      </c>
      <c r="AE93">
        <v>425.36</v>
      </c>
      <c r="AF93" s="139">
        <v>38.450000000000003</v>
      </c>
      <c r="AG93" s="33">
        <v>45605</v>
      </c>
      <c r="AH93" s="34">
        <v>0.48548611111111112</v>
      </c>
      <c r="AI93">
        <v>0</v>
      </c>
      <c r="AJ93">
        <v>0</v>
      </c>
      <c r="AK93">
        <v>0</v>
      </c>
      <c r="AL93">
        <v>0</v>
      </c>
      <c r="AM93">
        <v>0</v>
      </c>
      <c r="AN93">
        <v>0</v>
      </c>
      <c r="AO93">
        <v>0</v>
      </c>
      <c r="AP93">
        <v>0</v>
      </c>
      <c r="AQ93">
        <v>0</v>
      </c>
      <c r="AR93">
        <v>0</v>
      </c>
      <c r="AS93">
        <v>0</v>
      </c>
      <c r="AT93">
        <v>0</v>
      </c>
      <c r="AU93" s="30">
        <f t="shared" si="33"/>
        <v>38.461599999999997</v>
      </c>
      <c r="AV93" s="17"/>
    </row>
    <row r="94" spans="1:48" x14ac:dyDescent="0.25">
      <c r="A94">
        <v>4</v>
      </c>
      <c r="B94" t="s">
        <v>16</v>
      </c>
      <c r="C94">
        <v>29056</v>
      </c>
      <c r="D94">
        <v>64</v>
      </c>
      <c r="E94">
        <v>4</v>
      </c>
      <c r="F94">
        <v>4</v>
      </c>
      <c r="G94">
        <v>468.25</v>
      </c>
      <c r="H94" s="139">
        <v>34.927999999999997</v>
      </c>
      <c r="I94" s="33">
        <v>45607</v>
      </c>
      <c r="J94" s="37">
        <v>0.30417824074074074</v>
      </c>
      <c r="K94">
        <v>0</v>
      </c>
      <c r="L94">
        <v>0</v>
      </c>
      <c r="M94">
        <v>0</v>
      </c>
      <c r="N94">
        <v>0</v>
      </c>
      <c r="O94">
        <v>0</v>
      </c>
      <c r="P94">
        <v>0</v>
      </c>
      <c r="Q94">
        <v>0</v>
      </c>
      <c r="R94">
        <v>0</v>
      </c>
      <c r="S94">
        <v>0</v>
      </c>
      <c r="T94">
        <v>0</v>
      </c>
      <c r="U94">
        <v>0</v>
      </c>
      <c r="V94">
        <v>0</v>
      </c>
      <c r="W94" s="30">
        <f>W93</f>
        <v>34.918600000000005</v>
      </c>
      <c r="X94" s="17"/>
      <c r="Y94">
        <v>4</v>
      </c>
      <c r="Z94" t="s">
        <v>16</v>
      </c>
      <c r="AA94">
        <v>29056</v>
      </c>
      <c r="AB94">
        <v>64</v>
      </c>
      <c r="AC94">
        <v>4</v>
      </c>
      <c r="AD94">
        <v>4</v>
      </c>
      <c r="AE94">
        <v>425.57</v>
      </c>
      <c r="AF94" s="139">
        <v>38.430999999999997</v>
      </c>
      <c r="AG94" s="33">
        <v>45606</v>
      </c>
      <c r="AH94" s="34">
        <v>0.71638888888888885</v>
      </c>
      <c r="AI94">
        <v>0</v>
      </c>
      <c r="AJ94">
        <v>0</v>
      </c>
      <c r="AK94">
        <v>0</v>
      </c>
      <c r="AL94">
        <v>0</v>
      </c>
      <c r="AM94">
        <v>0</v>
      </c>
      <c r="AN94">
        <v>0</v>
      </c>
      <c r="AO94">
        <v>0</v>
      </c>
      <c r="AP94">
        <v>0</v>
      </c>
      <c r="AQ94">
        <v>0</v>
      </c>
      <c r="AR94">
        <v>0</v>
      </c>
      <c r="AS94">
        <v>0</v>
      </c>
      <c r="AT94">
        <v>0</v>
      </c>
      <c r="AU94" s="30">
        <f t="shared" si="33"/>
        <v>38.461599999999997</v>
      </c>
      <c r="AV94" s="17"/>
    </row>
    <row r="95" spans="1:48" x14ac:dyDescent="0.25">
      <c r="A95">
        <v>0</v>
      </c>
      <c r="B95" t="s">
        <v>16</v>
      </c>
      <c r="C95">
        <v>25920</v>
      </c>
      <c r="D95">
        <v>96</v>
      </c>
      <c r="E95">
        <v>1</v>
      </c>
      <c r="F95">
        <v>16</v>
      </c>
      <c r="G95">
        <v>330.51</v>
      </c>
      <c r="H95" s="17">
        <v>35.128999999999998</v>
      </c>
      <c r="I95" s="33">
        <v>45307</v>
      </c>
      <c r="J95" s="37">
        <v>0.49222222222222217</v>
      </c>
      <c r="K95">
        <v>0</v>
      </c>
      <c r="L95">
        <v>0</v>
      </c>
      <c r="M95">
        <v>0</v>
      </c>
      <c r="N95">
        <v>0</v>
      </c>
      <c r="O95">
        <v>0</v>
      </c>
      <c r="P95">
        <v>0</v>
      </c>
      <c r="Q95">
        <v>0</v>
      </c>
      <c r="R95">
        <v>0</v>
      </c>
      <c r="S95">
        <v>0</v>
      </c>
      <c r="T95">
        <v>0</v>
      </c>
      <c r="U95">
        <v>0</v>
      </c>
      <c r="V95">
        <v>0</v>
      </c>
      <c r="W95" s="30">
        <f>AVERAGE(H95:H99)</f>
        <v>35.097200000000001</v>
      </c>
      <c r="X95" s="17"/>
      <c r="Y95">
        <v>0</v>
      </c>
      <c r="Z95" t="s">
        <v>16</v>
      </c>
      <c r="AA95">
        <v>25920</v>
      </c>
      <c r="AB95">
        <v>96</v>
      </c>
      <c r="AC95">
        <v>1</v>
      </c>
      <c r="AD95">
        <v>16</v>
      </c>
      <c r="AE95">
        <v>297.23</v>
      </c>
      <c r="AF95" s="17">
        <v>39.061999999999998</v>
      </c>
      <c r="AG95" s="33">
        <v>45307</v>
      </c>
      <c r="AH95" s="34">
        <v>0.57278935185185187</v>
      </c>
      <c r="AI95">
        <v>0</v>
      </c>
      <c r="AJ95">
        <v>0</v>
      </c>
      <c r="AK95">
        <v>0</v>
      </c>
      <c r="AL95">
        <v>0</v>
      </c>
      <c r="AM95">
        <v>0</v>
      </c>
      <c r="AN95">
        <v>0</v>
      </c>
      <c r="AO95">
        <v>0</v>
      </c>
      <c r="AP95">
        <v>0</v>
      </c>
      <c r="AQ95">
        <v>0</v>
      </c>
      <c r="AR95">
        <v>0</v>
      </c>
      <c r="AS95">
        <v>0</v>
      </c>
      <c r="AT95">
        <v>0</v>
      </c>
      <c r="AU95" s="30">
        <f t="shared" ref="AU95" si="34">AVERAGE(AF95:AF99)</f>
        <v>39.0852</v>
      </c>
      <c r="AV95" s="17"/>
    </row>
    <row r="96" spans="1:48" x14ac:dyDescent="0.25">
      <c r="A96">
        <v>1</v>
      </c>
      <c r="B96" t="s">
        <v>16</v>
      </c>
      <c r="C96">
        <v>25920</v>
      </c>
      <c r="D96">
        <v>96</v>
      </c>
      <c r="E96">
        <v>1</v>
      </c>
      <c r="F96">
        <v>16</v>
      </c>
      <c r="G96">
        <v>330.82</v>
      </c>
      <c r="H96" s="17">
        <v>35.097000000000001</v>
      </c>
      <c r="I96" s="33">
        <v>45307</v>
      </c>
      <c r="J96" s="37">
        <v>0.8367013888888889</v>
      </c>
      <c r="K96">
        <v>0</v>
      </c>
      <c r="L96">
        <v>0</v>
      </c>
      <c r="M96">
        <v>0</v>
      </c>
      <c r="N96">
        <v>0</v>
      </c>
      <c r="O96">
        <v>0</v>
      </c>
      <c r="P96">
        <v>0</v>
      </c>
      <c r="Q96">
        <v>0</v>
      </c>
      <c r="R96">
        <v>0</v>
      </c>
      <c r="S96">
        <v>0</v>
      </c>
      <c r="T96">
        <v>0</v>
      </c>
      <c r="U96">
        <v>0</v>
      </c>
      <c r="V96">
        <v>0</v>
      </c>
      <c r="W96" s="30">
        <f>W95</f>
        <v>35.097200000000001</v>
      </c>
      <c r="X96" s="17"/>
      <c r="Y96">
        <v>1</v>
      </c>
      <c r="Z96" t="s">
        <v>16</v>
      </c>
      <c r="AA96">
        <v>25920</v>
      </c>
      <c r="AB96">
        <v>96</v>
      </c>
      <c r="AC96">
        <v>1</v>
      </c>
      <c r="AD96">
        <v>16</v>
      </c>
      <c r="AE96">
        <v>297.23</v>
      </c>
      <c r="AF96" s="17">
        <v>39.061999999999998</v>
      </c>
      <c r="AG96" s="33">
        <v>45307</v>
      </c>
      <c r="AH96" s="34">
        <v>0.52239583333333328</v>
      </c>
      <c r="AI96">
        <v>0</v>
      </c>
      <c r="AJ96">
        <v>0</v>
      </c>
      <c r="AK96">
        <v>0</v>
      </c>
      <c r="AL96">
        <v>0</v>
      </c>
      <c r="AM96">
        <v>0</v>
      </c>
      <c r="AN96">
        <v>0</v>
      </c>
      <c r="AO96">
        <v>0</v>
      </c>
      <c r="AP96">
        <v>0</v>
      </c>
      <c r="AQ96">
        <v>0</v>
      </c>
      <c r="AR96">
        <v>0</v>
      </c>
      <c r="AS96">
        <v>0</v>
      </c>
      <c r="AT96">
        <v>0</v>
      </c>
      <c r="AU96" s="30">
        <f t="shared" ref="AU96" si="35">AU95</f>
        <v>39.0852</v>
      </c>
      <c r="AV96" s="17"/>
    </row>
    <row r="97" spans="1:48" x14ac:dyDescent="0.25">
      <c r="A97">
        <v>2</v>
      </c>
      <c r="B97" t="s">
        <v>16</v>
      </c>
      <c r="C97">
        <v>25920</v>
      </c>
      <c r="D97">
        <v>96</v>
      </c>
      <c r="E97">
        <v>1</v>
      </c>
      <c r="F97">
        <v>16</v>
      </c>
      <c r="G97">
        <v>330.79</v>
      </c>
      <c r="H97" s="17">
        <v>35.098999999999997</v>
      </c>
      <c r="I97" s="33">
        <v>45308</v>
      </c>
      <c r="J97" s="37">
        <v>0.17731481481481481</v>
      </c>
      <c r="K97">
        <v>0</v>
      </c>
      <c r="L97">
        <v>0</v>
      </c>
      <c r="M97">
        <v>0</v>
      </c>
      <c r="N97">
        <v>0</v>
      </c>
      <c r="O97">
        <v>0</v>
      </c>
      <c r="P97">
        <v>0</v>
      </c>
      <c r="Q97">
        <v>0</v>
      </c>
      <c r="R97">
        <v>0</v>
      </c>
      <c r="S97">
        <v>0</v>
      </c>
      <c r="T97">
        <v>0</v>
      </c>
      <c r="U97">
        <v>0</v>
      </c>
      <c r="V97">
        <v>0</v>
      </c>
      <c r="W97" s="30">
        <f>W96</f>
        <v>35.097200000000001</v>
      </c>
      <c r="X97" s="17"/>
      <c r="Y97">
        <v>2</v>
      </c>
      <c r="Z97" t="s">
        <v>16</v>
      </c>
      <c r="AA97">
        <v>25920</v>
      </c>
      <c r="AB97">
        <v>96</v>
      </c>
      <c r="AC97">
        <v>1</v>
      </c>
      <c r="AD97">
        <v>16</v>
      </c>
      <c r="AE97">
        <v>296.52999999999997</v>
      </c>
      <c r="AF97" s="17">
        <v>39.155000000000001</v>
      </c>
      <c r="AG97" s="33">
        <v>45307</v>
      </c>
      <c r="AH97" s="34">
        <v>0.67614583333333333</v>
      </c>
      <c r="AI97">
        <v>0</v>
      </c>
      <c r="AJ97">
        <v>0</v>
      </c>
      <c r="AK97">
        <v>0</v>
      </c>
      <c r="AL97">
        <v>0</v>
      </c>
      <c r="AM97">
        <v>0</v>
      </c>
      <c r="AN97">
        <v>0</v>
      </c>
      <c r="AO97">
        <v>0</v>
      </c>
      <c r="AP97">
        <v>0</v>
      </c>
      <c r="AQ97">
        <v>0</v>
      </c>
      <c r="AR97">
        <v>0</v>
      </c>
      <c r="AS97">
        <v>0</v>
      </c>
      <c r="AT97">
        <v>0</v>
      </c>
      <c r="AU97" s="30">
        <f t="shared" si="31"/>
        <v>39.0852</v>
      </c>
      <c r="AV97" s="17"/>
    </row>
    <row r="98" spans="1:48" x14ac:dyDescent="0.25">
      <c r="A98">
        <v>3</v>
      </c>
      <c r="B98" t="s">
        <v>16</v>
      </c>
      <c r="C98">
        <v>25920</v>
      </c>
      <c r="D98">
        <v>96</v>
      </c>
      <c r="E98">
        <v>1</v>
      </c>
      <c r="F98">
        <v>16</v>
      </c>
      <c r="G98">
        <v>330.97</v>
      </c>
      <c r="H98" s="17">
        <v>35.08</v>
      </c>
      <c r="I98" s="33">
        <v>45307</v>
      </c>
      <c r="J98" s="37">
        <v>0.57473379629629628</v>
      </c>
      <c r="K98">
        <v>0</v>
      </c>
      <c r="L98">
        <v>0</v>
      </c>
      <c r="M98">
        <v>0</v>
      </c>
      <c r="N98">
        <v>0</v>
      </c>
      <c r="O98">
        <v>0</v>
      </c>
      <c r="P98">
        <v>0</v>
      </c>
      <c r="Q98">
        <v>0</v>
      </c>
      <c r="R98">
        <v>0</v>
      </c>
      <c r="S98">
        <v>0</v>
      </c>
      <c r="T98">
        <v>0</v>
      </c>
      <c r="U98">
        <v>0</v>
      </c>
      <c r="V98">
        <v>0</v>
      </c>
      <c r="W98" s="30">
        <f>W97</f>
        <v>35.097200000000001</v>
      </c>
      <c r="X98" s="17"/>
      <c r="Y98">
        <v>3</v>
      </c>
      <c r="Z98" t="s">
        <v>16</v>
      </c>
      <c r="AA98">
        <v>25920</v>
      </c>
      <c r="AB98">
        <v>96</v>
      </c>
      <c r="AC98">
        <v>1</v>
      </c>
      <c r="AD98">
        <v>16</v>
      </c>
      <c r="AE98">
        <v>297.5</v>
      </c>
      <c r="AF98" s="17">
        <v>39.027000000000001</v>
      </c>
      <c r="AG98" s="33">
        <v>45307</v>
      </c>
      <c r="AH98" s="34">
        <v>0.61423611111111109</v>
      </c>
      <c r="AI98">
        <v>0</v>
      </c>
      <c r="AJ98">
        <v>0</v>
      </c>
      <c r="AK98">
        <v>0</v>
      </c>
      <c r="AL98">
        <v>0</v>
      </c>
      <c r="AM98">
        <v>0</v>
      </c>
      <c r="AN98">
        <v>0</v>
      </c>
      <c r="AO98">
        <v>0</v>
      </c>
      <c r="AP98">
        <v>0</v>
      </c>
      <c r="AQ98">
        <v>0</v>
      </c>
      <c r="AR98">
        <v>0</v>
      </c>
      <c r="AS98">
        <v>0</v>
      </c>
      <c r="AT98">
        <v>0</v>
      </c>
      <c r="AU98" s="30">
        <f t="shared" si="31"/>
        <v>39.0852</v>
      </c>
      <c r="AV98" s="17"/>
    </row>
    <row r="99" spans="1:48" x14ac:dyDescent="0.25">
      <c r="A99">
        <v>4</v>
      </c>
      <c r="B99" t="s">
        <v>16</v>
      </c>
      <c r="C99">
        <v>25920</v>
      </c>
      <c r="D99">
        <v>96</v>
      </c>
      <c r="E99">
        <v>1</v>
      </c>
      <c r="F99">
        <v>16</v>
      </c>
      <c r="G99">
        <v>330.96</v>
      </c>
      <c r="H99" s="17">
        <v>35.081000000000003</v>
      </c>
      <c r="I99" s="33">
        <v>45307</v>
      </c>
      <c r="J99" s="37">
        <v>0.91767361111111112</v>
      </c>
      <c r="K99">
        <v>0</v>
      </c>
      <c r="L99">
        <v>0</v>
      </c>
      <c r="M99">
        <v>0</v>
      </c>
      <c r="N99">
        <v>0</v>
      </c>
      <c r="O99">
        <v>0</v>
      </c>
      <c r="P99">
        <v>0</v>
      </c>
      <c r="Q99">
        <v>0</v>
      </c>
      <c r="R99">
        <v>0</v>
      </c>
      <c r="S99">
        <v>0</v>
      </c>
      <c r="T99">
        <v>0</v>
      </c>
      <c r="U99">
        <v>0</v>
      </c>
      <c r="V99">
        <v>0</v>
      </c>
      <c r="W99" s="30">
        <f>W98</f>
        <v>35.097200000000001</v>
      </c>
      <c r="X99" s="17"/>
      <c r="Y99">
        <v>4</v>
      </c>
      <c r="Z99" t="s">
        <v>16</v>
      </c>
      <c r="AA99">
        <v>25920</v>
      </c>
      <c r="AB99">
        <v>96</v>
      </c>
      <c r="AC99">
        <v>1</v>
      </c>
      <c r="AD99">
        <v>16</v>
      </c>
      <c r="AE99">
        <v>296.8</v>
      </c>
      <c r="AF99" s="17">
        <v>39.119999999999997</v>
      </c>
      <c r="AG99" s="33">
        <v>45307</v>
      </c>
      <c r="AH99" s="34">
        <v>0.48915509259259254</v>
      </c>
      <c r="AI99">
        <v>0</v>
      </c>
      <c r="AJ99">
        <v>0</v>
      </c>
      <c r="AK99">
        <v>0</v>
      </c>
      <c r="AL99">
        <v>0</v>
      </c>
      <c r="AM99">
        <v>0</v>
      </c>
      <c r="AN99">
        <v>0</v>
      </c>
      <c r="AO99">
        <v>0</v>
      </c>
      <c r="AP99">
        <v>0</v>
      </c>
      <c r="AQ99">
        <v>0</v>
      </c>
      <c r="AR99">
        <v>0</v>
      </c>
      <c r="AS99">
        <v>0</v>
      </c>
      <c r="AT99">
        <v>0</v>
      </c>
      <c r="AU99" s="30">
        <f t="shared" si="31"/>
        <v>39.0852</v>
      </c>
      <c r="AV99" s="17"/>
    </row>
    <row r="100" spans="1:48" x14ac:dyDescent="0.25">
      <c r="A100">
        <v>0</v>
      </c>
      <c r="B100" t="s">
        <v>16</v>
      </c>
      <c r="C100">
        <v>27456</v>
      </c>
      <c r="D100">
        <v>96</v>
      </c>
      <c r="E100">
        <v>1</v>
      </c>
      <c r="F100">
        <v>16</v>
      </c>
      <c r="G100">
        <v>389.84</v>
      </c>
      <c r="H100" s="17">
        <v>35.396999999999998</v>
      </c>
      <c r="I100" s="33">
        <v>45307</v>
      </c>
      <c r="J100" s="37">
        <v>0.53357638888888892</v>
      </c>
      <c r="K100">
        <v>0</v>
      </c>
      <c r="L100">
        <v>0</v>
      </c>
      <c r="M100">
        <v>0</v>
      </c>
      <c r="N100">
        <v>0</v>
      </c>
      <c r="O100">
        <v>0</v>
      </c>
      <c r="P100">
        <v>0</v>
      </c>
      <c r="Q100">
        <v>0</v>
      </c>
      <c r="R100">
        <v>0</v>
      </c>
      <c r="S100">
        <v>0</v>
      </c>
      <c r="T100">
        <v>0</v>
      </c>
      <c r="U100">
        <v>0</v>
      </c>
      <c r="V100">
        <v>0</v>
      </c>
      <c r="W100" s="30">
        <f>AVERAGE(H100:H104)</f>
        <v>35.4024</v>
      </c>
      <c r="X100" s="17"/>
      <c r="Y100">
        <v>0</v>
      </c>
      <c r="Z100" t="s">
        <v>16</v>
      </c>
      <c r="AA100">
        <v>27456</v>
      </c>
      <c r="AB100">
        <v>96</v>
      </c>
      <c r="AC100">
        <v>1</v>
      </c>
      <c r="AD100">
        <v>16</v>
      </c>
      <c r="AE100">
        <v>348.74</v>
      </c>
      <c r="AF100" s="17">
        <v>39.569000000000003</v>
      </c>
      <c r="AG100" s="33">
        <v>45307</v>
      </c>
      <c r="AH100" s="34">
        <v>0.49266203703703698</v>
      </c>
      <c r="AI100">
        <v>0</v>
      </c>
      <c r="AJ100">
        <v>0</v>
      </c>
      <c r="AK100">
        <v>0</v>
      </c>
      <c r="AL100">
        <v>0</v>
      </c>
      <c r="AM100">
        <v>0</v>
      </c>
      <c r="AN100">
        <v>0</v>
      </c>
      <c r="AO100">
        <v>0</v>
      </c>
      <c r="AP100">
        <v>0</v>
      </c>
      <c r="AQ100">
        <v>0</v>
      </c>
      <c r="AR100">
        <v>0</v>
      </c>
      <c r="AS100">
        <v>0</v>
      </c>
      <c r="AT100">
        <v>0</v>
      </c>
      <c r="AU100" s="30">
        <f t="shared" ref="AU100" si="36">AVERAGE(AF100:AF104)</f>
        <v>39.487200000000009</v>
      </c>
      <c r="AV100" s="17"/>
    </row>
    <row r="101" spans="1:48" x14ac:dyDescent="0.25">
      <c r="A101">
        <v>1</v>
      </c>
      <c r="B101" t="s">
        <v>16</v>
      </c>
      <c r="C101">
        <v>27456</v>
      </c>
      <c r="D101">
        <v>96</v>
      </c>
      <c r="E101">
        <v>1</v>
      </c>
      <c r="F101">
        <v>16</v>
      </c>
      <c r="G101">
        <v>390.04</v>
      </c>
      <c r="H101" s="17">
        <v>35.380000000000003</v>
      </c>
      <c r="I101" s="33">
        <v>45307</v>
      </c>
      <c r="J101" s="37">
        <v>0.73067129629629635</v>
      </c>
      <c r="K101">
        <v>0</v>
      </c>
      <c r="L101">
        <v>0</v>
      </c>
      <c r="M101">
        <v>0</v>
      </c>
      <c r="N101">
        <v>0</v>
      </c>
      <c r="O101">
        <v>0</v>
      </c>
      <c r="P101">
        <v>0</v>
      </c>
      <c r="Q101">
        <v>0</v>
      </c>
      <c r="R101">
        <v>0</v>
      </c>
      <c r="S101">
        <v>0</v>
      </c>
      <c r="T101">
        <v>0</v>
      </c>
      <c r="U101">
        <v>0</v>
      </c>
      <c r="V101">
        <v>0</v>
      </c>
      <c r="W101" s="30">
        <f>W100</f>
        <v>35.4024</v>
      </c>
      <c r="X101" s="17"/>
      <c r="Y101">
        <v>1</v>
      </c>
      <c r="Z101" t="s">
        <v>16</v>
      </c>
      <c r="AA101">
        <v>27456</v>
      </c>
      <c r="AB101">
        <v>96</v>
      </c>
      <c r="AC101">
        <v>1</v>
      </c>
      <c r="AD101">
        <v>16</v>
      </c>
      <c r="AE101">
        <v>349.51</v>
      </c>
      <c r="AF101" s="17">
        <v>39.481000000000002</v>
      </c>
      <c r="AG101" s="33">
        <v>45307</v>
      </c>
      <c r="AH101" s="34">
        <v>0.75589120370370377</v>
      </c>
      <c r="AI101">
        <v>0</v>
      </c>
      <c r="AJ101">
        <v>0</v>
      </c>
      <c r="AK101">
        <v>0</v>
      </c>
      <c r="AL101">
        <v>0</v>
      </c>
      <c r="AM101">
        <v>0</v>
      </c>
      <c r="AN101">
        <v>0</v>
      </c>
      <c r="AO101">
        <v>0</v>
      </c>
      <c r="AP101">
        <v>0</v>
      </c>
      <c r="AQ101">
        <v>0</v>
      </c>
      <c r="AR101">
        <v>0</v>
      </c>
      <c r="AS101">
        <v>0</v>
      </c>
      <c r="AT101">
        <v>0</v>
      </c>
      <c r="AU101" s="30">
        <f t="shared" ref="AU101" si="37">AU100</f>
        <v>39.487200000000009</v>
      </c>
      <c r="AV101" s="17"/>
    </row>
    <row r="102" spans="1:48" x14ac:dyDescent="0.25">
      <c r="A102">
        <v>2</v>
      </c>
      <c r="B102" t="s">
        <v>16</v>
      </c>
      <c r="C102">
        <v>27456</v>
      </c>
      <c r="D102">
        <v>96</v>
      </c>
      <c r="E102">
        <v>1</v>
      </c>
      <c r="F102">
        <v>16</v>
      </c>
      <c r="G102">
        <v>389.98</v>
      </c>
      <c r="H102" s="17">
        <v>35.384</v>
      </c>
      <c r="I102" s="33">
        <v>45308</v>
      </c>
      <c r="J102" s="37">
        <v>7.1319444444444449E-2</v>
      </c>
      <c r="K102">
        <v>0</v>
      </c>
      <c r="L102">
        <v>0</v>
      </c>
      <c r="M102">
        <v>0</v>
      </c>
      <c r="N102">
        <v>0</v>
      </c>
      <c r="O102">
        <v>0</v>
      </c>
      <c r="P102">
        <v>0</v>
      </c>
      <c r="Q102">
        <v>0</v>
      </c>
      <c r="R102">
        <v>0</v>
      </c>
      <c r="S102">
        <v>0</v>
      </c>
      <c r="T102">
        <v>0</v>
      </c>
      <c r="U102">
        <v>0</v>
      </c>
      <c r="V102">
        <v>0</v>
      </c>
      <c r="W102" s="30">
        <f>W101</f>
        <v>35.4024</v>
      </c>
      <c r="X102" s="17"/>
      <c r="Y102">
        <v>2</v>
      </c>
      <c r="Z102" t="s">
        <v>16</v>
      </c>
      <c r="AA102">
        <v>27456</v>
      </c>
      <c r="AB102">
        <v>96</v>
      </c>
      <c r="AC102">
        <v>1</v>
      </c>
      <c r="AD102">
        <v>16</v>
      </c>
      <c r="AE102">
        <v>349.45</v>
      </c>
      <c r="AF102" s="17">
        <v>39.488</v>
      </c>
      <c r="AG102" s="33">
        <v>45307</v>
      </c>
      <c r="AH102" s="34">
        <v>0.59604166666666669</v>
      </c>
      <c r="AI102">
        <v>0</v>
      </c>
      <c r="AJ102">
        <v>0</v>
      </c>
      <c r="AK102">
        <v>0</v>
      </c>
      <c r="AL102">
        <v>0</v>
      </c>
      <c r="AM102">
        <v>0</v>
      </c>
      <c r="AN102">
        <v>0</v>
      </c>
      <c r="AO102">
        <v>0</v>
      </c>
      <c r="AP102">
        <v>0</v>
      </c>
      <c r="AQ102">
        <v>0</v>
      </c>
      <c r="AR102">
        <v>0</v>
      </c>
      <c r="AS102">
        <v>0</v>
      </c>
      <c r="AT102">
        <v>0</v>
      </c>
      <c r="AU102" s="30">
        <f t="shared" si="33"/>
        <v>39.487200000000009</v>
      </c>
      <c r="AV102" s="17"/>
    </row>
    <row r="103" spans="1:48" x14ac:dyDescent="0.25">
      <c r="A103">
        <v>3</v>
      </c>
      <c r="B103" t="s">
        <v>16</v>
      </c>
      <c r="C103">
        <v>27456</v>
      </c>
      <c r="D103">
        <v>96</v>
      </c>
      <c r="E103">
        <v>1</v>
      </c>
      <c r="F103">
        <v>16</v>
      </c>
      <c r="G103">
        <v>389.55</v>
      </c>
      <c r="H103" s="17">
        <v>35.423999999999999</v>
      </c>
      <c r="I103" s="33">
        <v>45308</v>
      </c>
      <c r="J103" s="37">
        <v>0.41442129629629632</v>
      </c>
      <c r="K103">
        <v>0</v>
      </c>
      <c r="L103">
        <v>0</v>
      </c>
      <c r="M103">
        <v>0</v>
      </c>
      <c r="N103">
        <v>0</v>
      </c>
      <c r="O103">
        <v>0</v>
      </c>
      <c r="P103">
        <v>0</v>
      </c>
      <c r="Q103">
        <v>0</v>
      </c>
      <c r="R103">
        <v>0</v>
      </c>
      <c r="S103">
        <v>0</v>
      </c>
      <c r="T103">
        <v>0</v>
      </c>
      <c r="U103">
        <v>0</v>
      </c>
      <c r="V103">
        <v>0</v>
      </c>
      <c r="W103" s="30">
        <f>W102</f>
        <v>35.4024</v>
      </c>
      <c r="X103" s="17"/>
      <c r="Y103">
        <v>3</v>
      </c>
      <c r="Z103" t="s">
        <v>16</v>
      </c>
      <c r="AA103">
        <v>27456</v>
      </c>
      <c r="AB103">
        <v>96</v>
      </c>
      <c r="AC103">
        <v>1</v>
      </c>
      <c r="AD103">
        <v>16</v>
      </c>
      <c r="AE103">
        <v>349.22</v>
      </c>
      <c r="AF103" s="17">
        <v>39.514000000000003</v>
      </c>
      <c r="AG103" s="33">
        <v>45307</v>
      </c>
      <c r="AH103" s="34">
        <v>0.53413194444444445</v>
      </c>
      <c r="AI103">
        <v>0</v>
      </c>
      <c r="AJ103">
        <v>0</v>
      </c>
      <c r="AK103">
        <v>0</v>
      </c>
      <c r="AL103">
        <v>0</v>
      </c>
      <c r="AM103">
        <v>0</v>
      </c>
      <c r="AN103">
        <v>0</v>
      </c>
      <c r="AO103">
        <v>0</v>
      </c>
      <c r="AP103">
        <v>0</v>
      </c>
      <c r="AQ103">
        <v>0</v>
      </c>
      <c r="AR103">
        <v>0</v>
      </c>
      <c r="AS103">
        <v>0</v>
      </c>
      <c r="AT103">
        <v>0</v>
      </c>
      <c r="AU103" s="30">
        <f t="shared" si="33"/>
        <v>39.487200000000009</v>
      </c>
      <c r="AV103" s="17"/>
    </row>
    <row r="104" spans="1:48" x14ac:dyDescent="0.25">
      <c r="A104">
        <v>4</v>
      </c>
      <c r="B104" t="s">
        <v>16</v>
      </c>
      <c r="C104">
        <v>27456</v>
      </c>
      <c r="D104">
        <v>96</v>
      </c>
      <c r="E104">
        <v>1</v>
      </c>
      <c r="F104">
        <v>16</v>
      </c>
      <c r="G104">
        <v>389.51</v>
      </c>
      <c r="H104" s="17">
        <v>35.427</v>
      </c>
      <c r="I104" s="33">
        <v>45307</v>
      </c>
      <c r="J104" s="37">
        <v>0.81166666666666665</v>
      </c>
      <c r="K104">
        <v>0</v>
      </c>
      <c r="L104">
        <v>0</v>
      </c>
      <c r="M104">
        <v>0</v>
      </c>
      <c r="N104">
        <v>0</v>
      </c>
      <c r="O104">
        <v>0</v>
      </c>
      <c r="P104">
        <v>0</v>
      </c>
      <c r="Q104">
        <v>0</v>
      </c>
      <c r="R104">
        <v>0</v>
      </c>
      <c r="S104">
        <v>0</v>
      </c>
      <c r="T104">
        <v>0</v>
      </c>
      <c r="U104">
        <v>0</v>
      </c>
      <c r="V104">
        <v>0</v>
      </c>
      <c r="W104" s="30">
        <f>W103</f>
        <v>35.4024</v>
      </c>
      <c r="X104" s="17"/>
      <c r="Y104">
        <v>4</v>
      </c>
      <c r="Z104" t="s">
        <v>16</v>
      </c>
      <c r="AA104">
        <v>27456</v>
      </c>
      <c r="AB104">
        <v>96</v>
      </c>
      <c r="AC104">
        <v>1</v>
      </c>
      <c r="AD104">
        <v>16</v>
      </c>
      <c r="AE104">
        <v>350.38</v>
      </c>
      <c r="AF104" s="17">
        <v>39.384</v>
      </c>
      <c r="AG104" s="33">
        <v>45307</v>
      </c>
      <c r="AH104" s="34">
        <v>0.79731481481481481</v>
      </c>
      <c r="AI104">
        <v>0</v>
      </c>
      <c r="AJ104">
        <v>0</v>
      </c>
      <c r="AK104">
        <v>0</v>
      </c>
      <c r="AL104">
        <v>0</v>
      </c>
      <c r="AM104">
        <v>0</v>
      </c>
      <c r="AN104">
        <v>0</v>
      </c>
      <c r="AO104">
        <v>0</v>
      </c>
      <c r="AP104">
        <v>0</v>
      </c>
      <c r="AQ104">
        <v>0</v>
      </c>
      <c r="AR104">
        <v>0</v>
      </c>
      <c r="AS104">
        <v>0</v>
      </c>
      <c r="AT104">
        <v>0</v>
      </c>
      <c r="AU104" s="30">
        <f t="shared" si="33"/>
        <v>39.487200000000009</v>
      </c>
      <c r="AV104" s="17"/>
    </row>
    <row r="105" spans="1:48" x14ac:dyDescent="0.25">
      <c r="A105">
        <v>0</v>
      </c>
      <c r="B105" t="s">
        <v>16</v>
      </c>
      <c r="C105">
        <v>28992</v>
      </c>
      <c r="D105">
        <v>96</v>
      </c>
      <c r="E105">
        <v>1</v>
      </c>
      <c r="F105">
        <v>16</v>
      </c>
      <c r="G105">
        <v>454.28</v>
      </c>
      <c r="H105" s="17">
        <v>35.765000000000001</v>
      </c>
      <c r="I105" s="33">
        <v>45307</v>
      </c>
      <c r="J105" s="37">
        <v>0.60684027777777783</v>
      </c>
      <c r="K105">
        <v>0</v>
      </c>
      <c r="L105">
        <v>0</v>
      </c>
      <c r="M105">
        <v>0</v>
      </c>
      <c r="N105">
        <v>0</v>
      </c>
      <c r="O105">
        <v>0</v>
      </c>
      <c r="P105">
        <v>0</v>
      </c>
      <c r="Q105">
        <v>0</v>
      </c>
      <c r="R105">
        <v>0</v>
      </c>
      <c r="S105">
        <v>0</v>
      </c>
      <c r="T105">
        <v>0</v>
      </c>
      <c r="U105">
        <v>0</v>
      </c>
      <c r="V105">
        <v>0</v>
      </c>
      <c r="W105" s="30">
        <f>AVERAGE(H105:H109)</f>
        <v>35.758800000000008</v>
      </c>
      <c r="X105" s="17"/>
      <c r="Y105">
        <v>0</v>
      </c>
      <c r="Z105" t="s">
        <v>16</v>
      </c>
      <c r="AA105">
        <v>28992</v>
      </c>
      <c r="AB105">
        <v>96</v>
      </c>
      <c r="AC105">
        <v>1</v>
      </c>
      <c r="AD105">
        <v>16</v>
      </c>
      <c r="AE105">
        <v>405.1</v>
      </c>
      <c r="AF105" s="17">
        <v>40.106000000000002</v>
      </c>
      <c r="AG105" s="33">
        <v>45307</v>
      </c>
      <c r="AH105" s="34">
        <v>0.66256944444444443</v>
      </c>
      <c r="AI105">
        <v>0</v>
      </c>
      <c r="AJ105">
        <v>0</v>
      </c>
      <c r="AK105">
        <v>0</v>
      </c>
      <c r="AL105">
        <v>0</v>
      </c>
      <c r="AM105">
        <v>0</v>
      </c>
      <c r="AN105">
        <v>0</v>
      </c>
      <c r="AO105">
        <v>0</v>
      </c>
      <c r="AP105">
        <v>0</v>
      </c>
      <c r="AQ105">
        <v>0</v>
      </c>
      <c r="AR105">
        <v>0</v>
      </c>
      <c r="AS105">
        <v>0</v>
      </c>
      <c r="AT105">
        <v>0</v>
      </c>
      <c r="AU105" s="30">
        <f t="shared" ref="AU105" si="38">AVERAGE(AF105:AF109)</f>
        <v>40.034000000000006</v>
      </c>
      <c r="AV105" s="17"/>
    </row>
    <row r="106" spans="1:48" x14ac:dyDescent="0.25">
      <c r="A106">
        <v>1</v>
      </c>
      <c r="B106" t="s">
        <v>16</v>
      </c>
      <c r="C106">
        <v>28992</v>
      </c>
      <c r="D106">
        <v>96</v>
      </c>
      <c r="E106">
        <v>1</v>
      </c>
      <c r="F106">
        <v>16</v>
      </c>
      <c r="G106">
        <v>454.26</v>
      </c>
      <c r="H106" s="17">
        <v>35.767000000000003</v>
      </c>
      <c r="I106" s="33">
        <v>45307</v>
      </c>
      <c r="J106" s="37">
        <v>0.94743055555555555</v>
      </c>
      <c r="K106">
        <v>0</v>
      </c>
      <c r="L106">
        <v>0</v>
      </c>
      <c r="M106">
        <v>0</v>
      </c>
      <c r="N106">
        <v>0</v>
      </c>
      <c r="O106">
        <v>0</v>
      </c>
      <c r="P106">
        <v>0</v>
      </c>
      <c r="Q106">
        <v>0</v>
      </c>
      <c r="R106">
        <v>0</v>
      </c>
      <c r="S106">
        <v>0</v>
      </c>
      <c r="T106">
        <v>0</v>
      </c>
      <c r="U106">
        <v>0</v>
      </c>
      <c r="V106">
        <v>0</v>
      </c>
      <c r="W106" s="30">
        <f>W105</f>
        <v>35.758800000000008</v>
      </c>
      <c r="X106" s="17"/>
      <c r="Y106">
        <v>1</v>
      </c>
      <c r="Z106" t="s">
        <v>16</v>
      </c>
      <c r="AA106">
        <v>28992</v>
      </c>
      <c r="AB106">
        <v>96</v>
      </c>
      <c r="AC106">
        <v>1</v>
      </c>
      <c r="AD106">
        <v>16</v>
      </c>
      <c r="AE106">
        <v>406.59</v>
      </c>
      <c r="AF106" s="17">
        <v>39.959000000000003</v>
      </c>
      <c r="AG106" s="33">
        <v>45307</v>
      </c>
      <c r="AH106" s="34">
        <v>0.50260416666666663</v>
      </c>
      <c r="AI106">
        <v>0</v>
      </c>
      <c r="AJ106">
        <v>0</v>
      </c>
      <c r="AK106">
        <v>0</v>
      </c>
      <c r="AL106">
        <v>0</v>
      </c>
      <c r="AM106">
        <v>0</v>
      </c>
      <c r="AN106">
        <v>0</v>
      </c>
      <c r="AO106">
        <v>0</v>
      </c>
      <c r="AP106">
        <v>0</v>
      </c>
      <c r="AQ106">
        <v>0</v>
      </c>
      <c r="AR106">
        <v>0</v>
      </c>
      <c r="AS106">
        <v>0</v>
      </c>
      <c r="AT106">
        <v>0</v>
      </c>
      <c r="AU106" s="30">
        <f t="shared" ref="AU106" si="39">AU105</f>
        <v>40.034000000000006</v>
      </c>
      <c r="AV106" s="17"/>
    </row>
    <row r="107" spans="1:48" x14ac:dyDescent="0.25">
      <c r="A107">
        <v>2</v>
      </c>
      <c r="B107" t="s">
        <v>16</v>
      </c>
      <c r="C107">
        <v>28992</v>
      </c>
      <c r="D107">
        <v>96</v>
      </c>
      <c r="E107">
        <v>1</v>
      </c>
      <c r="F107">
        <v>16</v>
      </c>
      <c r="G107">
        <v>454.74</v>
      </c>
      <c r="H107" s="17">
        <v>35.728000000000002</v>
      </c>
      <c r="I107" s="33">
        <v>45308</v>
      </c>
      <c r="J107" s="37">
        <v>0.29048611111111111</v>
      </c>
      <c r="K107">
        <v>0</v>
      </c>
      <c r="L107">
        <v>0</v>
      </c>
      <c r="M107">
        <v>0</v>
      </c>
      <c r="N107">
        <v>0</v>
      </c>
      <c r="O107">
        <v>0</v>
      </c>
      <c r="P107">
        <v>0</v>
      </c>
      <c r="Q107">
        <v>0</v>
      </c>
      <c r="R107">
        <v>0</v>
      </c>
      <c r="S107">
        <v>0</v>
      </c>
      <c r="T107">
        <v>0</v>
      </c>
      <c r="U107">
        <v>0</v>
      </c>
      <c r="V107">
        <v>0</v>
      </c>
      <c r="W107" s="30">
        <f>W106</f>
        <v>35.758800000000008</v>
      </c>
      <c r="X107" s="17"/>
      <c r="Y107">
        <v>2</v>
      </c>
      <c r="Z107" t="s">
        <v>16</v>
      </c>
      <c r="AA107">
        <v>28992</v>
      </c>
      <c r="AB107">
        <v>96</v>
      </c>
      <c r="AC107">
        <v>1</v>
      </c>
      <c r="AD107">
        <v>16</v>
      </c>
      <c r="AE107">
        <v>406.1</v>
      </c>
      <c r="AF107" s="17">
        <v>40.006999999999998</v>
      </c>
      <c r="AG107" s="33">
        <v>45307</v>
      </c>
      <c r="AH107" s="34">
        <v>0.76548611111111109</v>
      </c>
      <c r="AI107">
        <v>0</v>
      </c>
      <c r="AJ107">
        <v>0</v>
      </c>
      <c r="AK107">
        <v>0</v>
      </c>
      <c r="AL107">
        <v>0</v>
      </c>
      <c r="AM107">
        <v>0</v>
      </c>
      <c r="AN107">
        <v>0</v>
      </c>
      <c r="AO107">
        <v>0</v>
      </c>
      <c r="AP107">
        <v>0</v>
      </c>
      <c r="AQ107">
        <v>0</v>
      </c>
      <c r="AR107">
        <v>0</v>
      </c>
      <c r="AS107">
        <v>0</v>
      </c>
      <c r="AT107">
        <v>0</v>
      </c>
      <c r="AU107" s="30">
        <f t="shared" si="31"/>
        <v>40.034000000000006</v>
      </c>
      <c r="AV107" s="17"/>
    </row>
    <row r="108" spans="1:48" x14ac:dyDescent="0.25">
      <c r="A108">
        <v>3</v>
      </c>
      <c r="B108" t="s">
        <v>16</v>
      </c>
      <c r="C108">
        <v>28992</v>
      </c>
      <c r="D108">
        <v>96</v>
      </c>
      <c r="E108">
        <v>1</v>
      </c>
      <c r="F108">
        <v>16</v>
      </c>
      <c r="G108">
        <v>454.14</v>
      </c>
      <c r="H108" s="17">
        <v>35.774999999999999</v>
      </c>
      <c r="I108" s="33">
        <v>45307</v>
      </c>
      <c r="J108" s="37">
        <v>0.68776620370370367</v>
      </c>
      <c r="K108">
        <v>0</v>
      </c>
      <c r="L108">
        <v>0</v>
      </c>
      <c r="M108">
        <v>0</v>
      </c>
      <c r="N108">
        <v>0</v>
      </c>
      <c r="O108">
        <v>0</v>
      </c>
      <c r="P108">
        <v>0</v>
      </c>
      <c r="Q108">
        <v>0</v>
      </c>
      <c r="R108">
        <v>0</v>
      </c>
      <c r="S108">
        <v>0</v>
      </c>
      <c r="T108">
        <v>0</v>
      </c>
      <c r="U108">
        <v>0</v>
      </c>
      <c r="V108">
        <v>0</v>
      </c>
      <c r="W108" s="30">
        <f>W107</f>
        <v>35.758800000000008</v>
      </c>
      <c r="X108" s="17"/>
      <c r="Y108">
        <v>3</v>
      </c>
      <c r="Z108" t="s">
        <v>16</v>
      </c>
      <c r="AA108">
        <v>28992</v>
      </c>
      <c r="AB108">
        <v>96</v>
      </c>
      <c r="AC108">
        <v>1</v>
      </c>
      <c r="AD108">
        <v>16</v>
      </c>
      <c r="AE108">
        <v>405.74</v>
      </c>
      <c r="AF108" s="17">
        <v>40.042999999999999</v>
      </c>
      <c r="AG108" s="33">
        <v>45307</v>
      </c>
      <c r="AH108" s="34">
        <v>0.70405092592592589</v>
      </c>
      <c r="AI108">
        <v>0</v>
      </c>
      <c r="AJ108">
        <v>0</v>
      </c>
      <c r="AK108">
        <v>0</v>
      </c>
      <c r="AL108">
        <v>0</v>
      </c>
      <c r="AM108">
        <v>0</v>
      </c>
      <c r="AN108">
        <v>0</v>
      </c>
      <c r="AO108">
        <v>0</v>
      </c>
      <c r="AP108">
        <v>0</v>
      </c>
      <c r="AQ108">
        <v>0</v>
      </c>
      <c r="AR108">
        <v>0</v>
      </c>
      <c r="AS108">
        <v>0</v>
      </c>
      <c r="AT108">
        <v>0</v>
      </c>
      <c r="AU108" s="30">
        <f t="shared" si="31"/>
        <v>40.034000000000006</v>
      </c>
      <c r="AV108" s="17"/>
    </row>
    <row r="109" spans="1:48" x14ac:dyDescent="0.25">
      <c r="A109">
        <v>4</v>
      </c>
      <c r="B109" t="s">
        <v>16</v>
      </c>
      <c r="C109">
        <v>28992</v>
      </c>
      <c r="D109">
        <v>96</v>
      </c>
      <c r="E109">
        <v>1</v>
      </c>
      <c r="F109">
        <v>16</v>
      </c>
      <c r="G109">
        <v>454.35</v>
      </c>
      <c r="H109" s="17">
        <v>35.759</v>
      </c>
      <c r="I109" s="33">
        <v>45308</v>
      </c>
      <c r="J109" s="37">
        <v>2.943287037037037E-2</v>
      </c>
      <c r="K109">
        <v>0</v>
      </c>
      <c r="L109">
        <v>0</v>
      </c>
      <c r="M109">
        <v>0</v>
      </c>
      <c r="N109">
        <v>0</v>
      </c>
      <c r="O109">
        <v>0</v>
      </c>
      <c r="P109">
        <v>0</v>
      </c>
      <c r="Q109">
        <v>0</v>
      </c>
      <c r="R109">
        <v>0</v>
      </c>
      <c r="S109">
        <v>0</v>
      </c>
      <c r="T109">
        <v>0</v>
      </c>
      <c r="U109">
        <v>0</v>
      </c>
      <c r="V109">
        <v>0</v>
      </c>
      <c r="W109" s="30">
        <f>W108</f>
        <v>35.758800000000008</v>
      </c>
      <c r="X109" s="17"/>
      <c r="Y109">
        <v>4</v>
      </c>
      <c r="Z109" t="s">
        <v>16</v>
      </c>
      <c r="AA109">
        <v>28992</v>
      </c>
      <c r="AB109">
        <v>96</v>
      </c>
      <c r="AC109">
        <v>1</v>
      </c>
      <c r="AD109">
        <v>16</v>
      </c>
      <c r="AE109">
        <v>405.62</v>
      </c>
      <c r="AF109" s="17">
        <v>40.055</v>
      </c>
      <c r="AG109" s="33">
        <v>45307</v>
      </c>
      <c r="AH109" s="34">
        <v>0.49751157407407409</v>
      </c>
      <c r="AI109">
        <v>0</v>
      </c>
      <c r="AJ109">
        <v>0</v>
      </c>
      <c r="AK109">
        <v>0</v>
      </c>
      <c r="AL109">
        <v>0</v>
      </c>
      <c r="AM109">
        <v>0</v>
      </c>
      <c r="AN109">
        <v>0</v>
      </c>
      <c r="AO109">
        <v>0</v>
      </c>
      <c r="AP109">
        <v>0</v>
      </c>
      <c r="AQ109">
        <v>0</v>
      </c>
      <c r="AR109">
        <v>0</v>
      </c>
      <c r="AS109">
        <v>0</v>
      </c>
      <c r="AT109">
        <v>0</v>
      </c>
      <c r="AU109" s="30">
        <f t="shared" si="31"/>
        <v>40.034000000000006</v>
      </c>
      <c r="AV109" s="17"/>
    </row>
    <row r="110" spans="1:48" x14ac:dyDescent="0.25">
      <c r="A110">
        <v>0</v>
      </c>
      <c r="B110" t="s">
        <v>16</v>
      </c>
      <c r="C110">
        <v>25920</v>
      </c>
      <c r="D110">
        <v>96</v>
      </c>
      <c r="E110">
        <v>2</v>
      </c>
      <c r="F110">
        <v>8</v>
      </c>
      <c r="G110">
        <v>322.33</v>
      </c>
      <c r="H110" s="17">
        <v>36.020000000000003</v>
      </c>
      <c r="I110" s="33">
        <v>45307</v>
      </c>
      <c r="J110" s="37">
        <v>0.49613425925925925</v>
      </c>
      <c r="K110">
        <v>0</v>
      </c>
      <c r="L110">
        <v>0</v>
      </c>
      <c r="M110">
        <v>0</v>
      </c>
      <c r="N110">
        <v>0</v>
      </c>
      <c r="O110">
        <v>0</v>
      </c>
      <c r="P110">
        <v>0</v>
      </c>
      <c r="Q110">
        <v>0</v>
      </c>
      <c r="R110">
        <v>0</v>
      </c>
      <c r="S110">
        <v>0</v>
      </c>
      <c r="T110">
        <v>0</v>
      </c>
      <c r="U110">
        <v>0</v>
      </c>
      <c r="V110">
        <v>0</v>
      </c>
      <c r="W110" s="30">
        <f>AVERAGE(H110:H114)</f>
        <v>36.030000000000008</v>
      </c>
      <c r="X110" s="17"/>
      <c r="Y110">
        <v>0</v>
      </c>
      <c r="Z110" t="s">
        <v>16</v>
      </c>
      <c r="AA110">
        <v>25920</v>
      </c>
      <c r="AB110">
        <v>96</v>
      </c>
      <c r="AC110">
        <v>2</v>
      </c>
      <c r="AD110">
        <v>8</v>
      </c>
      <c r="AE110">
        <v>285.99</v>
      </c>
      <c r="AF110" s="17">
        <v>40.597999999999999</v>
      </c>
      <c r="AG110" s="33">
        <v>45307</v>
      </c>
      <c r="AH110" s="34">
        <v>0.57668981481481485</v>
      </c>
      <c r="AI110">
        <v>0</v>
      </c>
      <c r="AJ110">
        <v>0</v>
      </c>
      <c r="AK110">
        <v>0</v>
      </c>
      <c r="AL110">
        <v>0</v>
      </c>
      <c r="AM110">
        <v>0</v>
      </c>
      <c r="AN110">
        <v>0</v>
      </c>
      <c r="AO110">
        <v>0</v>
      </c>
      <c r="AP110">
        <v>0</v>
      </c>
      <c r="AQ110">
        <v>0</v>
      </c>
      <c r="AR110">
        <v>0</v>
      </c>
      <c r="AS110">
        <v>0</v>
      </c>
      <c r="AT110">
        <v>0</v>
      </c>
      <c r="AU110" s="30">
        <f t="shared" ref="AU110" si="40">AVERAGE(AF110:AF114)</f>
        <v>40.582799999999999</v>
      </c>
      <c r="AV110" s="17"/>
    </row>
    <row r="111" spans="1:48" x14ac:dyDescent="0.25">
      <c r="A111">
        <v>1</v>
      </c>
      <c r="B111" t="s">
        <v>16</v>
      </c>
      <c r="C111">
        <v>25920</v>
      </c>
      <c r="D111">
        <v>96</v>
      </c>
      <c r="E111">
        <v>2</v>
      </c>
      <c r="F111">
        <v>8</v>
      </c>
      <c r="G111">
        <v>322.19</v>
      </c>
      <c r="H111" s="17">
        <v>36.036000000000001</v>
      </c>
      <c r="I111" s="33">
        <v>45307</v>
      </c>
      <c r="J111" s="37">
        <v>0.84061342592592592</v>
      </c>
      <c r="K111">
        <v>0</v>
      </c>
      <c r="L111">
        <v>0</v>
      </c>
      <c r="M111">
        <v>0</v>
      </c>
      <c r="N111">
        <v>0</v>
      </c>
      <c r="O111">
        <v>0</v>
      </c>
      <c r="P111">
        <v>0</v>
      </c>
      <c r="Q111">
        <v>0</v>
      </c>
      <c r="R111">
        <v>0</v>
      </c>
      <c r="S111">
        <v>0</v>
      </c>
      <c r="T111">
        <v>0</v>
      </c>
      <c r="U111">
        <v>0</v>
      </c>
      <c r="V111">
        <v>0</v>
      </c>
      <c r="W111" s="30">
        <f>W110</f>
        <v>36.030000000000008</v>
      </c>
      <c r="X111" s="17"/>
      <c r="Y111">
        <v>1</v>
      </c>
      <c r="Z111" t="s">
        <v>16</v>
      </c>
      <c r="AA111">
        <v>25920</v>
      </c>
      <c r="AB111">
        <v>96</v>
      </c>
      <c r="AC111">
        <v>2</v>
      </c>
      <c r="AD111">
        <v>8</v>
      </c>
      <c r="AE111">
        <v>286.27999999999997</v>
      </c>
      <c r="AF111" s="17">
        <v>40.557000000000002</v>
      </c>
      <c r="AG111" s="33">
        <v>45307</v>
      </c>
      <c r="AH111" s="34">
        <v>0.52629629629629626</v>
      </c>
      <c r="AI111">
        <v>0</v>
      </c>
      <c r="AJ111">
        <v>0</v>
      </c>
      <c r="AK111">
        <v>0</v>
      </c>
      <c r="AL111">
        <v>0</v>
      </c>
      <c r="AM111">
        <v>0</v>
      </c>
      <c r="AN111">
        <v>0</v>
      </c>
      <c r="AO111">
        <v>0</v>
      </c>
      <c r="AP111">
        <v>0</v>
      </c>
      <c r="AQ111">
        <v>0</v>
      </c>
      <c r="AR111">
        <v>0</v>
      </c>
      <c r="AS111">
        <v>0</v>
      </c>
      <c r="AT111">
        <v>0</v>
      </c>
      <c r="AU111" s="30">
        <f t="shared" ref="AU111" si="41">AU110</f>
        <v>40.582799999999999</v>
      </c>
      <c r="AV111" s="17"/>
    </row>
    <row r="112" spans="1:48" x14ac:dyDescent="0.25">
      <c r="A112">
        <v>2</v>
      </c>
      <c r="B112" t="s">
        <v>16</v>
      </c>
      <c r="C112">
        <v>25920</v>
      </c>
      <c r="D112">
        <v>96</v>
      </c>
      <c r="E112">
        <v>2</v>
      </c>
      <c r="F112">
        <v>8</v>
      </c>
      <c r="G112">
        <v>322.13</v>
      </c>
      <c r="H112" s="17">
        <v>36.042999999999999</v>
      </c>
      <c r="I112" s="33">
        <v>45308</v>
      </c>
      <c r="J112" s="37">
        <v>0.18122685185185183</v>
      </c>
      <c r="K112">
        <v>0</v>
      </c>
      <c r="L112">
        <v>0</v>
      </c>
      <c r="M112">
        <v>0</v>
      </c>
      <c r="N112">
        <v>0</v>
      </c>
      <c r="O112">
        <v>0</v>
      </c>
      <c r="P112">
        <v>0</v>
      </c>
      <c r="Q112">
        <v>0</v>
      </c>
      <c r="R112">
        <v>0</v>
      </c>
      <c r="S112">
        <v>0</v>
      </c>
      <c r="T112">
        <v>0</v>
      </c>
      <c r="U112">
        <v>0</v>
      </c>
      <c r="V112">
        <v>0</v>
      </c>
      <c r="W112" s="30">
        <f>W111</f>
        <v>36.030000000000008</v>
      </c>
      <c r="X112" s="17"/>
      <c r="Y112">
        <v>2</v>
      </c>
      <c r="Z112" t="s">
        <v>16</v>
      </c>
      <c r="AA112">
        <v>25920</v>
      </c>
      <c r="AB112">
        <v>96</v>
      </c>
      <c r="AC112">
        <v>2</v>
      </c>
      <c r="AD112">
        <v>8</v>
      </c>
      <c r="AE112">
        <v>286.13</v>
      </c>
      <c r="AF112" s="17">
        <v>40.576999999999998</v>
      </c>
      <c r="AG112" s="33">
        <v>45307</v>
      </c>
      <c r="AH112" s="34">
        <v>0.68004629629629632</v>
      </c>
      <c r="AI112">
        <v>0</v>
      </c>
      <c r="AJ112">
        <v>0</v>
      </c>
      <c r="AK112">
        <v>0</v>
      </c>
      <c r="AL112">
        <v>0</v>
      </c>
      <c r="AM112">
        <v>0</v>
      </c>
      <c r="AN112">
        <v>0</v>
      </c>
      <c r="AO112">
        <v>0</v>
      </c>
      <c r="AP112">
        <v>0</v>
      </c>
      <c r="AQ112">
        <v>0</v>
      </c>
      <c r="AR112">
        <v>0</v>
      </c>
      <c r="AS112">
        <v>0</v>
      </c>
      <c r="AT112">
        <v>0</v>
      </c>
      <c r="AU112" s="30">
        <f t="shared" si="33"/>
        <v>40.582799999999999</v>
      </c>
      <c r="AV112" s="17"/>
    </row>
    <row r="113" spans="1:48" x14ac:dyDescent="0.25">
      <c r="A113">
        <v>3</v>
      </c>
      <c r="B113" t="s">
        <v>16</v>
      </c>
      <c r="C113">
        <v>25920</v>
      </c>
      <c r="D113">
        <v>96</v>
      </c>
      <c r="E113">
        <v>2</v>
      </c>
      <c r="F113">
        <v>8</v>
      </c>
      <c r="G113">
        <v>322.27999999999997</v>
      </c>
      <c r="H113" s="17">
        <v>36.027000000000001</v>
      </c>
      <c r="I113" s="33">
        <v>45307</v>
      </c>
      <c r="J113" s="37">
        <v>0.5786458333333333</v>
      </c>
      <c r="K113">
        <v>0</v>
      </c>
      <c r="L113">
        <v>0</v>
      </c>
      <c r="M113">
        <v>0</v>
      </c>
      <c r="N113">
        <v>0</v>
      </c>
      <c r="O113">
        <v>0</v>
      </c>
      <c r="P113">
        <v>0</v>
      </c>
      <c r="Q113">
        <v>0</v>
      </c>
      <c r="R113">
        <v>0</v>
      </c>
      <c r="S113">
        <v>0</v>
      </c>
      <c r="T113">
        <v>0</v>
      </c>
      <c r="U113">
        <v>0</v>
      </c>
      <c r="V113">
        <v>0</v>
      </c>
      <c r="W113" s="30">
        <f>W112</f>
        <v>36.030000000000008</v>
      </c>
      <c r="X113" s="17"/>
      <c r="Y113">
        <v>3</v>
      </c>
      <c r="Z113" t="s">
        <v>16</v>
      </c>
      <c r="AA113">
        <v>25920</v>
      </c>
      <c r="AB113">
        <v>96</v>
      </c>
      <c r="AC113">
        <v>2</v>
      </c>
      <c r="AD113">
        <v>8</v>
      </c>
      <c r="AE113">
        <v>285.98</v>
      </c>
      <c r="AF113" s="17">
        <v>40.6</v>
      </c>
      <c r="AG113" s="33">
        <v>45307</v>
      </c>
      <c r="AH113" s="34">
        <v>0.61813657407407407</v>
      </c>
      <c r="AI113">
        <v>0</v>
      </c>
      <c r="AJ113">
        <v>0</v>
      </c>
      <c r="AK113">
        <v>0</v>
      </c>
      <c r="AL113">
        <v>0</v>
      </c>
      <c r="AM113">
        <v>0</v>
      </c>
      <c r="AN113">
        <v>0</v>
      </c>
      <c r="AO113">
        <v>0</v>
      </c>
      <c r="AP113">
        <v>0</v>
      </c>
      <c r="AQ113">
        <v>0</v>
      </c>
      <c r="AR113">
        <v>0</v>
      </c>
      <c r="AS113">
        <v>0</v>
      </c>
      <c r="AT113">
        <v>0</v>
      </c>
      <c r="AU113" s="30">
        <f t="shared" si="33"/>
        <v>40.582799999999999</v>
      </c>
      <c r="AV113" s="17"/>
    </row>
    <row r="114" spans="1:48" x14ac:dyDescent="0.25">
      <c r="A114">
        <v>4</v>
      </c>
      <c r="B114" t="s">
        <v>16</v>
      </c>
      <c r="C114">
        <v>25920</v>
      </c>
      <c r="D114">
        <v>96</v>
      </c>
      <c r="E114">
        <v>2</v>
      </c>
      <c r="F114">
        <v>8</v>
      </c>
      <c r="G114">
        <v>322.3</v>
      </c>
      <c r="H114" s="17">
        <v>36.024000000000001</v>
      </c>
      <c r="I114" s="33">
        <v>45307</v>
      </c>
      <c r="J114" s="37">
        <v>0.92158564814814825</v>
      </c>
      <c r="K114">
        <v>0</v>
      </c>
      <c r="L114">
        <v>0</v>
      </c>
      <c r="M114">
        <v>0</v>
      </c>
      <c r="N114">
        <v>0</v>
      </c>
      <c r="O114">
        <v>0</v>
      </c>
      <c r="P114">
        <v>0</v>
      </c>
      <c r="Q114">
        <v>0</v>
      </c>
      <c r="R114">
        <v>0</v>
      </c>
      <c r="S114">
        <v>0</v>
      </c>
      <c r="T114">
        <v>0</v>
      </c>
      <c r="U114">
        <v>0</v>
      </c>
      <c r="V114">
        <v>0</v>
      </c>
      <c r="W114" s="30">
        <f>W113</f>
        <v>36.030000000000008</v>
      </c>
      <c r="X114" s="17"/>
      <c r="Y114">
        <v>4</v>
      </c>
      <c r="Z114" t="s">
        <v>16</v>
      </c>
      <c r="AA114">
        <v>25920</v>
      </c>
      <c r="AB114">
        <v>96</v>
      </c>
      <c r="AC114">
        <v>2</v>
      </c>
      <c r="AD114">
        <v>8</v>
      </c>
      <c r="AE114">
        <v>286.10000000000002</v>
      </c>
      <c r="AF114" s="17">
        <v>40.582000000000001</v>
      </c>
      <c r="AG114" s="33">
        <v>45307</v>
      </c>
      <c r="AH114" s="34">
        <v>0.49305555555555558</v>
      </c>
      <c r="AI114">
        <v>0</v>
      </c>
      <c r="AJ114">
        <v>0</v>
      </c>
      <c r="AK114">
        <v>0</v>
      </c>
      <c r="AL114">
        <v>0</v>
      </c>
      <c r="AM114">
        <v>0</v>
      </c>
      <c r="AN114">
        <v>0</v>
      </c>
      <c r="AO114">
        <v>0</v>
      </c>
      <c r="AP114">
        <v>0</v>
      </c>
      <c r="AQ114">
        <v>0</v>
      </c>
      <c r="AR114">
        <v>0</v>
      </c>
      <c r="AS114">
        <v>0</v>
      </c>
      <c r="AT114">
        <v>0</v>
      </c>
      <c r="AU114" s="30">
        <f t="shared" si="33"/>
        <v>40.582799999999999</v>
      </c>
      <c r="AV114" s="17"/>
    </row>
    <row r="115" spans="1:48" x14ac:dyDescent="0.25">
      <c r="A115">
        <v>0</v>
      </c>
      <c r="B115" t="s">
        <v>16</v>
      </c>
      <c r="C115">
        <v>27456</v>
      </c>
      <c r="D115">
        <v>96</v>
      </c>
      <c r="E115">
        <v>2</v>
      </c>
      <c r="F115">
        <v>8</v>
      </c>
      <c r="G115">
        <v>378.42</v>
      </c>
      <c r="H115" s="17">
        <v>36.466000000000001</v>
      </c>
      <c r="I115" s="33">
        <v>45307</v>
      </c>
      <c r="J115" s="37">
        <v>0.53815972222222219</v>
      </c>
      <c r="K115">
        <v>0</v>
      </c>
      <c r="L115">
        <v>0</v>
      </c>
      <c r="M115">
        <v>0</v>
      </c>
      <c r="N115">
        <v>0</v>
      </c>
      <c r="O115">
        <v>0</v>
      </c>
      <c r="P115">
        <v>0</v>
      </c>
      <c r="Q115">
        <v>0</v>
      </c>
      <c r="R115">
        <v>0</v>
      </c>
      <c r="S115">
        <v>0</v>
      </c>
      <c r="T115">
        <v>0</v>
      </c>
      <c r="U115">
        <v>0</v>
      </c>
      <c r="V115">
        <v>0</v>
      </c>
      <c r="W115" s="30">
        <f>AVERAGE(H115:H119)</f>
        <v>36.483199999999997</v>
      </c>
      <c r="X115" s="17"/>
      <c r="Y115">
        <v>0</v>
      </c>
      <c r="Z115" t="s">
        <v>16</v>
      </c>
      <c r="AA115">
        <v>27456</v>
      </c>
      <c r="AB115">
        <v>96</v>
      </c>
      <c r="AC115">
        <v>2</v>
      </c>
      <c r="AD115">
        <v>8</v>
      </c>
      <c r="AE115">
        <v>335.72</v>
      </c>
      <c r="AF115" s="17">
        <v>41.103000000000002</v>
      </c>
      <c r="AG115" s="33">
        <v>45307</v>
      </c>
      <c r="AH115" s="34">
        <v>0.49721064814814814</v>
      </c>
      <c r="AI115">
        <v>0</v>
      </c>
      <c r="AJ115">
        <v>0</v>
      </c>
      <c r="AK115">
        <v>0</v>
      </c>
      <c r="AL115">
        <v>0</v>
      </c>
      <c r="AM115">
        <v>0</v>
      </c>
      <c r="AN115">
        <v>0</v>
      </c>
      <c r="AO115">
        <v>0</v>
      </c>
      <c r="AP115">
        <v>0</v>
      </c>
      <c r="AQ115">
        <v>0</v>
      </c>
      <c r="AR115">
        <v>0</v>
      </c>
      <c r="AS115">
        <v>0</v>
      </c>
      <c r="AT115">
        <v>0</v>
      </c>
      <c r="AU115" s="30">
        <f t="shared" ref="AU115" si="42">AVERAGE(AF115:AF119)</f>
        <v>41.1066</v>
      </c>
      <c r="AV115" s="17"/>
    </row>
    <row r="116" spans="1:48" x14ac:dyDescent="0.25">
      <c r="A116">
        <v>1</v>
      </c>
      <c r="B116" t="s">
        <v>16</v>
      </c>
      <c r="C116">
        <v>27456</v>
      </c>
      <c r="D116">
        <v>96</v>
      </c>
      <c r="E116">
        <v>2</v>
      </c>
      <c r="F116">
        <v>8</v>
      </c>
      <c r="G116">
        <v>378.02</v>
      </c>
      <c r="H116" s="17">
        <v>36.503999999999998</v>
      </c>
      <c r="I116" s="33">
        <v>45307</v>
      </c>
      <c r="J116" s="37">
        <v>0.73525462962962962</v>
      </c>
      <c r="K116">
        <v>0</v>
      </c>
      <c r="L116">
        <v>0</v>
      </c>
      <c r="M116">
        <v>0</v>
      </c>
      <c r="N116">
        <v>0</v>
      </c>
      <c r="O116">
        <v>0</v>
      </c>
      <c r="P116">
        <v>0</v>
      </c>
      <c r="Q116">
        <v>0</v>
      </c>
      <c r="R116">
        <v>0</v>
      </c>
      <c r="S116">
        <v>0</v>
      </c>
      <c r="T116">
        <v>0</v>
      </c>
      <c r="U116">
        <v>0</v>
      </c>
      <c r="V116">
        <v>0</v>
      </c>
      <c r="W116" s="30">
        <f>W115</f>
        <v>36.483199999999997</v>
      </c>
      <c r="X116" s="17"/>
      <c r="Y116">
        <v>1</v>
      </c>
      <c r="Z116" t="s">
        <v>16</v>
      </c>
      <c r="AA116">
        <v>27456</v>
      </c>
      <c r="AB116">
        <v>96</v>
      </c>
      <c r="AC116">
        <v>2</v>
      </c>
      <c r="AD116">
        <v>8</v>
      </c>
      <c r="AE116">
        <v>335.65</v>
      </c>
      <c r="AF116" s="17">
        <v>41.112000000000002</v>
      </c>
      <c r="AG116" s="33">
        <v>45307</v>
      </c>
      <c r="AH116" s="34">
        <v>0.76042824074074078</v>
      </c>
      <c r="AI116">
        <v>0</v>
      </c>
      <c r="AJ116">
        <v>0</v>
      </c>
      <c r="AK116">
        <v>0</v>
      </c>
      <c r="AL116">
        <v>0</v>
      </c>
      <c r="AM116">
        <v>0</v>
      </c>
      <c r="AN116">
        <v>0</v>
      </c>
      <c r="AO116">
        <v>0</v>
      </c>
      <c r="AP116">
        <v>0</v>
      </c>
      <c r="AQ116">
        <v>0</v>
      </c>
      <c r="AR116">
        <v>0</v>
      </c>
      <c r="AS116">
        <v>0</v>
      </c>
      <c r="AT116">
        <v>0</v>
      </c>
      <c r="AU116" s="30">
        <f t="shared" ref="AU116" si="43">AU115</f>
        <v>41.1066</v>
      </c>
      <c r="AV116" s="17"/>
    </row>
    <row r="117" spans="1:48" x14ac:dyDescent="0.25">
      <c r="A117">
        <v>2</v>
      </c>
      <c r="B117" t="s">
        <v>16</v>
      </c>
      <c r="C117">
        <v>27456</v>
      </c>
      <c r="D117">
        <v>96</v>
      </c>
      <c r="E117">
        <v>2</v>
      </c>
      <c r="F117">
        <v>8</v>
      </c>
      <c r="G117">
        <v>378.12</v>
      </c>
      <c r="H117" s="17">
        <v>36.494</v>
      </c>
      <c r="I117" s="33">
        <v>45308</v>
      </c>
      <c r="J117" s="37">
        <v>7.5891203703703711E-2</v>
      </c>
      <c r="K117">
        <v>0</v>
      </c>
      <c r="L117">
        <v>0</v>
      </c>
      <c r="M117">
        <v>0</v>
      </c>
      <c r="N117">
        <v>0</v>
      </c>
      <c r="O117">
        <v>0</v>
      </c>
      <c r="P117">
        <v>0</v>
      </c>
      <c r="Q117">
        <v>0</v>
      </c>
      <c r="R117">
        <v>0</v>
      </c>
      <c r="S117">
        <v>0</v>
      </c>
      <c r="T117">
        <v>0</v>
      </c>
      <c r="U117">
        <v>0</v>
      </c>
      <c r="V117">
        <v>0</v>
      </c>
      <c r="W117" s="30">
        <f>W116</f>
        <v>36.483199999999997</v>
      </c>
      <c r="X117" s="17"/>
      <c r="Y117">
        <v>2</v>
      </c>
      <c r="Z117" t="s">
        <v>16</v>
      </c>
      <c r="AA117">
        <v>27456</v>
      </c>
      <c r="AB117">
        <v>96</v>
      </c>
      <c r="AC117">
        <v>2</v>
      </c>
      <c r="AD117">
        <v>8</v>
      </c>
      <c r="AE117">
        <v>335.61</v>
      </c>
      <c r="AF117" s="17">
        <v>41.116999999999997</v>
      </c>
      <c r="AG117" s="33">
        <v>45307</v>
      </c>
      <c r="AH117" s="34">
        <v>0.6005787037037037</v>
      </c>
      <c r="AI117">
        <v>0</v>
      </c>
      <c r="AJ117">
        <v>0</v>
      </c>
      <c r="AK117">
        <v>0</v>
      </c>
      <c r="AL117">
        <v>0</v>
      </c>
      <c r="AM117">
        <v>0</v>
      </c>
      <c r="AN117">
        <v>0</v>
      </c>
      <c r="AO117">
        <v>0</v>
      </c>
      <c r="AP117">
        <v>0</v>
      </c>
      <c r="AQ117">
        <v>0</v>
      </c>
      <c r="AR117">
        <v>0</v>
      </c>
      <c r="AS117">
        <v>0</v>
      </c>
      <c r="AT117">
        <v>0</v>
      </c>
      <c r="AU117" s="30">
        <f t="shared" si="31"/>
        <v>41.1066</v>
      </c>
      <c r="AV117" s="17"/>
    </row>
    <row r="118" spans="1:48" x14ac:dyDescent="0.25">
      <c r="A118">
        <v>3</v>
      </c>
      <c r="B118" t="s">
        <v>16</v>
      </c>
      <c r="C118">
        <v>27456</v>
      </c>
      <c r="D118">
        <v>96</v>
      </c>
      <c r="E118">
        <v>2</v>
      </c>
      <c r="F118">
        <v>8</v>
      </c>
      <c r="G118">
        <v>378.22</v>
      </c>
      <c r="H118" s="17">
        <v>36.484000000000002</v>
      </c>
      <c r="I118" s="33">
        <v>45308</v>
      </c>
      <c r="J118" s="37">
        <v>0.4189930555555556</v>
      </c>
      <c r="K118">
        <v>0</v>
      </c>
      <c r="L118">
        <v>0</v>
      </c>
      <c r="M118">
        <v>0</v>
      </c>
      <c r="N118">
        <v>0</v>
      </c>
      <c r="O118">
        <v>0</v>
      </c>
      <c r="P118">
        <v>0</v>
      </c>
      <c r="Q118">
        <v>0</v>
      </c>
      <c r="R118">
        <v>0</v>
      </c>
      <c r="S118">
        <v>0</v>
      </c>
      <c r="T118">
        <v>0</v>
      </c>
      <c r="U118">
        <v>0</v>
      </c>
      <c r="V118">
        <v>0</v>
      </c>
      <c r="W118" s="30">
        <f>W117</f>
        <v>36.483199999999997</v>
      </c>
      <c r="X118" s="17"/>
      <c r="Y118">
        <v>3</v>
      </c>
      <c r="Z118" t="s">
        <v>16</v>
      </c>
      <c r="AA118">
        <v>27456</v>
      </c>
      <c r="AB118">
        <v>96</v>
      </c>
      <c r="AC118">
        <v>2</v>
      </c>
      <c r="AD118">
        <v>8</v>
      </c>
      <c r="AE118">
        <v>335.59</v>
      </c>
      <c r="AF118" s="17">
        <v>41.12</v>
      </c>
      <c r="AG118" s="33">
        <v>45307</v>
      </c>
      <c r="AH118" s="34">
        <v>0.53866898148148146</v>
      </c>
      <c r="AI118">
        <v>0</v>
      </c>
      <c r="AJ118">
        <v>0</v>
      </c>
      <c r="AK118">
        <v>0</v>
      </c>
      <c r="AL118">
        <v>0</v>
      </c>
      <c r="AM118">
        <v>0</v>
      </c>
      <c r="AN118">
        <v>0</v>
      </c>
      <c r="AO118">
        <v>0</v>
      </c>
      <c r="AP118">
        <v>0</v>
      </c>
      <c r="AQ118">
        <v>0</v>
      </c>
      <c r="AR118">
        <v>0</v>
      </c>
      <c r="AS118">
        <v>0</v>
      </c>
      <c r="AT118">
        <v>0</v>
      </c>
      <c r="AU118" s="30">
        <f t="shared" si="31"/>
        <v>41.1066</v>
      </c>
      <c r="AV118" s="17"/>
    </row>
    <row r="119" spans="1:48" x14ac:dyDescent="0.25">
      <c r="A119">
        <v>4</v>
      </c>
      <c r="B119" t="s">
        <v>16</v>
      </c>
      <c r="C119">
        <v>27456</v>
      </c>
      <c r="D119">
        <v>96</v>
      </c>
      <c r="E119">
        <v>2</v>
      </c>
      <c r="F119">
        <v>8</v>
      </c>
      <c r="G119">
        <v>378.39</v>
      </c>
      <c r="H119" s="17">
        <v>36.468000000000004</v>
      </c>
      <c r="I119" s="33">
        <v>45307</v>
      </c>
      <c r="J119" s="37">
        <v>0.81623842592592588</v>
      </c>
      <c r="K119">
        <v>0</v>
      </c>
      <c r="L119">
        <v>0</v>
      </c>
      <c r="M119">
        <v>0</v>
      </c>
      <c r="N119">
        <v>0</v>
      </c>
      <c r="O119">
        <v>0</v>
      </c>
      <c r="P119">
        <v>0</v>
      </c>
      <c r="Q119">
        <v>0</v>
      </c>
      <c r="R119">
        <v>0</v>
      </c>
      <c r="S119">
        <v>0</v>
      </c>
      <c r="T119">
        <v>0</v>
      </c>
      <c r="U119">
        <v>0</v>
      </c>
      <c r="V119">
        <v>0</v>
      </c>
      <c r="W119" s="30">
        <f>W118</f>
        <v>36.483199999999997</v>
      </c>
      <c r="X119" s="17"/>
      <c r="Y119">
        <v>4</v>
      </c>
      <c r="Z119" t="s">
        <v>16</v>
      </c>
      <c r="AA119">
        <v>27456</v>
      </c>
      <c r="AB119">
        <v>96</v>
      </c>
      <c r="AC119">
        <v>2</v>
      </c>
      <c r="AD119">
        <v>8</v>
      </c>
      <c r="AE119">
        <v>335.91</v>
      </c>
      <c r="AF119" s="17">
        <v>41.081000000000003</v>
      </c>
      <c r="AG119" s="33">
        <v>45307</v>
      </c>
      <c r="AH119" s="34">
        <v>0.80186342592592597</v>
      </c>
      <c r="AI119">
        <v>0</v>
      </c>
      <c r="AJ119">
        <v>0</v>
      </c>
      <c r="AK119">
        <v>0</v>
      </c>
      <c r="AL119">
        <v>0</v>
      </c>
      <c r="AM119">
        <v>0</v>
      </c>
      <c r="AN119">
        <v>0</v>
      </c>
      <c r="AO119">
        <v>0</v>
      </c>
      <c r="AP119">
        <v>0</v>
      </c>
      <c r="AQ119">
        <v>0</v>
      </c>
      <c r="AR119">
        <v>0</v>
      </c>
      <c r="AS119">
        <v>0</v>
      </c>
      <c r="AT119">
        <v>0</v>
      </c>
      <c r="AU119" s="30">
        <f t="shared" si="31"/>
        <v>41.1066</v>
      </c>
      <c r="AV119" s="17"/>
    </row>
    <row r="120" spans="1:48" x14ac:dyDescent="0.25">
      <c r="A120">
        <v>0</v>
      </c>
      <c r="B120" t="s">
        <v>16</v>
      </c>
      <c r="C120">
        <v>28992</v>
      </c>
      <c r="D120">
        <v>96</v>
      </c>
      <c r="E120">
        <v>2</v>
      </c>
      <c r="F120">
        <v>8</v>
      </c>
      <c r="G120">
        <v>444.13</v>
      </c>
      <c r="H120" s="17">
        <v>36.582000000000001</v>
      </c>
      <c r="I120" s="33">
        <v>45307</v>
      </c>
      <c r="J120" s="37">
        <v>0.61219907407407403</v>
      </c>
      <c r="K120">
        <v>0</v>
      </c>
      <c r="L120">
        <v>0</v>
      </c>
      <c r="M120">
        <v>0</v>
      </c>
      <c r="N120">
        <v>0</v>
      </c>
      <c r="O120">
        <v>0</v>
      </c>
      <c r="P120">
        <v>0</v>
      </c>
      <c r="Q120">
        <v>0</v>
      </c>
      <c r="R120">
        <v>0</v>
      </c>
      <c r="S120">
        <v>0</v>
      </c>
      <c r="T120">
        <v>0</v>
      </c>
      <c r="U120">
        <v>0</v>
      </c>
      <c r="V120">
        <v>0</v>
      </c>
      <c r="W120" s="30">
        <f>AVERAGE(H120:H124)</f>
        <v>36.583800000000004</v>
      </c>
      <c r="X120" s="17"/>
      <c r="Y120">
        <v>0</v>
      </c>
      <c r="Z120" t="s">
        <v>16</v>
      </c>
      <c r="AA120">
        <v>28992</v>
      </c>
      <c r="AB120">
        <v>96</v>
      </c>
      <c r="AC120">
        <v>2</v>
      </c>
      <c r="AD120">
        <v>8</v>
      </c>
      <c r="AE120">
        <v>391.19</v>
      </c>
      <c r="AF120" s="17">
        <v>41.531999999999996</v>
      </c>
      <c r="AG120" s="33">
        <v>45307</v>
      </c>
      <c r="AH120" s="34">
        <v>0.66782407407407407</v>
      </c>
      <c r="AI120">
        <v>0</v>
      </c>
      <c r="AJ120">
        <v>0</v>
      </c>
      <c r="AK120">
        <v>0</v>
      </c>
      <c r="AL120">
        <v>0</v>
      </c>
      <c r="AM120">
        <v>0</v>
      </c>
      <c r="AN120">
        <v>0</v>
      </c>
      <c r="AO120">
        <v>0</v>
      </c>
      <c r="AP120">
        <v>0</v>
      </c>
      <c r="AQ120">
        <v>0</v>
      </c>
      <c r="AR120">
        <v>0</v>
      </c>
      <c r="AS120">
        <v>0</v>
      </c>
      <c r="AT120">
        <v>0</v>
      </c>
      <c r="AU120" s="30">
        <f t="shared" ref="AU120" si="44">AVERAGE(AF120:AF124)</f>
        <v>41.543799999999997</v>
      </c>
      <c r="AV120" s="17"/>
    </row>
    <row r="121" spans="1:48" x14ac:dyDescent="0.25">
      <c r="A121">
        <v>1</v>
      </c>
      <c r="B121" t="s">
        <v>16</v>
      </c>
      <c r="C121">
        <v>28992</v>
      </c>
      <c r="D121">
        <v>96</v>
      </c>
      <c r="E121">
        <v>2</v>
      </c>
      <c r="F121">
        <v>8</v>
      </c>
      <c r="G121">
        <v>444.27</v>
      </c>
      <c r="H121" s="17">
        <v>36.57</v>
      </c>
      <c r="I121" s="33">
        <v>45307</v>
      </c>
      <c r="J121" s="37">
        <v>0.95278935185185187</v>
      </c>
      <c r="K121">
        <v>0</v>
      </c>
      <c r="L121">
        <v>0</v>
      </c>
      <c r="M121">
        <v>0</v>
      </c>
      <c r="N121">
        <v>0</v>
      </c>
      <c r="O121">
        <v>0</v>
      </c>
      <c r="P121">
        <v>0</v>
      </c>
      <c r="Q121">
        <v>0</v>
      </c>
      <c r="R121">
        <v>0</v>
      </c>
      <c r="S121">
        <v>0</v>
      </c>
      <c r="T121">
        <v>0</v>
      </c>
      <c r="U121">
        <v>0</v>
      </c>
      <c r="V121">
        <v>0</v>
      </c>
      <c r="W121" s="30">
        <f>W120</f>
        <v>36.583800000000004</v>
      </c>
      <c r="X121" s="17"/>
      <c r="Y121">
        <v>1</v>
      </c>
      <c r="Z121" t="s">
        <v>16</v>
      </c>
      <c r="AA121">
        <v>28992</v>
      </c>
      <c r="AB121">
        <v>96</v>
      </c>
      <c r="AC121">
        <v>2</v>
      </c>
      <c r="AD121">
        <v>8</v>
      </c>
      <c r="AE121">
        <v>391.03</v>
      </c>
      <c r="AF121" s="17">
        <v>41.55</v>
      </c>
      <c r="AG121" s="33">
        <v>45307</v>
      </c>
      <c r="AH121" s="34">
        <v>0.50784722222222223</v>
      </c>
      <c r="AI121">
        <v>0</v>
      </c>
      <c r="AJ121">
        <v>0</v>
      </c>
      <c r="AK121">
        <v>0</v>
      </c>
      <c r="AL121">
        <v>0</v>
      </c>
      <c r="AM121">
        <v>0</v>
      </c>
      <c r="AN121">
        <v>0</v>
      </c>
      <c r="AO121">
        <v>0</v>
      </c>
      <c r="AP121">
        <v>0</v>
      </c>
      <c r="AQ121">
        <v>0</v>
      </c>
      <c r="AR121">
        <v>0</v>
      </c>
      <c r="AS121">
        <v>0</v>
      </c>
      <c r="AT121">
        <v>0</v>
      </c>
      <c r="AU121" s="30">
        <f t="shared" ref="AU121" si="45">AU120</f>
        <v>41.543799999999997</v>
      </c>
      <c r="AV121" s="17"/>
    </row>
    <row r="122" spans="1:48" x14ac:dyDescent="0.25">
      <c r="A122">
        <v>2</v>
      </c>
      <c r="B122" t="s">
        <v>16</v>
      </c>
      <c r="C122">
        <v>28992</v>
      </c>
      <c r="D122">
        <v>96</v>
      </c>
      <c r="E122">
        <v>2</v>
      </c>
      <c r="F122">
        <v>8</v>
      </c>
      <c r="G122">
        <v>443.99</v>
      </c>
      <c r="H122" s="17">
        <v>36.593000000000004</v>
      </c>
      <c r="I122" s="33">
        <v>45308</v>
      </c>
      <c r="J122" s="37">
        <v>0.29583333333333334</v>
      </c>
      <c r="K122">
        <v>0</v>
      </c>
      <c r="L122">
        <v>0</v>
      </c>
      <c r="M122">
        <v>0</v>
      </c>
      <c r="N122">
        <v>0</v>
      </c>
      <c r="O122">
        <v>0</v>
      </c>
      <c r="P122">
        <v>0</v>
      </c>
      <c r="Q122">
        <v>0</v>
      </c>
      <c r="R122">
        <v>0</v>
      </c>
      <c r="S122">
        <v>0</v>
      </c>
      <c r="T122">
        <v>0</v>
      </c>
      <c r="U122">
        <v>0</v>
      </c>
      <c r="V122">
        <v>0</v>
      </c>
      <c r="W122" s="30">
        <f>W121</f>
        <v>36.583800000000004</v>
      </c>
      <c r="X122" s="17"/>
      <c r="Y122">
        <v>2</v>
      </c>
      <c r="Z122" t="s">
        <v>16</v>
      </c>
      <c r="AA122">
        <v>28992</v>
      </c>
      <c r="AB122">
        <v>96</v>
      </c>
      <c r="AC122">
        <v>2</v>
      </c>
      <c r="AD122">
        <v>8</v>
      </c>
      <c r="AE122">
        <v>391.18</v>
      </c>
      <c r="AF122" s="17">
        <v>41.533999999999999</v>
      </c>
      <c r="AG122" s="33">
        <v>45307</v>
      </c>
      <c r="AH122" s="34">
        <v>0.77072916666666658</v>
      </c>
      <c r="AI122">
        <v>0</v>
      </c>
      <c r="AJ122">
        <v>0</v>
      </c>
      <c r="AK122">
        <v>0</v>
      </c>
      <c r="AL122">
        <v>0</v>
      </c>
      <c r="AM122">
        <v>0</v>
      </c>
      <c r="AN122">
        <v>0</v>
      </c>
      <c r="AO122">
        <v>0</v>
      </c>
      <c r="AP122">
        <v>0</v>
      </c>
      <c r="AQ122">
        <v>0</v>
      </c>
      <c r="AR122">
        <v>0</v>
      </c>
      <c r="AS122">
        <v>0</v>
      </c>
      <c r="AT122">
        <v>0</v>
      </c>
      <c r="AU122" s="30">
        <f t="shared" si="33"/>
        <v>41.543799999999997</v>
      </c>
      <c r="AV122" s="17"/>
    </row>
    <row r="123" spans="1:48" x14ac:dyDescent="0.25">
      <c r="A123">
        <v>3</v>
      </c>
      <c r="B123" t="s">
        <v>16</v>
      </c>
      <c r="C123">
        <v>28992</v>
      </c>
      <c r="D123">
        <v>96</v>
      </c>
      <c r="E123">
        <v>2</v>
      </c>
      <c r="F123">
        <v>8</v>
      </c>
      <c r="G123">
        <v>444.12</v>
      </c>
      <c r="H123" s="17">
        <v>36.582999999999998</v>
      </c>
      <c r="I123" s="33">
        <v>45307</v>
      </c>
      <c r="J123" s="37">
        <v>0.6931250000000001</v>
      </c>
      <c r="K123">
        <v>0</v>
      </c>
      <c r="L123">
        <v>0</v>
      </c>
      <c r="M123">
        <v>0</v>
      </c>
      <c r="N123">
        <v>0</v>
      </c>
      <c r="O123">
        <v>0</v>
      </c>
      <c r="P123">
        <v>0</v>
      </c>
      <c r="Q123">
        <v>0</v>
      </c>
      <c r="R123">
        <v>0</v>
      </c>
      <c r="S123">
        <v>0</v>
      </c>
      <c r="T123">
        <v>0</v>
      </c>
      <c r="U123">
        <v>0</v>
      </c>
      <c r="V123">
        <v>0</v>
      </c>
      <c r="W123" s="30">
        <f>W122</f>
        <v>36.583800000000004</v>
      </c>
      <c r="X123" s="17"/>
      <c r="Y123">
        <v>3</v>
      </c>
      <c r="Z123" t="s">
        <v>16</v>
      </c>
      <c r="AA123">
        <v>28992</v>
      </c>
      <c r="AB123">
        <v>96</v>
      </c>
      <c r="AC123">
        <v>2</v>
      </c>
      <c r="AD123">
        <v>8</v>
      </c>
      <c r="AE123">
        <v>391.06</v>
      </c>
      <c r="AF123" s="17">
        <v>41.545999999999999</v>
      </c>
      <c r="AG123" s="33">
        <v>45307</v>
      </c>
      <c r="AH123" s="34">
        <v>0.70930555555555552</v>
      </c>
      <c r="AI123">
        <v>0</v>
      </c>
      <c r="AJ123">
        <v>0</v>
      </c>
      <c r="AK123">
        <v>0</v>
      </c>
      <c r="AL123">
        <v>0</v>
      </c>
      <c r="AM123">
        <v>0</v>
      </c>
      <c r="AN123">
        <v>0</v>
      </c>
      <c r="AO123">
        <v>0</v>
      </c>
      <c r="AP123">
        <v>0</v>
      </c>
      <c r="AQ123">
        <v>0</v>
      </c>
      <c r="AR123">
        <v>0</v>
      </c>
      <c r="AS123">
        <v>0</v>
      </c>
      <c r="AT123">
        <v>0</v>
      </c>
      <c r="AU123" s="30">
        <f t="shared" si="33"/>
        <v>41.543799999999997</v>
      </c>
      <c r="AV123" s="17"/>
    </row>
    <row r="124" spans="1:48" x14ac:dyDescent="0.25">
      <c r="A124">
        <v>4</v>
      </c>
      <c r="B124" t="s">
        <v>16</v>
      </c>
      <c r="C124">
        <v>28992</v>
      </c>
      <c r="D124">
        <v>96</v>
      </c>
      <c r="E124">
        <v>2</v>
      </c>
      <c r="F124">
        <v>8</v>
      </c>
      <c r="G124">
        <v>444.02</v>
      </c>
      <c r="H124" s="17">
        <v>36.591000000000001</v>
      </c>
      <c r="I124" s="33">
        <v>45308</v>
      </c>
      <c r="J124" s="37">
        <v>3.4791666666666672E-2</v>
      </c>
      <c r="K124">
        <v>0</v>
      </c>
      <c r="L124" t="s">
        <v>328</v>
      </c>
      <c r="M124">
        <v>0</v>
      </c>
      <c r="N124">
        <v>0</v>
      </c>
      <c r="O124">
        <v>0</v>
      </c>
      <c r="P124">
        <v>0</v>
      </c>
      <c r="Q124">
        <v>0</v>
      </c>
      <c r="R124">
        <v>0</v>
      </c>
      <c r="S124">
        <v>0</v>
      </c>
      <c r="T124">
        <v>0</v>
      </c>
      <c r="U124">
        <v>0</v>
      </c>
      <c r="V124">
        <v>0</v>
      </c>
      <c r="W124" s="30">
        <f>W123</f>
        <v>36.583800000000004</v>
      </c>
      <c r="X124" s="17"/>
      <c r="Y124">
        <v>4</v>
      </c>
      <c r="Z124" t="s">
        <v>16</v>
      </c>
      <c r="AA124">
        <v>28992</v>
      </c>
      <c r="AB124">
        <v>96</v>
      </c>
      <c r="AC124">
        <v>2</v>
      </c>
      <c r="AD124">
        <v>8</v>
      </c>
      <c r="AE124">
        <v>390.96</v>
      </c>
      <c r="AF124" s="17">
        <v>41.557000000000002</v>
      </c>
      <c r="AG124" s="33">
        <v>45307</v>
      </c>
      <c r="AH124" s="34">
        <v>0.50276620370370373</v>
      </c>
      <c r="AI124">
        <v>0</v>
      </c>
      <c r="AJ124">
        <v>0</v>
      </c>
      <c r="AK124">
        <v>0</v>
      </c>
      <c r="AL124">
        <v>0</v>
      </c>
      <c r="AM124">
        <v>0</v>
      </c>
      <c r="AN124">
        <v>0</v>
      </c>
      <c r="AO124">
        <v>0</v>
      </c>
      <c r="AP124">
        <v>0</v>
      </c>
      <c r="AQ124">
        <v>0</v>
      </c>
      <c r="AR124">
        <v>0</v>
      </c>
      <c r="AS124">
        <v>0</v>
      </c>
      <c r="AT124">
        <v>0</v>
      </c>
      <c r="AU124" s="30">
        <f t="shared" si="33"/>
        <v>41.543799999999997</v>
      </c>
      <c r="AV124" s="17"/>
    </row>
    <row r="125" spans="1:48" x14ac:dyDescent="0.25">
      <c r="A125">
        <v>0</v>
      </c>
      <c r="B125" t="s">
        <v>16</v>
      </c>
      <c r="C125">
        <v>25920</v>
      </c>
      <c r="D125">
        <v>96</v>
      </c>
      <c r="E125">
        <v>4</v>
      </c>
      <c r="F125">
        <v>4</v>
      </c>
      <c r="G125">
        <v>340.45</v>
      </c>
      <c r="H125" s="17">
        <v>34.103000000000002</v>
      </c>
      <c r="I125" s="33">
        <v>45307</v>
      </c>
      <c r="J125" s="37">
        <v>0.50200231481481483</v>
      </c>
      <c r="K125">
        <v>0</v>
      </c>
      <c r="L125">
        <v>0</v>
      </c>
      <c r="M125">
        <v>0</v>
      </c>
      <c r="N125">
        <v>0</v>
      </c>
      <c r="O125">
        <v>0</v>
      </c>
      <c r="P125">
        <v>0</v>
      </c>
      <c r="Q125">
        <v>0</v>
      </c>
      <c r="R125">
        <v>0</v>
      </c>
      <c r="S125">
        <v>0</v>
      </c>
      <c r="T125">
        <v>0</v>
      </c>
      <c r="U125">
        <v>0</v>
      </c>
      <c r="V125">
        <v>0</v>
      </c>
      <c r="W125" s="30">
        <f>AVERAGE(H125:H129)</f>
        <v>34.084799999999994</v>
      </c>
      <c r="X125" s="17"/>
      <c r="Y125">
        <v>0</v>
      </c>
      <c r="Z125" t="s">
        <v>16</v>
      </c>
      <c r="AA125">
        <v>25920</v>
      </c>
      <c r="AB125">
        <v>96</v>
      </c>
      <c r="AC125">
        <v>4</v>
      </c>
      <c r="AD125">
        <v>4</v>
      </c>
      <c r="AE125">
        <v>309.89999999999998</v>
      </c>
      <c r="AF125" s="17">
        <v>37.465000000000003</v>
      </c>
      <c r="AG125" s="33">
        <v>45307</v>
      </c>
      <c r="AH125" s="34">
        <v>0.58086805555555554</v>
      </c>
      <c r="AI125">
        <v>0</v>
      </c>
      <c r="AJ125">
        <v>0</v>
      </c>
      <c r="AK125">
        <v>0</v>
      </c>
      <c r="AL125">
        <v>0</v>
      </c>
      <c r="AM125">
        <v>0</v>
      </c>
      <c r="AN125">
        <v>0</v>
      </c>
      <c r="AO125">
        <v>0</v>
      </c>
      <c r="AP125">
        <v>0</v>
      </c>
      <c r="AQ125">
        <v>0</v>
      </c>
      <c r="AR125">
        <v>0</v>
      </c>
      <c r="AS125">
        <v>0</v>
      </c>
      <c r="AT125">
        <v>0</v>
      </c>
      <c r="AU125" s="30">
        <f t="shared" ref="AU125" si="46">AVERAGE(AF125:AF129)</f>
        <v>37.431200000000004</v>
      </c>
      <c r="AV125" s="17"/>
    </row>
    <row r="126" spans="1:48" x14ac:dyDescent="0.25">
      <c r="A126">
        <v>1</v>
      </c>
      <c r="B126" t="s">
        <v>16</v>
      </c>
      <c r="C126">
        <v>25920</v>
      </c>
      <c r="D126">
        <v>96</v>
      </c>
      <c r="E126">
        <v>4</v>
      </c>
      <c r="F126">
        <v>4</v>
      </c>
      <c r="G126">
        <v>340.68</v>
      </c>
      <c r="H126" s="17">
        <v>34.081000000000003</v>
      </c>
      <c r="I126" s="33">
        <v>45307</v>
      </c>
      <c r="J126" s="37">
        <v>0.8447337962962963</v>
      </c>
      <c r="K126">
        <v>0</v>
      </c>
      <c r="L126">
        <v>0</v>
      </c>
      <c r="M126">
        <v>0</v>
      </c>
      <c r="N126">
        <v>0</v>
      </c>
      <c r="O126">
        <v>0</v>
      </c>
      <c r="P126">
        <v>0</v>
      </c>
      <c r="Q126">
        <v>0</v>
      </c>
      <c r="R126">
        <v>0</v>
      </c>
      <c r="S126">
        <v>0</v>
      </c>
      <c r="T126">
        <v>0</v>
      </c>
      <c r="U126">
        <v>0</v>
      </c>
      <c r="V126">
        <v>0</v>
      </c>
      <c r="W126" s="30">
        <f>W125</f>
        <v>34.084799999999994</v>
      </c>
      <c r="X126" s="17"/>
      <c r="Y126">
        <v>1</v>
      </c>
      <c r="Z126" t="s">
        <v>16</v>
      </c>
      <c r="AA126">
        <v>25920</v>
      </c>
      <c r="AB126">
        <v>96</v>
      </c>
      <c r="AC126">
        <v>4</v>
      </c>
      <c r="AD126">
        <v>4</v>
      </c>
      <c r="AE126">
        <v>310.29000000000002</v>
      </c>
      <c r="AF126" s="17">
        <v>37.417999999999999</v>
      </c>
      <c r="AG126" s="33">
        <v>45307</v>
      </c>
      <c r="AH126" s="34">
        <v>0.5304861111111111</v>
      </c>
      <c r="AI126">
        <v>0</v>
      </c>
      <c r="AJ126">
        <v>0</v>
      </c>
      <c r="AK126">
        <v>0</v>
      </c>
      <c r="AL126">
        <v>0</v>
      </c>
      <c r="AM126">
        <v>0</v>
      </c>
      <c r="AN126">
        <v>0</v>
      </c>
      <c r="AO126">
        <v>0</v>
      </c>
      <c r="AP126">
        <v>0</v>
      </c>
      <c r="AQ126">
        <v>0</v>
      </c>
      <c r="AR126">
        <v>0</v>
      </c>
      <c r="AS126">
        <v>0</v>
      </c>
      <c r="AT126">
        <v>0</v>
      </c>
      <c r="AU126" s="30">
        <f t="shared" ref="AU126" si="47">AU125</f>
        <v>37.431200000000004</v>
      </c>
      <c r="AV126" s="17"/>
    </row>
    <row r="127" spans="1:48" x14ac:dyDescent="0.25">
      <c r="A127">
        <v>2</v>
      </c>
      <c r="B127" t="s">
        <v>16</v>
      </c>
      <c r="C127">
        <v>25920</v>
      </c>
      <c r="D127">
        <v>96</v>
      </c>
      <c r="E127">
        <v>4</v>
      </c>
      <c r="F127">
        <v>4</v>
      </c>
      <c r="G127">
        <v>340.83</v>
      </c>
      <c r="H127" s="17">
        <v>34.064999999999998</v>
      </c>
      <c r="I127" s="33">
        <v>45308</v>
      </c>
      <c r="J127" s="37">
        <v>0.18534722222222222</v>
      </c>
      <c r="K127">
        <v>0</v>
      </c>
      <c r="L127">
        <v>0</v>
      </c>
      <c r="M127">
        <v>0</v>
      </c>
      <c r="N127">
        <v>0</v>
      </c>
      <c r="O127">
        <v>0</v>
      </c>
      <c r="P127">
        <v>0</v>
      </c>
      <c r="Q127">
        <v>0</v>
      </c>
      <c r="R127">
        <v>0</v>
      </c>
      <c r="S127">
        <v>0</v>
      </c>
      <c r="T127">
        <v>0</v>
      </c>
      <c r="U127">
        <v>0</v>
      </c>
      <c r="V127">
        <v>0</v>
      </c>
      <c r="W127" s="30">
        <f>W126</f>
        <v>34.084799999999994</v>
      </c>
      <c r="X127" s="17"/>
      <c r="Y127">
        <v>2</v>
      </c>
      <c r="Z127" t="s">
        <v>16</v>
      </c>
      <c r="AA127">
        <v>25920</v>
      </c>
      <c r="AB127">
        <v>96</v>
      </c>
      <c r="AC127">
        <v>4</v>
      </c>
      <c r="AD127">
        <v>4</v>
      </c>
      <c r="AE127">
        <v>310.24</v>
      </c>
      <c r="AF127" s="17">
        <v>37.423999999999999</v>
      </c>
      <c r="AG127" s="33">
        <v>45307</v>
      </c>
      <c r="AH127" s="34">
        <v>0.68423611111111116</v>
      </c>
      <c r="AI127">
        <v>0</v>
      </c>
      <c r="AJ127">
        <v>0</v>
      </c>
      <c r="AK127">
        <v>0</v>
      </c>
      <c r="AL127">
        <v>0</v>
      </c>
      <c r="AM127">
        <v>0</v>
      </c>
      <c r="AN127">
        <v>0</v>
      </c>
      <c r="AO127">
        <v>0</v>
      </c>
      <c r="AP127">
        <v>0</v>
      </c>
      <c r="AQ127">
        <v>0</v>
      </c>
      <c r="AR127">
        <v>0</v>
      </c>
      <c r="AS127">
        <v>0</v>
      </c>
      <c r="AT127">
        <v>0</v>
      </c>
      <c r="AU127" s="30">
        <f t="shared" si="31"/>
        <v>37.431200000000004</v>
      </c>
      <c r="AV127" s="17"/>
    </row>
    <row r="128" spans="1:48" x14ac:dyDescent="0.25">
      <c r="A128">
        <v>3</v>
      </c>
      <c r="B128" t="s">
        <v>16</v>
      </c>
      <c r="C128">
        <v>25920</v>
      </c>
      <c r="D128">
        <v>96</v>
      </c>
      <c r="E128">
        <v>4</v>
      </c>
      <c r="F128">
        <v>4</v>
      </c>
      <c r="G128">
        <v>340.6</v>
      </c>
      <c r="H128" s="17">
        <v>34.088999999999999</v>
      </c>
      <c r="I128" s="33">
        <v>45307</v>
      </c>
      <c r="J128" s="37">
        <v>0.58277777777777773</v>
      </c>
      <c r="K128">
        <v>0</v>
      </c>
      <c r="L128">
        <v>0</v>
      </c>
      <c r="M128">
        <v>0</v>
      </c>
      <c r="N128">
        <v>0</v>
      </c>
      <c r="O128">
        <v>0</v>
      </c>
      <c r="P128">
        <v>0</v>
      </c>
      <c r="Q128">
        <v>0</v>
      </c>
      <c r="R128">
        <v>0</v>
      </c>
      <c r="S128">
        <v>0</v>
      </c>
      <c r="T128">
        <v>0</v>
      </c>
      <c r="U128">
        <v>0</v>
      </c>
      <c r="V128">
        <v>0</v>
      </c>
      <c r="W128" s="30">
        <f>W127</f>
        <v>34.084799999999994</v>
      </c>
      <c r="X128" s="17"/>
      <c r="Y128">
        <v>3</v>
      </c>
      <c r="Z128" t="s">
        <v>16</v>
      </c>
      <c r="AA128">
        <v>25920</v>
      </c>
      <c r="AB128">
        <v>96</v>
      </c>
      <c r="AC128">
        <v>4</v>
      </c>
      <c r="AD128">
        <v>4</v>
      </c>
      <c r="AE128">
        <v>310.39999999999998</v>
      </c>
      <c r="AF128" s="17">
        <v>37.405999999999999</v>
      </c>
      <c r="AG128" s="33">
        <v>45307</v>
      </c>
      <c r="AH128" s="34">
        <v>0.62232638888888892</v>
      </c>
      <c r="AI128">
        <v>0</v>
      </c>
      <c r="AJ128">
        <v>0</v>
      </c>
      <c r="AK128">
        <v>0</v>
      </c>
      <c r="AL128">
        <v>0</v>
      </c>
      <c r="AM128">
        <v>0</v>
      </c>
      <c r="AN128">
        <v>0</v>
      </c>
      <c r="AO128">
        <v>0</v>
      </c>
      <c r="AP128">
        <v>0</v>
      </c>
      <c r="AQ128">
        <v>0</v>
      </c>
      <c r="AR128">
        <v>0</v>
      </c>
      <c r="AS128">
        <v>0</v>
      </c>
      <c r="AT128">
        <v>0</v>
      </c>
      <c r="AU128" s="30">
        <f t="shared" si="31"/>
        <v>37.431200000000004</v>
      </c>
      <c r="AV128" s="17"/>
    </row>
    <row r="129" spans="1:48" x14ac:dyDescent="0.25">
      <c r="A129">
        <v>4</v>
      </c>
      <c r="B129" t="s">
        <v>16</v>
      </c>
      <c r="C129">
        <v>25920</v>
      </c>
      <c r="D129">
        <v>96</v>
      </c>
      <c r="E129">
        <v>4</v>
      </c>
      <c r="F129">
        <v>4</v>
      </c>
      <c r="G129">
        <v>340.62</v>
      </c>
      <c r="H129" s="17">
        <v>34.085999999999999</v>
      </c>
      <c r="I129" s="33">
        <v>45307</v>
      </c>
      <c r="J129" s="37">
        <v>0.92571759259259256</v>
      </c>
      <c r="K129">
        <v>0</v>
      </c>
      <c r="L129">
        <v>0</v>
      </c>
      <c r="M129">
        <v>0</v>
      </c>
      <c r="N129">
        <v>0</v>
      </c>
      <c r="O129">
        <v>0</v>
      </c>
      <c r="P129">
        <v>0</v>
      </c>
      <c r="Q129">
        <v>0</v>
      </c>
      <c r="R129">
        <v>0</v>
      </c>
      <c r="S129">
        <v>0</v>
      </c>
      <c r="T129">
        <v>0</v>
      </c>
      <c r="U129">
        <v>0</v>
      </c>
      <c r="V129">
        <v>0</v>
      </c>
      <c r="W129" s="30">
        <f>W128</f>
        <v>34.084799999999994</v>
      </c>
      <c r="X129" s="17"/>
      <c r="Y129">
        <v>4</v>
      </c>
      <c r="Z129" t="s">
        <v>16</v>
      </c>
      <c r="AA129">
        <v>25920</v>
      </c>
      <c r="AB129">
        <v>96</v>
      </c>
      <c r="AC129">
        <v>4</v>
      </c>
      <c r="AD129">
        <v>4</v>
      </c>
      <c r="AE129">
        <v>310.08</v>
      </c>
      <c r="AF129" s="17">
        <v>37.442999999999998</v>
      </c>
      <c r="AG129" s="33">
        <v>45307</v>
      </c>
      <c r="AH129" s="34">
        <v>0.49724537037037037</v>
      </c>
      <c r="AI129">
        <v>0</v>
      </c>
      <c r="AJ129">
        <v>0</v>
      </c>
      <c r="AK129">
        <v>0</v>
      </c>
      <c r="AL129">
        <v>0</v>
      </c>
      <c r="AM129">
        <v>0</v>
      </c>
      <c r="AN129">
        <v>0</v>
      </c>
      <c r="AO129">
        <v>0</v>
      </c>
      <c r="AP129">
        <v>0</v>
      </c>
      <c r="AQ129">
        <v>0</v>
      </c>
      <c r="AR129">
        <v>0</v>
      </c>
      <c r="AS129">
        <v>0</v>
      </c>
      <c r="AT129">
        <v>0</v>
      </c>
      <c r="AU129" s="30">
        <f t="shared" si="31"/>
        <v>37.431200000000004</v>
      </c>
      <c r="AV129" s="17"/>
    </row>
    <row r="130" spans="1:48" x14ac:dyDescent="0.25">
      <c r="A130">
        <v>0</v>
      </c>
      <c r="B130" t="s">
        <v>16</v>
      </c>
      <c r="C130">
        <v>27456</v>
      </c>
      <c r="D130">
        <v>96</v>
      </c>
      <c r="E130">
        <v>4</v>
      </c>
      <c r="F130">
        <v>4</v>
      </c>
      <c r="G130">
        <v>403.7</v>
      </c>
      <c r="H130" s="17">
        <v>34.182000000000002</v>
      </c>
      <c r="I130" s="33">
        <v>45307</v>
      </c>
      <c r="J130" s="37">
        <v>0.54303240740740744</v>
      </c>
      <c r="K130">
        <v>0</v>
      </c>
      <c r="L130">
        <v>0</v>
      </c>
      <c r="M130">
        <v>0</v>
      </c>
      <c r="N130">
        <v>0</v>
      </c>
      <c r="O130">
        <v>0</v>
      </c>
      <c r="P130">
        <v>0</v>
      </c>
      <c r="Q130">
        <v>0</v>
      </c>
      <c r="R130">
        <v>0</v>
      </c>
      <c r="S130">
        <v>0</v>
      </c>
      <c r="T130">
        <v>0</v>
      </c>
      <c r="U130">
        <v>0</v>
      </c>
      <c r="V130">
        <v>0</v>
      </c>
      <c r="W130" s="30">
        <f>AVERAGE(H130:H134)</f>
        <v>34.176400000000001</v>
      </c>
      <c r="X130" s="17"/>
      <c r="Y130">
        <v>0</v>
      </c>
      <c r="Z130" t="s">
        <v>16</v>
      </c>
      <c r="AA130">
        <v>27456</v>
      </c>
      <c r="AB130">
        <v>96</v>
      </c>
      <c r="AC130">
        <v>4</v>
      </c>
      <c r="AD130">
        <v>4</v>
      </c>
      <c r="AE130">
        <v>363.07</v>
      </c>
      <c r="AF130" s="17">
        <v>38.006999999999998</v>
      </c>
      <c r="AG130" s="33">
        <v>45307</v>
      </c>
      <c r="AH130" s="34">
        <v>0.50207175925925929</v>
      </c>
      <c r="AI130">
        <v>0</v>
      </c>
      <c r="AJ130">
        <v>0</v>
      </c>
      <c r="AK130">
        <v>0</v>
      </c>
      <c r="AL130">
        <v>0</v>
      </c>
      <c r="AM130">
        <v>0</v>
      </c>
      <c r="AN130">
        <v>0</v>
      </c>
      <c r="AO130">
        <v>0</v>
      </c>
      <c r="AP130">
        <v>0</v>
      </c>
      <c r="AQ130">
        <v>0</v>
      </c>
      <c r="AR130">
        <v>0</v>
      </c>
      <c r="AS130">
        <v>0</v>
      </c>
      <c r="AT130">
        <v>0</v>
      </c>
      <c r="AU130" s="30">
        <f t="shared" ref="AU130" si="48">AVERAGE(AF130:AF134)</f>
        <v>37.997399999999999</v>
      </c>
      <c r="AV130" s="17"/>
    </row>
    <row r="131" spans="1:48" x14ac:dyDescent="0.25">
      <c r="A131">
        <v>1</v>
      </c>
      <c r="B131" t="s">
        <v>16</v>
      </c>
      <c r="C131">
        <v>27456</v>
      </c>
      <c r="D131">
        <v>96</v>
      </c>
      <c r="E131">
        <v>4</v>
      </c>
      <c r="F131">
        <v>4</v>
      </c>
      <c r="G131">
        <v>403.75</v>
      </c>
      <c r="H131" s="17">
        <v>34.177</v>
      </c>
      <c r="I131" s="33">
        <v>45307</v>
      </c>
      <c r="J131" s="37">
        <v>0.74012731481481486</v>
      </c>
      <c r="K131">
        <v>0</v>
      </c>
      <c r="L131">
        <v>0</v>
      </c>
      <c r="M131">
        <v>0</v>
      </c>
      <c r="N131">
        <v>0</v>
      </c>
      <c r="O131">
        <v>0</v>
      </c>
      <c r="P131">
        <v>0</v>
      </c>
      <c r="Q131">
        <v>0</v>
      </c>
      <c r="R131">
        <v>0</v>
      </c>
      <c r="S131">
        <v>0</v>
      </c>
      <c r="T131">
        <v>0</v>
      </c>
      <c r="U131">
        <v>0</v>
      </c>
      <c r="V131">
        <v>0</v>
      </c>
      <c r="W131" s="30">
        <f>W130</f>
        <v>34.176400000000001</v>
      </c>
      <c r="X131" s="17"/>
      <c r="Y131">
        <v>1</v>
      </c>
      <c r="Z131" t="s">
        <v>16</v>
      </c>
      <c r="AA131">
        <v>27456</v>
      </c>
      <c r="AB131">
        <v>96</v>
      </c>
      <c r="AC131">
        <v>4</v>
      </c>
      <c r="AD131">
        <v>4</v>
      </c>
      <c r="AE131">
        <v>363.37</v>
      </c>
      <c r="AF131" s="17">
        <v>37.975000000000001</v>
      </c>
      <c r="AG131" s="33">
        <v>45307</v>
      </c>
      <c r="AH131" s="34">
        <v>0.76528935185185187</v>
      </c>
      <c r="AI131">
        <v>0</v>
      </c>
      <c r="AJ131">
        <v>0</v>
      </c>
      <c r="AK131">
        <v>0</v>
      </c>
      <c r="AL131">
        <v>0</v>
      </c>
      <c r="AM131">
        <v>0</v>
      </c>
      <c r="AN131">
        <v>0</v>
      </c>
      <c r="AO131">
        <v>0</v>
      </c>
      <c r="AP131">
        <v>0</v>
      </c>
      <c r="AQ131">
        <v>0</v>
      </c>
      <c r="AR131">
        <v>0</v>
      </c>
      <c r="AS131">
        <v>0</v>
      </c>
      <c r="AT131">
        <v>0</v>
      </c>
      <c r="AU131" s="30">
        <f t="shared" ref="AU131" si="49">AU130</f>
        <v>37.997399999999999</v>
      </c>
      <c r="AV131" s="17"/>
    </row>
    <row r="132" spans="1:48" x14ac:dyDescent="0.25">
      <c r="A132">
        <v>2</v>
      </c>
      <c r="B132" t="s">
        <v>16</v>
      </c>
      <c r="C132">
        <v>27456</v>
      </c>
      <c r="D132">
        <v>96</v>
      </c>
      <c r="E132">
        <v>4</v>
      </c>
      <c r="F132">
        <v>4</v>
      </c>
      <c r="G132">
        <v>403.71</v>
      </c>
      <c r="H132" s="17">
        <v>34.180999999999997</v>
      </c>
      <c r="I132" s="33">
        <v>45308</v>
      </c>
      <c r="J132" s="37">
        <v>8.0763888888888885E-2</v>
      </c>
      <c r="K132">
        <v>0</v>
      </c>
      <c r="L132">
        <v>0</v>
      </c>
      <c r="M132">
        <v>0</v>
      </c>
      <c r="N132">
        <v>0</v>
      </c>
      <c r="O132">
        <v>0</v>
      </c>
      <c r="P132">
        <v>0</v>
      </c>
      <c r="Q132">
        <v>0</v>
      </c>
      <c r="R132">
        <v>0</v>
      </c>
      <c r="S132">
        <v>0</v>
      </c>
      <c r="T132">
        <v>0</v>
      </c>
      <c r="U132">
        <v>0</v>
      </c>
      <c r="V132">
        <v>0</v>
      </c>
      <c r="W132" s="30">
        <f>W131</f>
        <v>34.176400000000001</v>
      </c>
      <c r="X132" s="17"/>
      <c r="Y132">
        <v>2</v>
      </c>
      <c r="Z132" t="s">
        <v>16</v>
      </c>
      <c r="AA132">
        <v>27456</v>
      </c>
      <c r="AB132">
        <v>96</v>
      </c>
      <c r="AC132">
        <v>4</v>
      </c>
      <c r="AD132">
        <v>4</v>
      </c>
      <c r="AE132">
        <v>363.31</v>
      </c>
      <c r="AF132" s="17">
        <v>37.981999999999999</v>
      </c>
      <c r="AG132" s="33">
        <v>45307</v>
      </c>
      <c r="AH132" s="34">
        <v>0.60543981481481479</v>
      </c>
      <c r="AI132">
        <v>0</v>
      </c>
      <c r="AJ132">
        <v>0</v>
      </c>
      <c r="AK132">
        <v>0</v>
      </c>
      <c r="AL132">
        <v>0</v>
      </c>
      <c r="AM132">
        <v>0</v>
      </c>
      <c r="AN132">
        <v>0</v>
      </c>
      <c r="AO132">
        <v>0</v>
      </c>
      <c r="AP132">
        <v>0</v>
      </c>
      <c r="AQ132">
        <v>0</v>
      </c>
      <c r="AR132">
        <v>0</v>
      </c>
      <c r="AS132">
        <v>0</v>
      </c>
      <c r="AT132">
        <v>0</v>
      </c>
      <c r="AU132" s="30">
        <f t="shared" si="33"/>
        <v>37.997399999999999</v>
      </c>
      <c r="AV132" s="17"/>
    </row>
    <row r="133" spans="1:48" x14ac:dyDescent="0.25">
      <c r="A133">
        <v>3</v>
      </c>
      <c r="B133" t="s">
        <v>16</v>
      </c>
      <c r="C133">
        <v>27456</v>
      </c>
      <c r="D133">
        <v>96</v>
      </c>
      <c r="E133">
        <v>4</v>
      </c>
      <c r="F133">
        <v>4</v>
      </c>
      <c r="G133">
        <v>404</v>
      </c>
      <c r="H133" s="17">
        <v>34.156999999999996</v>
      </c>
      <c r="I133" s="33">
        <v>45308</v>
      </c>
      <c r="J133" s="37">
        <v>0.42387731481481478</v>
      </c>
      <c r="K133">
        <v>0</v>
      </c>
      <c r="L133">
        <v>0</v>
      </c>
      <c r="M133">
        <v>0</v>
      </c>
      <c r="N133">
        <v>0</v>
      </c>
      <c r="O133">
        <v>0</v>
      </c>
      <c r="P133">
        <v>0</v>
      </c>
      <c r="Q133">
        <v>0</v>
      </c>
      <c r="R133">
        <v>0</v>
      </c>
      <c r="S133">
        <v>0</v>
      </c>
      <c r="T133">
        <v>0</v>
      </c>
      <c r="U133">
        <v>0</v>
      </c>
      <c r="V133">
        <v>0</v>
      </c>
      <c r="W133" s="30">
        <f>W132</f>
        <v>34.176400000000001</v>
      </c>
      <c r="X133" s="17"/>
      <c r="Y133">
        <v>3</v>
      </c>
      <c r="Z133" t="s">
        <v>16</v>
      </c>
      <c r="AA133">
        <v>27456</v>
      </c>
      <c r="AB133">
        <v>96</v>
      </c>
      <c r="AC133">
        <v>4</v>
      </c>
      <c r="AD133">
        <v>4</v>
      </c>
      <c r="AE133">
        <v>362.84</v>
      </c>
      <c r="AF133" s="17">
        <v>38.030999999999999</v>
      </c>
      <c r="AG133" s="33">
        <v>45307</v>
      </c>
      <c r="AH133" s="34">
        <v>0.54353009259259266</v>
      </c>
      <c r="AI133">
        <v>0</v>
      </c>
      <c r="AJ133">
        <v>0</v>
      </c>
      <c r="AK133">
        <v>0</v>
      </c>
      <c r="AL133">
        <v>0</v>
      </c>
      <c r="AM133">
        <v>0</v>
      </c>
      <c r="AN133">
        <v>0</v>
      </c>
      <c r="AO133">
        <v>0</v>
      </c>
      <c r="AP133">
        <v>0</v>
      </c>
      <c r="AQ133">
        <v>0</v>
      </c>
      <c r="AR133">
        <v>0</v>
      </c>
      <c r="AS133">
        <v>0</v>
      </c>
      <c r="AT133">
        <v>0</v>
      </c>
      <c r="AU133" s="30">
        <f t="shared" si="33"/>
        <v>37.997399999999999</v>
      </c>
      <c r="AV133" s="17"/>
    </row>
    <row r="134" spans="1:48" x14ac:dyDescent="0.25">
      <c r="A134">
        <v>4</v>
      </c>
      <c r="B134" t="s">
        <v>16</v>
      </c>
      <c r="C134">
        <v>27456</v>
      </c>
      <c r="D134">
        <v>96</v>
      </c>
      <c r="E134">
        <v>4</v>
      </c>
      <c r="F134">
        <v>4</v>
      </c>
      <c r="G134">
        <v>403.66</v>
      </c>
      <c r="H134" s="17">
        <v>34.185000000000002</v>
      </c>
      <c r="I134" s="33">
        <v>45307</v>
      </c>
      <c r="J134" s="37">
        <v>0.82111111111111112</v>
      </c>
      <c r="K134">
        <v>0</v>
      </c>
      <c r="L134">
        <v>0</v>
      </c>
      <c r="M134">
        <v>0</v>
      </c>
      <c r="N134">
        <v>0</v>
      </c>
      <c r="O134">
        <v>0</v>
      </c>
      <c r="P134">
        <v>0</v>
      </c>
      <c r="Q134">
        <v>0</v>
      </c>
      <c r="R134">
        <v>0</v>
      </c>
      <c r="S134">
        <v>0</v>
      </c>
      <c r="T134">
        <v>0</v>
      </c>
      <c r="U134">
        <v>0</v>
      </c>
      <c r="V134">
        <v>0</v>
      </c>
      <c r="W134" s="30">
        <f>W133</f>
        <v>34.176400000000001</v>
      </c>
      <c r="X134" s="17"/>
      <c r="Y134">
        <v>4</v>
      </c>
      <c r="Z134" t="s">
        <v>16</v>
      </c>
      <c r="AA134">
        <v>27456</v>
      </c>
      <c r="AB134">
        <v>96</v>
      </c>
      <c r="AC134">
        <v>4</v>
      </c>
      <c r="AD134">
        <v>4</v>
      </c>
      <c r="AE134">
        <v>363.22</v>
      </c>
      <c r="AF134" s="17">
        <v>37.991999999999997</v>
      </c>
      <c r="AG134" s="33">
        <v>45307</v>
      </c>
      <c r="AH134" s="34">
        <v>0.80672453703703706</v>
      </c>
      <c r="AI134">
        <v>0</v>
      </c>
      <c r="AJ134">
        <v>0</v>
      </c>
      <c r="AK134">
        <v>0</v>
      </c>
      <c r="AL134">
        <v>0</v>
      </c>
      <c r="AM134">
        <v>0</v>
      </c>
      <c r="AN134">
        <v>0</v>
      </c>
      <c r="AO134">
        <v>0</v>
      </c>
      <c r="AP134">
        <v>0</v>
      </c>
      <c r="AQ134">
        <v>0</v>
      </c>
      <c r="AR134">
        <v>0</v>
      </c>
      <c r="AS134">
        <v>0</v>
      </c>
      <c r="AT134">
        <v>0</v>
      </c>
      <c r="AU134" s="30">
        <f t="shared" si="33"/>
        <v>37.997399999999999</v>
      </c>
      <c r="AV134" s="17"/>
    </row>
    <row r="135" spans="1:48" x14ac:dyDescent="0.25">
      <c r="A135">
        <v>0</v>
      </c>
      <c r="B135" t="s">
        <v>16</v>
      </c>
      <c r="C135">
        <v>28992</v>
      </c>
      <c r="D135">
        <v>96</v>
      </c>
      <c r="E135">
        <v>4</v>
      </c>
      <c r="F135">
        <v>4</v>
      </c>
      <c r="G135">
        <v>460.8</v>
      </c>
      <c r="H135" s="17">
        <v>35.259</v>
      </c>
      <c r="I135" s="33">
        <v>45307</v>
      </c>
      <c r="J135" s="37">
        <v>0.61774305555555553</v>
      </c>
      <c r="K135">
        <v>0</v>
      </c>
      <c r="L135">
        <v>0</v>
      </c>
      <c r="M135">
        <v>0</v>
      </c>
      <c r="N135">
        <v>0</v>
      </c>
      <c r="O135">
        <v>0</v>
      </c>
      <c r="P135">
        <v>0</v>
      </c>
      <c r="Q135">
        <v>0</v>
      </c>
      <c r="R135">
        <v>0</v>
      </c>
      <c r="S135">
        <v>0</v>
      </c>
      <c r="T135">
        <v>0</v>
      </c>
      <c r="U135">
        <v>0</v>
      </c>
      <c r="V135">
        <v>0</v>
      </c>
      <c r="W135" s="30">
        <f>AVERAGE(H135:H139)</f>
        <v>35.2254</v>
      </c>
      <c r="X135" s="17"/>
      <c r="Y135">
        <v>0</v>
      </c>
      <c r="Z135" t="s">
        <v>16</v>
      </c>
      <c r="AA135">
        <v>28992</v>
      </c>
      <c r="AB135">
        <v>96</v>
      </c>
      <c r="AC135">
        <v>4</v>
      </c>
      <c r="AD135">
        <v>4</v>
      </c>
      <c r="AE135">
        <v>418.28</v>
      </c>
      <c r="AF135" s="17">
        <v>38.843000000000004</v>
      </c>
      <c r="AG135" s="33">
        <v>45307</v>
      </c>
      <c r="AH135" s="34">
        <v>0.67339120370370376</v>
      </c>
      <c r="AI135">
        <v>0</v>
      </c>
      <c r="AJ135">
        <v>0</v>
      </c>
      <c r="AK135">
        <v>0</v>
      </c>
      <c r="AL135">
        <v>0</v>
      </c>
      <c r="AM135">
        <v>0</v>
      </c>
      <c r="AN135">
        <v>0</v>
      </c>
      <c r="AO135">
        <v>0</v>
      </c>
      <c r="AP135">
        <v>0</v>
      </c>
      <c r="AQ135">
        <v>0</v>
      </c>
      <c r="AR135">
        <v>0</v>
      </c>
      <c r="AS135">
        <v>0</v>
      </c>
      <c r="AT135">
        <v>0</v>
      </c>
      <c r="AU135" s="30">
        <f t="shared" ref="AU135" si="50">AVERAGE(AF135:AF139)</f>
        <v>38.8172</v>
      </c>
      <c r="AV135" s="17"/>
    </row>
    <row r="136" spans="1:48" x14ac:dyDescent="0.25">
      <c r="A136">
        <v>1</v>
      </c>
      <c r="B136" t="s">
        <v>16</v>
      </c>
      <c r="C136">
        <v>28992</v>
      </c>
      <c r="D136">
        <v>96</v>
      </c>
      <c r="E136">
        <v>4</v>
      </c>
      <c r="F136">
        <v>4</v>
      </c>
      <c r="G136">
        <v>461.22</v>
      </c>
      <c r="H136" s="17">
        <v>35.225999999999999</v>
      </c>
      <c r="I136" s="33">
        <v>45307</v>
      </c>
      <c r="J136" s="37">
        <v>0.95834490740740741</v>
      </c>
      <c r="K136">
        <v>0</v>
      </c>
      <c r="L136">
        <v>0</v>
      </c>
      <c r="M136">
        <v>0</v>
      </c>
      <c r="N136">
        <v>0</v>
      </c>
      <c r="O136">
        <v>0</v>
      </c>
      <c r="P136">
        <v>0</v>
      </c>
      <c r="Q136">
        <v>0</v>
      </c>
      <c r="R136">
        <v>0</v>
      </c>
      <c r="S136">
        <v>0</v>
      </c>
      <c r="T136">
        <v>0</v>
      </c>
      <c r="U136">
        <v>0</v>
      </c>
      <c r="V136">
        <v>0</v>
      </c>
      <c r="W136" s="30">
        <f>W135</f>
        <v>35.2254</v>
      </c>
      <c r="X136" s="17"/>
      <c r="Y136">
        <v>1</v>
      </c>
      <c r="Z136" t="s">
        <v>16</v>
      </c>
      <c r="AA136">
        <v>28992</v>
      </c>
      <c r="AB136">
        <v>96</v>
      </c>
      <c r="AC136">
        <v>4</v>
      </c>
      <c r="AD136">
        <v>4</v>
      </c>
      <c r="AE136">
        <v>418.31</v>
      </c>
      <c r="AF136" s="17">
        <v>38.840000000000003</v>
      </c>
      <c r="AG136" s="33">
        <v>45307</v>
      </c>
      <c r="AH136" s="34">
        <v>0.51342592592592595</v>
      </c>
      <c r="AI136">
        <v>0</v>
      </c>
      <c r="AJ136">
        <v>0</v>
      </c>
      <c r="AK136">
        <v>0</v>
      </c>
      <c r="AL136">
        <v>0</v>
      </c>
      <c r="AM136">
        <v>0</v>
      </c>
      <c r="AN136">
        <v>0</v>
      </c>
      <c r="AO136">
        <v>0</v>
      </c>
      <c r="AP136">
        <v>0</v>
      </c>
      <c r="AQ136">
        <v>0</v>
      </c>
      <c r="AR136">
        <v>0</v>
      </c>
      <c r="AS136">
        <v>0</v>
      </c>
      <c r="AT136">
        <v>0</v>
      </c>
      <c r="AU136" s="30">
        <f t="shared" ref="AU136" si="51">AU135</f>
        <v>38.8172</v>
      </c>
      <c r="AV136" s="17"/>
    </row>
    <row r="137" spans="1:48" x14ac:dyDescent="0.25">
      <c r="A137">
        <v>2</v>
      </c>
      <c r="B137" t="s">
        <v>16</v>
      </c>
      <c r="C137">
        <v>28992</v>
      </c>
      <c r="D137">
        <v>96</v>
      </c>
      <c r="E137">
        <v>4</v>
      </c>
      <c r="F137">
        <v>4</v>
      </c>
      <c r="G137">
        <v>461.32</v>
      </c>
      <c r="H137" s="17">
        <v>35.219000000000001</v>
      </c>
      <c r="I137" s="33">
        <v>45308</v>
      </c>
      <c r="J137" s="37">
        <v>0.30138888888888887</v>
      </c>
      <c r="K137">
        <v>0</v>
      </c>
      <c r="L137">
        <v>0</v>
      </c>
      <c r="M137">
        <v>0</v>
      </c>
      <c r="N137">
        <v>0</v>
      </c>
      <c r="O137">
        <v>0</v>
      </c>
      <c r="P137">
        <v>0</v>
      </c>
      <c r="Q137">
        <v>0</v>
      </c>
      <c r="R137">
        <v>0</v>
      </c>
      <c r="S137">
        <v>0</v>
      </c>
      <c r="T137">
        <v>0</v>
      </c>
      <c r="U137">
        <v>0</v>
      </c>
      <c r="V137">
        <v>0</v>
      </c>
      <c r="W137" s="30">
        <f>W136</f>
        <v>35.2254</v>
      </c>
      <c r="X137" s="17"/>
      <c r="Y137">
        <v>2</v>
      </c>
      <c r="Z137" t="s">
        <v>16</v>
      </c>
      <c r="AA137">
        <v>28992</v>
      </c>
      <c r="AB137">
        <v>96</v>
      </c>
      <c r="AC137">
        <v>4</v>
      </c>
      <c r="AD137">
        <v>4</v>
      </c>
      <c r="AE137">
        <v>418.81</v>
      </c>
      <c r="AF137" s="17">
        <v>38.793999999999997</v>
      </c>
      <c r="AG137" s="33">
        <v>45307</v>
      </c>
      <c r="AH137" s="34">
        <v>0.77630787037037041</v>
      </c>
      <c r="AI137">
        <v>0</v>
      </c>
      <c r="AJ137">
        <v>0</v>
      </c>
      <c r="AK137">
        <v>0</v>
      </c>
      <c r="AL137">
        <v>0</v>
      </c>
      <c r="AM137">
        <v>0</v>
      </c>
      <c r="AN137">
        <v>0</v>
      </c>
      <c r="AO137">
        <v>0</v>
      </c>
      <c r="AP137">
        <v>0</v>
      </c>
      <c r="AQ137">
        <v>0</v>
      </c>
      <c r="AR137">
        <v>0</v>
      </c>
      <c r="AS137">
        <v>0</v>
      </c>
      <c r="AT137">
        <v>0</v>
      </c>
      <c r="AU137" s="30">
        <f t="shared" si="31"/>
        <v>38.8172</v>
      </c>
      <c r="AV137" s="17"/>
    </row>
    <row r="138" spans="1:48" x14ac:dyDescent="0.25">
      <c r="A138">
        <v>3</v>
      </c>
      <c r="B138" t="s">
        <v>16</v>
      </c>
      <c r="C138">
        <v>28992</v>
      </c>
      <c r="D138">
        <v>96</v>
      </c>
      <c r="E138">
        <v>4</v>
      </c>
      <c r="F138">
        <v>4</v>
      </c>
      <c r="G138">
        <v>461.56</v>
      </c>
      <c r="H138" s="17">
        <v>35.201000000000001</v>
      </c>
      <c r="I138" s="33">
        <v>45307</v>
      </c>
      <c r="J138" s="37">
        <v>0.69868055555555564</v>
      </c>
      <c r="K138">
        <v>0</v>
      </c>
      <c r="L138">
        <v>0</v>
      </c>
      <c r="M138">
        <v>0</v>
      </c>
      <c r="N138">
        <v>0</v>
      </c>
      <c r="O138">
        <v>0</v>
      </c>
      <c r="P138">
        <v>0</v>
      </c>
      <c r="Q138">
        <v>0</v>
      </c>
      <c r="R138">
        <v>0</v>
      </c>
      <c r="S138">
        <v>0</v>
      </c>
      <c r="T138">
        <v>0</v>
      </c>
      <c r="U138">
        <v>0</v>
      </c>
      <c r="V138">
        <v>0</v>
      </c>
      <c r="W138" s="30">
        <f>W137</f>
        <v>35.2254</v>
      </c>
      <c r="X138" s="17"/>
      <c r="Y138">
        <v>3</v>
      </c>
      <c r="Z138" t="s">
        <v>16</v>
      </c>
      <c r="AA138">
        <v>28992</v>
      </c>
      <c r="AB138">
        <v>96</v>
      </c>
      <c r="AC138">
        <v>4</v>
      </c>
      <c r="AD138">
        <v>4</v>
      </c>
      <c r="AE138">
        <v>418.91</v>
      </c>
      <c r="AF138" s="17">
        <v>38.783999999999999</v>
      </c>
      <c r="AG138" s="33">
        <v>45307</v>
      </c>
      <c r="AH138" s="34">
        <v>0.71488425925925936</v>
      </c>
      <c r="AI138">
        <v>0</v>
      </c>
      <c r="AJ138">
        <v>0</v>
      </c>
      <c r="AK138">
        <v>0</v>
      </c>
      <c r="AL138">
        <v>0</v>
      </c>
      <c r="AM138">
        <v>0</v>
      </c>
      <c r="AN138">
        <v>0</v>
      </c>
      <c r="AO138">
        <v>0</v>
      </c>
      <c r="AP138">
        <v>0</v>
      </c>
      <c r="AQ138">
        <v>0</v>
      </c>
      <c r="AR138">
        <v>0</v>
      </c>
      <c r="AS138">
        <v>0</v>
      </c>
      <c r="AT138">
        <v>0</v>
      </c>
      <c r="AU138" s="30">
        <f t="shared" si="31"/>
        <v>38.8172</v>
      </c>
      <c r="AV138" s="17"/>
    </row>
    <row r="139" spans="1:48" x14ac:dyDescent="0.25">
      <c r="A139">
        <v>4</v>
      </c>
      <c r="B139" t="s">
        <v>16</v>
      </c>
      <c r="C139">
        <v>28992</v>
      </c>
      <c r="D139">
        <v>96</v>
      </c>
      <c r="E139">
        <v>4</v>
      </c>
      <c r="F139">
        <v>4</v>
      </c>
      <c r="G139">
        <v>461.28</v>
      </c>
      <c r="H139" s="17">
        <v>35.222000000000001</v>
      </c>
      <c r="I139" s="33">
        <v>45308</v>
      </c>
      <c r="J139" s="37">
        <v>4.0347222222222222E-2</v>
      </c>
      <c r="K139">
        <v>0</v>
      </c>
      <c r="L139">
        <v>0</v>
      </c>
      <c r="M139">
        <v>0</v>
      </c>
      <c r="N139">
        <v>0</v>
      </c>
      <c r="O139">
        <v>0</v>
      </c>
      <c r="P139">
        <v>0</v>
      </c>
      <c r="Q139">
        <v>0</v>
      </c>
      <c r="R139">
        <v>0</v>
      </c>
      <c r="S139">
        <v>0</v>
      </c>
      <c r="T139">
        <v>0</v>
      </c>
      <c r="U139">
        <v>0</v>
      </c>
      <c r="V139">
        <v>0</v>
      </c>
      <c r="W139" s="30">
        <f>W138</f>
        <v>35.2254</v>
      </c>
      <c r="X139" s="17"/>
      <c r="Y139">
        <v>4</v>
      </c>
      <c r="Z139" t="s">
        <v>16</v>
      </c>
      <c r="AA139">
        <v>28992</v>
      </c>
      <c r="AB139">
        <v>96</v>
      </c>
      <c r="AC139">
        <v>4</v>
      </c>
      <c r="AD139">
        <v>4</v>
      </c>
      <c r="AE139">
        <v>418.47</v>
      </c>
      <c r="AF139" s="17">
        <v>38.825000000000003</v>
      </c>
      <c r="AG139" s="33">
        <v>45307</v>
      </c>
      <c r="AH139" s="34">
        <v>0.5083333333333333</v>
      </c>
      <c r="AI139">
        <v>0</v>
      </c>
      <c r="AJ139">
        <v>0</v>
      </c>
      <c r="AK139">
        <v>0</v>
      </c>
      <c r="AL139">
        <v>0</v>
      </c>
      <c r="AM139">
        <v>0</v>
      </c>
      <c r="AN139">
        <v>0</v>
      </c>
      <c r="AO139">
        <v>0</v>
      </c>
      <c r="AP139">
        <v>0</v>
      </c>
      <c r="AQ139">
        <v>0</v>
      </c>
      <c r="AR139">
        <v>0</v>
      </c>
      <c r="AS139">
        <v>0</v>
      </c>
      <c r="AT139">
        <v>0</v>
      </c>
      <c r="AU139" s="30">
        <f t="shared" si="31"/>
        <v>38.8172</v>
      </c>
      <c r="AV139" s="17"/>
    </row>
    <row r="140" spans="1:48" x14ac:dyDescent="0.25">
      <c r="A140">
        <v>0</v>
      </c>
      <c r="B140" t="s">
        <v>16</v>
      </c>
      <c r="C140">
        <v>25984</v>
      </c>
      <c r="D140">
        <v>128</v>
      </c>
      <c r="E140">
        <v>1</v>
      </c>
      <c r="F140">
        <v>16</v>
      </c>
      <c r="G140">
        <v>332.84</v>
      </c>
      <c r="H140" s="17">
        <v>35.142000000000003</v>
      </c>
      <c r="I140" s="33">
        <v>45307</v>
      </c>
      <c r="J140" s="37">
        <v>0.48018518518518521</v>
      </c>
      <c r="K140">
        <v>0</v>
      </c>
      <c r="L140">
        <v>0</v>
      </c>
      <c r="M140">
        <v>0</v>
      </c>
      <c r="N140">
        <v>0</v>
      </c>
      <c r="O140">
        <v>0</v>
      </c>
      <c r="P140">
        <v>0</v>
      </c>
      <c r="Q140">
        <v>0</v>
      </c>
      <c r="R140">
        <v>0</v>
      </c>
      <c r="S140">
        <v>0</v>
      </c>
      <c r="T140">
        <v>0</v>
      </c>
      <c r="U140">
        <v>0</v>
      </c>
      <c r="V140">
        <v>0</v>
      </c>
      <c r="W140" s="30">
        <f>AVERAGE(H140:H144)</f>
        <v>35.141599999999997</v>
      </c>
      <c r="X140" s="17"/>
      <c r="Y140">
        <v>0</v>
      </c>
      <c r="Z140" t="s">
        <v>16</v>
      </c>
      <c r="AA140">
        <v>25984</v>
      </c>
      <c r="AB140">
        <v>128</v>
      </c>
      <c r="AC140">
        <v>1</v>
      </c>
      <c r="AD140">
        <v>16</v>
      </c>
      <c r="AE140">
        <v>311.33</v>
      </c>
      <c r="AF140" s="17">
        <v>37.57</v>
      </c>
      <c r="AG140" s="33">
        <v>45307</v>
      </c>
      <c r="AH140" s="34">
        <v>0.56043981481481475</v>
      </c>
      <c r="AI140">
        <v>0</v>
      </c>
      <c r="AJ140">
        <v>0</v>
      </c>
      <c r="AK140">
        <v>0</v>
      </c>
      <c r="AL140">
        <v>0</v>
      </c>
      <c r="AM140">
        <v>0</v>
      </c>
      <c r="AN140">
        <v>0</v>
      </c>
      <c r="AO140">
        <v>0</v>
      </c>
      <c r="AP140">
        <v>0</v>
      </c>
      <c r="AQ140">
        <v>0</v>
      </c>
      <c r="AR140">
        <v>0</v>
      </c>
      <c r="AS140">
        <v>0</v>
      </c>
      <c r="AT140">
        <v>0</v>
      </c>
      <c r="AU140" s="30">
        <f t="shared" ref="AU140" si="52">AVERAGE(AF140:AF144)</f>
        <v>37.570799999999998</v>
      </c>
      <c r="AV140" s="17"/>
    </row>
    <row r="141" spans="1:48" x14ac:dyDescent="0.25">
      <c r="A141">
        <v>1</v>
      </c>
      <c r="B141" t="s">
        <v>16</v>
      </c>
      <c r="C141">
        <v>25984</v>
      </c>
      <c r="D141">
        <v>128</v>
      </c>
      <c r="E141">
        <v>1</v>
      </c>
      <c r="F141">
        <v>16</v>
      </c>
      <c r="G141">
        <v>332.79</v>
      </c>
      <c r="H141" s="17">
        <v>35.146999999999998</v>
      </c>
      <c r="I141" s="33">
        <v>45307</v>
      </c>
      <c r="J141" s="37">
        <v>0.82465277777777779</v>
      </c>
      <c r="K141">
        <v>0</v>
      </c>
      <c r="L141">
        <v>0</v>
      </c>
      <c r="M141">
        <v>0</v>
      </c>
      <c r="N141">
        <v>0</v>
      </c>
      <c r="O141">
        <v>0</v>
      </c>
      <c r="P141">
        <v>0</v>
      </c>
      <c r="Q141">
        <v>0</v>
      </c>
      <c r="R141">
        <v>0</v>
      </c>
      <c r="S141">
        <v>0</v>
      </c>
      <c r="T141">
        <v>0</v>
      </c>
      <c r="U141">
        <v>0</v>
      </c>
      <c r="V141">
        <v>0</v>
      </c>
      <c r="W141" s="30">
        <f>W140</f>
        <v>35.141599999999997</v>
      </c>
      <c r="X141" s="17"/>
      <c r="Y141">
        <v>1</v>
      </c>
      <c r="Z141" t="s">
        <v>16</v>
      </c>
      <c r="AA141">
        <v>25984</v>
      </c>
      <c r="AB141">
        <v>128</v>
      </c>
      <c r="AC141">
        <v>1</v>
      </c>
      <c r="AD141">
        <v>16</v>
      </c>
      <c r="AE141">
        <v>311.41000000000003</v>
      </c>
      <c r="AF141" s="17">
        <v>37.561</v>
      </c>
      <c r="AG141" s="33">
        <v>45307</v>
      </c>
      <c r="AH141" s="34">
        <v>0.51004629629629628</v>
      </c>
      <c r="AI141">
        <v>0</v>
      </c>
      <c r="AJ141">
        <v>0</v>
      </c>
      <c r="AK141">
        <v>0</v>
      </c>
      <c r="AL141">
        <v>0</v>
      </c>
      <c r="AM141">
        <v>0</v>
      </c>
      <c r="AN141">
        <v>0</v>
      </c>
      <c r="AO141">
        <v>0</v>
      </c>
      <c r="AP141">
        <v>0</v>
      </c>
      <c r="AQ141">
        <v>0</v>
      </c>
      <c r="AR141">
        <v>0</v>
      </c>
      <c r="AS141">
        <v>0</v>
      </c>
      <c r="AT141">
        <v>0</v>
      </c>
      <c r="AU141" s="30">
        <f t="shared" ref="AU141" si="53">AU140</f>
        <v>37.570799999999998</v>
      </c>
      <c r="AV141" s="17"/>
    </row>
    <row r="142" spans="1:48" x14ac:dyDescent="0.25">
      <c r="A142">
        <v>2</v>
      </c>
      <c r="B142" t="s">
        <v>16</v>
      </c>
      <c r="C142">
        <v>25984</v>
      </c>
      <c r="D142">
        <v>128</v>
      </c>
      <c r="E142">
        <v>1</v>
      </c>
      <c r="F142">
        <v>16</v>
      </c>
      <c r="G142">
        <v>332.94</v>
      </c>
      <c r="H142" s="17">
        <v>35.131</v>
      </c>
      <c r="I142" s="33">
        <v>45308</v>
      </c>
      <c r="J142" s="37">
        <v>0.16526620370370371</v>
      </c>
      <c r="K142">
        <v>0</v>
      </c>
      <c r="L142">
        <v>0</v>
      </c>
      <c r="M142">
        <v>0</v>
      </c>
      <c r="N142">
        <v>0</v>
      </c>
      <c r="O142">
        <v>0</v>
      </c>
      <c r="P142">
        <v>0</v>
      </c>
      <c r="Q142">
        <v>0</v>
      </c>
      <c r="R142">
        <v>0</v>
      </c>
      <c r="S142">
        <v>0</v>
      </c>
      <c r="T142">
        <v>0</v>
      </c>
      <c r="U142">
        <v>0</v>
      </c>
      <c r="V142">
        <v>0</v>
      </c>
      <c r="W142" s="30">
        <f>W141</f>
        <v>35.141599999999997</v>
      </c>
      <c r="X142" s="17"/>
      <c r="Y142">
        <v>2</v>
      </c>
      <c r="Z142" t="s">
        <v>16</v>
      </c>
      <c r="AA142">
        <v>25984</v>
      </c>
      <c r="AB142">
        <v>128</v>
      </c>
      <c r="AC142">
        <v>1</v>
      </c>
      <c r="AD142">
        <v>16</v>
      </c>
      <c r="AE142">
        <v>311.35000000000002</v>
      </c>
      <c r="AF142" s="17">
        <v>37.567999999999998</v>
      </c>
      <c r="AG142" s="33">
        <v>45307</v>
      </c>
      <c r="AH142" s="34">
        <v>0.66380787037037037</v>
      </c>
      <c r="AI142">
        <v>0</v>
      </c>
      <c r="AJ142">
        <v>0</v>
      </c>
      <c r="AK142">
        <v>0</v>
      </c>
      <c r="AL142">
        <v>0</v>
      </c>
      <c r="AM142">
        <v>0</v>
      </c>
      <c r="AN142">
        <v>0</v>
      </c>
      <c r="AO142">
        <v>0</v>
      </c>
      <c r="AP142">
        <v>0</v>
      </c>
      <c r="AQ142">
        <v>0</v>
      </c>
      <c r="AR142">
        <v>0</v>
      </c>
      <c r="AS142">
        <v>0</v>
      </c>
      <c r="AT142">
        <v>0</v>
      </c>
      <c r="AU142" s="30">
        <f t="shared" si="33"/>
        <v>37.570799999999998</v>
      </c>
      <c r="AV142" s="17"/>
    </row>
    <row r="143" spans="1:48" x14ac:dyDescent="0.25">
      <c r="A143">
        <v>3</v>
      </c>
      <c r="B143" t="s">
        <v>16</v>
      </c>
      <c r="C143">
        <v>25984</v>
      </c>
      <c r="D143">
        <v>128</v>
      </c>
      <c r="E143">
        <v>1</v>
      </c>
      <c r="F143">
        <v>16</v>
      </c>
      <c r="G143">
        <v>332.63</v>
      </c>
      <c r="H143" s="17">
        <v>35.164000000000001</v>
      </c>
      <c r="I143" s="33">
        <v>45307</v>
      </c>
      <c r="J143" s="37">
        <v>0.56269675925925922</v>
      </c>
      <c r="K143">
        <v>0</v>
      </c>
      <c r="L143">
        <v>0</v>
      </c>
      <c r="M143">
        <v>0</v>
      </c>
      <c r="N143">
        <v>0</v>
      </c>
      <c r="O143">
        <v>0</v>
      </c>
      <c r="P143">
        <v>0</v>
      </c>
      <c r="Q143">
        <v>0</v>
      </c>
      <c r="R143">
        <v>0</v>
      </c>
      <c r="S143">
        <v>0</v>
      </c>
      <c r="T143">
        <v>0</v>
      </c>
      <c r="U143">
        <v>0</v>
      </c>
      <c r="V143">
        <v>0</v>
      </c>
      <c r="W143" s="30">
        <f>W142</f>
        <v>35.141599999999997</v>
      </c>
      <c r="X143" s="17"/>
      <c r="Y143">
        <v>3</v>
      </c>
      <c r="Z143" t="s">
        <v>16</v>
      </c>
      <c r="AA143">
        <v>25984</v>
      </c>
      <c r="AB143">
        <v>128</v>
      </c>
      <c r="AC143">
        <v>1</v>
      </c>
      <c r="AD143">
        <v>16</v>
      </c>
      <c r="AE143">
        <v>311.42</v>
      </c>
      <c r="AF143" s="17">
        <v>37.558999999999997</v>
      </c>
      <c r="AG143" s="33">
        <v>45307</v>
      </c>
      <c r="AH143" s="34">
        <v>0.60188657407407409</v>
      </c>
      <c r="AI143">
        <v>0</v>
      </c>
      <c r="AJ143">
        <v>0</v>
      </c>
      <c r="AK143">
        <v>0</v>
      </c>
      <c r="AL143">
        <v>0</v>
      </c>
      <c r="AM143">
        <v>0</v>
      </c>
      <c r="AN143">
        <v>0</v>
      </c>
      <c r="AO143">
        <v>0</v>
      </c>
      <c r="AP143">
        <v>0</v>
      </c>
      <c r="AQ143">
        <v>0</v>
      </c>
      <c r="AR143">
        <v>0</v>
      </c>
      <c r="AS143">
        <v>0</v>
      </c>
      <c r="AT143">
        <v>0</v>
      </c>
      <c r="AU143" s="30">
        <f t="shared" si="33"/>
        <v>37.570799999999998</v>
      </c>
      <c r="AV143" s="17"/>
    </row>
    <row r="144" spans="1:48" x14ac:dyDescent="0.25">
      <c r="A144">
        <v>4</v>
      </c>
      <c r="B144" t="s">
        <v>16</v>
      </c>
      <c r="C144">
        <v>25984</v>
      </c>
      <c r="D144">
        <v>128</v>
      </c>
      <c r="E144">
        <v>1</v>
      </c>
      <c r="F144">
        <v>16</v>
      </c>
      <c r="G144">
        <v>333.01</v>
      </c>
      <c r="H144" s="17">
        <v>35.124000000000002</v>
      </c>
      <c r="I144" s="33">
        <v>45307</v>
      </c>
      <c r="J144" s="37">
        <v>0.90562500000000001</v>
      </c>
      <c r="K144">
        <v>0</v>
      </c>
      <c r="L144">
        <v>0</v>
      </c>
      <c r="M144">
        <v>0</v>
      </c>
      <c r="N144">
        <v>0</v>
      </c>
      <c r="O144">
        <v>0</v>
      </c>
      <c r="P144">
        <v>0</v>
      </c>
      <c r="Q144">
        <v>0</v>
      </c>
      <c r="R144">
        <v>0</v>
      </c>
      <c r="S144">
        <v>0</v>
      </c>
      <c r="T144">
        <v>0</v>
      </c>
      <c r="U144">
        <v>0</v>
      </c>
      <c r="V144">
        <v>0</v>
      </c>
      <c r="W144" s="30">
        <f>W143</f>
        <v>35.141599999999997</v>
      </c>
      <c r="X144" s="17"/>
      <c r="Y144">
        <v>4</v>
      </c>
      <c r="Z144" t="s">
        <v>16</v>
      </c>
      <c r="AA144">
        <v>25984</v>
      </c>
      <c r="AB144">
        <v>128</v>
      </c>
      <c r="AC144">
        <v>1</v>
      </c>
      <c r="AD144">
        <v>16</v>
      </c>
      <c r="AE144">
        <v>311.12</v>
      </c>
      <c r="AF144" s="17">
        <v>37.595999999999997</v>
      </c>
      <c r="AG144" s="33">
        <v>45307</v>
      </c>
      <c r="AH144" s="34">
        <v>0.47682870370370373</v>
      </c>
      <c r="AI144">
        <v>0</v>
      </c>
      <c r="AJ144">
        <v>0</v>
      </c>
      <c r="AK144">
        <v>0</v>
      </c>
      <c r="AL144">
        <v>0</v>
      </c>
      <c r="AM144">
        <v>0</v>
      </c>
      <c r="AN144">
        <v>0</v>
      </c>
      <c r="AO144">
        <v>0</v>
      </c>
      <c r="AP144">
        <v>0</v>
      </c>
      <c r="AQ144">
        <v>0</v>
      </c>
      <c r="AR144">
        <v>0</v>
      </c>
      <c r="AS144">
        <v>0</v>
      </c>
      <c r="AT144">
        <v>0</v>
      </c>
      <c r="AU144" s="30">
        <f t="shared" si="33"/>
        <v>37.570799999999998</v>
      </c>
      <c r="AV144" s="17"/>
    </row>
    <row r="145" spans="1:48" x14ac:dyDescent="0.25">
      <c r="A145">
        <v>0</v>
      </c>
      <c r="B145" t="s">
        <v>16</v>
      </c>
      <c r="C145">
        <v>27520</v>
      </c>
      <c r="D145">
        <v>128</v>
      </c>
      <c r="E145">
        <v>1</v>
      </c>
      <c r="F145">
        <v>16</v>
      </c>
      <c r="G145">
        <v>392.2</v>
      </c>
      <c r="H145" s="17">
        <v>35.43</v>
      </c>
      <c r="I145" s="33">
        <v>45307</v>
      </c>
      <c r="J145" s="37">
        <v>0.51906249999999998</v>
      </c>
      <c r="K145">
        <v>0</v>
      </c>
      <c r="L145">
        <v>0</v>
      </c>
      <c r="M145">
        <v>0</v>
      </c>
      <c r="N145">
        <v>0</v>
      </c>
      <c r="O145">
        <v>0</v>
      </c>
      <c r="P145">
        <v>0</v>
      </c>
      <c r="Q145">
        <v>0</v>
      </c>
      <c r="R145">
        <v>0</v>
      </c>
      <c r="S145">
        <v>0</v>
      </c>
      <c r="T145">
        <v>0</v>
      </c>
      <c r="U145">
        <v>0</v>
      </c>
      <c r="V145">
        <v>0</v>
      </c>
      <c r="W145" s="30">
        <f>AVERAGE(H145:H149)</f>
        <v>35.435600000000001</v>
      </c>
      <c r="X145" s="17"/>
      <c r="Y145">
        <v>0</v>
      </c>
      <c r="Z145" t="s">
        <v>16</v>
      </c>
      <c r="AA145">
        <v>27520</v>
      </c>
      <c r="AB145">
        <v>128</v>
      </c>
      <c r="AC145">
        <v>1</v>
      </c>
      <c r="AD145">
        <v>16</v>
      </c>
      <c r="AE145">
        <v>365.79</v>
      </c>
      <c r="AF145" s="17">
        <v>37.988999999999997</v>
      </c>
      <c r="AG145" s="33">
        <v>45307</v>
      </c>
      <c r="AH145" s="34">
        <v>0.65965277777777775</v>
      </c>
      <c r="AI145">
        <v>0</v>
      </c>
      <c r="AJ145">
        <v>0</v>
      </c>
      <c r="AK145">
        <v>0</v>
      </c>
      <c r="AL145">
        <v>0</v>
      </c>
      <c r="AM145">
        <v>0</v>
      </c>
      <c r="AN145">
        <v>0</v>
      </c>
      <c r="AO145">
        <v>0</v>
      </c>
      <c r="AP145">
        <v>0</v>
      </c>
      <c r="AQ145">
        <v>0</v>
      </c>
      <c r="AR145">
        <v>0</v>
      </c>
      <c r="AS145">
        <v>0</v>
      </c>
      <c r="AT145">
        <v>25</v>
      </c>
      <c r="AU145" s="30">
        <f t="shared" ref="AU145" si="54">AVERAGE(AF145:AF149)</f>
        <v>38.000799999999998</v>
      </c>
      <c r="AV145" s="17"/>
    </row>
    <row r="146" spans="1:48" x14ac:dyDescent="0.25">
      <c r="A146">
        <v>1</v>
      </c>
      <c r="B146" t="s">
        <v>16</v>
      </c>
      <c r="C146">
        <v>27520</v>
      </c>
      <c r="D146">
        <v>128</v>
      </c>
      <c r="E146">
        <v>1</v>
      </c>
      <c r="F146">
        <v>16</v>
      </c>
      <c r="G146">
        <v>392.18</v>
      </c>
      <c r="H146" s="17">
        <v>35.433</v>
      </c>
      <c r="I146" s="33">
        <v>45307</v>
      </c>
      <c r="J146" s="37">
        <v>0.71613425925925922</v>
      </c>
      <c r="K146">
        <v>0</v>
      </c>
      <c r="L146">
        <v>0</v>
      </c>
      <c r="M146">
        <v>0</v>
      </c>
      <c r="N146">
        <v>0</v>
      </c>
      <c r="O146">
        <v>0</v>
      </c>
      <c r="P146">
        <v>0</v>
      </c>
      <c r="Q146">
        <v>0</v>
      </c>
      <c r="R146">
        <v>0</v>
      </c>
      <c r="S146">
        <v>0</v>
      </c>
      <c r="T146">
        <v>0</v>
      </c>
      <c r="U146">
        <v>0</v>
      </c>
      <c r="V146">
        <v>0</v>
      </c>
      <c r="W146" s="30">
        <f>W145</f>
        <v>35.435600000000001</v>
      </c>
      <c r="X146" s="17"/>
      <c r="Y146">
        <v>1</v>
      </c>
      <c r="Z146" t="s">
        <v>16</v>
      </c>
      <c r="AA146">
        <v>27520</v>
      </c>
      <c r="AB146">
        <v>128</v>
      </c>
      <c r="AC146">
        <v>1</v>
      </c>
      <c r="AD146">
        <v>16</v>
      </c>
      <c r="AE146">
        <v>365.89</v>
      </c>
      <c r="AF146" s="17">
        <v>37.978999999999999</v>
      </c>
      <c r="AG146" s="33">
        <v>45307</v>
      </c>
      <c r="AH146" s="34">
        <v>0.74130787037037038</v>
      </c>
      <c r="AI146">
        <v>0</v>
      </c>
      <c r="AJ146">
        <v>0</v>
      </c>
      <c r="AK146">
        <v>0</v>
      </c>
      <c r="AL146">
        <v>0</v>
      </c>
      <c r="AM146">
        <v>0</v>
      </c>
      <c r="AN146">
        <v>0</v>
      </c>
      <c r="AO146">
        <v>0</v>
      </c>
      <c r="AP146">
        <v>0</v>
      </c>
      <c r="AQ146">
        <v>0</v>
      </c>
      <c r="AR146">
        <v>0</v>
      </c>
      <c r="AS146">
        <v>0</v>
      </c>
      <c r="AT146">
        <v>0</v>
      </c>
      <c r="AU146" s="30">
        <f t="shared" ref="AU146" si="55">AU145</f>
        <v>38.000799999999998</v>
      </c>
      <c r="AV146" s="17"/>
    </row>
    <row r="147" spans="1:48" x14ac:dyDescent="0.25">
      <c r="A147">
        <v>2</v>
      </c>
      <c r="B147" t="s">
        <v>16</v>
      </c>
      <c r="C147">
        <v>27520</v>
      </c>
      <c r="D147">
        <v>128</v>
      </c>
      <c r="E147">
        <v>1</v>
      </c>
      <c r="F147">
        <v>16</v>
      </c>
      <c r="G147">
        <v>392.13</v>
      </c>
      <c r="H147" s="17">
        <v>35.438000000000002</v>
      </c>
      <c r="I147" s="33">
        <v>45308</v>
      </c>
      <c r="J147" s="37">
        <v>5.679398148148148E-2</v>
      </c>
      <c r="K147">
        <v>0</v>
      </c>
      <c r="L147">
        <v>0</v>
      </c>
      <c r="M147">
        <v>0</v>
      </c>
      <c r="N147">
        <v>0</v>
      </c>
      <c r="O147">
        <v>0</v>
      </c>
      <c r="P147">
        <v>0</v>
      </c>
      <c r="Q147">
        <v>0</v>
      </c>
      <c r="R147">
        <v>0</v>
      </c>
      <c r="S147">
        <v>0</v>
      </c>
      <c r="T147">
        <v>0</v>
      </c>
      <c r="U147">
        <v>0</v>
      </c>
      <c r="V147">
        <v>0</v>
      </c>
      <c r="W147" s="30">
        <f>W146</f>
        <v>35.435600000000001</v>
      </c>
      <c r="X147" s="17"/>
      <c r="Y147">
        <v>2</v>
      </c>
      <c r="Z147" t="s">
        <v>16</v>
      </c>
      <c r="AA147">
        <v>27520</v>
      </c>
      <c r="AB147">
        <v>128</v>
      </c>
      <c r="AC147">
        <v>1</v>
      </c>
      <c r="AD147">
        <v>16</v>
      </c>
      <c r="AE147">
        <v>365.48</v>
      </c>
      <c r="AF147" s="17">
        <v>38.021000000000001</v>
      </c>
      <c r="AG147" s="33">
        <v>45307</v>
      </c>
      <c r="AH147" s="34">
        <v>0.5814583333333333</v>
      </c>
      <c r="AI147">
        <v>0</v>
      </c>
      <c r="AJ147">
        <v>0</v>
      </c>
      <c r="AK147">
        <v>0</v>
      </c>
      <c r="AL147">
        <v>0</v>
      </c>
      <c r="AM147">
        <v>0</v>
      </c>
      <c r="AN147">
        <v>0</v>
      </c>
      <c r="AO147">
        <v>0</v>
      </c>
      <c r="AP147">
        <v>0</v>
      </c>
      <c r="AQ147">
        <v>0</v>
      </c>
      <c r="AR147">
        <v>0</v>
      </c>
      <c r="AS147">
        <v>0</v>
      </c>
      <c r="AT147">
        <v>0</v>
      </c>
      <c r="AU147" s="30">
        <f t="shared" si="31"/>
        <v>38.000799999999998</v>
      </c>
      <c r="AV147" s="17"/>
    </row>
    <row r="148" spans="1:48" x14ac:dyDescent="0.25">
      <c r="A148">
        <v>3</v>
      </c>
      <c r="B148" t="s">
        <v>16</v>
      </c>
      <c r="C148">
        <v>27520</v>
      </c>
      <c r="D148">
        <v>128</v>
      </c>
      <c r="E148">
        <v>1</v>
      </c>
      <c r="F148">
        <v>16</v>
      </c>
      <c r="G148">
        <v>392.13</v>
      </c>
      <c r="H148" s="17">
        <v>35.436999999999998</v>
      </c>
      <c r="I148" s="33">
        <v>45308</v>
      </c>
      <c r="J148" s="37">
        <v>0.39989583333333334</v>
      </c>
      <c r="K148">
        <v>0</v>
      </c>
      <c r="L148">
        <v>0</v>
      </c>
      <c r="M148">
        <v>0</v>
      </c>
      <c r="N148">
        <v>0</v>
      </c>
      <c r="O148">
        <v>0</v>
      </c>
      <c r="P148">
        <v>0</v>
      </c>
      <c r="Q148">
        <v>0</v>
      </c>
      <c r="R148">
        <v>0</v>
      </c>
      <c r="S148">
        <v>0</v>
      </c>
      <c r="T148">
        <v>0</v>
      </c>
      <c r="U148">
        <v>0</v>
      </c>
      <c r="V148">
        <v>0</v>
      </c>
      <c r="W148" s="30">
        <f>W147</f>
        <v>35.435600000000001</v>
      </c>
      <c r="X148" s="17"/>
      <c r="Y148">
        <v>3</v>
      </c>
      <c r="Z148" t="s">
        <v>16</v>
      </c>
      <c r="AA148">
        <v>27520</v>
      </c>
      <c r="AB148">
        <v>128</v>
      </c>
      <c r="AC148">
        <v>1</v>
      </c>
      <c r="AD148">
        <v>16</v>
      </c>
      <c r="AE148">
        <v>365.42</v>
      </c>
      <c r="AF148" s="17">
        <v>38.027000000000001</v>
      </c>
      <c r="AG148" s="33">
        <v>45307</v>
      </c>
      <c r="AH148" s="34">
        <v>0.51956018518518521</v>
      </c>
      <c r="AI148">
        <v>0</v>
      </c>
      <c r="AJ148">
        <v>0</v>
      </c>
      <c r="AK148">
        <v>0</v>
      </c>
      <c r="AL148">
        <v>0</v>
      </c>
      <c r="AM148">
        <v>0</v>
      </c>
      <c r="AN148">
        <v>0</v>
      </c>
      <c r="AO148">
        <v>0</v>
      </c>
      <c r="AP148">
        <v>0</v>
      </c>
      <c r="AQ148">
        <v>0</v>
      </c>
      <c r="AR148">
        <v>0</v>
      </c>
      <c r="AS148">
        <v>0</v>
      </c>
      <c r="AT148">
        <v>0</v>
      </c>
      <c r="AU148" s="30">
        <f t="shared" si="31"/>
        <v>38.000799999999998</v>
      </c>
      <c r="AV148" s="17"/>
    </row>
    <row r="149" spans="1:48" x14ac:dyDescent="0.25">
      <c r="A149">
        <v>4</v>
      </c>
      <c r="B149" t="s">
        <v>16</v>
      </c>
      <c r="C149">
        <v>27520</v>
      </c>
      <c r="D149">
        <v>128</v>
      </c>
      <c r="E149">
        <v>1</v>
      </c>
      <c r="F149">
        <v>16</v>
      </c>
      <c r="G149">
        <v>392.1</v>
      </c>
      <c r="H149" s="17">
        <v>35.44</v>
      </c>
      <c r="I149" s="33">
        <v>45307</v>
      </c>
      <c r="J149" s="37">
        <v>0.79712962962962963</v>
      </c>
      <c r="K149">
        <v>0</v>
      </c>
      <c r="L149">
        <v>0</v>
      </c>
      <c r="M149">
        <v>0</v>
      </c>
      <c r="N149">
        <v>0</v>
      </c>
      <c r="O149">
        <v>0</v>
      </c>
      <c r="P149">
        <v>0</v>
      </c>
      <c r="Q149">
        <v>0</v>
      </c>
      <c r="R149">
        <v>0</v>
      </c>
      <c r="S149">
        <v>0</v>
      </c>
      <c r="T149">
        <v>0</v>
      </c>
      <c r="U149">
        <v>0</v>
      </c>
      <c r="V149">
        <v>0</v>
      </c>
      <c r="W149" s="30">
        <f>W148</f>
        <v>35.435600000000001</v>
      </c>
      <c r="X149" s="17"/>
      <c r="Y149">
        <v>4</v>
      </c>
      <c r="Z149" t="s">
        <v>16</v>
      </c>
      <c r="AA149">
        <v>27520</v>
      </c>
      <c r="AB149">
        <v>128</v>
      </c>
      <c r="AC149">
        <v>1</v>
      </c>
      <c r="AD149">
        <v>16</v>
      </c>
      <c r="AE149">
        <v>365.8</v>
      </c>
      <c r="AF149" s="17">
        <v>37.988</v>
      </c>
      <c r="AG149" s="33">
        <v>45307</v>
      </c>
      <c r="AH149" s="34">
        <v>0.78271990740740749</v>
      </c>
      <c r="AI149">
        <v>0</v>
      </c>
      <c r="AJ149">
        <v>0</v>
      </c>
      <c r="AK149">
        <v>0</v>
      </c>
      <c r="AL149">
        <v>0</v>
      </c>
      <c r="AM149">
        <v>0</v>
      </c>
      <c r="AN149">
        <v>0</v>
      </c>
      <c r="AO149">
        <v>0</v>
      </c>
      <c r="AP149">
        <v>0</v>
      </c>
      <c r="AQ149">
        <v>0</v>
      </c>
      <c r="AR149">
        <v>0</v>
      </c>
      <c r="AS149">
        <v>0</v>
      </c>
      <c r="AT149">
        <v>0</v>
      </c>
      <c r="AU149" s="30">
        <f t="shared" si="31"/>
        <v>38.000799999999998</v>
      </c>
      <c r="AV149" s="17"/>
    </row>
    <row r="150" spans="1:48" x14ac:dyDescent="0.25">
      <c r="A150">
        <v>0</v>
      </c>
      <c r="B150" t="s">
        <v>16</v>
      </c>
      <c r="C150">
        <v>29056</v>
      </c>
      <c r="D150">
        <v>128</v>
      </c>
      <c r="E150">
        <v>1</v>
      </c>
      <c r="F150">
        <v>16</v>
      </c>
      <c r="G150">
        <v>455.74</v>
      </c>
      <c r="H150" s="17">
        <v>35.886000000000003</v>
      </c>
      <c r="I150" s="33">
        <v>45307</v>
      </c>
      <c r="J150" s="37">
        <v>0.59053240740740742</v>
      </c>
      <c r="K150">
        <v>0</v>
      </c>
      <c r="L150">
        <v>0</v>
      </c>
      <c r="M150">
        <v>0</v>
      </c>
      <c r="N150">
        <v>0</v>
      </c>
      <c r="O150">
        <v>0</v>
      </c>
      <c r="P150">
        <v>0</v>
      </c>
      <c r="Q150">
        <v>0</v>
      </c>
      <c r="R150">
        <v>0</v>
      </c>
      <c r="S150">
        <v>0</v>
      </c>
      <c r="T150">
        <v>0</v>
      </c>
      <c r="U150">
        <v>0</v>
      </c>
      <c r="V150">
        <v>0</v>
      </c>
      <c r="W150" s="30">
        <f>AVERAGE(H150:H154)</f>
        <v>35.835799999999999</v>
      </c>
      <c r="X150" s="17"/>
      <c r="Y150">
        <v>0</v>
      </c>
      <c r="Z150" t="s">
        <v>16</v>
      </c>
      <c r="AA150">
        <v>29056</v>
      </c>
      <c r="AB150">
        <v>128</v>
      </c>
      <c r="AC150">
        <v>1</v>
      </c>
      <c r="AD150">
        <v>16</v>
      </c>
      <c r="AE150">
        <v>423.86</v>
      </c>
      <c r="AF150" s="17">
        <v>38.585000000000001</v>
      </c>
      <c r="AG150" s="33">
        <v>45307</v>
      </c>
      <c r="AH150" s="34">
        <v>0.64601851851851855</v>
      </c>
      <c r="AI150">
        <v>0</v>
      </c>
      <c r="AJ150">
        <v>0</v>
      </c>
      <c r="AK150">
        <v>0</v>
      </c>
      <c r="AL150">
        <v>0</v>
      </c>
      <c r="AM150">
        <v>0</v>
      </c>
      <c r="AN150">
        <v>0</v>
      </c>
      <c r="AO150">
        <v>0</v>
      </c>
      <c r="AP150">
        <v>0</v>
      </c>
      <c r="AQ150">
        <v>0</v>
      </c>
      <c r="AR150">
        <v>0</v>
      </c>
      <c r="AS150">
        <v>0</v>
      </c>
      <c r="AT150">
        <v>0</v>
      </c>
      <c r="AU150" s="30">
        <f t="shared" ref="AU150" si="56">AVERAGE(AF150:AF154)</f>
        <v>38.340600000000002</v>
      </c>
      <c r="AV150" s="17"/>
    </row>
    <row r="151" spans="1:48" x14ac:dyDescent="0.25">
      <c r="A151">
        <v>1</v>
      </c>
      <c r="B151" t="s">
        <v>16</v>
      </c>
      <c r="C151">
        <v>29056</v>
      </c>
      <c r="D151">
        <v>128</v>
      </c>
      <c r="E151">
        <v>1</v>
      </c>
      <c r="F151">
        <v>16</v>
      </c>
      <c r="G151">
        <v>456.49</v>
      </c>
      <c r="H151" s="17">
        <v>35.828000000000003</v>
      </c>
      <c r="I151" s="33">
        <v>45307</v>
      </c>
      <c r="J151" s="37">
        <v>0.93112268518518515</v>
      </c>
      <c r="K151">
        <v>0</v>
      </c>
      <c r="L151">
        <v>0</v>
      </c>
      <c r="M151">
        <v>0</v>
      </c>
      <c r="N151">
        <v>0</v>
      </c>
      <c r="O151">
        <v>0</v>
      </c>
      <c r="P151">
        <v>0</v>
      </c>
      <c r="Q151">
        <v>0</v>
      </c>
      <c r="R151">
        <v>0</v>
      </c>
      <c r="S151">
        <v>0</v>
      </c>
      <c r="T151">
        <v>0</v>
      </c>
      <c r="U151">
        <v>0</v>
      </c>
      <c r="V151">
        <v>0</v>
      </c>
      <c r="W151" s="30">
        <f>W150</f>
        <v>35.835799999999999</v>
      </c>
      <c r="X151" s="17"/>
      <c r="Y151">
        <v>1</v>
      </c>
      <c r="Z151" t="s">
        <v>16</v>
      </c>
      <c r="AA151">
        <v>29056</v>
      </c>
      <c r="AB151">
        <v>128</v>
      </c>
      <c r="AC151">
        <v>1</v>
      </c>
      <c r="AD151">
        <v>16</v>
      </c>
      <c r="AE151">
        <v>430.34</v>
      </c>
      <c r="AF151" s="17">
        <v>38.005000000000003</v>
      </c>
      <c r="AG151" s="33">
        <v>45307</v>
      </c>
      <c r="AH151" s="34">
        <v>0.48605324074074074</v>
      </c>
      <c r="AI151">
        <v>0</v>
      </c>
      <c r="AJ151">
        <v>0</v>
      </c>
      <c r="AK151">
        <v>0</v>
      </c>
      <c r="AL151">
        <v>0</v>
      </c>
      <c r="AM151">
        <v>0</v>
      </c>
      <c r="AN151">
        <v>0</v>
      </c>
      <c r="AO151">
        <v>0</v>
      </c>
      <c r="AP151">
        <v>0</v>
      </c>
      <c r="AQ151">
        <v>0</v>
      </c>
      <c r="AR151">
        <v>0</v>
      </c>
      <c r="AS151">
        <v>0</v>
      </c>
      <c r="AT151">
        <v>0</v>
      </c>
      <c r="AU151" s="30">
        <f t="shared" ref="AU151" si="57">AU150</f>
        <v>38.340600000000002</v>
      </c>
      <c r="AV151" s="17"/>
    </row>
    <row r="152" spans="1:48" x14ac:dyDescent="0.25">
      <c r="A152">
        <v>2</v>
      </c>
      <c r="B152" t="s">
        <v>16</v>
      </c>
      <c r="C152">
        <v>29056</v>
      </c>
      <c r="D152">
        <v>128</v>
      </c>
      <c r="E152">
        <v>1</v>
      </c>
      <c r="F152">
        <v>16</v>
      </c>
      <c r="G152">
        <v>456.69</v>
      </c>
      <c r="H152" s="17">
        <v>35.811999999999998</v>
      </c>
      <c r="I152" s="33">
        <v>45308</v>
      </c>
      <c r="J152" s="37">
        <v>0.27416666666666667</v>
      </c>
      <c r="K152">
        <v>0</v>
      </c>
      <c r="L152">
        <v>0</v>
      </c>
      <c r="M152">
        <v>0</v>
      </c>
      <c r="N152">
        <v>0</v>
      </c>
      <c r="O152">
        <v>0</v>
      </c>
      <c r="P152">
        <v>0</v>
      </c>
      <c r="Q152">
        <v>0</v>
      </c>
      <c r="R152">
        <v>0</v>
      </c>
      <c r="S152">
        <v>0</v>
      </c>
      <c r="T152">
        <v>0</v>
      </c>
      <c r="U152">
        <v>0</v>
      </c>
      <c r="V152">
        <v>0</v>
      </c>
      <c r="W152" s="30">
        <f>W151</f>
        <v>35.835799999999999</v>
      </c>
      <c r="X152" s="17"/>
      <c r="Y152">
        <v>2</v>
      </c>
      <c r="Z152" t="s">
        <v>16</v>
      </c>
      <c r="AA152">
        <v>29056</v>
      </c>
      <c r="AB152">
        <v>128</v>
      </c>
      <c r="AC152">
        <v>1</v>
      </c>
      <c r="AD152">
        <v>16</v>
      </c>
      <c r="AE152">
        <v>424</v>
      </c>
      <c r="AF152" s="17">
        <v>38.573</v>
      </c>
      <c r="AG152" s="33">
        <v>45307</v>
      </c>
      <c r="AH152" s="34">
        <v>0.74892361111111105</v>
      </c>
      <c r="AI152">
        <v>0</v>
      </c>
      <c r="AJ152">
        <v>0</v>
      </c>
      <c r="AK152">
        <v>0</v>
      </c>
      <c r="AL152">
        <v>0</v>
      </c>
      <c r="AM152">
        <v>0</v>
      </c>
      <c r="AN152">
        <v>0</v>
      </c>
      <c r="AO152">
        <v>0</v>
      </c>
      <c r="AP152">
        <v>0</v>
      </c>
      <c r="AQ152">
        <v>0</v>
      </c>
      <c r="AR152">
        <v>0</v>
      </c>
      <c r="AS152">
        <v>0</v>
      </c>
      <c r="AT152">
        <v>0</v>
      </c>
      <c r="AU152" s="30">
        <f t="shared" si="33"/>
        <v>38.340600000000002</v>
      </c>
      <c r="AV152" s="17"/>
    </row>
    <row r="153" spans="1:48" x14ac:dyDescent="0.25">
      <c r="A153">
        <v>3</v>
      </c>
      <c r="B153" t="s">
        <v>16</v>
      </c>
      <c r="C153">
        <v>29056</v>
      </c>
      <c r="D153">
        <v>128</v>
      </c>
      <c r="E153">
        <v>1</v>
      </c>
      <c r="F153">
        <v>16</v>
      </c>
      <c r="G153">
        <v>456.54</v>
      </c>
      <c r="H153" s="17">
        <v>35.823999999999998</v>
      </c>
      <c r="I153" s="33">
        <v>45307</v>
      </c>
      <c r="J153" s="37">
        <v>0.67144675925925934</v>
      </c>
      <c r="K153">
        <v>0</v>
      </c>
      <c r="L153">
        <v>0</v>
      </c>
      <c r="M153">
        <v>0</v>
      </c>
      <c r="N153">
        <v>0</v>
      </c>
      <c r="O153">
        <v>0</v>
      </c>
      <c r="P153">
        <v>0</v>
      </c>
      <c r="Q153">
        <v>0</v>
      </c>
      <c r="R153">
        <v>0</v>
      </c>
      <c r="S153">
        <v>0</v>
      </c>
      <c r="T153">
        <v>0</v>
      </c>
      <c r="U153">
        <v>0</v>
      </c>
      <c r="V153">
        <v>0</v>
      </c>
      <c r="W153" s="30">
        <f>W152</f>
        <v>35.835799999999999</v>
      </c>
      <c r="X153" s="17"/>
      <c r="Y153">
        <v>3</v>
      </c>
      <c r="Z153" t="s">
        <v>16</v>
      </c>
      <c r="AA153">
        <v>29056</v>
      </c>
      <c r="AB153">
        <v>128</v>
      </c>
      <c r="AC153">
        <v>1</v>
      </c>
      <c r="AD153">
        <v>16</v>
      </c>
      <c r="AE153">
        <v>424.87</v>
      </c>
      <c r="AF153" s="17">
        <v>38.494</v>
      </c>
      <c r="AG153" s="33">
        <v>45307</v>
      </c>
      <c r="AH153" s="34">
        <v>0.6875</v>
      </c>
      <c r="AI153">
        <v>0</v>
      </c>
      <c r="AJ153">
        <v>0</v>
      </c>
      <c r="AK153">
        <v>0</v>
      </c>
      <c r="AL153">
        <v>0</v>
      </c>
      <c r="AM153">
        <v>0</v>
      </c>
      <c r="AN153">
        <v>0</v>
      </c>
      <c r="AO153">
        <v>0</v>
      </c>
      <c r="AP153">
        <v>0</v>
      </c>
      <c r="AQ153">
        <v>0</v>
      </c>
      <c r="AR153">
        <v>0</v>
      </c>
      <c r="AS153">
        <v>0</v>
      </c>
      <c r="AT153">
        <v>0</v>
      </c>
      <c r="AU153" s="30">
        <f t="shared" si="33"/>
        <v>38.340600000000002</v>
      </c>
      <c r="AV153" s="17"/>
    </row>
    <row r="154" spans="1:48" x14ac:dyDescent="0.25">
      <c r="A154">
        <v>4</v>
      </c>
      <c r="B154" t="s">
        <v>16</v>
      </c>
      <c r="C154">
        <v>29056</v>
      </c>
      <c r="D154">
        <v>128</v>
      </c>
      <c r="E154">
        <v>1</v>
      </c>
      <c r="F154">
        <v>16</v>
      </c>
      <c r="G154">
        <v>456.47</v>
      </c>
      <c r="H154" s="17">
        <v>35.829000000000001</v>
      </c>
      <c r="I154" s="33">
        <v>45308</v>
      </c>
      <c r="J154" s="37">
        <v>1.3125E-2</v>
      </c>
      <c r="K154">
        <v>0</v>
      </c>
      <c r="L154">
        <v>0</v>
      </c>
      <c r="M154">
        <v>0</v>
      </c>
      <c r="N154">
        <v>0</v>
      </c>
      <c r="O154">
        <v>0</v>
      </c>
      <c r="P154">
        <v>0</v>
      </c>
      <c r="Q154">
        <v>0</v>
      </c>
      <c r="R154">
        <v>0</v>
      </c>
      <c r="S154">
        <v>0</v>
      </c>
      <c r="T154">
        <v>0</v>
      </c>
      <c r="U154">
        <v>0</v>
      </c>
      <c r="V154">
        <v>0</v>
      </c>
      <c r="W154" s="30">
        <f>W153</f>
        <v>35.835799999999999</v>
      </c>
      <c r="X154" s="17"/>
      <c r="Y154">
        <v>4</v>
      </c>
      <c r="Z154" t="s">
        <v>16</v>
      </c>
      <c r="AA154">
        <v>29056</v>
      </c>
      <c r="AB154">
        <v>128</v>
      </c>
      <c r="AC154">
        <v>1</v>
      </c>
      <c r="AD154">
        <v>16</v>
      </c>
      <c r="AE154">
        <v>429.87</v>
      </c>
      <c r="AF154" s="17">
        <v>38.045999999999999</v>
      </c>
      <c r="AG154" s="33">
        <v>45307</v>
      </c>
      <c r="AH154" s="34">
        <v>0.48096064814814815</v>
      </c>
      <c r="AI154">
        <v>0</v>
      </c>
      <c r="AJ154">
        <v>0</v>
      </c>
      <c r="AK154">
        <v>0</v>
      </c>
      <c r="AL154">
        <v>0</v>
      </c>
      <c r="AM154">
        <v>0</v>
      </c>
      <c r="AN154">
        <v>0</v>
      </c>
      <c r="AO154">
        <v>0</v>
      </c>
      <c r="AP154">
        <v>0</v>
      </c>
      <c r="AQ154">
        <v>0</v>
      </c>
      <c r="AR154">
        <v>0</v>
      </c>
      <c r="AS154">
        <v>0</v>
      </c>
      <c r="AT154">
        <v>0</v>
      </c>
      <c r="AU154" s="30">
        <f t="shared" si="33"/>
        <v>38.340600000000002</v>
      </c>
      <c r="AV154" s="17"/>
    </row>
    <row r="155" spans="1:48" x14ac:dyDescent="0.25">
      <c r="A155">
        <v>0</v>
      </c>
      <c r="B155" t="s">
        <v>16</v>
      </c>
      <c r="C155">
        <v>25984</v>
      </c>
      <c r="D155">
        <v>128</v>
      </c>
      <c r="E155">
        <v>2</v>
      </c>
      <c r="F155">
        <v>8</v>
      </c>
      <c r="G155">
        <v>322.13</v>
      </c>
      <c r="H155" s="17">
        <v>36.311</v>
      </c>
      <c r="I155" s="33">
        <v>45307</v>
      </c>
      <c r="J155" s="37">
        <v>0.48409722222222223</v>
      </c>
      <c r="K155">
        <v>0</v>
      </c>
      <c r="L155">
        <v>0</v>
      </c>
      <c r="M155">
        <v>0</v>
      </c>
      <c r="N155">
        <v>0</v>
      </c>
      <c r="O155">
        <v>0</v>
      </c>
      <c r="P155">
        <v>0</v>
      </c>
      <c r="Q155">
        <v>0</v>
      </c>
      <c r="R155">
        <v>0</v>
      </c>
      <c r="S155">
        <v>0</v>
      </c>
      <c r="T155">
        <v>0</v>
      </c>
      <c r="U155">
        <v>0</v>
      </c>
      <c r="V155">
        <v>0</v>
      </c>
      <c r="W155" s="30">
        <f>AVERAGE(H155:H159)</f>
        <v>36.302800000000005</v>
      </c>
      <c r="X155" s="17"/>
      <c r="Y155">
        <v>0</v>
      </c>
      <c r="Z155" t="s">
        <v>16</v>
      </c>
      <c r="AA155">
        <v>25984</v>
      </c>
      <c r="AB155">
        <v>128</v>
      </c>
      <c r="AC155">
        <v>2</v>
      </c>
      <c r="AD155">
        <v>8</v>
      </c>
      <c r="AE155">
        <v>297.24</v>
      </c>
      <c r="AF155" s="17">
        <v>39.350999999999999</v>
      </c>
      <c r="AG155" s="33">
        <v>45307</v>
      </c>
      <c r="AH155" s="34">
        <v>0.56447916666666664</v>
      </c>
      <c r="AI155">
        <v>0</v>
      </c>
      <c r="AJ155">
        <v>0</v>
      </c>
      <c r="AK155">
        <v>0</v>
      </c>
      <c r="AL155">
        <v>0</v>
      </c>
      <c r="AM155">
        <v>0</v>
      </c>
      <c r="AN155">
        <v>0</v>
      </c>
      <c r="AO155">
        <v>0</v>
      </c>
      <c r="AP155">
        <v>0</v>
      </c>
      <c r="AQ155">
        <v>0</v>
      </c>
      <c r="AR155">
        <v>0</v>
      </c>
      <c r="AS155">
        <v>0</v>
      </c>
      <c r="AT155">
        <v>0</v>
      </c>
      <c r="AU155" s="30">
        <f t="shared" ref="AU155" si="58">AVERAGE(AF155:AF159)</f>
        <v>39.381399999999999</v>
      </c>
      <c r="AV155" s="17"/>
    </row>
    <row r="156" spans="1:48" x14ac:dyDescent="0.25">
      <c r="A156">
        <v>1</v>
      </c>
      <c r="B156" t="s">
        <v>16</v>
      </c>
      <c r="C156">
        <v>25984</v>
      </c>
      <c r="D156">
        <v>128</v>
      </c>
      <c r="E156">
        <v>2</v>
      </c>
      <c r="F156">
        <v>8</v>
      </c>
      <c r="G156">
        <v>322.27999999999997</v>
      </c>
      <c r="H156" s="17">
        <v>36.293999999999997</v>
      </c>
      <c r="I156" s="33">
        <v>45307</v>
      </c>
      <c r="J156" s="37">
        <v>0.82856481481481481</v>
      </c>
      <c r="K156">
        <v>0</v>
      </c>
      <c r="L156">
        <v>0</v>
      </c>
      <c r="M156">
        <v>0</v>
      </c>
      <c r="N156">
        <v>0</v>
      </c>
      <c r="O156">
        <v>0</v>
      </c>
      <c r="P156">
        <v>0</v>
      </c>
      <c r="Q156">
        <v>0</v>
      </c>
      <c r="R156">
        <v>0</v>
      </c>
      <c r="S156">
        <v>0</v>
      </c>
      <c r="T156">
        <v>0</v>
      </c>
      <c r="U156">
        <v>0</v>
      </c>
      <c r="V156">
        <v>0</v>
      </c>
      <c r="W156" s="30">
        <f>W155</f>
        <v>36.302800000000005</v>
      </c>
      <c r="X156" s="17"/>
      <c r="Y156">
        <v>1</v>
      </c>
      <c r="Z156" t="s">
        <v>16</v>
      </c>
      <c r="AA156">
        <v>25984</v>
      </c>
      <c r="AB156">
        <v>128</v>
      </c>
      <c r="AC156">
        <v>2</v>
      </c>
      <c r="AD156">
        <v>8</v>
      </c>
      <c r="AE156">
        <v>297.33</v>
      </c>
      <c r="AF156" s="17">
        <v>39.338999999999999</v>
      </c>
      <c r="AG156" s="33">
        <v>45307</v>
      </c>
      <c r="AH156" s="34">
        <v>0.51408564814814817</v>
      </c>
      <c r="AI156">
        <v>0</v>
      </c>
      <c r="AJ156">
        <v>0</v>
      </c>
      <c r="AK156">
        <v>0</v>
      </c>
      <c r="AL156">
        <v>0</v>
      </c>
      <c r="AM156">
        <v>0</v>
      </c>
      <c r="AN156">
        <v>0</v>
      </c>
      <c r="AO156">
        <v>0</v>
      </c>
      <c r="AP156">
        <v>0</v>
      </c>
      <c r="AQ156">
        <v>0</v>
      </c>
      <c r="AR156">
        <v>0</v>
      </c>
      <c r="AS156">
        <v>0</v>
      </c>
      <c r="AT156">
        <v>0</v>
      </c>
      <c r="AU156" s="30">
        <f t="shared" ref="AU156:AU219" si="59">AU155</f>
        <v>39.381399999999999</v>
      </c>
      <c r="AV156" s="17"/>
    </row>
    <row r="157" spans="1:48" x14ac:dyDescent="0.25">
      <c r="A157">
        <v>2</v>
      </c>
      <c r="B157" t="s">
        <v>16</v>
      </c>
      <c r="C157">
        <v>25984</v>
      </c>
      <c r="D157">
        <v>128</v>
      </c>
      <c r="E157">
        <v>2</v>
      </c>
      <c r="F157">
        <v>8</v>
      </c>
      <c r="G157">
        <v>322.13</v>
      </c>
      <c r="H157" s="17">
        <v>36.31</v>
      </c>
      <c r="I157" s="33">
        <v>45308</v>
      </c>
      <c r="J157" s="37">
        <v>0.16917824074074073</v>
      </c>
      <c r="K157">
        <v>0</v>
      </c>
      <c r="L157">
        <v>0</v>
      </c>
      <c r="M157">
        <v>0</v>
      </c>
      <c r="N157">
        <v>0</v>
      </c>
      <c r="O157">
        <v>0</v>
      </c>
      <c r="P157">
        <v>0</v>
      </c>
      <c r="Q157">
        <v>0</v>
      </c>
      <c r="R157">
        <v>0</v>
      </c>
      <c r="S157">
        <v>0</v>
      </c>
      <c r="T157">
        <v>0</v>
      </c>
      <c r="U157">
        <v>0</v>
      </c>
      <c r="V157">
        <v>0</v>
      </c>
      <c r="W157" s="30">
        <f>W156</f>
        <v>36.302800000000005</v>
      </c>
      <c r="X157" s="17"/>
      <c r="Y157">
        <v>2</v>
      </c>
      <c r="Z157" t="s">
        <v>16</v>
      </c>
      <c r="AA157">
        <v>25984</v>
      </c>
      <c r="AB157">
        <v>128</v>
      </c>
      <c r="AC157">
        <v>2</v>
      </c>
      <c r="AD157">
        <v>8</v>
      </c>
      <c r="AE157">
        <v>297.01</v>
      </c>
      <c r="AF157" s="17">
        <v>39.381</v>
      </c>
      <c r="AG157" s="33">
        <v>45307</v>
      </c>
      <c r="AH157" s="34">
        <v>0.66784722222222215</v>
      </c>
      <c r="AI157">
        <v>0</v>
      </c>
      <c r="AJ157">
        <v>0</v>
      </c>
      <c r="AK157">
        <v>0</v>
      </c>
      <c r="AL157">
        <v>0</v>
      </c>
      <c r="AM157">
        <v>0</v>
      </c>
      <c r="AN157">
        <v>0</v>
      </c>
      <c r="AO157">
        <v>0</v>
      </c>
      <c r="AP157">
        <v>0</v>
      </c>
      <c r="AQ157">
        <v>0</v>
      </c>
      <c r="AR157">
        <v>0</v>
      </c>
      <c r="AS157">
        <v>0</v>
      </c>
      <c r="AT157">
        <v>0</v>
      </c>
      <c r="AU157" s="30">
        <f t="shared" si="59"/>
        <v>39.381399999999999</v>
      </c>
      <c r="AV157" s="17"/>
    </row>
    <row r="158" spans="1:48" x14ac:dyDescent="0.25">
      <c r="A158">
        <v>3</v>
      </c>
      <c r="B158" t="s">
        <v>16</v>
      </c>
      <c r="C158">
        <v>25984</v>
      </c>
      <c r="D158">
        <v>128</v>
      </c>
      <c r="E158">
        <v>2</v>
      </c>
      <c r="F158">
        <v>8</v>
      </c>
      <c r="G158">
        <v>322.27</v>
      </c>
      <c r="H158" s="17">
        <v>36.293999999999997</v>
      </c>
      <c r="I158" s="33">
        <v>45307</v>
      </c>
      <c r="J158" s="37">
        <v>0.56660879629629635</v>
      </c>
      <c r="K158">
        <v>0</v>
      </c>
      <c r="L158">
        <v>0</v>
      </c>
      <c r="M158">
        <v>0</v>
      </c>
      <c r="N158">
        <v>0</v>
      </c>
      <c r="O158">
        <v>0</v>
      </c>
      <c r="P158">
        <v>0</v>
      </c>
      <c r="Q158">
        <v>0</v>
      </c>
      <c r="R158">
        <v>0</v>
      </c>
      <c r="S158">
        <v>0</v>
      </c>
      <c r="T158">
        <v>0</v>
      </c>
      <c r="U158">
        <v>0</v>
      </c>
      <c r="V158">
        <v>0</v>
      </c>
      <c r="W158" s="30">
        <f>W157</f>
        <v>36.302800000000005</v>
      </c>
      <c r="X158" s="17"/>
      <c r="Y158">
        <v>3</v>
      </c>
      <c r="Z158" t="s">
        <v>16</v>
      </c>
      <c r="AA158">
        <v>25984</v>
      </c>
      <c r="AB158">
        <v>128</v>
      </c>
      <c r="AC158">
        <v>2</v>
      </c>
      <c r="AD158">
        <v>8</v>
      </c>
      <c r="AE158">
        <v>296.70999999999998</v>
      </c>
      <c r="AF158" s="17">
        <v>39.421999999999997</v>
      </c>
      <c r="AG158" s="33">
        <v>45307</v>
      </c>
      <c r="AH158" s="34">
        <v>0.60592592592592587</v>
      </c>
      <c r="AI158">
        <v>0</v>
      </c>
      <c r="AJ158">
        <v>0</v>
      </c>
      <c r="AK158">
        <v>0</v>
      </c>
      <c r="AL158">
        <v>0</v>
      </c>
      <c r="AM158">
        <v>0</v>
      </c>
      <c r="AN158">
        <v>0</v>
      </c>
      <c r="AO158">
        <v>0</v>
      </c>
      <c r="AP158">
        <v>0</v>
      </c>
      <c r="AQ158">
        <v>0</v>
      </c>
      <c r="AR158">
        <v>0</v>
      </c>
      <c r="AS158">
        <v>0</v>
      </c>
      <c r="AT158">
        <v>0</v>
      </c>
      <c r="AU158" s="30">
        <f t="shared" si="59"/>
        <v>39.381399999999999</v>
      </c>
      <c r="AV158" s="17"/>
    </row>
    <row r="159" spans="1:48" x14ac:dyDescent="0.25">
      <c r="A159">
        <v>4</v>
      </c>
      <c r="B159" t="s">
        <v>16</v>
      </c>
      <c r="C159">
        <v>25984</v>
      </c>
      <c r="D159">
        <v>128</v>
      </c>
      <c r="E159">
        <v>2</v>
      </c>
      <c r="F159">
        <v>8</v>
      </c>
      <c r="G159">
        <v>322.18</v>
      </c>
      <c r="H159" s="17">
        <v>36.305</v>
      </c>
      <c r="I159" s="33">
        <v>45307</v>
      </c>
      <c r="J159" s="37">
        <v>0.90953703703703714</v>
      </c>
      <c r="K159">
        <v>0</v>
      </c>
      <c r="L159">
        <v>0</v>
      </c>
      <c r="M159">
        <v>0</v>
      </c>
      <c r="N159">
        <v>0</v>
      </c>
      <c r="O159">
        <v>0</v>
      </c>
      <c r="P159">
        <v>0</v>
      </c>
      <c r="Q159">
        <v>0</v>
      </c>
      <c r="R159">
        <v>0</v>
      </c>
      <c r="S159">
        <v>0</v>
      </c>
      <c r="T159">
        <v>0</v>
      </c>
      <c r="U159">
        <v>0</v>
      </c>
      <c r="V159">
        <v>0</v>
      </c>
      <c r="W159" s="30">
        <f>W158</f>
        <v>36.302800000000005</v>
      </c>
      <c r="X159" s="17"/>
      <c r="Y159">
        <v>4</v>
      </c>
      <c r="Z159" t="s">
        <v>16</v>
      </c>
      <c r="AA159">
        <v>25984</v>
      </c>
      <c r="AB159">
        <v>128</v>
      </c>
      <c r="AC159">
        <v>2</v>
      </c>
      <c r="AD159">
        <v>8</v>
      </c>
      <c r="AE159">
        <v>296.77</v>
      </c>
      <c r="AF159" s="17">
        <v>39.414000000000001</v>
      </c>
      <c r="AG159" s="33">
        <v>45307</v>
      </c>
      <c r="AH159" s="34">
        <v>0.48086805555555556</v>
      </c>
      <c r="AI159">
        <v>0</v>
      </c>
      <c r="AJ159">
        <v>0</v>
      </c>
      <c r="AK159">
        <v>0</v>
      </c>
      <c r="AL159">
        <v>0</v>
      </c>
      <c r="AM159">
        <v>0</v>
      </c>
      <c r="AN159">
        <v>0</v>
      </c>
      <c r="AO159">
        <v>0</v>
      </c>
      <c r="AP159">
        <v>0</v>
      </c>
      <c r="AQ159">
        <v>0</v>
      </c>
      <c r="AR159">
        <v>0</v>
      </c>
      <c r="AS159">
        <v>0</v>
      </c>
      <c r="AT159">
        <v>0</v>
      </c>
      <c r="AU159" s="30">
        <f t="shared" si="59"/>
        <v>39.381399999999999</v>
      </c>
      <c r="AV159" s="17"/>
    </row>
    <row r="160" spans="1:48" x14ac:dyDescent="0.25">
      <c r="A160">
        <v>0</v>
      </c>
      <c r="B160" t="s">
        <v>16</v>
      </c>
      <c r="C160">
        <v>27520</v>
      </c>
      <c r="D160">
        <v>128</v>
      </c>
      <c r="E160">
        <v>2</v>
      </c>
      <c r="F160">
        <v>8</v>
      </c>
      <c r="G160">
        <v>411.17</v>
      </c>
      <c r="H160" s="17">
        <v>33.795999999999999</v>
      </c>
      <c r="I160" s="33">
        <v>45307</v>
      </c>
      <c r="J160" s="37">
        <v>0.52401620370370372</v>
      </c>
      <c r="K160">
        <v>0</v>
      </c>
      <c r="L160">
        <v>0</v>
      </c>
      <c r="M160">
        <v>0</v>
      </c>
      <c r="N160">
        <v>0</v>
      </c>
      <c r="O160">
        <v>0</v>
      </c>
      <c r="P160">
        <v>0</v>
      </c>
      <c r="Q160">
        <v>0</v>
      </c>
      <c r="R160">
        <v>0</v>
      </c>
      <c r="S160">
        <v>0</v>
      </c>
      <c r="T160">
        <v>0</v>
      </c>
      <c r="U160">
        <v>0</v>
      </c>
      <c r="V160">
        <v>0</v>
      </c>
      <c r="W160" s="30">
        <f>AVERAGE(H160:H164)</f>
        <v>33.743200000000002</v>
      </c>
      <c r="X160" s="17"/>
      <c r="Y160">
        <v>0</v>
      </c>
      <c r="Z160" t="s">
        <v>16</v>
      </c>
      <c r="AA160">
        <v>27520</v>
      </c>
      <c r="AB160">
        <v>128</v>
      </c>
      <c r="AC160">
        <v>2</v>
      </c>
      <c r="AD160">
        <v>8</v>
      </c>
      <c r="AE160">
        <v>383.06</v>
      </c>
      <c r="AF160" s="17">
        <v>36.276000000000003</v>
      </c>
      <c r="AG160" s="33">
        <v>45307</v>
      </c>
      <c r="AH160" s="34">
        <v>0.48299768518518515</v>
      </c>
      <c r="AI160">
        <v>0</v>
      </c>
      <c r="AJ160">
        <v>0</v>
      </c>
      <c r="AK160">
        <v>0</v>
      </c>
      <c r="AL160">
        <v>0</v>
      </c>
      <c r="AM160">
        <v>0</v>
      </c>
      <c r="AN160">
        <v>0</v>
      </c>
      <c r="AO160">
        <v>0</v>
      </c>
      <c r="AP160">
        <v>0</v>
      </c>
      <c r="AQ160">
        <v>0</v>
      </c>
      <c r="AR160">
        <v>0</v>
      </c>
      <c r="AS160">
        <v>0</v>
      </c>
      <c r="AT160">
        <v>0</v>
      </c>
      <c r="AU160" s="30">
        <f t="shared" ref="AU160" si="60">AVERAGE(AF160:AF164)</f>
        <v>37.581400000000002</v>
      </c>
      <c r="AV160" s="17"/>
    </row>
    <row r="161" spans="1:48" x14ac:dyDescent="0.25">
      <c r="A161">
        <v>1</v>
      </c>
      <c r="B161" t="s">
        <v>16</v>
      </c>
      <c r="C161">
        <v>27520</v>
      </c>
      <c r="D161">
        <v>128</v>
      </c>
      <c r="E161">
        <v>2</v>
      </c>
      <c r="F161">
        <v>8</v>
      </c>
      <c r="G161">
        <v>412.17</v>
      </c>
      <c r="H161" s="17">
        <v>33.713999999999999</v>
      </c>
      <c r="I161" s="33">
        <v>45307</v>
      </c>
      <c r="J161" s="37">
        <v>0.72111111111111104</v>
      </c>
      <c r="K161">
        <v>0</v>
      </c>
      <c r="L161">
        <v>0</v>
      </c>
      <c r="M161">
        <v>0</v>
      </c>
      <c r="N161">
        <v>0</v>
      </c>
      <c r="O161">
        <v>0</v>
      </c>
      <c r="P161">
        <v>0</v>
      </c>
      <c r="Q161">
        <v>0</v>
      </c>
      <c r="R161">
        <v>0</v>
      </c>
      <c r="S161">
        <v>0</v>
      </c>
      <c r="T161">
        <v>0</v>
      </c>
      <c r="U161">
        <v>0</v>
      </c>
      <c r="V161">
        <v>0</v>
      </c>
      <c r="W161" s="30">
        <f>W160</f>
        <v>33.743200000000002</v>
      </c>
      <c r="X161" s="17"/>
      <c r="Y161">
        <v>1</v>
      </c>
      <c r="Z161" t="s">
        <v>16</v>
      </c>
      <c r="AA161">
        <v>27520</v>
      </c>
      <c r="AB161">
        <v>128</v>
      </c>
      <c r="AC161">
        <v>2</v>
      </c>
      <c r="AD161">
        <v>8</v>
      </c>
      <c r="AE161">
        <v>366.78</v>
      </c>
      <c r="AF161" s="17">
        <v>37.886000000000003</v>
      </c>
      <c r="AG161" s="33">
        <v>45307</v>
      </c>
      <c r="AH161" s="34">
        <v>0.7462037037037037</v>
      </c>
      <c r="AI161">
        <v>0</v>
      </c>
      <c r="AJ161">
        <v>0</v>
      </c>
      <c r="AK161">
        <v>0</v>
      </c>
      <c r="AL161">
        <v>0</v>
      </c>
      <c r="AM161">
        <v>0</v>
      </c>
      <c r="AN161">
        <v>0</v>
      </c>
      <c r="AO161">
        <v>0</v>
      </c>
      <c r="AP161">
        <v>0</v>
      </c>
      <c r="AQ161">
        <v>0</v>
      </c>
      <c r="AR161">
        <v>0</v>
      </c>
      <c r="AS161">
        <v>0</v>
      </c>
      <c r="AT161">
        <v>0</v>
      </c>
      <c r="AU161" s="30">
        <f t="shared" ref="AU161:AU224" si="61">AU160</f>
        <v>37.581400000000002</v>
      </c>
      <c r="AV161" s="17"/>
    </row>
    <row r="162" spans="1:48" x14ac:dyDescent="0.25">
      <c r="A162">
        <v>2</v>
      </c>
      <c r="B162" t="s">
        <v>16</v>
      </c>
      <c r="C162">
        <v>27520</v>
      </c>
      <c r="D162">
        <v>128</v>
      </c>
      <c r="E162">
        <v>2</v>
      </c>
      <c r="F162">
        <v>8</v>
      </c>
      <c r="G162">
        <v>411.48</v>
      </c>
      <c r="H162" s="17">
        <v>33.770000000000003</v>
      </c>
      <c r="I162" s="33">
        <v>45308</v>
      </c>
      <c r="J162" s="37">
        <v>6.174768518518519E-2</v>
      </c>
      <c r="K162">
        <v>0</v>
      </c>
      <c r="L162">
        <v>0</v>
      </c>
      <c r="M162">
        <v>0</v>
      </c>
      <c r="N162">
        <v>0</v>
      </c>
      <c r="O162">
        <v>0</v>
      </c>
      <c r="P162">
        <v>0</v>
      </c>
      <c r="Q162">
        <v>0</v>
      </c>
      <c r="R162">
        <v>0</v>
      </c>
      <c r="S162">
        <v>0</v>
      </c>
      <c r="T162">
        <v>0</v>
      </c>
      <c r="U162">
        <v>0</v>
      </c>
      <c r="V162">
        <v>0</v>
      </c>
      <c r="W162" s="30">
        <f>W161</f>
        <v>33.743200000000002</v>
      </c>
      <c r="X162" s="17"/>
      <c r="Y162">
        <v>2</v>
      </c>
      <c r="Z162" t="s">
        <v>16</v>
      </c>
      <c r="AA162">
        <v>27520</v>
      </c>
      <c r="AB162">
        <v>128</v>
      </c>
      <c r="AC162">
        <v>2</v>
      </c>
      <c r="AD162">
        <v>8</v>
      </c>
      <c r="AE162">
        <v>366.57</v>
      </c>
      <c r="AF162" s="17">
        <v>37.908000000000001</v>
      </c>
      <c r="AG162" s="33">
        <v>45307</v>
      </c>
      <c r="AH162" s="34">
        <v>0.58636574074074077</v>
      </c>
      <c r="AI162">
        <v>0</v>
      </c>
      <c r="AJ162">
        <v>0</v>
      </c>
      <c r="AK162">
        <v>0</v>
      </c>
      <c r="AL162">
        <v>0</v>
      </c>
      <c r="AM162">
        <v>0</v>
      </c>
      <c r="AN162">
        <v>0</v>
      </c>
      <c r="AO162">
        <v>0</v>
      </c>
      <c r="AP162">
        <v>0</v>
      </c>
      <c r="AQ162">
        <v>0</v>
      </c>
      <c r="AR162">
        <v>0</v>
      </c>
      <c r="AS162">
        <v>0</v>
      </c>
      <c r="AT162">
        <v>0</v>
      </c>
      <c r="AU162" s="30">
        <f t="shared" si="61"/>
        <v>37.581400000000002</v>
      </c>
      <c r="AV162" s="17"/>
    </row>
    <row r="163" spans="1:48" x14ac:dyDescent="0.25">
      <c r="A163">
        <v>3</v>
      </c>
      <c r="B163" t="s">
        <v>16</v>
      </c>
      <c r="C163">
        <v>27520</v>
      </c>
      <c r="D163">
        <v>128</v>
      </c>
      <c r="E163">
        <v>2</v>
      </c>
      <c r="F163">
        <v>8</v>
      </c>
      <c r="G163">
        <v>412.42</v>
      </c>
      <c r="H163" s="17">
        <v>33.692999999999998</v>
      </c>
      <c r="I163" s="33">
        <v>45308</v>
      </c>
      <c r="J163" s="37">
        <v>0.40487268518518515</v>
      </c>
      <c r="K163">
        <v>0</v>
      </c>
      <c r="L163">
        <v>0</v>
      </c>
      <c r="M163">
        <v>0</v>
      </c>
      <c r="N163">
        <v>0</v>
      </c>
      <c r="O163">
        <v>0</v>
      </c>
      <c r="P163">
        <v>0</v>
      </c>
      <c r="Q163">
        <v>0</v>
      </c>
      <c r="R163">
        <v>0</v>
      </c>
      <c r="S163">
        <v>0</v>
      </c>
      <c r="T163">
        <v>0</v>
      </c>
      <c r="U163">
        <v>0</v>
      </c>
      <c r="V163">
        <v>0</v>
      </c>
      <c r="W163" s="30">
        <f>W162</f>
        <v>33.743200000000002</v>
      </c>
      <c r="X163" s="17"/>
      <c r="Y163">
        <v>3</v>
      </c>
      <c r="Z163" t="s">
        <v>16</v>
      </c>
      <c r="AA163">
        <v>27520</v>
      </c>
      <c r="AB163">
        <v>128</v>
      </c>
      <c r="AC163">
        <v>2</v>
      </c>
      <c r="AD163">
        <v>8</v>
      </c>
      <c r="AE163">
        <v>366.24</v>
      </c>
      <c r="AF163" s="17">
        <v>37.942999999999998</v>
      </c>
      <c r="AG163" s="33">
        <v>45307</v>
      </c>
      <c r="AH163" s="34">
        <v>0.52445601851851853</v>
      </c>
      <c r="AI163">
        <v>0</v>
      </c>
      <c r="AJ163">
        <v>0</v>
      </c>
      <c r="AK163">
        <v>0</v>
      </c>
      <c r="AL163">
        <v>0</v>
      </c>
      <c r="AM163">
        <v>0</v>
      </c>
      <c r="AN163">
        <v>0</v>
      </c>
      <c r="AO163">
        <v>0</v>
      </c>
      <c r="AP163">
        <v>0</v>
      </c>
      <c r="AQ163">
        <v>0</v>
      </c>
      <c r="AR163">
        <v>0</v>
      </c>
      <c r="AS163">
        <v>0</v>
      </c>
      <c r="AT163">
        <v>0</v>
      </c>
      <c r="AU163" s="30">
        <f t="shared" si="61"/>
        <v>37.581400000000002</v>
      </c>
      <c r="AV163" s="17"/>
    </row>
    <row r="164" spans="1:48" x14ac:dyDescent="0.25">
      <c r="A164">
        <v>4</v>
      </c>
      <c r="B164" t="s">
        <v>16</v>
      </c>
      <c r="C164">
        <v>27520</v>
      </c>
      <c r="D164">
        <v>128</v>
      </c>
      <c r="E164">
        <v>2</v>
      </c>
      <c r="F164">
        <v>8</v>
      </c>
      <c r="G164">
        <v>411.82</v>
      </c>
      <c r="H164" s="17">
        <v>33.743000000000002</v>
      </c>
      <c r="I164" s="33">
        <v>45307</v>
      </c>
      <c r="J164" s="37">
        <v>0.80210648148148145</v>
      </c>
      <c r="K164">
        <v>0</v>
      </c>
      <c r="L164">
        <v>0</v>
      </c>
      <c r="M164">
        <v>0</v>
      </c>
      <c r="N164">
        <v>0</v>
      </c>
      <c r="O164">
        <v>0</v>
      </c>
      <c r="P164">
        <v>0</v>
      </c>
      <c r="Q164">
        <v>0</v>
      </c>
      <c r="R164">
        <v>0</v>
      </c>
      <c r="S164">
        <v>0</v>
      </c>
      <c r="T164">
        <v>0</v>
      </c>
      <c r="U164">
        <v>0</v>
      </c>
      <c r="V164">
        <v>0</v>
      </c>
      <c r="W164" s="30">
        <f>W163</f>
        <v>33.743200000000002</v>
      </c>
      <c r="X164" s="17"/>
      <c r="Y164">
        <v>4</v>
      </c>
      <c r="Z164" t="s">
        <v>16</v>
      </c>
      <c r="AA164">
        <v>27520</v>
      </c>
      <c r="AB164">
        <v>128</v>
      </c>
      <c r="AC164">
        <v>2</v>
      </c>
      <c r="AD164">
        <v>8</v>
      </c>
      <c r="AE164">
        <v>366.71</v>
      </c>
      <c r="AF164" s="17">
        <v>37.893999999999998</v>
      </c>
      <c r="AG164" s="33">
        <v>45307</v>
      </c>
      <c r="AH164" s="34">
        <v>0.78762731481481474</v>
      </c>
      <c r="AI164">
        <v>0</v>
      </c>
      <c r="AJ164">
        <v>0</v>
      </c>
      <c r="AK164">
        <v>0</v>
      </c>
      <c r="AL164">
        <v>0</v>
      </c>
      <c r="AM164">
        <v>0</v>
      </c>
      <c r="AN164">
        <v>0</v>
      </c>
      <c r="AO164">
        <v>0</v>
      </c>
      <c r="AP164">
        <v>0</v>
      </c>
      <c r="AQ164">
        <v>0</v>
      </c>
      <c r="AR164">
        <v>0</v>
      </c>
      <c r="AS164">
        <v>0</v>
      </c>
      <c r="AT164">
        <v>0</v>
      </c>
      <c r="AU164" s="30">
        <f t="shared" si="61"/>
        <v>37.581400000000002</v>
      </c>
      <c r="AV164" s="17"/>
    </row>
    <row r="165" spans="1:48" x14ac:dyDescent="0.25">
      <c r="A165">
        <v>0</v>
      </c>
      <c r="B165" t="s">
        <v>16</v>
      </c>
      <c r="C165">
        <v>29056</v>
      </c>
      <c r="D165">
        <v>128</v>
      </c>
      <c r="E165">
        <v>2</v>
      </c>
      <c r="F165">
        <v>8</v>
      </c>
      <c r="G165">
        <v>437.68</v>
      </c>
      <c r="H165" s="17">
        <v>37.368000000000002</v>
      </c>
      <c r="I165" s="33">
        <v>45307</v>
      </c>
      <c r="J165" s="37">
        <v>0.59582175925925929</v>
      </c>
      <c r="K165">
        <v>0</v>
      </c>
      <c r="L165">
        <v>0</v>
      </c>
      <c r="M165">
        <v>0</v>
      </c>
      <c r="N165">
        <v>0</v>
      </c>
      <c r="O165">
        <v>0</v>
      </c>
      <c r="P165">
        <v>0</v>
      </c>
      <c r="Q165">
        <v>0</v>
      </c>
      <c r="R165">
        <v>0</v>
      </c>
      <c r="S165">
        <v>0</v>
      </c>
      <c r="T165">
        <v>0</v>
      </c>
      <c r="U165">
        <v>0</v>
      </c>
      <c r="V165">
        <v>0</v>
      </c>
      <c r="W165" s="30">
        <f>AVERAGE(H165:H169)</f>
        <v>37.355600000000003</v>
      </c>
      <c r="X165" s="17"/>
      <c r="Y165">
        <v>0</v>
      </c>
      <c r="Z165" t="s">
        <v>16</v>
      </c>
      <c r="AA165">
        <v>29056</v>
      </c>
      <c r="AB165">
        <v>128</v>
      </c>
      <c r="AC165">
        <v>2</v>
      </c>
      <c r="AD165">
        <v>8</v>
      </c>
      <c r="AE165">
        <v>404.91</v>
      </c>
      <c r="AF165" s="17">
        <v>40.392000000000003</v>
      </c>
      <c r="AG165" s="33">
        <v>45307</v>
      </c>
      <c r="AH165" s="34">
        <v>0.65144675925925932</v>
      </c>
      <c r="AI165">
        <v>0</v>
      </c>
      <c r="AJ165">
        <v>0</v>
      </c>
      <c r="AK165">
        <v>0</v>
      </c>
      <c r="AL165">
        <v>0</v>
      </c>
      <c r="AM165">
        <v>0</v>
      </c>
      <c r="AN165">
        <v>0</v>
      </c>
      <c r="AO165">
        <v>0</v>
      </c>
      <c r="AP165">
        <v>0</v>
      </c>
      <c r="AQ165">
        <v>0</v>
      </c>
      <c r="AR165">
        <v>0</v>
      </c>
      <c r="AS165">
        <v>0</v>
      </c>
      <c r="AT165">
        <v>0</v>
      </c>
      <c r="AU165" s="30">
        <f t="shared" ref="AU165" si="62">AVERAGE(AF165:AF169)</f>
        <v>40.383799999999994</v>
      </c>
      <c r="AV165" s="17"/>
    </row>
    <row r="166" spans="1:48" x14ac:dyDescent="0.25">
      <c r="A166">
        <v>1</v>
      </c>
      <c r="B166" t="s">
        <v>16</v>
      </c>
      <c r="C166">
        <v>29056</v>
      </c>
      <c r="D166">
        <v>128</v>
      </c>
      <c r="E166">
        <v>2</v>
      </c>
      <c r="F166">
        <v>8</v>
      </c>
      <c r="G166">
        <v>437.83</v>
      </c>
      <c r="H166" s="17">
        <v>37.353999999999999</v>
      </c>
      <c r="I166" s="33">
        <v>45307</v>
      </c>
      <c r="J166" s="37">
        <v>0.93641203703703713</v>
      </c>
      <c r="K166">
        <v>0</v>
      </c>
      <c r="L166">
        <v>0</v>
      </c>
      <c r="M166">
        <v>0</v>
      </c>
      <c r="N166">
        <v>0</v>
      </c>
      <c r="O166">
        <v>0</v>
      </c>
      <c r="P166">
        <v>0</v>
      </c>
      <c r="Q166">
        <v>0</v>
      </c>
      <c r="R166">
        <v>0</v>
      </c>
      <c r="S166">
        <v>0</v>
      </c>
      <c r="T166">
        <v>0</v>
      </c>
      <c r="U166">
        <v>0</v>
      </c>
      <c r="V166">
        <v>0</v>
      </c>
      <c r="W166" s="30">
        <f>W165</f>
        <v>37.355600000000003</v>
      </c>
      <c r="X166" s="17"/>
      <c r="Y166">
        <v>1</v>
      </c>
      <c r="Z166" t="s">
        <v>16</v>
      </c>
      <c r="AA166">
        <v>29056</v>
      </c>
      <c r="AB166">
        <v>128</v>
      </c>
      <c r="AC166">
        <v>2</v>
      </c>
      <c r="AD166">
        <v>8</v>
      </c>
      <c r="AE166">
        <v>404.65</v>
      </c>
      <c r="AF166" s="17">
        <v>40.417999999999999</v>
      </c>
      <c r="AG166" s="33">
        <v>45307</v>
      </c>
      <c r="AH166" s="34">
        <v>0.49146990740740742</v>
      </c>
      <c r="AI166">
        <v>0</v>
      </c>
      <c r="AJ166">
        <v>0</v>
      </c>
      <c r="AK166">
        <v>0</v>
      </c>
      <c r="AL166">
        <v>0</v>
      </c>
      <c r="AM166">
        <v>0</v>
      </c>
      <c r="AN166">
        <v>0</v>
      </c>
      <c r="AO166">
        <v>0</v>
      </c>
      <c r="AP166">
        <v>0</v>
      </c>
      <c r="AQ166">
        <v>0</v>
      </c>
      <c r="AR166">
        <v>0</v>
      </c>
      <c r="AS166">
        <v>0</v>
      </c>
      <c r="AT166">
        <v>0</v>
      </c>
      <c r="AU166" s="30">
        <f t="shared" ref="AU166" si="63">AU165</f>
        <v>40.383799999999994</v>
      </c>
      <c r="AV166" s="17"/>
    </row>
    <row r="167" spans="1:48" x14ac:dyDescent="0.25">
      <c r="A167">
        <v>2</v>
      </c>
      <c r="B167" t="s">
        <v>16</v>
      </c>
      <c r="C167">
        <v>29056</v>
      </c>
      <c r="D167">
        <v>128</v>
      </c>
      <c r="E167">
        <v>2</v>
      </c>
      <c r="F167">
        <v>8</v>
      </c>
      <c r="G167">
        <v>437.83</v>
      </c>
      <c r="H167" s="17">
        <v>37.353999999999999</v>
      </c>
      <c r="I167" s="33">
        <v>45308</v>
      </c>
      <c r="J167" s="37">
        <v>0.27945601851851848</v>
      </c>
      <c r="K167">
        <v>0</v>
      </c>
      <c r="L167">
        <v>0</v>
      </c>
      <c r="M167">
        <v>0</v>
      </c>
      <c r="N167">
        <v>0</v>
      </c>
      <c r="O167">
        <v>0</v>
      </c>
      <c r="P167">
        <v>0</v>
      </c>
      <c r="Q167">
        <v>0</v>
      </c>
      <c r="R167">
        <v>0</v>
      </c>
      <c r="S167">
        <v>0</v>
      </c>
      <c r="T167">
        <v>0</v>
      </c>
      <c r="U167">
        <v>0</v>
      </c>
      <c r="V167">
        <v>0</v>
      </c>
      <c r="W167" s="30">
        <f>W166</f>
        <v>37.355600000000003</v>
      </c>
      <c r="X167" s="17"/>
      <c r="Y167">
        <v>2</v>
      </c>
      <c r="Z167" t="s">
        <v>16</v>
      </c>
      <c r="AA167">
        <v>29056</v>
      </c>
      <c r="AB167">
        <v>128</v>
      </c>
      <c r="AC167">
        <v>2</v>
      </c>
      <c r="AD167">
        <v>8</v>
      </c>
      <c r="AE167">
        <v>405.16</v>
      </c>
      <c r="AF167" s="17">
        <v>40.366999999999997</v>
      </c>
      <c r="AG167" s="33">
        <v>45307</v>
      </c>
      <c r="AH167" s="34">
        <v>0.75435185185185183</v>
      </c>
      <c r="AI167">
        <v>0</v>
      </c>
      <c r="AJ167">
        <v>0</v>
      </c>
      <c r="AK167">
        <v>0</v>
      </c>
      <c r="AL167">
        <v>0</v>
      </c>
      <c r="AM167">
        <v>0</v>
      </c>
      <c r="AN167">
        <v>0</v>
      </c>
      <c r="AO167">
        <v>0</v>
      </c>
      <c r="AP167">
        <v>0</v>
      </c>
      <c r="AQ167">
        <v>0</v>
      </c>
      <c r="AR167">
        <v>0</v>
      </c>
      <c r="AS167">
        <v>0</v>
      </c>
      <c r="AT167">
        <v>0</v>
      </c>
      <c r="AU167" s="30">
        <f t="shared" si="59"/>
        <v>40.383799999999994</v>
      </c>
      <c r="AV167" s="17"/>
    </row>
    <row r="168" spans="1:48" x14ac:dyDescent="0.25">
      <c r="A168">
        <v>3</v>
      </c>
      <c r="B168" t="s">
        <v>16</v>
      </c>
      <c r="C168">
        <v>29056</v>
      </c>
      <c r="D168">
        <v>128</v>
      </c>
      <c r="E168">
        <v>2</v>
      </c>
      <c r="F168">
        <v>8</v>
      </c>
      <c r="G168">
        <v>437.89</v>
      </c>
      <c r="H168" s="17">
        <v>37.348999999999997</v>
      </c>
      <c r="I168" s="33">
        <v>45307</v>
      </c>
      <c r="J168" s="37">
        <v>0.67673611111111109</v>
      </c>
      <c r="K168">
        <v>0</v>
      </c>
      <c r="L168">
        <v>0</v>
      </c>
      <c r="M168">
        <v>0</v>
      </c>
      <c r="N168">
        <v>0</v>
      </c>
      <c r="O168">
        <v>0</v>
      </c>
      <c r="P168">
        <v>0</v>
      </c>
      <c r="Q168">
        <v>0</v>
      </c>
      <c r="R168">
        <v>0</v>
      </c>
      <c r="S168">
        <v>0</v>
      </c>
      <c r="T168">
        <v>0</v>
      </c>
      <c r="U168">
        <v>0</v>
      </c>
      <c r="V168">
        <v>0</v>
      </c>
      <c r="W168" s="30">
        <f>W167</f>
        <v>37.355600000000003</v>
      </c>
      <c r="X168" s="17"/>
      <c r="Y168">
        <v>3</v>
      </c>
      <c r="Z168" t="s">
        <v>16</v>
      </c>
      <c r="AA168">
        <v>29056</v>
      </c>
      <c r="AB168">
        <v>128</v>
      </c>
      <c r="AC168">
        <v>2</v>
      </c>
      <c r="AD168">
        <v>8</v>
      </c>
      <c r="AE168">
        <v>404.82</v>
      </c>
      <c r="AF168" s="17">
        <v>40.4</v>
      </c>
      <c r="AG168" s="33">
        <v>45307</v>
      </c>
      <c r="AH168" s="34">
        <v>0.69292824074074078</v>
      </c>
      <c r="AI168">
        <v>0</v>
      </c>
      <c r="AJ168">
        <v>0</v>
      </c>
      <c r="AK168">
        <v>0</v>
      </c>
      <c r="AL168">
        <v>0</v>
      </c>
      <c r="AM168">
        <v>0</v>
      </c>
      <c r="AN168">
        <v>0</v>
      </c>
      <c r="AO168">
        <v>0</v>
      </c>
      <c r="AP168">
        <v>0</v>
      </c>
      <c r="AQ168">
        <v>0</v>
      </c>
      <c r="AR168">
        <v>0</v>
      </c>
      <c r="AS168">
        <v>0</v>
      </c>
      <c r="AT168">
        <v>0</v>
      </c>
      <c r="AU168" s="30">
        <f t="shared" si="59"/>
        <v>40.383799999999994</v>
      </c>
      <c r="AV168" s="17"/>
    </row>
    <row r="169" spans="1:48" x14ac:dyDescent="0.25">
      <c r="A169">
        <v>4</v>
      </c>
      <c r="B169" t="s">
        <v>16</v>
      </c>
      <c r="C169">
        <v>29056</v>
      </c>
      <c r="D169">
        <v>128</v>
      </c>
      <c r="E169">
        <v>2</v>
      </c>
      <c r="F169">
        <v>8</v>
      </c>
      <c r="G169">
        <v>437.85</v>
      </c>
      <c r="H169" s="17">
        <v>37.353000000000002</v>
      </c>
      <c r="I169" s="33">
        <v>45308</v>
      </c>
      <c r="J169" s="37">
        <v>1.8414351851851852E-2</v>
      </c>
      <c r="K169">
        <v>0</v>
      </c>
      <c r="L169">
        <v>0</v>
      </c>
      <c r="M169">
        <v>0</v>
      </c>
      <c r="N169">
        <v>0</v>
      </c>
      <c r="O169">
        <v>0</v>
      </c>
      <c r="P169">
        <v>0</v>
      </c>
      <c r="Q169">
        <v>0</v>
      </c>
      <c r="R169">
        <v>0</v>
      </c>
      <c r="S169">
        <v>0</v>
      </c>
      <c r="T169">
        <v>0</v>
      </c>
      <c r="U169">
        <v>0</v>
      </c>
      <c r="V169">
        <v>0</v>
      </c>
      <c r="W169" s="30">
        <f>W168</f>
        <v>37.355600000000003</v>
      </c>
      <c r="X169" s="17"/>
      <c r="Y169">
        <v>4</v>
      </c>
      <c r="Z169" t="s">
        <v>16</v>
      </c>
      <c r="AA169">
        <v>29056</v>
      </c>
      <c r="AB169">
        <v>128</v>
      </c>
      <c r="AC169">
        <v>2</v>
      </c>
      <c r="AD169">
        <v>8</v>
      </c>
      <c r="AE169">
        <v>405.41</v>
      </c>
      <c r="AF169" s="17">
        <v>40.341999999999999</v>
      </c>
      <c r="AG169" s="33">
        <v>45307</v>
      </c>
      <c r="AH169" s="34">
        <v>0.48638888888888893</v>
      </c>
      <c r="AI169">
        <v>0</v>
      </c>
      <c r="AJ169">
        <v>0</v>
      </c>
      <c r="AK169">
        <v>0</v>
      </c>
      <c r="AL169">
        <v>0</v>
      </c>
      <c r="AM169">
        <v>0</v>
      </c>
      <c r="AN169">
        <v>0</v>
      </c>
      <c r="AO169">
        <v>0</v>
      </c>
      <c r="AP169">
        <v>0</v>
      </c>
      <c r="AQ169">
        <v>0</v>
      </c>
      <c r="AR169">
        <v>0</v>
      </c>
      <c r="AS169">
        <v>0</v>
      </c>
      <c r="AT169">
        <v>0</v>
      </c>
      <c r="AU169" s="30">
        <f t="shared" si="59"/>
        <v>40.383799999999994</v>
      </c>
      <c r="AV169" s="17"/>
    </row>
    <row r="170" spans="1:48" x14ac:dyDescent="0.25">
      <c r="A170">
        <v>0</v>
      </c>
      <c r="B170" t="s">
        <v>16</v>
      </c>
      <c r="C170">
        <v>25984</v>
      </c>
      <c r="D170">
        <v>128</v>
      </c>
      <c r="E170">
        <v>4</v>
      </c>
      <c r="F170">
        <v>4</v>
      </c>
      <c r="G170">
        <v>339.26</v>
      </c>
      <c r="H170" s="17">
        <v>34.476999999999997</v>
      </c>
      <c r="I170" s="33">
        <v>45307</v>
      </c>
      <c r="J170" s="37">
        <v>0.48820601851851847</v>
      </c>
      <c r="K170">
        <v>0</v>
      </c>
      <c r="L170">
        <v>0</v>
      </c>
      <c r="M170">
        <v>0</v>
      </c>
      <c r="N170">
        <v>0</v>
      </c>
      <c r="O170">
        <v>0</v>
      </c>
      <c r="P170">
        <v>0</v>
      </c>
      <c r="Q170">
        <v>0</v>
      </c>
      <c r="R170">
        <v>0</v>
      </c>
      <c r="S170">
        <v>0</v>
      </c>
      <c r="T170">
        <v>0</v>
      </c>
      <c r="U170">
        <v>0</v>
      </c>
      <c r="V170">
        <v>0</v>
      </c>
      <c r="W170" s="30">
        <f>AVERAGE(H170:H174)</f>
        <v>34.474999999999994</v>
      </c>
      <c r="X170" s="17"/>
      <c r="Y170">
        <v>0</v>
      </c>
      <c r="Z170" t="s">
        <v>16</v>
      </c>
      <c r="AA170">
        <v>25984</v>
      </c>
      <c r="AB170">
        <v>128</v>
      </c>
      <c r="AC170">
        <v>4</v>
      </c>
      <c r="AD170">
        <v>4</v>
      </c>
      <c r="AE170">
        <v>318.83999999999997</v>
      </c>
      <c r="AF170" s="17">
        <v>36.685000000000002</v>
      </c>
      <c r="AG170" s="33">
        <v>45307</v>
      </c>
      <c r="AH170" s="34">
        <v>0.56876157407407402</v>
      </c>
      <c r="AI170">
        <v>0</v>
      </c>
      <c r="AJ170">
        <v>0</v>
      </c>
      <c r="AK170">
        <v>0</v>
      </c>
      <c r="AL170">
        <v>0</v>
      </c>
      <c r="AM170">
        <v>0</v>
      </c>
      <c r="AN170">
        <v>0</v>
      </c>
      <c r="AO170">
        <v>0</v>
      </c>
      <c r="AP170">
        <v>0</v>
      </c>
      <c r="AQ170">
        <v>0</v>
      </c>
      <c r="AR170">
        <v>0</v>
      </c>
      <c r="AS170">
        <v>0</v>
      </c>
      <c r="AT170">
        <v>0</v>
      </c>
      <c r="AU170" s="30">
        <f t="shared" ref="AU170" si="64">AVERAGE(AF170:AF174)</f>
        <v>36.714199999999998</v>
      </c>
      <c r="AV170" s="17"/>
    </row>
    <row r="171" spans="1:48" x14ac:dyDescent="0.25">
      <c r="A171">
        <v>1</v>
      </c>
      <c r="B171" t="s">
        <v>16</v>
      </c>
      <c r="C171">
        <v>25984</v>
      </c>
      <c r="D171">
        <v>128</v>
      </c>
      <c r="E171">
        <v>4</v>
      </c>
      <c r="F171">
        <v>4</v>
      </c>
      <c r="G171">
        <v>339.41</v>
      </c>
      <c r="H171" s="17">
        <v>34.462000000000003</v>
      </c>
      <c r="I171" s="33">
        <v>45307</v>
      </c>
      <c r="J171" s="37">
        <v>0.83268518518518519</v>
      </c>
      <c r="K171">
        <v>0</v>
      </c>
      <c r="L171">
        <v>0</v>
      </c>
      <c r="M171">
        <v>0</v>
      </c>
      <c r="N171">
        <v>0</v>
      </c>
      <c r="O171">
        <v>0</v>
      </c>
      <c r="P171">
        <v>0</v>
      </c>
      <c r="Q171">
        <v>0</v>
      </c>
      <c r="R171">
        <v>0</v>
      </c>
      <c r="S171">
        <v>0</v>
      </c>
      <c r="T171">
        <v>0</v>
      </c>
      <c r="U171">
        <v>0</v>
      </c>
      <c r="V171">
        <v>0</v>
      </c>
      <c r="W171" s="30">
        <f>W170</f>
        <v>34.474999999999994</v>
      </c>
      <c r="X171" s="17"/>
      <c r="Y171">
        <v>1</v>
      </c>
      <c r="Z171" t="s">
        <v>16</v>
      </c>
      <c r="AA171">
        <v>25984</v>
      </c>
      <c r="AB171">
        <v>128</v>
      </c>
      <c r="AC171">
        <v>4</v>
      </c>
      <c r="AD171">
        <v>4</v>
      </c>
      <c r="AE171">
        <v>318.8</v>
      </c>
      <c r="AF171" s="17">
        <v>36.69</v>
      </c>
      <c r="AG171" s="33">
        <v>45307</v>
      </c>
      <c r="AH171" s="34">
        <v>0.51836805555555554</v>
      </c>
      <c r="AI171">
        <v>0</v>
      </c>
      <c r="AJ171">
        <v>0</v>
      </c>
      <c r="AK171">
        <v>0</v>
      </c>
      <c r="AL171">
        <v>0</v>
      </c>
      <c r="AM171">
        <v>0</v>
      </c>
      <c r="AN171">
        <v>0</v>
      </c>
      <c r="AO171">
        <v>0</v>
      </c>
      <c r="AP171">
        <v>0</v>
      </c>
      <c r="AQ171">
        <v>0</v>
      </c>
      <c r="AR171">
        <v>0</v>
      </c>
      <c r="AS171">
        <v>0</v>
      </c>
      <c r="AT171">
        <v>0</v>
      </c>
      <c r="AU171" s="30">
        <f t="shared" ref="AU171" si="65">AU170</f>
        <v>36.714199999999998</v>
      </c>
      <c r="AV171" s="17"/>
    </row>
    <row r="172" spans="1:48" x14ac:dyDescent="0.25">
      <c r="A172">
        <v>2</v>
      </c>
      <c r="B172" t="s">
        <v>16</v>
      </c>
      <c r="C172">
        <v>25984</v>
      </c>
      <c r="D172">
        <v>128</v>
      </c>
      <c r="E172">
        <v>4</v>
      </c>
      <c r="F172">
        <v>4</v>
      </c>
      <c r="G172">
        <v>339.23</v>
      </c>
      <c r="H172" s="17">
        <v>34.479999999999997</v>
      </c>
      <c r="I172" s="33">
        <v>45308</v>
      </c>
      <c r="J172" s="37">
        <v>0.17329861111111111</v>
      </c>
      <c r="K172">
        <v>0</v>
      </c>
      <c r="L172">
        <v>0</v>
      </c>
      <c r="M172">
        <v>0</v>
      </c>
      <c r="N172">
        <v>0</v>
      </c>
      <c r="O172">
        <v>0</v>
      </c>
      <c r="P172">
        <v>0</v>
      </c>
      <c r="Q172">
        <v>0</v>
      </c>
      <c r="R172">
        <v>0</v>
      </c>
      <c r="S172">
        <v>0</v>
      </c>
      <c r="T172">
        <v>0</v>
      </c>
      <c r="U172">
        <v>0</v>
      </c>
      <c r="V172">
        <v>0</v>
      </c>
      <c r="W172" s="30">
        <f>W171</f>
        <v>34.474999999999994</v>
      </c>
      <c r="X172" s="17"/>
      <c r="Y172">
        <v>2</v>
      </c>
      <c r="Z172" t="s">
        <v>16</v>
      </c>
      <c r="AA172">
        <v>25984</v>
      </c>
      <c r="AB172">
        <v>128</v>
      </c>
      <c r="AC172">
        <v>4</v>
      </c>
      <c r="AD172">
        <v>4</v>
      </c>
      <c r="AE172">
        <v>318.49</v>
      </c>
      <c r="AF172" s="17">
        <v>36.725000000000001</v>
      </c>
      <c r="AG172" s="33">
        <v>45307</v>
      </c>
      <c r="AH172" s="34">
        <v>0.67212962962962963</v>
      </c>
      <c r="AI172">
        <v>0</v>
      </c>
      <c r="AJ172">
        <v>0</v>
      </c>
      <c r="AK172">
        <v>0</v>
      </c>
      <c r="AL172">
        <v>0</v>
      </c>
      <c r="AM172">
        <v>0</v>
      </c>
      <c r="AN172">
        <v>0</v>
      </c>
      <c r="AO172">
        <v>0</v>
      </c>
      <c r="AP172">
        <v>0</v>
      </c>
      <c r="AQ172">
        <v>0</v>
      </c>
      <c r="AR172">
        <v>0</v>
      </c>
      <c r="AS172">
        <v>0</v>
      </c>
      <c r="AT172">
        <v>0</v>
      </c>
      <c r="AU172" s="30">
        <f t="shared" si="61"/>
        <v>36.714199999999998</v>
      </c>
      <c r="AV172" s="17"/>
    </row>
    <row r="173" spans="1:48" x14ac:dyDescent="0.25">
      <c r="A173">
        <v>3</v>
      </c>
      <c r="B173" t="s">
        <v>16</v>
      </c>
      <c r="C173">
        <v>25984</v>
      </c>
      <c r="D173">
        <v>128</v>
      </c>
      <c r="E173">
        <v>4</v>
      </c>
      <c r="F173">
        <v>4</v>
      </c>
      <c r="G173">
        <v>339.17</v>
      </c>
      <c r="H173" s="17">
        <v>34.487000000000002</v>
      </c>
      <c r="I173" s="33">
        <v>45307</v>
      </c>
      <c r="J173" s="37">
        <v>0.57071759259259258</v>
      </c>
      <c r="K173">
        <v>0</v>
      </c>
      <c r="L173">
        <v>0</v>
      </c>
      <c r="M173">
        <v>0</v>
      </c>
      <c r="N173">
        <v>0</v>
      </c>
      <c r="O173">
        <v>0</v>
      </c>
      <c r="P173">
        <v>0</v>
      </c>
      <c r="Q173">
        <v>0</v>
      </c>
      <c r="R173">
        <v>0</v>
      </c>
      <c r="S173">
        <v>0</v>
      </c>
      <c r="T173">
        <v>0</v>
      </c>
      <c r="U173">
        <v>0</v>
      </c>
      <c r="V173">
        <v>0</v>
      </c>
      <c r="W173" s="30">
        <f>W172</f>
        <v>34.474999999999994</v>
      </c>
      <c r="X173" s="17"/>
      <c r="Y173">
        <v>3</v>
      </c>
      <c r="Z173" t="s">
        <v>16</v>
      </c>
      <c r="AA173">
        <v>25984</v>
      </c>
      <c r="AB173">
        <v>128</v>
      </c>
      <c r="AC173">
        <v>4</v>
      </c>
      <c r="AD173">
        <v>4</v>
      </c>
      <c r="AE173">
        <v>318.74</v>
      </c>
      <c r="AF173" s="17">
        <v>36.697000000000003</v>
      </c>
      <c r="AG173" s="33">
        <v>45307</v>
      </c>
      <c r="AH173" s="34">
        <v>0.61020833333333335</v>
      </c>
      <c r="AI173">
        <v>0</v>
      </c>
      <c r="AJ173">
        <v>0</v>
      </c>
      <c r="AK173">
        <v>0</v>
      </c>
      <c r="AL173">
        <v>0</v>
      </c>
      <c r="AM173">
        <v>0</v>
      </c>
      <c r="AN173">
        <v>0</v>
      </c>
      <c r="AO173">
        <v>0</v>
      </c>
      <c r="AP173">
        <v>0</v>
      </c>
      <c r="AQ173">
        <v>0</v>
      </c>
      <c r="AR173">
        <v>0</v>
      </c>
      <c r="AS173">
        <v>0</v>
      </c>
      <c r="AT173">
        <v>0</v>
      </c>
      <c r="AU173" s="30">
        <f t="shared" si="61"/>
        <v>36.714199999999998</v>
      </c>
      <c r="AV173" s="17"/>
    </row>
    <row r="174" spans="1:48" x14ac:dyDescent="0.25">
      <c r="A174">
        <v>4</v>
      </c>
      <c r="B174" t="s">
        <v>16</v>
      </c>
      <c r="C174">
        <v>25984</v>
      </c>
      <c r="D174">
        <v>128</v>
      </c>
      <c r="E174">
        <v>4</v>
      </c>
      <c r="F174">
        <v>4</v>
      </c>
      <c r="G174">
        <v>339.34</v>
      </c>
      <c r="H174" s="17">
        <v>34.469000000000001</v>
      </c>
      <c r="I174" s="33">
        <v>45307</v>
      </c>
      <c r="J174" s="37">
        <v>0.91365740740740742</v>
      </c>
      <c r="K174">
        <v>0</v>
      </c>
      <c r="L174">
        <v>0</v>
      </c>
      <c r="M174">
        <v>0</v>
      </c>
      <c r="N174">
        <v>0</v>
      </c>
      <c r="O174">
        <v>0</v>
      </c>
      <c r="P174">
        <v>0</v>
      </c>
      <c r="Q174">
        <v>0</v>
      </c>
      <c r="R174">
        <v>0</v>
      </c>
      <c r="S174">
        <v>0</v>
      </c>
      <c r="T174">
        <v>0</v>
      </c>
      <c r="U174">
        <v>0</v>
      </c>
      <c r="V174">
        <v>0</v>
      </c>
      <c r="W174" s="30">
        <f>W173</f>
        <v>34.474999999999994</v>
      </c>
      <c r="X174" s="17"/>
      <c r="Y174">
        <v>4</v>
      </c>
      <c r="Z174" t="s">
        <v>16</v>
      </c>
      <c r="AA174">
        <v>25984</v>
      </c>
      <c r="AB174">
        <v>128</v>
      </c>
      <c r="AC174">
        <v>4</v>
      </c>
      <c r="AD174">
        <v>4</v>
      </c>
      <c r="AE174">
        <v>318.07</v>
      </c>
      <c r="AF174" s="17">
        <v>36.774000000000001</v>
      </c>
      <c r="AG174" s="33">
        <v>45307</v>
      </c>
      <c r="AH174" s="34">
        <v>0.48513888888888884</v>
      </c>
      <c r="AI174">
        <v>0</v>
      </c>
      <c r="AJ174">
        <v>0</v>
      </c>
      <c r="AK174">
        <v>0</v>
      </c>
      <c r="AL174">
        <v>0</v>
      </c>
      <c r="AM174">
        <v>0</v>
      </c>
      <c r="AN174">
        <v>0</v>
      </c>
      <c r="AO174">
        <v>0</v>
      </c>
      <c r="AP174">
        <v>0</v>
      </c>
      <c r="AQ174">
        <v>0</v>
      </c>
      <c r="AR174">
        <v>0</v>
      </c>
      <c r="AS174">
        <v>0</v>
      </c>
      <c r="AT174">
        <v>0</v>
      </c>
      <c r="AU174" s="30">
        <f t="shared" si="61"/>
        <v>36.714199999999998</v>
      </c>
      <c r="AV174" s="17"/>
    </row>
    <row r="175" spans="1:48" x14ac:dyDescent="0.25">
      <c r="A175">
        <v>0</v>
      </c>
      <c r="B175" t="s">
        <v>16</v>
      </c>
      <c r="C175">
        <v>27520</v>
      </c>
      <c r="D175">
        <v>128</v>
      </c>
      <c r="E175">
        <v>4</v>
      </c>
      <c r="F175">
        <v>4</v>
      </c>
      <c r="G175">
        <v>401.6</v>
      </c>
      <c r="H175" s="17">
        <v>34.600999999999999</v>
      </c>
      <c r="I175" s="33">
        <v>45307</v>
      </c>
      <c r="J175" s="37">
        <v>0.52886574074074078</v>
      </c>
      <c r="K175">
        <v>0</v>
      </c>
      <c r="L175">
        <v>0</v>
      </c>
      <c r="M175">
        <v>0</v>
      </c>
      <c r="N175">
        <v>0</v>
      </c>
      <c r="O175">
        <v>0</v>
      </c>
      <c r="P175">
        <v>0</v>
      </c>
      <c r="Q175">
        <v>0</v>
      </c>
      <c r="R175">
        <v>0</v>
      </c>
      <c r="S175">
        <v>0</v>
      </c>
      <c r="T175">
        <v>0</v>
      </c>
      <c r="U175">
        <v>0</v>
      </c>
      <c r="V175">
        <v>0</v>
      </c>
      <c r="W175" s="30">
        <f>AVERAGE(H175:H179)</f>
        <v>34.626800000000003</v>
      </c>
      <c r="X175" s="17"/>
      <c r="Y175">
        <v>0</v>
      </c>
      <c r="Z175" t="s">
        <v>16</v>
      </c>
      <c r="AA175">
        <v>27520</v>
      </c>
      <c r="AB175">
        <v>128</v>
      </c>
      <c r="AC175">
        <v>4</v>
      </c>
      <c r="AD175">
        <v>4</v>
      </c>
      <c r="AE175">
        <v>373.94</v>
      </c>
      <c r="AF175" s="17">
        <v>37.161999999999999</v>
      </c>
      <c r="AG175" s="33">
        <v>45307</v>
      </c>
      <c r="AH175" s="34">
        <v>0.48797453703703703</v>
      </c>
      <c r="AI175">
        <v>0</v>
      </c>
      <c r="AJ175">
        <v>0</v>
      </c>
      <c r="AK175">
        <v>0</v>
      </c>
      <c r="AL175">
        <v>0</v>
      </c>
      <c r="AM175">
        <v>0</v>
      </c>
      <c r="AN175">
        <v>0</v>
      </c>
      <c r="AO175">
        <v>0</v>
      </c>
      <c r="AP175">
        <v>0</v>
      </c>
      <c r="AQ175">
        <v>0</v>
      </c>
      <c r="AR175">
        <v>0</v>
      </c>
      <c r="AS175">
        <v>0</v>
      </c>
      <c r="AT175">
        <v>0</v>
      </c>
      <c r="AU175" s="30">
        <f t="shared" ref="AU175" si="66">AVERAGE(AF175:AF179)</f>
        <v>37.178399999999996</v>
      </c>
      <c r="AV175" s="17"/>
    </row>
    <row r="176" spans="1:48" x14ac:dyDescent="0.25">
      <c r="A176">
        <v>1</v>
      </c>
      <c r="B176" t="s">
        <v>16</v>
      </c>
      <c r="C176">
        <v>27520</v>
      </c>
      <c r="D176">
        <v>128</v>
      </c>
      <c r="E176">
        <v>4</v>
      </c>
      <c r="F176">
        <v>4</v>
      </c>
      <c r="G176">
        <v>401.46</v>
      </c>
      <c r="H176" s="17">
        <v>34.613999999999997</v>
      </c>
      <c r="I176" s="33">
        <v>45307</v>
      </c>
      <c r="J176" s="37">
        <v>0.7259606481481482</v>
      </c>
      <c r="K176">
        <v>0</v>
      </c>
      <c r="L176">
        <v>0</v>
      </c>
      <c r="M176">
        <v>0</v>
      </c>
      <c r="N176">
        <v>0</v>
      </c>
      <c r="O176">
        <v>0</v>
      </c>
      <c r="P176">
        <v>0</v>
      </c>
      <c r="Q176">
        <v>0</v>
      </c>
      <c r="R176">
        <v>0</v>
      </c>
      <c r="S176">
        <v>0</v>
      </c>
      <c r="T176">
        <v>0</v>
      </c>
      <c r="U176">
        <v>0</v>
      </c>
      <c r="V176">
        <v>0</v>
      </c>
      <c r="W176" s="30">
        <f>W175</f>
        <v>34.626800000000003</v>
      </c>
      <c r="X176" s="17"/>
      <c r="Y176">
        <v>1</v>
      </c>
      <c r="Z176" t="s">
        <v>16</v>
      </c>
      <c r="AA176">
        <v>27520</v>
      </c>
      <c r="AB176">
        <v>128</v>
      </c>
      <c r="AC176">
        <v>4</v>
      </c>
      <c r="AD176">
        <v>4</v>
      </c>
      <c r="AE176">
        <v>373.61</v>
      </c>
      <c r="AF176" s="17">
        <v>37.194000000000003</v>
      </c>
      <c r="AG176" s="33">
        <v>45307</v>
      </c>
      <c r="AH176" s="34">
        <v>0.75119212962962967</v>
      </c>
      <c r="AI176">
        <v>0</v>
      </c>
      <c r="AJ176">
        <v>0</v>
      </c>
      <c r="AK176">
        <v>0</v>
      </c>
      <c r="AL176">
        <v>0</v>
      </c>
      <c r="AM176">
        <v>0</v>
      </c>
      <c r="AN176">
        <v>0</v>
      </c>
      <c r="AO176">
        <v>0</v>
      </c>
      <c r="AP176">
        <v>0</v>
      </c>
      <c r="AQ176">
        <v>0</v>
      </c>
      <c r="AR176">
        <v>0</v>
      </c>
      <c r="AS176">
        <v>0</v>
      </c>
      <c r="AT176">
        <v>0</v>
      </c>
      <c r="AU176" s="30">
        <f t="shared" ref="AU176" si="67">AU175</f>
        <v>37.178399999999996</v>
      </c>
      <c r="AV176" s="17"/>
    </row>
    <row r="177" spans="1:48" x14ac:dyDescent="0.25">
      <c r="A177">
        <v>2</v>
      </c>
      <c r="B177" t="s">
        <v>16</v>
      </c>
      <c r="C177">
        <v>27520</v>
      </c>
      <c r="D177">
        <v>128</v>
      </c>
      <c r="E177">
        <v>4</v>
      </c>
      <c r="F177">
        <v>4</v>
      </c>
      <c r="G177">
        <v>401.25</v>
      </c>
      <c r="H177" s="17">
        <v>34.631</v>
      </c>
      <c r="I177" s="33">
        <v>45308</v>
      </c>
      <c r="J177" s="37">
        <v>6.659722222222221E-2</v>
      </c>
      <c r="K177">
        <v>0</v>
      </c>
      <c r="L177">
        <v>0</v>
      </c>
      <c r="M177">
        <v>0</v>
      </c>
      <c r="N177">
        <v>0</v>
      </c>
      <c r="O177">
        <v>0</v>
      </c>
      <c r="P177">
        <v>0</v>
      </c>
      <c r="Q177">
        <v>0</v>
      </c>
      <c r="R177">
        <v>0</v>
      </c>
      <c r="S177">
        <v>0</v>
      </c>
      <c r="T177">
        <v>0</v>
      </c>
      <c r="U177">
        <v>0</v>
      </c>
      <c r="V177">
        <v>0</v>
      </c>
      <c r="W177" s="30">
        <f>W176</f>
        <v>34.626800000000003</v>
      </c>
      <c r="X177" s="17"/>
      <c r="Y177">
        <v>2</v>
      </c>
      <c r="Z177" t="s">
        <v>16</v>
      </c>
      <c r="AA177">
        <v>27520</v>
      </c>
      <c r="AB177">
        <v>128</v>
      </c>
      <c r="AC177">
        <v>4</v>
      </c>
      <c r="AD177">
        <v>4</v>
      </c>
      <c r="AE177">
        <v>373.81</v>
      </c>
      <c r="AF177" s="17">
        <v>37.173999999999999</v>
      </c>
      <c r="AG177" s="33">
        <v>45307</v>
      </c>
      <c r="AH177" s="34">
        <v>0.59134259259259259</v>
      </c>
      <c r="AI177">
        <v>0</v>
      </c>
      <c r="AJ177">
        <v>0</v>
      </c>
      <c r="AK177">
        <v>0</v>
      </c>
      <c r="AL177">
        <v>0</v>
      </c>
      <c r="AM177">
        <v>0</v>
      </c>
      <c r="AN177">
        <v>0</v>
      </c>
      <c r="AO177">
        <v>0</v>
      </c>
      <c r="AP177">
        <v>0</v>
      </c>
      <c r="AQ177">
        <v>0</v>
      </c>
      <c r="AR177">
        <v>0</v>
      </c>
      <c r="AS177">
        <v>0</v>
      </c>
      <c r="AT177">
        <v>0</v>
      </c>
      <c r="AU177" s="30">
        <f t="shared" si="59"/>
        <v>37.178399999999996</v>
      </c>
      <c r="AV177" s="17"/>
    </row>
    <row r="178" spans="1:48" x14ac:dyDescent="0.25">
      <c r="A178">
        <v>3</v>
      </c>
      <c r="B178" t="s">
        <v>16</v>
      </c>
      <c r="C178">
        <v>27520</v>
      </c>
      <c r="D178">
        <v>128</v>
      </c>
      <c r="E178">
        <v>4</v>
      </c>
      <c r="F178">
        <v>4</v>
      </c>
      <c r="G178">
        <v>400.72</v>
      </c>
      <c r="H178" s="17">
        <v>34.677999999999997</v>
      </c>
      <c r="I178" s="33">
        <v>45308</v>
      </c>
      <c r="J178" s="37">
        <v>0.40971064814814812</v>
      </c>
      <c r="K178">
        <v>0</v>
      </c>
      <c r="L178">
        <v>0</v>
      </c>
      <c r="M178">
        <v>0</v>
      </c>
      <c r="N178">
        <v>0</v>
      </c>
      <c r="O178">
        <v>0</v>
      </c>
      <c r="P178">
        <v>16</v>
      </c>
      <c r="Q178">
        <v>0</v>
      </c>
      <c r="R178">
        <v>0</v>
      </c>
      <c r="S178">
        <v>0</v>
      </c>
      <c r="T178">
        <v>0</v>
      </c>
      <c r="U178">
        <v>0</v>
      </c>
      <c r="V178">
        <v>0</v>
      </c>
      <c r="W178" s="30">
        <f>W177</f>
        <v>34.626800000000003</v>
      </c>
      <c r="X178" s="17"/>
      <c r="Y178">
        <v>3</v>
      </c>
      <c r="Z178" t="s">
        <v>16</v>
      </c>
      <c r="AA178">
        <v>27520</v>
      </c>
      <c r="AB178">
        <v>128</v>
      </c>
      <c r="AC178">
        <v>4</v>
      </c>
      <c r="AD178">
        <v>4</v>
      </c>
      <c r="AE178">
        <v>373.66</v>
      </c>
      <c r="AF178" s="17">
        <v>37.189</v>
      </c>
      <c r="AG178" s="33">
        <v>45307</v>
      </c>
      <c r="AH178" s="34">
        <v>0.52943287037037035</v>
      </c>
      <c r="AI178">
        <v>0</v>
      </c>
      <c r="AJ178">
        <v>0</v>
      </c>
      <c r="AK178">
        <v>0</v>
      </c>
      <c r="AL178">
        <v>0</v>
      </c>
      <c r="AM178">
        <v>0</v>
      </c>
      <c r="AN178">
        <v>0</v>
      </c>
      <c r="AO178">
        <v>0</v>
      </c>
      <c r="AP178">
        <v>0</v>
      </c>
      <c r="AQ178">
        <v>0</v>
      </c>
      <c r="AR178">
        <v>0</v>
      </c>
      <c r="AS178">
        <v>0</v>
      </c>
      <c r="AT178">
        <v>0</v>
      </c>
      <c r="AU178" s="30">
        <f t="shared" si="59"/>
        <v>37.178399999999996</v>
      </c>
      <c r="AV178" s="17"/>
    </row>
    <row r="179" spans="1:48" x14ac:dyDescent="0.25">
      <c r="A179">
        <v>4</v>
      </c>
      <c r="B179" t="s">
        <v>16</v>
      </c>
      <c r="C179">
        <v>27520</v>
      </c>
      <c r="D179">
        <v>128</v>
      </c>
      <c r="E179">
        <v>4</v>
      </c>
      <c r="F179">
        <v>4</v>
      </c>
      <c r="G179">
        <v>401.5</v>
      </c>
      <c r="H179" s="17">
        <v>34.61</v>
      </c>
      <c r="I179" s="33">
        <v>45307</v>
      </c>
      <c r="J179" s="37">
        <v>0.80694444444444446</v>
      </c>
      <c r="K179">
        <v>0</v>
      </c>
      <c r="L179">
        <v>0</v>
      </c>
      <c r="M179">
        <v>0</v>
      </c>
      <c r="N179">
        <v>0</v>
      </c>
      <c r="O179">
        <v>0</v>
      </c>
      <c r="P179">
        <v>0</v>
      </c>
      <c r="Q179">
        <v>0</v>
      </c>
      <c r="R179">
        <v>0</v>
      </c>
      <c r="S179">
        <v>0</v>
      </c>
      <c r="T179">
        <v>0</v>
      </c>
      <c r="U179">
        <v>0</v>
      </c>
      <c r="V179">
        <v>0</v>
      </c>
      <c r="W179" s="30">
        <f>W178</f>
        <v>34.626800000000003</v>
      </c>
      <c r="X179" s="17"/>
      <c r="Y179">
        <v>4</v>
      </c>
      <c r="Z179" t="s">
        <v>16</v>
      </c>
      <c r="AA179">
        <v>27520</v>
      </c>
      <c r="AB179">
        <v>128</v>
      </c>
      <c r="AC179">
        <v>4</v>
      </c>
      <c r="AD179">
        <v>4</v>
      </c>
      <c r="AE179">
        <v>373.82</v>
      </c>
      <c r="AF179" s="17">
        <v>37.173000000000002</v>
      </c>
      <c r="AG179" s="33">
        <v>45307</v>
      </c>
      <c r="AH179" s="34">
        <v>0.79260416666666667</v>
      </c>
      <c r="AI179">
        <v>0</v>
      </c>
      <c r="AJ179">
        <v>0</v>
      </c>
      <c r="AK179">
        <v>0</v>
      </c>
      <c r="AL179">
        <v>0</v>
      </c>
      <c r="AM179">
        <v>0</v>
      </c>
      <c r="AN179">
        <v>0</v>
      </c>
      <c r="AO179">
        <v>0</v>
      </c>
      <c r="AP179">
        <v>0</v>
      </c>
      <c r="AQ179">
        <v>0</v>
      </c>
      <c r="AR179">
        <v>0</v>
      </c>
      <c r="AS179">
        <v>0</v>
      </c>
      <c r="AT179">
        <v>0</v>
      </c>
      <c r="AU179" s="30">
        <f t="shared" si="59"/>
        <v>37.178399999999996</v>
      </c>
      <c r="AV179" s="17"/>
    </row>
    <row r="180" spans="1:48" x14ac:dyDescent="0.25">
      <c r="A180">
        <v>0</v>
      </c>
      <c r="B180" t="s">
        <v>16</v>
      </c>
      <c r="C180">
        <v>29056</v>
      </c>
      <c r="D180">
        <v>128</v>
      </c>
      <c r="E180">
        <v>4</v>
      </c>
      <c r="F180">
        <v>4</v>
      </c>
      <c r="G180">
        <v>459.6</v>
      </c>
      <c r="H180" s="17">
        <v>35.585999999999999</v>
      </c>
      <c r="I180" s="33">
        <v>45307</v>
      </c>
      <c r="J180" s="37">
        <v>0.60135416666666663</v>
      </c>
      <c r="K180">
        <v>0</v>
      </c>
      <c r="L180">
        <v>0</v>
      </c>
      <c r="M180">
        <v>0</v>
      </c>
      <c r="N180">
        <v>0</v>
      </c>
      <c r="O180">
        <v>0</v>
      </c>
      <c r="P180">
        <v>0</v>
      </c>
      <c r="Q180">
        <v>0</v>
      </c>
      <c r="R180">
        <v>0</v>
      </c>
      <c r="S180">
        <v>0</v>
      </c>
      <c r="T180">
        <v>0</v>
      </c>
      <c r="U180">
        <v>0</v>
      </c>
      <c r="V180">
        <v>0</v>
      </c>
      <c r="W180" s="30">
        <f>AVERAGE(H180:H184)</f>
        <v>35.561800000000005</v>
      </c>
      <c r="X180" s="17"/>
      <c r="Y180">
        <v>0</v>
      </c>
      <c r="Z180" t="s">
        <v>16</v>
      </c>
      <c r="AA180">
        <v>29056</v>
      </c>
      <c r="AB180">
        <v>128</v>
      </c>
      <c r="AC180">
        <v>4</v>
      </c>
      <c r="AD180">
        <v>4</v>
      </c>
      <c r="AE180">
        <v>430.97</v>
      </c>
      <c r="AF180" s="17">
        <v>37.950000000000003</v>
      </c>
      <c r="AG180" s="33">
        <v>45307</v>
      </c>
      <c r="AH180" s="34">
        <v>0.65716435185185185</v>
      </c>
      <c r="AI180">
        <v>0</v>
      </c>
      <c r="AJ180">
        <v>0</v>
      </c>
      <c r="AK180">
        <v>0</v>
      </c>
      <c r="AL180">
        <v>0</v>
      </c>
      <c r="AM180">
        <v>0</v>
      </c>
      <c r="AN180">
        <v>0</v>
      </c>
      <c r="AO180">
        <v>0</v>
      </c>
      <c r="AP180">
        <v>0</v>
      </c>
      <c r="AQ180">
        <v>0</v>
      </c>
      <c r="AR180">
        <v>0</v>
      </c>
      <c r="AS180">
        <v>0</v>
      </c>
      <c r="AT180">
        <v>0</v>
      </c>
      <c r="AU180" s="30">
        <f t="shared" ref="AU180" si="68">AVERAGE(AF180:AF184)</f>
        <v>37.986399999999996</v>
      </c>
      <c r="AV180" s="17"/>
    </row>
    <row r="181" spans="1:48" x14ac:dyDescent="0.25">
      <c r="A181">
        <v>1</v>
      </c>
      <c r="B181" t="s">
        <v>16</v>
      </c>
      <c r="C181">
        <v>29056</v>
      </c>
      <c r="D181">
        <v>128</v>
      </c>
      <c r="E181">
        <v>4</v>
      </c>
      <c r="F181">
        <v>4</v>
      </c>
      <c r="G181">
        <v>459.77</v>
      </c>
      <c r="H181" s="17">
        <v>35.572000000000003</v>
      </c>
      <c r="I181" s="33">
        <v>45307</v>
      </c>
      <c r="J181" s="37">
        <v>0.94194444444444436</v>
      </c>
      <c r="K181">
        <v>0</v>
      </c>
      <c r="L181">
        <v>0</v>
      </c>
      <c r="M181">
        <v>0</v>
      </c>
      <c r="N181">
        <v>0</v>
      </c>
      <c r="O181">
        <v>0</v>
      </c>
      <c r="P181">
        <v>0</v>
      </c>
      <c r="Q181">
        <v>0</v>
      </c>
      <c r="R181">
        <v>0</v>
      </c>
      <c r="S181">
        <v>0</v>
      </c>
      <c r="T181">
        <v>0</v>
      </c>
      <c r="U181">
        <v>0</v>
      </c>
      <c r="V181">
        <v>0</v>
      </c>
      <c r="W181" s="30">
        <f>W180</f>
        <v>35.561800000000005</v>
      </c>
      <c r="X181" s="17"/>
      <c r="Y181">
        <v>1</v>
      </c>
      <c r="Z181" t="s">
        <v>16</v>
      </c>
      <c r="AA181">
        <v>29056</v>
      </c>
      <c r="AB181">
        <v>128</v>
      </c>
      <c r="AC181">
        <v>4</v>
      </c>
      <c r="AD181">
        <v>4</v>
      </c>
      <c r="AE181">
        <v>430.01</v>
      </c>
      <c r="AF181" s="17">
        <v>38.033999999999999</v>
      </c>
      <c r="AG181" s="33">
        <v>45307</v>
      </c>
      <c r="AH181" s="34">
        <v>0.49717592592592591</v>
      </c>
      <c r="AI181">
        <v>0</v>
      </c>
      <c r="AJ181">
        <v>0</v>
      </c>
      <c r="AK181">
        <v>0</v>
      </c>
      <c r="AL181">
        <v>0</v>
      </c>
      <c r="AM181">
        <v>0</v>
      </c>
      <c r="AN181">
        <v>0</v>
      </c>
      <c r="AO181">
        <v>0</v>
      </c>
      <c r="AP181">
        <v>0</v>
      </c>
      <c r="AQ181">
        <v>0</v>
      </c>
      <c r="AR181">
        <v>0</v>
      </c>
      <c r="AS181">
        <v>0</v>
      </c>
      <c r="AT181">
        <v>0</v>
      </c>
      <c r="AU181" s="30">
        <f t="shared" ref="AU181" si="69">AU180</f>
        <v>37.986399999999996</v>
      </c>
      <c r="AV181" s="17"/>
    </row>
    <row r="182" spans="1:48" x14ac:dyDescent="0.25">
      <c r="A182">
        <v>2</v>
      </c>
      <c r="B182" t="s">
        <v>16</v>
      </c>
      <c r="C182">
        <v>29056</v>
      </c>
      <c r="D182">
        <v>128</v>
      </c>
      <c r="E182">
        <v>4</v>
      </c>
      <c r="F182">
        <v>4</v>
      </c>
      <c r="G182">
        <v>459.74</v>
      </c>
      <c r="H182" s="17">
        <v>35.573999999999998</v>
      </c>
      <c r="I182" s="33">
        <v>45308</v>
      </c>
      <c r="J182" s="37">
        <v>0.28499999999999998</v>
      </c>
      <c r="K182">
        <v>0</v>
      </c>
      <c r="L182">
        <v>0</v>
      </c>
      <c r="M182">
        <v>0</v>
      </c>
      <c r="N182">
        <v>0</v>
      </c>
      <c r="O182">
        <v>0</v>
      </c>
      <c r="P182">
        <v>0</v>
      </c>
      <c r="Q182">
        <v>0</v>
      </c>
      <c r="R182">
        <v>0</v>
      </c>
      <c r="S182">
        <v>0</v>
      </c>
      <c r="T182">
        <v>0</v>
      </c>
      <c r="U182">
        <v>0</v>
      </c>
      <c r="V182">
        <v>0</v>
      </c>
      <c r="W182" s="30">
        <f>W181</f>
        <v>35.561800000000005</v>
      </c>
      <c r="X182" s="17"/>
      <c r="Y182">
        <v>2</v>
      </c>
      <c r="Z182" t="s">
        <v>16</v>
      </c>
      <c r="AA182">
        <v>29056</v>
      </c>
      <c r="AB182">
        <v>128</v>
      </c>
      <c r="AC182">
        <v>4</v>
      </c>
      <c r="AD182">
        <v>4</v>
      </c>
      <c r="AE182">
        <v>430.65</v>
      </c>
      <c r="AF182" s="17">
        <v>37.976999999999997</v>
      </c>
      <c r="AG182" s="33">
        <v>45307</v>
      </c>
      <c r="AH182" s="34">
        <v>0.76005787037037031</v>
      </c>
      <c r="AI182">
        <v>0</v>
      </c>
      <c r="AJ182">
        <v>0</v>
      </c>
      <c r="AK182">
        <v>0</v>
      </c>
      <c r="AL182">
        <v>0</v>
      </c>
      <c r="AM182">
        <v>0</v>
      </c>
      <c r="AN182">
        <v>0</v>
      </c>
      <c r="AO182">
        <v>0</v>
      </c>
      <c r="AP182">
        <v>0</v>
      </c>
      <c r="AQ182">
        <v>0</v>
      </c>
      <c r="AR182">
        <v>0</v>
      </c>
      <c r="AS182">
        <v>0</v>
      </c>
      <c r="AT182">
        <v>0</v>
      </c>
      <c r="AU182" s="30">
        <f t="shared" si="61"/>
        <v>37.986399999999996</v>
      </c>
      <c r="AV182" s="17"/>
    </row>
    <row r="183" spans="1:48" x14ac:dyDescent="0.25">
      <c r="A183">
        <v>3</v>
      </c>
      <c r="B183" t="s">
        <v>16</v>
      </c>
      <c r="C183">
        <v>29056</v>
      </c>
      <c r="D183">
        <v>128</v>
      </c>
      <c r="E183">
        <v>4</v>
      </c>
      <c r="F183">
        <v>4</v>
      </c>
      <c r="G183">
        <v>460.52</v>
      </c>
      <c r="H183" s="17">
        <v>35.514000000000003</v>
      </c>
      <c r="I183" s="33">
        <v>45307</v>
      </c>
      <c r="J183" s="37">
        <v>0.68229166666666663</v>
      </c>
      <c r="K183">
        <v>0</v>
      </c>
      <c r="L183">
        <v>0</v>
      </c>
      <c r="M183">
        <v>0</v>
      </c>
      <c r="N183">
        <v>0</v>
      </c>
      <c r="O183">
        <v>0</v>
      </c>
      <c r="P183">
        <v>0</v>
      </c>
      <c r="Q183">
        <v>0</v>
      </c>
      <c r="R183">
        <v>0</v>
      </c>
      <c r="S183">
        <v>0</v>
      </c>
      <c r="T183">
        <v>0</v>
      </c>
      <c r="U183">
        <v>0</v>
      </c>
      <c r="V183">
        <v>0</v>
      </c>
      <c r="W183" s="30">
        <f>W182</f>
        <v>35.561800000000005</v>
      </c>
      <c r="X183" s="17"/>
      <c r="Y183">
        <v>3</v>
      </c>
      <c r="Z183" t="s">
        <v>16</v>
      </c>
      <c r="AA183">
        <v>29056</v>
      </c>
      <c r="AB183">
        <v>128</v>
      </c>
      <c r="AC183">
        <v>4</v>
      </c>
      <c r="AD183">
        <v>4</v>
      </c>
      <c r="AE183">
        <v>430.5</v>
      </c>
      <c r="AF183" s="17">
        <v>37.991</v>
      </c>
      <c r="AG183" s="33">
        <v>45307</v>
      </c>
      <c r="AH183" s="34">
        <v>0.69863425925925926</v>
      </c>
      <c r="AI183">
        <v>0</v>
      </c>
      <c r="AJ183">
        <v>0</v>
      </c>
      <c r="AK183">
        <v>0</v>
      </c>
      <c r="AL183">
        <v>0</v>
      </c>
      <c r="AM183">
        <v>0</v>
      </c>
      <c r="AN183">
        <v>0</v>
      </c>
      <c r="AO183">
        <v>0</v>
      </c>
      <c r="AP183">
        <v>0</v>
      </c>
      <c r="AQ183">
        <v>0</v>
      </c>
      <c r="AR183">
        <v>0</v>
      </c>
      <c r="AS183">
        <v>0</v>
      </c>
      <c r="AT183">
        <v>0</v>
      </c>
      <c r="AU183" s="30">
        <f t="shared" si="61"/>
        <v>37.986399999999996</v>
      </c>
      <c r="AV183" s="17"/>
    </row>
    <row r="184" spans="1:48" x14ac:dyDescent="0.25">
      <c r="A184">
        <v>4</v>
      </c>
      <c r="B184" t="s">
        <v>16</v>
      </c>
      <c r="C184">
        <v>29056</v>
      </c>
      <c r="D184">
        <v>128</v>
      </c>
      <c r="E184">
        <v>4</v>
      </c>
      <c r="F184">
        <v>4</v>
      </c>
      <c r="G184">
        <v>459.89</v>
      </c>
      <c r="H184" s="17">
        <v>35.563000000000002</v>
      </c>
      <c r="I184" s="33">
        <v>45308</v>
      </c>
      <c r="J184" s="37">
        <v>2.3958333333333331E-2</v>
      </c>
      <c r="K184">
        <v>0</v>
      </c>
      <c r="L184">
        <v>0</v>
      </c>
      <c r="M184">
        <v>0</v>
      </c>
      <c r="N184">
        <v>0</v>
      </c>
      <c r="O184">
        <v>0</v>
      </c>
      <c r="P184">
        <v>0</v>
      </c>
      <c r="Q184">
        <v>0</v>
      </c>
      <c r="R184">
        <v>0</v>
      </c>
      <c r="S184">
        <v>0</v>
      </c>
      <c r="T184">
        <v>0</v>
      </c>
      <c r="U184">
        <v>0</v>
      </c>
      <c r="V184">
        <v>0</v>
      </c>
      <c r="W184" s="30">
        <f>W183</f>
        <v>35.561800000000005</v>
      </c>
      <c r="X184" s="17"/>
      <c r="Y184">
        <v>4</v>
      </c>
      <c r="Z184" t="s">
        <v>16</v>
      </c>
      <c r="AA184">
        <v>29056</v>
      </c>
      <c r="AB184">
        <v>128</v>
      </c>
      <c r="AC184">
        <v>4</v>
      </c>
      <c r="AD184">
        <v>4</v>
      </c>
      <c r="AE184">
        <v>430.62</v>
      </c>
      <c r="AF184" s="17">
        <v>37.979999999999997</v>
      </c>
      <c r="AG184" s="33">
        <v>45307</v>
      </c>
      <c r="AH184" s="34">
        <v>0.49209490740740741</v>
      </c>
      <c r="AI184">
        <v>0</v>
      </c>
      <c r="AJ184">
        <v>0</v>
      </c>
      <c r="AK184">
        <v>0</v>
      </c>
      <c r="AL184">
        <v>0</v>
      </c>
      <c r="AM184">
        <v>0</v>
      </c>
      <c r="AN184">
        <v>0</v>
      </c>
      <c r="AO184">
        <v>0</v>
      </c>
      <c r="AP184">
        <v>0</v>
      </c>
      <c r="AQ184">
        <v>0</v>
      </c>
      <c r="AR184">
        <v>0</v>
      </c>
      <c r="AS184">
        <v>0</v>
      </c>
      <c r="AT184">
        <v>0</v>
      </c>
      <c r="AU184" s="30">
        <f t="shared" si="61"/>
        <v>37.986399999999996</v>
      </c>
      <c r="AV184" s="17"/>
    </row>
    <row r="185" spans="1:48" x14ac:dyDescent="0.25">
      <c r="A185">
        <v>0</v>
      </c>
      <c r="B185" t="s">
        <v>16</v>
      </c>
      <c r="C185">
        <v>25920</v>
      </c>
      <c r="D185">
        <v>160</v>
      </c>
      <c r="E185">
        <v>1</v>
      </c>
      <c r="F185">
        <v>16</v>
      </c>
      <c r="G185">
        <v>325.45</v>
      </c>
      <c r="H185" s="17">
        <v>35.674999999999997</v>
      </c>
      <c r="I185" s="33">
        <v>45307</v>
      </c>
      <c r="J185" s="37">
        <v>0.60380787037037031</v>
      </c>
      <c r="K185">
        <v>0</v>
      </c>
      <c r="L185">
        <v>0</v>
      </c>
      <c r="M185">
        <v>0</v>
      </c>
      <c r="N185">
        <v>0</v>
      </c>
      <c r="O185">
        <v>0</v>
      </c>
      <c r="P185">
        <v>0</v>
      </c>
      <c r="Q185">
        <v>0</v>
      </c>
      <c r="R185">
        <v>0</v>
      </c>
      <c r="S185">
        <v>0</v>
      </c>
      <c r="T185">
        <v>0</v>
      </c>
      <c r="U185">
        <v>0</v>
      </c>
      <c r="V185">
        <v>0</v>
      </c>
      <c r="W185" s="30">
        <f>AVERAGE(H185:H189)</f>
        <v>35.673799999999993</v>
      </c>
      <c r="X185" s="17"/>
      <c r="Y185">
        <v>0</v>
      </c>
      <c r="Z185" t="s">
        <v>16</v>
      </c>
      <c r="AA185">
        <v>25920</v>
      </c>
      <c r="AB185">
        <v>160</v>
      </c>
      <c r="AC185">
        <v>1</v>
      </c>
      <c r="AD185">
        <v>16</v>
      </c>
      <c r="AE185">
        <v>305.64</v>
      </c>
      <c r="AF185" s="17">
        <v>37.987000000000002</v>
      </c>
      <c r="AG185" s="33">
        <v>45307</v>
      </c>
      <c r="AH185" s="34">
        <v>0.53561342592592587</v>
      </c>
      <c r="AI185">
        <v>0</v>
      </c>
      <c r="AJ185">
        <v>0</v>
      </c>
      <c r="AK185">
        <v>0</v>
      </c>
      <c r="AL185">
        <v>0</v>
      </c>
      <c r="AM185">
        <v>0</v>
      </c>
      <c r="AN185">
        <v>0</v>
      </c>
      <c r="AO185">
        <v>0</v>
      </c>
      <c r="AP185">
        <v>0</v>
      </c>
      <c r="AQ185">
        <v>0</v>
      </c>
      <c r="AR185">
        <v>0</v>
      </c>
      <c r="AS185">
        <v>0</v>
      </c>
      <c r="AT185">
        <v>0</v>
      </c>
      <c r="AU185" s="30">
        <f t="shared" ref="AU185" si="70">AVERAGE(AF185:AF189)</f>
        <v>37.973799999999997</v>
      </c>
      <c r="AV185" s="17"/>
    </row>
    <row r="186" spans="1:48" x14ac:dyDescent="0.25">
      <c r="A186">
        <v>1</v>
      </c>
      <c r="B186" t="s">
        <v>16</v>
      </c>
      <c r="C186">
        <v>25920</v>
      </c>
      <c r="D186">
        <v>160</v>
      </c>
      <c r="E186">
        <v>1</v>
      </c>
      <c r="F186">
        <v>16</v>
      </c>
      <c r="G186">
        <v>325.57</v>
      </c>
      <c r="H186" s="17">
        <v>35.661999999999999</v>
      </c>
      <c r="I186" s="33">
        <v>45307</v>
      </c>
      <c r="J186" s="37">
        <v>0.80086805555555562</v>
      </c>
      <c r="K186">
        <v>0</v>
      </c>
      <c r="L186">
        <v>0</v>
      </c>
      <c r="M186">
        <v>0</v>
      </c>
      <c r="N186">
        <v>0</v>
      </c>
      <c r="O186">
        <v>0</v>
      </c>
      <c r="P186">
        <v>0</v>
      </c>
      <c r="Q186">
        <v>0</v>
      </c>
      <c r="R186">
        <v>0</v>
      </c>
      <c r="S186">
        <v>0</v>
      </c>
      <c r="T186">
        <v>0</v>
      </c>
      <c r="U186">
        <v>0</v>
      </c>
      <c r="V186">
        <v>0</v>
      </c>
      <c r="W186" s="30">
        <f>W185</f>
        <v>35.673799999999993</v>
      </c>
      <c r="X186" s="17"/>
      <c r="Y186">
        <v>1</v>
      </c>
      <c r="Z186" t="s">
        <v>16</v>
      </c>
      <c r="AA186">
        <v>25920</v>
      </c>
      <c r="AB186">
        <v>160</v>
      </c>
      <c r="AC186">
        <v>1</v>
      </c>
      <c r="AD186">
        <v>16</v>
      </c>
      <c r="AE186">
        <v>305.83999999999997</v>
      </c>
      <c r="AF186" s="17">
        <v>37.963000000000001</v>
      </c>
      <c r="AG186" s="33">
        <v>45307</v>
      </c>
      <c r="AH186" s="34">
        <v>0.48521990740740745</v>
      </c>
      <c r="AI186">
        <v>0</v>
      </c>
      <c r="AJ186">
        <v>0</v>
      </c>
      <c r="AK186">
        <v>0</v>
      </c>
      <c r="AL186">
        <v>0</v>
      </c>
      <c r="AM186">
        <v>0</v>
      </c>
      <c r="AN186">
        <v>0</v>
      </c>
      <c r="AO186">
        <v>0</v>
      </c>
      <c r="AP186">
        <v>0</v>
      </c>
      <c r="AQ186">
        <v>0</v>
      </c>
      <c r="AR186">
        <v>0</v>
      </c>
      <c r="AS186">
        <v>0</v>
      </c>
      <c r="AT186">
        <v>0</v>
      </c>
      <c r="AU186" s="30">
        <f t="shared" ref="AU186" si="71">AU185</f>
        <v>37.973799999999997</v>
      </c>
      <c r="AV186" s="17"/>
    </row>
    <row r="187" spans="1:48" x14ac:dyDescent="0.25">
      <c r="A187">
        <v>2</v>
      </c>
      <c r="B187" t="s">
        <v>16</v>
      </c>
      <c r="C187">
        <v>25920</v>
      </c>
      <c r="D187">
        <v>160</v>
      </c>
      <c r="E187">
        <v>1</v>
      </c>
      <c r="F187">
        <v>16</v>
      </c>
      <c r="G187">
        <v>325.39</v>
      </c>
      <c r="H187" s="17">
        <v>35.682000000000002</v>
      </c>
      <c r="I187" s="33">
        <v>45308</v>
      </c>
      <c r="J187" s="37">
        <v>0.14148148148148149</v>
      </c>
      <c r="K187">
        <v>0</v>
      </c>
      <c r="L187">
        <v>0</v>
      </c>
      <c r="M187">
        <v>0</v>
      </c>
      <c r="N187">
        <v>0</v>
      </c>
      <c r="O187">
        <v>0</v>
      </c>
      <c r="P187">
        <v>0</v>
      </c>
      <c r="Q187">
        <v>0</v>
      </c>
      <c r="R187">
        <v>0</v>
      </c>
      <c r="S187">
        <v>0</v>
      </c>
      <c r="T187">
        <v>0</v>
      </c>
      <c r="U187">
        <v>0</v>
      </c>
      <c r="V187">
        <v>0</v>
      </c>
      <c r="W187" s="30">
        <f>W186</f>
        <v>35.673799999999993</v>
      </c>
      <c r="X187" s="17"/>
      <c r="Y187">
        <v>2</v>
      </c>
      <c r="Z187" t="s">
        <v>16</v>
      </c>
      <c r="AA187">
        <v>25920</v>
      </c>
      <c r="AB187">
        <v>160</v>
      </c>
      <c r="AC187">
        <v>1</v>
      </c>
      <c r="AD187">
        <v>16</v>
      </c>
      <c r="AE187">
        <v>305.68</v>
      </c>
      <c r="AF187" s="17">
        <v>37.981999999999999</v>
      </c>
      <c r="AG187" s="33">
        <v>45307</v>
      </c>
      <c r="AH187" s="34">
        <v>0.63896990740740744</v>
      </c>
      <c r="AI187">
        <v>0</v>
      </c>
      <c r="AJ187">
        <v>0</v>
      </c>
      <c r="AK187">
        <v>0</v>
      </c>
      <c r="AL187">
        <v>0</v>
      </c>
      <c r="AM187">
        <v>0</v>
      </c>
      <c r="AN187">
        <v>0</v>
      </c>
      <c r="AO187">
        <v>0</v>
      </c>
      <c r="AP187">
        <v>0</v>
      </c>
      <c r="AQ187">
        <v>0</v>
      </c>
      <c r="AR187">
        <v>0</v>
      </c>
      <c r="AS187">
        <v>0</v>
      </c>
      <c r="AT187">
        <v>0</v>
      </c>
      <c r="AU187" s="30">
        <f t="shared" si="59"/>
        <v>37.973799999999997</v>
      </c>
      <c r="AV187" s="17"/>
    </row>
    <row r="188" spans="1:48" x14ac:dyDescent="0.25">
      <c r="A188">
        <v>3</v>
      </c>
      <c r="B188" t="s">
        <v>16</v>
      </c>
      <c r="C188">
        <v>25920</v>
      </c>
      <c r="D188">
        <v>160</v>
      </c>
      <c r="E188">
        <v>1</v>
      </c>
      <c r="F188">
        <v>16</v>
      </c>
      <c r="G188">
        <v>325.29000000000002</v>
      </c>
      <c r="H188" s="17">
        <v>35.692</v>
      </c>
      <c r="I188" s="33">
        <v>45307</v>
      </c>
      <c r="J188" s="37">
        <v>0.53891203703703705</v>
      </c>
      <c r="K188">
        <v>0</v>
      </c>
      <c r="L188">
        <v>0</v>
      </c>
      <c r="M188">
        <v>0</v>
      </c>
      <c r="N188">
        <v>0</v>
      </c>
      <c r="O188">
        <v>0</v>
      </c>
      <c r="P188">
        <v>0</v>
      </c>
      <c r="Q188">
        <v>0</v>
      </c>
      <c r="R188">
        <v>0</v>
      </c>
      <c r="S188">
        <v>0</v>
      </c>
      <c r="T188">
        <v>0</v>
      </c>
      <c r="U188">
        <v>0</v>
      </c>
      <c r="V188">
        <v>0</v>
      </c>
      <c r="W188" s="30">
        <f>W187</f>
        <v>35.673799999999993</v>
      </c>
      <c r="X188" s="17"/>
      <c r="Y188">
        <v>3</v>
      </c>
      <c r="Z188" t="s">
        <v>16</v>
      </c>
      <c r="AA188">
        <v>25920</v>
      </c>
      <c r="AB188">
        <v>160</v>
      </c>
      <c r="AC188">
        <v>1</v>
      </c>
      <c r="AD188">
        <v>16</v>
      </c>
      <c r="AE188">
        <v>305.91000000000003</v>
      </c>
      <c r="AF188" s="17">
        <v>37.954000000000001</v>
      </c>
      <c r="AG188" s="33">
        <v>45307</v>
      </c>
      <c r="AH188" s="34">
        <v>0.5770601851851852</v>
      </c>
      <c r="AI188">
        <v>0</v>
      </c>
      <c r="AJ188">
        <v>0</v>
      </c>
      <c r="AK188">
        <v>0</v>
      </c>
      <c r="AL188">
        <v>0</v>
      </c>
      <c r="AM188">
        <v>0</v>
      </c>
      <c r="AN188">
        <v>0</v>
      </c>
      <c r="AO188">
        <v>0</v>
      </c>
      <c r="AP188">
        <v>0</v>
      </c>
      <c r="AQ188">
        <v>0</v>
      </c>
      <c r="AR188">
        <v>0</v>
      </c>
      <c r="AS188">
        <v>0</v>
      </c>
      <c r="AT188">
        <v>0</v>
      </c>
      <c r="AU188" s="30">
        <f t="shared" si="59"/>
        <v>37.973799999999997</v>
      </c>
      <c r="AV188" s="17"/>
    </row>
    <row r="189" spans="1:48" x14ac:dyDescent="0.25">
      <c r="A189">
        <v>4</v>
      </c>
      <c r="B189" t="s">
        <v>16</v>
      </c>
      <c r="C189">
        <v>25920</v>
      </c>
      <c r="D189">
        <v>160</v>
      </c>
      <c r="E189">
        <v>1</v>
      </c>
      <c r="F189">
        <v>16</v>
      </c>
      <c r="G189">
        <v>325.61</v>
      </c>
      <c r="H189" s="17">
        <v>35.658000000000001</v>
      </c>
      <c r="I189" s="33">
        <v>45307</v>
      </c>
      <c r="J189" s="37">
        <v>0.88184027777777774</v>
      </c>
      <c r="K189">
        <v>0</v>
      </c>
      <c r="L189">
        <v>0</v>
      </c>
      <c r="M189">
        <v>0</v>
      </c>
      <c r="N189">
        <v>0</v>
      </c>
      <c r="O189">
        <v>0</v>
      </c>
      <c r="P189">
        <v>0</v>
      </c>
      <c r="Q189">
        <v>0</v>
      </c>
      <c r="R189">
        <v>0</v>
      </c>
      <c r="S189">
        <v>0</v>
      </c>
      <c r="T189">
        <v>0</v>
      </c>
      <c r="U189">
        <v>0</v>
      </c>
      <c r="V189">
        <v>0</v>
      </c>
      <c r="W189" s="30">
        <f>W188</f>
        <v>35.673799999999993</v>
      </c>
      <c r="X189" s="17"/>
      <c r="Y189">
        <v>4</v>
      </c>
      <c r="Z189" t="s">
        <v>16</v>
      </c>
      <c r="AA189">
        <v>25920</v>
      </c>
      <c r="AB189">
        <v>160</v>
      </c>
      <c r="AC189">
        <v>1</v>
      </c>
      <c r="AD189">
        <v>16</v>
      </c>
      <c r="AE189">
        <v>305.67</v>
      </c>
      <c r="AF189" s="17">
        <v>37.982999999999997</v>
      </c>
      <c r="AG189" s="33">
        <v>45307</v>
      </c>
      <c r="AH189" s="34">
        <v>0.49136574074074074</v>
      </c>
      <c r="AI189">
        <v>0</v>
      </c>
      <c r="AJ189">
        <v>0</v>
      </c>
      <c r="AK189">
        <v>0</v>
      </c>
      <c r="AL189">
        <v>0</v>
      </c>
      <c r="AM189">
        <v>0</v>
      </c>
      <c r="AN189">
        <v>0</v>
      </c>
      <c r="AO189">
        <v>0</v>
      </c>
      <c r="AP189">
        <v>0</v>
      </c>
      <c r="AQ189">
        <v>0</v>
      </c>
      <c r="AR189">
        <v>0</v>
      </c>
      <c r="AS189">
        <v>0</v>
      </c>
      <c r="AT189">
        <v>0</v>
      </c>
      <c r="AU189" s="30">
        <f t="shared" si="59"/>
        <v>37.973799999999997</v>
      </c>
      <c r="AV189" s="17"/>
    </row>
    <row r="190" spans="1:48" x14ac:dyDescent="0.25">
      <c r="A190">
        <v>0</v>
      </c>
      <c r="B190" t="s">
        <v>16</v>
      </c>
      <c r="C190">
        <v>27520</v>
      </c>
      <c r="D190">
        <v>160</v>
      </c>
      <c r="E190">
        <v>1</v>
      </c>
      <c r="F190">
        <v>16</v>
      </c>
      <c r="G190">
        <v>386.35</v>
      </c>
      <c r="H190" s="17">
        <v>35.966999999999999</v>
      </c>
      <c r="I190" s="33">
        <v>45307</v>
      </c>
      <c r="J190" s="37">
        <v>0.4901388888888889</v>
      </c>
      <c r="K190">
        <v>0</v>
      </c>
      <c r="L190">
        <v>0</v>
      </c>
      <c r="M190">
        <v>0</v>
      </c>
      <c r="N190">
        <v>0</v>
      </c>
      <c r="O190">
        <v>0</v>
      </c>
      <c r="P190">
        <v>0</v>
      </c>
      <c r="Q190">
        <v>0</v>
      </c>
      <c r="R190">
        <v>0</v>
      </c>
      <c r="S190">
        <v>0</v>
      </c>
      <c r="T190">
        <v>0</v>
      </c>
      <c r="U190">
        <v>0</v>
      </c>
      <c r="V190">
        <v>0</v>
      </c>
      <c r="W190" s="30">
        <f>AVERAGE(H190:H194)</f>
        <v>35.952199999999998</v>
      </c>
      <c r="X190" s="17"/>
      <c r="Y190">
        <v>0</v>
      </c>
      <c r="Z190" t="s">
        <v>16</v>
      </c>
      <c r="AA190">
        <v>27520</v>
      </c>
      <c r="AB190">
        <v>160</v>
      </c>
      <c r="AC190">
        <v>1</v>
      </c>
      <c r="AD190">
        <v>16</v>
      </c>
      <c r="AE190">
        <v>371.85</v>
      </c>
      <c r="AF190" s="17">
        <v>37.369999999999997</v>
      </c>
      <c r="AG190" s="33">
        <v>45307</v>
      </c>
      <c r="AH190" s="34">
        <v>0.63061342592592595</v>
      </c>
      <c r="AI190">
        <v>0</v>
      </c>
      <c r="AJ190">
        <v>0</v>
      </c>
      <c r="AK190">
        <v>0</v>
      </c>
      <c r="AL190">
        <v>0</v>
      </c>
      <c r="AM190">
        <v>0</v>
      </c>
      <c r="AN190">
        <v>0</v>
      </c>
      <c r="AO190">
        <v>0</v>
      </c>
      <c r="AP190">
        <v>0</v>
      </c>
      <c r="AQ190">
        <v>0</v>
      </c>
      <c r="AR190">
        <v>0</v>
      </c>
      <c r="AS190">
        <v>0</v>
      </c>
      <c r="AT190">
        <v>0</v>
      </c>
      <c r="AU190" s="30">
        <f t="shared" ref="AU190" si="72">AVERAGE(AF190:AF194)</f>
        <v>38.057200000000002</v>
      </c>
      <c r="AV190" s="17"/>
    </row>
    <row r="191" spans="1:48" x14ac:dyDescent="0.25">
      <c r="A191">
        <v>1</v>
      </c>
      <c r="B191" t="s">
        <v>16</v>
      </c>
      <c r="C191">
        <v>27520</v>
      </c>
      <c r="D191">
        <v>160</v>
      </c>
      <c r="E191">
        <v>1</v>
      </c>
      <c r="F191">
        <v>16</v>
      </c>
      <c r="G191">
        <v>386.55</v>
      </c>
      <c r="H191" s="17">
        <v>35.948999999999998</v>
      </c>
      <c r="I191" s="33">
        <v>45307</v>
      </c>
      <c r="J191" s="37">
        <v>0.687962962962963</v>
      </c>
      <c r="K191">
        <v>0</v>
      </c>
      <c r="L191">
        <v>0</v>
      </c>
      <c r="M191">
        <v>0</v>
      </c>
      <c r="N191">
        <v>0</v>
      </c>
      <c r="O191">
        <v>0</v>
      </c>
      <c r="P191">
        <v>0</v>
      </c>
      <c r="Q191">
        <v>0</v>
      </c>
      <c r="R191">
        <v>0</v>
      </c>
      <c r="S191">
        <v>0</v>
      </c>
      <c r="T191">
        <v>0</v>
      </c>
      <c r="U191">
        <v>0</v>
      </c>
      <c r="V191">
        <v>0</v>
      </c>
      <c r="W191" s="30">
        <f>W190</f>
        <v>35.952199999999998</v>
      </c>
      <c r="X191" s="17"/>
      <c r="Y191">
        <v>1</v>
      </c>
      <c r="Z191" t="s">
        <v>16</v>
      </c>
      <c r="AA191">
        <v>27520</v>
      </c>
      <c r="AB191">
        <v>160</v>
      </c>
      <c r="AC191">
        <v>1</v>
      </c>
      <c r="AD191">
        <v>16</v>
      </c>
      <c r="AE191">
        <v>363.89</v>
      </c>
      <c r="AF191" s="17">
        <v>38.188000000000002</v>
      </c>
      <c r="AG191" s="33">
        <v>45307</v>
      </c>
      <c r="AH191" s="34">
        <v>0.7123032407407407</v>
      </c>
      <c r="AI191">
        <v>0</v>
      </c>
      <c r="AJ191">
        <v>0</v>
      </c>
      <c r="AK191">
        <v>0</v>
      </c>
      <c r="AL191">
        <v>0</v>
      </c>
      <c r="AM191">
        <v>0</v>
      </c>
      <c r="AN191">
        <v>0</v>
      </c>
      <c r="AO191">
        <v>0</v>
      </c>
      <c r="AP191">
        <v>0</v>
      </c>
      <c r="AQ191">
        <v>0</v>
      </c>
      <c r="AR191">
        <v>0</v>
      </c>
      <c r="AS191">
        <v>0</v>
      </c>
      <c r="AT191">
        <v>0</v>
      </c>
      <c r="AU191" s="30">
        <f t="shared" ref="AU191" si="73">AU190</f>
        <v>38.057200000000002</v>
      </c>
      <c r="AV191" s="17"/>
    </row>
    <row r="192" spans="1:48" x14ac:dyDescent="0.25">
      <c r="A192">
        <v>2</v>
      </c>
      <c r="B192" t="s">
        <v>16</v>
      </c>
      <c r="C192">
        <v>27520</v>
      </c>
      <c r="D192">
        <v>160</v>
      </c>
      <c r="E192">
        <v>1</v>
      </c>
      <c r="F192">
        <v>16</v>
      </c>
      <c r="G192">
        <v>386.68</v>
      </c>
      <c r="H192" s="17">
        <v>35.936999999999998</v>
      </c>
      <c r="I192" s="33">
        <v>45308</v>
      </c>
      <c r="J192" s="37">
        <v>2.8611111111111115E-2</v>
      </c>
      <c r="K192">
        <v>0</v>
      </c>
      <c r="L192">
        <v>0</v>
      </c>
      <c r="M192">
        <v>0</v>
      </c>
      <c r="N192">
        <v>0</v>
      </c>
      <c r="O192">
        <v>0</v>
      </c>
      <c r="P192">
        <v>0</v>
      </c>
      <c r="Q192">
        <v>0</v>
      </c>
      <c r="R192">
        <v>0</v>
      </c>
      <c r="S192">
        <v>0</v>
      </c>
      <c r="T192">
        <v>0</v>
      </c>
      <c r="U192">
        <v>0</v>
      </c>
      <c r="V192">
        <v>0</v>
      </c>
      <c r="W192" s="30">
        <f>W191</f>
        <v>35.952199999999998</v>
      </c>
      <c r="X192" s="17"/>
      <c r="Y192">
        <v>2</v>
      </c>
      <c r="Z192" t="s">
        <v>16</v>
      </c>
      <c r="AA192">
        <v>27520</v>
      </c>
      <c r="AB192">
        <v>160</v>
      </c>
      <c r="AC192">
        <v>1</v>
      </c>
      <c r="AD192">
        <v>16</v>
      </c>
      <c r="AE192">
        <v>364.16</v>
      </c>
      <c r="AF192" s="17">
        <v>38.158999999999999</v>
      </c>
      <c r="AG192" s="33">
        <v>45307</v>
      </c>
      <c r="AH192" s="34">
        <v>0.5524768518518518</v>
      </c>
      <c r="AI192">
        <v>0</v>
      </c>
      <c r="AJ192">
        <v>0</v>
      </c>
      <c r="AK192">
        <v>0</v>
      </c>
      <c r="AL192">
        <v>0</v>
      </c>
      <c r="AM192">
        <v>0</v>
      </c>
      <c r="AN192">
        <v>0</v>
      </c>
      <c r="AO192">
        <v>0</v>
      </c>
      <c r="AP192">
        <v>0</v>
      </c>
      <c r="AQ192">
        <v>0</v>
      </c>
      <c r="AR192">
        <v>0</v>
      </c>
      <c r="AS192">
        <v>0</v>
      </c>
      <c r="AT192">
        <v>0</v>
      </c>
      <c r="AU192" s="30">
        <f t="shared" si="61"/>
        <v>38.057200000000002</v>
      </c>
      <c r="AV192" s="17"/>
    </row>
    <row r="193" spans="1:48" x14ac:dyDescent="0.25">
      <c r="A193">
        <v>3</v>
      </c>
      <c r="B193" t="s">
        <v>16</v>
      </c>
      <c r="C193">
        <v>27520</v>
      </c>
      <c r="D193">
        <v>160</v>
      </c>
      <c r="E193">
        <v>1</v>
      </c>
      <c r="F193">
        <v>16</v>
      </c>
      <c r="G193">
        <v>386.49</v>
      </c>
      <c r="H193" s="17">
        <v>35.954999999999998</v>
      </c>
      <c r="I193" s="33">
        <v>45308</v>
      </c>
      <c r="J193" s="37">
        <v>0.37170138888888887</v>
      </c>
      <c r="K193">
        <v>0</v>
      </c>
      <c r="L193">
        <v>0</v>
      </c>
      <c r="M193">
        <v>0</v>
      </c>
      <c r="N193">
        <v>0</v>
      </c>
      <c r="O193">
        <v>0</v>
      </c>
      <c r="P193">
        <v>0</v>
      </c>
      <c r="Q193">
        <v>0</v>
      </c>
      <c r="R193">
        <v>0</v>
      </c>
      <c r="S193">
        <v>0</v>
      </c>
      <c r="T193">
        <v>0</v>
      </c>
      <c r="U193">
        <v>0</v>
      </c>
      <c r="V193">
        <v>0</v>
      </c>
      <c r="W193" s="30">
        <f>W192</f>
        <v>35.952199999999998</v>
      </c>
      <c r="X193" s="17"/>
      <c r="Y193">
        <v>3</v>
      </c>
      <c r="Z193" t="s">
        <v>16</v>
      </c>
      <c r="AA193">
        <v>27520</v>
      </c>
      <c r="AB193">
        <v>160</v>
      </c>
      <c r="AC193">
        <v>1</v>
      </c>
      <c r="AD193">
        <v>16</v>
      </c>
      <c r="AE193">
        <v>363.13</v>
      </c>
      <c r="AF193" s="17">
        <v>38.268000000000001</v>
      </c>
      <c r="AG193" s="33">
        <v>45307</v>
      </c>
      <c r="AH193" s="34">
        <v>0.49057870370370371</v>
      </c>
      <c r="AI193">
        <v>0</v>
      </c>
      <c r="AJ193">
        <v>0</v>
      </c>
      <c r="AK193">
        <v>0</v>
      </c>
      <c r="AL193">
        <v>0</v>
      </c>
      <c r="AM193">
        <v>0</v>
      </c>
      <c r="AN193">
        <v>0</v>
      </c>
      <c r="AO193">
        <v>0</v>
      </c>
      <c r="AP193">
        <v>0</v>
      </c>
      <c r="AQ193">
        <v>0</v>
      </c>
      <c r="AR193">
        <v>0</v>
      </c>
      <c r="AS193">
        <v>0</v>
      </c>
      <c r="AT193">
        <v>0</v>
      </c>
      <c r="AU193" s="30">
        <f t="shared" si="61"/>
        <v>38.057200000000002</v>
      </c>
      <c r="AV193" s="17"/>
    </row>
    <row r="194" spans="1:48" x14ac:dyDescent="0.25">
      <c r="A194">
        <v>4</v>
      </c>
      <c r="B194" t="s">
        <v>16</v>
      </c>
      <c r="C194">
        <v>27520</v>
      </c>
      <c r="D194">
        <v>160</v>
      </c>
      <c r="E194">
        <v>1</v>
      </c>
      <c r="F194">
        <v>16</v>
      </c>
      <c r="G194">
        <v>386.51</v>
      </c>
      <c r="H194" s="17">
        <v>35.953000000000003</v>
      </c>
      <c r="I194" s="33">
        <v>45307</v>
      </c>
      <c r="J194" s="37">
        <v>0.76894675925925926</v>
      </c>
      <c r="K194">
        <v>0</v>
      </c>
      <c r="L194">
        <v>0</v>
      </c>
      <c r="M194">
        <v>0</v>
      </c>
      <c r="N194">
        <v>0</v>
      </c>
      <c r="O194">
        <v>0</v>
      </c>
      <c r="P194">
        <v>0</v>
      </c>
      <c r="Q194">
        <v>0</v>
      </c>
      <c r="R194">
        <v>0</v>
      </c>
      <c r="S194">
        <v>0</v>
      </c>
      <c r="T194">
        <v>0</v>
      </c>
      <c r="U194">
        <v>0</v>
      </c>
      <c r="V194">
        <v>0</v>
      </c>
      <c r="W194" s="30">
        <f>W193</f>
        <v>35.952199999999998</v>
      </c>
      <c r="X194" s="17"/>
      <c r="Y194">
        <v>4</v>
      </c>
      <c r="Z194" t="s">
        <v>16</v>
      </c>
      <c r="AA194">
        <v>27520</v>
      </c>
      <c r="AB194">
        <v>160</v>
      </c>
      <c r="AC194">
        <v>1</v>
      </c>
      <c r="AD194">
        <v>16</v>
      </c>
      <c r="AE194">
        <v>362.81</v>
      </c>
      <c r="AF194" s="17">
        <v>38.301000000000002</v>
      </c>
      <c r="AG194" s="33">
        <v>45307</v>
      </c>
      <c r="AH194" s="34">
        <v>0.75372685185185195</v>
      </c>
      <c r="AI194">
        <v>0</v>
      </c>
      <c r="AJ194">
        <v>0</v>
      </c>
      <c r="AK194">
        <v>0</v>
      </c>
      <c r="AL194">
        <v>0</v>
      </c>
      <c r="AM194">
        <v>0</v>
      </c>
      <c r="AN194">
        <v>0</v>
      </c>
      <c r="AO194">
        <v>0</v>
      </c>
      <c r="AP194">
        <v>0</v>
      </c>
      <c r="AQ194">
        <v>0</v>
      </c>
      <c r="AR194">
        <v>0</v>
      </c>
      <c r="AS194">
        <v>0</v>
      </c>
      <c r="AT194">
        <v>0</v>
      </c>
      <c r="AU194" s="30">
        <f t="shared" si="61"/>
        <v>38.057200000000002</v>
      </c>
      <c r="AV194" s="17"/>
    </row>
    <row r="195" spans="1:48" x14ac:dyDescent="0.25">
      <c r="A195">
        <v>0</v>
      </c>
      <c r="B195" t="s">
        <v>16</v>
      </c>
      <c r="C195">
        <v>28960</v>
      </c>
      <c r="D195">
        <v>160</v>
      </c>
      <c r="E195">
        <v>1</v>
      </c>
      <c r="F195">
        <v>16</v>
      </c>
      <c r="G195">
        <v>452.5</v>
      </c>
      <c r="H195" s="17">
        <v>35.786999999999999</v>
      </c>
      <c r="I195" s="33">
        <v>45307</v>
      </c>
      <c r="J195" s="37">
        <v>0.55607638888888888</v>
      </c>
      <c r="K195">
        <v>0</v>
      </c>
      <c r="L195">
        <v>0</v>
      </c>
      <c r="M195">
        <v>0</v>
      </c>
      <c r="N195">
        <v>0</v>
      </c>
      <c r="O195">
        <v>0</v>
      </c>
      <c r="P195">
        <v>0</v>
      </c>
      <c r="Q195">
        <v>0</v>
      </c>
      <c r="R195">
        <v>0</v>
      </c>
      <c r="S195">
        <v>0</v>
      </c>
      <c r="T195">
        <v>0</v>
      </c>
      <c r="U195">
        <v>0</v>
      </c>
      <c r="V195">
        <v>0</v>
      </c>
      <c r="W195" s="30">
        <f>AVERAGE(H195:H199)</f>
        <v>36.215999999999994</v>
      </c>
      <c r="X195" s="17"/>
      <c r="Y195">
        <v>0</v>
      </c>
      <c r="Z195" t="s">
        <v>16</v>
      </c>
      <c r="AA195">
        <v>28960</v>
      </c>
      <c r="AB195">
        <v>160</v>
      </c>
      <c r="AC195">
        <v>1</v>
      </c>
      <c r="AD195">
        <v>16</v>
      </c>
      <c r="AE195">
        <v>429.95</v>
      </c>
      <c r="AF195" s="17">
        <v>37.664000000000001</v>
      </c>
      <c r="AG195" s="33">
        <v>45307</v>
      </c>
      <c r="AH195" s="34">
        <v>0.61203703703703705</v>
      </c>
      <c r="AI195">
        <v>0</v>
      </c>
      <c r="AJ195">
        <v>0</v>
      </c>
      <c r="AK195">
        <v>0</v>
      </c>
      <c r="AL195">
        <v>0</v>
      </c>
      <c r="AM195">
        <v>0</v>
      </c>
      <c r="AN195">
        <v>0</v>
      </c>
      <c r="AO195">
        <v>0</v>
      </c>
      <c r="AP195">
        <v>0</v>
      </c>
      <c r="AQ195">
        <v>0</v>
      </c>
      <c r="AR195">
        <v>0</v>
      </c>
      <c r="AS195">
        <v>0</v>
      </c>
      <c r="AT195">
        <v>0</v>
      </c>
      <c r="AU195" s="30">
        <f t="shared" ref="AU195" si="74">AVERAGE(AF195:AF199)</f>
        <v>37.638800000000003</v>
      </c>
      <c r="AV195" s="17"/>
    </row>
    <row r="196" spans="1:48" x14ac:dyDescent="0.25">
      <c r="A196">
        <v>1</v>
      </c>
      <c r="B196" t="s">
        <v>16</v>
      </c>
      <c r="C196">
        <v>28960</v>
      </c>
      <c r="D196">
        <v>160</v>
      </c>
      <c r="E196">
        <v>1</v>
      </c>
      <c r="F196">
        <v>16</v>
      </c>
      <c r="G196">
        <v>445.78</v>
      </c>
      <c r="H196" s="17">
        <v>36.326000000000001</v>
      </c>
      <c r="I196" s="33">
        <v>45307</v>
      </c>
      <c r="J196" s="37">
        <v>0.89876157407407409</v>
      </c>
      <c r="K196">
        <v>0</v>
      </c>
      <c r="L196">
        <v>0</v>
      </c>
      <c r="M196">
        <v>0</v>
      </c>
      <c r="N196">
        <v>0</v>
      </c>
      <c r="O196">
        <v>0</v>
      </c>
      <c r="P196">
        <v>0</v>
      </c>
      <c r="Q196">
        <v>0</v>
      </c>
      <c r="R196">
        <v>0</v>
      </c>
      <c r="S196">
        <v>0</v>
      </c>
      <c r="T196">
        <v>0</v>
      </c>
      <c r="U196">
        <v>0</v>
      </c>
      <c r="V196">
        <v>0</v>
      </c>
      <c r="W196" s="30">
        <f>W195</f>
        <v>36.215999999999994</v>
      </c>
      <c r="X196" s="17"/>
      <c r="Y196">
        <v>1</v>
      </c>
      <c r="Z196" t="s">
        <v>16</v>
      </c>
      <c r="AA196">
        <v>28960</v>
      </c>
      <c r="AB196">
        <v>160</v>
      </c>
      <c r="AC196">
        <v>1</v>
      </c>
      <c r="AD196">
        <v>16</v>
      </c>
      <c r="AE196">
        <v>439.58</v>
      </c>
      <c r="AF196" s="17">
        <v>36.838000000000001</v>
      </c>
      <c r="AG196" s="33">
        <v>45307</v>
      </c>
      <c r="AH196" s="34">
        <v>0.56177083333333333</v>
      </c>
      <c r="AI196">
        <v>0</v>
      </c>
      <c r="AJ196">
        <v>0</v>
      </c>
      <c r="AK196">
        <v>0</v>
      </c>
      <c r="AL196">
        <v>0</v>
      </c>
      <c r="AM196">
        <v>0</v>
      </c>
      <c r="AN196">
        <v>0</v>
      </c>
      <c r="AO196">
        <v>0</v>
      </c>
      <c r="AP196">
        <v>0</v>
      </c>
      <c r="AQ196">
        <v>0</v>
      </c>
      <c r="AR196">
        <v>0</v>
      </c>
      <c r="AS196">
        <v>0</v>
      </c>
      <c r="AT196">
        <v>0</v>
      </c>
      <c r="AU196" s="30">
        <f t="shared" ref="AU196" si="75">AU195</f>
        <v>37.638800000000003</v>
      </c>
      <c r="AV196" s="17"/>
    </row>
    <row r="197" spans="1:48" x14ac:dyDescent="0.25">
      <c r="A197">
        <v>2</v>
      </c>
      <c r="B197" t="s">
        <v>16</v>
      </c>
      <c r="C197">
        <v>28960</v>
      </c>
      <c r="D197">
        <v>160</v>
      </c>
      <c r="E197">
        <v>1</v>
      </c>
      <c r="F197">
        <v>16</v>
      </c>
      <c r="G197">
        <v>445.8</v>
      </c>
      <c r="H197" s="17">
        <v>36.325000000000003</v>
      </c>
      <c r="I197" s="33">
        <v>45308</v>
      </c>
      <c r="J197" s="37">
        <v>0.23940972222222223</v>
      </c>
      <c r="K197">
        <v>0</v>
      </c>
      <c r="L197">
        <v>0</v>
      </c>
      <c r="M197">
        <v>0</v>
      </c>
      <c r="N197">
        <v>0</v>
      </c>
      <c r="O197">
        <v>0</v>
      </c>
      <c r="P197">
        <v>0</v>
      </c>
      <c r="Q197">
        <v>0</v>
      </c>
      <c r="R197">
        <v>0</v>
      </c>
      <c r="S197">
        <v>0</v>
      </c>
      <c r="T197">
        <v>0</v>
      </c>
      <c r="U197">
        <v>0</v>
      </c>
      <c r="V197">
        <v>0</v>
      </c>
      <c r="W197" s="30">
        <f>W196</f>
        <v>36.215999999999994</v>
      </c>
      <c r="X197" s="17"/>
      <c r="Y197">
        <v>2</v>
      </c>
      <c r="Z197" t="s">
        <v>16</v>
      </c>
      <c r="AA197">
        <v>28960</v>
      </c>
      <c r="AB197">
        <v>160</v>
      </c>
      <c r="AC197">
        <v>1</v>
      </c>
      <c r="AD197">
        <v>16</v>
      </c>
      <c r="AE197">
        <v>423.36</v>
      </c>
      <c r="AF197" s="17">
        <v>38.25</v>
      </c>
      <c r="AG197" s="33">
        <v>45307</v>
      </c>
      <c r="AH197" s="34">
        <v>0.71535879629629628</v>
      </c>
      <c r="AI197">
        <v>0</v>
      </c>
      <c r="AJ197">
        <v>0</v>
      </c>
      <c r="AK197">
        <v>0</v>
      </c>
      <c r="AL197">
        <v>0</v>
      </c>
      <c r="AM197">
        <v>0</v>
      </c>
      <c r="AN197">
        <v>0</v>
      </c>
      <c r="AO197">
        <v>0</v>
      </c>
      <c r="AP197">
        <v>0</v>
      </c>
      <c r="AQ197">
        <v>0</v>
      </c>
      <c r="AR197">
        <v>0</v>
      </c>
      <c r="AS197">
        <v>0</v>
      </c>
      <c r="AT197">
        <v>0</v>
      </c>
      <c r="AU197" s="30">
        <f t="shared" si="59"/>
        <v>37.638800000000003</v>
      </c>
      <c r="AV197" s="17"/>
    </row>
    <row r="198" spans="1:48" x14ac:dyDescent="0.25">
      <c r="A198">
        <v>3</v>
      </c>
      <c r="B198" t="s">
        <v>16</v>
      </c>
      <c r="C198">
        <v>28960</v>
      </c>
      <c r="D198">
        <v>160</v>
      </c>
      <c r="E198">
        <v>1</v>
      </c>
      <c r="F198">
        <v>16</v>
      </c>
      <c r="G198">
        <v>447.66</v>
      </c>
      <c r="H198" s="17">
        <v>36.173000000000002</v>
      </c>
      <c r="I198" s="33">
        <v>45308</v>
      </c>
      <c r="J198" s="37">
        <v>0.11524305555555554</v>
      </c>
      <c r="K198">
        <v>0</v>
      </c>
      <c r="L198">
        <v>0</v>
      </c>
      <c r="M198">
        <v>0</v>
      </c>
      <c r="N198">
        <v>0</v>
      </c>
      <c r="O198">
        <v>0</v>
      </c>
      <c r="P198">
        <v>0</v>
      </c>
      <c r="Q198">
        <v>0</v>
      </c>
      <c r="R198">
        <v>0</v>
      </c>
      <c r="S198">
        <v>0</v>
      </c>
      <c r="T198">
        <v>0</v>
      </c>
      <c r="U198">
        <v>0</v>
      </c>
      <c r="V198">
        <v>0</v>
      </c>
      <c r="W198" s="30">
        <f>W197</f>
        <v>36.215999999999994</v>
      </c>
      <c r="X198" s="17"/>
      <c r="Y198">
        <v>3</v>
      </c>
      <c r="Z198" t="s">
        <v>16</v>
      </c>
      <c r="AA198">
        <v>28960</v>
      </c>
      <c r="AB198">
        <v>160</v>
      </c>
      <c r="AC198">
        <v>1</v>
      </c>
      <c r="AD198">
        <v>16</v>
      </c>
      <c r="AE198">
        <v>425.31</v>
      </c>
      <c r="AF198" s="17">
        <v>38.073999999999998</v>
      </c>
      <c r="AG198" s="33">
        <v>45307</v>
      </c>
      <c r="AH198" s="34">
        <v>0.65344907407407404</v>
      </c>
      <c r="AI198">
        <v>0</v>
      </c>
      <c r="AJ198">
        <v>0</v>
      </c>
      <c r="AK198">
        <v>0</v>
      </c>
      <c r="AL198">
        <v>0</v>
      </c>
      <c r="AM198">
        <v>0</v>
      </c>
      <c r="AN198">
        <v>0</v>
      </c>
      <c r="AO198">
        <v>0</v>
      </c>
      <c r="AP198">
        <v>0</v>
      </c>
      <c r="AQ198">
        <v>0</v>
      </c>
      <c r="AR198">
        <v>0</v>
      </c>
      <c r="AS198">
        <v>0</v>
      </c>
      <c r="AT198">
        <v>0</v>
      </c>
      <c r="AU198" s="30">
        <f t="shared" si="59"/>
        <v>37.638800000000003</v>
      </c>
      <c r="AV198" s="17"/>
    </row>
    <row r="199" spans="1:48" x14ac:dyDescent="0.25">
      <c r="A199">
        <v>4</v>
      </c>
      <c r="B199" t="s">
        <v>16</v>
      </c>
      <c r="C199">
        <v>28960</v>
      </c>
      <c r="D199">
        <v>160</v>
      </c>
      <c r="E199">
        <v>1</v>
      </c>
      <c r="F199">
        <v>16</v>
      </c>
      <c r="G199">
        <v>444.04</v>
      </c>
      <c r="H199" s="17">
        <v>36.469000000000001</v>
      </c>
      <c r="I199" s="33">
        <v>45307</v>
      </c>
      <c r="J199" s="37">
        <v>0.97972222222222216</v>
      </c>
      <c r="K199">
        <v>0</v>
      </c>
      <c r="L199">
        <v>0</v>
      </c>
      <c r="M199">
        <v>0</v>
      </c>
      <c r="N199">
        <v>0</v>
      </c>
      <c r="O199">
        <v>0</v>
      </c>
      <c r="P199">
        <v>0</v>
      </c>
      <c r="Q199">
        <v>0</v>
      </c>
      <c r="R199">
        <v>0</v>
      </c>
      <c r="S199">
        <v>0</v>
      </c>
      <c r="T199">
        <v>0</v>
      </c>
      <c r="U199">
        <v>0</v>
      </c>
      <c r="V199">
        <v>0</v>
      </c>
      <c r="W199" s="30">
        <f>W198</f>
        <v>36.215999999999994</v>
      </c>
      <c r="X199" s="17"/>
      <c r="Y199">
        <v>4</v>
      </c>
      <c r="Z199" t="s">
        <v>16</v>
      </c>
      <c r="AA199">
        <v>28960</v>
      </c>
      <c r="AB199">
        <v>160</v>
      </c>
      <c r="AC199">
        <v>1</v>
      </c>
      <c r="AD199">
        <v>16</v>
      </c>
      <c r="AE199">
        <v>433.35</v>
      </c>
      <c r="AF199" s="17">
        <v>37.368000000000002</v>
      </c>
      <c r="AG199" s="33">
        <v>45307</v>
      </c>
      <c r="AH199" s="34">
        <v>0.52842592592592597</v>
      </c>
      <c r="AI199">
        <v>0</v>
      </c>
      <c r="AJ199">
        <v>0</v>
      </c>
      <c r="AK199">
        <v>0</v>
      </c>
      <c r="AL199">
        <v>0</v>
      </c>
      <c r="AM199">
        <v>0</v>
      </c>
      <c r="AN199">
        <v>0</v>
      </c>
      <c r="AO199">
        <v>0</v>
      </c>
      <c r="AP199">
        <v>0</v>
      </c>
      <c r="AQ199">
        <v>0</v>
      </c>
      <c r="AR199">
        <v>0</v>
      </c>
      <c r="AS199">
        <v>0</v>
      </c>
      <c r="AT199">
        <v>0</v>
      </c>
      <c r="AU199" s="30">
        <f t="shared" si="59"/>
        <v>37.638800000000003</v>
      </c>
      <c r="AV199" s="17"/>
    </row>
    <row r="200" spans="1:48" x14ac:dyDescent="0.25">
      <c r="A200">
        <v>0</v>
      </c>
      <c r="B200" t="s">
        <v>16</v>
      </c>
      <c r="C200">
        <v>25920</v>
      </c>
      <c r="D200">
        <v>160</v>
      </c>
      <c r="E200">
        <v>2</v>
      </c>
      <c r="F200">
        <v>8</v>
      </c>
      <c r="G200">
        <v>309.95999999999998</v>
      </c>
      <c r="H200" s="17">
        <v>37.457999999999998</v>
      </c>
      <c r="I200" s="33">
        <v>45307</v>
      </c>
      <c r="J200" s="37">
        <v>0.60758101851851853</v>
      </c>
      <c r="K200">
        <v>0</v>
      </c>
      <c r="L200">
        <v>0</v>
      </c>
      <c r="M200">
        <v>0</v>
      </c>
      <c r="N200">
        <v>0</v>
      </c>
      <c r="O200">
        <v>0</v>
      </c>
      <c r="P200">
        <v>0</v>
      </c>
      <c r="Q200">
        <v>0</v>
      </c>
      <c r="R200">
        <v>0</v>
      </c>
      <c r="S200">
        <v>0</v>
      </c>
      <c r="T200">
        <v>0</v>
      </c>
      <c r="U200">
        <v>0</v>
      </c>
      <c r="V200">
        <v>0</v>
      </c>
      <c r="W200" s="30">
        <f>AVERAGE(H200:H204)</f>
        <v>37.4542</v>
      </c>
      <c r="X200" s="17"/>
      <c r="Y200">
        <v>0</v>
      </c>
      <c r="Z200" t="s">
        <v>16</v>
      </c>
      <c r="AA200">
        <v>25920</v>
      </c>
      <c r="AB200">
        <v>160</v>
      </c>
      <c r="AC200">
        <v>2</v>
      </c>
      <c r="AD200">
        <v>8</v>
      </c>
      <c r="AE200">
        <v>292.58</v>
      </c>
      <c r="AF200" s="17">
        <v>39.683</v>
      </c>
      <c r="AG200" s="33">
        <v>45307</v>
      </c>
      <c r="AH200" s="34">
        <v>0.53960648148148149</v>
      </c>
      <c r="AI200">
        <v>0</v>
      </c>
      <c r="AJ200">
        <v>0</v>
      </c>
      <c r="AK200">
        <v>0</v>
      </c>
      <c r="AL200">
        <v>0</v>
      </c>
      <c r="AM200">
        <v>0</v>
      </c>
      <c r="AN200">
        <v>0</v>
      </c>
      <c r="AO200">
        <v>0</v>
      </c>
      <c r="AP200">
        <v>0</v>
      </c>
      <c r="AQ200">
        <v>0</v>
      </c>
      <c r="AR200">
        <v>0</v>
      </c>
      <c r="AS200">
        <v>0</v>
      </c>
      <c r="AT200">
        <v>0</v>
      </c>
      <c r="AU200" s="30">
        <f t="shared" ref="AU200" si="76">AVERAGE(AF200:AF204)</f>
        <v>39.680999999999997</v>
      </c>
      <c r="AV200" s="17"/>
    </row>
    <row r="201" spans="1:48" x14ac:dyDescent="0.25">
      <c r="A201">
        <v>1</v>
      </c>
      <c r="B201" t="s">
        <v>16</v>
      </c>
      <c r="C201">
        <v>25920</v>
      </c>
      <c r="D201">
        <v>160</v>
      </c>
      <c r="E201">
        <v>2</v>
      </c>
      <c r="F201">
        <v>8</v>
      </c>
      <c r="G201">
        <v>309.85000000000002</v>
      </c>
      <c r="H201" s="17">
        <v>37.472000000000001</v>
      </c>
      <c r="I201" s="33">
        <v>45307</v>
      </c>
      <c r="J201" s="37">
        <v>0.80464120370370373</v>
      </c>
      <c r="K201">
        <v>0</v>
      </c>
      <c r="L201">
        <v>0</v>
      </c>
      <c r="M201">
        <v>0</v>
      </c>
      <c r="N201">
        <v>0</v>
      </c>
      <c r="O201">
        <v>0</v>
      </c>
      <c r="P201">
        <v>0</v>
      </c>
      <c r="Q201">
        <v>0</v>
      </c>
      <c r="R201">
        <v>0</v>
      </c>
      <c r="S201">
        <v>0</v>
      </c>
      <c r="T201">
        <v>0</v>
      </c>
      <c r="U201">
        <v>0</v>
      </c>
      <c r="V201">
        <v>0</v>
      </c>
      <c r="W201" s="30">
        <f>W200</f>
        <v>37.4542</v>
      </c>
      <c r="X201" s="17"/>
      <c r="Y201">
        <v>1</v>
      </c>
      <c r="Z201" t="s">
        <v>16</v>
      </c>
      <c r="AA201">
        <v>25920</v>
      </c>
      <c r="AB201">
        <v>160</v>
      </c>
      <c r="AC201">
        <v>2</v>
      </c>
      <c r="AD201">
        <v>8</v>
      </c>
      <c r="AE201">
        <v>292.57</v>
      </c>
      <c r="AF201" s="17">
        <v>39.685000000000002</v>
      </c>
      <c r="AG201" s="33">
        <v>45307</v>
      </c>
      <c r="AH201" s="34">
        <v>0.48920138888888887</v>
      </c>
      <c r="AI201">
        <v>0</v>
      </c>
      <c r="AJ201">
        <v>0</v>
      </c>
      <c r="AK201">
        <v>0</v>
      </c>
      <c r="AL201">
        <v>0</v>
      </c>
      <c r="AM201">
        <v>0</v>
      </c>
      <c r="AN201">
        <v>0</v>
      </c>
      <c r="AO201">
        <v>0</v>
      </c>
      <c r="AP201">
        <v>0</v>
      </c>
      <c r="AQ201">
        <v>0</v>
      </c>
      <c r="AR201">
        <v>0</v>
      </c>
      <c r="AS201">
        <v>0</v>
      </c>
      <c r="AT201">
        <v>0</v>
      </c>
      <c r="AU201" s="30">
        <f t="shared" ref="AU201" si="77">AU200</f>
        <v>39.680999999999997</v>
      </c>
      <c r="AV201" s="17"/>
    </row>
    <row r="202" spans="1:48" x14ac:dyDescent="0.25">
      <c r="A202">
        <v>2</v>
      </c>
      <c r="B202" t="s">
        <v>16</v>
      </c>
      <c r="C202">
        <v>25920</v>
      </c>
      <c r="D202">
        <v>160</v>
      </c>
      <c r="E202">
        <v>2</v>
      </c>
      <c r="F202">
        <v>8</v>
      </c>
      <c r="G202">
        <v>310.14999999999998</v>
      </c>
      <c r="H202" s="17">
        <v>37.436</v>
      </c>
      <c r="I202" s="33">
        <v>45308</v>
      </c>
      <c r="J202" s="37">
        <v>0.14525462962962962</v>
      </c>
      <c r="K202">
        <v>0</v>
      </c>
      <c r="L202">
        <v>0</v>
      </c>
      <c r="M202">
        <v>0</v>
      </c>
      <c r="N202">
        <v>0</v>
      </c>
      <c r="O202">
        <v>0</v>
      </c>
      <c r="P202">
        <v>0</v>
      </c>
      <c r="Q202">
        <v>0</v>
      </c>
      <c r="R202">
        <v>0</v>
      </c>
      <c r="S202">
        <v>0</v>
      </c>
      <c r="T202">
        <v>0</v>
      </c>
      <c r="U202">
        <v>0</v>
      </c>
      <c r="V202">
        <v>0</v>
      </c>
      <c r="W202" s="30">
        <f>W201</f>
        <v>37.4542</v>
      </c>
      <c r="X202" s="17"/>
      <c r="Y202">
        <v>2</v>
      </c>
      <c r="Z202" t="s">
        <v>16</v>
      </c>
      <c r="AA202">
        <v>25920</v>
      </c>
      <c r="AB202">
        <v>160</v>
      </c>
      <c r="AC202">
        <v>2</v>
      </c>
      <c r="AD202">
        <v>8</v>
      </c>
      <c r="AE202">
        <v>292.77999999999997</v>
      </c>
      <c r="AF202" s="17">
        <v>39.655999999999999</v>
      </c>
      <c r="AG202" s="33">
        <v>45307</v>
      </c>
      <c r="AH202" s="34">
        <v>0.64296296296296296</v>
      </c>
      <c r="AI202">
        <v>0</v>
      </c>
      <c r="AJ202">
        <v>0</v>
      </c>
      <c r="AK202">
        <v>0</v>
      </c>
      <c r="AL202">
        <v>0</v>
      </c>
      <c r="AM202">
        <v>0</v>
      </c>
      <c r="AN202">
        <v>0</v>
      </c>
      <c r="AO202">
        <v>0</v>
      </c>
      <c r="AP202">
        <v>0</v>
      </c>
      <c r="AQ202">
        <v>0</v>
      </c>
      <c r="AR202">
        <v>0</v>
      </c>
      <c r="AS202">
        <v>0</v>
      </c>
      <c r="AT202">
        <v>0</v>
      </c>
      <c r="AU202" s="30">
        <f t="shared" si="61"/>
        <v>39.680999999999997</v>
      </c>
      <c r="AV202" s="17"/>
    </row>
    <row r="203" spans="1:48" x14ac:dyDescent="0.25">
      <c r="A203">
        <v>3</v>
      </c>
      <c r="B203" t="s">
        <v>16</v>
      </c>
      <c r="C203">
        <v>25920</v>
      </c>
      <c r="D203">
        <v>160</v>
      </c>
      <c r="E203">
        <v>2</v>
      </c>
      <c r="F203">
        <v>8</v>
      </c>
      <c r="G203">
        <v>310.01</v>
      </c>
      <c r="H203" s="17">
        <v>37.451999999999998</v>
      </c>
      <c r="I203" s="33">
        <v>45307</v>
      </c>
      <c r="J203" s="37">
        <v>0.5426967592592592</v>
      </c>
      <c r="K203">
        <v>0</v>
      </c>
      <c r="L203">
        <v>0</v>
      </c>
      <c r="M203">
        <v>0</v>
      </c>
      <c r="N203">
        <v>0</v>
      </c>
      <c r="O203">
        <v>0</v>
      </c>
      <c r="P203">
        <v>0</v>
      </c>
      <c r="Q203">
        <v>0</v>
      </c>
      <c r="R203">
        <v>0</v>
      </c>
      <c r="S203">
        <v>0</v>
      </c>
      <c r="T203">
        <v>0</v>
      </c>
      <c r="U203">
        <v>0</v>
      </c>
      <c r="V203">
        <v>0</v>
      </c>
      <c r="W203" s="30">
        <f>W202</f>
        <v>37.4542</v>
      </c>
      <c r="X203" s="17"/>
      <c r="Y203">
        <v>3</v>
      </c>
      <c r="Z203" t="s">
        <v>16</v>
      </c>
      <c r="AA203">
        <v>25920</v>
      </c>
      <c r="AB203">
        <v>160</v>
      </c>
      <c r="AC203">
        <v>2</v>
      </c>
      <c r="AD203">
        <v>8</v>
      </c>
      <c r="AE203">
        <v>292.39999999999998</v>
      </c>
      <c r="AF203" s="17">
        <v>39.707000000000001</v>
      </c>
      <c r="AG203" s="33">
        <v>45307</v>
      </c>
      <c r="AH203" s="34">
        <v>0.58104166666666668</v>
      </c>
      <c r="AI203">
        <v>0</v>
      </c>
      <c r="AJ203">
        <v>0</v>
      </c>
      <c r="AK203">
        <v>0</v>
      </c>
      <c r="AL203">
        <v>0</v>
      </c>
      <c r="AM203">
        <v>0</v>
      </c>
      <c r="AN203">
        <v>0</v>
      </c>
      <c r="AO203">
        <v>0</v>
      </c>
      <c r="AP203">
        <v>0</v>
      </c>
      <c r="AQ203">
        <v>0</v>
      </c>
      <c r="AR203">
        <v>0</v>
      </c>
      <c r="AS203">
        <v>0</v>
      </c>
      <c r="AT203">
        <v>0</v>
      </c>
      <c r="AU203" s="30">
        <f t="shared" si="61"/>
        <v>39.680999999999997</v>
      </c>
      <c r="AV203" s="17"/>
    </row>
    <row r="204" spans="1:48" x14ac:dyDescent="0.25">
      <c r="A204">
        <v>4</v>
      </c>
      <c r="B204" t="s">
        <v>16</v>
      </c>
      <c r="C204">
        <v>25920</v>
      </c>
      <c r="D204">
        <v>160</v>
      </c>
      <c r="E204">
        <v>2</v>
      </c>
      <c r="F204">
        <v>8</v>
      </c>
      <c r="G204">
        <v>310</v>
      </c>
      <c r="H204" s="17">
        <v>37.453000000000003</v>
      </c>
      <c r="I204" s="33">
        <v>45307</v>
      </c>
      <c r="J204" s="37">
        <v>0.885625</v>
      </c>
      <c r="K204">
        <v>0</v>
      </c>
      <c r="L204">
        <v>0</v>
      </c>
      <c r="M204">
        <v>0</v>
      </c>
      <c r="N204">
        <v>0</v>
      </c>
      <c r="O204">
        <v>0</v>
      </c>
      <c r="P204">
        <v>0</v>
      </c>
      <c r="Q204">
        <v>0</v>
      </c>
      <c r="R204">
        <v>0</v>
      </c>
      <c r="S204">
        <v>0</v>
      </c>
      <c r="T204">
        <v>0</v>
      </c>
      <c r="U204">
        <v>0</v>
      </c>
      <c r="V204">
        <v>0</v>
      </c>
      <c r="W204" s="30">
        <f>W203</f>
        <v>37.4542</v>
      </c>
      <c r="X204" s="17"/>
      <c r="Y204">
        <v>4</v>
      </c>
      <c r="Z204" t="s">
        <v>16</v>
      </c>
      <c r="AA204">
        <v>25920</v>
      </c>
      <c r="AB204">
        <v>160</v>
      </c>
      <c r="AC204">
        <v>2</v>
      </c>
      <c r="AD204">
        <v>8</v>
      </c>
      <c r="AE204">
        <v>292.64999999999998</v>
      </c>
      <c r="AF204" s="17">
        <v>39.673999999999999</v>
      </c>
      <c r="AG204" s="33">
        <v>45307</v>
      </c>
      <c r="AH204" s="34">
        <v>0.49534722222222222</v>
      </c>
      <c r="AI204">
        <v>0</v>
      </c>
      <c r="AJ204">
        <v>0</v>
      </c>
      <c r="AK204">
        <v>0</v>
      </c>
      <c r="AL204">
        <v>0</v>
      </c>
      <c r="AM204">
        <v>0</v>
      </c>
      <c r="AN204">
        <v>0</v>
      </c>
      <c r="AO204">
        <v>0</v>
      </c>
      <c r="AP204">
        <v>0</v>
      </c>
      <c r="AQ204">
        <v>0</v>
      </c>
      <c r="AR204">
        <v>0</v>
      </c>
      <c r="AS204">
        <v>0</v>
      </c>
      <c r="AT204">
        <v>0</v>
      </c>
      <c r="AU204" s="30">
        <f t="shared" si="61"/>
        <v>39.680999999999997</v>
      </c>
      <c r="AV204" s="17"/>
    </row>
    <row r="205" spans="1:48" x14ac:dyDescent="0.25">
      <c r="A205">
        <v>0</v>
      </c>
      <c r="B205" t="s">
        <v>16</v>
      </c>
      <c r="C205">
        <v>27520</v>
      </c>
      <c r="D205">
        <v>160</v>
      </c>
      <c r="E205">
        <v>2</v>
      </c>
      <c r="F205">
        <v>8</v>
      </c>
      <c r="G205">
        <v>366.54</v>
      </c>
      <c r="H205" s="17">
        <v>37.911999999999999</v>
      </c>
      <c r="I205" s="33">
        <v>45307</v>
      </c>
      <c r="J205" s="37">
        <v>0.49458333333333332</v>
      </c>
      <c r="K205">
        <v>0</v>
      </c>
      <c r="L205">
        <v>0</v>
      </c>
      <c r="M205">
        <v>0</v>
      </c>
      <c r="N205">
        <v>0</v>
      </c>
      <c r="O205">
        <v>0</v>
      </c>
      <c r="P205">
        <v>0</v>
      </c>
      <c r="Q205">
        <v>0</v>
      </c>
      <c r="R205">
        <v>0</v>
      </c>
      <c r="S205">
        <v>0</v>
      </c>
      <c r="T205">
        <v>0</v>
      </c>
      <c r="U205">
        <v>0</v>
      </c>
      <c r="V205">
        <v>0</v>
      </c>
      <c r="W205" s="30">
        <f>AVERAGE(H205:H209)</f>
        <v>37.914200000000001</v>
      </c>
      <c r="X205" s="17"/>
      <c r="Y205">
        <v>0</v>
      </c>
      <c r="Z205" t="s">
        <v>16</v>
      </c>
      <c r="AA205">
        <v>27520</v>
      </c>
      <c r="AB205">
        <v>160</v>
      </c>
      <c r="AC205">
        <v>2</v>
      </c>
      <c r="AD205">
        <v>8</v>
      </c>
      <c r="AE205">
        <v>346.25</v>
      </c>
      <c r="AF205" s="17">
        <v>40.133000000000003</v>
      </c>
      <c r="AG205" s="33">
        <v>45307</v>
      </c>
      <c r="AH205" s="34">
        <v>0.63528935185185187</v>
      </c>
      <c r="AI205">
        <v>0</v>
      </c>
      <c r="AJ205">
        <v>0</v>
      </c>
      <c r="AK205">
        <v>0</v>
      </c>
      <c r="AL205">
        <v>0</v>
      </c>
      <c r="AM205">
        <v>0</v>
      </c>
      <c r="AN205">
        <v>0</v>
      </c>
      <c r="AO205">
        <v>0</v>
      </c>
      <c r="AP205">
        <v>0</v>
      </c>
      <c r="AQ205">
        <v>0</v>
      </c>
      <c r="AR205">
        <v>0</v>
      </c>
      <c r="AS205">
        <v>28</v>
      </c>
      <c r="AT205">
        <v>862</v>
      </c>
      <c r="AU205" s="30">
        <f t="shared" ref="AU205" si="78">AVERAGE(AF205:AF209)</f>
        <v>40.192600000000006</v>
      </c>
      <c r="AV205" s="17"/>
    </row>
    <row r="206" spans="1:48" x14ac:dyDescent="0.25">
      <c r="A206">
        <v>1</v>
      </c>
      <c r="B206" t="s">
        <v>16</v>
      </c>
      <c r="C206">
        <v>27520</v>
      </c>
      <c r="D206">
        <v>160</v>
      </c>
      <c r="E206">
        <v>2</v>
      </c>
      <c r="F206">
        <v>8</v>
      </c>
      <c r="G206">
        <v>366.54</v>
      </c>
      <c r="H206" s="17">
        <v>37.911000000000001</v>
      </c>
      <c r="I206" s="33">
        <v>45307</v>
      </c>
      <c r="J206" s="37">
        <v>0.69240740740740747</v>
      </c>
      <c r="K206">
        <v>0</v>
      </c>
      <c r="L206">
        <v>0</v>
      </c>
      <c r="M206">
        <v>0</v>
      </c>
      <c r="N206">
        <v>0</v>
      </c>
      <c r="O206">
        <v>0</v>
      </c>
      <c r="P206">
        <v>0</v>
      </c>
      <c r="Q206">
        <v>0</v>
      </c>
      <c r="R206">
        <v>0</v>
      </c>
      <c r="S206">
        <v>0</v>
      </c>
      <c r="T206">
        <v>0</v>
      </c>
      <c r="U206">
        <v>0</v>
      </c>
      <c r="V206">
        <v>0</v>
      </c>
      <c r="W206" s="30">
        <f>W205</f>
        <v>37.914200000000001</v>
      </c>
      <c r="X206" s="17"/>
      <c r="Y206">
        <v>1</v>
      </c>
      <c r="Z206" t="s">
        <v>16</v>
      </c>
      <c r="AA206">
        <v>27520</v>
      </c>
      <c r="AB206">
        <v>160</v>
      </c>
      <c r="AC206">
        <v>2</v>
      </c>
      <c r="AD206">
        <v>8</v>
      </c>
      <c r="AE206">
        <v>345.64</v>
      </c>
      <c r="AF206" s="17">
        <v>40.203000000000003</v>
      </c>
      <c r="AG206" s="33">
        <v>45307</v>
      </c>
      <c r="AH206" s="34">
        <v>0.71697916666666661</v>
      </c>
      <c r="AI206">
        <v>0</v>
      </c>
      <c r="AJ206">
        <v>0</v>
      </c>
      <c r="AK206">
        <v>0</v>
      </c>
      <c r="AL206">
        <v>0</v>
      </c>
      <c r="AM206">
        <v>0</v>
      </c>
      <c r="AN206">
        <v>0</v>
      </c>
      <c r="AO206">
        <v>0</v>
      </c>
      <c r="AP206">
        <v>0</v>
      </c>
      <c r="AQ206">
        <v>0</v>
      </c>
      <c r="AR206">
        <v>0</v>
      </c>
      <c r="AS206">
        <v>0</v>
      </c>
      <c r="AT206">
        <v>0</v>
      </c>
      <c r="AU206" s="30">
        <f t="shared" ref="AU206" si="79">AU205</f>
        <v>40.192600000000006</v>
      </c>
      <c r="AV206" s="17"/>
    </row>
    <row r="207" spans="1:48" x14ac:dyDescent="0.25">
      <c r="A207">
        <v>2</v>
      </c>
      <c r="B207" t="s">
        <v>16</v>
      </c>
      <c r="C207">
        <v>27520</v>
      </c>
      <c r="D207">
        <v>160</v>
      </c>
      <c r="E207">
        <v>2</v>
      </c>
      <c r="F207">
        <v>8</v>
      </c>
      <c r="G207">
        <v>366.5</v>
      </c>
      <c r="H207" s="17">
        <v>37.915999999999997</v>
      </c>
      <c r="I207" s="33">
        <v>45308</v>
      </c>
      <c r="J207" s="37">
        <v>3.3055555555555553E-2</v>
      </c>
      <c r="K207">
        <v>0</v>
      </c>
      <c r="L207">
        <v>0</v>
      </c>
      <c r="M207">
        <v>0</v>
      </c>
      <c r="N207">
        <v>0</v>
      </c>
      <c r="O207">
        <v>0</v>
      </c>
      <c r="P207">
        <v>0</v>
      </c>
      <c r="Q207">
        <v>0</v>
      </c>
      <c r="R207">
        <v>0</v>
      </c>
      <c r="S207">
        <v>0</v>
      </c>
      <c r="T207">
        <v>0</v>
      </c>
      <c r="U207">
        <v>0</v>
      </c>
      <c r="V207">
        <v>0</v>
      </c>
      <c r="W207" s="30">
        <f>W206</f>
        <v>37.914200000000001</v>
      </c>
      <c r="X207" s="17"/>
      <c r="Y207">
        <v>2</v>
      </c>
      <c r="Z207" t="s">
        <v>16</v>
      </c>
      <c r="AA207">
        <v>27520</v>
      </c>
      <c r="AB207">
        <v>160</v>
      </c>
      <c r="AC207">
        <v>2</v>
      </c>
      <c r="AD207">
        <v>8</v>
      </c>
      <c r="AE207">
        <v>345.53</v>
      </c>
      <c r="AF207" s="17">
        <v>40.216000000000001</v>
      </c>
      <c r="AG207" s="33">
        <v>45307</v>
      </c>
      <c r="AH207" s="34">
        <v>0.55714120370370368</v>
      </c>
      <c r="AI207">
        <v>0</v>
      </c>
      <c r="AJ207">
        <v>0</v>
      </c>
      <c r="AK207">
        <v>0</v>
      </c>
      <c r="AL207">
        <v>0</v>
      </c>
      <c r="AM207">
        <v>0</v>
      </c>
      <c r="AN207">
        <v>0</v>
      </c>
      <c r="AO207">
        <v>0</v>
      </c>
      <c r="AP207">
        <v>0</v>
      </c>
      <c r="AQ207">
        <v>0</v>
      </c>
      <c r="AR207">
        <v>0</v>
      </c>
      <c r="AS207">
        <v>0</v>
      </c>
      <c r="AT207">
        <v>0</v>
      </c>
      <c r="AU207" s="30">
        <f t="shared" si="59"/>
        <v>40.192600000000006</v>
      </c>
      <c r="AV207" s="17"/>
    </row>
    <row r="208" spans="1:48" x14ac:dyDescent="0.25">
      <c r="A208">
        <v>3</v>
      </c>
      <c r="B208" t="s">
        <v>16</v>
      </c>
      <c r="C208">
        <v>27520</v>
      </c>
      <c r="D208">
        <v>160</v>
      </c>
      <c r="E208">
        <v>2</v>
      </c>
      <c r="F208">
        <v>8</v>
      </c>
      <c r="G208">
        <v>366.45</v>
      </c>
      <c r="H208" s="17">
        <v>37.92</v>
      </c>
      <c r="I208" s="33">
        <v>45308</v>
      </c>
      <c r="J208" s="37">
        <v>0.37614583333333335</v>
      </c>
      <c r="K208">
        <v>0</v>
      </c>
      <c r="L208">
        <v>0</v>
      </c>
      <c r="M208">
        <v>0</v>
      </c>
      <c r="N208">
        <v>0</v>
      </c>
      <c r="O208">
        <v>0</v>
      </c>
      <c r="P208">
        <v>0</v>
      </c>
      <c r="Q208">
        <v>0</v>
      </c>
      <c r="R208">
        <v>0</v>
      </c>
      <c r="S208">
        <v>0</v>
      </c>
      <c r="T208">
        <v>0</v>
      </c>
      <c r="U208">
        <v>0</v>
      </c>
      <c r="V208">
        <v>0</v>
      </c>
      <c r="W208" s="30">
        <f>W207</f>
        <v>37.914200000000001</v>
      </c>
      <c r="X208" s="17"/>
      <c r="Y208">
        <v>3</v>
      </c>
      <c r="Z208" t="s">
        <v>16</v>
      </c>
      <c r="AA208">
        <v>27520</v>
      </c>
      <c r="AB208">
        <v>160</v>
      </c>
      <c r="AC208">
        <v>2</v>
      </c>
      <c r="AD208">
        <v>8</v>
      </c>
      <c r="AE208">
        <v>345.48</v>
      </c>
      <c r="AF208" s="17">
        <v>40.222000000000001</v>
      </c>
      <c r="AG208" s="33">
        <v>45307</v>
      </c>
      <c r="AH208" s="34">
        <v>0.49524305555555559</v>
      </c>
      <c r="AI208">
        <v>0</v>
      </c>
      <c r="AJ208">
        <v>0</v>
      </c>
      <c r="AK208">
        <v>0</v>
      </c>
      <c r="AL208">
        <v>0</v>
      </c>
      <c r="AM208">
        <v>0</v>
      </c>
      <c r="AN208">
        <v>0</v>
      </c>
      <c r="AO208">
        <v>0</v>
      </c>
      <c r="AP208">
        <v>0</v>
      </c>
      <c r="AQ208">
        <v>0</v>
      </c>
      <c r="AR208">
        <v>0</v>
      </c>
      <c r="AS208">
        <v>0</v>
      </c>
      <c r="AT208">
        <v>0</v>
      </c>
      <c r="AU208" s="30">
        <f t="shared" si="59"/>
        <v>40.192600000000006</v>
      </c>
      <c r="AV208" s="17"/>
    </row>
    <row r="209" spans="1:48" x14ac:dyDescent="0.25">
      <c r="A209">
        <v>4</v>
      </c>
      <c r="B209" t="s">
        <v>16</v>
      </c>
      <c r="C209">
        <v>27520</v>
      </c>
      <c r="D209">
        <v>160</v>
      </c>
      <c r="E209">
        <v>2</v>
      </c>
      <c r="F209">
        <v>8</v>
      </c>
      <c r="G209">
        <v>366.54</v>
      </c>
      <c r="H209" s="17">
        <v>37.911999999999999</v>
      </c>
      <c r="I209" s="33">
        <v>45307</v>
      </c>
      <c r="J209" s="37">
        <v>0.77340277777777777</v>
      </c>
      <c r="K209">
        <v>0</v>
      </c>
      <c r="L209">
        <v>0</v>
      </c>
      <c r="M209">
        <v>0</v>
      </c>
      <c r="N209">
        <v>0</v>
      </c>
      <c r="O209">
        <v>0</v>
      </c>
      <c r="P209">
        <v>0</v>
      </c>
      <c r="Q209">
        <v>0</v>
      </c>
      <c r="R209">
        <v>0</v>
      </c>
      <c r="S209">
        <v>0</v>
      </c>
      <c r="T209">
        <v>0</v>
      </c>
      <c r="U209">
        <v>0</v>
      </c>
      <c r="V209">
        <v>0</v>
      </c>
      <c r="W209" s="30">
        <f>W208</f>
        <v>37.914200000000001</v>
      </c>
      <c r="X209" s="17"/>
      <c r="Y209">
        <v>4</v>
      </c>
      <c r="Z209" t="s">
        <v>16</v>
      </c>
      <c r="AA209">
        <v>27520</v>
      </c>
      <c r="AB209">
        <v>160</v>
      </c>
      <c r="AC209">
        <v>2</v>
      </c>
      <c r="AD209">
        <v>8</v>
      </c>
      <c r="AE209">
        <v>345.76</v>
      </c>
      <c r="AF209" s="17">
        <v>40.189</v>
      </c>
      <c r="AG209" s="33">
        <v>45307</v>
      </c>
      <c r="AH209" s="34">
        <v>0.75839120370370372</v>
      </c>
      <c r="AI209">
        <v>0</v>
      </c>
      <c r="AJ209">
        <v>0</v>
      </c>
      <c r="AK209">
        <v>0</v>
      </c>
      <c r="AL209">
        <v>0</v>
      </c>
      <c r="AM209">
        <v>0</v>
      </c>
      <c r="AN209">
        <v>0</v>
      </c>
      <c r="AO209">
        <v>0</v>
      </c>
      <c r="AP209">
        <v>0</v>
      </c>
      <c r="AQ209">
        <v>0</v>
      </c>
      <c r="AR209">
        <v>0</v>
      </c>
      <c r="AS209">
        <v>0</v>
      </c>
      <c r="AT209">
        <v>0</v>
      </c>
      <c r="AU209" s="30">
        <f t="shared" si="59"/>
        <v>40.192600000000006</v>
      </c>
      <c r="AV209" s="17"/>
    </row>
    <row r="210" spans="1:48" x14ac:dyDescent="0.25">
      <c r="A210">
        <v>0</v>
      </c>
      <c r="B210" t="s">
        <v>16</v>
      </c>
      <c r="C210">
        <v>28960</v>
      </c>
      <c r="D210">
        <v>160</v>
      </c>
      <c r="E210">
        <v>2</v>
      </c>
      <c r="F210">
        <v>8</v>
      </c>
      <c r="G210">
        <v>425.18</v>
      </c>
      <c r="H210" s="17">
        <v>38.085999999999999</v>
      </c>
      <c r="I210" s="33">
        <v>45307</v>
      </c>
      <c r="J210" s="37">
        <v>0.56122685185185184</v>
      </c>
      <c r="K210">
        <v>0</v>
      </c>
      <c r="L210">
        <v>0</v>
      </c>
      <c r="M210">
        <v>0</v>
      </c>
      <c r="N210">
        <v>0</v>
      </c>
      <c r="O210">
        <v>0</v>
      </c>
      <c r="P210">
        <v>0</v>
      </c>
      <c r="Q210">
        <v>0</v>
      </c>
      <c r="R210">
        <v>0</v>
      </c>
      <c r="S210">
        <v>0</v>
      </c>
      <c r="T210">
        <v>0</v>
      </c>
      <c r="U210">
        <v>0</v>
      </c>
      <c r="V210">
        <v>0</v>
      </c>
      <c r="W210" s="30">
        <f>AVERAGE(H210:H214)</f>
        <v>38.121600000000001</v>
      </c>
      <c r="X210" s="17"/>
      <c r="Y210">
        <v>0</v>
      </c>
      <c r="Z210" t="s">
        <v>16</v>
      </c>
      <c r="AA210">
        <v>28960</v>
      </c>
      <c r="AB210">
        <v>160</v>
      </c>
      <c r="AC210">
        <v>2</v>
      </c>
      <c r="AD210">
        <v>8</v>
      </c>
      <c r="AE210">
        <v>398.28</v>
      </c>
      <c r="AF210" s="17">
        <v>40.658000000000001</v>
      </c>
      <c r="AG210" s="33">
        <v>45307</v>
      </c>
      <c r="AH210" s="34">
        <v>0.61738425925925922</v>
      </c>
      <c r="AI210">
        <v>0</v>
      </c>
      <c r="AJ210">
        <v>0</v>
      </c>
      <c r="AK210">
        <v>0</v>
      </c>
      <c r="AL210">
        <v>0</v>
      </c>
      <c r="AM210">
        <v>0</v>
      </c>
      <c r="AN210">
        <v>0</v>
      </c>
      <c r="AO210">
        <v>0</v>
      </c>
      <c r="AP210">
        <v>0</v>
      </c>
      <c r="AQ210">
        <v>0</v>
      </c>
      <c r="AR210">
        <v>0</v>
      </c>
      <c r="AS210">
        <v>0</v>
      </c>
      <c r="AT210">
        <v>0</v>
      </c>
      <c r="AU210" s="30">
        <f t="shared" ref="AU210" si="80">AVERAGE(AF210:AF214)</f>
        <v>40.646599999999999</v>
      </c>
      <c r="AV210" s="17"/>
    </row>
    <row r="211" spans="1:48" x14ac:dyDescent="0.25">
      <c r="A211">
        <v>1</v>
      </c>
      <c r="B211" t="s">
        <v>16</v>
      </c>
      <c r="C211">
        <v>28960</v>
      </c>
      <c r="D211">
        <v>160</v>
      </c>
      <c r="E211">
        <v>2</v>
      </c>
      <c r="F211">
        <v>8</v>
      </c>
      <c r="G211">
        <v>424.72</v>
      </c>
      <c r="H211" s="17">
        <v>38.128</v>
      </c>
      <c r="I211" s="33">
        <v>45307</v>
      </c>
      <c r="J211" s="37">
        <v>0.90390046296296289</v>
      </c>
      <c r="K211">
        <v>0</v>
      </c>
      <c r="L211">
        <v>0</v>
      </c>
      <c r="M211">
        <v>0</v>
      </c>
      <c r="N211">
        <v>0</v>
      </c>
      <c r="O211">
        <v>0</v>
      </c>
      <c r="P211">
        <v>0</v>
      </c>
      <c r="Q211">
        <v>0</v>
      </c>
      <c r="R211">
        <v>0</v>
      </c>
      <c r="S211">
        <v>0</v>
      </c>
      <c r="T211">
        <v>0</v>
      </c>
      <c r="U211">
        <v>0</v>
      </c>
      <c r="V211">
        <v>0</v>
      </c>
      <c r="W211" s="30">
        <f>W210</f>
        <v>38.121600000000001</v>
      </c>
      <c r="X211" s="17"/>
      <c r="Y211">
        <v>1</v>
      </c>
      <c r="Z211" t="s">
        <v>16</v>
      </c>
      <c r="AA211">
        <v>28960</v>
      </c>
      <c r="AB211">
        <v>160</v>
      </c>
      <c r="AC211">
        <v>2</v>
      </c>
      <c r="AD211">
        <v>8</v>
      </c>
      <c r="AE211">
        <v>398.08</v>
      </c>
      <c r="AF211" s="17">
        <v>40.679000000000002</v>
      </c>
      <c r="AG211" s="33">
        <v>45307</v>
      </c>
      <c r="AH211" s="34">
        <v>0.56710648148148146</v>
      </c>
      <c r="AI211">
        <v>0</v>
      </c>
      <c r="AJ211">
        <v>0</v>
      </c>
      <c r="AK211">
        <v>0</v>
      </c>
      <c r="AL211">
        <v>0</v>
      </c>
      <c r="AM211">
        <v>0</v>
      </c>
      <c r="AN211">
        <v>0</v>
      </c>
      <c r="AO211">
        <v>0</v>
      </c>
      <c r="AP211">
        <v>0</v>
      </c>
      <c r="AQ211">
        <v>0</v>
      </c>
      <c r="AR211">
        <v>0</v>
      </c>
      <c r="AS211">
        <v>0</v>
      </c>
      <c r="AT211">
        <v>0</v>
      </c>
      <c r="AU211" s="30">
        <f t="shared" ref="AU211" si="81">AU210</f>
        <v>40.646599999999999</v>
      </c>
      <c r="AV211" s="17"/>
    </row>
    <row r="212" spans="1:48" x14ac:dyDescent="0.25">
      <c r="A212">
        <v>2</v>
      </c>
      <c r="B212" t="s">
        <v>16</v>
      </c>
      <c r="C212">
        <v>28960</v>
      </c>
      <c r="D212">
        <v>160</v>
      </c>
      <c r="E212">
        <v>2</v>
      </c>
      <c r="F212">
        <v>8</v>
      </c>
      <c r="G212">
        <v>424.82</v>
      </c>
      <c r="H212" s="17">
        <v>38.119</v>
      </c>
      <c r="I212" s="33">
        <v>45308</v>
      </c>
      <c r="J212" s="37">
        <v>0.24454861111111112</v>
      </c>
      <c r="K212">
        <v>0</v>
      </c>
      <c r="L212">
        <v>0</v>
      </c>
      <c r="M212">
        <v>0</v>
      </c>
      <c r="N212">
        <v>0</v>
      </c>
      <c r="O212">
        <v>0</v>
      </c>
      <c r="P212">
        <v>0</v>
      </c>
      <c r="Q212">
        <v>0</v>
      </c>
      <c r="R212">
        <v>0</v>
      </c>
      <c r="S212">
        <v>0</v>
      </c>
      <c r="T212">
        <v>0</v>
      </c>
      <c r="U212">
        <v>0</v>
      </c>
      <c r="V212">
        <v>0</v>
      </c>
      <c r="W212" s="30">
        <f>W211</f>
        <v>38.121600000000001</v>
      </c>
      <c r="X212" s="17"/>
      <c r="Y212">
        <v>2</v>
      </c>
      <c r="Z212" t="s">
        <v>16</v>
      </c>
      <c r="AA212">
        <v>28960</v>
      </c>
      <c r="AB212">
        <v>160</v>
      </c>
      <c r="AC212">
        <v>2</v>
      </c>
      <c r="AD212">
        <v>8</v>
      </c>
      <c r="AE212">
        <v>398.44</v>
      </c>
      <c r="AF212" s="17">
        <v>40.642000000000003</v>
      </c>
      <c r="AG212" s="33">
        <v>45307</v>
      </c>
      <c r="AH212" s="34">
        <v>0.72069444444444442</v>
      </c>
      <c r="AI212">
        <v>0</v>
      </c>
      <c r="AJ212">
        <v>0</v>
      </c>
      <c r="AK212">
        <v>0</v>
      </c>
      <c r="AL212">
        <v>0</v>
      </c>
      <c r="AM212">
        <v>0</v>
      </c>
      <c r="AN212">
        <v>0</v>
      </c>
      <c r="AO212">
        <v>0</v>
      </c>
      <c r="AP212">
        <v>0</v>
      </c>
      <c r="AQ212">
        <v>0</v>
      </c>
      <c r="AR212">
        <v>0</v>
      </c>
      <c r="AS212">
        <v>0</v>
      </c>
      <c r="AT212">
        <v>0</v>
      </c>
      <c r="AU212" s="30">
        <f t="shared" si="61"/>
        <v>40.646599999999999</v>
      </c>
      <c r="AV212" s="17"/>
    </row>
    <row r="213" spans="1:48" x14ac:dyDescent="0.25">
      <c r="A213">
        <v>3</v>
      </c>
      <c r="B213" t="s">
        <v>16</v>
      </c>
      <c r="C213">
        <v>28960</v>
      </c>
      <c r="D213">
        <v>160</v>
      </c>
      <c r="E213">
        <v>2</v>
      </c>
      <c r="F213">
        <v>8</v>
      </c>
      <c r="G213">
        <v>424.48</v>
      </c>
      <c r="H213" s="17">
        <v>38.149000000000001</v>
      </c>
      <c r="I213" s="33">
        <v>45308</v>
      </c>
      <c r="J213" s="37">
        <v>0.12038194444444444</v>
      </c>
      <c r="K213">
        <v>0</v>
      </c>
      <c r="L213">
        <v>0</v>
      </c>
      <c r="M213">
        <v>0</v>
      </c>
      <c r="N213">
        <v>0</v>
      </c>
      <c r="O213">
        <v>0</v>
      </c>
      <c r="P213">
        <v>0</v>
      </c>
      <c r="Q213">
        <v>0</v>
      </c>
      <c r="R213">
        <v>0</v>
      </c>
      <c r="S213">
        <v>0</v>
      </c>
      <c r="T213">
        <v>0</v>
      </c>
      <c r="U213">
        <v>0</v>
      </c>
      <c r="V213">
        <v>0</v>
      </c>
      <c r="W213" s="30">
        <f>W212</f>
        <v>38.121600000000001</v>
      </c>
      <c r="X213" s="17"/>
      <c r="Y213">
        <v>3</v>
      </c>
      <c r="Z213" t="s">
        <v>16</v>
      </c>
      <c r="AA213">
        <v>28960</v>
      </c>
      <c r="AB213">
        <v>160</v>
      </c>
      <c r="AC213">
        <v>2</v>
      </c>
      <c r="AD213">
        <v>8</v>
      </c>
      <c r="AE213">
        <v>398.44</v>
      </c>
      <c r="AF213" s="17">
        <v>40.642000000000003</v>
      </c>
      <c r="AG213" s="33">
        <v>45307</v>
      </c>
      <c r="AH213" s="34">
        <v>0.65879629629629632</v>
      </c>
      <c r="AI213">
        <v>0</v>
      </c>
      <c r="AJ213">
        <v>0</v>
      </c>
      <c r="AK213">
        <v>0</v>
      </c>
      <c r="AL213">
        <v>0</v>
      </c>
      <c r="AM213">
        <v>0</v>
      </c>
      <c r="AN213">
        <v>0</v>
      </c>
      <c r="AO213">
        <v>0</v>
      </c>
      <c r="AP213">
        <v>0</v>
      </c>
      <c r="AQ213">
        <v>0</v>
      </c>
      <c r="AR213">
        <v>0</v>
      </c>
      <c r="AS213">
        <v>0</v>
      </c>
      <c r="AT213">
        <v>0</v>
      </c>
      <c r="AU213" s="30">
        <f t="shared" si="61"/>
        <v>40.646599999999999</v>
      </c>
      <c r="AV213" s="17"/>
    </row>
    <row r="214" spans="1:48" x14ac:dyDescent="0.25">
      <c r="A214">
        <v>4</v>
      </c>
      <c r="B214" t="s">
        <v>16</v>
      </c>
      <c r="C214">
        <v>28960</v>
      </c>
      <c r="D214">
        <v>160</v>
      </c>
      <c r="E214">
        <v>2</v>
      </c>
      <c r="F214">
        <v>8</v>
      </c>
      <c r="G214">
        <v>424.73</v>
      </c>
      <c r="H214" s="17">
        <v>38.125999999999998</v>
      </c>
      <c r="I214" s="33">
        <v>45307</v>
      </c>
      <c r="J214" s="37">
        <v>0.98486111111111108</v>
      </c>
      <c r="K214">
        <v>0</v>
      </c>
      <c r="L214">
        <v>0</v>
      </c>
      <c r="M214">
        <v>0</v>
      </c>
      <c r="N214">
        <v>0</v>
      </c>
      <c r="O214">
        <v>0</v>
      </c>
      <c r="P214">
        <v>0</v>
      </c>
      <c r="Q214">
        <v>0</v>
      </c>
      <c r="R214">
        <v>0</v>
      </c>
      <c r="S214">
        <v>0</v>
      </c>
      <c r="T214">
        <v>0</v>
      </c>
      <c r="U214">
        <v>0</v>
      </c>
      <c r="V214">
        <v>0</v>
      </c>
      <c r="W214" s="30">
        <f>W213</f>
        <v>38.121600000000001</v>
      </c>
      <c r="X214" s="17"/>
      <c r="Y214">
        <v>4</v>
      </c>
      <c r="Z214" t="s">
        <v>16</v>
      </c>
      <c r="AA214">
        <v>28960</v>
      </c>
      <c r="AB214">
        <v>160</v>
      </c>
      <c r="AC214">
        <v>2</v>
      </c>
      <c r="AD214">
        <v>8</v>
      </c>
      <c r="AE214">
        <v>398.74</v>
      </c>
      <c r="AF214" s="17">
        <v>40.612000000000002</v>
      </c>
      <c r="AG214" s="33">
        <v>45307</v>
      </c>
      <c r="AH214" s="34">
        <v>0.53377314814814814</v>
      </c>
      <c r="AI214">
        <v>0</v>
      </c>
      <c r="AJ214">
        <v>0</v>
      </c>
      <c r="AK214">
        <v>0</v>
      </c>
      <c r="AL214">
        <v>0</v>
      </c>
      <c r="AM214">
        <v>0</v>
      </c>
      <c r="AN214">
        <v>0</v>
      </c>
      <c r="AO214">
        <v>0</v>
      </c>
      <c r="AP214">
        <v>0</v>
      </c>
      <c r="AQ214">
        <v>0</v>
      </c>
      <c r="AR214">
        <v>0</v>
      </c>
      <c r="AS214">
        <v>0</v>
      </c>
      <c r="AT214">
        <v>0</v>
      </c>
      <c r="AU214" s="30">
        <f t="shared" si="61"/>
        <v>40.646599999999999</v>
      </c>
      <c r="AV214" s="17"/>
    </row>
    <row r="215" spans="1:48" x14ac:dyDescent="0.25">
      <c r="A215">
        <v>0</v>
      </c>
      <c r="B215" t="s">
        <v>16</v>
      </c>
      <c r="C215">
        <v>25920</v>
      </c>
      <c r="D215">
        <v>160</v>
      </c>
      <c r="E215">
        <v>4</v>
      </c>
      <c r="F215">
        <v>4</v>
      </c>
      <c r="G215">
        <v>331.78</v>
      </c>
      <c r="H215" s="17">
        <v>34.994</v>
      </c>
      <c r="I215" s="33">
        <v>45307</v>
      </c>
      <c r="J215" s="37">
        <v>0.61160879629629628</v>
      </c>
      <c r="K215">
        <v>0</v>
      </c>
      <c r="L215">
        <v>0</v>
      </c>
      <c r="M215">
        <v>0</v>
      </c>
      <c r="N215">
        <v>0</v>
      </c>
      <c r="O215">
        <v>0</v>
      </c>
      <c r="P215">
        <v>0</v>
      </c>
      <c r="Q215">
        <v>0</v>
      </c>
      <c r="R215">
        <v>0</v>
      </c>
      <c r="S215">
        <v>0</v>
      </c>
      <c r="T215">
        <v>0</v>
      </c>
      <c r="U215">
        <v>0</v>
      </c>
      <c r="V215">
        <v>0</v>
      </c>
      <c r="W215" s="30">
        <f>AVERAGE(H215:H219)</f>
        <v>34.966799999999999</v>
      </c>
      <c r="X215" s="17"/>
      <c r="Y215">
        <v>0</v>
      </c>
      <c r="Z215" t="s">
        <v>16</v>
      </c>
      <c r="AA215">
        <v>25920</v>
      </c>
      <c r="AB215">
        <v>160</v>
      </c>
      <c r="AC215">
        <v>4</v>
      </c>
      <c r="AD215">
        <v>4</v>
      </c>
      <c r="AE215">
        <v>314.38</v>
      </c>
      <c r="AF215" s="17">
        <v>36.930999999999997</v>
      </c>
      <c r="AG215" s="33">
        <v>45307</v>
      </c>
      <c r="AH215" s="34">
        <v>0.54383101851851856</v>
      </c>
      <c r="AI215">
        <v>0</v>
      </c>
      <c r="AJ215">
        <v>0</v>
      </c>
      <c r="AK215">
        <v>0</v>
      </c>
      <c r="AL215">
        <v>0</v>
      </c>
      <c r="AM215">
        <v>0</v>
      </c>
      <c r="AN215">
        <v>0</v>
      </c>
      <c r="AO215">
        <v>0</v>
      </c>
      <c r="AP215">
        <v>0</v>
      </c>
      <c r="AQ215">
        <v>0</v>
      </c>
      <c r="AR215">
        <v>0</v>
      </c>
      <c r="AS215">
        <v>0</v>
      </c>
      <c r="AT215">
        <v>0</v>
      </c>
      <c r="AU215" s="30">
        <f t="shared" ref="AU215" si="82">AVERAGE(AF215:AF219)</f>
        <v>36.8996</v>
      </c>
      <c r="AV215" s="17"/>
    </row>
    <row r="216" spans="1:48" x14ac:dyDescent="0.25">
      <c r="A216">
        <v>1</v>
      </c>
      <c r="B216" t="s">
        <v>16</v>
      </c>
      <c r="C216">
        <v>25920</v>
      </c>
      <c r="D216">
        <v>160</v>
      </c>
      <c r="E216">
        <v>4</v>
      </c>
      <c r="F216">
        <v>4</v>
      </c>
      <c r="G216">
        <v>332.3</v>
      </c>
      <c r="H216" s="17">
        <v>34.94</v>
      </c>
      <c r="I216" s="33">
        <v>45307</v>
      </c>
      <c r="J216" s="37">
        <v>0.80866898148148147</v>
      </c>
      <c r="K216">
        <v>0</v>
      </c>
      <c r="L216">
        <v>0</v>
      </c>
      <c r="M216">
        <v>0</v>
      </c>
      <c r="N216">
        <v>0</v>
      </c>
      <c r="O216">
        <v>0</v>
      </c>
      <c r="P216">
        <v>0</v>
      </c>
      <c r="Q216">
        <v>0</v>
      </c>
      <c r="R216">
        <v>0</v>
      </c>
      <c r="S216">
        <v>0</v>
      </c>
      <c r="T216">
        <v>0</v>
      </c>
      <c r="U216">
        <v>0</v>
      </c>
      <c r="V216">
        <v>0</v>
      </c>
      <c r="W216" s="30">
        <f>W215</f>
        <v>34.966799999999999</v>
      </c>
      <c r="X216" s="17"/>
      <c r="Y216">
        <v>1</v>
      </c>
      <c r="Z216" t="s">
        <v>16</v>
      </c>
      <c r="AA216">
        <v>25920</v>
      </c>
      <c r="AB216">
        <v>160</v>
      </c>
      <c r="AC216">
        <v>4</v>
      </c>
      <c r="AD216">
        <v>4</v>
      </c>
      <c r="AE216">
        <v>314.74</v>
      </c>
      <c r="AF216" s="17">
        <v>36.889000000000003</v>
      </c>
      <c r="AG216" s="33">
        <v>45307</v>
      </c>
      <c r="AH216" s="34">
        <v>0.49343749999999997</v>
      </c>
      <c r="AI216">
        <v>0</v>
      </c>
      <c r="AJ216">
        <v>0</v>
      </c>
      <c r="AK216">
        <v>0</v>
      </c>
      <c r="AL216">
        <v>0</v>
      </c>
      <c r="AM216">
        <v>0</v>
      </c>
      <c r="AN216">
        <v>0</v>
      </c>
      <c r="AO216">
        <v>0</v>
      </c>
      <c r="AP216">
        <v>0</v>
      </c>
      <c r="AQ216">
        <v>0</v>
      </c>
      <c r="AR216">
        <v>0</v>
      </c>
      <c r="AS216">
        <v>0</v>
      </c>
      <c r="AT216">
        <v>0</v>
      </c>
      <c r="AU216" s="30">
        <f t="shared" ref="AU216" si="83">AU215</f>
        <v>36.8996</v>
      </c>
      <c r="AV216" s="17"/>
    </row>
    <row r="217" spans="1:48" x14ac:dyDescent="0.25">
      <c r="A217">
        <v>2</v>
      </c>
      <c r="B217" t="s">
        <v>16</v>
      </c>
      <c r="C217">
        <v>25920</v>
      </c>
      <c r="D217">
        <v>160</v>
      </c>
      <c r="E217">
        <v>4</v>
      </c>
      <c r="F217">
        <v>4</v>
      </c>
      <c r="G217">
        <v>332.18</v>
      </c>
      <c r="H217" s="17">
        <v>34.953000000000003</v>
      </c>
      <c r="I217" s="33">
        <v>45308</v>
      </c>
      <c r="J217" s="37">
        <v>0.14928240740740742</v>
      </c>
      <c r="K217">
        <v>0</v>
      </c>
      <c r="L217">
        <v>0</v>
      </c>
      <c r="M217">
        <v>0</v>
      </c>
      <c r="N217">
        <v>0</v>
      </c>
      <c r="O217">
        <v>0</v>
      </c>
      <c r="P217">
        <v>0</v>
      </c>
      <c r="Q217">
        <v>0</v>
      </c>
      <c r="R217">
        <v>0</v>
      </c>
      <c r="S217">
        <v>0</v>
      </c>
      <c r="T217">
        <v>0</v>
      </c>
      <c r="U217">
        <v>0</v>
      </c>
      <c r="V217">
        <v>0</v>
      </c>
      <c r="W217" s="30">
        <f>W216</f>
        <v>34.966799999999999</v>
      </c>
      <c r="X217" s="17"/>
      <c r="Y217">
        <v>2</v>
      </c>
      <c r="Z217" t="s">
        <v>16</v>
      </c>
      <c r="AA217">
        <v>25920</v>
      </c>
      <c r="AB217">
        <v>160</v>
      </c>
      <c r="AC217">
        <v>4</v>
      </c>
      <c r="AD217">
        <v>4</v>
      </c>
      <c r="AE217">
        <v>314.45999999999998</v>
      </c>
      <c r="AF217" s="17">
        <v>36.923000000000002</v>
      </c>
      <c r="AG217" s="33">
        <v>45307</v>
      </c>
      <c r="AH217" s="34">
        <v>0.64719907407407407</v>
      </c>
      <c r="AI217">
        <v>0</v>
      </c>
      <c r="AJ217">
        <v>0</v>
      </c>
      <c r="AK217">
        <v>0</v>
      </c>
      <c r="AL217">
        <v>0</v>
      </c>
      <c r="AM217">
        <v>0</v>
      </c>
      <c r="AN217">
        <v>0</v>
      </c>
      <c r="AO217">
        <v>0</v>
      </c>
      <c r="AP217">
        <v>0</v>
      </c>
      <c r="AQ217">
        <v>0</v>
      </c>
      <c r="AR217">
        <v>0</v>
      </c>
      <c r="AS217">
        <v>0</v>
      </c>
      <c r="AT217">
        <v>0</v>
      </c>
      <c r="AU217" s="30">
        <f t="shared" si="59"/>
        <v>36.8996</v>
      </c>
      <c r="AV217" s="17"/>
    </row>
    <row r="218" spans="1:48" x14ac:dyDescent="0.25">
      <c r="A218">
        <v>3</v>
      </c>
      <c r="B218" t="s">
        <v>16</v>
      </c>
      <c r="C218">
        <v>25920</v>
      </c>
      <c r="D218">
        <v>160</v>
      </c>
      <c r="E218">
        <v>4</v>
      </c>
      <c r="F218">
        <v>4</v>
      </c>
      <c r="G218">
        <v>331.93</v>
      </c>
      <c r="H218" s="17">
        <v>34.978999999999999</v>
      </c>
      <c r="I218" s="33">
        <v>45307</v>
      </c>
      <c r="J218" s="37">
        <v>0.5467129629629629</v>
      </c>
      <c r="K218">
        <v>0</v>
      </c>
      <c r="L218">
        <v>0</v>
      </c>
      <c r="M218">
        <v>0</v>
      </c>
      <c r="N218">
        <v>0</v>
      </c>
      <c r="O218">
        <v>0</v>
      </c>
      <c r="P218">
        <v>0</v>
      </c>
      <c r="Q218">
        <v>0</v>
      </c>
      <c r="R218">
        <v>0</v>
      </c>
      <c r="S218">
        <v>0</v>
      </c>
      <c r="T218">
        <v>0</v>
      </c>
      <c r="U218">
        <v>0</v>
      </c>
      <c r="V218">
        <v>0</v>
      </c>
      <c r="W218" s="30">
        <f>W217</f>
        <v>34.966799999999999</v>
      </c>
      <c r="X218" s="17"/>
      <c r="Y218">
        <v>3</v>
      </c>
      <c r="Z218" t="s">
        <v>16</v>
      </c>
      <c r="AA218">
        <v>25920</v>
      </c>
      <c r="AB218">
        <v>160</v>
      </c>
      <c r="AC218">
        <v>4</v>
      </c>
      <c r="AD218">
        <v>4</v>
      </c>
      <c r="AE218">
        <v>314.83</v>
      </c>
      <c r="AF218" s="17">
        <v>36.878</v>
      </c>
      <c r="AG218" s="33">
        <v>45307</v>
      </c>
      <c r="AH218" s="34">
        <v>0.58528935185185182</v>
      </c>
      <c r="AI218">
        <v>0</v>
      </c>
      <c r="AJ218">
        <v>0</v>
      </c>
      <c r="AK218">
        <v>0</v>
      </c>
      <c r="AL218">
        <v>0</v>
      </c>
      <c r="AM218">
        <v>0</v>
      </c>
      <c r="AN218">
        <v>0</v>
      </c>
      <c r="AO218">
        <v>0</v>
      </c>
      <c r="AP218">
        <v>0</v>
      </c>
      <c r="AQ218">
        <v>0</v>
      </c>
      <c r="AR218">
        <v>0</v>
      </c>
      <c r="AS218">
        <v>0</v>
      </c>
      <c r="AT218">
        <v>0</v>
      </c>
      <c r="AU218" s="30">
        <f t="shared" si="59"/>
        <v>36.8996</v>
      </c>
      <c r="AV218" s="17"/>
    </row>
    <row r="219" spans="1:48" x14ac:dyDescent="0.25">
      <c r="A219">
        <v>4</v>
      </c>
      <c r="B219" t="s">
        <v>16</v>
      </c>
      <c r="C219">
        <v>25920</v>
      </c>
      <c r="D219">
        <v>160</v>
      </c>
      <c r="E219">
        <v>4</v>
      </c>
      <c r="F219">
        <v>4</v>
      </c>
      <c r="G219">
        <v>332.03</v>
      </c>
      <c r="H219" s="17">
        <v>34.968000000000004</v>
      </c>
      <c r="I219" s="33">
        <v>45307</v>
      </c>
      <c r="J219" s="37">
        <v>0.88965277777777774</v>
      </c>
      <c r="K219">
        <v>0</v>
      </c>
      <c r="L219">
        <v>0</v>
      </c>
      <c r="M219">
        <v>0</v>
      </c>
      <c r="N219">
        <v>0</v>
      </c>
      <c r="O219">
        <v>0</v>
      </c>
      <c r="P219">
        <v>0</v>
      </c>
      <c r="Q219">
        <v>0</v>
      </c>
      <c r="R219">
        <v>0</v>
      </c>
      <c r="S219">
        <v>0</v>
      </c>
      <c r="T219">
        <v>0</v>
      </c>
      <c r="U219">
        <v>0</v>
      </c>
      <c r="V219">
        <v>0</v>
      </c>
      <c r="W219" s="30">
        <f>W218</f>
        <v>34.966799999999999</v>
      </c>
      <c r="X219" s="17"/>
      <c r="Y219">
        <v>4</v>
      </c>
      <c r="Z219" t="s">
        <v>16</v>
      </c>
      <c r="AA219">
        <v>25920</v>
      </c>
      <c r="AB219">
        <v>160</v>
      </c>
      <c r="AC219">
        <v>4</v>
      </c>
      <c r="AD219">
        <v>4</v>
      </c>
      <c r="AE219">
        <v>314.85000000000002</v>
      </c>
      <c r="AF219" s="17">
        <v>36.877000000000002</v>
      </c>
      <c r="AG219" s="33">
        <v>45307</v>
      </c>
      <c r="AH219" s="34">
        <v>0.49959490740740736</v>
      </c>
      <c r="AI219">
        <v>0</v>
      </c>
      <c r="AJ219">
        <v>0</v>
      </c>
      <c r="AK219">
        <v>0</v>
      </c>
      <c r="AL219">
        <v>0</v>
      </c>
      <c r="AM219">
        <v>0</v>
      </c>
      <c r="AN219">
        <v>0</v>
      </c>
      <c r="AO219">
        <v>0</v>
      </c>
      <c r="AP219">
        <v>0</v>
      </c>
      <c r="AQ219">
        <v>0</v>
      </c>
      <c r="AR219">
        <v>0</v>
      </c>
      <c r="AS219">
        <v>0</v>
      </c>
      <c r="AT219">
        <v>0</v>
      </c>
      <c r="AU219" s="30">
        <f t="shared" si="59"/>
        <v>36.8996</v>
      </c>
      <c r="AV219" s="17"/>
    </row>
    <row r="220" spans="1:48" x14ac:dyDescent="0.25">
      <c r="A220">
        <v>0</v>
      </c>
      <c r="B220" t="s">
        <v>16</v>
      </c>
      <c r="C220">
        <v>27520</v>
      </c>
      <c r="D220">
        <v>160</v>
      </c>
      <c r="E220">
        <v>4</v>
      </c>
      <c r="F220">
        <v>4</v>
      </c>
      <c r="G220">
        <v>387.32</v>
      </c>
      <c r="H220" s="17">
        <v>35.877000000000002</v>
      </c>
      <c r="I220" s="33">
        <v>45307</v>
      </c>
      <c r="J220" s="37">
        <v>0.49925925925925929</v>
      </c>
      <c r="K220">
        <v>0</v>
      </c>
      <c r="L220">
        <v>0</v>
      </c>
      <c r="M220">
        <v>0</v>
      </c>
      <c r="N220">
        <v>0</v>
      </c>
      <c r="O220">
        <v>0</v>
      </c>
      <c r="P220">
        <v>0</v>
      </c>
      <c r="Q220">
        <v>0</v>
      </c>
      <c r="R220">
        <v>0</v>
      </c>
      <c r="S220">
        <v>0</v>
      </c>
      <c r="T220">
        <v>0</v>
      </c>
      <c r="U220">
        <v>0</v>
      </c>
      <c r="V220">
        <v>0</v>
      </c>
      <c r="W220" s="30">
        <f>AVERAGE(H220:H224)</f>
        <v>35.873599999999996</v>
      </c>
      <c r="X220" s="17"/>
      <c r="Y220">
        <v>0</v>
      </c>
      <c r="Z220" t="s">
        <v>16</v>
      </c>
      <c r="AA220">
        <v>27520</v>
      </c>
      <c r="AB220">
        <v>160</v>
      </c>
      <c r="AC220">
        <v>4</v>
      </c>
      <c r="AD220">
        <v>4</v>
      </c>
      <c r="AE220">
        <v>368.97</v>
      </c>
      <c r="AF220" s="17">
        <v>37.661000000000001</v>
      </c>
      <c r="AG220" s="33">
        <v>45307</v>
      </c>
      <c r="AH220" s="34">
        <v>0.64020833333333338</v>
      </c>
      <c r="AI220">
        <v>0</v>
      </c>
      <c r="AJ220">
        <v>0</v>
      </c>
      <c r="AK220">
        <v>0</v>
      </c>
      <c r="AL220">
        <v>0</v>
      </c>
      <c r="AM220">
        <v>0</v>
      </c>
      <c r="AN220">
        <v>0</v>
      </c>
      <c r="AO220">
        <v>0</v>
      </c>
      <c r="AP220">
        <v>0</v>
      </c>
      <c r="AQ220">
        <v>0</v>
      </c>
      <c r="AR220">
        <v>0</v>
      </c>
      <c r="AS220">
        <v>0</v>
      </c>
      <c r="AT220">
        <v>914</v>
      </c>
      <c r="AU220" s="30">
        <f t="shared" ref="AU220" si="84">AVERAGE(AF220:AF224)</f>
        <v>37.693200000000004</v>
      </c>
      <c r="AV220" s="17"/>
    </row>
    <row r="221" spans="1:48" x14ac:dyDescent="0.25">
      <c r="A221">
        <v>1</v>
      </c>
      <c r="B221" t="s">
        <v>16</v>
      </c>
      <c r="C221">
        <v>27520</v>
      </c>
      <c r="D221">
        <v>160</v>
      </c>
      <c r="E221">
        <v>4</v>
      </c>
      <c r="F221">
        <v>4</v>
      </c>
      <c r="G221">
        <v>387.48</v>
      </c>
      <c r="H221" s="17">
        <v>35.863</v>
      </c>
      <c r="I221" s="33">
        <v>45307</v>
      </c>
      <c r="J221" s="37">
        <v>0.69708333333333339</v>
      </c>
      <c r="K221">
        <v>0</v>
      </c>
      <c r="L221">
        <v>0</v>
      </c>
      <c r="M221">
        <v>0</v>
      </c>
      <c r="N221">
        <v>0</v>
      </c>
      <c r="O221">
        <v>0</v>
      </c>
      <c r="P221">
        <v>0</v>
      </c>
      <c r="Q221">
        <v>0</v>
      </c>
      <c r="R221">
        <v>0</v>
      </c>
      <c r="S221">
        <v>0</v>
      </c>
      <c r="T221">
        <v>0</v>
      </c>
      <c r="U221">
        <v>0</v>
      </c>
      <c r="V221">
        <v>0</v>
      </c>
      <c r="W221" s="30">
        <f>W220</f>
        <v>35.873599999999996</v>
      </c>
      <c r="X221" s="17"/>
      <c r="Y221">
        <v>1</v>
      </c>
      <c r="Z221" t="s">
        <v>16</v>
      </c>
      <c r="AA221">
        <v>27520</v>
      </c>
      <c r="AB221">
        <v>160</v>
      </c>
      <c r="AC221">
        <v>4</v>
      </c>
      <c r="AD221">
        <v>4</v>
      </c>
      <c r="AE221">
        <v>368.8</v>
      </c>
      <c r="AF221" s="17">
        <v>37.679000000000002</v>
      </c>
      <c r="AG221" s="33">
        <v>45307</v>
      </c>
      <c r="AH221" s="34">
        <v>0.72189814814814823</v>
      </c>
      <c r="AI221">
        <v>0</v>
      </c>
      <c r="AJ221">
        <v>0</v>
      </c>
      <c r="AK221">
        <v>0</v>
      </c>
      <c r="AL221">
        <v>0</v>
      </c>
      <c r="AM221">
        <v>0</v>
      </c>
      <c r="AN221">
        <v>0</v>
      </c>
      <c r="AO221">
        <v>0</v>
      </c>
      <c r="AP221">
        <v>0</v>
      </c>
      <c r="AQ221">
        <v>0</v>
      </c>
      <c r="AR221">
        <v>0</v>
      </c>
      <c r="AS221">
        <v>0</v>
      </c>
      <c r="AT221">
        <v>0</v>
      </c>
      <c r="AU221" s="30">
        <f t="shared" ref="AU221" si="85">AU220</f>
        <v>37.693200000000004</v>
      </c>
      <c r="AV221" s="17"/>
    </row>
    <row r="222" spans="1:48" x14ac:dyDescent="0.25">
      <c r="A222">
        <v>2</v>
      </c>
      <c r="B222" t="s">
        <v>16</v>
      </c>
      <c r="C222">
        <v>27520</v>
      </c>
      <c r="D222">
        <v>160</v>
      </c>
      <c r="E222">
        <v>4</v>
      </c>
      <c r="F222">
        <v>4</v>
      </c>
      <c r="G222">
        <v>387.3</v>
      </c>
      <c r="H222" s="17">
        <v>35.878999999999998</v>
      </c>
      <c r="I222" s="33">
        <v>45308</v>
      </c>
      <c r="J222" s="37">
        <v>3.7743055555555557E-2</v>
      </c>
      <c r="K222">
        <v>0</v>
      </c>
      <c r="L222">
        <v>0</v>
      </c>
      <c r="M222">
        <v>0</v>
      </c>
      <c r="N222">
        <v>0</v>
      </c>
      <c r="O222">
        <v>0</v>
      </c>
      <c r="P222">
        <v>0</v>
      </c>
      <c r="Q222">
        <v>0</v>
      </c>
      <c r="R222">
        <v>0</v>
      </c>
      <c r="S222">
        <v>0</v>
      </c>
      <c r="T222">
        <v>0</v>
      </c>
      <c r="U222">
        <v>0</v>
      </c>
      <c r="V222">
        <v>0</v>
      </c>
      <c r="W222" s="30">
        <f>W221</f>
        <v>35.873599999999996</v>
      </c>
      <c r="X222" s="17"/>
      <c r="Y222">
        <v>2</v>
      </c>
      <c r="Z222" t="s">
        <v>16</v>
      </c>
      <c r="AA222">
        <v>27520</v>
      </c>
      <c r="AB222">
        <v>160</v>
      </c>
      <c r="AC222">
        <v>4</v>
      </c>
      <c r="AD222">
        <v>4</v>
      </c>
      <c r="AE222">
        <v>368.32</v>
      </c>
      <c r="AF222" s="17">
        <v>37.728000000000002</v>
      </c>
      <c r="AG222" s="33">
        <v>45307</v>
      </c>
      <c r="AH222" s="34">
        <v>0.56204861111111104</v>
      </c>
      <c r="AI222">
        <v>0</v>
      </c>
      <c r="AJ222">
        <v>0</v>
      </c>
      <c r="AK222">
        <v>0</v>
      </c>
      <c r="AL222">
        <v>0</v>
      </c>
      <c r="AM222">
        <v>0</v>
      </c>
      <c r="AN222">
        <v>0</v>
      </c>
      <c r="AO222">
        <v>0</v>
      </c>
      <c r="AP222">
        <v>0</v>
      </c>
      <c r="AQ222">
        <v>0</v>
      </c>
      <c r="AR222">
        <v>0</v>
      </c>
      <c r="AS222">
        <v>0</v>
      </c>
      <c r="AT222">
        <v>0</v>
      </c>
      <c r="AU222" s="30">
        <f t="shared" si="61"/>
        <v>37.693200000000004</v>
      </c>
      <c r="AV222" s="17"/>
    </row>
    <row r="223" spans="1:48" x14ac:dyDescent="0.25">
      <c r="A223">
        <v>3</v>
      </c>
      <c r="B223" t="s">
        <v>16</v>
      </c>
      <c r="C223">
        <v>27520</v>
      </c>
      <c r="D223">
        <v>160</v>
      </c>
      <c r="E223">
        <v>4</v>
      </c>
      <c r="F223">
        <v>4</v>
      </c>
      <c r="G223">
        <v>387.1</v>
      </c>
      <c r="H223" s="17">
        <v>35.898000000000003</v>
      </c>
      <c r="I223" s="33">
        <v>45308</v>
      </c>
      <c r="J223" s="37">
        <v>0.38083333333333336</v>
      </c>
      <c r="K223">
        <v>0</v>
      </c>
      <c r="L223">
        <v>0</v>
      </c>
      <c r="M223">
        <v>0</v>
      </c>
      <c r="N223">
        <v>0</v>
      </c>
      <c r="O223">
        <v>0</v>
      </c>
      <c r="P223">
        <v>0</v>
      </c>
      <c r="Q223">
        <v>0</v>
      </c>
      <c r="R223">
        <v>0</v>
      </c>
      <c r="S223">
        <v>0</v>
      </c>
      <c r="T223">
        <v>0</v>
      </c>
      <c r="U223">
        <v>0</v>
      </c>
      <c r="V223">
        <v>0</v>
      </c>
      <c r="W223" s="30">
        <f>W222</f>
        <v>35.873599999999996</v>
      </c>
      <c r="X223" s="17"/>
      <c r="Y223">
        <v>3</v>
      </c>
      <c r="Z223" t="s">
        <v>16</v>
      </c>
      <c r="AA223">
        <v>27520</v>
      </c>
      <c r="AB223">
        <v>160</v>
      </c>
      <c r="AC223">
        <v>4</v>
      </c>
      <c r="AD223">
        <v>4</v>
      </c>
      <c r="AE223">
        <v>368.32</v>
      </c>
      <c r="AF223" s="17">
        <v>37.728000000000002</v>
      </c>
      <c r="AG223" s="33">
        <v>45307</v>
      </c>
      <c r="AH223" s="34">
        <v>0.5001620370370371</v>
      </c>
      <c r="AI223">
        <v>0</v>
      </c>
      <c r="AJ223">
        <v>0</v>
      </c>
      <c r="AK223">
        <v>0</v>
      </c>
      <c r="AL223">
        <v>0</v>
      </c>
      <c r="AM223">
        <v>0</v>
      </c>
      <c r="AN223">
        <v>0</v>
      </c>
      <c r="AO223">
        <v>0</v>
      </c>
      <c r="AP223">
        <v>0</v>
      </c>
      <c r="AQ223">
        <v>0</v>
      </c>
      <c r="AR223">
        <v>0</v>
      </c>
      <c r="AS223">
        <v>0</v>
      </c>
      <c r="AT223">
        <v>0</v>
      </c>
      <c r="AU223" s="30">
        <f t="shared" si="61"/>
        <v>37.693200000000004</v>
      </c>
      <c r="AV223" s="17"/>
    </row>
    <row r="224" spans="1:48" x14ac:dyDescent="0.25">
      <c r="A224">
        <v>4</v>
      </c>
      <c r="B224" t="s">
        <v>16</v>
      </c>
      <c r="C224">
        <v>27520</v>
      </c>
      <c r="D224">
        <v>160</v>
      </c>
      <c r="E224">
        <v>4</v>
      </c>
      <c r="F224">
        <v>4</v>
      </c>
      <c r="G224">
        <v>387.6</v>
      </c>
      <c r="H224" s="17">
        <v>35.850999999999999</v>
      </c>
      <c r="I224" s="33">
        <v>45307</v>
      </c>
      <c r="J224" s="37">
        <v>0.77807870370370369</v>
      </c>
      <c r="K224">
        <v>0</v>
      </c>
      <c r="L224">
        <v>0</v>
      </c>
      <c r="M224">
        <v>0</v>
      </c>
      <c r="N224">
        <v>0</v>
      </c>
      <c r="O224">
        <v>0</v>
      </c>
      <c r="P224">
        <v>0</v>
      </c>
      <c r="Q224">
        <v>0</v>
      </c>
      <c r="R224">
        <v>0</v>
      </c>
      <c r="S224">
        <v>0</v>
      </c>
      <c r="T224">
        <v>0</v>
      </c>
      <c r="U224">
        <v>0</v>
      </c>
      <c r="V224">
        <v>0</v>
      </c>
      <c r="W224" s="30">
        <f>W223</f>
        <v>35.873599999999996</v>
      </c>
      <c r="X224" s="17"/>
      <c r="Y224">
        <v>4</v>
      </c>
      <c r="Z224" t="s">
        <v>16</v>
      </c>
      <c r="AA224">
        <v>27520</v>
      </c>
      <c r="AB224">
        <v>160</v>
      </c>
      <c r="AC224">
        <v>4</v>
      </c>
      <c r="AD224">
        <v>4</v>
      </c>
      <c r="AE224">
        <v>368.89</v>
      </c>
      <c r="AF224" s="17">
        <v>37.67</v>
      </c>
      <c r="AG224" s="33">
        <v>45307</v>
      </c>
      <c r="AH224" s="34">
        <v>0.76331018518518512</v>
      </c>
      <c r="AI224">
        <v>0</v>
      </c>
      <c r="AJ224">
        <v>0</v>
      </c>
      <c r="AK224">
        <v>0</v>
      </c>
      <c r="AL224">
        <v>0</v>
      </c>
      <c r="AM224">
        <v>0</v>
      </c>
      <c r="AN224">
        <v>0</v>
      </c>
      <c r="AO224">
        <v>0</v>
      </c>
      <c r="AP224">
        <v>0</v>
      </c>
      <c r="AQ224">
        <v>0</v>
      </c>
      <c r="AR224">
        <v>0</v>
      </c>
      <c r="AS224">
        <v>0</v>
      </c>
      <c r="AT224">
        <v>0</v>
      </c>
      <c r="AU224" s="30">
        <f t="shared" si="61"/>
        <v>37.693200000000004</v>
      </c>
      <c r="AV224" s="17"/>
    </row>
    <row r="225" spans="1:48" x14ac:dyDescent="0.25">
      <c r="A225">
        <v>0</v>
      </c>
      <c r="B225" t="s">
        <v>16</v>
      </c>
      <c r="C225">
        <v>28960</v>
      </c>
      <c r="D225">
        <v>160</v>
      </c>
      <c r="E225">
        <v>4</v>
      </c>
      <c r="F225">
        <v>4</v>
      </c>
      <c r="G225">
        <v>445.23</v>
      </c>
      <c r="H225" s="17">
        <v>36.371000000000002</v>
      </c>
      <c r="I225" s="33">
        <v>45307</v>
      </c>
      <c r="J225" s="37">
        <v>0.5665972222222222</v>
      </c>
      <c r="K225">
        <v>0</v>
      </c>
      <c r="L225">
        <v>0</v>
      </c>
      <c r="M225">
        <v>0</v>
      </c>
      <c r="N225">
        <v>0</v>
      </c>
      <c r="O225">
        <v>0</v>
      </c>
      <c r="P225">
        <v>0</v>
      </c>
      <c r="Q225">
        <v>0</v>
      </c>
      <c r="R225">
        <v>0</v>
      </c>
      <c r="S225">
        <v>0</v>
      </c>
      <c r="T225">
        <v>0</v>
      </c>
      <c r="U225">
        <v>0</v>
      </c>
      <c r="V225">
        <v>0</v>
      </c>
      <c r="W225" s="30">
        <f>AVERAGE(H225:H229)</f>
        <v>36.363999999999997</v>
      </c>
      <c r="X225" s="17"/>
      <c r="Y225">
        <v>0</v>
      </c>
      <c r="Z225" t="s">
        <v>16</v>
      </c>
      <c r="AA225">
        <v>28960</v>
      </c>
      <c r="AB225">
        <v>160</v>
      </c>
      <c r="AC225">
        <v>4</v>
      </c>
      <c r="AD225">
        <v>4</v>
      </c>
      <c r="AE225">
        <v>423.22</v>
      </c>
      <c r="AF225" s="17">
        <v>38.262999999999998</v>
      </c>
      <c r="AG225" s="33">
        <v>45307</v>
      </c>
      <c r="AH225" s="34">
        <v>0.62302083333333336</v>
      </c>
      <c r="AI225">
        <v>0</v>
      </c>
      <c r="AJ225">
        <v>0</v>
      </c>
      <c r="AK225">
        <v>0</v>
      </c>
      <c r="AL225">
        <v>0</v>
      </c>
      <c r="AM225">
        <v>0</v>
      </c>
      <c r="AN225">
        <v>0</v>
      </c>
      <c r="AO225">
        <v>0</v>
      </c>
      <c r="AP225">
        <v>0</v>
      </c>
      <c r="AQ225">
        <v>0</v>
      </c>
      <c r="AR225">
        <v>0</v>
      </c>
      <c r="AS225">
        <v>0</v>
      </c>
      <c r="AT225">
        <v>0</v>
      </c>
      <c r="AU225" s="30">
        <f t="shared" ref="AU225" si="86">AVERAGE(AF225:AF229)</f>
        <v>38.257999999999996</v>
      </c>
      <c r="AV225" s="17"/>
    </row>
    <row r="226" spans="1:48" x14ac:dyDescent="0.25">
      <c r="A226">
        <v>1</v>
      </c>
      <c r="B226" t="s">
        <v>16</v>
      </c>
      <c r="C226">
        <v>28960</v>
      </c>
      <c r="D226">
        <v>160</v>
      </c>
      <c r="E226">
        <v>4</v>
      </c>
      <c r="F226">
        <v>4</v>
      </c>
      <c r="G226">
        <v>445.35</v>
      </c>
      <c r="H226" s="17">
        <v>36.360999999999997</v>
      </c>
      <c r="I226" s="33">
        <v>45307</v>
      </c>
      <c r="J226" s="37">
        <v>0.90927083333333336</v>
      </c>
      <c r="K226">
        <v>0</v>
      </c>
      <c r="L226">
        <v>0</v>
      </c>
      <c r="M226">
        <v>0</v>
      </c>
      <c r="N226">
        <v>0</v>
      </c>
      <c r="O226">
        <v>0</v>
      </c>
      <c r="P226">
        <v>0</v>
      </c>
      <c r="Q226">
        <v>0</v>
      </c>
      <c r="R226">
        <v>0</v>
      </c>
      <c r="S226">
        <v>0</v>
      </c>
      <c r="T226">
        <v>0</v>
      </c>
      <c r="U226">
        <v>0</v>
      </c>
      <c r="V226">
        <v>0</v>
      </c>
      <c r="W226" s="30">
        <f>W225</f>
        <v>36.363999999999997</v>
      </c>
      <c r="X226" s="17"/>
      <c r="Y226">
        <v>1</v>
      </c>
      <c r="Z226" t="s">
        <v>16</v>
      </c>
      <c r="AA226">
        <v>28960</v>
      </c>
      <c r="AB226">
        <v>160</v>
      </c>
      <c r="AC226">
        <v>4</v>
      </c>
      <c r="AD226">
        <v>4</v>
      </c>
      <c r="AE226">
        <v>423.31</v>
      </c>
      <c r="AF226" s="17">
        <v>38.253999999999998</v>
      </c>
      <c r="AG226" s="33">
        <v>45307</v>
      </c>
      <c r="AH226" s="34">
        <v>0.5727430555555556</v>
      </c>
      <c r="AI226">
        <v>0</v>
      </c>
      <c r="AJ226">
        <v>0</v>
      </c>
      <c r="AK226">
        <v>0</v>
      </c>
      <c r="AL226">
        <v>0</v>
      </c>
      <c r="AM226">
        <v>0</v>
      </c>
      <c r="AN226">
        <v>0</v>
      </c>
      <c r="AO226">
        <v>0</v>
      </c>
      <c r="AP226">
        <v>0</v>
      </c>
      <c r="AQ226">
        <v>0</v>
      </c>
      <c r="AR226">
        <v>0</v>
      </c>
      <c r="AS226">
        <v>0</v>
      </c>
      <c r="AT226">
        <v>0</v>
      </c>
      <c r="AU226" s="30">
        <f t="shared" ref="AU226:AU269" si="87">AU225</f>
        <v>38.257999999999996</v>
      </c>
      <c r="AV226" s="17"/>
    </row>
    <row r="227" spans="1:48" x14ac:dyDescent="0.25">
      <c r="A227">
        <v>2</v>
      </c>
      <c r="B227" t="s">
        <v>16</v>
      </c>
      <c r="C227">
        <v>28960</v>
      </c>
      <c r="D227">
        <v>160</v>
      </c>
      <c r="E227">
        <v>4</v>
      </c>
      <c r="F227">
        <v>4</v>
      </c>
      <c r="G227">
        <v>444.99</v>
      </c>
      <c r="H227" s="17">
        <v>36.39</v>
      </c>
      <c r="I227" s="33">
        <v>45308</v>
      </c>
      <c r="J227" s="37">
        <v>0.24991898148148148</v>
      </c>
      <c r="K227">
        <v>0</v>
      </c>
      <c r="L227">
        <v>0</v>
      </c>
      <c r="M227">
        <v>0</v>
      </c>
      <c r="N227">
        <v>0</v>
      </c>
      <c r="O227">
        <v>0</v>
      </c>
      <c r="P227">
        <v>0</v>
      </c>
      <c r="Q227">
        <v>0</v>
      </c>
      <c r="R227">
        <v>0</v>
      </c>
      <c r="S227">
        <v>0</v>
      </c>
      <c r="T227">
        <v>0</v>
      </c>
      <c r="U227">
        <v>0</v>
      </c>
      <c r="V227">
        <v>0</v>
      </c>
      <c r="W227" s="30">
        <f>W226</f>
        <v>36.363999999999997</v>
      </c>
      <c r="X227" s="17"/>
      <c r="Y227">
        <v>2</v>
      </c>
      <c r="Z227" t="s">
        <v>16</v>
      </c>
      <c r="AA227">
        <v>28960</v>
      </c>
      <c r="AB227">
        <v>160</v>
      </c>
      <c r="AC227">
        <v>4</v>
      </c>
      <c r="AD227">
        <v>4</v>
      </c>
      <c r="AE227">
        <v>423.3</v>
      </c>
      <c r="AF227" s="17">
        <v>38.255000000000003</v>
      </c>
      <c r="AG227" s="33">
        <v>45307</v>
      </c>
      <c r="AH227" s="34">
        <v>0.72633101851851845</v>
      </c>
      <c r="AI227">
        <v>0</v>
      </c>
      <c r="AJ227">
        <v>0</v>
      </c>
      <c r="AK227">
        <v>0</v>
      </c>
      <c r="AL227">
        <v>0</v>
      </c>
      <c r="AM227">
        <v>0</v>
      </c>
      <c r="AN227">
        <v>0</v>
      </c>
      <c r="AO227">
        <v>0</v>
      </c>
      <c r="AP227">
        <v>0</v>
      </c>
      <c r="AQ227">
        <v>0</v>
      </c>
      <c r="AR227">
        <v>0</v>
      </c>
      <c r="AS227">
        <v>0</v>
      </c>
      <c r="AT227">
        <v>0</v>
      </c>
      <c r="AU227" s="30">
        <f t="shared" si="87"/>
        <v>38.257999999999996</v>
      </c>
      <c r="AV227" s="17"/>
    </row>
    <row r="228" spans="1:48" x14ac:dyDescent="0.25">
      <c r="A228">
        <v>3</v>
      </c>
      <c r="B228" t="s">
        <v>16</v>
      </c>
      <c r="C228">
        <v>28960</v>
      </c>
      <c r="D228">
        <v>160</v>
      </c>
      <c r="E228">
        <v>4</v>
      </c>
      <c r="F228">
        <v>4</v>
      </c>
      <c r="G228">
        <v>445.65</v>
      </c>
      <c r="H228" s="17">
        <v>36.337000000000003</v>
      </c>
      <c r="I228" s="33">
        <v>45307</v>
      </c>
      <c r="J228" s="37">
        <v>0.64746527777777774</v>
      </c>
      <c r="K228">
        <v>0</v>
      </c>
      <c r="L228">
        <v>0</v>
      </c>
      <c r="M228">
        <v>0</v>
      </c>
      <c r="N228">
        <v>0</v>
      </c>
      <c r="O228">
        <v>0</v>
      </c>
      <c r="P228">
        <v>0</v>
      </c>
      <c r="Q228">
        <v>0</v>
      </c>
      <c r="R228">
        <v>0</v>
      </c>
      <c r="S228">
        <v>0</v>
      </c>
      <c r="T228">
        <v>0</v>
      </c>
      <c r="U228">
        <v>0</v>
      </c>
      <c r="V228">
        <v>0</v>
      </c>
      <c r="W228" s="30">
        <f>W227</f>
        <v>36.363999999999997</v>
      </c>
      <c r="X228" s="17"/>
      <c r="Y228">
        <v>3</v>
      </c>
      <c r="Z228" t="s">
        <v>16</v>
      </c>
      <c r="AA228">
        <v>28960</v>
      </c>
      <c r="AB228">
        <v>160</v>
      </c>
      <c r="AC228">
        <v>4</v>
      </c>
      <c r="AD228">
        <v>4</v>
      </c>
      <c r="AE228">
        <v>423.43</v>
      </c>
      <c r="AF228" s="17">
        <v>38.243000000000002</v>
      </c>
      <c r="AG228" s="33">
        <v>45307</v>
      </c>
      <c r="AH228" s="34">
        <v>0.66443287037037035</v>
      </c>
      <c r="AI228">
        <v>0</v>
      </c>
      <c r="AJ228">
        <v>0</v>
      </c>
      <c r="AK228">
        <v>0</v>
      </c>
      <c r="AL228">
        <v>0</v>
      </c>
      <c r="AM228">
        <v>0</v>
      </c>
      <c r="AN228">
        <v>0</v>
      </c>
      <c r="AO228">
        <v>0</v>
      </c>
      <c r="AP228">
        <v>0</v>
      </c>
      <c r="AQ228">
        <v>0</v>
      </c>
      <c r="AR228">
        <v>0</v>
      </c>
      <c r="AS228">
        <v>0</v>
      </c>
      <c r="AT228">
        <v>0</v>
      </c>
      <c r="AU228" s="30">
        <f t="shared" si="87"/>
        <v>38.257999999999996</v>
      </c>
      <c r="AV228" s="17"/>
    </row>
    <row r="229" spans="1:48" x14ac:dyDescent="0.25">
      <c r="A229">
        <v>4</v>
      </c>
      <c r="B229" t="s">
        <v>16</v>
      </c>
      <c r="C229">
        <v>28960</v>
      </c>
      <c r="D229">
        <v>160</v>
      </c>
      <c r="E229">
        <v>4</v>
      </c>
      <c r="F229">
        <v>4</v>
      </c>
      <c r="G229">
        <v>445.35</v>
      </c>
      <c r="H229" s="17">
        <v>36.360999999999997</v>
      </c>
      <c r="I229" s="33">
        <v>45307</v>
      </c>
      <c r="J229" s="37">
        <v>0.99023148148148143</v>
      </c>
      <c r="K229">
        <v>0</v>
      </c>
      <c r="L229">
        <v>0</v>
      </c>
      <c r="M229">
        <v>0</v>
      </c>
      <c r="N229">
        <v>0</v>
      </c>
      <c r="O229">
        <v>0</v>
      </c>
      <c r="P229">
        <v>0</v>
      </c>
      <c r="Q229">
        <v>0</v>
      </c>
      <c r="R229">
        <v>0</v>
      </c>
      <c r="S229">
        <v>0</v>
      </c>
      <c r="T229">
        <v>0</v>
      </c>
      <c r="U229">
        <v>0</v>
      </c>
      <c r="V229">
        <v>0</v>
      </c>
      <c r="W229" s="30">
        <f>W228</f>
        <v>36.363999999999997</v>
      </c>
      <c r="X229" s="17"/>
      <c r="Y229">
        <v>4</v>
      </c>
      <c r="Z229" t="s">
        <v>16</v>
      </c>
      <c r="AA229">
        <v>28960</v>
      </c>
      <c r="AB229">
        <v>160</v>
      </c>
      <c r="AC229">
        <v>4</v>
      </c>
      <c r="AD229">
        <v>4</v>
      </c>
      <c r="AE229">
        <v>423.08</v>
      </c>
      <c r="AF229" s="17">
        <v>38.274999999999999</v>
      </c>
      <c r="AG229" s="33">
        <v>45307</v>
      </c>
      <c r="AH229" s="34">
        <v>0.53940972222222217</v>
      </c>
      <c r="AI229">
        <v>0</v>
      </c>
      <c r="AJ229">
        <v>0</v>
      </c>
      <c r="AK229">
        <v>0</v>
      </c>
      <c r="AL229">
        <v>0</v>
      </c>
      <c r="AM229">
        <v>0</v>
      </c>
      <c r="AN229">
        <v>0</v>
      </c>
      <c r="AO229">
        <v>0</v>
      </c>
      <c r="AP229">
        <v>0</v>
      </c>
      <c r="AQ229">
        <v>0</v>
      </c>
      <c r="AR229">
        <v>0</v>
      </c>
      <c r="AS229">
        <v>0</v>
      </c>
      <c r="AT229">
        <v>0</v>
      </c>
      <c r="AU229" s="30">
        <f t="shared" si="87"/>
        <v>38.257999999999996</v>
      </c>
      <c r="AV229" s="17"/>
    </row>
    <row r="230" spans="1:48" x14ac:dyDescent="0.25">
      <c r="A230">
        <v>0</v>
      </c>
      <c r="B230" t="s">
        <v>16</v>
      </c>
      <c r="C230">
        <v>25920</v>
      </c>
      <c r="D230">
        <v>192</v>
      </c>
      <c r="E230">
        <v>1</v>
      </c>
      <c r="F230">
        <v>16</v>
      </c>
      <c r="G230">
        <v>333.9</v>
      </c>
      <c r="H230" s="17">
        <v>34.773000000000003</v>
      </c>
      <c r="I230" s="33">
        <v>45307</v>
      </c>
      <c r="J230" s="37">
        <v>0.61565972222222221</v>
      </c>
      <c r="K230">
        <v>0</v>
      </c>
      <c r="L230">
        <v>0</v>
      </c>
      <c r="M230">
        <v>0</v>
      </c>
      <c r="N230">
        <v>0</v>
      </c>
      <c r="O230">
        <v>0</v>
      </c>
      <c r="P230">
        <v>0</v>
      </c>
      <c r="Q230">
        <v>0</v>
      </c>
      <c r="R230">
        <v>0</v>
      </c>
      <c r="S230">
        <v>0</v>
      </c>
      <c r="T230">
        <v>0</v>
      </c>
      <c r="U230">
        <v>0</v>
      </c>
      <c r="V230">
        <v>0</v>
      </c>
      <c r="W230" s="30">
        <f>AVERAGE(H230:H234)</f>
        <v>34.786000000000001</v>
      </c>
      <c r="X230" s="17"/>
      <c r="Y230">
        <v>0</v>
      </c>
      <c r="Z230" t="s">
        <v>16</v>
      </c>
      <c r="AA230">
        <v>25920</v>
      </c>
      <c r="AB230">
        <v>192</v>
      </c>
      <c r="AC230">
        <v>1</v>
      </c>
      <c r="AD230">
        <v>16</v>
      </c>
      <c r="AE230">
        <v>309.14999999999998</v>
      </c>
      <c r="AF230" s="17">
        <v>37.555999999999997</v>
      </c>
      <c r="AG230" s="33">
        <v>45307</v>
      </c>
      <c r="AH230" s="34">
        <v>0.54803240740740744</v>
      </c>
      <c r="AI230">
        <v>0</v>
      </c>
      <c r="AJ230">
        <v>0</v>
      </c>
      <c r="AK230">
        <v>0</v>
      </c>
      <c r="AL230">
        <v>0</v>
      </c>
      <c r="AM230">
        <v>0</v>
      </c>
      <c r="AN230">
        <v>0</v>
      </c>
      <c r="AO230">
        <v>0</v>
      </c>
      <c r="AP230">
        <v>0</v>
      </c>
      <c r="AQ230">
        <v>0</v>
      </c>
      <c r="AR230">
        <v>0</v>
      </c>
      <c r="AS230">
        <v>0</v>
      </c>
      <c r="AT230">
        <v>0</v>
      </c>
      <c r="AU230" s="30">
        <f t="shared" ref="AU230" si="88">AVERAGE(AF230:AF234)</f>
        <v>37.541200000000003</v>
      </c>
      <c r="AV230" s="17"/>
    </row>
    <row r="231" spans="1:48" x14ac:dyDescent="0.25">
      <c r="A231">
        <v>1</v>
      </c>
      <c r="B231" t="s">
        <v>16</v>
      </c>
      <c r="C231">
        <v>25920</v>
      </c>
      <c r="D231">
        <v>192</v>
      </c>
      <c r="E231">
        <v>1</v>
      </c>
      <c r="F231">
        <v>16</v>
      </c>
      <c r="G231">
        <v>333.76</v>
      </c>
      <c r="H231" s="17">
        <v>34.786999999999999</v>
      </c>
      <c r="I231" s="33">
        <v>45307</v>
      </c>
      <c r="J231" s="37">
        <v>0.81273148148148155</v>
      </c>
      <c r="K231">
        <v>0</v>
      </c>
      <c r="L231">
        <v>0</v>
      </c>
      <c r="M231">
        <v>0</v>
      </c>
      <c r="N231">
        <v>0</v>
      </c>
      <c r="O231">
        <v>0</v>
      </c>
      <c r="P231">
        <v>0</v>
      </c>
      <c r="Q231">
        <v>0</v>
      </c>
      <c r="R231">
        <v>0</v>
      </c>
      <c r="S231">
        <v>0</v>
      </c>
      <c r="T231">
        <v>0</v>
      </c>
      <c r="U231">
        <v>0</v>
      </c>
      <c r="V231">
        <v>0</v>
      </c>
      <c r="W231" s="30">
        <f>W230</f>
        <v>34.786000000000001</v>
      </c>
      <c r="X231" s="17"/>
      <c r="Y231">
        <v>1</v>
      </c>
      <c r="Z231" t="s">
        <v>16</v>
      </c>
      <c r="AA231">
        <v>25920</v>
      </c>
      <c r="AB231">
        <v>192</v>
      </c>
      <c r="AC231">
        <v>1</v>
      </c>
      <c r="AD231">
        <v>16</v>
      </c>
      <c r="AE231">
        <v>309.23</v>
      </c>
      <c r="AF231" s="17">
        <v>37.545999999999999</v>
      </c>
      <c r="AG231" s="33">
        <v>45307</v>
      </c>
      <c r="AH231" s="34">
        <v>0.49763888888888891</v>
      </c>
      <c r="AI231">
        <v>0</v>
      </c>
      <c r="AJ231">
        <v>0</v>
      </c>
      <c r="AK231">
        <v>0</v>
      </c>
      <c r="AL231">
        <v>0</v>
      </c>
      <c r="AM231">
        <v>0</v>
      </c>
      <c r="AN231">
        <v>0</v>
      </c>
      <c r="AO231">
        <v>0</v>
      </c>
      <c r="AP231">
        <v>0</v>
      </c>
      <c r="AQ231">
        <v>0</v>
      </c>
      <c r="AR231">
        <v>0</v>
      </c>
      <c r="AS231">
        <v>0</v>
      </c>
      <c r="AT231">
        <v>0</v>
      </c>
      <c r="AU231" s="30">
        <f t="shared" ref="AU231:AU294" si="89">AU230</f>
        <v>37.541200000000003</v>
      </c>
      <c r="AV231" s="17"/>
    </row>
    <row r="232" spans="1:48" x14ac:dyDescent="0.25">
      <c r="A232">
        <v>2</v>
      </c>
      <c r="B232" t="s">
        <v>16</v>
      </c>
      <c r="C232">
        <v>25920</v>
      </c>
      <c r="D232">
        <v>192</v>
      </c>
      <c r="E232">
        <v>1</v>
      </c>
      <c r="F232">
        <v>16</v>
      </c>
      <c r="G232">
        <v>333.88</v>
      </c>
      <c r="H232" s="17">
        <v>34.774999999999999</v>
      </c>
      <c r="I232" s="33">
        <v>45308</v>
      </c>
      <c r="J232" s="37">
        <v>0.15334490740740742</v>
      </c>
      <c r="K232">
        <v>0</v>
      </c>
      <c r="L232">
        <v>0</v>
      </c>
      <c r="M232">
        <v>0</v>
      </c>
      <c r="N232">
        <v>0</v>
      </c>
      <c r="O232">
        <v>0</v>
      </c>
      <c r="P232">
        <v>0</v>
      </c>
      <c r="Q232">
        <v>0</v>
      </c>
      <c r="R232">
        <v>0</v>
      </c>
      <c r="S232">
        <v>0</v>
      </c>
      <c r="T232">
        <v>0</v>
      </c>
      <c r="U232">
        <v>0</v>
      </c>
      <c r="V232">
        <v>0</v>
      </c>
      <c r="W232" s="30">
        <f>W231</f>
        <v>34.786000000000001</v>
      </c>
      <c r="X232" s="17"/>
      <c r="Y232">
        <v>2</v>
      </c>
      <c r="Z232" t="s">
        <v>16</v>
      </c>
      <c r="AA232">
        <v>25920</v>
      </c>
      <c r="AB232">
        <v>192</v>
      </c>
      <c r="AC232">
        <v>1</v>
      </c>
      <c r="AD232">
        <v>16</v>
      </c>
      <c r="AE232">
        <v>309.42</v>
      </c>
      <c r="AF232" s="17">
        <v>37.523000000000003</v>
      </c>
      <c r="AG232" s="33">
        <v>45307</v>
      </c>
      <c r="AH232" s="34">
        <v>0.65138888888888891</v>
      </c>
      <c r="AI232">
        <v>0</v>
      </c>
      <c r="AJ232">
        <v>0</v>
      </c>
      <c r="AK232">
        <v>0</v>
      </c>
      <c r="AL232">
        <v>0</v>
      </c>
      <c r="AM232">
        <v>0</v>
      </c>
      <c r="AN232">
        <v>0</v>
      </c>
      <c r="AO232">
        <v>0</v>
      </c>
      <c r="AP232">
        <v>0</v>
      </c>
      <c r="AQ232">
        <v>0</v>
      </c>
      <c r="AR232">
        <v>0</v>
      </c>
      <c r="AS232">
        <v>0</v>
      </c>
      <c r="AT232">
        <v>0</v>
      </c>
      <c r="AU232" s="30">
        <f t="shared" si="89"/>
        <v>37.541200000000003</v>
      </c>
      <c r="AV232" s="17"/>
    </row>
    <row r="233" spans="1:48" x14ac:dyDescent="0.25">
      <c r="A233">
        <v>3</v>
      </c>
      <c r="B233" t="s">
        <v>16</v>
      </c>
      <c r="C233">
        <v>25920</v>
      </c>
      <c r="D233">
        <v>192</v>
      </c>
      <c r="E233">
        <v>1</v>
      </c>
      <c r="F233">
        <v>16</v>
      </c>
      <c r="G233">
        <v>333.64</v>
      </c>
      <c r="H233" s="17">
        <v>34.798999999999999</v>
      </c>
      <c r="I233" s="33">
        <v>45307</v>
      </c>
      <c r="J233" s="37">
        <v>0.55077546296296298</v>
      </c>
      <c r="K233">
        <v>0</v>
      </c>
      <c r="L233">
        <v>0</v>
      </c>
      <c r="M233">
        <v>0</v>
      </c>
      <c r="N233">
        <v>0</v>
      </c>
      <c r="O233">
        <v>0</v>
      </c>
      <c r="P233">
        <v>0</v>
      </c>
      <c r="Q233">
        <v>0</v>
      </c>
      <c r="R233">
        <v>0</v>
      </c>
      <c r="S233">
        <v>0</v>
      </c>
      <c r="T233">
        <v>0</v>
      </c>
      <c r="U233">
        <v>0</v>
      </c>
      <c r="V233">
        <v>0</v>
      </c>
      <c r="W233" s="30">
        <f>W232</f>
        <v>34.786000000000001</v>
      </c>
      <c r="X233" s="17"/>
      <c r="Y233">
        <v>3</v>
      </c>
      <c r="Z233" t="s">
        <v>16</v>
      </c>
      <c r="AA233">
        <v>25920</v>
      </c>
      <c r="AB233">
        <v>192</v>
      </c>
      <c r="AC233">
        <v>1</v>
      </c>
      <c r="AD233">
        <v>16</v>
      </c>
      <c r="AE233">
        <v>309.45</v>
      </c>
      <c r="AF233" s="17">
        <v>37.520000000000003</v>
      </c>
      <c r="AG233" s="33">
        <v>45307</v>
      </c>
      <c r="AH233" s="34">
        <v>0.58947916666666667</v>
      </c>
      <c r="AI233">
        <v>0</v>
      </c>
      <c r="AJ233">
        <v>0</v>
      </c>
      <c r="AK233">
        <v>0</v>
      </c>
      <c r="AL233">
        <v>0</v>
      </c>
      <c r="AM233">
        <v>0</v>
      </c>
      <c r="AN233">
        <v>0</v>
      </c>
      <c r="AO233">
        <v>0</v>
      </c>
      <c r="AP233">
        <v>0</v>
      </c>
      <c r="AQ233">
        <v>0</v>
      </c>
      <c r="AR233">
        <v>0</v>
      </c>
      <c r="AS233">
        <v>0</v>
      </c>
      <c r="AT233">
        <v>0</v>
      </c>
      <c r="AU233" s="30">
        <f t="shared" si="89"/>
        <v>37.541200000000003</v>
      </c>
      <c r="AV233" s="17"/>
    </row>
    <row r="234" spans="1:48" x14ac:dyDescent="0.25">
      <c r="A234">
        <v>4</v>
      </c>
      <c r="B234" t="s">
        <v>16</v>
      </c>
      <c r="C234">
        <v>25920</v>
      </c>
      <c r="D234">
        <v>192</v>
      </c>
      <c r="E234">
        <v>1</v>
      </c>
      <c r="F234">
        <v>16</v>
      </c>
      <c r="G234">
        <v>333.67</v>
      </c>
      <c r="H234" s="17">
        <v>34.795999999999999</v>
      </c>
      <c r="I234" s="33">
        <v>45307</v>
      </c>
      <c r="J234" s="37">
        <v>0.89370370370370367</v>
      </c>
      <c r="K234">
        <v>0</v>
      </c>
      <c r="L234">
        <v>0</v>
      </c>
      <c r="M234">
        <v>0</v>
      </c>
      <c r="N234">
        <v>0</v>
      </c>
      <c r="O234">
        <v>0</v>
      </c>
      <c r="P234">
        <v>0</v>
      </c>
      <c r="Q234">
        <v>0</v>
      </c>
      <c r="R234">
        <v>0</v>
      </c>
      <c r="S234">
        <v>0</v>
      </c>
      <c r="T234">
        <v>0</v>
      </c>
      <c r="U234">
        <v>0</v>
      </c>
      <c r="V234">
        <v>0</v>
      </c>
      <c r="W234" s="30">
        <f>W233</f>
        <v>34.786000000000001</v>
      </c>
      <c r="X234" s="17"/>
      <c r="Y234">
        <v>4</v>
      </c>
      <c r="Z234" t="s">
        <v>16</v>
      </c>
      <c r="AA234">
        <v>25920</v>
      </c>
      <c r="AB234">
        <v>192</v>
      </c>
      <c r="AC234">
        <v>1</v>
      </c>
      <c r="AD234">
        <v>16</v>
      </c>
      <c r="AE234">
        <v>309.11</v>
      </c>
      <c r="AF234" s="17">
        <v>37.561</v>
      </c>
      <c r="AG234" s="33">
        <v>45307</v>
      </c>
      <c r="AH234" s="34">
        <v>0.50378472222222226</v>
      </c>
      <c r="AI234">
        <v>0</v>
      </c>
      <c r="AJ234">
        <v>0</v>
      </c>
      <c r="AK234">
        <v>0</v>
      </c>
      <c r="AL234">
        <v>0</v>
      </c>
      <c r="AM234">
        <v>0</v>
      </c>
      <c r="AN234">
        <v>0</v>
      </c>
      <c r="AO234">
        <v>0</v>
      </c>
      <c r="AP234">
        <v>0</v>
      </c>
      <c r="AQ234">
        <v>0</v>
      </c>
      <c r="AR234">
        <v>0</v>
      </c>
      <c r="AS234">
        <v>0</v>
      </c>
      <c r="AT234">
        <v>0</v>
      </c>
      <c r="AU234" s="30">
        <f t="shared" si="89"/>
        <v>37.541200000000003</v>
      </c>
      <c r="AV234" s="17"/>
    </row>
    <row r="235" spans="1:48" x14ac:dyDescent="0.25">
      <c r="A235">
        <v>0</v>
      </c>
      <c r="B235" t="s">
        <v>16</v>
      </c>
      <c r="C235">
        <v>27456</v>
      </c>
      <c r="D235">
        <v>192</v>
      </c>
      <c r="E235">
        <v>1</v>
      </c>
      <c r="F235">
        <v>16</v>
      </c>
      <c r="G235">
        <v>390.44</v>
      </c>
      <c r="H235" s="17">
        <v>35.343000000000004</v>
      </c>
      <c r="I235" s="33">
        <v>45307</v>
      </c>
      <c r="J235" s="37">
        <v>0.50398148148148147</v>
      </c>
      <c r="K235">
        <v>0</v>
      </c>
      <c r="L235">
        <v>0</v>
      </c>
      <c r="M235">
        <v>0</v>
      </c>
      <c r="N235">
        <v>0</v>
      </c>
      <c r="O235">
        <v>0</v>
      </c>
      <c r="P235">
        <v>0</v>
      </c>
      <c r="Q235">
        <v>0</v>
      </c>
      <c r="R235">
        <v>0</v>
      </c>
      <c r="S235">
        <v>0</v>
      </c>
      <c r="T235">
        <v>0</v>
      </c>
      <c r="U235">
        <v>0</v>
      </c>
      <c r="V235">
        <v>0</v>
      </c>
      <c r="W235" s="30">
        <f>AVERAGE(H235:H239)</f>
        <v>35.317600000000006</v>
      </c>
      <c r="X235" s="17"/>
      <c r="Y235">
        <v>0</v>
      </c>
      <c r="Z235" t="s">
        <v>16</v>
      </c>
      <c r="AA235">
        <v>27456</v>
      </c>
      <c r="AB235">
        <v>192</v>
      </c>
      <c r="AC235">
        <v>1</v>
      </c>
      <c r="AD235">
        <v>16</v>
      </c>
      <c r="AE235">
        <v>364.68</v>
      </c>
      <c r="AF235" s="17">
        <v>37.838999999999999</v>
      </c>
      <c r="AG235" s="33">
        <v>45307</v>
      </c>
      <c r="AH235" s="34">
        <v>0.64509259259259266</v>
      </c>
      <c r="AI235">
        <v>0</v>
      </c>
      <c r="AJ235">
        <v>0</v>
      </c>
      <c r="AK235">
        <v>0</v>
      </c>
      <c r="AL235">
        <v>0</v>
      </c>
      <c r="AM235">
        <v>0</v>
      </c>
      <c r="AN235">
        <v>0</v>
      </c>
      <c r="AO235">
        <v>0</v>
      </c>
      <c r="AP235">
        <v>0</v>
      </c>
      <c r="AQ235">
        <v>0</v>
      </c>
      <c r="AR235">
        <v>0</v>
      </c>
      <c r="AS235">
        <v>10</v>
      </c>
      <c r="AT235">
        <v>530</v>
      </c>
      <c r="AU235" s="30">
        <f t="shared" ref="AU235" si="90">AVERAGE(AF235:AF239)</f>
        <v>38.046599999999998</v>
      </c>
      <c r="AV235" s="17"/>
    </row>
    <row r="236" spans="1:48" x14ac:dyDescent="0.25">
      <c r="A236">
        <v>1</v>
      </c>
      <c r="B236" t="s">
        <v>16</v>
      </c>
      <c r="C236">
        <v>27456</v>
      </c>
      <c r="D236">
        <v>192</v>
      </c>
      <c r="E236">
        <v>1</v>
      </c>
      <c r="F236">
        <v>16</v>
      </c>
      <c r="G236">
        <v>390.69</v>
      </c>
      <c r="H236" s="17">
        <v>35.32</v>
      </c>
      <c r="I236" s="33">
        <v>45307</v>
      </c>
      <c r="J236" s="37">
        <v>0.70180555555555557</v>
      </c>
      <c r="K236">
        <v>0</v>
      </c>
      <c r="L236">
        <v>0</v>
      </c>
      <c r="M236">
        <v>0</v>
      </c>
      <c r="N236">
        <v>0</v>
      </c>
      <c r="O236">
        <v>0</v>
      </c>
      <c r="P236">
        <v>0</v>
      </c>
      <c r="Q236">
        <v>0</v>
      </c>
      <c r="R236">
        <v>0</v>
      </c>
      <c r="S236">
        <v>0</v>
      </c>
      <c r="T236">
        <v>0</v>
      </c>
      <c r="U236">
        <v>0</v>
      </c>
      <c r="V236">
        <v>0</v>
      </c>
      <c r="W236" s="30">
        <f>W235</f>
        <v>35.317600000000006</v>
      </c>
      <c r="X236" s="17"/>
      <c r="Y236">
        <v>1</v>
      </c>
      <c r="Z236" t="s">
        <v>16</v>
      </c>
      <c r="AA236">
        <v>27456</v>
      </c>
      <c r="AB236">
        <v>192</v>
      </c>
      <c r="AC236">
        <v>1</v>
      </c>
      <c r="AD236">
        <v>16</v>
      </c>
      <c r="AE236">
        <v>362.45</v>
      </c>
      <c r="AF236" s="17">
        <v>38.072000000000003</v>
      </c>
      <c r="AG236" s="33">
        <v>45307</v>
      </c>
      <c r="AH236" s="34">
        <v>0.72673611111111114</v>
      </c>
      <c r="AI236">
        <v>0</v>
      </c>
      <c r="AJ236">
        <v>0</v>
      </c>
      <c r="AK236">
        <v>0</v>
      </c>
      <c r="AL236">
        <v>0</v>
      </c>
      <c r="AM236">
        <v>0</v>
      </c>
      <c r="AN236">
        <v>0</v>
      </c>
      <c r="AO236">
        <v>0</v>
      </c>
      <c r="AP236">
        <v>0</v>
      </c>
      <c r="AQ236">
        <v>0</v>
      </c>
      <c r="AR236">
        <v>0</v>
      </c>
      <c r="AS236">
        <v>0</v>
      </c>
      <c r="AT236">
        <v>0</v>
      </c>
      <c r="AU236" s="30">
        <f t="shared" ref="AU236" si="91">AU235</f>
        <v>38.046599999999998</v>
      </c>
      <c r="AV236" s="17"/>
    </row>
    <row r="237" spans="1:48" x14ac:dyDescent="0.25">
      <c r="A237">
        <v>2</v>
      </c>
      <c r="B237" t="s">
        <v>16</v>
      </c>
      <c r="C237">
        <v>27456</v>
      </c>
      <c r="D237">
        <v>192</v>
      </c>
      <c r="E237">
        <v>1</v>
      </c>
      <c r="F237">
        <v>16</v>
      </c>
      <c r="G237">
        <v>390.8</v>
      </c>
      <c r="H237" s="17">
        <v>35.31</v>
      </c>
      <c r="I237" s="33">
        <v>45308</v>
      </c>
      <c r="J237" s="37">
        <v>4.2465277777777775E-2</v>
      </c>
      <c r="K237">
        <v>0</v>
      </c>
      <c r="L237">
        <v>0</v>
      </c>
      <c r="M237">
        <v>0</v>
      </c>
      <c r="N237">
        <v>0</v>
      </c>
      <c r="O237">
        <v>0</v>
      </c>
      <c r="P237">
        <v>0</v>
      </c>
      <c r="Q237">
        <v>0</v>
      </c>
      <c r="R237">
        <v>0</v>
      </c>
      <c r="S237">
        <v>0</v>
      </c>
      <c r="T237">
        <v>0</v>
      </c>
      <c r="U237">
        <v>0</v>
      </c>
      <c r="V237">
        <v>0</v>
      </c>
      <c r="W237" s="30">
        <f>W236</f>
        <v>35.317600000000006</v>
      </c>
      <c r="X237" s="17"/>
      <c r="Y237">
        <v>2</v>
      </c>
      <c r="Z237" t="s">
        <v>16</v>
      </c>
      <c r="AA237">
        <v>27456</v>
      </c>
      <c r="AB237">
        <v>192</v>
      </c>
      <c r="AC237">
        <v>1</v>
      </c>
      <c r="AD237">
        <v>16</v>
      </c>
      <c r="AE237">
        <v>362.14</v>
      </c>
      <c r="AF237" s="17">
        <v>38.103999999999999</v>
      </c>
      <c r="AG237" s="33">
        <v>45307</v>
      </c>
      <c r="AH237" s="34">
        <v>0.56689814814814821</v>
      </c>
      <c r="AI237">
        <v>0</v>
      </c>
      <c r="AJ237">
        <v>0</v>
      </c>
      <c r="AK237">
        <v>0</v>
      </c>
      <c r="AL237">
        <v>0</v>
      </c>
      <c r="AM237">
        <v>0</v>
      </c>
      <c r="AN237">
        <v>0</v>
      </c>
      <c r="AO237">
        <v>0</v>
      </c>
      <c r="AP237">
        <v>0</v>
      </c>
      <c r="AQ237">
        <v>0</v>
      </c>
      <c r="AR237">
        <v>0</v>
      </c>
      <c r="AS237">
        <v>0</v>
      </c>
      <c r="AT237">
        <v>0</v>
      </c>
      <c r="AU237" s="30">
        <f t="shared" si="87"/>
        <v>38.046599999999998</v>
      </c>
      <c r="AV237" s="17"/>
    </row>
    <row r="238" spans="1:48" x14ac:dyDescent="0.25">
      <c r="A238">
        <v>3</v>
      </c>
      <c r="B238" t="s">
        <v>16</v>
      </c>
      <c r="C238">
        <v>27456</v>
      </c>
      <c r="D238">
        <v>192</v>
      </c>
      <c r="E238">
        <v>1</v>
      </c>
      <c r="F238">
        <v>16</v>
      </c>
      <c r="G238">
        <v>390.82</v>
      </c>
      <c r="H238" s="17">
        <v>35.308999999999997</v>
      </c>
      <c r="I238" s="33">
        <v>45308</v>
      </c>
      <c r="J238" s="37">
        <v>0.3855555555555556</v>
      </c>
      <c r="K238">
        <v>0</v>
      </c>
      <c r="L238">
        <v>0</v>
      </c>
      <c r="M238">
        <v>0</v>
      </c>
      <c r="N238">
        <v>0</v>
      </c>
      <c r="O238">
        <v>0</v>
      </c>
      <c r="P238">
        <v>0</v>
      </c>
      <c r="Q238">
        <v>0</v>
      </c>
      <c r="R238">
        <v>0</v>
      </c>
      <c r="S238">
        <v>0</v>
      </c>
      <c r="T238">
        <v>0</v>
      </c>
      <c r="U238">
        <v>0</v>
      </c>
      <c r="V238">
        <v>0</v>
      </c>
      <c r="W238" s="30">
        <f>W237</f>
        <v>35.317600000000006</v>
      </c>
      <c r="X238" s="17"/>
      <c r="Y238">
        <v>3</v>
      </c>
      <c r="Z238" t="s">
        <v>16</v>
      </c>
      <c r="AA238">
        <v>27456</v>
      </c>
      <c r="AB238">
        <v>192</v>
      </c>
      <c r="AC238">
        <v>1</v>
      </c>
      <c r="AD238">
        <v>16</v>
      </c>
      <c r="AE238">
        <v>362.07</v>
      </c>
      <c r="AF238" s="17">
        <v>38.112000000000002</v>
      </c>
      <c r="AG238" s="33">
        <v>45307</v>
      </c>
      <c r="AH238" s="34">
        <v>0.505</v>
      </c>
      <c r="AI238">
        <v>0</v>
      </c>
      <c r="AJ238">
        <v>0</v>
      </c>
      <c r="AK238">
        <v>0</v>
      </c>
      <c r="AL238">
        <v>0</v>
      </c>
      <c r="AM238">
        <v>0</v>
      </c>
      <c r="AN238">
        <v>0</v>
      </c>
      <c r="AO238">
        <v>0</v>
      </c>
      <c r="AP238">
        <v>0</v>
      </c>
      <c r="AQ238">
        <v>0</v>
      </c>
      <c r="AR238">
        <v>0</v>
      </c>
      <c r="AS238">
        <v>0</v>
      </c>
      <c r="AT238">
        <v>0</v>
      </c>
      <c r="AU238" s="30">
        <f t="shared" si="87"/>
        <v>38.046599999999998</v>
      </c>
      <c r="AV238" s="17"/>
    </row>
    <row r="239" spans="1:48" x14ac:dyDescent="0.25">
      <c r="A239">
        <v>4</v>
      </c>
      <c r="B239" t="s">
        <v>16</v>
      </c>
      <c r="C239">
        <v>27456</v>
      </c>
      <c r="D239">
        <v>192</v>
      </c>
      <c r="E239">
        <v>1</v>
      </c>
      <c r="F239">
        <v>16</v>
      </c>
      <c r="G239">
        <v>390.85</v>
      </c>
      <c r="H239" s="17">
        <v>35.305999999999997</v>
      </c>
      <c r="I239" s="33">
        <v>45307</v>
      </c>
      <c r="J239" s="37">
        <v>0.78281250000000002</v>
      </c>
      <c r="K239">
        <v>0</v>
      </c>
      <c r="L239">
        <v>0</v>
      </c>
      <c r="M239">
        <v>0</v>
      </c>
      <c r="N239">
        <v>0</v>
      </c>
      <c r="O239">
        <v>0</v>
      </c>
      <c r="P239">
        <v>0</v>
      </c>
      <c r="Q239">
        <v>0</v>
      </c>
      <c r="R239">
        <v>0</v>
      </c>
      <c r="S239">
        <v>0</v>
      </c>
      <c r="T239">
        <v>0</v>
      </c>
      <c r="U239">
        <v>0</v>
      </c>
      <c r="V239">
        <v>0</v>
      </c>
      <c r="W239" s="30">
        <f>W238</f>
        <v>35.317600000000006</v>
      </c>
      <c r="X239" s="17"/>
      <c r="Y239">
        <v>4</v>
      </c>
      <c r="Z239" t="s">
        <v>16</v>
      </c>
      <c r="AA239">
        <v>27456</v>
      </c>
      <c r="AB239">
        <v>192</v>
      </c>
      <c r="AC239">
        <v>1</v>
      </c>
      <c r="AD239">
        <v>16</v>
      </c>
      <c r="AE239">
        <v>362.13</v>
      </c>
      <c r="AF239" s="17">
        <v>38.106000000000002</v>
      </c>
      <c r="AG239" s="33">
        <v>45307</v>
      </c>
      <c r="AH239" s="34">
        <v>0.76814814814814814</v>
      </c>
      <c r="AI239">
        <v>0</v>
      </c>
      <c r="AJ239">
        <v>0</v>
      </c>
      <c r="AK239">
        <v>0</v>
      </c>
      <c r="AL239">
        <v>0</v>
      </c>
      <c r="AM239">
        <v>0</v>
      </c>
      <c r="AN239">
        <v>0</v>
      </c>
      <c r="AO239">
        <v>0</v>
      </c>
      <c r="AP239">
        <v>0</v>
      </c>
      <c r="AQ239">
        <v>0</v>
      </c>
      <c r="AR239">
        <v>0</v>
      </c>
      <c r="AS239">
        <v>0</v>
      </c>
      <c r="AT239">
        <v>0</v>
      </c>
      <c r="AU239" s="30">
        <f t="shared" si="87"/>
        <v>38.046599999999998</v>
      </c>
      <c r="AV239" s="17"/>
    </row>
    <row r="240" spans="1:48" x14ac:dyDescent="0.25">
      <c r="A240">
        <v>0</v>
      </c>
      <c r="B240" t="s">
        <v>16</v>
      </c>
      <c r="C240">
        <v>28992</v>
      </c>
      <c r="D240">
        <v>192</v>
      </c>
      <c r="E240">
        <v>1</v>
      </c>
      <c r="F240">
        <v>16</v>
      </c>
      <c r="G240">
        <v>652.23</v>
      </c>
      <c r="H240" s="17">
        <v>24.91</v>
      </c>
      <c r="I240" s="33">
        <v>45307</v>
      </c>
      <c r="J240" s="37">
        <v>0.57442129629629635</v>
      </c>
      <c r="K240">
        <v>0</v>
      </c>
      <c r="L240">
        <v>0</v>
      </c>
      <c r="M240">
        <v>0</v>
      </c>
      <c r="N240">
        <v>0</v>
      </c>
      <c r="O240">
        <v>0</v>
      </c>
      <c r="P240">
        <v>0</v>
      </c>
      <c r="Q240">
        <v>0</v>
      </c>
      <c r="R240">
        <v>0</v>
      </c>
      <c r="S240">
        <v>0</v>
      </c>
      <c r="T240">
        <v>0</v>
      </c>
      <c r="U240">
        <v>0</v>
      </c>
      <c r="V240">
        <v>0</v>
      </c>
      <c r="W240" s="30">
        <f>AVERAGE(H240:H244)</f>
        <v>27.485399999999998</v>
      </c>
      <c r="X240" s="17"/>
      <c r="Y240">
        <v>0</v>
      </c>
      <c r="Z240" t="s">
        <v>16</v>
      </c>
      <c r="AA240">
        <v>28992</v>
      </c>
      <c r="AB240">
        <v>192</v>
      </c>
      <c r="AC240">
        <v>1</v>
      </c>
      <c r="AD240">
        <v>16</v>
      </c>
      <c r="AE240">
        <v>478.02</v>
      </c>
      <c r="AF240" s="17">
        <v>33.988999999999997</v>
      </c>
      <c r="AG240" s="33">
        <v>45307</v>
      </c>
      <c r="AH240" s="34">
        <v>0.62938657407407406</v>
      </c>
      <c r="AI240">
        <v>0</v>
      </c>
      <c r="AJ240">
        <v>0</v>
      </c>
      <c r="AK240">
        <v>0</v>
      </c>
      <c r="AL240">
        <v>0</v>
      </c>
      <c r="AM240">
        <v>0</v>
      </c>
      <c r="AN240">
        <v>0</v>
      </c>
      <c r="AO240">
        <v>0</v>
      </c>
      <c r="AP240">
        <v>0</v>
      </c>
      <c r="AQ240">
        <v>0</v>
      </c>
      <c r="AR240">
        <v>0</v>
      </c>
      <c r="AS240">
        <v>0</v>
      </c>
      <c r="AT240">
        <v>0</v>
      </c>
      <c r="AU240" s="30">
        <f t="shared" ref="AU240" si="92">AVERAGE(AF240:AF244)</f>
        <v>35.177399999999999</v>
      </c>
      <c r="AV240" s="17"/>
    </row>
    <row r="241" spans="1:48" x14ac:dyDescent="0.25">
      <c r="A241">
        <v>1</v>
      </c>
      <c r="B241" t="s">
        <v>16</v>
      </c>
      <c r="C241">
        <v>28992</v>
      </c>
      <c r="D241">
        <v>192</v>
      </c>
      <c r="E241">
        <v>1</v>
      </c>
      <c r="F241">
        <v>16</v>
      </c>
      <c r="G241">
        <v>469.25</v>
      </c>
      <c r="H241" s="17">
        <v>34.624000000000002</v>
      </c>
      <c r="I241" s="33">
        <v>45307</v>
      </c>
      <c r="J241" s="37">
        <v>0.91501157407407396</v>
      </c>
      <c r="K241">
        <v>0</v>
      </c>
      <c r="L241">
        <v>0</v>
      </c>
      <c r="M241">
        <v>0</v>
      </c>
      <c r="N241">
        <v>0</v>
      </c>
      <c r="O241">
        <v>0</v>
      </c>
      <c r="P241">
        <v>0</v>
      </c>
      <c r="Q241">
        <v>0</v>
      </c>
      <c r="R241">
        <v>0</v>
      </c>
      <c r="S241">
        <v>0</v>
      </c>
      <c r="T241">
        <v>0</v>
      </c>
      <c r="U241">
        <v>0</v>
      </c>
      <c r="V241">
        <v>0</v>
      </c>
      <c r="W241" s="30">
        <f>W240</f>
        <v>27.485399999999998</v>
      </c>
      <c r="X241" s="17"/>
      <c r="Y241">
        <v>1</v>
      </c>
      <c r="Z241" t="s">
        <v>16</v>
      </c>
      <c r="AA241">
        <v>28992</v>
      </c>
      <c r="AB241">
        <v>192</v>
      </c>
      <c r="AC241">
        <v>1</v>
      </c>
      <c r="AD241">
        <v>16</v>
      </c>
      <c r="AE241">
        <v>436.63</v>
      </c>
      <c r="AF241" s="17">
        <v>37.21</v>
      </c>
      <c r="AG241" s="33">
        <v>45307</v>
      </c>
      <c r="AH241" s="34">
        <v>0.57859953703703704</v>
      </c>
      <c r="AI241">
        <v>0</v>
      </c>
      <c r="AJ241">
        <v>0</v>
      </c>
      <c r="AK241">
        <v>0</v>
      </c>
      <c r="AL241">
        <v>0</v>
      </c>
      <c r="AM241">
        <v>0</v>
      </c>
      <c r="AN241">
        <v>0</v>
      </c>
      <c r="AO241">
        <v>0</v>
      </c>
      <c r="AP241">
        <v>0</v>
      </c>
      <c r="AQ241">
        <v>0</v>
      </c>
      <c r="AR241">
        <v>0</v>
      </c>
      <c r="AS241">
        <v>0</v>
      </c>
      <c r="AT241">
        <v>0</v>
      </c>
      <c r="AU241" s="30">
        <f t="shared" ref="AU241" si="93">AU240</f>
        <v>35.177399999999999</v>
      </c>
      <c r="AV241" s="17"/>
    </row>
    <row r="242" spans="1:48" x14ac:dyDescent="0.25">
      <c r="A242">
        <v>2</v>
      </c>
      <c r="B242" t="s">
        <v>16</v>
      </c>
      <c r="C242">
        <v>28992</v>
      </c>
      <c r="D242">
        <v>192</v>
      </c>
      <c r="E242">
        <v>1</v>
      </c>
      <c r="F242">
        <v>16</v>
      </c>
      <c r="G242">
        <v>671.5</v>
      </c>
      <c r="H242" s="17">
        <v>24.195</v>
      </c>
      <c r="I242" s="33">
        <v>45308</v>
      </c>
      <c r="J242" s="37">
        <v>0.25797453703703704</v>
      </c>
      <c r="K242">
        <v>0</v>
      </c>
      <c r="L242">
        <v>0</v>
      </c>
      <c r="M242">
        <v>0</v>
      </c>
      <c r="N242">
        <v>0</v>
      </c>
      <c r="O242">
        <v>0</v>
      </c>
      <c r="P242">
        <v>0</v>
      </c>
      <c r="Q242">
        <v>0</v>
      </c>
      <c r="R242">
        <v>0</v>
      </c>
      <c r="S242">
        <v>0</v>
      </c>
      <c r="T242">
        <v>0</v>
      </c>
      <c r="U242">
        <v>0</v>
      </c>
      <c r="V242">
        <v>0</v>
      </c>
      <c r="W242" s="30">
        <f>W241</f>
        <v>27.485399999999998</v>
      </c>
      <c r="X242" s="17"/>
      <c r="Y242">
        <v>2</v>
      </c>
      <c r="Z242" t="s">
        <v>16</v>
      </c>
      <c r="AA242">
        <v>28992</v>
      </c>
      <c r="AB242">
        <v>192</v>
      </c>
      <c r="AC242">
        <v>1</v>
      </c>
      <c r="AD242">
        <v>16</v>
      </c>
      <c r="AE242">
        <v>442.4</v>
      </c>
      <c r="AF242" s="17">
        <v>36.725000000000001</v>
      </c>
      <c r="AG242" s="33">
        <v>45307</v>
      </c>
      <c r="AH242" s="34">
        <v>0.73228009259259252</v>
      </c>
      <c r="AI242">
        <v>0</v>
      </c>
      <c r="AJ242">
        <v>0</v>
      </c>
      <c r="AK242">
        <v>0</v>
      </c>
      <c r="AL242">
        <v>0</v>
      </c>
      <c r="AM242">
        <v>0</v>
      </c>
      <c r="AN242">
        <v>0</v>
      </c>
      <c r="AO242">
        <v>0</v>
      </c>
      <c r="AP242">
        <v>0</v>
      </c>
      <c r="AQ242">
        <v>0</v>
      </c>
      <c r="AR242">
        <v>0</v>
      </c>
      <c r="AS242">
        <v>0</v>
      </c>
      <c r="AT242">
        <v>0</v>
      </c>
      <c r="AU242" s="30">
        <f t="shared" si="89"/>
        <v>35.177399999999999</v>
      </c>
      <c r="AV242" s="17"/>
    </row>
    <row r="243" spans="1:48" x14ac:dyDescent="0.25">
      <c r="A243">
        <v>3</v>
      </c>
      <c r="B243" t="s">
        <v>16</v>
      </c>
      <c r="C243">
        <v>28992</v>
      </c>
      <c r="D243">
        <v>192</v>
      </c>
      <c r="E243">
        <v>1</v>
      </c>
      <c r="F243">
        <v>16</v>
      </c>
      <c r="G243">
        <v>655.85</v>
      </c>
      <c r="H243" s="17">
        <v>24.771999999999998</v>
      </c>
      <c r="I243" s="33">
        <v>45307</v>
      </c>
      <c r="J243" s="37">
        <v>0.65532407407407411</v>
      </c>
      <c r="K243">
        <v>0</v>
      </c>
      <c r="L243">
        <v>0</v>
      </c>
      <c r="M243">
        <v>0</v>
      </c>
      <c r="N243">
        <v>0</v>
      </c>
      <c r="O243">
        <v>0</v>
      </c>
      <c r="P243">
        <v>0</v>
      </c>
      <c r="Q243">
        <v>0</v>
      </c>
      <c r="R243">
        <v>0</v>
      </c>
      <c r="S243">
        <v>0</v>
      </c>
      <c r="T243">
        <v>0</v>
      </c>
      <c r="U243">
        <v>0</v>
      </c>
      <c r="V243">
        <v>0</v>
      </c>
      <c r="W243" s="30">
        <f>W242</f>
        <v>27.485399999999998</v>
      </c>
      <c r="X243" s="17"/>
      <c r="Y243">
        <v>3</v>
      </c>
      <c r="Z243" t="s">
        <v>16</v>
      </c>
      <c r="AA243">
        <v>28992</v>
      </c>
      <c r="AB243">
        <v>192</v>
      </c>
      <c r="AC243">
        <v>1</v>
      </c>
      <c r="AD243">
        <v>16</v>
      </c>
      <c r="AE243">
        <v>482.7</v>
      </c>
      <c r="AF243" s="17">
        <v>33.658999999999999</v>
      </c>
      <c r="AG243" s="33">
        <v>45307</v>
      </c>
      <c r="AH243" s="34">
        <v>0.67085648148148147</v>
      </c>
      <c r="AI243">
        <v>0</v>
      </c>
      <c r="AJ243">
        <v>0</v>
      </c>
      <c r="AK243">
        <v>0</v>
      </c>
      <c r="AL243">
        <v>0</v>
      </c>
      <c r="AM243">
        <v>0</v>
      </c>
      <c r="AN243">
        <v>0</v>
      </c>
      <c r="AO243">
        <v>0</v>
      </c>
      <c r="AP243">
        <v>0</v>
      </c>
      <c r="AQ243">
        <v>0</v>
      </c>
      <c r="AR243">
        <v>0</v>
      </c>
      <c r="AS243">
        <v>0</v>
      </c>
      <c r="AT243">
        <v>0</v>
      </c>
      <c r="AU243" s="30">
        <f t="shared" si="89"/>
        <v>35.177399999999999</v>
      </c>
      <c r="AV243" s="17"/>
    </row>
    <row r="244" spans="1:48" x14ac:dyDescent="0.25">
      <c r="A244">
        <v>4</v>
      </c>
      <c r="B244" t="s">
        <v>16</v>
      </c>
      <c r="C244">
        <v>28992</v>
      </c>
      <c r="D244">
        <v>192</v>
      </c>
      <c r="E244">
        <v>1</v>
      </c>
      <c r="F244">
        <v>16</v>
      </c>
      <c r="G244">
        <v>561.67999999999995</v>
      </c>
      <c r="H244" s="17">
        <v>28.925999999999998</v>
      </c>
      <c r="I244" s="33">
        <v>45307</v>
      </c>
      <c r="J244" s="37">
        <v>0.99701388888888898</v>
      </c>
      <c r="K244">
        <v>0</v>
      </c>
      <c r="L244">
        <v>0</v>
      </c>
      <c r="M244">
        <v>0</v>
      </c>
      <c r="N244">
        <v>0</v>
      </c>
      <c r="O244">
        <v>0</v>
      </c>
      <c r="P244">
        <v>0</v>
      </c>
      <c r="Q244">
        <v>0</v>
      </c>
      <c r="R244">
        <v>0</v>
      </c>
      <c r="S244">
        <v>0</v>
      </c>
      <c r="T244">
        <v>0</v>
      </c>
      <c r="U244">
        <v>0</v>
      </c>
      <c r="V244">
        <v>0</v>
      </c>
      <c r="W244" s="30">
        <f>W243</f>
        <v>27.485399999999998</v>
      </c>
      <c r="X244" s="17"/>
      <c r="Y244">
        <v>4</v>
      </c>
      <c r="Z244" t="s">
        <v>16</v>
      </c>
      <c r="AA244">
        <v>28992</v>
      </c>
      <c r="AB244">
        <v>192</v>
      </c>
      <c r="AC244">
        <v>1</v>
      </c>
      <c r="AD244">
        <v>16</v>
      </c>
      <c r="AE244">
        <v>473.62</v>
      </c>
      <c r="AF244" s="17">
        <v>34.304000000000002</v>
      </c>
      <c r="AG244" s="33">
        <v>45307</v>
      </c>
      <c r="AH244" s="34">
        <v>0.54570601851851852</v>
      </c>
      <c r="AI244">
        <v>0</v>
      </c>
      <c r="AJ244">
        <v>0</v>
      </c>
      <c r="AK244">
        <v>0</v>
      </c>
      <c r="AL244">
        <v>0</v>
      </c>
      <c r="AM244">
        <v>0</v>
      </c>
      <c r="AN244">
        <v>0</v>
      </c>
      <c r="AO244">
        <v>0</v>
      </c>
      <c r="AP244">
        <v>0</v>
      </c>
      <c r="AQ244">
        <v>0</v>
      </c>
      <c r="AR244">
        <v>0</v>
      </c>
      <c r="AS244">
        <v>0</v>
      </c>
      <c r="AT244">
        <v>0</v>
      </c>
      <c r="AU244" s="30">
        <f t="shared" si="89"/>
        <v>35.177399999999999</v>
      </c>
      <c r="AV244" s="17"/>
    </row>
    <row r="245" spans="1:48" x14ac:dyDescent="0.25">
      <c r="A245">
        <v>0</v>
      </c>
      <c r="B245" t="s">
        <v>16</v>
      </c>
      <c r="C245">
        <v>25920</v>
      </c>
      <c r="D245">
        <v>192</v>
      </c>
      <c r="E245">
        <v>2</v>
      </c>
      <c r="F245">
        <v>8</v>
      </c>
      <c r="G245">
        <v>315.27999999999997</v>
      </c>
      <c r="H245" s="17">
        <v>36.826000000000001</v>
      </c>
      <c r="I245" s="33">
        <v>45307</v>
      </c>
      <c r="J245" s="37">
        <v>0.61950231481481477</v>
      </c>
      <c r="K245">
        <v>0</v>
      </c>
      <c r="L245">
        <v>0</v>
      </c>
      <c r="M245">
        <v>0</v>
      </c>
      <c r="N245">
        <v>0</v>
      </c>
      <c r="O245">
        <v>0</v>
      </c>
      <c r="P245">
        <v>0</v>
      </c>
      <c r="Q245">
        <v>0</v>
      </c>
      <c r="R245">
        <v>0</v>
      </c>
      <c r="S245">
        <v>0</v>
      </c>
      <c r="T245">
        <v>0</v>
      </c>
      <c r="U245">
        <v>0</v>
      </c>
      <c r="V245">
        <v>0</v>
      </c>
      <c r="W245" s="30">
        <f>AVERAGE(H245:H249)</f>
        <v>36.812799999999996</v>
      </c>
      <c r="X245" s="17"/>
      <c r="Y245">
        <v>0</v>
      </c>
      <c r="Z245" t="s">
        <v>16</v>
      </c>
      <c r="AA245">
        <v>25920</v>
      </c>
      <c r="AB245">
        <v>192</v>
      </c>
      <c r="AC245">
        <v>2</v>
      </c>
      <c r="AD245">
        <v>8</v>
      </c>
      <c r="AE245">
        <v>293.41000000000003</v>
      </c>
      <c r="AF245" s="17">
        <v>39.570999999999998</v>
      </c>
      <c r="AG245" s="33">
        <v>45307</v>
      </c>
      <c r="AH245" s="34">
        <v>0.55201388888888892</v>
      </c>
      <c r="AI245">
        <v>0</v>
      </c>
      <c r="AJ245">
        <v>0</v>
      </c>
      <c r="AK245">
        <v>0</v>
      </c>
      <c r="AL245">
        <v>0</v>
      </c>
      <c r="AM245">
        <v>0</v>
      </c>
      <c r="AN245">
        <v>0</v>
      </c>
      <c r="AO245">
        <v>0</v>
      </c>
      <c r="AP245">
        <v>0</v>
      </c>
      <c r="AQ245">
        <v>0</v>
      </c>
      <c r="AR245">
        <v>0</v>
      </c>
      <c r="AS245">
        <v>0</v>
      </c>
      <c r="AT245">
        <v>0</v>
      </c>
      <c r="AU245" s="30">
        <f t="shared" ref="AU245" si="94">AVERAGE(AF245:AF249)</f>
        <v>39.582199999999993</v>
      </c>
      <c r="AV245" s="17"/>
    </row>
    <row r="246" spans="1:48" x14ac:dyDescent="0.25">
      <c r="A246">
        <v>1</v>
      </c>
      <c r="B246" t="s">
        <v>16</v>
      </c>
      <c r="C246">
        <v>25920</v>
      </c>
      <c r="D246">
        <v>192</v>
      </c>
      <c r="E246">
        <v>2</v>
      </c>
      <c r="F246">
        <v>8</v>
      </c>
      <c r="G246">
        <v>315.49</v>
      </c>
      <c r="H246" s="17">
        <v>36.802</v>
      </c>
      <c r="I246" s="33">
        <v>45307</v>
      </c>
      <c r="J246" s="37">
        <v>0.81656249999999997</v>
      </c>
      <c r="K246">
        <v>0</v>
      </c>
      <c r="L246">
        <v>0</v>
      </c>
      <c r="M246">
        <v>0</v>
      </c>
      <c r="N246">
        <v>0</v>
      </c>
      <c r="O246">
        <v>0</v>
      </c>
      <c r="P246">
        <v>0</v>
      </c>
      <c r="Q246">
        <v>0</v>
      </c>
      <c r="R246">
        <v>0</v>
      </c>
      <c r="S246">
        <v>0</v>
      </c>
      <c r="T246">
        <v>0</v>
      </c>
      <c r="U246">
        <v>0</v>
      </c>
      <c r="V246">
        <v>0</v>
      </c>
      <c r="W246" s="30">
        <f>W245</f>
        <v>36.812799999999996</v>
      </c>
      <c r="X246" s="17"/>
      <c r="Y246">
        <v>1</v>
      </c>
      <c r="Z246" t="s">
        <v>16</v>
      </c>
      <c r="AA246">
        <v>25920</v>
      </c>
      <c r="AB246">
        <v>192</v>
      </c>
      <c r="AC246">
        <v>2</v>
      </c>
      <c r="AD246">
        <v>8</v>
      </c>
      <c r="AE246">
        <v>293.2</v>
      </c>
      <c r="AF246" s="17">
        <v>39.598999999999997</v>
      </c>
      <c r="AG246" s="33">
        <v>45307</v>
      </c>
      <c r="AH246" s="34">
        <v>0.50162037037037044</v>
      </c>
      <c r="AI246">
        <v>0</v>
      </c>
      <c r="AJ246">
        <v>0</v>
      </c>
      <c r="AK246">
        <v>0</v>
      </c>
      <c r="AL246">
        <v>0</v>
      </c>
      <c r="AM246">
        <v>0</v>
      </c>
      <c r="AN246">
        <v>0</v>
      </c>
      <c r="AO246">
        <v>0</v>
      </c>
      <c r="AP246">
        <v>0</v>
      </c>
      <c r="AQ246">
        <v>0</v>
      </c>
      <c r="AR246">
        <v>0</v>
      </c>
      <c r="AS246">
        <v>0</v>
      </c>
      <c r="AT246">
        <v>0</v>
      </c>
      <c r="AU246" s="30">
        <f t="shared" ref="AU246" si="95">AU245</f>
        <v>39.582199999999993</v>
      </c>
      <c r="AV246" s="17"/>
    </row>
    <row r="247" spans="1:48" x14ac:dyDescent="0.25">
      <c r="A247">
        <v>2</v>
      </c>
      <c r="B247" t="s">
        <v>16</v>
      </c>
      <c r="C247">
        <v>25920</v>
      </c>
      <c r="D247">
        <v>192</v>
      </c>
      <c r="E247">
        <v>2</v>
      </c>
      <c r="F247">
        <v>8</v>
      </c>
      <c r="G247">
        <v>315.33</v>
      </c>
      <c r="H247" s="17">
        <v>36.820999999999998</v>
      </c>
      <c r="I247" s="33">
        <v>45308</v>
      </c>
      <c r="J247" s="37">
        <v>0.15717592592592591</v>
      </c>
      <c r="K247">
        <v>0</v>
      </c>
      <c r="L247">
        <v>0</v>
      </c>
      <c r="M247">
        <v>0</v>
      </c>
      <c r="N247">
        <v>0</v>
      </c>
      <c r="O247">
        <v>0</v>
      </c>
      <c r="P247">
        <v>0</v>
      </c>
      <c r="Q247">
        <v>0</v>
      </c>
      <c r="R247">
        <v>0</v>
      </c>
      <c r="S247">
        <v>0</v>
      </c>
      <c r="T247">
        <v>0</v>
      </c>
      <c r="U247">
        <v>0</v>
      </c>
      <c r="V247">
        <v>0</v>
      </c>
      <c r="W247" s="30">
        <f>W246</f>
        <v>36.812799999999996</v>
      </c>
      <c r="X247" s="17"/>
      <c r="Y247">
        <v>2</v>
      </c>
      <c r="Z247" t="s">
        <v>16</v>
      </c>
      <c r="AA247">
        <v>25920</v>
      </c>
      <c r="AB247">
        <v>192</v>
      </c>
      <c r="AC247">
        <v>2</v>
      </c>
      <c r="AD247">
        <v>8</v>
      </c>
      <c r="AE247">
        <v>293.64999999999998</v>
      </c>
      <c r="AF247" s="17">
        <v>39.539000000000001</v>
      </c>
      <c r="AG247" s="33">
        <v>45307</v>
      </c>
      <c r="AH247" s="34">
        <v>0.65538194444444442</v>
      </c>
      <c r="AI247">
        <v>0</v>
      </c>
      <c r="AJ247">
        <v>0</v>
      </c>
      <c r="AK247">
        <v>0</v>
      </c>
      <c r="AL247">
        <v>0</v>
      </c>
      <c r="AM247">
        <v>0</v>
      </c>
      <c r="AN247">
        <v>0</v>
      </c>
      <c r="AO247">
        <v>0</v>
      </c>
      <c r="AP247">
        <v>0</v>
      </c>
      <c r="AQ247">
        <v>0</v>
      </c>
      <c r="AR247">
        <v>0</v>
      </c>
      <c r="AS247">
        <v>0</v>
      </c>
      <c r="AT247">
        <v>0</v>
      </c>
      <c r="AU247" s="30">
        <f t="shared" si="87"/>
        <v>39.582199999999993</v>
      </c>
      <c r="AV247" s="17"/>
    </row>
    <row r="248" spans="1:48" x14ac:dyDescent="0.25">
      <c r="A248">
        <v>3</v>
      </c>
      <c r="B248" t="s">
        <v>16</v>
      </c>
      <c r="C248">
        <v>25920</v>
      </c>
      <c r="D248">
        <v>192</v>
      </c>
      <c r="E248">
        <v>2</v>
      </c>
      <c r="F248">
        <v>8</v>
      </c>
      <c r="G248">
        <v>315.39</v>
      </c>
      <c r="H248" s="17">
        <v>36.813000000000002</v>
      </c>
      <c r="I248" s="33">
        <v>45307</v>
      </c>
      <c r="J248" s="37">
        <v>0.55460648148148151</v>
      </c>
      <c r="K248">
        <v>0</v>
      </c>
      <c r="L248">
        <v>0</v>
      </c>
      <c r="M248">
        <v>0</v>
      </c>
      <c r="N248">
        <v>0</v>
      </c>
      <c r="O248">
        <v>0</v>
      </c>
      <c r="P248">
        <v>0</v>
      </c>
      <c r="Q248">
        <v>0</v>
      </c>
      <c r="R248">
        <v>0</v>
      </c>
      <c r="S248">
        <v>0</v>
      </c>
      <c r="T248">
        <v>0</v>
      </c>
      <c r="U248">
        <v>0</v>
      </c>
      <c r="V248">
        <v>0</v>
      </c>
      <c r="W248" s="30">
        <f>W247</f>
        <v>36.812799999999996</v>
      </c>
      <c r="X248" s="17"/>
      <c r="Y248">
        <v>3</v>
      </c>
      <c r="Z248" t="s">
        <v>16</v>
      </c>
      <c r="AA248">
        <v>25920</v>
      </c>
      <c r="AB248">
        <v>192</v>
      </c>
      <c r="AC248">
        <v>2</v>
      </c>
      <c r="AD248">
        <v>8</v>
      </c>
      <c r="AE248">
        <v>292.95999999999998</v>
      </c>
      <c r="AF248" s="17">
        <v>39.631</v>
      </c>
      <c r="AG248" s="33">
        <v>45307</v>
      </c>
      <c r="AH248" s="34">
        <v>0.59346064814814814</v>
      </c>
      <c r="AI248">
        <v>0</v>
      </c>
      <c r="AJ248">
        <v>0</v>
      </c>
      <c r="AK248">
        <v>0</v>
      </c>
      <c r="AL248">
        <v>0</v>
      </c>
      <c r="AM248">
        <v>0</v>
      </c>
      <c r="AN248">
        <v>0</v>
      </c>
      <c r="AO248">
        <v>0</v>
      </c>
      <c r="AP248">
        <v>0</v>
      </c>
      <c r="AQ248">
        <v>0</v>
      </c>
      <c r="AR248">
        <v>0</v>
      </c>
      <c r="AS248">
        <v>0</v>
      </c>
      <c r="AT248">
        <v>0</v>
      </c>
      <c r="AU248" s="30">
        <f t="shared" si="87"/>
        <v>39.582199999999993</v>
      </c>
      <c r="AV248" s="17"/>
    </row>
    <row r="249" spans="1:48" x14ac:dyDescent="0.25">
      <c r="A249">
        <v>4</v>
      </c>
      <c r="B249" t="s">
        <v>16</v>
      </c>
      <c r="C249">
        <v>25920</v>
      </c>
      <c r="D249">
        <v>192</v>
      </c>
      <c r="E249">
        <v>2</v>
      </c>
      <c r="F249">
        <v>8</v>
      </c>
      <c r="G249">
        <v>315.49</v>
      </c>
      <c r="H249" s="17">
        <v>36.802</v>
      </c>
      <c r="I249" s="33">
        <v>45307</v>
      </c>
      <c r="J249" s="37">
        <v>0.89753472222222219</v>
      </c>
      <c r="K249">
        <v>0</v>
      </c>
      <c r="L249">
        <v>0</v>
      </c>
      <c r="M249">
        <v>0</v>
      </c>
      <c r="N249">
        <v>0</v>
      </c>
      <c r="O249">
        <v>0</v>
      </c>
      <c r="P249">
        <v>0</v>
      </c>
      <c r="Q249">
        <v>0</v>
      </c>
      <c r="R249">
        <v>0</v>
      </c>
      <c r="S249">
        <v>0</v>
      </c>
      <c r="T249">
        <v>0</v>
      </c>
      <c r="U249">
        <v>0</v>
      </c>
      <c r="V249">
        <v>0</v>
      </c>
      <c r="W249" s="30">
        <f>W248</f>
        <v>36.812799999999996</v>
      </c>
      <c r="X249" s="17"/>
      <c r="Y249">
        <v>4</v>
      </c>
      <c r="Z249" t="s">
        <v>16</v>
      </c>
      <c r="AA249">
        <v>25920</v>
      </c>
      <c r="AB249">
        <v>192</v>
      </c>
      <c r="AC249">
        <v>2</v>
      </c>
      <c r="AD249">
        <v>8</v>
      </c>
      <c r="AE249">
        <v>293.41000000000003</v>
      </c>
      <c r="AF249" s="17">
        <v>39.570999999999998</v>
      </c>
      <c r="AG249" s="33">
        <v>45307</v>
      </c>
      <c r="AH249" s="34">
        <v>0.50776620370370373</v>
      </c>
      <c r="AI249">
        <v>0</v>
      </c>
      <c r="AJ249">
        <v>0</v>
      </c>
      <c r="AK249">
        <v>0</v>
      </c>
      <c r="AL249">
        <v>0</v>
      </c>
      <c r="AM249">
        <v>0</v>
      </c>
      <c r="AN249">
        <v>0</v>
      </c>
      <c r="AO249">
        <v>0</v>
      </c>
      <c r="AP249">
        <v>0</v>
      </c>
      <c r="AQ249">
        <v>0</v>
      </c>
      <c r="AR249">
        <v>0</v>
      </c>
      <c r="AS249">
        <v>0</v>
      </c>
      <c r="AT249">
        <v>0</v>
      </c>
      <c r="AU249" s="30">
        <f t="shared" si="87"/>
        <v>39.582199999999993</v>
      </c>
      <c r="AV249" s="17"/>
    </row>
    <row r="250" spans="1:48" x14ac:dyDescent="0.25">
      <c r="A250">
        <v>0</v>
      </c>
      <c r="B250" t="s">
        <v>16</v>
      </c>
      <c r="C250">
        <v>27456</v>
      </c>
      <c r="D250">
        <v>192</v>
      </c>
      <c r="E250">
        <v>2</v>
      </c>
      <c r="F250">
        <v>8</v>
      </c>
      <c r="G250">
        <v>397.99</v>
      </c>
      <c r="H250" s="17">
        <v>34.673000000000002</v>
      </c>
      <c r="I250" s="33">
        <v>45307</v>
      </c>
      <c r="J250" s="37">
        <v>0.50954861111111105</v>
      </c>
      <c r="K250">
        <v>0</v>
      </c>
      <c r="L250">
        <v>0</v>
      </c>
      <c r="M250">
        <v>0</v>
      </c>
      <c r="N250">
        <v>0</v>
      </c>
      <c r="O250">
        <v>0</v>
      </c>
      <c r="P250">
        <v>0</v>
      </c>
      <c r="Q250">
        <v>0</v>
      </c>
      <c r="R250">
        <v>0</v>
      </c>
      <c r="S250">
        <v>0</v>
      </c>
      <c r="T250">
        <v>0</v>
      </c>
      <c r="U250">
        <v>0</v>
      </c>
      <c r="V250">
        <v>0</v>
      </c>
      <c r="W250" s="30">
        <f>AVERAGE(H250:H254)</f>
        <v>34.624399999999994</v>
      </c>
      <c r="X250" s="17"/>
      <c r="Y250">
        <v>0</v>
      </c>
      <c r="Z250" t="s">
        <v>16</v>
      </c>
      <c r="AA250">
        <v>27456</v>
      </c>
      <c r="AB250">
        <v>192</v>
      </c>
      <c r="AC250">
        <v>2</v>
      </c>
      <c r="AD250">
        <v>8</v>
      </c>
      <c r="AE250">
        <v>353.77</v>
      </c>
      <c r="AF250" s="17">
        <v>39.006</v>
      </c>
      <c r="AG250" s="33">
        <v>45307</v>
      </c>
      <c r="AH250" s="34">
        <v>0.64983796296296303</v>
      </c>
      <c r="AI250">
        <v>0</v>
      </c>
      <c r="AJ250">
        <v>0</v>
      </c>
      <c r="AK250">
        <v>0</v>
      </c>
      <c r="AL250">
        <v>0</v>
      </c>
      <c r="AM250">
        <v>0</v>
      </c>
      <c r="AN250">
        <v>25</v>
      </c>
      <c r="AO250">
        <v>0</v>
      </c>
      <c r="AP250">
        <v>0</v>
      </c>
      <c r="AQ250">
        <v>0</v>
      </c>
      <c r="AR250">
        <v>0</v>
      </c>
      <c r="AS250">
        <v>0</v>
      </c>
      <c r="AT250">
        <v>982</v>
      </c>
      <c r="AU250" s="30">
        <f t="shared" ref="AU250" si="96">AVERAGE(AF250:AF254)</f>
        <v>39.0212</v>
      </c>
      <c r="AV250" s="17"/>
    </row>
    <row r="251" spans="1:48" x14ac:dyDescent="0.25">
      <c r="A251">
        <v>1</v>
      </c>
      <c r="B251" t="s">
        <v>16</v>
      </c>
      <c r="C251">
        <v>27456</v>
      </c>
      <c r="D251">
        <v>192</v>
      </c>
      <c r="E251">
        <v>2</v>
      </c>
      <c r="F251">
        <v>8</v>
      </c>
      <c r="G251">
        <v>398.68</v>
      </c>
      <c r="H251" s="17">
        <v>34.612000000000002</v>
      </c>
      <c r="I251" s="33">
        <v>45307</v>
      </c>
      <c r="J251" s="37">
        <v>0.7066203703703704</v>
      </c>
      <c r="K251">
        <v>0</v>
      </c>
      <c r="L251">
        <v>0</v>
      </c>
      <c r="M251">
        <v>0</v>
      </c>
      <c r="N251">
        <v>0</v>
      </c>
      <c r="O251">
        <v>0</v>
      </c>
      <c r="P251">
        <v>0</v>
      </c>
      <c r="Q251">
        <v>0</v>
      </c>
      <c r="R251">
        <v>0</v>
      </c>
      <c r="S251">
        <v>0</v>
      </c>
      <c r="T251">
        <v>0</v>
      </c>
      <c r="U251">
        <v>0</v>
      </c>
      <c r="V251">
        <v>0</v>
      </c>
      <c r="W251" s="30">
        <f>W250</f>
        <v>34.624399999999994</v>
      </c>
      <c r="X251" s="17"/>
      <c r="Y251">
        <v>1</v>
      </c>
      <c r="Z251" t="s">
        <v>16</v>
      </c>
      <c r="AA251">
        <v>27456</v>
      </c>
      <c r="AB251">
        <v>192</v>
      </c>
      <c r="AC251">
        <v>2</v>
      </c>
      <c r="AD251">
        <v>8</v>
      </c>
      <c r="AE251">
        <v>353.5</v>
      </c>
      <c r="AF251" s="17">
        <v>39.036999999999999</v>
      </c>
      <c r="AG251" s="33">
        <v>45307</v>
      </c>
      <c r="AH251" s="34">
        <v>0.73148148148148151</v>
      </c>
      <c r="AI251">
        <v>0</v>
      </c>
      <c r="AJ251">
        <v>0</v>
      </c>
      <c r="AK251">
        <v>0</v>
      </c>
      <c r="AL251">
        <v>0</v>
      </c>
      <c r="AM251">
        <v>0</v>
      </c>
      <c r="AN251">
        <v>0</v>
      </c>
      <c r="AO251">
        <v>0</v>
      </c>
      <c r="AP251">
        <v>0</v>
      </c>
      <c r="AQ251">
        <v>0</v>
      </c>
      <c r="AR251">
        <v>0</v>
      </c>
      <c r="AS251">
        <v>0</v>
      </c>
      <c r="AT251">
        <v>0</v>
      </c>
      <c r="AU251" s="30">
        <f t="shared" ref="AU251" si="97">AU250</f>
        <v>39.0212</v>
      </c>
      <c r="AV251" s="17"/>
    </row>
    <row r="252" spans="1:48" x14ac:dyDescent="0.25">
      <c r="A252">
        <v>2</v>
      </c>
      <c r="B252" t="s">
        <v>16</v>
      </c>
      <c r="C252">
        <v>27456</v>
      </c>
      <c r="D252">
        <v>192</v>
      </c>
      <c r="E252">
        <v>2</v>
      </c>
      <c r="F252">
        <v>8</v>
      </c>
      <c r="G252">
        <v>398.71</v>
      </c>
      <c r="H252" s="17">
        <v>34.61</v>
      </c>
      <c r="I252" s="33">
        <v>45308</v>
      </c>
      <c r="J252" s="37">
        <v>4.7280092592592589E-2</v>
      </c>
      <c r="K252">
        <v>0</v>
      </c>
      <c r="L252">
        <v>0</v>
      </c>
      <c r="M252">
        <v>0</v>
      </c>
      <c r="N252">
        <v>0</v>
      </c>
      <c r="O252">
        <v>0</v>
      </c>
      <c r="P252">
        <v>0</v>
      </c>
      <c r="Q252">
        <v>0</v>
      </c>
      <c r="R252">
        <v>0</v>
      </c>
      <c r="S252">
        <v>0</v>
      </c>
      <c r="T252">
        <v>0</v>
      </c>
      <c r="U252">
        <v>0</v>
      </c>
      <c r="V252">
        <v>0</v>
      </c>
      <c r="W252" s="30">
        <f>W251</f>
        <v>34.624399999999994</v>
      </c>
      <c r="X252" s="17"/>
      <c r="Y252">
        <v>2</v>
      </c>
      <c r="Z252" t="s">
        <v>16</v>
      </c>
      <c r="AA252">
        <v>27456</v>
      </c>
      <c r="AB252">
        <v>192</v>
      </c>
      <c r="AC252">
        <v>2</v>
      </c>
      <c r="AD252">
        <v>8</v>
      </c>
      <c r="AE252">
        <v>353.72</v>
      </c>
      <c r="AF252" s="17">
        <v>39.012</v>
      </c>
      <c r="AG252" s="33">
        <v>45307</v>
      </c>
      <c r="AH252" s="34">
        <v>0.57164351851851858</v>
      </c>
      <c r="AI252">
        <v>0</v>
      </c>
      <c r="AJ252">
        <v>0</v>
      </c>
      <c r="AK252">
        <v>0</v>
      </c>
      <c r="AL252">
        <v>0</v>
      </c>
      <c r="AM252">
        <v>0</v>
      </c>
      <c r="AN252">
        <v>0</v>
      </c>
      <c r="AO252">
        <v>0</v>
      </c>
      <c r="AP252">
        <v>0</v>
      </c>
      <c r="AQ252">
        <v>0</v>
      </c>
      <c r="AR252">
        <v>0</v>
      </c>
      <c r="AS252">
        <v>0</v>
      </c>
      <c r="AT252">
        <v>0</v>
      </c>
      <c r="AU252" s="30">
        <f t="shared" si="89"/>
        <v>39.0212</v>
      </c>
      <c r="AV252" s="17"/>
    </row>
    <row r="253" spans="1:48" x14ac:dyDescent="0.25">
      <c r="A253">
        <v>3</v>
      </c>
      <c r="B253" t="s">
        <v>16</v>
      </c>
      <c r="C253">
        <v>27456</v>
      </c>
      <c r="D253">
        <v>192</v>
      </c>
      <c r="E253">
        <v>2</v>
      </c>
      <c r="F253">
        <v>8</v>
      </c>
      <c r="G253">
        <v>398.99</v>
      </c>
      <c r="H253" s="17">
        <v>34.585000000000001</v>
      </c>
      <c r="I253" s="33">
        <v>45308</v>
      </c>
      <c r="J253" s="37">
        <v>0.39037037037037042</v>
      </c>
      <c r="K253">
        <v>0</v>
      </c>
      <c r="L253">
        <v>0</v>
      </c>
      <c r="M253">
        <v>0</v>
      </c>
      <c r="N253">
        <v>0</v>
      </c>
      <c r="O253">
        <v>0</v>
      </c>
      <c r="P253">
        <v>0</v>
      </c>
      <c r="Q253">
        <v>0</v>
      </c>
      <c r="R253">
        <v>0</v>
      </c>
      <c r="S253">
        <v>0</v>
      </c>
      <c r="T253">
        <v>0</v>
      </c>
      <c r="U253">
        <v>0</v>
      </c>
      <c r="V253">
        <v>0</v>
      </c>
      <c r="W253" s="30">
        <f>W252</f>
        <v>34.624399999999994</v>
      </c>
      <c r="X253" s="17"/>
      <c r="Y253">
        <v>3</v>
      </c>
      <c r="Z253" t="s">
        <v>16</v>
      </c>
      <c r="AA253">
        <v>27456</v>
      </c>
      <c r="AB253">
        <v>192</v>
      </c>
      <c r="AC253">
        <v>2</v>
      </c>
      <c r="AD253">
        <v>8</v>
      </c>
      <c r="AE253">
        <v>353.4</v>
      </c>
      <c r="AF253" s="17">
        <v>39.046999999999997</v>
      </c>
      <c r="AG253" s="33">
        <v>45307</v>
      </c>
      <c r="AH253" s="34">
        <v>0.50974537037037038</v>
      </c>
      <c r="AI253">
        <v>0</v>
      </c>
      <c r="AJ253">
        <v>0</v>
      </c>
      <c r="AK253">
        <v>0</v>
      </c>
      <c r="AL253">
        <v>0</v>
      </c>
      <c r="AM253">
        <v>0</v>
      </c>
      <c r="AN253">
        <v>0</v>
      </c>
      <c r="AO253">
        <v>0</v>
      </c>
      <c r="AP253">
        <v>0</v>
      </c>
      <c r="AQ253">
        <v>0</v>
      </c>
      <c r="AR253">
        <v>0</v>
      </c>
      <c r="AS253">
        <v>0</v>
      </c>
      <c r="AT253">
        <v>0</v>
      </c>
      <c r="AU253" s="30">
        <f t="shared" si="89"/>
        <v>39.0212</v>
      </c>
      <c r="AV253" s="17"/>
    </row>
    <row r="254" spans="1:48" x14ac:dyDescent="0.25">
      <c r="A254">
        <v>4</v>
      </c>
      <c r="B254" t="s">
        <v>16</v>
      </c>
      <c r="C254">
        <v>27456</v>
      </c>
      <c r="D254">
        <v>192</v>
      </c>
      <c r="E254">
        <v>2</v>
      </c>
      <c r="F254">
        <v>8</v>
      </c>
      <c r="G254">
        <v>398.34</v>
      </c>
      <c r="H254" s="17">
        <v>34.642000000000003</v>
      </c>
      <c r="I254" s="33">
        <v>45307</v>
      </c>
      <c r="J254" s="37">
        <v>0.78761574074074081</v>
      </c>
      <c r="K254">
        <v>0</v>
      </c>
      <c r="L254">
        <v>0</v>
      </c>
      <c r="M254">
        <v>0</v>
      </c>
      <c r="N254">
        <v>0</v>
      </c>
      <c r="O254">
        <v>0</v>
      </c>
      <c r="P254">
        <v>0</v>
      </c>
      <c r="Q254">
        <v>0</v>
      </c>
      <c r="R254">
        <v>0</v>
      </c>
      <c r="S254">
        <v>0</v>
      </c>
      <c r="T254">
        <v>0</v>
      </c>
      <c r="U254">
        <v>0</v>
      </c>
      <c r="V254">
        <v>0</v>
      </c>
      <c r="W254" s="30">
        <f>W253</f>
        <v>34.624399999999994</v>
      </c>
      <c r="X254" s="17"/>
      <c r="Y254">
        <v>4</v>
      </c>
      <c r="Z254" t="s">
        <v>16</v>
      </c>
      <c r="AA254">
        <v>27456</v>
      </c>
      <c r="AB254">
        <v>192</v>
      </c>
      <c r="AC254">
        <v>2</v>
      </c>
      <c r="AD254">
        <v>8</v>
      </c>
      <c r="AE254">
        <v>353.79</v>
      </c>
      <c r="AF254" s="17">
        <v>39.003999999999998</v>
      </c>
      <c r="AG254" s="33">
        <v>45307</v>
      </c>
      <c r="AH254" s="34">
        <v>0.77290509259259255</v>
      </c>
      <c r="AI254">
        <v>0</v>
      </c>
      <c r="AJ254">
        <v>0</v>
      </c>
      <c r="AK254">
        <v>0</v>
      </c>
      <c r="AL254">
        <v>0</v>
      </c>
      <c r="AM254">
        <v>0</v>
      </c>
      <c r="AN254">
        <v>0</v>
      </c>
      <c r="AO254">
        <v>0</v>
      </c>
      <c r="AP254">
        <v>0</v>
      </c>
      <c r="AQ254">
        <v>0</v>
      </c>
      <c r="AR254">
        <v>0</v>
      </c>
      <c r="AS254">
        <v>0</v>
      </c>
      <c r="AT254">
        <v>0</v>
      </c>
      <c r="AU254" s="30">
        <f t="shared" si="89"/>
        <v>39.0212</v>
      </c>
      <c r="AV254" s="17"/>
    </row>
    <row r="255" spans="1:48" x14ac:dyDescent="0.25">
      <c r="A255">
        <v>0</v>
      </c>
      <c r="B255" t="s">
        <v>16</v>
      </c>
      <c r="C255">
        <v>28992</v>
      </c>
      <c r="D255">
        <v>192</v>
      </c>
      <c r="E255">
        <v>2</v>
      </c>
      <c r="F255">
        <v>8</v>
      </c>
      <c r="G255">
        <v>427.67</v>
      </c>
      <c r="H255" s="17">
        <v>37.99</v>
      </c>
      <c r="I255" s="33">
        <v>45307</v>
      </c>
      <c r="J255" s="37">
        <v>0.57958333333333334</v>
      </c>
      <c r="K255">
        <v>0</v>
      </c>
      <c r="L255">
        <v>0</v>
      </c>
      <c r="M255">
        <v>0</v>
      </c>
      <c r="N255">
        <v>0</v>
      </c>
      <c r="O255">
        <v>0</v>
      </c>
      <c r="P255">
        <v>0</v>
      </c>
      <c r="Q255">
        <v>0</v>
      </c>
      <c r="R255">
        <v>0</v>
      </c>
      <c r="S255">
        <v>0</v>
      </c>
      <c r="T255">
        <v>0</v>
      </c>
      <c r="U255">
        <v>0</v>
      </c>
      <c r="V255">
        <v>0</v>
      </c>
      <c r="W255" s="30">
        <f>AVERAGE(H255:H259)</f>
        <v>38.002200000000002</v>
      </c>
      <c r="X255" s="17"/>
      <c r="Y255">
        <v>0</v>
      </c>
      <c r="Z255" t="s">
        <v>16</v>
      </c>
      <c r="AA255">
        <v>28992</v>
      </c>
      <c r="AB255">
        <v>192</v>
      </c>
      <c r="AC255">
        <v>2</v>
      </c>
      <c r="AD255">
        <v>8</v>
      </c>
      <c r="AE255">
        <v>399</v>
      </c>
      <c r="AF255" s="17">
        <v>40.719000000000001</v>
      </c>
      <c r="AG255" s="33">
        <v>45307</v>
      </c>
      <c r="AH255" s="34">
        <v>0.63473379629629634</v>
      </c>
      <c r="AI255">
        <v>0</v>
      </c>
      <c r="AJ255">
        <v>0</v>
      </c>
      <c r="AK255">
        <v>0</v>
      </c>
      <c r="AL255">
        <v>0</v>
      </c>
      <c r="AM255">
        <v>0</v>
      </c>
      <c r="AN255">
        <v>0</v>
      </c>
      <c r="AO255">
        <v>0</v>
      </c>
      <c r="AP255">
        <v>0</v>
      </c>
      <c r="AQ255">
        <v>0</v>
      </c>
      <c r="AR255">
        <v>0</v>
      </c>
      <c r="AS255">
        <v>0</v>
      </c>
      <c r="AT255">
        <v>0</v>
      </c>
      <c r="AU255" s="30">
        <f t="shared" ref="AU255" si="98">AVERAGE(AF255:AF259)</f>
        <v>40.735599999999998</v>
      </c>
      <c r="AV255" s="17"/>
    </row>
    <row r="256" spans="1:48" x14ac:dyDescent="0.25">
      <c r="A256">
        <v>1</v>
      </c>
      <c r="B256" t="s">
        <v>16</v>
      </c>
      <c r="C256">
        <v>28992</v>
      </c>
      <c r="D256">
        <v>192</v>
      </c>
      <c r="E256">
        <v>2</v>
      </c>
      <c r="F256">
        <v>8</v>
      </c>
      <c r="G256">
        <v>427.38</v>
      </c>
      <c r="H256" s="17">
        <v>38.015999999999998</v>
      </c>
      <c r="I256" s="33">
        <v>45307</v>
      </c>
      <c r="J256" s="37">
        <v>0.92017361111111118</v>
      </c>
      <c r="K256">
        <v>0</v>
      </c>
      <c r="L256">
        <v>0</v>
      </c>
      <c r="M256">
        <v>0</v>
      </c>
      <c r="N256">
        <v>0</v>
      </c>
      <c r="O256">
        <v>0</v>
      </c>
      <c r="P256">
        <v>0</v>
      </c>
      <c r="Q256">
        <v>0</v>
      </c>
      <c r="R256">
        <v>0</v>
      </c>
      <c r="S256">
        <v>0</v>
      </c>
      <c r="T256">
        <v>0</v>
      </c>
      <c r="U256">
        <v>0</v>
      </c>
      <c r="V256">
        <v>0</v>
      </c>
      <c r="W256" s="30">
        <f>W255</f>
        <v>38.002200000000002</v>
      </c>
      <c r="X256" s="17"/>
      <c r="Y256">
        <v>1</v>
      </c>
      <c r="Z256" t="s">
        <v>16</v>
      </c>
      <c r="AA256">
        <v>28992</v>
      </c>
      <c r="AB256">
        <v>192</v>
      </c>
      <c r="AC256">
        <v>2</v>
      </c>
      <c r="AD256">
        <v>8</v>
      </c>
      <c r="AE256">
        <v>398.74</v>
      </c>
      <c r="AF256" s="17">
        <v>40.747</v>
      </c>
      <c r="AG256" s="33">
        <v>45307</v>
      </c>
      <c r="AH256" s="34">
        <v>0.58394675925925921</v>
      </c>
      <c r="AI256">
        <v>0</v>
      </c>
      <c r="AJ256">
        <v>0</v>
      </c>
      <c r="AK256">
        <v>0</v>
      </c>
      <c r="AL256">
        <v>0</v>
      </c>
      <c r="AM256">
        <v>0</v>
      </c>
      <c r="AN256">
        <v>0</v>
      </c>
      <c r="AO256">
        <v>0</v>
      </c>
      <c r="AP256">
        <v>0</v>
      </c>
      <c r="AQ256">
        <v>0</v>
      </c>
      <c r="AR256">
        <v>0</v>
      </c>
      <c r="AS256">
        <v>0</v>
      </c>
      <c r="AT256">
        <v>0</v>
      </c>
      <c r="AU256" s="30">
        <f t="shared" ref="AU256" si="99">AU255</f>
        <v>40.735599999999998</v>
      </c>
      <c r="AV256" s="17"/>
    </row>
    <row r="257" spans="1:48" x14ac:dyDescent="0.25">
      <c r="A257">
        <v>2</v>
      </c>
      <c r="B257" t="s">
        <v>16</v>
      </c>
      <c r="C257">
        <v>28992</v>
      </c>
      <c r="D257">
        <v>192</v>
      </c>
      <c r="E257">
        <v>2</v>
      </c>
      <c r="F257">
        <v>8</v>
      </c>
      <c r="G257">
        <v>427.46</v>
      </c>
      <c r="H257" s="17">
        <v>38.008000000000003</v>
      </c>
      <c r="I257" s="33">
        <v>45308</v>
      </c>
      <c r="J257" s="37">
        <v>0.26313657407407409</v>
      </c>
      <c r="K257">
        <v>0</v>
      </c>
      <c r="L257">
        <v>0</v>
      </c>
      <c r="M257">
        <v>0</v>
      </c>
      <c r="N257">
        <v>0</v>
      </c>
      <c r="O257">
        <v>0</v>
      </c>
      <c r="P257">
        <v>0</v>
      </c>
      <c r="Q257">
        <v>0</v>
      </c>
      <c r="R257">
        <v>0</v>
      </c>
      <c r="S257">
        <v>0</v>
      </c>
      <c r="T257">
        <v>0</v>
      </c>
      <c r="U257">
        <v>0</v>
      </c>
      <c r="V257">
        <v>0</v>
      </c>
      <c r="W257" s="30">
        <f>W256</f>
        <v>38.002200000000002</v>
      </c>
      <c r="X257" s="17"/>
      <c r="Y257">
        <v>2</v>
      </c>
      <c r="Z257" t="s">
        <v>16</v>
      </c>
      <c r="AA257">
        <v>28992</v>
      </c>
      <c r="AB257">
        <v>192</v>
      </c>
      <c r="AC257">
        <v>2</v>
      </c>
      <c r="AD257">
        <v>8</v>
      </c>
      <c r="AE257">
        <v>398.9</v>
      </c>
      <c r="AF257" s="17">
        <v>40.729999999999997</v>
      </c>
      <c r="AG257" s="33">
        <v>45307</v>
      </c>
      <c r="AH257" s="34">
        <v>0.73761574074074077</v>
      </c>
      <c r="AI257">
        <v>0</v>
      </c>
      <c r="AJ257">
        <v>0</v>
      </c>
      <c r="AK257">
        <v>0</v>
      </c>
      <c r="AL257">
        <v>0</v>
      </c>
      <c r="AM257">
        <v>0</v>
      </c>
      <c r="AN257">
        <v>0</v>
      </c>
      <c r="AO257">
        <v>0</v>
      </c>
      <c r="AP257">
        <v>0</v>
      </c>
      <c r="AQ257">
        <v>0</v>
      </c>
      <c r="AR257">
        <v>0</v>
      </c>
      <c r="AS257">
        <v>0</v>
      </c>
      <c r="AT257">
        <v>0</v>
      </c>
      <c r="AU257" s="30">
        <f t="shared" si="87"/>
        <v>40.735599999999998</v>
      </c>
      <c r="AV257" s="17"/>
    </row>
    <row r="258" spans="1:48" x14ac:dyDescent="0.25">
      <c r="A258">
        <v>3</v>
      </c>
      <c r="B258" t="s">
        <v>16</v>
      </c>
      <c r="C258">
        <v>28992</v>
      </c>
      <c r="D258">
        <v>192</v>
      </c>
      <c r="E258">
        <v>2</v>
      </c>
      <c r="F258">
        <v>8</v>
      </c>
      <c r="G258">
        <v>427.68</v>
      </c>
      <c r="H258" s="17">
        <v>37.988999999999997</v>
      </c>
      <c r="I258" s="33">
        <v>45307</v>
      </c>
      <c r="J258" s="37">
        <v>0.66049768518518526</v>
      </c>
      <c r="K258">
        <v>0</v>
      </c>
      <c r="L258">
        <v>0</v>
      </c>
      <c r="M258">
        <v>0</v>
      </c>
      <c r="N258">
        <v>0</v>
      </c>
      <c r="O258">
        <v>0</v>
      </c>
      <c r="P258">
        <v>0</v>
      </c>
      <c r="Q258">
        <v>0</v>
      </c>
      <c r="R258">
        <v>0</v>
      </c>
      <c r="S258">
        <v>0</v>
      </c>
      <c r="T258">
        <v>0</v>
      </c>
      <c r="U258">
        <v>0</v>
      </c>
      <c r="V258">
        <v>0</v>
      </c>
      <c r="W258" s="30">
        <f>W257</f>
        <v>38.002200000000002</v>
      </c>
      <c r="X258" s="17"/>
      <c r="Y258">
        <v>3</v>
      </c>
      <c r="Z258" t="s">
        <v>16</v>
      </c>
      <c r="AA258">
        <v>28992</v>
      </c>
      <c r="AB258">
        <v>192</v>
      </c>
      <c r="AC258">
        <v>2</v>
      </c>
      <c r="AD258">
        <v>8</v>
      </c>
      <c r="AE258">
        <v>398.92</v>
      </c>
      <c r="AF258" s="17">
        <v>40.726999999999997</v>
      </c>
      <c r="AG258" s="33">
        <v>45307</v>
      </c>
      <c r="AH258" s="34">
        <v>0.67620370370370375</v>
      </c>
      <c r="AI258">
        <v>0</v>
      </c>
      <c r="AJ258">
        <v>0</v>
      </c>
      <c r="AK258">
        <v>0</v>
      </c>
      <c r="AL258">
        <v>0</v>
      </c>
      <c r="AM258">
        <v>0</v>
      </c>
      <c r="AN258">
        <v>0</v>
      </c>
      <c r="AO258">
        <v>0</v>
      </c>
      <c r="AP258">
        <v>0</v>
      </c>
      <c r="AQ258">
        <v>0</v>
      </c>
      <c r="AR258">
        <v>0</v>
      </c>
      <c r="AS258">
        <v>0</v>
      </c>
      <c r="AT258">
        <v>0</v>
      </c>
      <c r="AU258" s="30">
        <f t="shared" si="87"/>
        <v>40.735599999999998</v>
      </c>
      <c r="AV258" s="17"/>
    </row>
    <row r="259" spans="1:48" x14ac:dyDescent="0.25">
      <c r="A259">
        <v>4</v>
      </c>
      <c r="B259" t="s">
        <v>16</v>
      </c>
      <c r="C259">
        <v>28992</v>
      </c>
      <c r="D259">
        <v>192</v>
      </c>
      <c r="E259">
        <v>2</v>
      </c>
      <c r="F259">
        <v>8</v>
      </c>
      <c r="G259">
        <v>427.47</v>
      </c>
      <c r="H259" s="17">
        <v>38.008000000000003</v>
      </c>
      <c r="I259" s="33">
        <v>45308</v>
      </c>
      <c r="J259" s="37">
        <v>2.1759259259259258E-3</v>
      </c>
      <c r="K259">
        <v>0</v>
      </c>
      <c r="L259">
        <v>0</v>
      </c>
      <c r="M259">
        <v>0</v>
      </c>
      <c r="N259">
        <v>0</v>
      </c>
      <c r="O259">
        <v>0</v>
      </c>
      <c r="P259">
        <v>0</v>
      </c>
      <c r="Q259">
        <v>0</v>
      </c>
      <c r="R259">
        <v>0</v>
      </c>
      <c r="S259">
        <v>0</v>
      </c>
      <c r="T259">
        <v>0</v>
      </c>
      <c r="U259">
        <v>0</v>
      </c>
      <c r="V259">
        <v>0</v>
      </c>
      <c r="W259" s="30">
        <f>W258</f>
        <v>38.002200000000002</v>
      </c>
      <c r="X259" s="17"/>
      <c r="Y259">
        <v>4</v>
      </c>
      <c r="Z259" t="s">
        <v>16</v>
      </c>
      <c r="AA259">
        <v>28992</v>
      </c>
      <c r="AB259">
        <v>192</v>
      </c>
      <c r="AC259">
        <v>2</v>
      </c>
      <c r="AD259">
        <v>8</v>
      </c>
      <c r="AE259">
        <v>398.65</v>
      </c>
      <c r="AF259" s="17">
        <v>40.755000000000003</v>
      </c>
      <c r="AG259" s="33">
        <v>45307</v>
      </c>
      <c r="AH259" s="34">
        <v>0.55104166666666665</v>
      </c>
      <c r="AI259">
        <v>0</v>
      </c>
      <c r="AJ259">
        <v>0</v>
      </c>
      <c r="AK259">
        <v>0</v>
      </c>
      <c r="AL259">
        <v>0</v>
      </c>
      <c r="AM259">
        <v>0</v>
      </c>
      <c r="AN259">
        <v>0</v>
      </c>
      <c r="AO259">
        <v>0</v>
      </c>
      <c r="AP259">
        <v>0</v>
      </c>
      <c r="AQ259">
        <v>0</v>
      </c>
      <c r="AR259">
        <v>0</v>
      </c>
      <c r="AS259">
        <v>0</v>
      </c>
      <c r="AT259">
        <v>0</v>
      </c>
      <c r="AU259" s="30">
        <f t="shared" si="87"/>
        <v>40.735599999999998</v>
      </c>
      <c r="AV259" s="17"/>
    </row>
    <row r="260" spans="1:48" x14ac:dyDescent="0.25">
      <c r="A260">
        <v>0</v>
      </c>
      <c r="B260" t="s">
        <v>16</v>
      </c>
      <c r="C260">
        <v>25920</v>
      </c>
      <c r="D260">
        <v>192</v>
      </c>
      <c r="E260">
        <v>4</v>
      </c>
      <c r="F260">
        <v>4</v>
      </c>
      <c r="G260">
        <v>333.44</v>
      </c>
      <c r="H260" s="17">
        <v>34.82</v>
      </c>
      <c r="I260" s="33">
        <v>45307</v>
      </c>
      <c r="J260" s="37">
        <v>0.62354166666666666</v>
      </c>
      <c r="K260">
        <v>0</v>
      </c>
      <c r="L260">
        <v>0</v>
      </c>
      <c r="M260">
        <v>0</v>
      </c>
      <c r="N260">
        <v>0</v>
      </c>
      <c r="O260">
        <v>0</v>
      </c>
      <c r="P260">
        <v>0</v>
      </c>
      <c r="Q260">
        <v>0</v>
      </c>
      <c r="R260">
        <v>0</v>
      </c>
      <c r="S260">
        <v>0</v>
      </c>
      <c r="T260">
        <v>0</v>
      </c>
      <c r="U260">
        <v>0</v>
      </c>
      <c r="V260">
        <v>0</v>
      </c>
      <c r="W260" s="30">
        <f>AVERAGE(H260:H264)</f>
        <v>34.791999999999994</v>
      </c>
      <c r="X260" s="17"/>
      <c r="Y260">
        <v>0</v>
      </c>
      <c r="Z260" t="s">
        <v>16</v>
      </c>
      <c r="AA260">
        <v>25920</v>
      </c>
      <c r="AB260">
        <v>192</v>
      </c>
      <c r="AC260">
        <v>4</v>
      </c>
      <c r="AD260">
        <v>4</v>
      </c>
      <c r="AE260">
        <v>314.07</v>
      </c>
      <c r="AF260" s="17">
        <v>36.968000000000004</v>
      </c>
      <c r="AG260" s="33">
        <v>45307</v>
      </c>
      <c r="AH260" s="34">
        <v>0.55623842592592598</v>
      </c>
      <c r="AI260">
        <v>0</v>
      </c>
      <c r="AJ260">
        <v>0</v>
      </c>
      <c r="AK260">
        <v>0</v>
      </c>
      <c r="AL260">
        <v>0</v>
      </c>
      <c r="AM260">
        <v>0</v>
      </c>
      <c r="AN260">
        <v>0</v>
      </c>
      <c r="AO260">
        <v>0</v>
      </c>
      <c r="AP260">
        <v>0</v>
      </c>
      <c r="AQ260">
        <v>0</v>
      </c>
      <c r="AR260">
        <v>0</v>
      </c>
      <c r="AS260">
        <v>0</v>
      </c>
      <c r="AT260">
        <v>0</v>
      </c>
      <c r="AU260" s="30">
        <f t="shared" ref="AU260" si="100">AVERAGE(AF260:AF264)</f>
        <v>36.961799999999997</v>
      </c>
      <c r="AV260" s="17"/>
    </row>
    <row r="261" spans="1:48" x14ac:dyDescent="0.25">
      <c r="A261">
        <v>1</v>
      </c>
      <c r="B261" t="s">
        <v>16</v>
      </c>
      <c r="C261">
        <v>25920</v>
      </c>
      <c r="D261">
        <v>192</v>
      </c>
      <c r="E261">
        <v>4</v>
      </c>
      <c r="F261">
        <v>4</v>
      </c>
      <c r="G261">
        <v>333.85</v>
      </c>
      <c r="H261" s="17">
        <v>34.777999999999999</v>
      </c>
      <c r="I261" s="33">
        <v>45307</v>
      </c>
      <c r="J261" s="37">
        <v>0.8206134259259259</v>
      </c>
      <c r="K261">
        <v>0</v>
      </c>
      <c r="L261">
        <v>0</v>
      </c>
      <c r="M261">
        <v>0</v>
      </c>
      <c r="N261">
        <v>0</v>
      </c>
      <c r="O261">
        <v>0</v>
      </c>
      <c r="P261">
        <v>0</v>
      </c>
      <c r="Q261">
        <v>0</v>
      </c>
      <c r="R261">
        <v>0</v>
      </c>
      <c r="S261">
        <v>0</v>
      </c>
      <c r="T261">
        <v>0</v>
      </c>
      <c r="U261">
        <v>0</v>
      </c>
      <c r="V261">
        <v>0</v>
      </c>
      <c r="W261" s="30">
        <f>W260</f>
        <v>34.791999999999994</v>
      </c>
      <c r="X261" s="17"/>
      <c r="Y261">
        <v>1</v>
      </c>
      <c r="Z261" t="s">
        <v>16</v>
      </c>
      <c r="AA261">
        <v>25920</v>
      </c>
      <c r="AB261">
        <v>192</v>
      </c>
      <c r="AC261">
        <v>4</v>
      </c>
      <c r="AD261">
        <v>4</v>
      </c>
      <c r="AE261">
        <v>313.83</v>
      </c>
      <c r="AF261" s="17">
        <v>36.996000000000002</v>
      </c>
      <c r="AG261" s="33">
        <v>45307</v>
      </c>
      <c r="AH261" s="34">
        <v>0.5058449074074074</v>
      </c>
      <c r="AI261">
        <v>0</v>
      </c>
      <c r="AJ261">
        <v>0</v>
      </c>
      <c r="AK261">
        <v>0</v>
      </c>
      <c r="AL261">
        <v>0</v>
      </c>
      <c r="AM261">
        <v>0</v>
      </c>
      <c r="AN261">
        <v>0</v>
      </c>
      <c r="AO261">
        <v>0</v>
      </c>
      <c r="AP261">
        <v>0</v>
      </c>
      <c r="AQ261">
        <v>0</v>
      </c>
      <c r="AR261">
        <v>0</v>
      </c>
      <c r="AS261">
        <v>0</v>
      </c>
      <c r="AT261">
        <v>0</v>
      </c>
      <c r="AU261" s="30">
        <f t="shared" ref="AU261" si="101">AU260</f>
        <v>36.961799999999997</v>
      </c>
      <c r="AV261" s="17"/>
    </row>
    <row r="262" spans="1:48" x14ac:dyDescent="0.25">
      <c r="A262">
        <v>2</v>
      </c>
      <c r="B262" t="s">
        <v>16</v>
      </c>
      <c r="C262">
        <v>25920</v>
      </c>
      <c r="D262">
        <v>192</v>
      </c>
      <c r="E262">
        <v>4</v>
      </c>
      <c r="F262">
        <v>4</v>
      </c>
      <c r="G262">
        <v>333.91</v>
      </c>
      <c r="H262" s="17">
        <v>34.771000000000001</v>
      </c>
      <c r="I262" s="33">
        <v>45308</v>
      </c>
      <c r="J262" s="37">
        <v>0.16122685185185184</v>
      </c>
      <c r="K262">
        <v>0</v>
      </c>
      <c r="L262">
        <v>0</v>
      </c>
      <c r="M262">
        <v>0</v>
      </c>
      <c r="N262">
        <v>0</v>
      </c>
      <c r="O262">
        <v>0</v>
      </c>
      <c r="P262">
        <v>0</v>
      </c>
      <c r="Q262">
        <v>0</v>
      </c>
      <c r="R262">
        <v>0</v>
      </c>
      <c r="S262">
        <v>0</v>
      </c>
      <c r="T262">
        <v>0</v>
      </c>
      <c r="U262">
        <v>0</v>
      </c>
      <c r="V262">
        <v>0</v>
      </c>
      <c r="W262" s="30">
        <f>W261</f>
        <v>34.791999999999994</v>
      </c>
      <c r="X262" s="17"/>
      <c r="Y262">
        <v>2</v>
      </c>
      <c r="Z262" t="s">
        <v>16</v>
      </c>
      <c r="AA262">
        <v>25920</v>
      </c>
      <c r="AB262">
        <v>192</v>
      </c>
      <c r="AC262">
        <v>4</v>
      </c>
      <c r="AD262">
        <v>4</v>
      </c>
      <c r="AE262">
        <v>314.31</v>
      </c>
      <c r="AF262" s="17">
        <v>36.939</v>
      </c>
      <c r="AG262" s="33">
        <v>45307</v>
      </c>
      <c r="AH262" s="34">
        <v>0.65960648148148149</v>
      </c>
      <c r="AI262">
        <v>0</v>
      </c>
      <c r="AJ262">
        <v>0</v>
      </c>
      <c r="AK262">
        <v>0</v>
      </c>
      <c r="AL262">
        <v>0</v>
      </c>
      <c r="AM262">
        <v>0</v>
      </c>
      <c r="AN262">
        <v>0</v>
      </c>
      <c r="AO262">
        <v>0</v>
      </c>
      <c r="AP262">
        <v>0</v>
      </c>
      <c r="AQ262">
        <v>0</v>
      </c>
      <c r="AR262">
        <v>0</v>
      </c>
      <c r="AS262">
        <v>0</v>
      </c>
      <c r="AT262">
        <v>0</v>
      </c>
      <c r="AU262" s="30">
        <f t="shared" si="89"/>
        <v>36.961799999999997</v>
      </c>
      <c r="AV262" s="17"/>
    </row>
    <row r="263" spans="1:48" x14ac:dyDescent="0.25">
      <c r="A263">
        <v>3</v>
      </c>
      <c r="B263" t="s">
        <v>16</v>
      </c>
      <c r="C263">
        <v>25920</v>
      </c>
      <c r="D263">
        <v>192</v>
      </c>
      <c r="E263">
        <v>4</v>
      </c>
      <c r="F263">
        <v>4</v>
      </c>
      <c r="G263">
        <v>333.79</v>
      </c>
      <c r="H263" s="17">
        <v>34.783999999999999</v>
      </c>
      <c r="I263" s="33">
        <v>45307</v>
      </c>
      <c r="J263" s="37">
        <v>0.55865740740740744</v>
      </c>
      <c r="K263">
        <v>0</v>
      </c>
      <c r="L263">
        <v>0</v>
      </c>
      <c r="M263">
        <v>0</v>
      </c>
      <c r="N263">
        <v>0</v>
      </c>
      <c r="O263">
        <v>0</v>
      </c>
      <c r="P263">
        <v>0</v>
      </c>
      <c r="Q263">
        <v>0</v>
      </c>
      <c r="R263">
        <v>0</v>
      </c>
      <c r="S263">
        <v>0</v>
      </c>
      <c r="T263">
        <v>0</v>
      </c>
      <c r="U263">
        <v>0</v>
      </c>
      <c r="V263">
        <v>0</v>
      </c>
      <c r="W263" s="30">
        <f>W262</f>
        <v>34.791999999999994</v>
      </c>
      <c r="X263" s="17"/>
      <c r="Y263">
        <v>3</v>
      </c>
      <c r="Z263" t="s">
        <v>16</v>
      </c>
      <c r="AA263">
        <v>25920</v>
      </c>
      <c r="AB263">
        <v>192</v>
      </c>
      <c r="AC263">
        <v>4</v>
      </c>
      <c r="AD263">
        <v>4</v>
      </c>
      <c r="AE263">
        <v>314.10000000000002</v>
      </c>
      <c r="AF263" s="17">
        <v>36.965000000000003</v>
      </c>
      <c r="AG263" s="33">
        <v>45307</v>
      </c>
      <c r="AH263" s="34">
        <v>0.59768518518518521</v>
      </c>
      <c r="AI263">
        <v>0</v>
      </c>
      <c r="AJ263">
        <v>0</v>
      </c>
      <c r="AK263">
        <v>0</v>
      </c>
      <c r="AL263">
        <v>0</v>
      </c>
      <c r="AM263">
        <v>0</v>
      </c>
      <c r="AN263">
        <v>0</v>
      </c>
      <c r="AO263">
        <v>0</v>
      </c>
      <c r="AP263">
        <v>0</v>
      </c>
      <c r="AQ263">
        <v>0</v>
      </c>
      <c r="AR263">
        <v>0</v>
      </c>
      <c r="AS263">
        <v>0</v>
      </c>
      <c r="AT263">
        <v>0</v>
      </c>
      <c r="AU263" s="30">
        <f t="shared" si="89"/>
        <v>36.961799999999997</v>
      </c>
      <c r="AV263" s="17"/>
    </row>
    <row r="264" spans="1:48" x14ac:dyDescent="0.25">
      <c r="A264">
        <v>4</v>
      </c>
      <c r="B264" t="s">
        <v>16</v>
      </c>
      <c r="C264">
        <v>25920</v>
      </c>
      <c r="D264">
        <v>192</v>
      </c>
      <c r="E264">
        <v>4</v>
      </c>
      <c r="F264">
        <v>4</v>
      </c>
      <c r="G264">
        <v>333.57</v>
      </c>
      <c r="H264" s="17">
        <v>34.807000000000002</v>
      </c>
      <c r="I264" s="33">
        <v>45307</v>
      </c>
      <c r="J264" s="37">
        <v>0.90158564814814823</v>
      </c>
      <c r="K264">
        <v>0</v>
      </c>
      <c r="L264">
        <v>0</v>
      </c>
      <c r="M264">
        <v>0</v>
      </c>
      <c r="N264">
        <v>0</v>
      </c>
      <c r="O264">
        <v>0</v>
      </c>
      <c r="P264">
        <v>0</v>
      </c>
      <c r="Q264">
        <v>0</v>
      </c>
      <c r="R264">
        <v>0</v>
      </c>
      <c r="S264">
        <v>0</v>
      </c>
      <c r="T264">
        <v>0</v>
      </c>
      <c r="U264">
        <v>0</v>
      </c>
      <c r="V264">
        <v>0</v>
      </c>
      <c r="W264" s="30">
        <f>W263</f>
        <v>34.791999999999994</v>
      </c>
      <c r="X264" s="17"/>
      <c r="Y264">
        <v>4</v>
      </c>
      <c r="Z264" t="s">
        <v>16</v>
      </c>
      <c r="AA264">
        <v>25920</v>
      </c>
      <c r="AB264">
        <v>192</v>
      </c>
      <c r="AC264">
        <v>4</v>
      </c>
      <c r="AD264">
        <v>4</v>
      </c>
      <c r="AE264">
        <v>314.3</v>
      </c>
      <c r="AF264" s="17">
        <v>36.941000000000003</v>
      </c>
      <c r="AG264" s="33">
        <v>45307</v>
      </c>
      <c r="AH264" s="34">
        <v>0.51200231481481484</v>
      </c>
      <c r="AI264">
        <v>0</v>
      </c>
      <c r="AJ264">
        <v>0</v>
      </c>
      <c r="AK264">
        <v>0</v>
      </c>
      <c r="AL264">
        <v>0</v>
      </c>
      <c r="AM264">
        <v>0</v>
      </c>
      <c r="AN264">
        <v>0</v>
      </c>
      <c r="AO264">
        <v>0</v>
      </c>
      <c r="AP264">
        <v>0</v>
      </c>
      <c r="AQ264">
        <v>0</v>
      </c>
      <c r="AR264">
        <v>0</v>
      </c>
      <c r="AS264">
        <v>0</v>
      </c>
      <c r="AT264">
        <v>0</v>
      </c>
      <c r="AU264" s="30">
        <f t="shared" si="89"/>
        <v>36.961799999999997</v>
      </c>
      <c r="AV264" s="17"/>
    </row>
    <row r="265" spans="1:48" x14ac:dyDescent="0.25">
      <c r="A265">
        <v>0</v>
      </c>
      <c r="B265" t="s">
        <v>16</v>
      </c>
      <c r="C265">
        <v>27456</v>
      </c>
      <c r="D265">
        <v>192</v>
      </c>
      <c r="E265">
        <v>4</v>
      </c>
      <c r="F265">
        <v>4</v>
      </c>
      <c r="G265">
        <v>394.43</v>
      </c>
      <c r="H265" s="17">
        <v>34.984999999999999</v>
      </c>
      <c r="I265" s="33">
        <v>45307</v>
      </c>
      <c r="J265" s="37">
        <v>0.51431712962962961</v>
      </c>
      <c r="K265">
        <v>0</v>
      </c>
      <c r="L265">
        <v>0</v>
      </c>
      <c r="M265">
        <v>0</v>
      </c>
      <c r="N265">
        <v>0</v>
      </c>
      <c r="O265">
        <v>0</v>
      </c>
      <c r="P265">
        <v>0</v>
      </c>
      <c r="Q265">
        <v>0</v>
      </c>
      <c r="R265">
        <v>0</v>
      </c>
      <c r="S265">
        <v>0</v>
      </c>
      <c r="T265">
        <v>0</v>
      </c>
      <c r="U265">
        <v>0</v>
      </c>
      <c r="V265">
        <v>0</v>
      </c>
      <c r="W265" s="30">
        <f>AVERAGE(H265:H269)</f>
        <v>34.977800000000002</v>
      </c>
      <c r="X265" s="17"/>
      <c r="Y265">
        <v>0</v>
      </c>
      <c r="Z265" t="s">
        <v>16</v>
      </c>
      <c r="AA265">
        <v>27456</v>
      </c>
      <c r="AB265">
        <v>192</v>
      </c>
      <c r="AC265">
        <v>4</v>
      </c>
      <c r="AD265">
        <v>4</v>
      </c>
      <c r="AE265">
        <v>367.74</v>
      </c>
      <c r="AF265" s="17">
        <v>37.524000000000001</v>
      </c>
      <c r="AG265" s="33">
        <v>45307</v>
      </c>
      <c r="AH265" s="34">
        <v>0.65474537037037039</v>
      </c>
      <c r="AI265">
        <v>0</v>
      </c>
      <c r="AJ265">
        <v>0</v>
      </c>
      <c r="AK265">
        <v>0</v>
      </c>
      <c r="AL265">
        <v>0</v>
      </c>
      <c r="AM265">
        <v>0</v>
      </c>
      <c r="AN265">
        <v>51</v>
      </c>
      <c r="AO265">
        <v>0</v>
      </c>
      <c r="AP265">
        <v>0</v>
      </c>
      <c r="AQ265">
        <v>0</v>
      </c>
      <c r="AR265">
        <v>0</v>
      </c>
      <c r="AS265">
        <v>0</v>
      </c>
      <c r="AT265">
        <v>583</v>
      </c>
      <c r="AU265" s="30">
        <f t="shared" ref="AU265" si="102">AVERAGE(AF265:AF269)</f>
        <v>37.517600000000002</v>
      </c>
      <c r="AV265" s="17"/>
    </row>
    <row r="266" spans="1:48" x14ac:dyDescent="0.25">
      <c r="A266">
        <v>1</v>
      </c>
      <c r="B266" t="s">
        <v>16</v>
      </c>
      <c r="C266">
        <v>27456</v>
      </c>
      <c r="D266">
        <v>192</v>
      </c>
      <c r="E266">
        <v>4</v>
      </c>
      <c r="F266">
        <v>4</v>
      </c>
      <c r="G266">
        <v>394.45</v>
      </c>
      <c r="H266" s="17">
        <v>34.984000000000002</v>
      </c>
      <c r="I266" s="33">
        <v>45307</v>
      </c>
      <c r="J266" s="37">
        <v>0.71138888888888896</v>
      </c>
      <c r="K266">
        <v>0</v>
      </c>
      <c r="L266">
        <v>0</v>
      </c>
      <c r="M266">
        <v>0</v>
      </c>
      <c r="N266">
        <v>0</v>
      </c>
      <c r="O266">
        <v>0</v>
      </c>
      <c r="P266">
        <v>0</v>
      </c>
      <c r="Q266">
        <v>0</v>
      </c>
      <c r="R266">
        <v>0</v>
      </c>
      <c r="S266">
        <v>0</v>
      </c>
      <c r="T266">
        <v>0</v>
      </c>
      <c r="U266">
        <v>0</v>
      </c>
      <c r="V266">
        <v>0</v>
      </c>
      <c r="W266" s="30">
        <f>W265</f>
        <v>34.977800000000002</v>
      </c>
      <c r="X266" s="17"/>
      <c r="Y266">
        <v>1</v>
      </c>
      <c r="Z266" t="s">
        <v>16</v>
      </c>
      <c r="AA266">
        <v>27456</v>
      </c>
      <c r="AB266">
        <v>192</v>
      </c>
      <c r="AC266">
        <v>4</v>
      </c>
      <c r="AD266">
        <v>4</v>
      </c>
      <c r="AE266">
        <v>367.94</v>
      </c>
      <c r="AF266" s="17">
        <v>37.505000000000003</v>
      </c>
      <c r="AG266" s="33">
        <v>45307</v>
      </c>
      <c r="AH266" s="34">
        <v>0.73640046296296291</v>
      </c>
      <c r="AI266">
        <v>0</v>
      </c>
      <c r="AJ266">
        <v>0</v>
      </c>
      <c r="AK266">
        <v>0</v>
      </c>
      <c r="AL266">
        <v>0</v>
      </c>
      <c r="AM266">
        <v>0</v>
      </c>
      <c r="AN266">
        <v>0</v>
      </c>
      <c r="AO266">
        <v>0</v>
      </c>
      <c r="AP266">
        <v>0</v>
      </c>
      <c r="AQ266">
        <v>0</v>
      </c>
      <c r="AR266">
        <v>0</v>
      </c>
      <c r="AS266">
        <v>0</v>
      </c>
      <c r="AT266">
        <v>0</v>
      </c>
      <c r="AU266" s="30">
        <f t="shared" ref="AU266" si="103">AU265</f>
        <v>37.517600000000002</v>
      </c>
      <c r="AV266" s="17"/>
    </row>
    <row r="267" spans="1:48" x14ac:dyDescent="0.25">
      <c r="A267">
        <v>2</v>
      </c>
      <c r="B267" t="s">
        <v>16</v>
      </c>
      <c r="C267">
        <v>27456</v>
      </c>
      <c r="D267">
        <v>192</v>
      </c>
      <c r="E267">
        <v>4</v>
      </c>
      <c r="F267">
        <v>4</v>
      </c>
      <c r="G267">
        <v>393.98</v>
      </c>
      <c r="H267" s="17">
        <v>35.024999999999999</v>
      </c>
      <c r="I267" s="33">
        <v>45308</v>
      </c>
      <c r="J267" s="37">
        <v>5.2048611111111108E-2</v>
      </c>
      <c r="K267">
        <v>0</v>
      </c>
      <c r="L267">
        <v>0</v>
      </c>
      <c r="M267">
        <v>0</v>
      </c>
      <c r="N267">
        <v>0</v>
      </c>
      <c r="O267">
        <v>0</v>
      </c>
      <c r="P267">
        <v>0</v>
      </c>
      <c r="Q267">
        <v>0</v>
      </c>
      <c r="R267">
        <v>0</v>
      </c>
      <c r="S267">
        <v>0</v>
      </c>
      <c r="T267">
        <v>0</v>
      </c>
      <c r="U267">
        <v>0</v>
      </c>
      <c r="V267">
        <v>0</v>
      </c>
      <c r="W267" s="30">
        <f>W266</f>
        <v>34.977800000000002</v>
      </c>
      <c r="X267" s="17"/>
      <c r="Y267">
        <v>2</v>
      </c>
      <c r="Z267" t="s">
        <v>16</v>
      </c>
      <c r="AA267">
        <v>27456</v>
      </c>
      <c r="AB267">
        <v>192</v>
      </c>
      <c r="AC267">
        <v>4</v>
      </c>
      <c r="AD267">
        <v>4</v>
      </c>
      <c r="AE267">
        <v>367.8</v>
      </c>
      <c r="AF267" s="17">
        <v>37.518000000000001</v>
      </c>
      <c r="AG267" s="33">
        <v>45307</v>
      </c>
      <c r="AH267" s="34">
        <v>0.57656249999999998</v>
      </c>
      <c r="AI267">
        <v>0</v>
      </c>
      <c r="AJ267">
        <v>0</v>
      </c>
      <c r="AK267">
        <v>0</v>
      </c>
      <c r="AL267">
        <v>0</v>
      </c>
      <c r="AM267">
        <v>0</v>
      </c>
      <c r="AN267">
        <v>0</v>
      </c>
      <c r="AO267">
        <v>0</v>
      </c>
      <c r="AP267">
        <v>0</v>
      </c>
      <c r="AQ267">
        <v>0</v>
      </c>
      <c r="AR267">
        <v>0</v>
      </c>
      <c r="AS267">
        <v>0</v>
      </c>
      <c r="AT267">
        <v>0</v>
      </c>
      <c r="AU267" s="30">
        <f t="shared" si="87"/>
        <v>37.517600000000002</v>
      </c>
      <c r="AV267" s="17"/>
    </row>
    <row r="268" spans="1:48" x14ac:dyDescent="0.25">
      <c r="A268">
        <v>3</v>
      </c>
      <c r="B268" t="s">
        <v>16</v>
      </c>
      <c r="C268">
        <v>27456</v>
      </c>
      <c r="D268">
        <v>192</v>
      </c>
      <c r="E268">
        <v>4</v>
      </c>
      <c r="F268">
        <v>4</v>
      </c>
      <c r="G268">
        <v>394.98</v>
      </c>
      <c r="H268" s="17">
        <v>34.936</v>
      </c>
      <c r="I268" s="33">
        <v>45308</v>
      </c>
      <c r="J268" s="37">
        <v>0.39515046296296297</v>
      </c>
      <c r="K268">
        <v>0</v>
      </c>
      <c r="L268">
        <v>0</v>
      </c>
      <c r="M268">
        <v>0</v>
      </c>
      <c r="N268">
        <v>0</v>
      </c>
      <c r="O268">
        <v>0</v>
      </c>
      <c r="P268">
        <v>0</v>
      </c>
      <c r="Q268">
        <v>0</v>
      </c>
      <c r="R268">
        <v>0</v>
      </c>
      <c r="S268">
        <v>0</v>
      </c>
      <c r="T268">
        <v>0</v>
      </c>
      <c r="U268">
        <v>0</v>
      </c>
      <c r="V268">
        <v>0</v>
      </c>
      <c r="W268" s="30">
        <f>W267</f>
        <v>34.977800000000002</v>
      </c>
      <c r="X268" s="17"/>
      <c r="Y268">
        <v>3</v>
      </c>
      <c r="Z268" t="s">
        <v>16</v>
      </c>
      <c r="AA268">
        <v>27456</v>
      </c>
      <c r="AB268">
        <v>192</v>
      </c>
      <c r="AC268">
        <v>4</v>
      </c>
      <c r="AD268">
        <v>4</v>
      </c>
      <c r="AE268">
        <v>367.55</v>
      </c>
      <c r="AF268" s="17">
        <v>37.543999999999997</v>
      </c>
      <c r="AG268" s="33">
        <v>45307</v>
      </c>
      <c r="AH268" s="34">
        <v>0.51465277777777774</v>
      </c>
      <c r="AI268">
        <v>0</v>
      </c>
      <c r="AJ268">
        <v>0</v>
      </c>
      <c r="AK268">
        <v>0</v>
      </c>
      <c r="AL268">
        <v>0</v>
      </c>
      <c r="AM268">
        <v>0</v>
      </c>
      <c r="AN268">
        <v>0</v>
      </c>
      <c r="AO268">
        <v>0</v>
      </c>
      <c r="AP268">
        <v>0</v>
      </c>
      <c r="AQ268">
        <v>0</v>
      </c>
      <c r="AR268">
        <v>0</v>
      </c>
      <c r="AS268">
        <v>0</v>
      </c>
      <c r="AT268">
        <v>0</v>
      </c>
      <c r="AU268" s="30">
        <f t="shared" si="87"/>
        <v>37.517600000000002</v>
      </c>
      <c r="AV268" s="17"/>
    </row>
    <row r="269" spans="1:48" x14ac:dyDescent="0.25">
      <c r="A269">
        <v>4</v>
      </c>
      <c r="B269" t="s">
        <v>16</v>
      </c>
      <c r="C269">
        <v>27456</v>
      </c>
      <c r="D269">
        <v>192</v>
      </c>
      <c r="E269">
        <v>4</v>
      </c>
      <c r="F269">
        <v>4</v>
      </c>
      <c r="G269">
        <v>394.72</v>
      </c>
      <c r="H269" s="17">
        <v>34.959000000000003</v>
      </c>
      <c r="I269" s="33">
        <v>45307</v>
      </c>
      <c r="J269" s="37">
        <v>0.79238425925925926</v>
      </c>
      <c r="K269">
        <v>0</v>
      </c>
      <c r="L269">
        <v>0</v>
      </c>
      <c r="M269">
        <v>0</v>
      </c>
      <c r="N269">
        <v>0</v>
      </c>
      <c r="O269">
        <v>0</v>
      </c>
      <c r="P269">
        <v>0</v>
      </c>
      <c r="Q269">
        <v>0</v>
      </c>
      <c r="R269">
        <v>0</v>
      </c>
      <c r="S269">
        <v>0</v>
      </c>
      <c r="T269">
        <v>0</v>
      </c>
      <c r="U269">
        <v>0</v>
      </c>
      <c r="V269">
        <v>0</v>
      </c>
      <c r="W269" s="30">
        <f>W268</f>
        <v>34.977800000000002</v>
      </c>
      <c r="X269" s="17"/>
      <c r="Y269">
        <v>4</v>
      </c>
      <c r="Z269" t="s">
        <v>16</v>
      </c>
      <c r="AA269">
        <v>27456</v>
      </c>
      <c r="AB269">
        <v>192</v>
      </c>
      <c r="AC269">
        <v>4</v>
      </c>
      <c r="AD269">
        <v>4</v>
      </c>
      <c r="AE269">
        <v>368.01</v>
      </c>
      <c r="AF269" s="17">
        <v>37.497</v>
      </c>
      <c r="AG269" s="33">
        <v>45307</v>
      </c>
      <c r="AH269" s="34">
        <v>0.77781250000000002</v>
      </c>
      <c r="AI269">
        <v>0</v>
      </c>
      <c r="AJ269">
        <v>0</v>
      </c>
      <c r="AK269">
        <v>0</v>
      </c>
      <c r="AL269">
        <v>0</v>
      </c>
      <c r="AM269">
        <v>0</v>
      </c>
      <c r="AN269">
        <v>0</v>
      </c>
      <c r="AO269">
        <v>0</v>
      </c>
      <c r="AP269">
        <v>0</v>
      </c>
      <c r="AQ269">
        <v>0</v>
      </c>
      <c r="AR269">
        <v>0</v>
      </c>
      <c r="AS269">
        <v>0</v>
      </c>
      <c r="AT269">
        <v>0</v>
      </c>
      <c r="AU269" s="30">
        <f t="shared" si="87"/>
        <v>37.517600000000002</v>
      </c>
      <c r="AV269" s="17"/>
    </row>
    <row r="270" spans="1:48" x14ac:dyDescent="0.25">
      <c r="A270">
        <v>0</v>
      </c>
      <c r="B270" t="s">
        <v>16</v>
      </c>
      <c r="C270">
        <v>28992</v>
      </c>
      <c r="D270">
        <v>192</v>
      </c>
      <c r="E270">
        <v>4</v>
      </c>
      <c r="F270">
        <v>4</v>
      </c>
      <c r="G270">
        <v>451.03</v>
      </c>
      <c r="H270" s="17">
        <v>36.021999999999998</v>
      </c>
      <c r="I270" s="33">
        <v>45307</v>
      </c>
      <c r="J270" s="37">
        <v>0.58502314814814815</v>
      </c>
      <c r="K270">
        <v>0</v>
      </c>
      <c r="L270">
        <v>0</v>
      </c>
      <c r="M270">
        <v>0</v>
      </c>
      <c r="N270">
        <v>0</v>
      </c>
      <c r="O270">
        <v>0</v>
      </c>
      <c r="P270">
        <v>0</v>
      </c>
      <c r="Q270">
        <v>0</v>
      </c>
      <c r="R270">
        <v>0</v>
      </c>
      <c r="S270">
        <v>0</v>
      </c>
      <c r="T270">
        <v>0</v>
      </c>
      <c r="U270">
        <v>0</v>
      </c>
      <c r="V270">
        <v>0</v>
      </c>
      <c r="W270" s="30">
        <f>AVERAGE(H270:H274)</f>
        <v>35.959400000000002</v>
      </c>
      <c r="X270" s="17"/>
      <c r="Y270">
        <v>0</v>
      </c>
      <c r="Z270" t="s">
        <v>16</v>
      </c>
      <c r="AA270">
        <v>28992</v>
      </c>
      <c r="AB270">
        <v>192</v>
      </c>
      <c r="AC270">
        <v>4</v>
      </c>
      <c r="AD270">
        <v>4</v>
      </c>
      <c r="AE270">
        <v>423.38</v>
      </c>
      <c r="AF270" s="17">
        <v>38.375</v>
      </c>
      <c r="AG270" s="33">
        <v>45307</v>
      </c>
      <c r="AH270" s="34">
        <v>0.64035879629629633</v>
      </c>
      <c r="AI270">
        <v>0</v>
      </c>
      <c r="AJ270">
        <v>0</v>
      </c>
      <c r="AK270">
        <v>0</v>
      </c>
      <c r="AL270">
        <v>0</v>
      </c>
      <c r="AM270">
        <v>0</v>
      </c>
      <c r="AN270">
        <v>0</v>
      </c>
      <c r="AO270">
        <v>0</v>
      </c>
      <c r="AP270">
        <v>0</v>
      </c>
      <c r="AQ270">
        <v>0</v>
      </c>
      <c r="AR270">
        <v>0</v>
      </c>
      <c r="AS270">
        <v>0</v>
      </c>
      <c r="AT270">
        <v>0</v>
      </c>
      <c r="AU270" s="30">
        <f t="shared" ref="AU270" si="104">AVERAGE(AF270:AF274)</f>
        <v>38.344799999999999</v>
      </c>
      <c r="AV270" s="17"/>
    </row>
    <row r="271" spans="1:48" x14ac:dyDescent="0.25">
      <c r="A271">
        <v>1</v>
      </c>
      <c r="B271" t="s">
        <v>16</v>
      </c>
      <c r="C271">
        <v>28992</v>
      </c>
      <c r="D271">
        <v>192</v>
      </c>
      <c r="E271">
        <v>4</v>
      </c>
      <c r="F271">
        <v>4</v>
      </c>
      <c r="G271">
        <v>450.15</v>
      </c>
      <c r="H271" s="17">
        <v>36.091999999999999</v>
      </c>
      <c r="I271" s="33">
        <v>45307</v>
      </c>
      <c r="J271" s="37">
        <v>0.92560185185185195</v>
      </c>
      <c r="K271">
        <v>0</v>
      </c>
      <c r="L271">
        <v>0</v>
      </c>
      <c r="M271">
        <v>0</v>
      </c>
      <c r="N271">
        <v>0</v>
      </c>
      <c r="O271">
        <v>0</v>
      </c>
      <c r="P271">
        <v>0</v>
      </c>
      <c r="Q271">
        <v>0</v>
      </c>
      <c r="R271">
        <v>0</v>
      </c>
      <c r="S271">
        <v>0</v>
      </c>
      <c r="T271">
        <v>0</v>
      </c>
      <c r="U271">
        <v>0</v>
      </c>
      <c r="V271">
        <v>0</v>
      </c>
      <c r="W271" s="30">
        <f>W270</f>
        <v>35.959400000000002</v>
      </c>
      <c r="X271" s="17"/>
      <c r="Y271">
        <v>1</v>
      </c>
      <c r="Z271" t="s">
        <v>16</v>
      </c>
      <c r="AA271">
        <v>28992</v>
      </c>
      <c r="AB271">
        <v>192</v>
      </c>
      <c r="AC271">
        <v>4</v>
      </c>
      <c r="AD271">
        <v>4</v>
      </c>
      <c r="AE271">
        <v>423.65</v>
      </c>
      <c r="AF271" s="17">
        <v>38.350999999999999</v>
      </c>
      <c r="AG271" s="33">
        <v>45307</v>
      </c>
      <c r="AH271" s="34">
        <v>0.5895717592592592</v>
      </c>
      <c r="AI271">
        <v>0</v>
      </c>
      <c r="AJ271">
        <v>0</v>
      </c>
      <c r="AK271">
        <v>0</v>
      </c>
      <c r="AL271">
        <v>0</v>
      </c>
      <c r="AM271">
        <v>0</v>
      </c>
      <c r="AN271">
        <v>0</v>
      </c>
      <c r="AO271">
        <v>0</v>
      </c>
      <c r="AP271">
        <v>0</v>
      </c>
      <c r="AQ271">
        <v>0</v>
      </c>
      <c r="AR271">
        <v>0</v>
      </c>
      <c r="AS271">
        <v>0</v>
      </c>
      <c r="AT271">
        <v>0</v>
      </c>
      <c r="AU271" s="30">
        <f t="shared" ref="AU271" si="105">AU270</f>
        <v>38.344799999999999</v>
      </c>
      <c r="AV271" s="17"/>
    </row>
    <row r="272" spans="1:48" x14ac:dyDescent="0.25">
      <c r="A272">
        <v>2</v>
      </c>
      <c r="B272" t="s">
        <v>16</v>
      </c>
      <c r="C272">
        <v>28992</v>
      </c>
      <c r="D272">
        <v>192</v>
      </c>
      <c r="E272">
        <v>4</v>
      </c>
      <c r="F272">
        <v>4</v>
      </c>
      <c r="G272">
        <v>456.64</v>
      </c>
      <c r="H272" s="17">
        <v>35.58</v>
      </c>
      <c r="I272" s="33">
        <v>45308</v>
      </c>
      <c r="J272" s="37">
        <v>0.26863425925925927</v>
      </c>
      <c r="K272">
        <v>0</v>
      </c>
      <c r="L272">
        <v>0</v>
      </c>
      <c r="M272">
        <v>0</v>
      </c>
      <c r="N272">
        <v>0</v>
      </c>
      <c r="O272">
        <v>0</v>
      </c>
      <c r="P272">
        <v>0</v>
      </c>
      <c r="Q272">
        <v>0</v>
      </c>
      <c r="R272">
        <v>0</v>
      </c>
      <c r="S272">
        <v>0</v>
      </c>
      <c r="T272">
        <v>0</v>
      </c>
      <c r="U272">
        <v>0</v>
      </c>
      <c r="V272">
        <v>0</v>
      </c>
      <c r="W272" s="30">
        <f>W271</f>
        <v>35.959400000000002</v>
      </c>
      <c r="X272" s="17"/>
      <c r="Y272">
        <v>2</v>
      </c>
      <c r="Z272" t="s">
        <v>16</v>
      </c>
      <c r="AA272">
        <v>28992</v>
      </c>
      <c r="AB272">
        <v>192</v>
      </c>
      <c r="AC272">
        <v>4</v>
      </c>
      <c r="AD272">
        <v>4</v>
      </c>
      <c r="AE272">
        <v>424.06</v>
      </c>
      <c r="AF272" s="17">
        <v>38.314</v>
      </c>
      <c r="AG272" s="33">
        <v>45307</v>
      </c>
      <c r="AH272" s="34">
        <v>0.7432523148148148</v>
      </c>
      <c r="AI272">
        <v>0</v>
      </c>
      <c r="AJ272">
        <v>0</v>
      </c>
      <c r="AK272">
        <v>0</v>
      </c>
      <c r="AL272">
        <v>0</v>
      </c>
      <c r="AM272">
        <v>0</v>
      </c>
      <c r="AN272">
        <v>0</v>
      </c>
      <c r="AO272">
        <v>0</v>
      </c>
      <c r="AP272">
        <v>0</v>
      </c>
      <c r="AQ272">
        <v>0</v>
      </c>
      <c r="AR272">
        <v>0</v>
      </c>
      <c r="AS272">
        <v>0</v>
      </c>
      <c r="AT272">
        <v>0</v>
      </c>
      <c r="AU272" s="30">
        <f t="shared" si="89"/>
        <v>38.344799999999999</v>
      </c>
      <c r="AV272" s="17"/>
    </row>
    <row r="273" spans="1:48" x14ac:dyDescent="0.25">
      <c r="A273">
        <v>3</v>
      </c>
      <c r="B273" t="s">
        <v>16</v>
      </c>
      <c r="C273">
        <v>28992</v>
      </c>
      <c r="D273">
        <v>192</v>
      </c>
      <c r="E273">
        <v>4</v>
      </c>
      <c r="F273">
        <v>4</v>
      </c>
      <c r="G273">
        <v>451.12</v>
      </c>
      <c r="H273" s="17">
        <v>36.015000000000001</v>
      </c>
      <c r="I273" s="33">
        <v>45307</v>
      </c>
      <c r="J273" s="37">
        <v>0.66593749999999996</v>
      </c>
      <c r="K273">
        <v>0</v>
      </c>
      <c r="L273">
        <v>0</v>
      </c>
      <c r="M273">
        <v>0</v>
      </c>
      <c r="N273">
        <v>0</v>
      </c>
      <c r="O273">
        <v>0</v>
      </c>
      <c r="P273">
        <v>0</v>
      </c>
      <c r="Q273">
        <v>0</v>
      </c>
      <c r="R273">
        <v>0</v>
      </c>
      <c r="S273">
        <v>0</v>
      </c>
      <c r="T273">
        <v>0</v>
      </c>
      <c r="U273">
        <v>0</v>
      </c>
      <c r="V273">
        <v>0</v>
      </c>
      <c r="W273" s="30">
        <f>W272</f>
        <v>35.959400000000002</v>
      </c>
      <c r="X273" s="17"/>
      <c r="Y273">
        <v>3</v>
      </c>
      <c r="Z273" t="s">
        <v>16</v>
      </c>
      <c r="AA273">
        <v>28992</v>
      </c>
      <c r="AB273">
        <v>192</v>
      </c>
      <c r="AC273">
        <v>4</v>
      </c>
      <c r="AD273">
        <v>4</v>
      </c>
      <c r="AE273">
        <v>423.4</v>
      </c>
      <c r="AF273" s="17">
        <v>38.372999999999998</v>
      </c>
      <c r="AG273" s="33">
        <v>45307</v>
      </c>
      <c r="AH273" s="34">
        <v>0.68182870370370363</v>
      </c>
      <c r="AI273">
        <v>0</v>
      </c>
      <c r="AJ273">
        <v>0</v>
      </c>
      <c r="AK273">
        <v>0</v>
      </c>
      <c r="AL273">
        <v>0</v>
      </c>
      <c r="AM273">
        <v>0</v>
      </c>
      <c r="AN273">
        <v>0</v>
      </c>
      <c r="AO273">
        <v>0</v>
      </c>
      <c r="AP273">
        <v>0</v>
      </c>
      <c r="AQ273">
        <v>0</v>
      </c>
      <c r="AR273">
        <v>0</v>
      </c>
      <c r="AS273">
        <v>0</v>
      </c>
      <c r="AT273">
        <v>0</v>
      </c>
      <c r="AU273" s="30">
        <f t="shared" si="89"/>
        <v>38.344799999999999</v>
      </c>
      <c r="AV273" s="17"/>
    </row>
    <row r="274" spans="1:48" x14ac:dyDescent="0.25">
      <c r="A274">
        <v>4</v>
      </c>
      <c r="B274" t="s">
        <v>16</v>
      </c>
      <c r="C274">
        <v>28992</v>
      </c>
      <c r="D274">
        <v>192</v>
      </c>
      <c r="E274">
        <v>4</v>
      </c>
      <c r="F274">
        <v>4</v>
      </c>
      <c r="G274">
        <v>450.21</v>
      </c>
      <c r="H274" s="17">
        <v>36.088000000000001</v>
      </c>
      <c r="I274" s="33">
        <v>45308</v>
      </c>
      <c r="J274" s="37">
        <v>7.6041666666666662E-3</v>
      </c>
      <c r="K274">
        <v>0</v>
      </c>
      <c r="L274">
        <v>0</v>
      </c>
      <c r="M274">
        <v>0</v>
      </c>
      <c r="N274">
        <v>0</v>
      </c>
      <c r="O274">
        <v>0</v>
      </c>
      <c r="P274">
        <v>0</v>
      </c>
      <c r="Q274">
        <v>0</v>
      </c>
      <c r="R274">
        <v>0</v>
      </c>
      <c r="S274">
        <v>0</v>
      </c>
      <c r="T274">
        <v>0</v>
      </c>
      <c r="U274">
        <v>0</v>
      </c>
      <c r="V274">
        <v>0</v>
      </c>
      <c r="W274" s="30">
        <f>W273</f>
        <v>35.959400000000002</v>
      </c>
      <c r="X274" s="17"/>
      <c r="Y274">
        <v>4</v>
      </c>
      <c r="Z274" t="s">
        <v>16</v>
      </c>
      <c r="AA274">
        <v>28992</v>
      </c>
      <c r="AB274">
        <v>192</v>
      </c>
      <c r="AC274">
        <v>4</v>
      </c>
      <c r="AD274">
        <v>4</v>
      </c>
      <c r="AE274">
        <v>424.09</v>
      </c>
      <c r="AF274" s="17">
        <v>38.311</v>
      </c>
      <c r="AG274" s="33">
        <v>45307</v>
      </c>
      <c r="AH274" s="34">
        <v>0.55667824074074079</v>
      </c>
      <c r="AI274">
        <v>0</v>
      </c>
      <c r="AJ274">
        <v>0</v>
      </c>
      <c r="AK274">
        <v>0</v>
      </c>
      <c r="AL274">
        <v>0</v>
      </c>
      <c r="AM274">
        <v>0</v>
      </c>
      <c r="AN274">
        <v>0</v>
      </c>
      <c r="AO274">
        <v>0</v>
      </c>
      <c r="AP274">
        <v>0</v>
      </c>
      <c r="AQ274">
        <v>0</v>
      </c>
      <c r="AR274">
        <v>0</v>
      </c>
      <c r="AS274">
        <v>0</v>
      </c>
      <c r="AT274">
        <v>0</v>
      </c>
      <c r="AU274" s="30">
        <f t="shared" si="89"/>
        <v>38.344799999999999</v>
      </c>
      <c r="AV274" s="17"/>
    </row>
    <row r="275" spans="1:48" x14ac:dyDescent="0.25">
      <c r="A275">
        <v>0</v>
      </c>
      <c r="B275" t="s">
        <v>16</v>
      </c>
      <c r="C275">
        <v>25984</v>
      </c>
      <c r="D275">
        <v>224</v>
      </c>
      <c r="E275">
        <v>1</v>
      </c>
      <c r="F275">
        <v>16</v>
      </c>
      <c r="G275">
        <v>342.01</v>
      </c>
      <c r="H275" s="17">
        <v>34.200000000000003</v>
      </c>
      <c r="I275" s="33">
        <v>45307</v>
      </c>
      <c r="J275" s="37">
        <v>0.50615740740740744</v>
      </c>
      <c r="K275">
        <v>0</v>
      </c>
      <c r="L275">
        <v>0</v>
      </c>
      <c r="M275">
        <v>0</v>
      </c>
      <c r="N275">
        <v>0</v>
      </c>
      <c r="O275">
        <v>0</v>
      </c>
      <c r="P275">
        <v>0</v>
      </c>
      <c r="Q275">
        <v>0</v>
      </c>
      <c r="R275">
        <v>0</v>
      </c>
      <c r="S275">
        <v>0</v>
      </c>
      <c r="T275">
        <v>0</v>
      </c>
      <c r="U275">
        <v>0</v>
      </c>
      <c r="V275">
        <v>0</v>
      </c>
      <c r="W275" s="30">
        <f t="shared" ref="W275" si="106">AVERAGE(H275:H279)</f>
        <v>34.191200000000002</v>
      </c>
      <c r="Y275">
        <v>0</v>
      </c>
      <c r="Z275" t="s">
        <v>16</v>
      </c>
      <c r="AA275">
        <v>25984</v>
      </c>
      <c r="AB275">
        <v>224</v>
      </c>
      <c r="AC275">
        <v>1</v>
      </c>
      <c r="AD275">
        <v>16</v>
      </c>
      <c r="AE275">
        <v>316.13</v>
      </c>
      <c r="AF275" s="17">
        <v>37</v>
      </c>
      <c r="AG275" s="33">
        <v>45307</v>
      </c>
      <c r="AH275" s="34">
        <v>0.58516203703703706</v>
      </c>
      <c r="AI275">
        <v>0</v>
      </c>
      <c r="AJ275">
        <v>0</v>
      </c>
      <c r="AK275">
        <v>0</v>
      </c>
      <c r="AL275">
        <v>0</v>
      </c>
      <c r="AM275">
        <v>0</v>
      </c>
      <c r="AN275">
        <v>0</v>
      </c>
      <c r="AO275">
        <v>0</v>
      </c>
      <c r="AP275">
        <v>0</v>
      </c>
      <c r="AQ275">
        <v>0</v>
      </c>
      <c r="AR275">
        <v>0</v>
      </c>
      <c r="AS275">
        <v>0</v>
      </c>
      <c r="AT275">
        <v>0</v>
      </c>
      <c r="AU275" s="30">
        <f t="shared" ref="AU275:AU335" si="107">AVERAGE(AF275:AF279)</f>
        <v>37.069200000000002</v>
      </c>
    </row>
    <row r="276" spans="1:48" x14ac:dyDescent="0.25">
      <c r="A276">
        <v>1</v>
      </c>
      <c r="B276" t="s">
        <v>16</v>
      </c>
      <c r="C276">
        <v>25984</v>
      </c>
      <c r="D276">
        <v>224</v>
      </c>
      <c r="E276">
        <v>1</v>
      </c>
      <c r="F276">
        <v>16</v>
      </c>
      <c r="G276">
        <v>342.16</v>
      </c>
      <c r="H276" s="17">
        <v>34.185000000000002</v>
      </c>
      <c r="I276" s="33">
        <v>45307</v>
      </c>
      <c r="J276" s="37">
        <v>0.84890046296296295</v>
      </c>
      <c r="K276">
        <v>0</v>
      </c>
      <c r="L276">
        <v>0</v>
      </c>
      <c r="M276">
        <v>0</v>
      </c>
      <c r="N276">
        <v>0</v>
      </c>
      <c r="O276">
        <v>0</v>
      </c>
      <c r="P276">
        <v>0</v>
      </c>
      <c r="Q276">
        <v>0</v>
      </c>
      <c r="R276">
        <v>0</v>
      </c>
      <c r="S276">
        <v>0</v>
      </c>
      <c r="T276">
        <v>0</v>
      </c>
      <c r="U276">
        <v>0</v>
      </c>
      <c r="V276">
        <v>0</v>
      </c>
      <c r="W276" s="30">
        <f t="shared" ref="W276:W279" si="108">W275</f>
        <v>34.191200000000002</v>
      </c>
      <c r="Y276">
        <v>1</v>
      </c>
      <c r="Z276" t="s">
        <v>16</v>
      </c>
      <c r="AA276">
        <v>25984</v>
      </c>
      <c r="AB276">
        <v>224</v>
      </c>
      <c r="AC276">
        <v>1</v>
      </c>
      <c r="AD276">
        <v>16</v>
      </c>
      <c r="AE276">
        <v>315.98</v>
      </c>
      <c r="AF276" s="17">
        <v>37.017000000000003</v>
      </c>
      <c r="AG276" s="33">
        <v>45307</v>
      </c>
      <c r="AH276" s="34">
        <v>0.53476851851851859</v>
      </c>
      <c r="AI276">
        <v>0</v>
      </c>
      <c r="AJ276">
        <v>0</v>
      </c>
      <c r="AK276">
        <v>0</v>
      </c>
      <c r="AL276">
        <v>0</v>
      </c>
      <c r="AM276">
        <v>0</v>
      </c>
      <c r="AN276">
        <v>0</v>
      </c>
      <c r="AO276">
        <v>0</v>
      </c>
      <c r="AP276">
        <v>0</v>
      </c>
      <c r="AQ276">
        <v>0</v>
      </c>
      <c r="AR276">
        <v>0</v>
      </c>
      <c r="AS276">
        <v>0</v>
      </c>
      <c r="AT276">
        <v>0</v>
      </c>
      <c r="AU276" s="30">
        <f t="shared" ref="AU276:AU339" si="109">AU275</f>
        <v>37.069200000000002</v>
      </c>
    </row>
    <row r="277" spans="1:48" x14ac:dyDescent="0.25">
      <c r="A277">
        <v>2</v>
      </c>
      <c r="B277" t="s">
        <v>16</v>
      </c>
      <c r="C277">
        <v>25984</v>
      </c>
      <c r="D277">
        <v>224</v>
      </c>
      <c r="E277">
        <v>1</v>
      </c>
      <c r="F277">
        <v>16</v>
      </c>
      <c r="G277">
        <v>342.15</v>
      </c>
      <c r="H277" s="17">
        <v>34.186</v>
      </c>
      <c r="I277" s="33">
        <v>45308</v>
      </c>
      <c r="J277" s="37">
        <v>0.1895138888888889</v>
      </c>
      <c r="K277">
        <v>0</v>
      </c>
      <c r="L277">
        <v>0</v>
      </c>
      <c r="M277">
        <v>0</v>
      </c>
      <c r="N277">
        <v>0</v>
      </c>
      <c r="O277">
        <v>0</v>
      </c>
      <c r="P277">
        <v>0</v>
      </c>
      <c r="Q277">
        <v>0</v>
      </c>
      <c r="R277">
        <v>0</v>
      </c>
      <c r="S277">
        <v>0</v>
      </c>
      <c r="T277">
        <v>0</v>
      </c>
      <c r="U277">
        <v>0</v>
      </c>
      <c r="V277">
        <v>0</v>
      </c>
      <c r="W277" s="30">
        <f t="shared" si="108"/>
        <v>34.191200000000002</v>
      </c>
      <c r="Y277">
        <v>2</v>
      </c>
      <c r="Z277" t="s">
        <v>16</v>
      </c>
      <c r="AA277">
        <v>25984</v>
      </c>
      <c r="AB277">
        <v>224</v>
      </c>
      <c r="AC277">
        <v>1</v>
      </c>
      <c r="AD277">
        <v>16</v>
      </c>
      <c r="AE277">
        <v>315.47000000000003</v>
      </c>
      <c r="AF277" s="17">
        <v>37.076999999999998</v>
      </c>
      <c r="AG277" s="33">
        <v>45307</v>
      </c>
      <c r="AH277" s="34">
        <v>0.68851851851851853</v>
      </c>
      <c r="AI277">
        <v>0</v>
      </c>
      <c r="AJ277">
        <v>0</v>
      </c>
      <c r="AK277">
        <v>0</v>
      </c>
      <c r="AL277">
        <v>0</v>
      </c>
      <c r="AM277">
        <v>0</v>
      </c>
      <c r="AN277">
        <v>0</v>
      </c>
      <c r="AO277">
        <v>0</v>
      </c>
      <c r="AP277">
        <v>0</v>
      </c>
      <c r="AQ277">
        <v>0</v>
      </c>
      <c r="AR277">
        <v>0</v>
      </c>
      <c r="AS277">
        <v>0</v>
      </c>
      <c r="AT277">
        <v>0</v>
      </c>
      <c r="AU277" s="30">
        <f t="shared" si="89"/>
        <v>37.069200000000002</v>
      </c>
    </row>
    <row r="278" spans="1:48" x14ac:dyDescent="0.25">
      <c r="A278">
        <v>3</v>
      </c>
      <c r="B278" t="s">
        <v>16</v>
      </c>
      <c r="C278">
        <v>25984</v>
      </c>
      <c r="D278">
        <v>224</v>
      </c>
      <c r="E278">
        <v>1</v>
      </c>
      <c r="F278">
        <v>16</v>
      </c>
      <c r="G278">
        <v>341.98</v>
      </c>
      <c r="H278" s="17">
        <v>34.203000000000003</v>
      </c>
      <c r="I278" s="33">
        <v>45307</v>
      </c>
      <c r="J278" s="37">
        <v>0.58693287037037034</v>
      </c>
      <c r="K278">
        <v>0</v>
      </c>
      <c r="L278">
        <v>0</v>
      </c>
      <c r="M278">
        <v>0</v>
      </c>
      <c r="N278">
        <v>0</v>
      </c>
      <c r="O278">
        <v>0</v>
      </c>
      <c r="P278">
        <v>0</v>
      </c>
      <c r="Q278">
        <v>0</v>
      </c>
      <c r="R278">
        <v>0</v>
      </c>
      <c r="S278">
        <v>0</v>
      </c>
      <c r="T278">
        <v>0</v>
      </c>
      <c r="U278">
        <v>0</v>
      </c>
      <c r="V278">
        <v>0</v>
      </c>
      <c r="W278" s="30">
        <f t="shared" si="108"/>
        <v>34.191200000000002</v>
      </c>
      <c r="Y278">
        <v>3</v>
      </c>
      <c r="Z278" t="s">
        <v>16</v>
      </c>
      <c r="AA278">
        <v>25984</v>
      </c>
      <c r="AB278">
        <v>224</v>
      </c>
      <c r="AC278">
        <v>1</v>
      </c>
      <c r="AD278">
        <v>16</v>
      </c>
      <c r="AE278">
        <v>315.17</v>
      </c>
      <c r="AF278" s="17">
        <v>37.113</v>
      </c>
      <c r="AG278" s="33">
        <v>45307</v>
      </c>
      <c r="AH278" s="34">
        <v>0.62660879629629629</v>
      </c>
      <c r="AI278">
        <v>0</v>
      </c>
      <c r="AJ278">
        <v>0</v>
      </c>
      <c r="AK278">
        <v>0</v>
      </c>
      <c r="AL278">
        <v>0</v>
      </c>
      <c r="AM278">
        <v>0</v>
      </c>
      <c r="AN278">
        <v>0</v>
      </c>
      <c r="AO278">
        <v>0</v>
      </c>
      <c r="AP278">
        <v>0</v>
      </c>
      <c r="AQ278">
        <v>0</v>
      </c>
      <c r="AR278">
        <v>0</v>
      </c>
      <c r="AS278">
        <v>0</v>
      </c>
      <c r="AT278">
        <v>0</v>
      </c>
      <c r="AU278" s="30">
        <f t="shared" si="89"/>
        <v>37.069200000000002</v>
      </c>
    </row>
    <row r="279" spans="1:48" x14ac:dyDescent="0.25">
      <c r="A279">
        <v>4</v>
      </c>
      <c r="B279" t="s">
        <v>16</v>
      </c>
      <c r="C279">
        <v>25984</v>
      </c>
      <c r="D279">
        <v>224</v>
      </c>
      <c r="E279">
        <v>1</v>
      </c>
      <c r="F279">
        <v>16</v>
      </c>
      <c r="G279">
        <v>342.19</v>
      </c>
      <c r="H279" s="17">
        <v>34.182000000000002</v>
      </c>
      <c r="I279" s="33">
        <v>45307</v>
      </c>
      <c r="J279" s="37">
        <v>0.92987268518518518</v>
      </c>
      <c r="K279">
        <v>0</v>
      </c>
      <c r="L279">
        <v>0</v>
      </c>
      <c r="M279">
        <v>0</v>
      </c>
      <c r="N279">
        <v>0</v>
      </c>
      <c r="O279">
        <v>0</v>
      </c>
      <c r="P279">
        <v>0</v>
      </c>
      <c r="Q279">
        <v>0</v>
      </c>
      <c r="R279">
        <v>0</v>
      </c>
      <c r="S279">
        <v>0</v>
      </c>
      <c r="T279">
        <v>0</v>
      </c>
      <c r="U279">
        <v>0</v>
      </c>
      <c r="V279">
        <v>0</v>
      </c>
      <c r="W279" s="30">
        <f t="shared" si="108"/>
        <v>34.191200000000002</v>
      </c>
      <c r="Y279">
        <v>4</v>
      </c>
      <c r="Z279" t="s">
        <v>16</v>
      </c>
      <c r="AA279">
        <v>25984</v>
      </c>
      <c r="AB279">
        <v>224</v>
      </c>
      <c r="AC279">
        <v>1</v>
      </c>
      <c r="AD279">
        <v>16</v>
      </c>
      <c r="AE279">
        <v>314.94</v>
      </c>
      <c r="AF279" s="17">
        <v>37.139000000000003</v>
      </c>
      <c r="AG279" s="33">
        <v>45307</v>
      </c>
      <c r="AH279" s="34">
        <v>0.50152777777777779</v>
      </c>
      <c r="AI279">
        <v>0</v>
      </c>
      <c r="AJ279">
        <v>0</v>
      </c>
      <c r="AK279">
        <v>0</v>
      </c>
      <c r="AL279">
        <v>0</v>
      </c>
      <c r="AM279">
        <v>0</v>
      </c>
      <c r="AN279">
        <v>0</v>
      </c>
      <c r="AO279">
        <v>0</v>
      </c>
      <c r="AP279">
        <v>0</v>
      </c>
      <c r="AQ279">
        <v>0</v>
      </c>
      <c r="AR279">
        <v>0</v>
      </c>
      <c r="AS279">
        <v>0</v>
      </c>
      <c r="AT279">
        <v>0</v>
      </c>
      <c r="AU279" s="30">
        <f t="shared" si="89"/>
        <v>37.069200000000002</v>
      </c>
    </row>
    <row r="280" spans="1:48" x14ac:dyDescent="0.25">
      <c r="A280">
        <v>0</v>
      </c>
      <c r="B280" t="s">
        <v>16</v>
      </c>
      <c r="C280">
        <v>27328</v>
      </c>
      <c r="D280">
        <v>224</v>
      </c>
      <c r="E280">
        <v>1</v>
      </c>
      <c r="F280">
        <v>16</v>
      </c>
      <c r="G280">
        <v>393.83</v>
      </c>
      <c r="H280" s="17">
        <v>34.551000000000002</v>
      </c>
      <c r="I280" s="33">
        <v>45307</v>
      </c>
      <c r="J280" s="37">
        <v>0.54780092592592589</v>
      </c>
      <c r="K280">
        <v>0</v>
      </c>
      <c r="L280">
        <v>0</v>
      </c>
      <c r="M280">
        <v>0</v>
      </c>
      <c r="N280">
        <v>0</v>
      </c>
      <c r="O280">
        <v>0</v>
      </c>
      <c r="P280">
        <v>0</v>
      </c>
      <c r="Q280">
        <v>0</v>
      </c>
      <c r="R280">
        <v>0</v>
      </c>
      <c r="S280">
        <v>0</v>
      </c>
      <c r="T280">
        <v>0</v>
      </c>
      <c r="U280">
        <v>0</v>
      </c>
      <c r="V280">
        <v>0</v>
      </c>
      <c r="W280" s="30">
        <f t="shared" ref="W280" si="110">AVERAGE(H280:H284)</f>
        <v>34.618600000000001</v>
      </c>
      <c r="Y280">
        <v>0</v>
      </c>
      <c r="Z280" t="s">
        <v>16</v>
      </c>
      <c r="AA280">
        <v>27328</v>
      </c>
      <c r="AB280">
        <v>224</v>
      </c>
      <c r="AC280">
        <v>1</v>
      </c>
      <c r="AD280">
        <v>16</v>
      </c>
      <c r="AE280">
        <v>364.68</v>
      </c>
      <c r="AF280" s="17">
        <v>37.311999999999998</v>
      </c>
      <c r="AG280" s="33">
        <v>45307</v>
      </c>
      <c r="AH280" s="34">
        <v>0.50695601851851857</v>
      </c>
      <c r="AI280">
        <v>0</v>
      </c>
      <c r="AJ280">
        <v>0</v>
      </c>
      <c r="AK280">
        <v>0</v>
      </c>
      <c r="AL280">
        <v>0</v>
      </c>
      <c r="AM280">
        <v>0</v>
      </c>
      <c r="AN280">
        <v>0</v>
      </c>
      <c r="AO280">
        <v>0</v>
      </c>
      <c r="AP280">
        <v>0</v>
      </c>
      <c r="AQ280">
        <v>0</v>
      </c>
      <c r="AR280">
        <v>0</v>
      </c>
      <c r="AS280">
        <v>0</v>
      </c>
      <c r="AT280">
        <v>0</v>
      </c>
      <c r="AU280" s="30">
        <f t="shared" si="107"/>
        <v>37.409599999999998</v>
      </c>
    </row>
    <row r="281" spans="1:48" x14ac:dyDescent="0.25">
      <c r="A281">
        <v>1</v>
      </c>
      <c r="B281" t="s">
        <v>16</v>
      </c>
      <c r="C281">
        <v>27328</v>
      </c>
      <c r="D281">
        <v>224</v>
      </c>
      <c r="E281">
        <v>1</v>
      </c>
      <c r="F281">
        <v>16</v>
      </c>
      <c r="G281">
        <v>392.81</v>
      </c>
      <c r="H281" s="17">
        <v>34.640999999999998</v>
      </c>
      <c r="I281" s="33">
        <v>45307</v>
      </c>
      <c r="J281" s="37">
        <v>0.74487268518518512</v>
      </c>
      <c r="K281">
        <v>0</v>
      </c>
      <c r="L281">
        <v>0</v>
      </c>
      <c r="M281">
        <v>0</v>
      </c>
      <c r="N281">
        <v>0</v>
      </c>
      <c r="O281">
        <v>0</v>
      </c>
      <c r="P281">
        <v>0</v>
      </c>
      <c r="Q281">
        <v>0</v>
      </c>
      <c r="R281">
        <v>0</v>
      </c>
      <c r="S281">
        <v>0</v>
      </c>
      <c r="T281">
        <v>0</v>
      </c>
      <c r="U281">
        <v>0</v>
      </c>
      <c r="V281">
        <v>0</v>
      </c>
      <c r="W281" s="30">
        <f t="shared" ref="W281:W284" si="111">W280</f>
        <v>34.618600000000001</v>
      </c>
      <c r="Y281">
        <v>1</v>
      </c>
      <c r="Z281" t="s">
        <v>16</v>
      </c>
      <c r="AA281">
        <v>27328</v>
      </c>
      <c r="AB281">
        <v>224</v>
      </c>
      <c r="AC281">
        <v>1</v>
      </c>
      <c r="AD281">
        <v>16</v>
      </c>
      <c r="AE281">
        <v>363.24</v>
      </c>
      <c r="AF281" s="17">
        <v>37.46</v>
      </c>
      <c r="AG281" s="33">
        <v>45307</v>
      </c>
      <c r="AH281" s="34">
        <v>0.77016203703703701</v>
      </c>
      <c r="AI281">
        <v>0</v>
      </c>
      <c r="AJ281">
        <v>0</v>
      </c>
      <c r="AK281">
        <v>0</v>
      </c>
      <c r="AL281">
        <v>0</v>
      </c>
      <c r="AM281">
        <v>0</v>
      </c>
      <c r="AN281">
        <v>0</v>
      </c>
      <c r="AO281">
        <v>0</v>
      </c>
      <c r="AP281">
        <v>0</v>
      </c>
      <c r="AQ281">
        <v>0</v>
      </c>
      <c r="AR281">
        <v>0</v>
      </c>
      <c r="AS281">
        <v>0</v>
      </c>
      <c r="AT281">
        <v>0</v>
      </c>
      <c r="AU281" s="30">
        <f t="shared" si="109"/>
        <v>37.409599999999998</v>
      </c>
    </row>
    <row r="282" spans="1:48" x14ac:dyDescent="0.25">
      <c r="A282">
        <v>2</v>
      </c>
      <c r="B282" t="s">
        <v>16</v>
      </c>
      <c r="C282">
        <v>27328</v>
      </c>
      <c r="D282">
        <v>224</v>
      </c>
      <c r="E282">
        <v>1</v>
      </c>
      <c r="F282">
        <v>16</v>
      </c>
      <c r="G282">
        <v>392.81</v>
      </c>
      <c r="H282" s="17">
        <v>34.640999999999998</v>
      </c>
      <c r="I282" s="33">
        <v>45308</v>
      </c>
      <c r="J282" s="37">
        <v>8.5520833333333338E-2</v>
      </c>
      <c r="K282">
        <v>0</v>
      </c>
      <c r="L282">
        <v>0</v>
      </c>
      <c r="M282">
        <v>0</v>
      </c>
      <c r="N282">
        <v>0</v>
      </c>
      <c r="O282">
        <v>0</v>
      </c>
      <c r="P282">
        <v>0</v>
      </c>
      <c r="Q282">
        <v>0</v>
      </c>
      <c r="R282">
        <v>0</v>
      </c>
      <c r="S282">
        <v>0</v>
      </c>
      <c r="T282">
        <v>0</v>
      </c>
      <c r="U282">
        <v>0</v>
      </c>
      <c r="V282">
        <v>0</v>
      </c>
      <c r="W282" s="30">
        <f t="shared" si="111"/>
        <v>34.618600000000001</v>
      </c>
      <c r="Y282">
        <v>2</v>
      </c>
      <c r="Z282" t="s">
        <v>16</v>
      </c>
      <c r="AA282">
        <v>27328</v>
      </c>
      <c r="AB282">
        <v>224</v>
      </c>
      <c r="AC282">
        <v>1</v>
      </c>
      <c r="AD282">
        <v>16</v>
      </c>
      <c r="AE282">
        <v>363.67</v>
      </c>
      <c r="AF282" s="17">
        <v>37.417000000000002</v>
      </c>
      <c r="AG282" s="33">
        <v>45307</v>
      </c>
      <c r="AH282" s="34">
        <v>0.61032407407407407</v>
      </c>
      <c r="AI282">
        <v>0</v>
      </c>
      <c r="AJ282">
        <v>0</v>
      </c>
      <c r="AK282">
        <v>0</v>
      </c>
      <c r="AL282">
        <v>0</v>
      </c>
      <c r="AM282">
        <v>0</v>
      </c>
      <c r="AN282">
        <v>0</v>
      </c>
      <c r="AO282">
        <v>0</v>
      </c>
      <c r="AP282">
        <v>0</v>
      </c>
      <c r="AQ282">
        <v>0</v>
      </c>
      <c r="AR282">
        <v>0</v>
      </c>
      <c r="AS282">
        <v>0</v>
      </c>
      <c r="AT282">
        <v>0</v>
      </c>
      <c r="AU282" s="30">
        <f t="shared" si="89"/>
        <v>37.409599999999998</v>
      </c>
    </row>
    <row r="283" spans="1:48" x14ac:dyDescent="0.25">
      <c r="A283">
        <v>3</v>
      </c>
      <c r="B283" t="s">
        <v>16</v>
      </c>
      <c r="C283">
        <v>27328</v>
      </c>
      <c r="D283">
        <v>224</v>
      </c>
      <c r="E283">
        <v>1</v>
      </c>
      <c r="F283">
        <v>16</v>
      </c>
      <c r="G283">
        <v>392.87</v>
      </c>
      <c r="H283" s="17">
        <v>34.636000000000003</v>
      </c>
      <c r="I283" s="33">
        <v>45308</v>
      </c>
      <c r="J283" s="37">
        <v>0.10489583333333334</v>
      </c>
      <c r="K283">
        <v>0</v>
      </c>
      <c r="L283">
        <v>0</v>
      </c>
      <c r="M283">
        <v>0</v>
      </c>
      <c r="N283">
        <v>0</v>
      </c>
      <c r="O283">
        <v>0</v>
      </c>
      <c r="P283">
        <v>0</v>
      </c>
      <c r="Q283">
        <v>0</v>
      </c>
      <c r="R283">
        <v>0</v>
      </c>
      <c r="S283">
        <v>0</v>
      </c>
      <c r="T283">
        <v>0</v>
      </c>
      <c r="U283">
        <v>0</v>
      </c>
      <c r="V283">
        <v>0</v>
      </c>
      <c r="W283" s="30">
        <f t="shared" si="111"/>
        <v>34.618600000000001</v>
      </c>
      <c r="Y283">
        <v>3</v>
      </c>
      <c r="Z283" t="s">
        <v>16</v>
      </c>
      <c r="AA283">
        <v>27328</v>
      </c>
      <c r="AB283">
        <v>224</v>
      </c>
      <c r="AC283">
        <v>1</v>
      </c>
      <c r="AD283">
        <v>16</v>
      </c>
      <c r="AE283">
        <v>363.55</v>
      </c>
      <c r="AF283" s="17">
        <v>37.427999999999997</v>
      </c>
      <c r="AG283" s="33">
        <v>45307</v>
      </c>
      <c r="AH283" s="34">
        <v>0.54840277777777779</v>
      </c>
      <c r="AI283">
        <v>0</v>
      </c>
      <c r="AJ283">
        <v>0</v>
      </c>
      <c r="AK283">
        <v>0</v>
      </c>
      <c r="AL283">
        <v>0</v>
      </c>
      <c r="AM283">
        <v>0</v>
      </c>
      <c r="AN283">
        <v>0</v>
      </c>
      <c r="AO283">
        <v>0</v>
      </c>
      <c r="AP283">
        <v>0</v>
      </c>
      <c r="AQ283">
        <v>0</v>
      </c>
      <c r="AR283">
        <v>0</v>
      </c>
      <c r="AS283">
        <v>0</v>
      </c>
      <c r="AT283">
        <v>0</v>
      </c>
      <c r="AU283" s="30">
        <f t="shared" si="89"/>
        <v>37.409599999999998</v>
      </c>
    </row>
    <row r="284" spans="1:48" x14ac:dyDescent="0.25">
      <c r="A284">
        <v>4</v>
      </c>
      <c r="B284" t="s">
        <v>16</v>
      </c>
      <c r="C284">
        <v>27328</v>
      </c>
      <c r="D284">
        <v>224</v>
      </c>
      <c r="E284">
        <v>1</v>
      </c>
      <c r="F284">
        <v>16</v>
      </c>
      <c r="G284">
        <v>393</v>
      </c>
      <c r="H284" s="17">
        <v>34.624000000000002</v>
      </c>
      <c r="I284" s="33">
        <v>45307</v>
      </c>
      <c r="J284" s="37">
        <v>0.82586805555555554</v>
      </c>
      <c r="K284">
        <v>0</v>
      </c>
      <c r="L284">
        <v>0</v>
      </c>
      <c r="M284">
        <v>0</v>
      </c>
      <c r="N284">
        <v>0</v>
      </c>
      <c r="O284">
        <v>0</v>
      </c>
      <c r="P284">
        <v>0</v>
      </c>
      <c r="Q284">
        <v>0</v>
      </c>
      <c r="R284">
        <v>0</v>
      </c>
      <c r="S284">
        <v>0</v>
      </c>
      <c r="T284">
        <v>0</v>
      </c>
      <c r="U284">
        <v>0</v>
      </c>
      <c r="V284">
        <v>0</v>
      </c>
      <c r="W284" s="30">
        <f t="shared" si="111"/>
        <v>34.618600000000001</v>
      </c>
      <c r="Y284">
        <v>4</v>
      </c>
      <c r="Z284" t="s">
        <v>16</v>
      </c>
      <c r="AA284">
        <v>27328</v>
      </c>
      <c r="AB284">
        <v>224</v>
      </c>
      <c r="AC284">
        <v>1</v>
      </c>
      <c r="AD284">
        <v>16</v>
      </c>
      <c r="AE284">
        <v>363.53</v>
      </c>
      <c r="AF284" s="17">
        <v>37.430999999999997</v>
      </c>
      <c r="AG284" s="33">
        <v>45307</v>
      </c>
      <c r="AH284" s="34">
        <v>0.81159722222222219</v>
      </c>
      <c r="AI284">
        <v>0</v>
      </c>
      <c r="AJ284">
        <v>0</v>
      </c>
      <c r="AK284">
        <v>0</v>
      </c>
      <c r="AL284">
        <v>0</v>
      </c>
      <c r="AM284">
        <v>0</v>
      </c>
      <c r="AN284">
        <v>0</v>
      </c>
      <c r="AO284">
        <v>0</v>
      </c>
      <c r="AP284">
        <v>0</v>
      </c>
      <c r="AQ284">
        <v>0</v>
      </c>
      <c r="AR284">
        <v>0</v>
      </c>
      <c r="AS284">
        <v>0</v>
      </c>
      <c r="AT284">
        <v>0</v>
      </c>
      <c r="AU284" s="30">
        <f t="shared" si="89"/>
        <v>37.409599999999998</v>
      </c>
    </row>
    <row r="285" spans="1:48" x14ac:dyDescent="0.25">
      <c r="A285">
        <v>0</v>
      </c>
      <c r="B285" t="s">
        <v>16</v>
      </c>
      <c r="C285">
        <v>28896</v>
      </c>
      <c r="D285">
        <v>224</v>
      </c>
      <c r="E285">
        <v>1</v>
      </c>
      <c r="F285">
        <v>16</v>
      </c>
      <c r="G285">
        <v>460.66</v>
      </c>
      <c r="H285" s="17">
        <v>34.92</v>
      </c>
      <c r="I285" s="33">
        <v>45307</v>
      </c>
      <c r="J285" s="37">
        <v>0.62333333333333341</v>
      </c>
      <c r="K285">
        <v>0</v>
      </c>
      <c r="L285">
        <v>0</v>
      </c>
      <c r="M285">
        <v>0</v>
      </c>
      <c r="N285">
        <v>0</v>
      </c>
      <c r="O285">
        <v>0</v>
      </c>
      <c r="P285">
        <v>0</v>
      </c>
      <c r="Q285">
        <v>0</v>
      </c>
      <c r="R285">
        <v>0</v>
      </c>
      <c r="S285">
        <v>0</v>
      </c>
      <c r="T285">
        <v>0</v>
      </c>
      <c r="U285">
        <v>0</v>
      </c>
      <c r="V285">
        <v>0</v>
      </c>
      <c r="W285" s="30">
        <f t="shared" ref="W285" si="112">AVERAGE(H285:H289)</f>
        <v>34.935799999999993</v>
      </c>
      <c r="Y285">
        <v>0</v>
      </c>
      <c r="Z285" t="s">
        <v>16</v>
      </c>
      <c r="AA285">
        <v>28896</v>
      </c>
      <c r="AB285">
        <v>224</v>
      </c>
      <c r="AC285">
        <v>1</v>
      </c>
      <c r="AD285">
        <v>16</v>
      </c>
      <c r="AE285">
        <v>424.25</v>
      </c>
      <c r="AF285" s="17">
        <v>37.917000000000002</v>
      </c>
      <c r="AG285" s="33">
        <v>45307</v>
      </c>
      <c r="AH285" s="34">
        <v>0.67912037037037043</v>
      </c>
      <c r="AI285">
        <v>0</v>
      </c>
      <c r="AJ285">
        <v>0</v>
      </c>
      <c r="AK285">
        <v>0</v>
      </c>
      <c r="AL285">
        <v>0</v>
      </c>
      <c r="AM285">
        <v>0</v>
      </c>
      <c r="AN285">
        <v>0</v>
      </c>
      <c r="AO285">
        <v>0</v>
      </c>
      <c r="AP285">
        <v>0</v>
      </c>
      <c r="AQ285">
        <v>0</v>
      </c>
      <c r="AR285">
        <v>0</v>
      </c>
      <c r="AS285">
        <v>0</v>
      </c>
      <c r="AT285">
        <v>0</v>
      </c>
      <c r="AU285" s="30">
        <f t="shared" si="107"/>
        <v>37.737000000000002</v>
      </c>
    </row>
    <row r="286" spans="1:48" x14ac:dyDescent="0.25">
      <c r="A286">
        <v>1</v>
      </c>
      <c r="B286" t="s">
        <v>16</v>
      </c>
      <c r="C286">
        <v>28896</v>
      </c>
      <c r="D286">
        <v>224</v>
      </c>
      <c r="E286">
        <v>1</v>
      </c>
      <c r="F286">
        <v>16</v>
      </c>
      <c r="G286">
        <v>459.85</v>
      </c>
      <c r="H286" s="17">
        <v>34.981999999999999</v>
      </c>
      <c r="I286" s="33">
        <v>45307</v>
      </c>
      <c r="J286" s="37">
        <v>0.96393518518518517</v>
      </c>
      <c r="K286">
        <v>0</v>
      </c>
      <c r="L286">
        <v>0</v>
      </c>
      <c r="M286">
        <v>0</v>
      </c>
      <c r="N286">
        <v>0</v>
      </c>
      <c r="O286">
        <v>0</v>
      </c>
      <c r="P286">
        <v>0</v>
      </c>
      <c r="Q286">
        <v>0</v>
      </c>
      <c r="R286">
        <v>0</v>
      </c>
      <c r="S286">
        <v>0</v>
      </c>
      <c r="T286">
        <v>0</v>
      </c>
      <c r="U286">
        <v>0</v>
      </c>
      <c r="V286">
        <v>0</v>
      </c>
      <c r="W286" s="30">
        <f t="shared" ref="W286:W289" si="113">W285</f>
        <v>34.935799999999993</v>
      </c>
      <c r="Y286">
        <v>1</v>
      </c>
      <c r="Z286" t="s">
        <v>16</v>
      </c>
      <c r="AA286">
        <v>28896</v>
      </c>
      <c r="AB286">
        <v>224</v>
      </c>
      <c r="AC286">
        <v>1</v>
      </c>
      <c r="AD286">
        <v>16</v>
      </c>
      <c r="AE286">
        <v>428.15</v>
      </c>
      <c r="AF286" s="17">
        <v>37.572000000000003</v>
      </c>
      <c r="AG286" s="33">
        <v>45307</v>
      </c>
      <c r="AH286" s="34">
        <v>0.51921296296296293</v>
      </c>
      <c r="AI286">
        <v>0</v>
      </c>
      <c r="AJ286">
        <v>0</v>
      </c>
      <c r="AK286">
        <v>0</v>
      </c>
      <c r="AL286">
        <v>0</v>
      </c>
      <c r="AM286">
        <v>0</v>
      </c>
      <c r="AN286">
        <v>0</v>
      </c>
      <c r="AO286">
        <v>0</v>
      </c>
      <c r="AP286">
        <v>0</v>
      </c>
      <c r="AQ286">
        <v>0</v>
      </c>
      <c r="AR286">
        <v>0</v>
      </c>
      <c r="AS286">
        <v>0</v>
      </c>
      <c r="AT286">
        <v>0</v>
      </c>
      <c r="AU286" s="30">
        <f t="shared" si="109"/>
        <v>37.737000000000002</v>
      </c>
    </row>
    <row r="287" spans="1:48" x14ac:dyDescent="0.25">
      <c r="A287">
        <v>2</v>
      </c>
      <c r="B287" t="s">
        <v>16</v>
      </c>
      <c r="C287">
        <v>28896</v>
      </c>
      <c r="D287">
        <v>224</v>
      </c>
      <c r="E287">
        <v>1</v>
      </c>
      <c r="F287">
        <v>16</v>
      </c>
      <c r="G287">
        <v>460.91</v>
      </c>
      <c r="H287" s="17">
        <v>34.901000000000003</v>
      </c>
      <c r="I287" s="33">
        <v>45308</v>
      </c>
      <c r="J287" s="37">
        <v>0.30700231481481483</v>
      </c>
      <c r="K287">
        <v>0</v>
      </c>
      <c r="L287">
        <v>0</v>
      </c>
      <c r="M287">
        <v>0</v>
      </c>
      <c r="N287">
        <v>0</v>
      </c>
      <c r="O287">
        <v>0</v>
      </c>
      <c r="P287">
        <v>0</v>
      </c>
      <c r="Q287">
        <v>0</v>
      </c>
      <c r="R287">
        <v>0</v>
      </c>
      <c r="S287">
        <v>0</v>
      </c>
      <c r="T287">
        <v>0</v>
      </c>
      <c r="U287">
        <v>0</v>
      </c>
      <c r="V287">
        <v>0</v>
      </c>
      <c r="W287" s="30">
        <f t="shared" si="113"/>
        <v>34.935799999999993</v>
      </c>
      <c r="Y287">
        <v>2</v>
      </c>
      <c r="Z287" t="s">
        <v>16</v>
      </c>
      <c r="AA287">
        <v>28896</v>
      </c>
      <c r="AB287">
        <v>224</v>
      </c>
      <c r="AC287">
        <v>1</v>
      </c>
      <c r="AD287">
        <v>16</v>
      </c>
      <c r="AE287">
        <v>424.4</v>
      </c>
      <c r="AF287" s="17">
        <v>37.904000000000003</v>
      </c>
      <c r="AG287" s="33">
        <v>45307</v>
      </c>
      <c r="AH287" s="34">
        <v>0.78203703703703698</v>
      </c>
      <c r="AI287">
        <v>0</v>
      </c>
      <c r="AJ287">
        <v>0</v>
      </c>
      <c r="AK287">
        <v>0</v>
      </c>
      <c r="AL287">
        <v>0</v>
      </c>
      <c r="AM287">
        <v>0</v>
      </c>
      <c r="AN287">
        <v>0</v>
      </c>
      <c r="AO287">
        <v>0</v>
      </c>
      <c r="AP287">
        <v>0</v>
      </c>
      <c r="AQ287">
        <v>0</v>
      </c>
      <c r="AR287">
        <v>0</v>
      </c>
      <c r="AS287">
        <v>0</v>
      </c>
      <c r="AT287">
        <v>0</v>
      </c>
      <c r="AU287" s="30">
        <f t="shared" si="89"/>
        <v>37.737000000000002</v>
      </c>
    </row>
    <row r="288" spans="1:48" x14ac:dyDescent="0.25">
      <c r="A288">
        <v>3</v>
      </c>
      <c r="B288" t="s">
        <v>16</v>
      </c>
      <c r="C288">
        <v>28896</v>
      </c>
      <c r="D288">
        <v>224</v>
      </c>
      <c r="E288">
        <v>1</v>
      </c>
      <c r="F288">
        <v>16</v>
      </c>
      <c r="G288">
        <v>460.81</v>
      </c>
      <c r="H288" s="17">
        <v>34.908999999999999</v>
      </c>
      <c r="I288" s="33">
        <v>45307</v>
      </c>
      <c r="J288" s="37">
        <v>0.70428240740740744</v>
      </c>
      <c r="K288">
        <v>0</v>
      </c>
      <c r="L288">
        <v>0</v>
      </c>
      <c r="M288">
        <v>0</v>
      </c>
      <c r="N288">
        <v>0</v>
      </c>
      <c r="O288">
        <v>0</v>
      </c>
      <c r="P288">
        <v>0</v>
      </c>
      <c r="Q288">
        <v>0</v>
      </c>
      <c r="R288">
        <v>0</v>
      </c>
      <c r="S288">
        <v>0</v>
      </c>
      <c r="T288">
        <v>0</v>
      </c>
      <c r="U288">
        <v>0</v>
      </c>
      <c r="V288">
        <v>0</v>
      </c>
      <c r="W288" s="30">
        <f t="shared" si="113"/>
        <v>34.935799999999993</v>
      </c>
      <c r="Y288">
        <v>3</v>
      </c>
      <c r="Z288" t="s">
        <v>16</v>
      </c>
      <c r="AA288">
        <v>28896</v>
      </c>
      <c r="AB288">
        <v>224</v>
      </c>
      <c r="AC288">
        <v>1</v>
      </c>
      <c r="AD288">
        <v>16</v>
      </c>
      <c r="AE288">
        <v>425.59</v>
      </c>
      <c r="AF288" s="17">
        <v>37.798000000000002</v>
      </c>
      <c r="AG288" s="33">
        <v>45307</v>
      </c>
      <c r="AH288" s="34">
        <v>0.72062500000000007</v>
      </c>
      <c r="AI288">
        <v>0</v>
      </c>
      <c r="AJ288">
        <v>0</v>
      </c>
      <c r="AK288">
        <v>0</v>
      </c>
      <c r="AL288">
        <v>0</v>
      </c>
      <c r="AM288">
        <v>0</v>
      </c>
      <c r="AN288">
        <v>0</v>
      </c>
      <c r="AO288">
        <v>0</v>
      </c>
      <c r="AP288">
        <v>0</v>
      </c>
      <c r="AQ288">
        <v>0</v>
      </c>
      <c r="AR288">
        <v>0</v>
      </c>
      <c r="AS288">
        <v>0</v>
      </c>
      <c r="AT288">
        <v>0</v>
      </c>
      <c r="AU288" s="30">
        <f t="shared" si="89"/>
        <v>37.737000000000002</v>
      </c>
    </row>
    <row r="289" spans="1:47" x14ac:dyDescent="0.25">
      <c r="A289">
        <v>4</v>
      </c>
      <c r="B289" t="s">
        <v>16</v>
      </c>
      <c r="C289">
        <v>28896</v>
      </c>
      <c r="D289">
        <v>224</v>
      </c>
      <c r="E289">
        <v>1</v>
      </c>
      <c r="F289">
        <v>16</v>
      </c>
      <c r="G289">
        <v>460.04</v>
      </c>
      <c r="H289" s="17">
        <v>34.966999999999999</v>
      </c>
      <c r="I289" s="33">
        <v>45308</v>
      </c>
      <c r="J289" s="37">
        <v>4.5960648148148146E-2</v>
      </c>
      <c r="K289">
        <v>0</v>
      </c>
      <c r="L289">
        <v>0</v>
      </c>
      <c r="M289">
        <v>0</v>
      </c>
      <c r="N289">
        <v>0</v>
      </c>
      <c r="O289">
        <v>0</v>
      </c>
      <c r="P289">
        <v>0</v>
      </c>
      <c r="Q289">
        <v>0</v>
      </c>
      <c r="R289">
        <v>0</v>
      </c>
      <c r="S289">
        <v>0</v>
      </c>
      <c r="T289">
        <v>0</v>
      </c>
      <c r="U289">
        <v>0</v>
      </c>
      <c r="V289">
        <v>0</v>
      </c>
      <c r="W289" s="30">
        <f t="shared" si="113"/>
        <v>34.935799999999993</v>
      </c>
      <c r="Y289">
        <v>4</v>
      </c>
      <c r="Z289" t="s">
        <v>16</v>
      </c>
      <c r="AA289">
        <v>28896</v>
      </c>
      <c r="AB289">
        <v>224</v>
      </c>
      <c r="AC289">
        <v>1</v>
      </c>
      <c r="AD289">
        <v>16</v>
      </c>
      <c r="AE289">
        <v>429.04</v>
      </c>
      <c r="AF289" s="17">
        <v>37.494</v>
      </c>
      <c r="AG289" s="33">
        <v>45307</v>
      </c>
      <c r="AH289" s="34">
        <v>0.51412037037037039</v>
      </c>
      <c r="AI289">
        <v>0</v>
      </c>
      <c r="AJ289">
        <v>0</v>
      </c>
      <c r="AK289">
        <v>0</v>
      </c>
      <c r="AL289">
        <v>0</v>
      </c>
      <c r="AM289">
        <v>0</v>
      </c>
      <c r="AN289">
        <v>0</v>
      </c>
      <c r="AO289">
        <v>0</v>
      </c>
      <c r="AP289">
        <v>0</v>
      </c>
      <c r="AQ289">
        <v>0</v>
      </c>
      <c r="AR289">
        <v>0</v>
      </c>
      <c r="AS289">
        <v>0</v>
      </c>
      <c r="AT289">
        <v>0</v>
      </c>
      <c r="AU289" s="30">
        <f t="shared" si="89"/>
        <v>37.737000000000002</v>
      </c>
    </row>
    <row r="290" spans="1:47" x14ac:dyDescent="0.25">
      <c r="A290">
        <v>0</v>
      </c>
      <c r="B290" t="s">
        <v>16</v>
      </c>
      <c r="C290">
        <v>25984</v>
      </c>
      <c r="D290">
        <v>224</v>
      </c>
      <c r="E290">
        <v>2</v>
      </c>
      <c r="F290">
        <v>8</v>
      </c>
      <c r="G290">
        <v>316.62</v>
      </c>
      <c r="H290" s="17">
        <v>36.942999999999998</v>
      </c>
      <c r="I290" s="33">
        <v>45307</v>
      </c>
      <c r="J290" s="37">
        <v>0.51001157407407405</v>
      </c>
      <c r="K290">
        <v>0</v>
      </c>
      <c r="L290">
        <v>0</v>
      </c>
      <c r="M290">
        <v>0</v>
      </c>
      <c r="N290">
        <v>0</v>
      </c>
      <c r="O290">
        <v>0</v>
      </c>
      <c r="P290">
        <v>0</v>
      </c>
      <c r="Q290">
        <v>0</v>
      </c>
      <c r="R290">
        <v>0</v>
      </c>
      <c r="S290">
        <v>0</v>
      </c>
      <c r="T290">
        <v>0</v>
      </c>
      <c r="U290">
        <v>0</v>
      </c>
      <c r="V290">
        <v>0</v>
      </c>
      <c r="W290" s="30">
        <f t="shared" ref="W290" si="114">AVERAGE(H290:H294)</f>
        <v>36.952200000000005</v>
      </c>
      <c r="Y290">
        <v>0</v>
      </c>
      <c r="Z290" t="s">
        <v>16</v>
      </c>
      <c r="AA290">
        <v>25984</v>
      </c>
      <c r="AB290">
        <v>224</v>
      </c>
      <c r="AC290">
        <v>2</v>
      </c>
      <c r="AD290">
        <v>8</v>
      </c>
      <c r="AE290">
        <v>297.23</v>
      </c>
      <c r="AF290" s="17">
        <v>39.351999999999997</v>
      </c>
      <c r="AG290" s="33">
        <v>45307</v>
      </c>
      <c r="AH290" s="34">
        <v>0.58921296296296299</v>
      </c>
      <c r="AI290">
        <v>0</v>
      </c>
      <c r="AJ290">
        <v>0</v>
      </c>
      <c r="AK290">
        <v>0</v>
      </c>
      <c r="AL290">
        <v>0</v>
      </c>
      <c r="AM290">
        <v>0</v>
      </c>
      <c r="AN290">
        <v>0</v>
      </c>
      <c r="AO290">
        <v>0</v>
      </c>
      <c r="AP290">
        <v>0</v>
      </c>
      <c r="AQ290">
        <v>0</v>
      </c>
      <c r="AR290">
        <v>0</v>
      </c>
      <c r="AS290">
        <v>0</v>
      </c>
      <c r="AT290">
        <v>0</v>
      </c>
      <c r="AU290" s="30">
        <f t="shared" si="107"/>
        <v>39.388000000000005</v>
      </c>
    </row>
    <row r="291" spans="1:47" x14ac:dyDescent="0.25">
      <c r="A291">
        <v>1</v>
      </c>
      <c r="B291" t="s">
        <v>16</v>
      </c>
      <c r="C291">
        <v>25984</v>
      </c>
      <c r="D291">
        <v>224</v>
      </c>
      <c r="E291">
        <v>2</v>
      </c>
      <c r="F291">
        <v>8</v>
      </c>
      <c r="G291">
        <v>316.43</v>
      </c>
      <c r="H291" s="17">
        <v>36.963999999999999</v>
      </c>
      <c r="I291" s="33">
        <v>45307</v>
      </c>
      <c r="J291" s="37">
        <v>0.85274305555555552</v>
      </c>
      <c r="K291">
        <v>0</v>
      </c>
      <c r="L291">
        <v>0</v>
      </c>
      <c r="M291">
        <v>0</v>
      </c>
      <c r="N291">
        <v>0</v>
      </c>
      <c r="O291">
        <v>0</v>
      </c>
      <c r="P291">
        <v>0</v>
      </c>
      <c r="Q291">
        <v>0</v>
      </c>
      <c r="R291">
        <v>0</v>
      </c>
      <c r="S291">
        <v>0</v>
      </c>
      <c r="T291">
        <v>0</v>
      </c>
      <c r="U291">
        <v>0</v>
      </c>
      <c r="V291">
        <v>0</v>
      </c>
      <c r="W291" s="30">
        <f t="shared" ref="W291:W294" si="115">W290</f>
        <v>36.952200000000005</v>
      </c>
      <c r="Y291">
        <v>1</v>
      </c>
      <c r="Z291" t="s">
        <v>16</v>
      </c>
      <c r="AA291">
        <v>25984</v>
      </c>
      <c r="AB291">
        <v>224</v>
      </c>
      <c r="AC291">
        <v>2</v>
      </c>
      <c r="AD291">
        <v>8</v>
      </c>
      <c r="AE291">
        <v>297.11</v>
      </c>
      <c r="AF291" s="17">
        <v>39.368000000000002</v>
      </c>
      <c r="AG291" s="33">
        <v>45307</v>
      </c>
      <c r="AH291" s="34">
        <v>0.53881944444444441</v>
      </c>
      <c r="AI291">
        <v>0</v>
      </c>
      <c r="AJ291">
        <v>0</v>
      </c>
      <c r="AK291">
        <v>0</v>
      </c>
      <c r="AL291">
        <v>0</v>
      </c>
      <c r="AM291">
        <v>0</v>
      </c>
      <c r="AN291">
        <v>0</v>
      </c>
      <c r="AO291">
        <v>0</v>
      </c>
      <c r="AP291">
        <v>0</v>
      </c>
      <c r="AQ291">
        <v>0</v>
      </c>
      <c r="AR291">
        <v>0</v>
      </c>
      <c r="AS291">
        <v>0</v>
      </c>
      <c r="AT291">
        <v>0</v>
      </c>
      <c r="AU291" s="30">
        <f t="shared" si="109"/>
        <v>39.388000000000005</v>
      </c>
    </row>
    <row r="292" spans="1:47" x14ac:dyDescent="0.25">
      <c r="A292">
        <v>2</v>
      </c>
      <c r="B292" t="s">
        <v>16</v>
      </c>
      <c r="C292">
        <v>25984</v>
      </c>
      <c r="D292">
        <v>224</v>
      </c>
      <c r="E292">
        <v>2</v>
      </c>
      <c r="F292">
        <v>8</v>
      </c>
      <c r="G292">
        <v>316.58</v>
      </c>
      <c r="H292" s="17">
        <v>36.947000000000003</v>
      </c>
      <c r="I292" s="33">
        <v>45308</v>
      </c>
      <c r="J292" s="37">
        <v>0.19336805555555556</v>
      </c>
      <c r="K292">
        <v>0</v>
      </c>
      <c r="L292">
        <v>0</v>
      </c>
      <c r="M292">
        <v>0</v>
      </c>
      <c r="N292">
        <v>0</v>
      </c>
      <c r="O292">
        <v>0</v>
      </c>
      <c r="P292">
        <v>0</v>
      </c>
      <c r="Q292">
        <v>0</v>
      </c>
      <c r="R292">
        <v>0</v>
      </c>
      <c r="S292">
        <v>0</v>
      </c>
      <c r="T292">
        <v>0</v>
      </c>
      <c r="U292">
        <v>0</v>
      </c>
      <c r="V292">
        <v>0</v>
      </c>
      <c r="W292" s="30">
        <f t="shared" si="115"/>
        <v>36.952200000000005</v>
      </c>
      <c r="Y292">
        <v>2</v>
      </c>
      <c r="Z292" t="s">
        <v>16</v>
      </c>
      <c r="AA292">
        <v>25984</v>
      </c>
      <c r="AB292">
        <v>224</v>
      </c>
      <c r="AC292">
        <v>2</v>
      </c>
      <c r="AD292">
        <v>8</v>
      </c>
      <c r="AE292">
        <v>297.05</v>
      </c>
      <c r="AF292" s="17">
        <v>39.377000000000002</v>
      </c>
      <c r="AG292" s="33">
        <v>45307</v>
      </c>
      <c r="AH292" s="34">
        <v>0.69256944444444446</v>
      </c>
      <c r="AI292">
        <v>0</v>
      </c>
      <c r="AJ292">
        <v>0</v>
      </c>
      <c r="AK292">
        <v>0</v>
      </c>
      <c r="AL292">
        <v>0</v>
      </c>
      <c r="AM292">
        <v>0</v>
      </c>
      <c r="AN292">
        <v>0</v>
      </c>
      <c r="AO292">
        <v>0</v>
      </c>
      <c r="AP292">
        <v>0</v>
      </c>
      <c r="AQ292">
        <v>0</v>
      </c>
      <c r="AR292">
        <v>0</v>
      </c>
      <c r="AS292">
        <v>0</v>
      </c>
      <c r="AT292">
        <v>0</v>
      </c>
      <c r="AU292" s="30">
        <f t="shared" si="89"/>
        <v>39.388000000000005</v>
      </c>
    </row>
    <row r="293" spans="1:47" x14ac:dyDescent="0.25">
      <c r="A293">
        <v>3</v>
      </c>
      <c r="B293" t="s">
        <v>16</v>
      </c>
      <c r="C293">
        <v>25984</v>
      </c>
      <c r="D293">
        <v>224</v>
      </c>
      <c r="E293">
        <v>2</v>
      </c>
      <c r="F293">
        <v>8</v>
      </c>
      <c r="G293">
        <v>316.49</v>
      </c>
      <c r="H293" s="17">
        <v>36.957999999999998</v>
      </c>
      <c r="I293" s="33">
        <v>45307</v>
      </c>
      <c r="J293" s="37">
        <v>0.59078703703703705</v>
      </c>
      <c r="K293">
        <v>0</v>
      </c>
      <c r="L293">
        <v>0</v>
      </c>
      <c r="M293">
        <v>0</v>
      </c>
      <c r="N293">
        <v>0</v>
      </c>
      <c r="O293">
        <v>0</v>
      </c>
      <c r="P293">
        <v>0</v>
      </c>
      <c r="Q293">
        <v>0</v>
      </c>
      <c r="R293">
        <v>0</v>
      </c>
      <c r="S293">
        <v>0</v>
      </c>
      <c r="T293">
        <v>0</v>
      </c>
      <c r="U293">
        <v>0</v>
      </c>
      <c r="V293">
        <v>0</v>
      </c>
      <c r="W293" s="30">
        <f t="shared" si="115"/>
        <v>36.952200000000005</v>
      </c>
      <c r="Y293">
        <v>3</v>
      </c>
      <c r="Z293" t="s">
        <v>16</v>
      </c>
      <c r="AA293">
        <v>25984</v>
      </c>
      <c r="AB293">
        <v>224</v>
      </c>
      <c r="AC293">
        <v>2</v>
      </c>
      <c r="AD293">
        <v>8</v>
      </c>
      <c r="AE293">
        <v>297</v>
      </c>
      <c r="AF293" s="17">
        <v>39.383000000000003</v>
      </c>
      <c r="AG293" s="33">
        <v>45307</v>
      </c>
      <c r="AH293" s="34">
        <v>0.63064814814814818</v>
      </c>
      <c r="AI293">
        <v>0</v>
      </c>
      <c r="AJ293">
        <v>0</v>
      </c>
      <c r="AK293">
        <v>0</v>
      </c>
      <c r="AL293">
        <v>0</v>
      </c>
      <c r="AM293">
        <v>0</v>
      </c>
      <c r="AN293">
        <v>0</v>
      </c>
      <c r="AO293">
        <v>0</v>
      </c>
      <c r="AP293">
        <v>0</v>
      </c>
      <c r="AQ293">
        <v>0</v>
      </c>
      <c r="AR293">
        <v>0</v>
      </c>
      <c r="AS293">
        <v>0</v>
      </c>
      <c r="AT293">
        <v>0</v>
      </c>
      <c r="AU293" s="30">
        <f t="shared" si="89"/>
        <v>39.388000000000005</v>
      </c>
    </row>
    <row r="294" spans="1:47" x14ac:dyDescent="0.25">
      <c r="A294">
        <v>4</v>
      </c>
      <c r="B294" t="s">
        <v>16</v>
      </c>
      <c r="C294">
        <v>25984</v>
      </c>
      <c r="D294">
        <v>224</v>
      </c>
      <c r="E294">
        <v>2</v>
      </c>
      <c r="F294">
        <v>8</v>
      </c>
      <c r="G294">
        <v>316.56</v>
      </c>
      <c r="H294" s="17">
        <v>36.948999999999998</v>
      </c>
      <c r="I294" s="33">
        <v>45307</v>
      </c>
      <c r="J294" s="37">
        <v>0.93372685185185178</v>
      </c>
      <c r="K294">
        <v>0</v>
      </c>
      <c r="L294">
        <v>0</v>
      </c>
      <c r="M294">
        <v>0</v>
      </c>
      <c r="N294">
        <v>0</v>
      </c>
      <c r="O294">
        <v>0</v>
      </c>
      <c r="P294">
        <v>0</v>
      </c>
      <c r="Q294">
        <v>0</v>
      </c>
      <c r="R294">
        <v>0</v>
      </c>
      <c r="S294">
        <v>0</v>
      </c>
      <c r="T294">
        <v>0</v>
      </c>
      <c r="U294">
        <v>0</v>
      </c>
      <c r="V294">
        <v>0</v>
      </c>
      <c r="W294" s="30">
        <f t="shared" si="115"/>
        <v>36.952200000000005</v>
      </c>
      <c r="Y294">
        <v>4</v>
      </c>
      <c r="Z294" t="s">
        <v>16</v>
      </c>
      <c r="AA294">
        <v>25984</v>
      </c>
      <c r="AB294">
        <v>224</v>
      </c>
      <c r="AC294">
        <v>2</v>
      </c>
      <c r="AD294">
        <v>8</v>
      </c>
      <c r="AE294">
        <v>296.42</v>
      </c>
      <c r="AF294" s="17">
        <v>39.46</v>
      </c>
      <c r="AG294" s="33">
        <v>45307</v>
      </c>
      <c r="AH294" s="34">
        <v>0.50555555555555554</v>
      </c>
      <c r="AI294">
        <v>0</v>
      </c>
      <c r="AJ294">
        <v>0</v>
      </c>
      <c r="AK294">
        <v>0</v>
      </c>
      <c r="AL294">
        <v>0</v>
      </c>
      <c r="AM294">
        <v>0</v>
      </c>
      <c r="AN294">
        <v>0</v>
      </c>
      <c r="AO294">
        <v>0</v>
      </c>
      <c r="AP294">
        <v>0</v>
      </c>
      <c r="AQ294">
        <v>0</v>
      </c>
      <c r="AR294">
        <v>0</v>
      </c>
      <c r="AS294">
        <v>0</v>
      </c>
      <c r="AT294">
        <v>0</v>
      </c>
      <c r="AU294" s="30">
        <f t="shared" si="89"/>
        <v>39.388000000000005</v>
      </c>
    </row>
    <row r="295" spans="1:47" x14ac:dyDescent="0.25">
      <c r="A295">
        <v>0</v>
      </c>
      <c r="B295" t="s">
        <v>16</v>
      </c>
      <c r="C295">
        <v>27328</v>
      </c>
      <c r="D295">
        <v>224</v>
      </c>
      <c r="E295">
        <v>2</v>
      </c>
      <c r="F295">
        <v>8</v>
      </c>
      <c r="G295">
        <v>363.37</v>
      </c>
      <c r="H295" s="17">
        <v>37.447000000000003</v>
      </c>
      <c r="I295" s="33">
        <v>45307</v>
      </c>
      <c r="J295" s="37">
        <v>0.55221064814814813</v>
      </c>
      <c r="K295">
        <v>0</v>
      </c>
      <c r="L295">
        <v>0</v>
      </c>
      <c r="M295">
        <v>0</v>
      </c>
      <c r="N295">
        <v>0</v>
      </c>
      <c r="O295">
        <v>0</v>
      </c>
      <c r="P295">
        <v>0</v>
      </c>
      <c r="Q295">
        <v>0</v>
      </c>
      <c r="R295">
        <v>0</v>
      </c>
      <c r="S295">
        <v>0</v>
      </c>
      <c r="T295">
        <v>0</v>
      </c>
      <c r="U295">
        <v>0</v>
      </c>
      <c r="V295">
        <v>0</v>
      </c>
      <c r="W295" s="30">
        <f t="shared" ref="W295" si="116">AVERAGE(H295:H299)</f>
        <v>37.436599999999999</v>
      </c>
      <c r="Y295">
        <v>0</v>
      </c>
      <c r="Z295" t="s">
        <v>16</v>
      </c>
      <c r="AA295">
        <v>27328</v>
      </c>
      <c r="AB295">
        <v>224</v>
      </c>
      <c r="AC295">
        <v>2</v>
      </c>
      <c r="AD295">
        <v>8</v>
      </c>
      <c r="AE295">
        <v>340.89</v>
      </c>
      <c r="AF295" s="17">
        <v>39.915999999999997</v>
      </c>
      <c r="AG295" s="33">
        <v>45307</v>
      </c>
      <c r="AH295" s="34">
        <v>0.51157407407407407</v>
      </c>
      <c r="AI295">
        <v>0</v>
      </c>
      <c r="AJ295">
        <v>0</v>
      </c>
      <c r="AK295">
        <v>0</v>
      </c>
      <c r="AL295">
        <v>0</v>
      </c>
      <c r="AM295">
        <v>0</v>
      </c>
      <c r="AN295">
        <v>0</v>
      </c>
      <c r="AO295">
        <v>0</v>
      </c>
      <c r="AP295">
        <v>0</v>
      </c>
      <c r="AQ295">
        <v>0</v>
      </c>
      <c r="AR295">
        <v>0</v>
      </c>
      <c r="AS295">
        <v>0</v>
      </c>
      <c r="AT295">
        <v>0</v>
      </c>
      <c r="AU295" s="30">
        <f t="shared" si="107"/>
        <v>39.929000000000002</v>
      </c>
    </row>
    <row r="296" spans="1:47" x14ac:dyDescent="0.25">
      <c r="A296">
        <v>1</v>
      </c>
      <c r="B296" t="s">
        <v>16</v>
      </c>
      <c r="C296">
        <v>27328</v>
      </c>
      <c r="D296">
        <v>224</v>
      </c>
      <c r="E296">
        <v>2</v>
      </c>
      <c r="F296">
        <v>8</v>
      </c>
      <c r="G296">
        <v>363.46</v>
      </c>
      <c r="H296" s="17">
        <v>37.436999999999998</v>
      </c>
      <c r="I296" s="33">
        <v>45307</v>
      </c>
      <c r="J296" s="37">
        <v>0.74928240740740737</v>
      </c>
      <c r="K296">
        <v>0</v>
      </c>
      <c r="L296">
        <v>0</v>
      </c>
      <c r="M296">
        <v>0</v>
      </c>
      <c r="N296">
        <v>0</v>
      </c>
      <c r="O296">
        <v>0</v>
      </c>
      <c r="P296">
        <v>0</v>
      </c>
      <c r="Q296">
        <v>0</v>
      </c>
      <c r="R296">
        <v>0</v>
      </c>
      <c r="S296">
        <v>0</v>
      </c>
      <c r="T296">
        <v>0</v>
      </c>
      <c r="U296">
        <v>0</v>
      </c>
      <c r="V296">
        <v>0</v>
      </c>
      <c r="W296" s="30">
        <f t="shared" ref="W296:W299" si="117">W295</f>
        <v>37.436599999999999</v>
      </c>
      <c r="Y296">
        <v>1</v>
      </c>
      <c r="Z296" t="s">
        <v>16</v>
      </c>
      <c r="AA296">
        <v>27328</v>
      </c>
      <c r="AB296">
        <v>224</v>
      </c>
      <c r="AC296">
        <v>2</v>
      </c>
      <c r="AD296">
        <v>8</v>
      </c>
      <c r="AE296">
        <v>340.59</v>
      </c>
      <c r="AF296" s="17">
        <v>39.951999999999998</v>
      </c>
      <c r="AG296" s="33">
        <v>45307</v>
      </c>
      <c r="AH296" s="34">
        <v>0.77478009259259262</v>
      </c>
      <c r="AI296">
        <v>0</v>
      </c>
      <c r="AJ296">
        <v>0</v>
      </c>
      <c r="AK296">
        <v>0</v>
      </c>
      <c r="AL296">
        <v>0</v>
      </c>
      <c r="AM296">
        <v>0</v>
      </c>
      <c r="AN296">
        <v>0</v>
      </c>
      <c r="AO296">
        <v>0</v>
      </c>
      <c r="AP296">
        <v>0</v>
      </c>
      <c r="AQ296">
        <v>0</v>
      </c>
      <c r="AR296">
        <v>0</v>
      </c>
      <c r="AS296">
        <v>0</v>
      </c>
      <c r="AT296">
        <v>0</v>
      </c>
      <c r="AU296" s="30">
        <f t="shared" si="109"/>
        <v>39.929000000000002</v>
      </c>
    </row>
    <row r="297" spans="1:47" x14ac:dyDescent="0.25">
      <c r="A297">
        <v>2</v>
      </c>
      <c r="B297" t="s">
        <v>16</v>
      </c>
      <c r="C297">
        <v>27328</v>
      </c>
      <c r="D297">
        <v>224</v>
      </c>
      <c r="E297">
        <v>2</v>
      </c>
      <c r="F297">
        <v>8</v>
      </c>
      <c r="G297">
        <v>363.55</v>
      </c>
      <c r="H297" s="17">
        <v>37.427999999999997</v>
      </c>
      <c r="I297" s="33">
        <v>45308</v>
      </c>
      <c r="J297" s="37">
        <v>8.9930555555555555E-2</v>
      </c>
      <c r="K297">
        <v>0</v>
      </c>
      <c r="L297">
        <v>0</v>
      </c>
      <c r="M297">
        <v>0</v>
      </c>
      <c r="N297">
        <v>0</v>
      </c>
      <c r="O297">
        <v>0</v>
      </c>
      <c r="P297">
        <v>0</v>
      </c>
      <c r="Q297">
        <v>0</v>
      </c>
      <c r="R297">
        <v>0</v>
      </c>
      <c r="S297">
        <v>0</v>
      </c>
      <c r="T297">
        <v>0</v>
      </c>
      <c r="U297">
        <v>0</v>
      </c>
      <c r="V297">
        <v>0</v>
      </c>
      <c r="W297" s="30">
        <f t="shared" si="117"/>
        <v>37.436599999999999</v>
      </c>
      <c r="Y297">
        <v>2</v>
      </c>
      <c r="Z297" t="s">
        <v>16</v>
      </c>
      <c r="AA297">
        <v>27328</v>
      </c>
      <c r="AB297">
        <v>224</v>
      </c>
      <c r="AC297">
        <v>2</v>
      </c>
      <c r="AD297">
        <v>8</v>
      </c>
      <c r="AE297">
        <v>340.74</v>
      </c>
      <c r="AF297" s="17">
        <v>39.935000000000002</v>
      </c>
      <c r="AG297" s="33">
        <v>45307</v>
      </c>
      <c r="AH297" s="34">
        <v>0.61494212962962969</v>
      </c>
      <c r="AI297">
        <v>0</v>
      </c>
      <c r="AJ297">
        <v>0</v>
      </c>
      <c r="AK297">
        <v>0</v>
      </c>
      <c r="AL297">
        <v>0</v>
      </c>
      <c r="AM297">
        <v>0</v>
      </c>
      <c r="AN297">
        <v>0</v>
      </c>
      <c r="AO297">
        <v>0</v>
      </c>
      <c r="AP297">
        <v>0</v>
      </c>
      <c r="AQ297">
        <v>0</v>
      </c>
      <c r="AR297">
        <v>0</v>
      </c>
      <c r="AS297">
        <v>0</v>
      </c>
      <c r="AT297">
        <v>0</v>
      </c>
      <c r="AU297" s="30">
        <f t="shared" si="109"/>
        <v>39.929000000000002</v>
      </c>
    </row>
    <row r="298" spans="1:47" x14ac:dyDescent="0.25">
      <c r="A298">
        <v>3</v>
      </c>
      <c r="B298" t="s">
        <v>16</v>
      </c>
      <c r="C298">
        <v>27328</v>
      </c>
      <c r="D298">
        <v>224</v>
      </c>
      <c r="E298">
        <v>2</v>
      </c>
      <c r="F298">
        <v>8</v>
      </c>
      <c r="G298">
        <v>363.46</v>
      </c>
      <c r="H298" s="17">
        <v>37.436999999999998</v>
      </c>
      <c r="I298" s="33">
        <v>45307</v>
      </c>
      <c r="J298" s="37">
        <v>0.50190972222222219</v>
      </c>
      <c r="K298">
        <v>0</v>
      </c>
      <c r="L298">
        <v>0</v>
      </c>
      <c r="M298">
        <v>0</v>
      </c>
      <c r="N298">
        <v>0</v>
      </c>
      <c r="O298">
        <v>0</v>
      </c>
      <c r="P298">
        <v>0</v>
      </c>
      <c r="Q298">
        <v>0</v>
      </c>
      <c r="R298">
        <v>0</v>
      </c>
      <c r="S298">
        <v>0</v>
      </c>
      <c r="T298">
        <v>0</v>
      </c>
      <c r="U298">
        <v>0</v>
      </c>
      <c r="V298">
        <v>0</v>
      </c>
      <c r="W298" s="30">
        <f t="shared" si="117"/>
        <v>37.436599999999999</v>
      </c>
      <c r="Y298">
        <v>3</v>
      </c>
      <c r="Z298" t="s">
        <v>16</v>
      </c>
      <c r="AA298">
        <v>27328</v>
      </c>
      <c r="AB298">
        <v>224</v>
      </c>
      <c r="AC298">
        <v>2</v>
      </c>
      <c r="AD298">
        <v>8</v>
      </c>
      <c r="AE298">
        <v>341.24</v>
      </c>
      <c r="AF298" s="17">
        <v>39.875999999999998</v>
      </c>
      <c r="AG298" s="33">
        <v>45307</v>
      </c>
      <c r="AH298" s="34">
        <v>0.55302083333333341</v>
      </c>
      <c r="AI298">
        <v>0</v>
      </c>
      <c r="AJ298">
        <v>0</v>
      </c>
      <c r="AK298">
        <v>0</v>
      </c>
      <c r="AL298">
        <v>0</v>
      </c>
      <c r="AM298">
        <v>0</v>
      </c>
      <c r="AN298">
        <v>0</v>
      </c>
      <c r="AO298">
        <v>0</v>
      </c>
      <c r="AP298">
        <v>0</v>
      </c>
      <c r="AQ298">
        <v>0</v>
      </c>
      <c r="AR298">
        <v>0</v>
      </c>
      <c r="AS298">
        <v>0</v>
      </c>
      <c r="AT298">
        <v>0</v>
      </c>
      <c r="AU298" s="30">
        <f t="shared" si="109"/>
        <v>39.929000000000002</v>
      </c>
    </row>
    <row r="299" spans="1:47" x14ac:dyDescent="0.25">
      <c r="A299">
        <v>4</v>
      </c>
      <c r="B299" t="s">
        <v>16</v>
      </c>
      <c r="C299">
        <v>27328</v>
      </c>
      <c r="D299">
        <v>224</v>
      </c>
      <c r="E299">
        <v>2</v>
      </c>
      <c r="F299">
        <v>8</v>
      </c>
      <c r="G299">
        <v>363.5</v>
      </c>
      <c r="H299" s="17">
        <v>37.433999999999997</v>
      </c>
      <c r="I299" s="33">
        <v>45307</v>
      </c>
      <c r="J299" s="37">
        <v>0.83027777777777778</v>
      </c>
      <c r="K299">
        <v>0</v>
      </c>
      <c r="L299">
        <v>0</v>
      </c>
      <c r="M299">
        <v>0</v>
      </c>
      <c r="N299">
        <v>0</v>
      </c>
      <c r="O299">
        <v>0</v>
      </c>
      <c r="P299">
        <v>0</v>
      </c>
      <c r="Q299">
        <v>0</v>
      </c>
      <c r="R299">
        <v>0</v>
      </c>
      <c r="S299">
        <v>0</v>
      </c>
      <c r="T299">
        <v>0</v>
      </c>
      <c r="U299">
        <v>0</v>
      </c>
      <c r="V299">
        <v>0</v>
      </c>
      <c r="W299" s="30">
        <f t="shared" si="117"/>
        <v>37.436599999999999</v>
      </c>
      <c r="Y299">
        <v>4</v>
      </c>
      <c r="Z299" t="s">
        <v>16</v>
      </c>
      <c r="AA299">
        <v>27328</v>
      </c>
      <c r="AB299">
        <v>224</v>
      </c>
      <c r="AC299">
        <v>2</v>
      </c>
      <c r="AD299">
        <v>8</v>
      </c>
      <c r="AE299">
        <v>340.46</v>
      </c>
      <c r="AF299" s="17">
        <v>39.966000000000001</v>
      </c>
      <c r="AG299" s="33">
        <v>45307</v>
      </c>
      <c r="AH299" s="34">
        <v>0.81620370370370365</v>
      </c>
      <c r="AI299">
        <v>0</v>
      </c>
      <c r="AJ299">
        <v>0</v>
      </c>
      <c r="AK299">
        <v>0</v>
      </c>
      <c r="AL299">
        <v>0</v>
      </c>
      <c r="AM299">
        <v>0</v>
      </c>
      <c r="AN299">
        <v>0</v>
      </c>
      <c r="AO299">
        <v>0</v>
      </c>
      <c r="AP299">
        <v>0</v>
      </c>
      <c r="AQ299">
        <v>0</v>
      </c>
      <c r="AR299">
        <v>0</v>
      </c>
      <c r="AS299">
        <v>0</v>
      </c>
      <c r="AT299">
        <v>0</v>
      </c>
      <c r="AU299" s="30">
        <f t="shared" si="109"/>
        <v>39.929000000000002</v>
      </c>
    </row>
    <row r="300" spans="1:47" x14ac:dyDescent="0.25">
      <c r="A300">
        <v>0</v>
      </c>
      <c r="B300" t="s">
        <v>16</v>
      </c>
      <c r="C300">
        <v>28896</v>
      </c>
      <c r="D300">
        <v>224</v>
      </c>
      <c r="E300">
        <v>2</v>
      </c>
      <c r="F300">
        <v>8</v>
      </c>
      <c r="G300">
        <v>427.8</v>
      </c>
      <c r="H300" s="17">
        <v>37.601999999999997</v>
      </c>
      <c r="I300" s="33">
        <v>45307</v>
      </c>
      <c r="J300" s="37">
        <v>0.62850694444444444</v>
      </c>
      <c r="K300">
        <v>0</v>
      </c>
      <c r="L300">
        <v>0</v>
      </c>
      <c r="M300">
        <v>0</v>
      </c>
      <c r="N300">
        <v>0</v>
      </c>
      <c r="O300">
        <v>0</v>
      </c>
      <c r="P300">
        <v>0</v>
      </c>
      <c r="Q300">
        <v>0</v>
      </c>
      <c r="R300">
        <v>0</v>
      </c>
      <c r="S300">
        <v>0</v>
      </c>
      <c r="T300">
        <v>0</v>
      </c>
      <c r="U300">
        <v>0</v>
      </c>
      <c r="V300">
        <v>0</v>
      </c>
      <c r="W300" s="30">
        <f t="shared" ref="W300" si="118">AVERAGE(H300:H304)</f>
        <v>37.588199999999993</v>
      </c>
      <c r="Y300">
        <v>0</v>
      </c>
      <c r="Z300" t="s">
        <v>16</v>
      </c>
      <c r="AA300">
        <v>28896</v>
      </c>
      <c r="AB300">
        <v>224</v>
      </c>
      <c r="AC300">
        <v>2</v>
      </c>
      <c r="AD300">
        <v>8</v>
      </c>
      <c r="AE300">
        <v>397.12</v>
      </c>
      <c r="AF300" s="17">
        <v>40.506999999999998</v>
      </c>
      <c r="AG300" s="33">
        <v>45307</v>
      </c>
      <c r="AH300" s="34">
        <v>0.6844675925925926</v>
      </c>
      <c r="AI300">
        <v>0</v>
      </c>
      <c r="AJ300">
        <v>0</v>
      </c>
      <c r="AK300">
        <v>0</v>
      </c>
      <c r="AL300">
        <v>0</v>
      </c>
      <c r="AM300">
        <v>0</v>
      </c>
      <c r="AN300">
        <v>0</v>
      </c>
      <c r="AO300">
        <v>0</v>
      </c>
      <c r="AP300">
        <v>0</v>
      </c>
      <c r="AQ300">
        <v>0</v>
      </c>
      <c r="AR300">
        <v>0</v>
      </c>
      <c r="AS300">
        <v>0</v>
      </c>
      <c r="AT300">
        <v>0</v>
      </c>
      <c r="AU300" s="30">
        <f t="shared" si="107"/>
        <v>40.478999999999999</v>
      </c>
    </row>
    <row r="301" spans="1:47" x14ac:dyDescent="0.25">
      <c r="A301">
        <v>1</v>
      </c>
      <c r="B301" t="s">
        <v>16</v>
      </c>
      <c r="C301">
        <v>28896</v>
      </c>
      <c r="D301">
        <v>224</v>
      </c>
      <c r="E301">
        <v>2</v>
      </c>
      <c r="F301">
        <v>8</v>
      </c>
      <c r="G301">
        <v>427.85</v>
      </c>
      <c r="H301" s="17">
        <v>37.597999999999999</v>
      </c>
      <c r="I301" s="33">
        <v>45307</v>
      </c>
      <c r="J301" s="37">
        <v>0.96910879629629632</v>
      </c>
      <c r="K301">
        <v>0</v>
      </c>
      <c r="L301">
        <v>0</v>
      </c>
      <c r="M301">
        <v>0</v>
      </c>
      <c r="N301">
        <v>0</v>
      </c>
      <c r="O301">
        <v>0</v>
      </c>
      <c r="P301">
        <v>0</v>
      </c>
      <c r="Q301">
        <v>0</v>
      </c>
      <c r="R301">
        <v>0</v>
      </c>
      <c r="S301">
        <v>0</v>
      </c>
      <c r="T301">
        <v>0</v>
      </c>
      <c r="U301">
        <v>0</v>
      </c>
      <c r="V301">
        <v>0</v>
      </c>
      <c r="W301" s="30">
        <f t="shared" ref="W301:W304" si="119">W300</f>
        <v>37.588199999999993</v>
      </c>
      <c r="Y301">
        <v>1</v>
      </c>
      <c r="Z301" t="s">
        <v>16</v>
      </c>
      <c r="AA301">
        <v>28896</v>
      </c>
      <c r="AB301">
        <v>224</v>
      </c>
      <c r="AC301">
        <v>2</v>
      </c>
      <c r="AD301">
        <v>8</v>
      </c>
      <c r="AE301">
        <v>397.69</v>
      </c>
      <c r="AF301" s="17">
        <v>40.448999999999998</v>
      </c>
      <c r="AG301" s="33">
        <v>45307</v>
      </c>
      <c r="AH301" s="34">
        <v>0.52457175925925925</v>
      </c>
      <c r="AI301">
        <v>0</v>
      </c>
      <c r="AJ301">
        <v>0</v>
      </c>
      <c r="AK301">
        <v>0</v>
      </c>
      <c r="AL301">
        <v>0</v>
      </c>
      <c r="AM301">
        <v>0</v>
      </c>
      <c r="AN301">
        <v>0</v>
      </c>
      <c r="AO301">
        <v>0</v>
      </c>
      <c r="AP301">
        <v>0</v>
      </c>
      <c r="AQ301">
        <v>0</v>
      </c>
      <c r="AR301">
        <v>0</v>
      </c>
      <c r="AS301">
        <v>0</v>
      </c>
      <c r="AT301">
        <v>0</v>
      </c>
      <c r="AU301" s="30">
        <f t="shared" si="109"/>
        <v>40.478999999999999</v>
      </c>
    </row>
    <row r="302" spans="1:47" x14ac:dyDescent="0.25">
      <c r="A302">
        <v>2</v>
      </c>
      <c r="B302" t="s">
        <v>16</v>
      </c>
      <c r="C302">
        <v>28896</v>
      </c>
      <c r="D302">
        <v>224</v>
      </c>
      <c r="E302">
        <v>2</v>
      </c>
      <c r="F302">
        <v>8</v>
      </c>
      <c r="G302">
        <v>428.63</v>
      </c>
      <c r="H302" s="17">
        <v>37.529000000000003</v>
      </c>
      <c r="I302" s="33">
        <v>45308</v>
      </c>
      <c r="J302" s="37">
        <v>0.31218750000000001</v>
      </c>
      <c r="K302">
        <v>0</v>
      </c>
      <c r="L302">
        <v>0</v>
      </c>
      <c r="M302">
        <v>0</v>
      </c>
      <c r="N302">
        <v>0</v>
      </c>
      <c r="O302">
        <v>0</v>
      </c>
      <c r="P302">
        <v>25</v>
      </c>
      <c r="Q302">
        <v>0</v>
      </c>
      <c r="R302">
        <v>0</v>
      </c>
      <c r="S302">
        <v>0</v>
      </c>
      <c r="T302">
        <v>0</v>
      </c>
      <c r="U302">
        <v>0</v>
      </c>
      <c r="V302">
        <v>0</v>
      </c>
      <c r="W302" s="30">
        <f t="shared" si="119"/>
        <v>37.588199999999993</v>
      </c>
      <c r="Y302">
        <v>2</v>
      </c>
      <c r="Z302" t="s">
        <v>16</v>
      </c>
      <c r="AA302">
        <v>28896</v>
      </c>
      <c r="AB302">
        <v>224</v>
      </c>
      <c r="AC302">
        <v>2</v>
      </c>
      <c r="AD302">
        <v>8</v>
      </c>
      <c r="AE302">
        <v>397.94</v>
      </c>
      <c r="AF302" s="17">
        <v>40.423999999999999</v>
      </c>
      <c r="AG302" s="33">
        <v>45307</v>
      </c>
      <c r="AH302" s="34">
        <v>0.78739583333333341</v>
      </c>
      <c r="AI302">
        <v>0</v>
      </c>
      <c r="AJ302">
        <v>0</v>
      </c>
      <c r="AK302">
        <v>0</v>
      </c>
      <c r="AL302">
        <v>0</v>
      </c>
      <c r="AM302">
        <v>0</v>
      </c>
      <c r="AN302">
        <v>0</v>
      </c>
      <c r="AO302">
        <v>0</v>
      </c>
      <c r="AP302">
        <v>0</v>
      </c>
      <c r="AQ302">
        <v>0</v>
      </c>
      <c r="AR302">
        <v>0</v>
      </c>
      <c r="AS302">
        <v>0</v>
      </c>
      <c r="AT302">
        <v>0</v>
      </c>
      <c r="AU302" s="30">
        <f t="shared" si="109"/>
        <v>40.478999999999999</v>
      </c>
    </row>
    <row r="303" spans="1:47" x14ac:dyDescent="0.25">
      <c r="A303">
        <v>3</v>
      </c>
      <c r="B303" t="s">
        <v>16</v>
      </c>
      <c r="C303">
        <v>28896</v>
      </c>
      <c r="D303">
        <v>224</v>
      </c>
      <c r="E303">
        <v>2</v>
      </c>
      <c r="F303">
        <v>8</v>
      </c>
      <c r="G303">
        <v>427.75</v>
      </c>
      <c r="H303" s="17">
        <v>37.606999999999999</v>
      </c>
      <c r="I303" s="33">
        <v>45307</v>
      </c>
      <c r="J303" s="37">
        <v>0.70945601851851858</v>
      </c>
      <c r="K303">
        <v>0</v>
      </c>
      <c r="L303">
        <v>0</v>
      </c>
      <c r="M303">
        <v>0</v>
      </c>
      <c r="N303">
        <v>0</v>
      </c>
      <c r="O303">
        <v>0</v>
      </c>
      <c r="P303">
        <v>17</v>
      </c>
      <c r="Q303">
        <v>0</v>
      </c>
      <c r="R303">
        <v>0</v>
      </c>
      <c r="S303">
        <v>0</v>
      </c>
      <c r="T303">
        <v>0</v>
      </c>
      <c r="U303">
        <v>0</v>
      </c>
      <c r="V303">
        <v>0</v>
      </c>
      <c r="W303" s="30">
        <f t="shared" si="119"/>
        <v>37.588199999999993</v>
      </c>
      <c r="Y303">
        <v>3</v>
      </c>
      <c r="Z303" t="s">
        <v>16</v>
      </c>
      <c r="AA303">
        <v>28896</v>
      </c>
      <c r="AB303">
        <v>224</v>
      </c>
      <c r="AC303">
        <v>2</v>
      </c>
      <c r="AD303">
        <v>8</v>
      </c>
      <c r="AE303">
        <v>396.84</v>
      </c>
      <c r="AF303" s="17">
        <v>40.536000000000001</v>
      </c>
      <c r="AG303" s="33">
        <v>45307</v>
      </c>
      <c r="AH303" s="34">
        <v>0.72597222222222213</v>
      </c>
      <c r="AI303">
        <v>0</v>
      </c>
      <c r="AJ303">
        <v>0</v>
      </c>
      <c r="AK303">
        <v>0</v>
      </c>
      <c r="AL303">
        <v>0</v>
      </c>
      <c r="AM303">
        <v>0</v>
      </c>
      <c r="AN303">
        <v>0</v>
      </c>
      <c r="AO303">
        <v>0</v>
      </c>
      <c r="AP303">
        <v>0</v>
      </c>
      <c r="AQ303">
        <v>0</v>
      </c>
      <c r="AR303">
        <v>0</v>
      </c>
      <c r="AS303">
        <v>0</v>
      </c>
      <c r="AT303">
        <v>0</v>
      </c>
      <c r="AU303" s="30">
        <f t="shared" si="109"/>
        <v>40.478999999999999</v>
      </c>
    </row>
    <row r="304" spans="1:47" x14ac:dyDescent="0.25">
      <c r="A304">
        <v>4</v>
      </c>
      <c r="B304" t="s">
        <v>16</v>
      </c>
      <c r="C304">
        <v>28896</v>
      </c>
      <c r="D304">
        <v>224</v>
      </c>
      <c r="E304">
        <v>2</v>
      </c>
      <c r="F304">
        <v>8</v>
      </c>
      <c r="G304">
        <v>427.77</v>
      </c>
      <c r="H304" s="17">
        <v>37.604999999999997</v>
      </c>
      <c r="I304" s="33">
        <v>45308</v>
      </c>
      <c r="J304" s="37">
        <v>5.1122685185185181E-2</v>
      </c>
      <c r="K304">
        <v>0</v>
      </c>
      <c r="L304">
        <v>0</v>
      </c>
      <c r="M304">
        <v>0</v>
      </c>
      <c r="N304">
        <v>0</v>
      </c>
      <c r="O304">
        <v>0</v>
      </c>
      <c r="P304">
        <v>0</v>
      </c>
      <c r="Q304">
        <v>0</v>
      </c>
      <c r="R304">
        <v>0</v>
      </c>
      <c r="S304">
        <v>0</v>
      </c>
      <c r="T304">
        <v>0</v>
      </c>
      <c r="U304">
        <v>0</v>
      </c>
      <c r="V304">
        <v>0</v>
      </c>
      <c r="W304" s="30">
        <f t="shared" si="119"/>
        <v>37.588199999999993</v>
      </c>
      <c r="Y304">
        <v>4</v>
      </c>
      <c r="Z304" t="s">
        <v>16</v>
      </c>
      <c r="AA304">
        <v>28896</v>
      </c>
      <c r="AB304">
        <v>224</v>
      </c>
      <c r="AC304">
        <v>2</v>
      </c>
      <c r="AD304">
        <v>8</v>
      </c>
      <c r="AE304">
        <v>397.4</v>
      </c>
      <c r="AF304" s="17">
        <v>40.478999999999999</v>
      </c>
      <c r="AG304" s="33">
        <v>45307</v>
      </c>
      <c r="AH304" s="34">
        <v>0.51946759259259256</v>
      </c>
      <c r="AI304">
        <v>0</v>
      </c>
      <c r="AJ304">
        <v>0</v>
      </c>
      <c r="AK304">
        <v>0</v>
      </c>
      <c r="AL304">
        <v>0</v>
      </c>
      <c r="AM304">
        <v>0</v>
      </c>
      <c r="AN304">
        <v>0</v>
      </c>
      <c r="AO304">
        <v>0</v>
      </c>
      <c r="AP304">
        <v>0</v>
      </c>
      <c r="AQ304">
        <v>0</v>
      </c>
      <c r="AR304">
        <v>0</v>
      </c>
      <c r="AS304">
        <v>0</v>
      </c>
      <c r="AT304">
        <v>0</v>
      </c>
      <c r="AU304" s="30">
        <f t="shared" si="109"/>
        <v>40.478999999999999</v>
      </c>
    </row>
    <row r="305" spans="1:47" x14ac:dyDescent="0.25">
      <c r="A305">
        <v>0</v>
      </c>
      <c r="B305" t="s">
        <v>16</v>
      </c>
      <c r="C305">
        <v>25984</v>
      </c>
      <c r="D305">
        <v>224</v>
      </c>
      <c r="E305">
        <v>4</v>
      </c>
      <c r="F305">
        <v>4</v>
      </c>
      <c r="G305">
        <v>334.99</v>
      </c>
      <c r="H305" s="17">
        <v>34.915999999999997</v>
      </c>
      <c r="I305" s="33">
        <v>45307</v>
      </c>
      <c r="J305" s="37">
        <v>0.51406249999999998</v>
      </c>
      <c r="K305">
        <v>0</v>
      </c>
      <c r="L305">
        <v>0</v>
      </c>
      <c r="M305">
        <v>0</v>
      </c>
      <c r="N305">
        <v>0</v>
      </c>
      <c r="O305">
        <v>0</v>
      </c>
      <c r="P305">
        <v>0</v>
      </c>
      <c r="Q305">
        <v>0</v>
      </c>
      <c r="R305">
        <v>0</v>
      </c>
      <c r="S305">
        <v>0</v>
      </c>
      <c r="T305">
        <v>0</v>
      </c>
      <c r="U305">
        <v>0</v>
      </c>
      <c r="V305">
        <v>0</v>
      </c>
      <c r="W305" s="30">
        <f t="shared" ref="W305" si="120">AVERAGE(H305:H309)</f>
        <v>34.896599999999999</v>
      </c>
      <c r="Y305">
        <v>0</v>
      </c>
      <c r="Z305" t="s">
        <v>16</v>
      </c>
      <c r="AA305">
        <v>25984</v>
      </c>
      <c r="AB305">
        <v>224</v>
      </c>
      <c r="AC305">
        <v>4</v>
      </c>
      <c r="AD305">
        <v>4</v>
      </c>
      <c r="AE305">
        <v>317.91000000000003</v>
      </c>
      <c r="AF305" s="17">
        <v>36.792999999999999</v>
      </c>
      <c r="AG305" s="33">
        <v>45307</v>
      </c>
      <c r="AH305" s="34">
        <v>0.59347222222222229</v>
      </c>
      <c r="AI305">
        <v>0</v>
      </c>
      <c r="AJ305">
        <v>0</v>
      </c>
      <c r="AK305">
        <v>0</v>
      </c>
      <c r="AL305">
        <v>0</v>
      </c>
      <c r="AM305">
        <v>0</v>
      </c>
      <c r="AN305">
        <v>0</v>
      </c>
      <c r="AO305">
        <v>0</v>
      </c>
      <c r="AP305">
        <v>0</v>
      </c>
      <c r="AQ305">
        <v>0</v>
      </c>
      <c r="AR305">
        <v>0</v>
      </c>
      <c r="AS305">
        <v>0</v>
      </c>
      <c r="AT305">
        <v>0</v>
      </c>
      <c r="AU305" s="30">
        <f t="shared" si="107"/>
        <v>36.8018</v>
      </c>
    </row>
    <row r="306" spans="1:47" x14ac:dyDescent="0.25">
      <c r="A306">
        <v>1</v>
      </c>
      <c r="B306" t="s">
        <v>16</v>
      </c>
      <c r="C306">
        <v>25984</v>
      </c>
      <c r="D306">
        <v>224</v>
      </c>
      <c r="E306">
        <v>4</v>
      </c>
      <c r="F306">
        <v>4</v>
      </c>
      <c r="G306">
        <v>335.38</v>
      </c>
      <c r="H306" s="17">
        <v>34.875999999999998</v>
      </c>
      <c r="I306" s="33">
        <v>45307</v>
      </c>
      <c r="J306" s="37">
        <v>0.85681712962962964</v>
      </c>
      <c r="K306">
        <v>0</v>
      </c>
      <c r="L306">
        <v>0</v>
      </c>
      <c r="M306">
        <v>0</v>
      </c>
      <c r="N306">
        <v>0</v>
      </c>
      <c r="O306">
        <v>0</v>
      </c>
      <c r="P306">
        <v>0</v>
      </c>
      <c r="Q306">
        <v>0</v>
      </c>
      <c r="R306">
        <v>0</v>
      </c>
      <c r="S306">
        <v>0</v>
      </c>
      <c r="T306">
        <v>0</v>
      </c>
      <c r="U306">
        <v>0</v>
      </c>
      <c r="V306">
        <v>0</v>
      </c>
      <c r="W306" s="30">
        <f t="shared" ref="W306:W309" si="121">W305</f>
        <v>34.896599999999999</v>
      </c>
      <c r="Y306">
        <v>1</v>
      </c>
      <c r="Z306" t="s">
        <v>16</v>
      </c>
      <c r="AA306">
        <v>25984</v>
      </c>
      <c r="AB306">
        <v>224</v>
      </c>
      <c r="AC306">
        <v>4</v>
      </c>
      <c r="AD306">
        <v>4</v>
      </c>
      <c r="AE306">
        <v>317.55</v>
      </c>
      <c r="AF306" s="17">
        <v>36.834000000000003</v>
      </c>
      <c r="AG306" s="33">
        <v>45307</v>
      </c>
      <c r="AH306" s="34">
        <v>0.5430787037037037</v>
      </c>
      <c r="AI306">
        <v>0</v>
      </c>
      <c r="AJ306">
        <v>0</v>
      </c>
      <c r="AK306">
        <v>0</v>
      </c>
      <c r="AL306">
        <v>0</v>
      </c>
      <c r="AM306">
        <v>0</v>
      </c>
      <c r="AN306">
        <v>0</v>
      </c>
      <c r="AO306">
        <v>0</v>
      </c>
      <c r="AP306">
        <v>0</v>
      </c>
      <c r="AQ306">
        <v>0</v>
      </c>
      <c r="AR306">
        <v>0</v>
      </c>
      <c r="AS306">
        <v>0</v>
      </c>
      <c r="AT306">
        <v>0</v>
      </c>
      <c r="AU306" s="30">
        <f t="shared" si="109"/>
        <v>36.8018</v>
      </c>
    </row>
    <row r="307" spans="1:47" x14ac:dyDescent="0.25">
      <c r="A307">
        <v>2</v>
      </c>
      <c r="B307" t="s">
        <v>16</v>
      </c>
      <c r="C307">
        <v>25984</v>
      </c>
      <c r="D307">
        <v>224</v>
      </c>
      <c r="E307">
        <v>4</v>
      </c>
      <c r="F307">
        <v>4</v>
      </c>
      <c r="G307">
        <v>335.39</v>
      </c>
      <c r="H307" s="17">
        <v>34.875</v>
      </c>
      <c r="I307" s="33">
        <v>45308</v>
      </c>
      <c r="J307" s="37">
        <v>0.19743055555555555</v>
      </c>
      <c r="K307">
        <v>0</v>
      </c>
      <c r="L307">
        <v>0</v>
      </c>
      <c r="M307">
        <v>0</v>
      </c>
      <c r="N307">
        <v>0</v>
      </c>
      <c r="O307">
        <v>0</v>
      </c>
      <c r="P307">
        <v>0</v>
      </c>
      <c r="Q307">
        <v>0</v>
      </c>
      <c r="R307">
        <v>0</v>
      </c>
      <c r="S307">
        <v>0</v>
      </c>
      <c r="T307">
        <v>0</v>
      </c>
      <c r="U307">
        <v>0</v>
      </c>
      <c r="V307">
        <v>0</v>
      </c>
      <c r="W307" s="30">
        <f t="shared" si="121"/>
        <v>34.896599999999999</v>
      </c>
      <c r="Y307">
        <v>2</v>
      </c>
      <c r="Z307" t="s">
        <v>16</v>
      </c>
      <c r="AA307">
        <v>25984</v>
      </c>
      <c r="AB307">
        <v>224</v>
      </c>
      <c r="AC307">
        <v>4</v>
      </c>
      <c r="AD307">
        <v>4</v>
      </c>
      <c r="AE307">
        <v>317.61</v>
      </c>
      <c r="AF307" s="17">
        <v>36.828000000000003</v>
      </c>
      <c r="AG307" s="33">
        <v>45307</v>
      </c>
      <c r="AH307" s="34">
        <v>0.69682870370370376</v>
      </c>
      <c r="AI307">
        <v>0</v>
      </c>
      <c r="AJ307">
        <v>0</v>
      </c>
      <c r="AK307">
        <v>0</v>
      </c>
      <c r="AL307">
        <v>0</v>
      </c>
      <c r="AM307">
        <v>0</v>
      </c>
      <c r="AN307">
        <v>0</v>
      </c>
      <c r="AO307">
        <v>0</v>
      </c>
      <c r="AP307">
        <v>0</v>
      </c>
      <c r="AQ307">
        <v>0</v>
      </c>
      <c r="AR307">
        <v>0</v>
      </c>
      <c r="AS307">
        <v>0</v>
      </c>
      <c r="AT307">
        <v>0</v>
      </c>
      <c r="AU307" s="30">
        <f t="shared" si="109"/>
        <v>36.8018</v>
      </c>
    </row>
    <row r="308" spans="1:47" x14ac:dyDescent="0.25">
      <c r="A308">
        <v>3</v>
      </c>
      <c r="B308" t="s">
        <v>16</v>
      </c>
      <c r="C308">
        <v>25984</v>
      </c>
      <c r="D308">
        <v>224</v>
      </c>
      <c r="E308">
        <v>4</v>
      </c>
      <c r="F308">
        <v>4</v>
      </c>
      <c r="G308">
        <v>335.18</v>
      </c>
      <c r="H308" s="17">
        <v>34.896999999999998</v>
      </c>
      <c r="I308" s="33">
        <v>45307</v>
      </c>
      <c r="J308" s="37">
        <v>0.59484953703703702</v>
      </c>
      <c r="K308">
        <v>0</v>
      </c>
      <c r="L308">
        <v>0</v>
      </c>
      <c r="M308">
        <v>0</v>
      </c>
      <c r="N308">
        <v>0</v>
      </c>
      <c r="O308">
        <v>0</v>
      </c>
      <c r="P308">
        <v>0</v>
      </c>
      <c r="Q308">
        <v>0</v>
      </c>
      <c r="R308">
        <v>0</v>
      </c>
      <c r="S308">
        <v>0</v>
      </c>
      <c r="T308">
        <v>0</v>
      </c>
      <c r="U308">
        <v>0</v>
      </c>
      <c r="V308">
        <v>0</v>
      </c>
      <c r="W308" s="30">
        <f t="shared" si="121"/>
        <v>34.896599999999999</v>
      </c>
      <c r="Y308">
        <v>3</v>
      </c>
      <c r="Z308" t="s">
        <v>16</v>
      </c>
      <c r="AA308">
        <v>25984</v>
      </c>
      <c r="AB308">
        <v>224</v>
      </c>
      <c r="AC308">
        <v>4</v>
      </c>
      <c r="AD308">
        <v>4</v>
      </c>
      <c r="AE308">
        <v>317.83</v>
      </c>
      <c r="AF308" s="17">
        <v>36.802</v>
      </c>
      <c r="AG308" s="33">
        <v>45307</v>
      </c>
      <c r="AH308" s="34">
        <v>0.63490740740740736</v>
      </c>
      <c r="AI308">
        <v>0</v>
      </c>
      <c r="AJ308">
        <v>0</v>
      </c>
      <c r="AK308">
        <v>0</v>
      </c>
      <c r="AL308">
        <v>0</v>
      </c>
      <c r="AM308">
        <v>0</v>
      </c>
      <c r="AN308">
        <v>0</v>
      </c>
      <c r="AO308">
        <v>0</v>
      </c>
      <c r="AP308">
        <v>0</v>
      </c>
      <c r="AQ308">
        <v>0</v>
      </c>
      <c r="AR308">
        <v>0</v>
      </c>
      <c r="AS308">
        <v>0</v>
      </c>
      <c r="AT308">
        <v>0</v>
      </c>
      <c r="AU308" s="30">
        <f t="shared" si="109"/>
        <v>36.8018</v>
      </c>
    </row>
    <row r="309" spans="1:47" x14ac:dyDescent="0.25">
      <c r="A309">
        <v>4</v>
      </c>
      <c r="B309" t="s">
        <v>16</v>
      </c>
      <c r="C309">
        <v>25984</v>
      </c>
      <c r="D309">
        <v>224</v>
      </c>
      <c r="E309">
        <v>4</v>
      </c>
      <c r="F309">
        <v>4</v>
      </c>
      <c r="G309">
        <v>334.97</v>
      </c>
      <c r="H309" s="17">
        <v>34.918999999999997</v>
      </c>
      <c r="I309" s="33">
        <v>45307</v>
      </c>
      <c r="J309" s="37">
        <v>0.93777777777777782</v>
      </c>
      <c r="K309">
        <v>0</v>
      </c>
      <c r="L309">
        <v>0</v>
      </c>
      <c r="M309">
        <v>0</v>
      </c>
      <c r="N309">
        <v>0</v>
      </c>
      <c r="O309">
        <v>0</v>
      </c>
      <c r="P309">
        <v>0</v>
      </c>
      <c r="Q309">
        <v>0</v>
      </c>
      <c r="R309">
        <v>0</v>
      </c>
      <c r="S309">
        <v>0</v>
      </c>
      <c r="T309">
        <v>0</v>
      </c>
      <c r="U309">
        <v>0</v>
      </c>
      <c r="V309">
        <v>0</v>
      </c>
      <c r="W309" s="30">
        <f t="shared" si="121"/>
        <v>34.896599999999999</v>
      </c>
      <c r="Y309">
        <v>4</v>
      </c>
      <c r="Z309" t="s">
        <v>16</v>
      </c>
      <c r="AA309">
        <v>25984</v>
      </c>
      <c r="AB309">
        <v>224</v>
      </c>
      <c r="AC309">
        <v>4</v>
      </c>
      <c r="AD309">
        <v>4</v>
      </c>
      <c r="AE309">
        <v>318.26</v>
      </c>
      <c r="AF309" s="17">
        <v>36.752000000000002</v>
      </c>
      <c r="AG309" s="33">
        <v>45307</v>
      </c>
      <c r="AH309" s="34">
        <v>0.50982638888888887</v>
      </c>
      <c r="AI309">
        <v>0</v>
      </c>
      <c r="AJ309">
        <v>0</v>
      </c>
      <c r="AK309">
        <v>0</v>
      </c>
      <c r="AL309">
        <v>0</v>
      </c>
      <c r="AM309">
        <v>0</v>
      </c>
      <c r="AN309">
        <v>0</v>
      </c>
      <c r="AO309">
        <v>0</v>
      </c>
      <c r="AP309">
        <v>0</v>
      </c>
      <c r="AQ309">
        <v>0</v>
      </c>
      <c r="AR309">
        <v>0</v>
      </c>
      <c r="AS309">
        <v>0</v>
      </c>
      <c r="AT309">
        <v>0</v>
      </c>
      <c r="AU309" s="30">
        <f t="shared" si="109"/>
        <v>36.8018</v>
      </c>
    </row>
    <row r="310" spans="1:47" x14ac:dyDescent="0.25">
      <c r="A310">
        <v>0</v>
      </c>
      <c r="B310" t="s">
        <v>16</v>
      </c>
      <c r="C310">
        <v>27328</v>
      </c>
      <c r="D310">
        <v>224</v>
      </c>
      <c r="E310">
        <v>4</v>
      </c>
      <c r="F310">
        <v>4</v>
      </c>
      <c r="G310">
        <v>384.1</v>
      </c>
      <c r="H310" s="17">
        <v>35.426000000000002</v>
      </c>
      <c r="I310" s="33">
        <v>45307</v>
      </c>
      <c r="J310" s="37">
        <v>0.55685185185185182</v>
      </c>
      <c r="K310">
        <v>0</v>
      </c>
      <c r="L310">
        <v>0</v>
      </c>
      <c r="M310">
        <v>0</v>
      </c>
      <c r="N310">
        <v>0</v>
      </c>
      <c r="O310">
        <v>0</v>
      </c>
      <c r="P310">
        <v>0</v>
      </c>
      <c r="Q310">
        <v>0</v>
      </c>
      <c r="R310">
        <v>0</v>
      </c>
      <c r="S310">
        <v>0</v>
      </c>
      <c r="T310">
        <v>0</v>
      </c>
      <c r="U310">
        <v>0</v>
      </c>
      <c r="V310">
        <v>0</v>
      </c>
      <c r="W310" s="30">
        <f t="shared" ref="W310" si="122">AVERAGE(H310:H314)</f>
        <v>35.436999999999998</v>
      </c>
      <c r="Y310">
        <v>0</v>
      </c>
      <c r="Z310" t="s">
        <v>16</v>
      </c>
      <c r="AA310">
        <v>27328</v>
      </c>
      <c r="AB310">
        <v>224</v>
      </c>
      <c r="AC310">
        <v>4</v>
      </c>
      <c r="AD310">
        <v>4</v>
      </c>
      <c r="AE310">
        <v>363.19</v>
      </c>
      <c r="AF310" s="17">
        <v>37.466000000000001</v>
      </c>
      <c r="AG310" s="33">
        <v>45307</v>
      </c>
      <c r="AH310" s="34">
        <v>0.51643518518518516</v>
      </c>
      <c r="AI310">
        <v>0</v>
      </c>
      <c r="AJ310">
        <v>0</v>
      </c>
      <c r="AK310">
        <v>0</v>
      </c>
      <c r="AL310">
        <v>0</v>
      </c>
      <c r="AM310">
        <v>0</v>
      </c>
      <c r="AN310">
        <v>0</v>
      </c>
      <c r="AO310">
        <v>0</v>
      </c>
      <c r="AP310">
        <v>0</v>
      </c>
      <c r="AQ310">
        <v>0</v>
      </c>
      <c r="AR310">
        <v>0</v>
      </c>
      <c r="AS310">
        <v>0</v>
      </c>
      <c r="AT310">
        <v>0</v>
      </c>
      <c r="AU310" s="30">
        <f t="shared" si="107"/>
        <v>37.475000000000001</v>
      </c>
    </row>
    <row r="311" spans="1:47" x14ac:dyDescent="0.25">
      <c r="A311">
        <v>1</v>
      </c>
      <c r="B311" t="s">
        <v>16</v>
      </c>
      <c r="C311">
        <v>27328</v>
      </c>
      <c r="D311">
        <v>224</v>
      </c>
      <c r="E311">
        <v>4</v>
      </c>
      <c r="F311">
        <v>4</v>
      </c>
      <c r="G311">
        <v>383.97</v>
      </c>
      <c r="H311" s="17">
        <v>35.439</v>
      </c>
      <c r="I311" s="33">
        <v>45307</v>
      </c>
      <c r="J311" s="37">
        <v>0.75393518518518521</v>
      </c>
      <c r="K311">
        <v>0</v>
      </c>
      <c r="L311">
        <v>0</v>
      </c>
      <c r="M311">
        <v>0</v>
      </c>
      <c r="N311">
        <v>0</v>
      </c>
      <c r="O311">
        <v>0</v>
      </c>
      <c r="P311">
        <v>0</v>
      </c>
      <c r="Q311">
        <v>0</v>
      </c>
      <c r="R311">
        <v>0</v>
      </c>
      <c r="S311">
        <v>0</v>
      </c>
      <c r="T311">
        <v>0</v>
      </c>
      <c r="U311">
        <v>0</v>
      </c>
      <c r="V311">
        <v>0</v>
      </c>
      <c r="W311" s="30">
        <f t="shared" ref="W311:W314" si="123">W310</f>
        <v>35.436999999999998</v>
      </c>
      <c r="Y311">
        <v>1</v>
      </c>
      <c r="Z311" t="s">
        <v>16</v>
      </c>
      <c r="AA311">
        <v>27328</v>
      </c>
      <c r="AB311">
        <v>224</v>
      </c>
      <c r="AC311">
        <v>4</v>
      </c>
      <c r="AD311">
        <v>4</v>
      </c>
      <c r="AE311">
        <v>363.14</v>
      </c>
      <c r="AF311" s="17">
        <v>37.470999999999997</v>
      </c>
      <c r="AG311" s="33">
        <v>45307</v>
      </c>
      <c r="AH311" s="34">
        <v>0.7796412037037036</v>
      </c>
      <c r="AI311">
        <v>0</v>
      </c>
      <c r="AJ311">
        <v>0</v>
      </c>
      <c r="AK311">
        <v>0</v>
      </c>
      <c r="AL311">
        <v>0</v>
      </c>
      <c r="AM311">
        <v>0</v>
      </c>
      <c r="AN311">
        <v>0</v>
      </c>
      <c r="AO311">
        <v>0</v>
      </c>
      <c r="AP311">
        <v>0</v>
      </c>
      <c r="AQ311">
        <v>0</v>
      </c>
      <c r="AR311">
        <v>0</v>
      </c>
      <c r="AS311">
        <v>0</v>
      </c>
      <c r="AT311">
        <v>0</v>
      </c>
      <c r="AU311" s="30">
        <f t="shared" si="109"/>
        <v>37.475000000000001</v>
      </c>
    </row>
    <row r="312" spans="1:47" x14ac:dyDescent="0.25">
      <c r="A312">
        <v>2</v>
      </c>
      <c r="B312" t="s">
        <v>16</v>
      </c>
      <c r="C312">
        <v>27328</v>
      </c>
      <c r="D312">
        <v>224</v>
      </c>
      <c r="E312">
        <v>4</v>
      </c>
      <c r="F312">
        <v>4</v>
      </c>
      <c r="G312">
        <v>383.48</v>
      </c>
      <c r="H312" s="17">
        <v>35.484000000000002</v>
      </c>
      <c r="I312" s="33">
        <v>45308</v>
      </c>
      <c r="J312" s="37">
        <v>9.4571759259259258E-2</v>
      </c>
      <c r="K312">
        <v>0</v>
      </c>
      <c r="L312">
        <v>0</v>
      </c>
      <c r="M312">
        <v>0</v>
      </c>
      <c r="N312">
        <v>0</v>
      </c>
      <c r="O312">
        <v>0</v>
      </c>
      <c r="P312">
        <v>0</v>
      </c>
      <c r="Q312">
        <v>0</v>
      </c>
      <c r="R312">
        <v>0</v>
      </c>
      <c r="S312">
        <v>0</v>
      </c>
      <c r="T312">
        <v>0</v>
      </c>
      <c r="U312">
        <v>0</v>
      </c>
      <c r="V312">
        <v>0</v>
      </c>
      <c r="W312" s="30">
        <f t="shared" si="123"/>
        <v>35.436999999999998</v>
      </c>
      <c r="Y312">
        <v>2</v>
      </c>
      <c r="Z312" t="s">
        <v>16</v>
      </c>
      <c r="AA312">
        <v>27328</v>
      </c>
      <c r="AB312">
        <v>224</v>
      </c>
      <c r="AC312">
        <v>4</v>
      </c>
      <c r="AD312">
        <v>4</v>
      </c>
      <c r="AE312">
        <v>363.59</v>
      </c>
      <c r="AF312" s="17">
        <v>37.423999999999999</v>
      </c>
      <c r="AG312" s="33">
        <v>45307</v>
      </c>
      <c r="AH312" s="34">
        <v>0.61980324074074067</v>
      </c>
      <c r="AI312">
        <v>0</v>
      </c>
      <c r="AJ312">
        <v>0</v>
      </c>
      <c r="AK312">
        <v>0</v>
      </c>
      <c r="AL312">
        <v>0</v>
      </c>
      <c r="AM312">
        <v>0</v>
      </c>
      <c r="AN312">
        <v>0</v>
      </c>
      <c r="AO312">
        <v>0</v>
      </c>
      <c r="AP312">
        <v>0</v>
      </c>
      <c r="AQ312">
        <v>0</v>
      </c>
      <c r="AR312">
        <v>0</v>
      </c>
      <c r="AS312">
        <v>0</v>
      </c>
      <c r="AT312">
        <v>0</v>
      </c>
      <c r="AU312" s="30">
        <f t="shared" si="109"/>
        <v>37.475000000000001</v>
      </c>
    </row>
    <row r="313" spans="1:47" x14ac:dyDescent="0.25">
      <c r="A313">
        <v>3</v>
      </c>
      <c r="B313" t="s">
        <v>16</v>
      </c>
      <c r="C313">
        <v>27328</v>
      </c>
      <c r="D313">
        <v>224</v>
      </c>
      <c r="E313">
        <v>4</v>
      </c>
      <c r="F313">
        <v>4</v>
      </c>
      <c r="G313">
        <v>384.01</v>
      </c>
      <c r="H313" s="17">
        <v>35.433999999999997</v>
      </c>
      <c r="I313" s="33">
        <v>45307</v>
      </c>
      <c r="J313" s="37">
        <v>0.50655092592592588</v>
      </c>
      <c r="K313">
        <v>0</v>
      </c>
      <c r="L313">
        <v>0</v>
      </c>
      <c r="M313">
        <v>0</v>
      </c>
      <c r="N313">
        <v>0</v>
      </c>
      <c r="O313">
        <v>0</v>
      </c>
      <c r="P313">
        <v>0</v>
      </c>
      <c r="Q313">
        <v>0</v>
      </c>
      <c r="R313">
        <v>0</v>
      </c>
      <c r="S313">
        <v>0</v>
      </c>
      <c r="T313">
        <v>0</v>
      </c>
      <c r="U313">
        <v>0</v>
      </c>
      <c r="V313">
        <v>0</v>
      </c>
      <c r="W313" s="30">
        <f t="shared" si="123"/>
        <v>35.436999999999998</v>
      </c>
      <c r="Y313">
        <v>3</v>
      </c>
      <c r="Z313" t="s">
        <v>16</v>
      </c>
      <c r="AA313">
        <v>27328</v>
      </c>
      <c r="AB313">
        <v>224</v>
      </c>
      <c r="AC313">
        <v>4</v>
      </c>
      <c r="AD313">
        <v>4</v>
      </c>
      <c r="AE313">
        <v>362.9</v>
      </c>
      <c r="AF313" s="17">
        <v>37.496000000000002</v>
      </c>
      <c r="AG313" s="33">
        <v>45307</v>
      </c>
      <c r="AH313" s="34">
        <v>0.55788194444444439</v>
      </c>
      <c r="AI313">
        <v>0</v>
      </c>
      <c r="AJ313">
        <v>0</v>
      </c>
      <c r="AK313">
        <v>0</v>
      </c>
      <c r="AL313">
        <v>0</v>
      </c>
      <c r="AM313">
        <v>0</v>
      </c>
      <c r="AN313">
        <v>0</v>
      </c>
      <c r="AO313">
        <v>0</v>
      </c>
      <c r="AP313">
        <v>0</v>
      </c>
      <c r="AQ313">
        <v>0</v>
      </c>
      <c r="AR313">
        <v>0</v>
      </c>
      <c r="AS313">
        <v>0</v>
      </c>
      <c r="AT313">
        <v>0</v>
      </c>
      <c r="AU313" s="30">
        <f t="shared" si="109"/>
        <v>37.475000000000001</v>
      </c>
    </row>
    <row r="314" spans="1:47" x14ac:dyDescent="0.25">
      <c r="A314">
        <v>4</v>
      </c>
      <c r="B314" t="s">
        <v>16</v>
      </c>
      <c r="C314">
        <v>27328</v>
      </c>
      <c r="D314">
        <v>224</v>
      </c>
      <c r="E314">
        <v>4</v>
      </c>
      <c r="F314">
        <v>4</v>
      </c>
      <c r="G314">
        <v>384.36</v>
      </c>
      <c r="H314" s="17">
        <v>35.402000000000001</v>
      </c>
      <c r="I314" s="33">
        <v>45307</v>
      </c>
      <c r="J314" s="37">
        <v>0.83493055555555562</v>
      </c>
      <c r="K314">
        <v>0</v>
      </c>
      <c r="L314">
        <v>0</v>
      </c>
      <c r="M314">
        <v>0</v>
      </c>
      <c r="N314">
        <v>0</v>
      </c>
      <c r="O314">
        <v>0</v>
      </c>
      <c r="P314">
        <v>0</v>
      </c>
      <c r="Q314">
        <v>0</v>
      </c>
      <c r="R314">
        <v>0</v>
      </c>
      <c r="S314">
        <v>0</v>
      </c>
      <c r="T314">
        <v>0</v>
      </c>
      <c r="U314">
        <v>0</v>
      </c>
      <c r="V314">
        <v>0</v>
      </c>
      <c r="W314" s="30">
        <f t="shared" si="123"/>
        <v>35.436999999999998</v>
      </c>
      <c r="Y314">
        <v>4</v>
      </c>
      <c r="Z314" t="s">
        <v>16</v>
      </c>
      <c r="AA314">
        <v>27328</v>
      </c>
      <c r="AB314">
        <v>224</v>
      </c>
      <c r="AC314">
        <v>4</v>
      </c>
      <c r="AD314">
        <v>4</v>
      </c>
      <c r="AE314">
        <v>362.69</v>
      </c>
      <c r="AF314" s="17">
        <v>37.518000000000001</v>
      </c>
      <c r="AG314" s="33">
        <v>45307</v>
      </c>
      <c r="AH314" s="34">
        <v>0.82106481481481486</v>
      </c>
      <c r="AI314">
        <v>0</v>
      </c>
      <c r="AJ314">
        <v>0</v>
      </c>
      <c r="AK314">
        <v>0</v>
      </c>
      <c r="AL314">
        <v>0</v>
      </c>
      <c r="AM314">
        <v>0</v>
      </c>
      <c r="AN314">
        <v>0</v>
      </c>
      <c r="AO314">
        <v>0</v>
      </c>
      <c r="AP314">
        <v>0</v>
      </c>
      <c r="AQ314">
        <v>0</v>
      </c>
      <c r="AR314">
        <v>0</v>
      </c>
      <c r="AS314">
        <v>0</v>
      </c>
      <c r="AT314">
        <v>0</v>
      </c>
      <c r="AU314" s="30">
        <f t="shared" si="109"/>
        <v>37.475000000000001</v>
      </c>
    </row>
    <row r="315" spans="1:47" x14ac:dyDescent="0.25">
      <c r="A315">
        <v>0</v>
      </c>
      <c r="B315" t="s">
        <v>16</v>
      </c>
      <c r="C315">
        <v>28896</v>
      </c>
      <c r="D315">
        <v>224</v>
      </c>
      <c r="E315">
        <v>4</v>
      </c>
      <c r="F315">
        <v>4</v>
      </c>
      <c r="G315">
        <v>449.89</v>
      </c>
      <c r="H315" s="17">
        <v>35.756</v>
      </c>
      <c r="I315" s="33">
        <v>45307</v>
      </c>
      <c r="J315" s="37">
        <v>0.63393518518518521</v>
      </c>
      <c r="K315">
        <v>0</v>
      </c>
      <c r="L315">
        <v>0</v>
      </c>
      <c r="M315">
        <v>0</v>
      </c>
      <c r="N315">
        <v>0</v>
      </c>
      <c r="O315">
        <v>0</v>
      </c>
      <c r="P315">
        <v>0</v>
      </c>
      <c r="Q315">
        <v>0</v>
      </c>
      <c r="R315">
        <v>0</v>
      </c>
      <c r="S315">
        <v>0</v>
      </c>
      <c r="T315">
        <v>0</v>
      </c>
      <c r="U315">
        <v>0</v>
      </c>
      <c r="V315">
        <v>0</v>
      </c>
      <c r="W315" s="30">
        <f t="shared" ref="W315" si="124">AVERAGE(H315:H319)</f>
        <v>35.765599999999992</v>
      </c>
      <c r="Y315">
        <v>0</v>
      </c>
      <c r="Z315" t="s">
        <v>16</v>
      </c>
      <c r="AA315">
        <v>28896</v>
      </c>
      <c r="AB315">
        <v>224</v>
      </c>
      <c r="AC315">
        <v>4</v>
      </c>
      <c r="AD315">
        <v>4</v>
      </c>
      <c r="AE315">
        <v>421.2</v>
      </c>
      <c r="AF315" s="17">
        <v>38.192</v>
      </c>
      <c r="AG315" s="33">
        <v>45307</v>
      </c>
      <c r="AH315" s="34">
        <v>0.69008101851851855</v>
      </c>
      <c r="AI315">
        <v>0</v>
      </c>
      <c r="AJ315">
        <v>0</v>
      </c>
      <c r="AK315">
        <v>0</v>
      </c>
      <c r="AL315">
        <v>0</v>
      </c>
      <c r="AM315">
        <v>0</v>
      </c>
      <c r="AN315">
        <v>0</v>
      </c>
      <c r="AO315">
        <v>0</v>
      </c>
      <c r="AP315">
        <v>0</v>
      </c>
      <c r="AQ315">
        <v>0</v>
      </c>
      <c r="AR315">
        <v>0</v>
      </c>
      <c r="AS315">
        <v>0</v>
      </c>
      <c r="AT315">
        <v>0</v>
      </c>
      <c r="AU315" s="30">
        <f t="shared" si="107"/>
        <v>38.171999999999997</v>
      </c>
    </row>
    <row r="316" spans="1:47" x14ac:dyDescent="0.25">
      <c r="A316">
        <v>1</v>
      </c>
      <c r="B316" t="s">
        <v>16</v>
      </c>
      <c r="C316">
        <v>28896</v>
      </c>
      <c r="D316">
        <v>224</v>
      </c>
      <c r="E316">
        <v>4</v>
      </c>
      <c r="F316">
        <v>4</v>
      </c>
      <c r="G316">
        <v>449.98</v>
      </c>
      <c r="H316" s="17">
        <v>35.749000000000002</v>
      </c>
      <c r="I316" s="33">
        <v>45307</v>
      </c>
      <c r="J316" s="37">
        <v>0.97453703703703709</v>
      </c>
      <c r="K316">
        <v>0</v>
      </c>
      <c r="L316">
        <v>0</v>
      </c>
      <c r="M316">
        <v>0</v>
      </c>
      <c r="N316">
        <v>0</v>
      </c>
      <c r="O316">
        <v>0</v>
      </c>
      <c r="P316">
        <v>0</v>
      </c>
      <c r="Q316">
        <v>0</v>
      </c>
      <c r="R316">
        <v>0</v>
      </c>
      <c r="S316">
        <v>0</v>
      </c>
      <c r="T316">
        <v>0</v>
      </c>
      <c r="U316">
        <v>0</v>
      </c>
      <c r="V316">
        <v>0</v>
      </c>
      <c r="W316" s="30">
        <f t="shared" ref="W316:W319" si="125">W315</f>
        <v>35.765599999999992</v>
      </c>
      <c r="Y316">
        <v>1</v>
      </c>
      <c r="Z316" t="s">
        <v>16</v>
      </c>
      <c r="AA316">
        <v>28896</v>
      </c>
      <c r="AB316">
        <v>224</v>
      </c>
      <c r="AC316">
        <v>4</v>
      </c>
      <c r="AD316">
        <v>4</v>
      </c>
      <c r="AE316">
        <v>420.91</v>
      </c>
      <c r="AF316" s="17">
        <v>38.218000000000004</v>
      </c>
      <c r="AG316" s="33">
        <v>45307</v>
      </c>
      <c r="AH316" s="34">
        <v>0.5301851851851852</v>
      </c>
      <c r="AI316">
        <v>0</v>
      </c>
      <c r="AJ316">
        <v>0</v>
      </c>
      <c r="AK316">
        <v>0</v>
      </c>
      <c r="AL316">
        <v>0</v>
      </c>
      <c r="AM316">
        <v>0</v>
      </c>
      <c r="AN316">
        <v>0</v>
      </c>
      <c r="AO316">
        <v>0</v>
      </c>
      <c r="AP316">
        <v>0</v>
      </c>
      <c r="AQ316">
        <v>0</v>
      </c>
      <c r="AR316">
        <v>0</v>
      </c>
      <c r="AS316">
        <v>0</v>
      </c>
      <c r="AT316">
        <v>0</v>
      </c>
      <c r="AU316" s="30">
        <f t="shared" si="109"/>
        <v>38.171999999999997</v>
      </c>
    </row>
    <row r="317" spans="1:47" x14ac:dyDescent="0.25">
      <c r="A317">
        <v>2</v>
      </c>
      <c r="B317" t="s">
        <v>16</v>
      </c>
      <c r="C317">
        <v>28896</v>
      </c>
      <c r="D317">
        <v>224</v>
      </c>
      <c r="E317">
        <v>4</v>
      </c>
      <c r="F317">
        <v>4</v>
      </c>
      <c r="G317">
        <v>449.51</v>
      </c>
      <c r="H317" s="17">
        <v>35.786000000000001</v>
      </c>
      <c r="I317" s="33">
        <v>45308</v>
      </c>
      <c r="J317" s="37">
        <v>0.31761574074074073</v>
      </c>
      <c r="K317">
        <v>0</v>
      </c>
      <c r="L317">
        <v>0</v>
      </c>
      <c r="M317">
        <v>0</v>
      </c>
      <c r="N317">
        <v>0</v>
      </c>
      <c r="O317">
        <v>0</v>
      </c>
      <c r="P317">
        <v>0</v>
      </c>
      <c r="Q317">
        <v>0</v>
      </c>
      <c r="R317">
        <v>0</v>
      </c>
      <c r="S317">
        <v>0</v>
      </c>
      <c r="T317">
        <v>0</v>
      </c>
      <c r="U317">
        <v>0</v>
      </c>
      <c r="V317">
        <v>0</v>
      </c>
      <c r="W317" s="30">
        <f t="shared" si="125"/>
        <v>35.765599999999992</v>
      </c>
      <c r="Y317">
        <v>2</v>
      </c>
      <c r="Z317" t="s">
        <v>16</v>
      </c>
      <c r="AA317">
        <v>28896</v>
      </c>
      <c r="AB317">
        <v>224</v>
      </c>
      <c r="AC317">
        <v>4</v>
      </c>
      <c r="AD317">
        <v>4</v>
      </c>
      <c r="AE317">
        <v>421.1</v>
      </c>
      <c r="AF317" s="17">
        <v>38.201000000000001</v>
      </c>
      <c r="AG317" s="33">
        <v>45307</v>
      </c>
      <c r="AH317" s="34">
        <v>0.79300925925925936</v>
      </c>
      <c r="AI317">
        <v>0</v>
      </c>
      <c r="AJ317">
        <v>0</v>
      </c>
      <c r="AK317">
        <v>0</v>
      </c>
      <c r="AL317">
        <v>0</v>
      </c>
      <c r="AM317">
        <v>0</v>
      </c>
      <c r="AN317">
        <v>0</v>
      </c>
      <c r="AO317">
        <v>0</v>
      </c>
      <c r="AP317">
        <v>0</v>
      </c>
      <c r="AQ317">
        <v>0</v>
      </c>
      <c r="AR317">
        <v>0</v>
      </c>
      <c r="AS317">
        <v>0</v>
      </c>
      <c r="AT317">
        <v>0</v>
      </c>
      <c r="AU317" s="30">
        <f t="shared" si="109"/>
        <v>38.171999999999997</v>
      </c>
    </row>
    <row r="318" spans="1:47" x14ac:dyDescent="0.25">
      <c r="A318">
        <v>3</v>
      </c>
      <c r="B318" t="s">
        <v>16</v>
      </c>
      <c r="C318">
        <v>28896</v>
      </c>
      <c r="D318">
        <v>224</v>
      </c>
      <c r="E318">
        <v>4</v>
      </c>
      <c r="F318">
        <v>4</v>
      </c>
      <c r="G318">
        <v>449.84</v>
      </c>
      <c r="H318" s="17">
        <v>35.76</v>
      </c>
      <c r="I318" s="33">
        <v>45307</v>
      </c>
      <c r="J318" s="37">
        <v>0.74769675925925927</v>
      </c>
      <c r="K318">
        <v>0</v>
      </c>
      <c r="L318">
        <v>0</v>
      </c>
      <c r="M318">
        <v>0</v>
      </c>
      <c r="N318">
        <v>0</v>
      </c>
      <c r="O318">
        <v>0</v>
      </c>
      <c r="P318">
        <v>0</v>
      </c>
      <c r="Q318">
        <v>0</v>
      </c>
      <c r="R318">
        <v>0</v>
      </c>
      <c r="S318">
        <v>0</v>
      </c>
      <c r="T318">
        <v>0</v>
      </c>
      <c r="U318">
        <v>0</v>
      </c>
      <c r="V318">
        <v>0</v>
      </c>
      <c r="W318" s="30">
        <f t="shared" si="125"/>
        <v>35.765599999999992</v>
      </c>
      <c r="Y318">
        <v>3</v>
      </c>
      <c r="Z318" t="s">
        <v>16</v>
      </c>
      <c r="AA318">
        <v>28896</v>
      </c>
      <c r="AB318">
        <v>224</v>
      </c>
      <c r="AC318">
        <v>4</v>
      </c>
      <c r="AD318">
        <v>4</v>
      </c>
      <c r="AE318">
        <v>422.01</v>
      </c>
      <c r="AF318" s="17">
        <v>38.118000000000002</v>
      </c>
      <c r="AG318" s="33">
        <v>45307</v>
      </c>
      <c r="AH318" s="34">
        <v>0.73159722222222223</v>
      </c>
      <c r="AI318">
        <v>0</v>
      </c>
      <c r="AJ318">
        <v>0</v>
      </c>
      <c r="AK318">
        <v>0</v>
      </c>
      <c r="AL318">
        <v>0</v>
      </c>
      <c r="AM318">
        <v>0</v>
      </c>
      <c r="AN318">
        <v>0</v>
      </c>
      <c r="AO318">
        <v>0</v>
      </c>
      <c r="AP318">
        <v>0</v>
      </c>
      <c r="AQ318">
        <v>0</v>
      </c>
      <c r="AR318">
        <v>0</v>
      </c>
      <c r="AS318">
        <v>0</v>
      </c>
      <c r="AT318">
        <v>0</v>
      </c>
      <c r="AU318" s="30">
        <f t="shared" si="109"/>
        <v>38.171999999999997</v>
      </c>
    </row>
    <row r="319" spans="1:47" x14ac:dyDescent="0.25">
      <c r="A319">
        <v>4</v>
      </c>
      <c r="B319" t="s">
        <v>16</v>
      </c>
      <c r="C319">
        <v>28896</v>
      </c>
      <c r="D319">
        <v>224</v>
      </c>
      <c r="E319">
        <v>4</v>
      </c>
      <c r="F319">
        <v>4</v>
      </c>
      <c r="G319">
        <v>449.63</v>
      </c>
      <c r="H319" s="17">
        <v>35.777000000000001</v>
      </c>
      <c r="I319" s="33">
        <v>45308</v>
      </c>
      <c r="J319" s="37">
        <v>5.6550925925925921E-2</v>
      </c>
      <c r="K319">
        <v>0</v>
      </c>
      <c r="L319">
        <v>0</v>
      </c>
      <c r="M319">
        <v>0</v>
      </c>
      <c r="N319">
        <v>0</v>
      </c>
      <c r="O319">
        <v>0</v>
      </c>
      <c r="P319">
        <v>0</v>
      </c>
      <c r="Q319">
        <v>0</v>
      </c>
      <c r="R319">
        <v>0</v>
      </c>
      <c r="S319">
        <v>0</v>
      </c>
      <c r="T319">
        <v>0</v>
      </c>
      <c r="U319">
        <v>0</v>
      </c>
      <c r="V319">
        <v>0</v>
      </c>
      <c r="W319" s="30">
        <f t="shared" si="125"/>
        <v>35.765599999999992</v>
      </c>
      <c r="Y319">
        <v>4</v>
      </c>
      <c r="Z319" t="s">
        <v>16</v>
      </c>
      <c r="AA319">
        <v>28896</v>
      </c>
      <c r="AB319">
        <v>224</v>
      </c>
      <c r="AC319">
        <v>4</v>
      </c>
      <c r="AD319">
        <v>4</v>
      </c>
      <c r="AE319">
        <v>421.87</v>
      </c>
      <c r="AF319" s="17">
        <v>38.131</v>
      </c>
      <c r="AG319" s="33">
        <v>45307</v>
      </c>
      <c r="AH319" s="34">
        <v>0.52509259259259256</v>
      </c>
      <c r="AI319">
        <v>0</v>
      </c>
      <c r="AJ319">
        <v>0</v>
      </c>
      <c r="AK319">
        <v>0</v>
      </c>
      <c r="AL319">
        <v>0</v>
      </c>
      <c r="AM319">
        <v>0</v>
      </c>
      <c r="AN319">
        <v>0</v>
      </c>
      <c r="AO319">
        <v>0</v>
      </c>
      <c r="AP319">
        <v>0</v>
      </c>
      <c r="AQ319">
        <v>0</v>
      </c>
      <c r="AR319">
        <v>0</v>
      </c>
      <c r="AS319">
        <v>0</v>
      </c>
      <c r="AT319">
        <v>0</v>
      </c>
      <c r="AU319" s="30">
        <f t="shared" si="109"/>
        <v>38.171999999999997</v>
      </c>
    </row>
    <row r="320" spans="1:47" x14ac:dyDescent="0.25">
      <c r="A320">
        <v>0</v>
      </c>
      <c r="B320" t="s">
        <v>16</v>
      </c>
      <c r="C320">
        <v>25856</v>
      </c>
      <c r="D320">
        <v>256</v>
      </c>
      <c r="E320">
        <v>1</v>
      </c>
      <c r="F320">
        <v>16</v>
      </c>
      <c r="G320">
        <v>348.29</v>
      </c>
      <c r="H320" s="17">
        <v>33.088999999999999</v>
      </c>
      <c r="I320" s="33">
        <v>45307</v>
      </c>
      <c r="J320" s="37">
        <v>0.51829861111111108</v>
      </c>
      <c r="K320">
        <v>0</v>
      </c>
      <c r="L320">
        <v>0</v>
      </c>
      <c r="M320">
        <v>0</v>
      </c>
      <c r="N320">
        <v>0</v>
      </c>
      <c r="O320">
        <v>0</v>
      </c>
      <c r="P320">
        <v>0</v>
      </c>
      <c r="Q320">
        <v>0</v>
      </c>
      <c r="R320">
        <v>0</v>
      </c>
      <c r="S320">
        <v>0</v>
      </c>
      <c r="T320">
        <v>0</v>
      </c>
      <c r="U320">
        <v>0</v>
      </c>
      <c r="V320">
        <v>0</v>
      </c>
      <c r="W320" s="30">
        <f t="shared" ref="W320" si="126">AVERAGE(H320:H324)</f>
        <v>33.069600000000001</v>
      </c>
      <c r="Y320">
        <v>0</v>
      </c>
      <c r="Z320" t="s">
        <v>16</v>
      </c>
      <c r="AA320">
        <v>25856</v>
      </c>
      <c r="AB320">
        <v>256</v>
      </c>
      <c r="AC320">
        <v>1</v>
      </c>
      <c r="AD320">
        <v>16</v>
      </c>
      <c r="AE320">
        <v>324.85000000000002</v>
      </c>
      <c r="AF320" s="17">
        <v>35.476999999999997</v>
      </c>
      <c r="AG320" s="33">
        <v>45307</v>
      </c>
      <c r="AH320" s="34">
        <v>0.59787037037037039</v>
      </c>
      <c r="AI320">
        <v>0</v>
      </c>
      <c r="AJ320">
        <v>0</v>
      </c>
      <c r="AK320">
        <v>0</v>
      </c>
      <c r="AL320">
        <v>0</v>
      </c>
      <c r="AM320">
        <v>0</v>
      </c>
      <c r="AN320">
        <v>0</v>
      </c>
      <c r="AO320">
        <v>0</v>
      </c>
      <c r="AP320">
        <v>0</v>
      </c>
      <c r="AQ320">
        <v>0</v>
      </c>
      <c r="AR320">
        <v>0</v>
      </c>
      <c r="AS320">
        <v>0</v>
      </c>
      <c r="AT320">
        <v>0</v>
      </c>
      <c r="AU320" s="30">
        <f t="shared" si="107"/>
        <v>35.463800000000006</v>
      </c>
    </row>
    <row r="321" spans="1:47" x14ac:dyDescent="0.25">
      <c r="A321">
        <v>1</v>
      </c>
      <c r="B321" t="s">
        <v>16</v>
      </c>
      <c r="C321">
        <v>25856</v>
      </c>
      <c r="D321">
        <v>256</v>
      </c>
      <c r="E321">
        <v>1</v>
      </c>
      <c r="F321">
        <v>16</v>
      </c>
      <c r="G321">
        <v>348.48</v>
      </c>
      <c r="H321" s="17">
        <v>33.070999999999998</v>
      </c>
      <c r="I321" s="33">
        <v>45307</v>
      </c>
      <c r="J321" s="37">
        <v>0.86104166666666659</v>
      </c>
      <c r="K321">
        <v>0</v>
      </c>
      <c r="L321">
        <v>0</v>
      </c>
      <c r="M321">
        <v>0</v>
      </c>
      <c r="N321">
        <v>0</v>
      </c>
      <c r="O321">
        <v>0</v>
      </c>
      <c r="P321">
        <v>0</v>
      </c>
      <c r="Q321">
        <v>0</v>
      </c>
      <c r="R321">
        <v>0</v>
      </c>
      <c r="S321">
        <v>0</v>
      </c>
      <c r="T321">
        <v>0</v>
      </c>
      <c r="U321">
        <v>0</v>
      </c>
      <c r="V321">
        <v>0</v>
      </c>
      <c r="W321" s="30">
        <f t="shared" ref="W321:W324" si="127">W320</f>
        <v>33.069600000000001</v>
      </c>
      <c r="Y321">
        <v>1</v>
      </c>
      <c r="Z321" t="s">
        <v>16</v>
      </c>
      <c r="AA321">
        <v>25856</v>
      </c>
      <c r="AB321">
        <v>256</v>
      </c>
      <c r="AC321">
        <v>1</v>
      </c>
      <c r="AD321">
        <v>16</v>
      </c>
      <c r="AE321">
        <v>325.16000000000003</v>
      </c>
      <c r="AF321" s="17">
        <v>35.442999999999998</v>
      </c>
      <c r="AG321" s="33">
        <v>45307</v>
      </c>
      <c r="AH321" s="34">
        <v>0.54747685185185191</v>
      </c>
      <c r="AI321">
        <v>0</v>
      </c>
      <c r="AJ321">
        <v>0</v>
      </c>
      <c r="AK321">
        <v>0</v>
      </c>
      <c r="AL321">
        <v>0</v>
      </c>
      <c r="AM321">
        <v>0</v>
      </c>
      <c r="AN321">
        <v>0</v>
      </c>
      <c r="AO321">
        <v>0</v>
      </c>
      <c r="AP321">
        <v>0</v>
      </c>
      <c r="AQ321">
        <v>0</v>
      </c>
      <c r="AR321">
        <v>0</v>
      </c>
      <c r="AS321">
        <v>0</v>
      </c>
      <c r="AT321">
        <v>0</v>
      </c>
      <c r="AU321" s="30">
        <f t="shared" si="109"/>
        <v>35.463800000000006</v>
      </c>
    </row>
    <row r="322" spans="1:47" x14ac:dyDescent="0.25">
      <c r="A322">
        <v>2</v>
      </c>
      <c r="B322" t="s">
        <v>16</v>
      </c>
      <c r="C322">
        <v>25856</v>
      </c>
      <c r="D322">
        <v>256</v>
      </c>
      <c r="E322">
        <v>1</v>
      </c>
      <c r="F322">
        <v>16</v>
      </c>
      <c r="G322">
        <v>348.47</v>
      </c>
      <c r="H322" s="17">
        <v>33.072000000000003</v>
      </c>
      <c r="I322" s="33">
        <v>45308</v>
      </c>
      <c r="J322" s="37">
        <v>0.20166666666666666</v>
      </c>
      <c r="K322">
        <v>0</v>
      </c>
      <c r="L322">
        <v>0</v>
      </c>
      <c r="M322">
        <v>0</v>
      </c>
      <c r="N322">
        <v>0</v>
      </c>
      <c r="O322">
        <v>0</v>
      </c>
      <c r="P322">
        <v>0</v>
      </c>
      <c r="Q322">
        <v>0</v>
      </c>
      <c r="R322">
        <v>0</v>
      </c>
      <c r="S322">
        <v>0</v>
      </c>
      <c r="T322">
        <v>0</v>
      </c>
      <c r="U322">
        <v>0</v>
      </c>
      <c r="V322">
        <v>0</v>
      </c>
      <c r="W322" s="30">
        <f t="shared" si="127"/>
        <v>33.069600000000001</v>
      </c>
      <c r="Y322">
        <v>2</v>
      </c>
      <c r="Z322" t="s">
        <v>16</v>
      </c>
      <c r="AA322">
        <v>25856</v>
      </c>
      <c r="AB322">
        <v>256</v>
      </c>
      <c r="AC322">
        <v>1</v>
      </c>
      <c r="AD322">
        <v>16</v>
      </c>
      <c r="AE322">
        <v>325.02</v>
      </c>
      <c r="AF322" s="17">
        <v>35.459000000000003</v>
      </c>
      <c r="AG322" s="33">
        <v>45307</v>
      </c>
      <c r="AH322" s="34">
        <v>0.70122685185185185</v>
      </c>
      <c r="AI322">
        <v>0</v>
      </c>
      <c r="AJ322">
        <v>0</v>
      </c>
      <c r="AK322">
        <v>0</v>
      </c>
      <c r="AL322">
        <v>0</v>
      </c>
      <c r="AM322">
        <v>0</v>
      </c>
      <c r="AN322">
        <v>0</v>
      </c>
      <c r="AO322">
        <v>0</v>
      </c>
      <c r="AP322">
        <v>0</v>
      </c>
      <c r="AQ322">
        <v>0</v>
      </c>
      <c r="AR322">
        <v>0</v>
      </c>
      <c r="AS322">
        <v>0</v>
      </c>
      <c r="AT322">
        <v>0</v>
      </c>
      <c r="AU322" s="30">
        <f t="shared" si="109"/>
        <v>35.463800000000006</v>
      </c>
    </row>
    <row r="323" spans="1:47" x14ac:dyDescent="0.25">
      <c r="A323">
        <v>3</v>
      </c>
      <c r="B323" t="s">
        <v>16</v>
      </c>
      <c r="C323">
        <v>25856</v>
      </c>
      <c r="D323">
        <v>256</v>
      </c>
      <c r="E323">
        <v>1</v>
      </c>
      <c r="F323">
        <v>16</v>
      </c>
      <c r="G323">
        <v>348.41</v>
      </c>
      <c r="H323" s="17">
        <v>33.078000000000003</v>
      </c>
      <c r="I323" s="33">
        <v>45307</v>
      </c>
      <c r="J323" s="37">
        <v>0.59907407407407409</v>
      </c>
      <c r="K323">
        <v>0</v>
      </c>
      <c r="L323">
        <v>0</v>
      </c>
      <c r="M323">
        <v>0</v>
      </c>
      <c r="N323">
        <v>0</v>
      </c>
      <c r="O323">
        <v>0</v>
      </c>
      <c r="P323">
        <v>0</v>
      </c>
      <c r="Q323">
        <v>0</v>
      </c>
      <c r="R323">
        <v>0</v>
      </c>
      <c r="S323">
        <v>0</v>
      </c>
      <c r="T323">
        <v>0</v>
      </c>
      <c r="U323">
        <v>0</v>
      </c>
      <c r="V323">
        <v>0</v>
      </c>
      <c r="W323" s="30">
        <f t="shared" si="127"/>
        <v>33.069600000000001</v>
      </c>
      <c r="Y323">
        <v>3</v>
      </c>
      <c r="Z323" t="s">
        <v>16</v>
      </c>
      <c r="AA323">
        <v>25856</v>
      </c>
      <c r="AB323">
        <v>256</v>
      </c>
      <c r="AC323">
        <v>1</v>
      </c>
      <c r="AD323">
        <v>16</v>
      </c>
      <c r="AE323">
        <v>325.10000000000002</v>
      </c>
      <c r="AF323" s="17">
        <v>35.450000000000003</v>
      </c>
      <c r="AG323" s="33">
        <v>45307</v>
      </c>
      <c r="AH323" s="34">
        <v>0.63930555555555557</v>
      </c>
      <c r="AI323">
        <v>0</v>
      </c>
      <c r="AJ323">
        <v>0</v>
      </c>
      <c r="AK323">
        <v>0</v>
      </c>
      <c r="AL323">
        <v>0</v>
      </c>
      <c r="AM323">
        <v>0</v>
      </c>
      <c r="AN323">
        <v>0</v>
      </c>
      <c r="AO323">
        <v>0</v>
      </c>
      <c r="AP323">
        <v>0</v>
      </c>
      <c r="AQ323">
        <v>0</v>
      </c>
      <c r="AR323">
        <v>0</v>
      </c>
      <c r="AS323">
        <v>0</v>
      </c>
      <c r="AT323">
        <v>0</v>
      </c>
      <c r="AU323" s="30">
        <f t="shared" si="109"/>
        <v>35.463800000000006</v>
      </c>
    </row>
    <row r="324" spans="1:47" x14ac:dyDescent="0.25">
      <c r="A324">
        <v>4</v>
      </c>
      <c r="B324" t="s">
        <v>16</v>
      </c>
      <c r="C324">
        <v>25856</v>
      </c>
      <c r="D324">
        <v>256</v>
      </c>
      <c r="E324">
        <v>1</v>
      </c>
      <c r="F324">
        <v>16</v>
      </c>
      <c r="G324">
        <v>348.83</v>
      </c>
      <c r="H324" s="17">
        <v>33.037999999999997</v>
      </c>
      <c r="I324" s="33">
        <v>45307</v>
      </c>
      <c r="J324" s="37">
        <v>0.94201388888888893</v>
      </c>
      <c r="K324">
        <v>0</v>
      </c>
      <c r="L324">
        <v>0</v>
      </c>
      <c r="M324">
        <v>0</v>
      </c>
      <c r="N324">
        <v>0</v>
      </c>
      <c r="O324">
        <v>0</v>
      </c>
      <c r="P324">
        <v>0</v>
      </c>
      <c r="Q324">
        <v>0</v>
      </c>
      <c r="R324">
        <v>0</v>
      </c>
      <c r="S324">
        <v>0</v>
      </c>
      <c r="T324">
        <v>0</v>
      </c>
      <c r="U324">
        <v>0</v>
      </c>
      <c r="V324">
        <v>0</v>
      </c>
      <c r="W324" s="30">
        <f t="shared" si="127"/>
        <v>33.069600000000001</v>
      </c>
      <c r="Y324">
        <v>4</v>
      </c>
      <c r="Z324" t="s">
        <v>16</v>
      </c>
      <c r="AA324">
        <v>25856</v>
      </c>
      <c r="AB324">
        <v>256</v>
      </c>
      <c r="AC324">
        <v>1</v>
      </c>
      <c r="AD324">
        <v>16</v>
      </c>
      <c r="AE324">
        <v>324.73</v>
      </c>
      <c r="AF324" s="17">
        <v>35.49</v>
      </c>
      <c r="AG324" s="33">
        <v>45307</v>
      </c>
      <c r="AH324" s="34">
        <v>0.51421296296296293</v>
      </c>
      <c r="AI324">
        <v>0</v>
      </c>
      <c r="AJ324">
        <v>0</v>
      </c>
      <c r="AK324">
        <v>0</v>
      </c>
      <c r="AL324">
        <v>0</v>
      </c>
      <c r="AM324">
        <v>0</v>
      </c>
      <c r="AN324">
        <v>0</v>
      </c>
      <c r="AO324">
        <v>0</v>
      </c>
      <c r="AP324">
        <v>0</v>
      </c>
      <c r="AQ324">
        <v>0</v>
      </c>
      <c r="AR324">
        <v>0</v>
      </c>
      <c r="AS324">
        <v>0</v>
      </c>
      <c r="AT324">
        <v>0</v>
      </c>
      <c r="AU324" s="30">
        <f t="shared" si="109"/>
        <v>35.463800000000006</v>
      </c>
    </row>
    <row r="325" spans="1:47" x14ac:dyDescent="0.25">
      <c r="A325">
        <v>0</v>
      </c>
      <c r="B325" t="s">
        <v>16</v>
      </c>
      <c r="C325">
        <v>27392</v>
      </c>
      <c r="D325">
        <v>256</v>
      </c>
      <c r="E325">
        <v>1</v>
      </c>
      <c r="F325">
        <v>16</v>
      </c>
      <c r="G325">
        <v>406.79</v>
      </c>
      <c r="H325" s="17">
        <v>33.686</v>
      </c>
      <c r="I325" s="33">
        <v>45307</v>
      </c>
      <c r="J325" s="37">
        <v>0.56177083333333333</v>
      </c>
      <c r="K325">
        <v>0</v>
      </c>
      <c r="L325">
        <v>0</v>
      </c>
      <c r="M325">
        <v>0</v>
      </c>
      <c r="N325">
        <v>0</v>
      </c>
      <c r="O325">
        <v>0</v>
      </c>
      <c r="P325">
        <v>0</v>
      </c>
      <c r="Q325">
        <v>0</v>
      </c>
      <c r="R325">
        <v>0</v>
      </c>
      <c r="S325">
        <v>0</v>
      </c>
      <c r="T325">
        <v>0</v>
      </c>
      <c r="U325">
        <v>0</v>
      </c>
      <c r="V325">
        <v>0</v>
      </c>
      <c r="W325" s="30">
        <f t="shared" ref="W325" si="128">AVERAGE(H325:H329)</f>
        <v>33.837600000000002</v>
      </c>
      <c r="Y325">
        <v>0</v>
      </c>
      <c r="Z325" t="s">
        <v>16</v>
      </c>
      <c r="AA325">
        <v>27392</v>
      </c>
      <c r="AB325">
        <v>256</v>
      </c>
      <c r="AC325">
        <v>1</v>
      </c>
      <c r="AD325">
        <v>16</v>
      </c>
      <c r="AE325">
        <v>380.08</v>
      </c>
      <c r="AF325" s="17">
        <v>36.052999999999997</v>
      </c>
      <c r="AG325" s="33">
        <v>45307</v>
      </c>
      <c r="AH325" s="34">
        <v>0.52150462962962962</v>
      </c>
      <c r="AI325">
        <v>0</v>
      </c>
      <c r="AJ325">
        <v>0</v>
      </c>
      <c r="AK325">
        <v>0</v>
      </c>
      <c r="AL325">
        <v>0</v>
      </c>
      <c r="AM325">
        <v>0</v>
      </c>
      <c r="AN325">
        <v>0</v>
      </c>
      <c r="AO325">
        <v>0</v>
      </c>
      <c r="AP325">
        <v>0</v>
      </c>
      <c r="AQ325">
        <v>0</v>
      </c>
      <c r="AR325">
        <v>0</v>
      </c>
      <c r="AS325">
        <v>0</v>
      </c>
      <c r="AT325">
        <v>0</v>
      </c>
      <c r="AU325" s="30">
        <f t="shared" si="107"/>
        <v>36.136600000000001</v>
      </c>
    </row>
    <row r="326" spans="1:47" x14ac:dyDescent="0.25">
      <c r="A326">
        <v>1</v>
      </c>
      <c r="B326" t="s">
        <v>16</v>
      </c>
      <c r="C326">
        <v>27392</v>
      </c>
      <c r="D326">
        <v>256</v>
      </c>
      <c r="E326">
        <v>1</v>
      </c>
      <c r="F326">
        <v>16</v>
      </c>
      <c r="G326">
        <v>404.68</v>
      </c>
      <c r="H326" s="17">
        <v>33.862000000000002</v>
      </c>
      <c r="I326" s="33">
        <v>45307</v>
      </c>
      <c r="J326" s="37">
        <v>0.75881944444444438</v>
      </c>
      <c r="K326">
        <v>0</v>
      </c>
      <c r="L326">
        <v>0</v>
      </c>
      <c r="M326">
        <v>0</v>
      </c>
      <c r="N326">
        <v>0</v>
      </c>
      <c r="O326">
        <v>0</v>
      </c>
      <c r="P326">
        <v>0</v>
      </c>
      <c r="Q326">
        <v>0</v>
      </c>
      <c r="R326">
        <v>0</v>
      </c>
      <c r="S326">
        <v>0</v>
      </c>
      <c r="T326">
        <v>0</v>
      </c>
      <c r="U326">
        <v>0</v>
      </c>
      <c r="V326">
        <v>0</v>
      </c>
      <c r="W326" s="30">
        <f t="shared" ref="W326:W329" si="129">W325</f>
        <v>33.837600000000002</v>
      </c>
      <c r="Y326">
        <v>1</v>
      </c>
      <c r="Z326" t="s">
        <v>16</v>
      </c>
      <c r="AA326">
        <v>27392</v>
      </c>
      <c r="AB326">
        <v>256</v>
      </c>
      <c r="AC326">
        <v>1</v>
      </c>
      <c r="AD326">
        <v>16</v>
      </c>
      <c r="AE326">
        <v>379.02</v>
      </c>
      <c r="AF326" s="17">
        <v>36.154000000000003</v>
      </c>
      <c r="AG326" s="33">
        <v>45307</v>
      </c>
      <c r="AH326" s="34">
        <v>0.78469907407407413</v>
      </c>
      <c r="AI326">
        <v>0</v>
      </c>
      <c r="AJ326">
        <v>0</v>
      </c>
      <c r="AK326">
        <v>0</v>
      </c>
      <c r="AL326">
        <v>0</v>
      </c>
      <c r="AM326">
        <v>0</v>
      </c>
      <c r="AN326">
        <v>0</v>
      </c>
      <c r="AO326">
        <v>0</v>
      </c>
      <c r="AP326">
        <v>0</v>
      </c>
      <c r="AQ326">
        <v>0</v>
      </c>
      <c r="AR326">
        <v>0</v>
      </c>
      <c r="AS326">
        <v>0</v>
      </c>
      <c r="AT326">
        <v>0</v>
      </c>
      <c r="AU326" s="30">
        <f t="shared" si="109"/>
        <v>36.136600000000001</v>
      </c>
    </row>
    <row r="327" spans="1:47" x14ac:dyDescent="0.25">
      <c r="A327">
        <v>2</v>
      </c>
      <c r="B327" t="s">
        <v>16</v>
      </c>
      <c r="C327">
        <v>27392</v>
      </c>
      <c r="D327">
        <v>256</v>
      </c>
      <c r="E327">
        <v>1</v>
      </c>
      <c r="F327">
        <v>16</v>
      </c>
      <c r="G327">
        <v>404.64</v>
      </c>
      <c r="H327" s="17">
        <v>33.863999999999997</v>
      </c>
      <c r="I327" s="33">
        <v>45308</v>
      </c>
      <c r="J327" s="37">
        <v>9.9456018518518527E-2</v>
      </c>
      <c r="K327">
        <v>0</v>
      </c>
      <c r="L327">
        <v>0</v>
      </c>
      <c r="M327">
        <v>0</v>
      </c>
      <c r="N327">
        <v>0</v>
      </c>
      <c r="O327">
        <v>0</v>
      </c>
      <c r="P327">
        <v>0</v>
      </c>
      <c r="Q327">
        <v>0</v>
      </c>
      <c r="R327">
        <v>0</v>
      </c>
      <c r="S327">
        <v>0</v>
      </c>
      <c r="T327">
        <v>0</v>
      </c>
      <c r="U327">
        <v>0</v>
      </c>
      <c r="V327">
        <v>0</v>
      </c>
      <c r="W327" s="30">
        <f t="shared" si="129"/>
        <v>33.837600000000002</v>
      </c>
      <c r="Y327">
        <v>2</v>
      </c>
      <c r="Z327" t="s">
        <v>16</v>
      </c>
      <c r="AA327">
        <v>27392</v>
      </c>
      <c r="AB327">
        <v>256</v>
      </c>
      <c r="AC327">
        <v>1</v>
      </c>
      <c r="AD327">
        <v>16</v>
      </c>
      <c r="AE327">
        <v>378.64</v>
      </c>
      <c r="AF327" s="17">
        <v>36.19</v>
      </c>
      <c r="AG327" s="33">
        <v>45307</v>
      </c>
      <c r="AH327" s="34">
        <v>0.62486111111111109</v>
      </c>
      <c r="AI327">
        <v>0</v>
      </c>
      <c r="AJ327">
        <v>0</v>
      </c>
      <c r="AK327">
        <v>0</v>
      </c>
      <c r="AL327">
        <v>0</v>
      </c>
      <c r="AM327">
        <v>0</v>
      </c>
      <c r="AN327">
        <v>0</v>
      </c>
      <c r="AO327">
        <v>0</v>
      </c>
      <c r="AP327">
        <v>0</v>
      </c>
      <c r="AQ327">
        <v>0</v>
      </c>
      <c r="AR327">
        <v>0</v>
      </c>
      <c r="AS327">
        <v>0</v>
      </c>
      <c r="AT327">
        <v>0</v>
      </c>
      <c r="AU327" s="30">
        <f t="shared" si="109"/>
        <v>36.136600000000001</v>
      </c>
    </row>
    <row r="328" spans="1:47" x14ac:dyDescent="0.25">
      <c r="A328">
        <v>3</v>
      </c>
      <c r="B328" t="s">
        <v>16</v>
      </c>
      <c r="C328">
        <v>27392</v>
      </c>
      <c r="D328">
        <v>256</v>
      </c>
      <c r="E328">
        <v>1</v>
      </c>
      <c r="F328">
        <v>16</v>
      </c>
      <c r="G328">
        <v>404.35</v>
      </c>
      <c r="H328" s="17">
        <v>33.889000000000003</v>
      </c>
      <c r="I328" s="33">
        <v>45308</v>
      </c>
      <c r="J328" s="37">
        <v>0.1097800925925926</v>
      </c>
      <c r="K328">
        <v>0</v>
      </c>
      <c r="L328">
        <v>0</v>
      </c>
      <c r="M328">
        <v>0</v>
      </c>
      <c r="N328">
        <v>0</v>
      </c>
      <c r="O328">
        <v>0</v>
      </c>
      <c r="P328">
        <v>0</v>
      </c>
      <c r="Q328">
        <v>0</v>
      </c>
      <c r="R328">
        <v>0</v>
      </c>
      <c r="S328">
        <v>0</v>
      </c>
      <c r="T328">
        <v>0</v>
      </c>
      <c r="U328">
        <v>0</v>
      </c>
      <c r="V328">
        <v>0</v>
      </c>
      <c r="W328" s="30">
        <f t="shared" si="129"/>
        <v>33.837600000000002</v>
      </c>
      <c r="Y328">
        <v>3</v>
      </c>
      <c r="Z328" t="s">
        <v>16</v>
      </c>
      <c r="AA328">
        <v>27392</v>
      </c>
      <c r="AB328">
        <v>256</v>
      </c>
      <c r="AC328">
        <v>1</v>
      </c>
      <c r="AD328">
        <v>16</v>
      </c>
      <c r="AE328">
        <v>379.44</v>
      </c>
      <c r="AF328" s="17">
        <v>36.113999999999997</v>
      </c>
      <c r="AG328" s="33">
        <v>45307</v>
      </c>
      <c r="AH328" s="34">
        <v>0.56293981481481481</v>
      </c>
      <c r="AI328">
        <v>0</v>
      </c>
      <c r="AJ328">
        <v>0</v>
      </c>
      <c r="AK328">
        <v>0</v>
      </c>
      <c r="AL328">
        <v>0</v>
      </c>
      <c r="AM328">
        <v>0</v>
      </c>
      <c r="AN328">
        <v>0</v>
      </c>
      <c r="AO328">
        <v>0</v>
      </c>
      <c r="AP328">
        <v>0</v>
      </c>
      <c r="AQ328">
        <v>0</v>
      </c>
      <c r="AR328">
        <v>0</v>
      </c>
      <c r="AS328">
        <v>0</v>
      </c>
      <c r="AT328">
        <v>0</v>
      </c>
      <c r="AU328" s="30">
        <f t="shared" si="109"/>
        <v>36.136600000000001</v>
      </c>
    </row>
    <row r="329" spans="1:47" x14ac:dyDescent="0.25">
      <c r="A329">
        <v>4</v>
      </c>
      <c r="B329" t="s">
        <v>16</v>
      </c>
      <c r="C329">
        <v>27392</v>
      </c>
      <c r="D329">
        <v>256</v>
      </c>
      <c r="E329">
        <v>1</v>
      </c>
      <c r="F329">
        <v>16</v>
      </c>
      <c r="G329">
        <v>404.37</v>
      </c>
      <c r="H329" s="17">
        <v>33.887</v>
      </c>
      <c r="I329" s="33">
        <v>45307</v>
      </c>
      <c r="J329" s="37">
        <v>0.83981481481481479</v>
      </c>
      <c r="K329">
        <v>0</v>
      </c>
      <c r="L329">
        <v>0</v>
      </c>
      <c r="M329">
        <v>0</v>
      </c>
      <c r="N329">
        <v>0</v>
      </c>
      <c r="O329">
        <v>0</v>
      </c>
      <c r="P329">
        <v>0</v>
      </c>
      <c r="Q329">
        <v>0</v>
      </c>
      <c r="R329">
        <v>0</v>
      </c>
      <c r="S329">
        <v>0</v>
      </c>
      <c r="T329">
        <v>0</v>
      </c>
      <c r="U329">
        <v>0</v>
      </c>
      <c r="V329">
        <v>0</v>
      </c>
      <c r="W329" s="30">
        <f t="shared" si="129"/>
        <v>33.837600000000002</v>
      </c>
      <c r="Y329">
        <v>4</v>
      </c>
      <c r="Z329" t="s">
        <v>16</v>
      </c>
      <c r="AA329">
        <v>27392</v>
      </c>
      <c r="AB329">
        <v>256</v>
      </c>
      <c r="AC329">
        <v>1</v>
      </c>
      <c r="AD329">
        <v>16</v>
      </c>
      <c r="AE329">
        <v>378.83</v>
      </c>
      <c r="AF329" s="17">
        <v>36.171999999999997</v>
      </c>
      <c r="AG329" s="33">
        <v>45307</v>
      </c>
      <c r="AH329" s="34">
        <v>0.82612268518518517</v>
      </c>
      <c r="AI329">
        <v>0</v>
      </c>
      <c r="AJ329">
        <v>0</v>
      </c>
      <c r="AK329">
        <v>0</v>
      </c>
      <c r="AL329">
        <v>0</v>
      </c>
      <c r="AM329">
        <v>0</v>
      </c>
      <c r="AN329">
        <v>0</v>
      </c>
      <c r="AO329">
        <v>0</v>
      </c>
      <c r="AP329">
        <v>0</v>
      </c>
      <c r="AQ329">
        <v>0</v>
      </c>
      <c r="AR329">
        <v>0</v>
      </c>
      <c r="AS329">
        <v>0</v>
      </c>
      <c r="AT329">
        <v>0</v>
      </c>
      <c r="AU329" s="30">
        <f t="shared" si="109"/>
        <v>36.136600000000001</v>
      </c>
    </row>
    <row r="330" spans="1:47" x14ac:dyDescent="0.25">
      <c r="A330">
        <v>0</v>
      </c>
      <c r="B330" t="s">
        <v>16</v>
      </c>
      <c r="C330">
        <v>28928</v>
      </c>
      <c r="D330">
        <v>256</v>
      </c>
      <c r="E330">
        <v>1</v>
      </c>
      <c r="F330">
        <v>16</v>
      </c>
      <c r="G330">
        <v>478.09</v>
      </c>
      <c r="H330" s="17">
        <v>33.759</v>
      </c>
      <c r="I330" s="33">
        <v>45307</v>
      </c>
      <c r="J330" s="37">
        <v>0.63976851851851857</v>
      </c>
      <c r="K330">
        <v>0</v>
      </c>
      <c r="L330">
        <v>0</v>
      </c>
      <c r="M330">
        <v>0</v>
      </c>
      <c r="N330">
        <v>0</v>
      </c>
      <c r="O330">
        <v>0</v>
      </c>
      <c r="P330">
        <v>0</v>
      </c>
      <c r="Q330">
        <v>0</v>
      </c>
      <c r="R330">
        <v>0</v>
      </c>
      <c r="S330">
        <v>0</v>
      </c>
      <c r="T330">
        <v>0</v>
      </c>
      <c r="U330">
        <v>0</v>
      </c>
      <c r="V330">
        <v>0</v>
      </c>
      <c r="W330" s="30">
        <f t="shared" ref="W330" si="130">AVERAGE(H330:H334)</f>
        <v>33.849399999999996</v>
      </c>
      <c r="Y330">
        <v>0</v>
      </c>
      <c r="Z330" t="s">
        <v>16</v>
      </c>
      <c r="AA330">
        <v>28928</v>
      </c>
      <c r="AB330">
        <v>256</v>
      </c>
      <c r="AC330">
        <v>1</v>
      </c>
      <c r="AD330">
        <v>16</v>
      </c>
      <c r="AE330">
        <v>452.14</v>
      </c>
      <c r="AF330" s="17">
        <v>35.695999999999998</v>
      </c>
      <c r="AG330" s="33">
        <v>45307</v>
      </c>
      <c r="AH330" s="34">
        <v>0.69616898148148154</v>
      </c>
      <c r="AI330">
        <v>0</v>
      </c>
      <c r="AJ330">
        <v>0</v>
      </c>
      <c r="AK330">
        <v>0</v>
      </c>
      <c r="AL330">
        <v>0</v>
      </c>
      <c r="AM330">
        <v>0</v>
      </c>
      <c r="AN330">
        <v>0</v>
      </c>
      <c r="AO330">
        <v>0</v>
      </c>
      <c r="AP330">
        <v>0</v>
      </c>
      <c r="AQ330">
        <v>0</v>
      </c>
      <c r="AR330">
        <v>0</v>
      </c>
      <c r="AS330">
        <v>0</v>
      </c>
      <c r="AT330">
        <v>0</v>
      </c>
      <c r="AU330" s="30">
        <f t="shared" si="107"/>
        <v>36.071199999999997</v>
      </c>
    </row>
    <row r="331" spans="1:47" x14ac:dyDescent="0.25">
      <c r="A331">
        <v>1</v>
      </c>
      <c r="B331" t="s">
        <v>16</v>
      </c>
      <c r="C331">
        <v>28928</v>
      </c>
      <c r="D331">
        <v>256</v>
      </c>
      <c r="E331">
        <v>1</v>
      </c>
      <c r="F331">
        <v>16</v>
      </c>
      <c r="G331">
        <v>477.41</v>
      </c>
      <c r="H331" s="17">
        <v>33.807000000000002</v>
      </c>
      <c r="I331" s="33">
        <v>45307</v>
      </c>
      <c r="J331" s="37">
        <v>0.98038194444444438</v>
      </c>
      <c r="K331">
        <v>0</v>
      </c>
      <c r="L331">
        <v>0</v>
      </c>
      <c r="M331">
        <v>0</v>
      </c>
      <c r="N331">
        <v>0</v>
      </c>
      <c r="O331">
        <v>0</v>
      </c>
      <c r="P331">
        <v>0</v>
      </c>
      <c r="Q331">
        <v>0</v>
      </c>
      <c r="R331">
        <v>0</v>
      </c>
      <c r="S331">
        <v>0</v>
      </c>
      <c r="T331">
        <v>0</v>
      </c>
      <c r="U331">
        <v>0</v>
      </c>
      <c r="V331">
        <v>0</v>
      </c>
      <c r="W331" s="30">
        <f t="shared" ref="W331:W334" si="131">W330</f>
        <v>33.849399999999996</v>
      </c>
      <c r="Y331">
        <v>1</v>
      </c>
      <c r="Z331" t="s">
        <v>16</v>
      </c>
      <c r="AA331">
        <v>28928</v>
      </c>
      <c r="AB331">
        <v>256</v>
      </c>
      <c r="AC331">
        <v>1</v>
      </c>
      <c r="AD331">
        <v>16</v>
      </c>
      <c r="AE331">
        <v>448.95</v>
      </c>
      <c r="AF331" s="17">
        <v>35.950000000000003</v>
      </c>
      <c r="AG331" s="33">
        <v>45307</v>
      </c>
      <c r="AH331" s="34">
        <v>0.53631944444444446</v>
      </c>
      <c r="AI331">
        <v>0</v>
      </c>
      <c r="AJ331">
        <v>0</v>
      </c>
      <c r="AK331">
        <v>0</v>
      </c>
      <c r="AL331">
        <v>0</v>
      </c>
      <c r="AM331">
        <v>0</v>
      </c>
      <c r="AN331">
        <v>0</v>
      </c>
      <c r="AO331">
        <v>0</v>
      </c>
      <c r="AP331">
        <v>0</v>
      </c>
      <c r="AQ331">
        <v>0</v>
      </c>
      <c r="AR331">
        <v>0</v>
      </c>
      <c r="AS331">
        <v>0</v>
      </c>
      <c r="AT331">
        <v>0</v>
      </c>
      <c r="AU331" s="30">
        <f t="shared" si="109"/>
        <v>36.071199999999997</v>
      </c>
    </row>
    <row r="332" spans="1:47" x14ac:dyDescent="0.25">
      <c r="A332">
        <v>2</v>
      </c>
      <c r="B332" t="s">
        <v>16</v>
      </c>
      <c r="C332">
        <v>28928</v>
      </c>
      <c r="D332">
        <v>256</v>
      </c>
      <c r="E332">
        <v>1</v>
      </c>
      <c r="F332">
        <v>16</v>
      </c>
      <c r="G332">
        <v>473.63</v>
      </c>
      <c r="H332" s="17">
        <v>34.076999999999998</v>
      </c>
      <c r="I332" s="33">
        <v>45308</v>
      </c>
      <c r="J332" s="37">
        <v>0.32344907407407408</v>
      </c>
      <c r="K332">
        <v>0</v>
      </c>
      <c r="L332">
        <v>0</v>
      </c>
      <c r="M332">
        <v>0</v>
      </c>
      <c r="N332">
        <v>0</v>
      </c>
      <c r="O332">
        <v>0</v>
      </c>
      <c r="P332">
        <v>0</v>
      </c>
      <c r="Q332">
        <v>0</v>
      </c>
      <c r="R332">
        <v>0</v>
      </c>
      <c r="S332">
        <v>0</v>
      </c>
      <c r="T332">
        <v>0</v>
      </c>
      <c r="U332">
        <v>0</v>
      </c>
      <c r="V332">
        <v>0</v>
      </c>
      <c r="W332" s="30">
        <f t="shared" si="131"/>
        <v>33.849399999999996</v>
      </c>
      <c r="Y332">
        <v>2</v>
      </c>
      <c r="Z332" t="s">
        <v>16</v>
      </c>
      <c r="AA332">
        <v>28928</v>
      </c>
      <c r="AB332">
        <v>256</v>
      </c>
      <c r="AC332">
        <v>1</v>
      </c>
      <c r="AD332">
        <v>16</v>
      </c>
      <c r="AE332">
        <v>442.88</v>
      </c>
      <c r="AF332" s="17">
        <v>36.442999999999998</v>
      </c>
      <c r="AG332" s="33">
        <v>45307</v>
      </c>
      <c r="AH332" s="34">
        <v>0.79901620370370363</v>
      </c>
      <c r="AI332">
        <v>0</v>
      </c>
      <c r="AJ332">
        <v>0</v>
      </c>
      <c r="AK332">
        <v>0</v>
      </c>
      <c r="AL332">
        <v>0</v>
      </c>
      <c r="AM332">
        <v>0</v>
      </c>
      <c r="AN332">
        <v>0</v>
      </c>
      <c r="AO332">
        <v>0</v>
      </c>
      <c r="AP332">
        <v>0</v>
      </c>
      <c r="AQ332">
        <v>0</v>
      </c>
      <c r="AR332">
        <v>0</v>
      </c>
      <c r="AS332">
        <v>0</v>
      </c>
      <c r="AT332">
        <v>0</v>
      </c>
      <c r="AU332" s="30">
        <f t="shared" si="109"/>
        <v>36.071199999999997</v>
      </c>
    </row>
    <row r="333" spans="1:47" x14ac:dyDescent="0.25">
      <c r="A333">
        <v>3</v>
      </c>
      <c r="B333" t="s">
        <v>16</v>
      </c>
      <c r="C333">
        <v>28928</v>
      </c>
      <c r="D333">
        <v>256</v>
      </c>
      <c r="E333">
        <v>1</v>
      </c>
      <c r="F333">
        <v>16</v>
      </c>
      <c r="G333">
        <v>478.57</v>
      </c>
      <c r="H333" s="17">
        <v>33.725000000000001</v>
      </c>
      <c r="I333" s="33">
        <v>45307</v>
      </c>
      <c r="J333" s="37">
        <v>0.72075231481481483</v>
      </c>
      <c r="K333">
        <v>0</v>
      </c>
      <c r="L333">
        <v>0</v>
      </c>
      <c r="M333">
        <v>0</v>
      </c>
      <c r="N333">
        <v>0</v>
      </c>
      <c r="O333">
        <v>0</v>
      </c>
      <c r="P333">
        <v>0</v>
      </c>
      <c r="Q333">
        <v>0</v>
      </c>
      <c r="R333">
        <v>0</v>
      </c>
      <c r="S333">
        <v>0</v>
      </c>
      <c r="T333">
        <v>0</v>
      </c>
      <c r="U333">
        <v>0</v>
      </c>
      <c r="V333">
        <v>0</v>
      </c>
      <c r="W333" s="30">
        <f t="shared" si="131"/>
        <v>33.849399999999996</v>
      </c>
      <c r="Y333">
        <v>3</v>
      </c>
      <c r="Z333" t="s">
        <v>16</v>
      </c>
      <c r="AA333">
        <v>28928</v>
      </c>
      <c r="AB333">
        <v>256</v>
      </c>
      <c r="AC333">
        <v>1</v>
      </c>
      <c r="AD333">
        <v>16</v>
      </c>
      <c r="AE333">
        <v>443.83</v>
      </c>
      <c r="AF333" s="17">
        <v>36.363999999999997</v>
      </c>
      <c r="AG333" s="33">
        <v>45307</v>
      </c>
      <c r="AH333" s="34">
        <v>0.73759259259259258</v>
      </c>
      <c r="AI333">
        <v>0</v>
      </c>
      <c r="AJ333">
        <v>0</v>
      </c>
      <c r="AK333">
        <v>0</v>
      </c>
      <c r="AL333">
        <v>0</v>
      </c>
      <c r="AM333">
        <v>0</v>
      </c>
      <c r="AN333">
        <v>0</v>
      </c>
      <c r="AO333">
        <v>0</v>
      </c>
      <c r="AP333">
        <v>0</v>
      </c>
      <c r="AQ333">
        <v>0</v>
      </c>
      <c r="AR333">
        <v>0</v>
      </c>
      <c r="AS333">
        <v>0</v>
      </c>
      <c r="AT333">
        <v>0</v>
      </c>
      <c r="AU333" s="30">
        <f t="shared" si="109"/>
        <v>36.071199999999997</v>
      </c>
    </row>
    <row r="334" spans="1:47" x14ac:dyDescent="0.25">
      <c r="A334">
        <v>4</v>
      </c>
      <c r="B334" t="s">
        <v>16</v>
      </c>
      <c r="C334">
        <v>28928</v>
      </c>
      <c r="D334">
        <v>256</v>
      </c>
      <c r="E334">
        <v>1</v>
      </c>
      <c r="F334">
        <v>16</v>
      </c>
      <c r="G334">
        <v>476.39</v>
      </c>
      <c r="H334" s="17">
        <v>33.878999999999998</v>
      </c>
      <c r="I334" s="33">
        <v>45308</v>
      </c>
      <c r="J334" s="37">
        <v>6.2395833333333338E-2</v>
      </c>
      <c r="K334">
        <v>0</v>
      </c>
      <c r="L334">
        <v>0</v>
      </c>
      <c r="M334">
        <v>0</v>
      </c>
      <c r="N334">
        <v>0</v>
      </c>
      <c r="O334">
        <v>0</v>
      </c>
      <c r="P334">
        <v>0</v>
      </c>
      <c r="Q334">
        <v>0</v>
      </c>
      <c r="R334">
        <v>0</v>
      </c>
      <c r="S334">
        <v>0</v>
      </c>
      <c r="T334">
        <v>0</v>
      </c>
      <c r="U334">
        <v>0</v>
      </c>
      <c r="V334">
        <v>0</v>
      </c>
      <c r="W334" s="30">
        <f t="shared" si="131"/>
        <v>33.849399999999996</v>
      </c>
      <c r="Y334">
        <v>4</v>
      </c>
      <c r="Z334" t="s">
        <v>16</v>
      </c>
      <c r="AA334">
        <v>28928</v>
      </c>
      <c r="AB334">
        <v>256</v>
      </c>
      <c r="AC334">
        <v>1</v>
      </c>
      <c r="AD334">
        <v>16</v>
      </c>
      <c r="AE334">
        <v>449.54</v>
      </c>
      <c r="AF334" s="17">
        <v>35.902999999999999</v>
      </c>
      <c r="AG334" s="33">
        <v>45307</v>
      </c>
      <c r="AH334" s="34">
        <v>0.53115740740740736</v>
      </c>
      <c r="AI334">
        <v>0</v>
      </c>
      <c r="AJ334">
        <v>0</v>
      </c>
      <c r="AK334">
        <v>0</v>
      </c>
      <c r="AL334">
        <v>0</v>
      </c>
      <c r="AM334">
        <v>0</v>
      </c>
      <c r="AN334">
        <v>0</v>
      </c>
      <c r="AO334">
        <v>0</v>
      </c>
      <c r="AP334">
        <v>0</v>
      </c>
      <c r="AQ334">
        <v>0</v>
      </c>
      <c r="AR334">
        <v>0</v>
      </c>
      <c r="AS334">
        <v>0</v>
      </c>
      <c r="AT334">
        <v>0</v>
      </c>
      <c r="AU334" s="30">
        <f t="shared" si="109"/>
        <v>36.071199999999997</v>
      </c>
    </row>
    <row r="335" spans="1:47" x14ac:dyDescent="0.25">
      <c r="A335">
        <v>0</v>
      </c>
      <c r="B335" t="s">
        <v>16</v>
      </c>
      <c r="C335">
        <v>25856</v>
      </c>
      <c r="D335">
        <v>256</v>
      </c>
      <c r="E335">
        <v>2</v>
      </c>
      <c r="F335">
        <v>8</v>
      </c>
      <c r="G335">
        <v>319.57</v>
      </c>
      <c r="H335" s="17">
        <v>36.064</v>
      </c>
      <c r="I335" s="33">
        <v>45307</v>
      </c>
      <c r="J335" s="37">
        <v>0.52217592592592588</v>
      </c>
      <c r="K335">
        <v>0</v>
      </c>
      <c r="L335">
        <v>0</v>
      </c>
      <c r="M335">
        <v>0</v>
      </c>
      <c r="N335">
        <v>0</v>
      </c>
      <c r="O335">
        <v>0</v>
      </c>
      <c r="P335">
        <v>0</v>
      </c>
      <c r="Q335">
        <v>0</v>
      </c>
      <c r="R335">
        <v>0</v>
      </c>
      <c r="S335">
        <v>0</v>
      </c>
      <c r="T335">
        <v>0</v>
      </c>
      <c r="U335">
        <v>0</v>
      </c>
      <c r="V335">
        <v>0</v>
      </c>
      <c r="W335" s="30">
        <f t="shared" ref="W335" si="132">AVERAGE(H335:H339)</f>
        <v>36.036799999999992</v>
      </c>
      <c r="Y335">
        <v>0</v>
      </c>
      <c r="Z335" t="s">
        <v>16</v>
      </c>
      <c r="AA335">
        <v>25856</v>
      </c>
      <c r="AB335">
        <v>256</v>
      </c>
      <c r="AC335">
        <v>2</v>
      </c>
      <c r="AD335">
        <v>8</v>
      </c>
      <c r="AE335">
        <v>302.10000000000002</v>
      </c>
      <c r="AF335" s="17">
        <v>38.149000000000001</v>
      </c>
      <c r="AG335" s="33">
        <v>45307</v>
      </c>
      <c r="AH335" s="34">
        <v>0.60196759259259258</v>
      </c>
      <c r="AI335">
        <v>0</v>
      </c>
      <c r="AJ335">
        <v>0</v>
      </c>
      <c r="AK335">
        <v>0</v>
      </c>
      <c r="AL335">
        <v>0</v>
      </c>
      <c r="AM335">
        <v>0</v>
      </c>
      <c r="AN335">
        <v>0</v>
      </c>
      <c r="AO335">
        <v>0</v>
      </c>
      <c r="AP335">
        <v>0</v>
      </c>
      <c r="AQ335">
        <v>0</v>
      </c>
      <c r="AR335">
        <v>0</v>
      </c>
      <c r="AS335">
        <v>0</v>
      </c>
      <c r="AT335">
        <v>0</v>
      </c>
      <c r="AU335" s="30">
        <f t="shared" si="107"/>
        <v>38.128</v>
      </c>
    </row>
    <row r="336" spans="1:47" x14ac:dyDescent="0.25">
      <c r="A336">
        <v>1</v>
      </c>
      <c r="B336" t="s">
        <v>16</v>
      </c>
      <c r="C336">
        <v>25856</v>
      </c>
      <c r="D336">
        <v>256</v>
      </c>
      <c r="E336">
        <v>2</v>
      </c>
      <c r="F336">
        <v>8</v>
      </c>
      <c r="G336">
        <v>319.83</v>
      </c>
      <c r="H336" s="17">
        <v>36.033999999999999</v>
      </c>
      <c r="I336" s="33">
        <v>45307</v>
      </c>
      <c r="J336" s="37">
        <v>0.86493055555555554</v>
      </c>
      <c r="K336">
        <v>0</v>
      </c>
      <c r="L336">
        <v>0</v>
      </c>
      <c r="M336">
        <v>0</v>
      </c>
      <c r="N336">
        <v>0</v>
      </c>
      <c r="O336">
        <v>0</v>
      </c>
      <c r="P336">
        <v>0</v>
      </c>
      <c r="Q336">
        <v>0</v>
      </c>
      <c r="R336">
        <v>0</v>
      </c>
      <c r="S336">
        <v>0</v>
      </c>
      <c r="T336">
        <v>0</v>
      </c>
      <c r="U336">
        <v>0</v>
      </c>
      <c r="V336">
        <v>0</v>
      </c>
      <c r="W336" s="30">
        <f t="shared" ref="W336:W339" si="133">W335</f>
        <v>36.036799999999992</v>
      </c>
      <c r="Y336">
        <v>1</v>
      </c>
      <c r="Z336" t="s">
        <v>16</v>
      </c>
      <c r="AA336">
        <v>25856</v>
      </c>
      <c r="AB336">
        <v>256</v>
      </c>
      <c r="AC336">
        <v>2</v>
      </c>
      <c r="AD336">
        <v>8</v>
      </c>
      <c r="AE336">
        <v>302.51</v>
      </c>
      <c r="AF336" s="17">
        <v>38.097000000000001</v>
      </c>
      <c r="AG336" s="33">
        <v>45307</v>
      </c>
      <c r="AH336" s="34">
        <v>0.55157407407407411</v>
      </c>
      <c r="AI336">
        <v>0</v>
      </c>
      <c r="AJ336">
        <v>0</v>
      </c>
      <c r="AK336">
        <v>0</v>
      </c>
      <c r="AL336">
        <v>0</v>
      </c>
      <c r="AM336">
        <v>0</v>
      </c>
      <c r="AN336">
        <v>0</v>
      </c>
      <c r="AO336">
        <v>0</v>
      </c>
      <c r="AP336">
        <v>0</v>
      </c>
      <c r="AQ336">
        <v>0</v>
      </c>
      <c r="AR336">
        <v>0</v>
      </c>
      <c r="AS336">
        <v>0</v>
      </c>
      <c r="AT336">
        <v>0</v>
      </c>
      <c r="AU336" s="30">
        <f t="shared" si="109"/>
        <v>38.128</v>
      </c>
    </row>
    <row r="337" spans="1:47" x14ac:dyDescent="0.25">
      <c r="A337">
        <v>2</v>
      </c>
      <c r="B337" t="s">
        <v>16</v>
      </c>
      <c r="C337">
        <v>25856</v>
      </c>
      <c r="D337">
        <v>256</v>
      </c>
      <c r="E337">
        <v>2</v>
      </c>
      <c r="F337">
        <v>8</v>
      </c>
      <c r="G337">
        <v>319.86</v>
      </c>
      <c r="H337" s="17">
        <v>36.03</v>
      </c>
      <c r="I337" s="33">
        <v>45308</v>
      </c>
      <c r="J337" s="37">
        <v>0.20555555555555557</v>
      </c>
      <c r="K337">
        <v>0</v>
      </c>
      <c r="L337">
        <v>0</v>
      </c>
      <c r="M337">
        <v>0</v>
      </c>
      <c r="N337">
        <v>0</v>
      </c>
      <c r="O337">
        <v>0</v>
      </c>
      <c r="P337">
        <v>0</v>
      </c>
      <c r="Q337">
        <v>0</v>
      </c>
      <c r="R337">
        <v>0</v>
      </c>
      <c r="S337">
        <v>0</v>
      </c>
      <c r="T337">
        <v>0</v>
      </c>
      <c r="U337">
        <v>0</v>
      </c>
      <c r="V337">
        <v>0</v>
      </c>
      <c r="W337" s="30">
        <f t="shared" si="133"/>
        <v>36.036799999999992</v>
      </c>
      <c r="Y337">
        <v>2</v>
      </c>
      <c r="Z337" t="s">
        <v>16</v>
      </c>
      <c r="AA337">
        <v>25856</v>
      </c>
      <c r="AB337">
        <v>256</v>
      </c>
      <c r="AC337">
        <v>2</v>
      </c>
      <c r="AD337">
        <v>8</v>
      </c>
      <c r="AE337">
        <v>302.39</v>
      </c>
      <c r="AF337" s="17">
        <v>38.112000000000002</v>
      </c>
      <c r="AG337" s="33">
        <v>45307</v>
      </c>
      <c r="AH337" s="34">
        <v>0.70532407407407405</v>
      </c>
      <c r="AI337">
        <v>0</v>
      </c>
      <c r="AJ337">
        <v>0</v>
      </c>
      <c r="AK337">
        <v>0</v>
      </c>
      <c r="AL337">
        <v>0</v>
      </c>
      <c r="AM337">
        <v>0</v>
      </c>
      <c r="AN337">
        <v>0</v>
      </c>
      <c r="AO337">
        <v>0</v>
      </c>
      <c r="AP337">
        <v>0</v>
      </c>
      <c r="AQ337">
        <v>0</v>
      </c>
      <c r="AR337">
        <v>0</v>
      </c>
      <c r="AS337">
        <v>0</v>
      </c>
      <c r="AT337">
        <v>0</v>
      </c>
      <c r="AU337" s="30">
        <f t="shared" si="109"/>
        <v>38.128</v>
      </c>
    </row>
    <row r="338" spans="1:47" x14ac:dyDescent="0.25">
      <c r="A338">
        <v>3</v>
      </c>
      <c r="B338" t="s">
        <v>16</v>
      </c>
      <c r="C338">
        <v>25856</v>
      </c>
      <c r="D338">
        <v>256</v>
      </c>
      <c r="E338">
        <v>2</v>
      </c>
      <c r="F338">
        <v>8</v>
      </c>
      <c r="G338">
        <v>319.77</v>
      </c>
      <c r="H338" s="17">
        <v>36.040999999999997</v>
      </c>
      <c r="I338" s="33">
        <v>45307</v>
      </c>
      <c r="J338" s="37">
        <v>0.60296296296296303</v>
      </c>
      <c r="K338">
        <v>0</v>
      </c>
      <c r="L338">
        <v>0</v>
      </c>
      <c r="M338">
        <v>0</v>
      </c>
      <c r="N338">
        <v>0</v>
      </c>
      <c r="O338">
        <v>0</v>
      </c>
      <c r="P338">
        <v>0</v>
      </c>
      <c r="Q338">
        <v>0</v>
      </c>
      <c r="R338">
        <v>0</v>
      </c>
      <c r="S338">
        <v>0</v>
      </c>
      <c r="T338">
        <v>0</v>
      </c>
      <c r="U338">
        <v>0</v>
      </c>
      <c r="V338">
        <v>0</v>
      </c>
      <c r="W338" s="30">
        <f t="shared" si="133"/>
        <v>36.036799999999992</v>
      </c>
      <c r="Y338">
        <v>3</v>
      </c>
      <c r="Z338" t="s">
        <v>16</v>
      </c>
      <c r="AA338">
        <v>25856</v>
      </c>
      <c r="AB338">
        <v>256</v>
      </c>
      <c r="AC338">
        <v>2</v>
      </c>
      <c r="AD338">
        <v>8</v>
      </c>
      <c r="AE338">
        <v>302.20999999999998</v>
      </c>
      <c r="AF338" s="17">
        <v>38.134999999999998</v>
      </c>
      <c r="AG338" s="33">
        <v>45307</v>
      </c>
      <c r="AH338" s="34">
        <v>0.64340277777777777</v>
      </c>
      <c r="AI338">
        <v>0</v>
      </c>
      <c r="AJ338">
        <v>0</v>
      </c>
      <c r="AK338">
        <v>0</v>
      </c>
      <c r="AL338">
        <v>0</v>
      </c>
      <c r="AM338">
        <v>0</v>
      </c>
      <c r="AN338">
        <v>0</v>
      </c>
      <c r="AO338">
        <v>0</v>
      </c>
      <c r="AP338">
        <v>0</v>
      </c>
      <c r="AQ338">
        <v>0</v>
      </c>
      <c r="AR338">
        <v>0</v>
      </c>
      <c r="AS338">
        <v>0</v>
      </c>
      <c r="AT338">
        <v>0</v>
      </c>
      <c r="AU338" s="30">
        <f t="shared" si="109"/>
        <v>38.128</v>
      </c>
    </row>
    <row r="339" spans="1:47" x14ac:dyDescent="0.25">
      <c r="A339">
        <v>4</v>
      </c>
      <c r="B339" t="s">
        <v>16</v>
      </c>
      <c r="C339">
        <v>25856</v>
      </c>
      <c r="D339">
        <v>256</v>
      </c>
      <c r="E339">
        <v>2</v>
      </c>
      <c r="F339">
        <v>8</v>
      </c>
      <c r="G339">
        <v>320</v>
      </c>
      <c r="H339" s="17">
        <v>36.015000000000001</v>
      </c>
      <c r="I339" s="33">
        <v>45307</v>
      </c>
      <c r="J339" s="37">
        <v>0.9459143518518518</v>
      </c>
      <c r="K339">
        <v>0</v>
      </c>
      <c r="L339">
        <v>0</v>
      </c>
      <c r="M339">
        <v>0</v>
      </c>
      <c r="N339">
        <v>0</v>
      </c>
      <c r="O339">
        <v>0</v>
      </c>
      <c r="P339">
        <v>0</v>
      </c>
      <c r="Q339">
        <v>0</v>
      </c>
      <c r="R339">
        <v>0</v>
      </c>
      <c r="S339">
        <v>0</v>
      </c>
      <c r="T339">
        <v>0</v>
      </c>
      <c r="U339">
        <v>0</v>
      </c>
      <c r="V339">
        <v>0</v>
      </c>
      <c r="W339" s="30">
        <f t="shared" si="133"/>
        <v>36.036799999999992</v>
      </c>
      <c r="Y339">
        <v>4</v>
      </c>
      <c r="Z339" t="s">
        <v>16</v>
      </c>
      <c r="AA339">
        <v>25856</v>
      </c>
      <c r="AB339">
        <v>256</v>
      </c>
      <c r="AC339">
        <v>2</v>
      </c>
      <c r="AD339">
        <v>8</v>
      </c>
      <c r="AE339">
        <v>302.11</v>
      </c>
      <c r="AF339" s="17">
        <v>38.146999999999998</v>
      </c>
      <c r="AG339" s="33">
        <v>45307</v>
      </c>
      <c r="AH339" s="34">
        <v>0.51831018518518512</v>
      </c>
      <c r="AI339">
        <v>0</v>
      </c>
      <c r="AJ339">
        <v>0</v>
      </c>
      <c r="AK339">
        <v>0</v>
      </c>
      <c r="AL339">
        <v>0</v>
      </c>
      <c r="AM339">
        <v>0</v>
      </c>
      <c r="AN339">
        <v>0</v>
      </c>
      <c r="AO339">
        <v>0</v>
      </c>
      <c r="AP339">
        <v>0</v>
      </c>
      <c r="AQ339">
        <v>0</v>
      </c>
      <c r="AR339">
        <v>0</v>
      </c>
      <c r="AS339">
        <v>0</v>
      </c>
      <c r="AT339">
        <v>0</v>
      </c>
      <c r="AU339" s="30">
        <f t="shared" si="109"/>
        <v>38.128</v>
      </c>
    </row>
    <row r="340" spans="1:47" x14ac:dyDescent="0.25">
      <c r="A340">
        <v>0</v>
      </c>
      <c r="B340" t="s">
        <v>16</v>
      </c>
      <c r="C340">
        <v>27392</v>
      </c>
      <c r="D340">
        <v>256</v>
      </c>
      <c r="E340">
        <v>2</v>
      </c>
      <c r="F340">
        <v>8</v>
      </c>
      <c r="G340">
        <v>404.02</v>
      </c>
      <c r="H340" s="17">
        <v>33.917000000000002</v>
      </c>
      <c r="I340" s="33">
        <v>45307</v>
      </c>
      <c r="J340" s="37">
        <v>0.56665509259259261</v>
      </c>
      <c r="K340">
        <v>0</v>
      </c>
      <c r="L340">
        <v>0</v>
      </c>
      <c r="M340">
        <v>0</v>
      </c>
      <c r="N340">
        <v>0</v>
      </c>
      <c r="O340">
        <v>0</v>
      </c>
      <c r="P340">
        <v>0</v>
      </c>
      <c r="Q340">
        <v>0</v>
      </c>
      <c r="R340">
        <v>0</v>
      </c>
      <c r="S340">
        <v>0</v>
      </c>
      <c r="T340">
        <v>0</v>
      </c>
      <c r="U340">
        <v>0</v>
      </c>
      <c r="V340">
        <v>0</v>
      </c>
      <c r="W340" s="30">
        <f t="shared" ref="W340" si="134">AVERAGE(H340:H344)</f>
        <v>33.903399999999998</v>
      </c>
      <c r="Y340">
        <v>0</v>
      </c>
      <c r="Z340" t="s">
        <v>16</v>
      </c>
      <c r="AA340">
        <v>27392</v>
      </c>
      <c r="AB340">
        <v>256</v>
      </c>
      <c r="AC340">
        <v>2</v>
      </c>
      <c r="AD340">
        <v>8</v>
      </c>
      <c r="AE340">
        <v>367.63</v>
      </c>
      <c r="AF340" s="17">
        <v>37.274000000000001</v>
      </c>
      <c r="AG340" s="33">
        <v>45307</v>
      </c>
      <c r="AH340" s="34">
        <v>0.52643518518518517</v>
      </c>
      <c r="AI340">
        <v>0</v>
      </c>
      <c r="AJ340">
        <v>0</v>
      </c>
      <c r="AK340">
        <v>0</v>
      </c>
      <c r="AL340">
        <v>0</v>
      </c>
      <c r="AM340">
        <v>0</v>
      </c>
      <c r="AN340">
        <v>0</v>
      </c>
      <c r="AO340">
        <v>0</v>
      </c>
      <c r="AP340">
        <v>0</v>
      </c>
      <c r="AQ340">
        <v>0</v>
      </c>
      <c r="AR340">
        <v>0</v>
      </c>
      <c r="AS340">
        <v>0</v>
      </c>
      <c r="AT340">
        <v>0</v>
      </c>
      <c r="AU340" s="30">
        <f t="shared" ref="AU340:AU360" si="135">AVERAGE(AF340:AF344)</f>
        <v>37.276400000000002</v>
      </c>
    </row>
    <row r="341" spans="1:47" x14ac:dyDescent="0.25">
      <c r="A341">
        <v>1</v>
      </c>
      <c r="B341" t="s">
        <v>16</v>
      </c>
      <c r="C341">
        <v>27392</v>
      </c>
      <c r="D341">
        <v>256</v>
      </c>
      <c r="E341">
        <v>2</v>
      </c>
      <c r="F341">
        <v>8</v>
      </c>
      <c r="G341">
        <v>404.74</v>
      </c>
      <c r="H341" s="17">
        <v>33.856999999999999</v>
      </c>
      <c r="I341" s="33">
        <v>45307</v>
      </c>
      <c r="J341" s="37">
        <v>0.7637152777777777</v>
      </c>
      <c r="K341">
        <v>0</v>
      </c>
      <c r="L341">
        <v>0</v>
      </c>
      <c r="M341">
        <v>0</v>
      </c>
      <c r="N341">
        <v>0</v>
      </c>
      <c r="O341">
        <v>0</v>
      </c>
      <c r="P341">
        <v>0</v>
      </c>
      <c r="Q341">
        <v>0</v>
      </c>
      <c r="R341">
        <v>0</v>
      </c>
      <c r="S341">
        <v>0</v>
      </c>
      <c r="T341">
        <v>0</v>
      </c>
      <c r="U341">
        <v>0</v>
      </c>
      <c r="V341">
        <v>0</v>
      </c>
      <c r="W341" s="30">
        <f t="shared" ref="W341:W344" si="136">W340</f>
        <v>33.903399999999998</v>
      </c>
      <c r="Y341">
        <v>1</v>
      </c>
      <c r="Z341" t="s">
        <v>16</v>
      </c>
      <c r="AA341">
        <v>27392</v>
      </c>
      <c r="AB341">
        <v>256</v>
      </c>
      <c r="AC341">
        <v>2</v>
      </c>
      <c r="AD341">
        <v>8</v>
      </c>
      <c r="AE341">
        <v>367.87</v>
      </c>
      <c r="AF341" s="17">
        <v>37.25</v>
      </c>
      <c r="AG341" s="33">
        <v>45307</v>
      </c>
      <c r="AH341" s="34">
        <v>0.78962962962962957</v>
      </c>
      <c r="AI341">
        <v>0</v>
      </c>
      <c r="AJ341">
        <v>0</v>
      </c>
      <c r="AK341">
        <v>0</v>
      </c>
      <c r="AL341">
        <v>0</v>
      </c>
      <c r="AM341">
        <v>0</v>
      </c>
      <c r="AN341">
        <v>0</v>
      </c>
      <c r="AO341">
        <v>0</v>
      </c>
      <c r="AP341">
        <v>0</v>
      </c>
      <c r="AQ341">
        <v>0</v>
      </c>
      <c r="AR341">
        <v>0</v>
      </c>
      <c r="AS341">
        <v>0</v>
      </c>
      <c r="AT341">
        <v>0</v>
      </c>
      <c r="AU341" s="30">
        <f t="shared" ref="AU341:AU364" si="137">AU340</f>
        <v>37.276400000000002</v>
      </c>
    </row>
    <row r="342" spans="1:47" x14ac:dyDescent="0.25">
      <c r="A342">
        <v>2</v>
      </c>
      <c r="B342" t="s">
        <v>16</v>
      </c>
      <c r="C342">
        <v>27392</v>
      </c>
      <c r="D342">
        <v>256</v>
      </c>
      <c r="E342">
        <v>2</v>
      </c>
      <c r="F342">
        <v>8</v>
      </c>
      <c r="G342">
        <v>404.4</v>
      </c>
      <c r="H342" s="17">
        <v>33.884999999999998</v>
      </c>
      <c r="I342" s="33">
        <v>45308</v>
      </c>
      <c r="J342" s="37">
        <v>0.10434027777777777</v>
      </c>
      <c r="K342">
        <v>0</v>
      </c>
      <c r="L342">
        <v>0</v>
      </c>
      <c r="M342">
        <v>0</v>
      </c>
      <c r="N342">
        <v>0</v>
      </c>
      <c r="O342">
        <v>0</v>
      </c>
      <c r="P342">
        <v>0</v>
      </c>
      <c r="Q342">
        <v>0</v>
      </c>
      <c r="R342">
        <v>0</v>
      </c>
      <c r="S342">
        <v>0</v>
      </c>
      <c r="T342">
        <v>0</v>
      </c>
      <c r="U342">
        <v>0</v>
      </c>
      <c r="V342">
        <v>0</v>
      </c>
      <c r="W342" s="30">
        <f t="shared" si="136"/>
        <v>33.903399999999998</v>
      </c>
      <c r="Y342">
        <v>2</v>
      </c>
      <c r="Z342" t="s">
        <v>16</v>
      </c>
      <c r="AA342">
        <v>27392</v>
      </c>
      <c r="AB342">
        <v>256</v>
      </c>
      <c r="AC342">
        <v>2</v>
      </c>
      <c r="AD342">
        <v>8</v>
      </c>
      <c r="AE342">
        <v>367.45</v>
      </c>
      <c r="AF342" s="17">
        <v>37.292000000000002</v>
      </c>
      <c r="AG342" s="33">
        <v>45307</v>
      </c>
      <c r="AH342" s="34">
        <v>0.62979166666666664</v>
      </c>
      <c r="AI342">
        <v>0</v>
      </c>
      <c r="AJ342">
        <v>0</v>
      </c>
      <c r="AK342">
        <v>0</v>
      </c>
      <c r="AL342">
        <v>0</v>
      </c>
      <c r="AM342">
        <v>0</v>
      </c>
      <c r="AN342">
        <v>0</v>
      </c>
      <c r="AO342">
        <v>0</v>
      </c>
      <c r="AP342">
        <v>0</v>
      </c>
      <c r="AQ342">
        <v>0</v>
      </c>
      <c r="AR342">
        <v>0</v>
      </c>
      <c r="AS342">
        <v>0</v>
      </c>
      <c r="AT342">
        <v>0</v>
      </c>
      <c r="AU342" s="30">
        <f t="shared" si="137"/>
        <v>37.276400000000002</v>
      </c>
    </row>
    <row r="343" spans="1:47" x14ac:dyDescent="0.25">
      <c r="A343">
        <v>3</v>
      </c>
      <c r="B343" t="s">
        <v>16</v>
      </c>
      <c r="C343">
        <v>27392</v>
      </c>
      <c r="D343">
        <v>256</v>
      </c>
      <c r="E343">
        <v>2</v>
      </c>
      <c r="F343">
        <v>8</v>
      </c>
      <c r="G343">
        <v>403.72</v>
      </c>
      <c r="H343" s="17">
        <v>33.942</v>
      </c>
      <c r="I343" s="33">
        <v>45307</v>
      </c>
      <c r="J343" s="37">
        <v>0.51143518518518516</v>
      </c>
      <c r="K343">
        <v>0</v>
      </c>
      <c r="L343">
        <v>0</v>
      </c>
      <c r="M343">
        <v>0</v>
      </c>
      <c r="N343">
        <v>0</v>
      </c>
      <c r="O343">
        <v>0</v>
      </c>
      <c r="P343">
        <v>0</v>
      </c>
      <c r="Q343">
        <v>0</v>
      </c>
      <c r="R343">
        <v>0</v>
      </c>
      <c r="S343">
        <v>0</v>
      </c>
      <c r="T343">
        <v>0</v>
      </c>
      <c r="U343">
        <v>0</v>
      </c>
      <c r="V343">
        <v>0</v>
      </c>
      <c r="W343" s="30">
        <f t="shared" si="136"/>
        <v>33.903399999999998</v>
      </c>
      <c r="Y343">
        <v>3</v>
      </c>
      <c r="Z343" t="s">
        <v>16</v>
      </c>
      <c r="AA343">
        <v>27392</v>
      </c>
      <c r="AB343">
        <v>256</v>
      </c>
      <c r="AC343">
        <v>2</v>
      </c>
      <c r="AD343">
        <v>8</v>
      </c>
      <c r="AE343">
        <v>367.33</v>
      </c>
      <c r="AF343" s="17">
        <v>37.304000000000002</v>
      </c>
      <c r="AG343" s="33">
        <v>45307</v>
      </c>
      <c r="AH343" s="34">
        <v>0.56787037037037036</v>
      </c>
      <c r="AI343">
        <v>0</v>
      </c>
      <c r="AJ343">
        <v>0</v>
      </c>
      <c r="AK343">
        <v>0</v>
      </c>
      <c r="AL343">
        <v>0</v>
      </c>
      <c r="AM343">
        <v>0</v>
      </c>
      <c r="AN343">
        <v>0</v>
      </c>
      <c r="AO343">
        <v>0</v>
      </c>
      <c r="AP343">
        <v>0</v>
      </c>
      <c r="AQ343">
        <v>0</v>
      </c>
      <c r="AR343">
        <v>0</v>
      </c>
      <c r="AS343">
        <v>0</v>
      </c>
      <c r="AT343">
        <v>0</v>
      </c>
      <c r="AU343" s="30">
        <f t="shared" si="137"/>
        <v>37.276400000000002</v>
      </c>
    </row>
    <row r="344" spans="1:47" x14ac:dyDescent="0.25">
      <c r="A344">
        <v>4</v>
      </c>
      <c r="B344" t="s">
        <v>16</v>
      </c>
      <c r="C344">
        <v>27392</v>
      </c>
      <c r="D344">
        <v>256</v>
      </c>
      <c r="E344">
        <v>2</v>
      </c>
      <c r="F344">
        <v>8</v>
      </c>
      <c r="G344">
        <v>404.02</v>
      </c>
      <c r="H344" s="17">
        <v>33.915999999999997</v>
      </c>
      <c r="I344" s="33">
        <v>45307</v>
      </c>
      <c r="J344" s="37">
        <v>0.84469907407407396</v>
      </c>
      <c r="K344">
        <v>0</v>
      </c>
      <c r="L344">
        <v>0</v>
      </c>
      <c r="M344">
        <v>0</v>
      </c>
      <c r="N344">
        <v>0</v>
      </c>
      <c r="O344">
        <v>0</v>
      </c>
      <c r="P344">
        <v>0</v>
      </c>
      <c r="Q344">
        <v>0</v>
      </c>
      <c r="R344">
        <v>0</v>
      </c>
      <c r="S344">
        <v>0</v>
      </c>
      <c r="T344">
        <v>0</v>
      </c>
      <c r="U344">
        <v>0</v>
      </c>
      <c r="V344">
        <v>0</v>
      </c>
      <c r="W344" s="30">
        <f t="shared" si="136"/>
        <v>33.903399999999998</v>
      </c>
      <c r="Y344">
        <v>4</v>
      </c>
      <c r="Z344" t="s">
        <v>16</v>
      </c>
      <c r="AA344">
        <v>27392</v>
      </c>
      <c r="AB344">
        <v>256</v>
      </c>
      <c r="AC344">
        <v>2</v>
      </c>
      <c r="AD344">
        <v>8</v>
      </c>
      <c r="AE344">
        <v>367.75</v>
      </c>
      <c r="AF344" s="17">
        <v>37.262</v>
      </c>
      <c r="AG344" s="33">
        <v>45307</v>
      </c>
      <c r="AH344" s="34">
        <v>0.48218749999999999</v>
      </c>
      <c r="AI344">
        <v>0</v>
      </c>
      <c r="AJ344">
        <v>0</v>
      </c>
      <c r="AK344">
        <v>0</v>
      </c>
      <c r="AL344">
        <v>0</v>
      </c>
      <c r="AM344">
        <v>0</v>
      </c>
      <c r="AN344">
        <v>0</v>
      </c>
      <c r="AO344">
        <v>0</v>
      </c>
      <c r="AP344">
        <v>0</v>
      </c>
      <c r="AQ344">
        <v>0</v>
      </c>
      <c r="AR344">
        <v>0</v>
      </c>
      <c r="AS344">
        <v>0</v>
      </c>
      <c r="AT344">
        <v>0</v>
      </c>
      <c r="AU344" s="30">
        <f t="shared" si="137"/>
        <v>37.276400000000002</v>
      </c>
    </row>
    <row r="345" spans="1:47" x14ac:dyDescent="0.25">
      <c r="A345">
        <v>0</v>
      </c>
      <c r="B345" t="s">
        <v>16</v>
      </c>
      <c r="C345">
        <v>28928</v>
      </c>
      <c r="D345">
        <v>256</v>
      </c>
      <c r="E345">
        <v>2</v>
      </c>
      <c r="F345">
        <v>8</v>
      </c>
      <c r="G345">
        <v>433.11</v>
      </c>
      <c r="H345" s="17">
        <v>37.265000000000001</v>
      </c>
      <c r="I345" s="33">
        <v>45307</v>
      </c>
      <c r="J345" s="37">
        <v>0.64501157407407406</v>
      </c>
      <c r="K345">
        <v>0</v>
      </c>
      <c r="L345">
        <v>0</v>
      </c>
      <c r="M345">
        <v>0</v>
      </c>
      <c r="N345">
        <v>0</v>
      </c>
      <c r="O345">
        <v>0</v>
      </c>
      <c r="P345">
        <v>0</v>
      </c>
      <c r="Q345">
        <v>0</v>
      </c>
      <c r="R345">
        <v>0</v>
      </c>
      <c r="S345">
        <v>0</v>
      </c>
      <c r="T345">
        <v>0</v>
      </c>
      <c r="U345">
        <v>0</v>
      </c>
      <c r="V345">
        <v>0</v>
      </c>
      <c r="W345" s="30">
        <f t="shared" ref="W345" si="138">AVERAGE(H345:H349)</f>
        <v>37.202200000000005</v>
      </c>
      <c r="Y345">
        <v>0</v>
      </c>
      <c r="Z345" t="s">
        <v>16</v>
      </c>
      <c r="AA345">
        <v>28928</v>
      </c>
      <c r="AB345">
        <v>256</v>
      </c>
      <c r="AC345">
        <v>2</v>
      </c>
      <c r="AD345">
        <v>8</v>
      </c>
      <c r="AE345">
        <v>409.68</v>
      </c>
      <c r="AF345" s="17">
        <v>39.396000000000001</v>
      </c>
      <c r="AG345" s="33">
        <v>45307</v>
      </c>
      <c r="AH345" s="34">
        <v>0.70166666666666666</v>
      </c>
      <c r="AI345">
        <v>0</v>
      </c>
      <c r="AJ345">
        <v>0</v>
      </c>
      <c r="AK345">
        <v>0</v>
      </c>
      <c r="AL345">
        <v>0</v>
      </c>
      <c r="AM345">
        <v>0</v>
      </c>
      <c r="AN345">
        <v>0</v>
      </c>
      <c r="AO345">
        <v>0</v>
      </c>
      <c r="AP345">
        <v>0</v>
      </c>
      <c r="AQ345">
        <v>0</v>
      </c>
      <c r="AR345">
        <v>0</v>
      </c>
      <c r="AS345">
        <v>0</v>
      </c>
      <c r="AT345">
        <v>0</v>
      </c>
      <c r="AU345" s="30">
        <f t="shared" si="135"/>
        <v>39.356199999999994</v>
      </c>
    </row>
    <row r="346" spans="1:47" x14ac:dyDescent="0.25">
      <c r="A346">
        <v>1</v>
      </c>
      <c r="B346" t="s">
        <v>16</v>
      </c>
      <c r="C346">
        <v>28928</v>
      </c>
      <c r="D346">
        <v>256</v>
      </c>
      <c r="E346">
        <v>2</v>
      </c>
      <c r="F346">
        <v>8</v>
      </c>
      <c r="G346">
        <v>433.78</v>
      </c>
      <c r="H346" s="17">
        <v>37.207000000000001</v>
      </c>
      <c r="I346" s="33">
        <v>45307</v>
      </c>
      <c r="J346" s="37">
        <v>0.98563657407407401</v>
      </c>
      <c r="K346">
        <v>0</v>
      </c>
      <c r="L346">
        <v>0</v>
      </c>
      <c r="M346">
        <v>0</v>
      </c>
      <c r="N346">
        <v>0</v>
      </c>
      <c r="O346">
        <v>0</v>
      </c>
      <c r="P346">
        <v>0</v>
      </c>
      <c r="Q346">
        <v>0</v>
      </c>
      <c r="R346">
        <v>0</v>
      </c>
      <c r="S346">
        <v>0</v>
      </c>
      <c r="T346">
        <v>0</v>
      </c>
      <c r="U346">
        <v>0</v>
      </c>
      <c r="V346">
        <v>0</v>
      </c>
      <c r="W346" s="30">
        <f t="shared" ref="W346:W349" si="139">W345</f>
        <v>37.202200000000005</v>
      </c>
      <c r="Y346">
        <v>1</v>
      </c>
      <c r="Z346" t="s">
        <v>16</v>
      </c>
      <c r="AA346">
        <v>28928</v>
      </c>
      <c r="AB346">
        <v>256</v>
      </c>
      <c r="AC346">
        <v>2</v>
      </c>
      <c r="AD346">
        <v>8</v>
      </c>
      <c r="AE346">
        <v>410.14</v>
      </c>
      <c r="AF346" s="17">
        <v>39.351999999999997</v>
      </c>
      <c r="AG346" s="33">
        <v>45307</v>
      </c>
      <c r="AH346" s="34">
        <v>0.54182870370370373</v>
      </c>
      <c r="AI346">
        <v>0</v>
      </c>
      <c r="AJ346">
        <v>0</v>
      </c>
      <c r="AK346">
        <v>0</v>
      </c>
      <c r="AL346">
        <v>0</v>
      </c>
      <c r="AM346">
        <v>0</v>
      </c>
      <c r="AN346">
        <v>0</v>
      </c>
      <c r="AO346">
        <v>0</v>
      </c>
      <c r="AP346">
        <v>0</v>
      </c>
      <c r="AQ346">
        <v>0</v>
      </c>
      <c r="AR346">
        <v>0</v>
      </c>
      <c r="AS346">
        <v>0</v>
      </c>
      <c r="AT346">
        <v>0</v>
      </c>
      <c r="AU346" s="30">
        <f t="shared" si="137"/>
        <v>39.356199999999994</v>
      </c>
    </row>
    <row r="347" spans="1:47" x14ac:dyDescent="0.25">
      <c r="A347">
        <v>2</v>
      </c>
      <c r="B347" t="s">
        <v>16</v>
      </c>
      <c r="C347">
        <v>28928</v>
      </c>
      <c r="D347">
        <v>256</v>
      </c>
      <c r="E347">
        <v>2</v>
      </c>
      <c r="F347">
        <v>8</v>
      </c>
      <c r="G347">
        <v>434.59</v>
      </c>
      <c r="H347" s="17">
        <v>37.137999999999998</v>
      </c>
      <c r="I347" s="33">
        <v>45308</v>
      </c>
      <c r="J347" s="37">
        <v>0.36150462962962965</v>
      </c>
      <c r="K347">
        <v>0</v>
      </c>
      <c r="L347">
        <v>0</v>
      </c>
      <c r="M347">
        <v>0</v>
      </c>
      <c r="N347">
        <v>0</v>
      </c>
      <c r="O347">
        <v>0</v>
      </c>
      <c r="P347">
        <v>0</v>
      </c>
      <c r="Q347">
        <v>0</v>
      </c>
      <c r="R347">
        <v>0</v>
      </c>
      <c r="S347">
        <v>0</v>
      </c>
      <c r="T347">
        <v>0</v>
      </c>
      <c r="U347">
        <v>0</v>
      </c>
      <c r="V347">
        <v>0</v>
      </c>
      <c r="W347" s="30">
        <f t="shared" si="139"/>
        <v>37.202200000000005</v>
      </c>
      <c r="Y347">
        <v>2</v>
      </c>
      <c r="Z347" t="s">
        <v>16</v>
      </c>
      <c r="AA347">
        <v>28928</v>
      </c>
      <c r="AB347">
        <v>256</v>
      </c>
      <c r="AC347">
        <v>2</v>
      </c>
      <c r="AD347">
        <v>8</v>
      </c>
      <c r="AE347">
        <v>409.87</v>
      </c>
      <c r="AF347" s="17">
        <v>39.378</v>
      </c>
      <c r="AG347" s="33">
        <v>45307</v>
      </c>
      <c r="AH347" s="34">
        <v>0.80451388888888886</v>
      </c>
      <c r="AI347">
        <v>0</v>
      </c>
      <c r="AJ347">
        <v>0</v>
      </c>
      <c r="AK347">
        <v>0</v>
      </c>
      <c r="AL347">
        <v>0</v>
      </c>
      <c r="AM347">
        <v>0</v>
      </c>
      <c r="AN347">
        <v>0</v>
      </c>
      <c r="AO347">
        <v>0</v>
      </c>
      <c r="AP347">
        <v>0</v>
      </c>
      <c r="AQ347">
        <v>0</v>
      </c>
      <c r="AR347">
        <v>0</v>
      </c>
      <c r="AS347">
        <v>0</v>
      </c>
      <c r="AT347">
        <v>0</v>
      </c>
      <c r="AU347" s="30">
        <f t="shared" si="137"/>
        <v>39.356199999999994</v>
      </c>
    </row>
    <row r="348" spans="1:47" x14ac:dyDescent="0.25">
      <c r="A348">
        <v>3</v>
      </c>
      <c r="B348" t="s">
        <v>16</v>
      </c>
      <c r="C348">
        <v>28928</v>
      </c>
      <c r="D348">
        <v>256</v>
      </c>
      <c r="E348">
        <v>2</v>
      </c>
      <c r="F348">
        <v>8</v>
      </c>
      <c r="G348">
        <v>433.44</v>
      </c>
      <c r="H348" s="17">
        <v>37.237000000000002</v>
      </c>
      <c r="I348" s="33">
        <v>45307</v>
      </c>
      <c r="J348" s="37">
        <v>0.75875000000000004</v>
      </c>
      <c r="K348">
        <v>0</v>
      </c>
      <c r="L348">
        <v>0</v>
      </c>
      <c r="M348">
        <v>0</v>
      </c>
      <c r="N348">
        <v>0</v>
      </c>
      <c r="O348">
        <v>0</v>
      </c>
      <c r="P348">
        <v>0</v>
      </c>
      <c r="Q348">
        <v>0</v>
      </c>
      <c r="R348">
        <v>0</v>
      </c>
      <c r="S348">
        <v>0</v>
      </c>
      <c r="T348">
        <v>0</v>
      </c>
      <c r="U348">
        <v>0</v>
      </c>
      <c r="V348">
        <v>0</v>
      </c>
      <c r="W348" s="30">
        <f t="shared" si="139"/>
        <v>37.202200000000005</v>
      </c>
      <c r="Y348">
        <v>3</v>
      </c>
      <c r="Z348" t="s">
        <v>16</v>
      </c>
      <c r="AA348">
        <v>28928</v>
      </c>
      <c r="AB348">
        <v>256</v>
      </c>
      <c r="AC348">
        <v>2</v>
      </c>
      <c r="AD348">
        <v>8</v>
      </c>
      <c r="AE348">
        <v>410.82</v>
      </c>
      <c r="AF348" s="17">
        <v>39.286000000000001</v>
      </c>
      <c r="AG348" s="33">
        <v>45307</v>
      </c>
      <c r="AH348" s="34">
        <v>0.74310185185185185</v>
      </c>
      <c r="AI348">
        <v>0</v>
      </c>
      <c r="AJ348">
        <v>0</v>
      </c>
      <c r="AK348">
        <v>0</v>
      </c>
      <c r="AL348">
        <v>0</v>
      </c>
      <c r="AM348">
        <v>0</v>
      </c>
      <c r="AN348">
        <v>0</v>
      </c>
      <c r="AO348">
        <v>0</v>
      </c>
      <c r="AP348">
        <v>0</v>
      </c>
      <c r="AQ348">
        <v>0</v>
      </c>
      <c r="AR348">
        <v>0</v>
      </c>
      <c r="AS348">
        <v>0</v>
      </c>
      <c r="AT348">
        <v>0</v>
      </c>
      <c r="AU348" s="30">
        <f t="shared" si="137"/>
        <v>39.356199999999994</v>
      </c>
    </row>
    <row r="349" spans="1:47" x14ac:dyDescent="0.25">
      <c r="A349">
        <v>4</v>
      </c>
      <c r="B349" t="s">
        <v>16</v>
      </c>
      <c r="C349">
        <v>28928</v>
      </c>
      <c r="D349">
        <v>256</v>
      </c>
      <c r="E349">
        <v>2</v>
      </c>
      <c r="F349">
        <v>8</v>
      </c>
      <c r="G349">
        <v>434.29</v>
      </c>
      <c r="H349" s="17">
        <v>37.164000000000001</v>
      </c>
      <c r="I349" s="33">
        <v>45308</v>
      </c>
      <c r="J349" s="37">
        <v>6.7650462962962968E-2</v>
      </c>
      <c r="K349">
        <v>0</v>
      </c>
      <c r="L349">
        <v>0</v>
      </c>
      <c r="M349">
        <v>0</v>
      </c>
      <c r="N349">
        <v>0</v>
      </c>
      <c r="O349">
        <v>0</v>
      </c>
      <c r="P349">
        <v>0</v>
      </c>
      <c r="Q349">
        <v>0</v>
      </c>
      <c r="R349">
        <v>0</v>
      </c>
      <c r="S349">
        <v>0</v>
      </c>
      <c r="T349">
        <v>0</v>
      </c>
      <c r="U349">
        <v>0</v>
      </c>
      <c r="V349">
        <v>0</v>
      </c>
      <c r="W349" s="30">
        <f t="shared" si="139"/>
        <v>37.202200000000005</v>
      </c>
      <c r="Y349">
        <v>4</v>
      </c>
      <c r="Z349" t="s">
        <v>16</v>
      </c>
      <c r="AA349">
        <v>28928</v>
      </c>
      <c r="AB349">
        <v>256</v>
      </c>
      <c r="AC349">
        <v>2</v>
      </c>
      <c r="AD349">
        <v>8</v>
      </c>
      <c r="AE349">
        <v>409.96</v>
      </c>
      <c r="AF349" s="17">
        <v>39.369</v>
      </c>
      <c r="AG349" s="33">
        <v>45307</v>
      </c>
      <c r="AH349" s="34">
        <v>0.53665509259259259</v>
      </c>
      <c r="AI349">
        <v>0</v>
      </c>
      <c r="AJ349">
        <v>0</v>
      </c>
      <c r="AK349">
        <v>0</v>
      </c>
      <c r="AL349">
        <v>0</v>
      </c>
      <c r="AM349">
        <v>0</v>
      </c>
      <c r="AN349">
        <v>0</v>
      </c>
      <c r="AO349">
        <v>0</v>
      </c>
      <c r="AP349">
        <v>0</v>
      </c>
      <c r="AQ349">
        <v>0</v>
      </c>
      <c r="AR349">
        <v>0</v>
      </c>
      <c r="AS349">
        <v>0</v>
      </c>
      <c r="AT349">
        <v>0</v>
      </c>
      <c r="AU349" s="30">
        <f t="shared" si="137"/>
        <v>39.356199999999994</v>
      </c>
    </row>
    <row r="350" spans="1:47" x14ac:dyDescent="0.25">
      <c r="A350">
        <v>0</v>
      </c>
      <c r="B350" t="s">
        <v>16</v>
      </c>
      <c r="C350">
        <v>25856</v>
      </c>
      <c r="D350">
        <v>256</v>
      </c>
      <c r="E350">
        <v>4</v>
      </c>
      <c r="F350">
        <v>4</v>
      </c>
      <c r="G350">
        <v>338.96</v>
      </c>
      <c r="H350" s="17">
        <v>34</v>
      </c>
      <c r="I350" s="33">
        <v>45307</v>
      </c>
      <c r="J350" s="37">
        <v>0.52629629629629626</v>
      </c>
      <c r="K350">
        <v>0</v>
      </c>
      <c r="L350">
        <v>0</v>
      </c>
      <c r="M350">
        <v>0</v>
      </c>
      <c r="N350">
        <v>0</v>
      </c>
      <c r="O350">
        <v>0</v>
      </c>
      <c r="P350">
        <v>0</v>
      </c>
      <c r="Q350">
        <v>0</v>
      </c>
      <c r="R350">
        <v>0</v>
      </c>
      <c r="S350">
        <v>0</v>
      </c>
      <c r="T350">
        <v>0</v>
      </c>
      <c r="U350">
        <v>0</v>
      </c>
      <c r="V350">
        <v>0</v>
      </c>
      <c r="W350" s="30">
        <f t="shared" ref="W350" si="140">AVERAGE(H350:H354)</f>
        <v>34.010000000000005</v>
      </c>
      <c r="Y350">
        <v>0</v>
      </c>
      <c r="Z350" t="s">
        <v>16</v>
      </c>
      <c r="AA350">
        <v>25856</v>
      </c>
      <c r="AB350">
        <v>256</v>
      </c>
      <c r="AC350">
        <v>4</v>
      </c>
      <c r="AD350">
        <v>4</v>
      </c>
      <c r="AE350">
        <v>321.25</v>
      </c>
      <c r="AF350" s="17">
        <v>35.874000000000002</v>
      </c>
      <c r="AG350" s="33">
        <v>45307</v>
      </c>
      <c r="AH350" s="34">
        <v>0.60629629629629633</v>
      </c>
      <c r="AI350">
        <v>0</v>
      </c>
      <c r="AJ350">
        <v>0</v>
      </c>
      <c r="AK350">
        <v>0</v>
      </c>
      <c r="AL350">
        <v>0</v>
      </c>
      <c r="AM350">
        <v>0</v>
      </c>
      <c r="AN350">
        <v>0</v>
      </c>
      <c r="AO350">
        <v>0</v>
      </c>
      <c r="AP350">
        <v>0</v>
      </c>
      <c r="AQ350">
        <v>0</v>
      </c>
      <c r="AR350">
        <v>0</v>
      </c>
      <c r="AS350">
        <v>0</v>
      </c>
      <c r="AT350">
        <v>0</v>
      </c>
      <c r="AU350" s="30">
        <f t="shared" si="135"/>
        <v>35.861600000000003</v>
      </c>
    </row>
    <row r="351" spans="1:47" x14ac:dyDescent="0.25">
      <c r="A351">
        <v>1</v>
      </c>
      <c r="B351" t="s">
        <v>16</v>
      </c>
      <c r="C351">
        <v>25856</v>
      </c>
      <c r="D351">
        <v>256</v>
      </c>
      <c r="E351">
        <v>4</v>
      </c>
      <c r="F351">
        <v>4</v>
      </c>
      <c r="G351">
        <v>338.76</v>
      </c>
      <c r="H351" s="17">
        <v>34.021000000000001</v>
      </c>
      <c r="I351" s="33">
        <v>45307</v>
      </c>
      <c r="J351" s="37">
        <v>0.86903935185185188</v>
      </c>
      <c r="K351">
        <v>0</v>
      </c>
      <c r="L351">
        <v>0</v>
      </c>
      <c r="M351">
        <v>0</v>
      </c>
      <c r="N351">
        <v>0</v>
      </c>
      <c r="O351">
        <v>0</v>
      </c>
      <c r="P351">
        <v>0</v>
      </c>
      <c r="Q351">
        <v>0</v>
      </c>
      <c r="R351">
        <v>0</v>
      </c>
      <c r="S351">
        <v>0</v>
      </c>
      <c r="T351">
        <v>0</v>
      </c>
      <c r="U351">
        <v>0</v>
      </c>
      <c r="V351">
        <v>0</v>
      </c>
      <c r="W351" s="30">
        <f t="shared" ref="W351:W354" si="141">W350</f>
        <v>34.010000000000005</v>
      </c>
      <c r="Y351">
        <v>1</v>
      </c>
      <c r="Z351" t="s">
        <v>16</v>
      </c>
      <c r="AA351">
        <v>25856</v>
      </c>
      <c r="AB351">
        <v>256</v>
      </c>
      <c r="AC351">
        <v>4</v>
      </c>
      <c r="AD351">
        <v>4</v>
      </c>
      <c r="AE351">
        <v>321.66000000000003</v>
      </c>
      <c r="AF351" s="17">
        <v>35.829000000000001</v>
      </c>
      <c r="AG351" s="33">
        <v>45307</v>
      </c>
      <c r="AH351" s="34">
        <v>0.55590277777777775</v>
      </c>
      <c r="AI351">
        <v>0</v>
      </c>
      <c r="AJ351">
        <v>0</v>
      </c>
      <c r="AK351">
        <v>0</v>
      </c>
      <c r="AL351">
        <v>0</v>
      </c>
      <c r="AM351">
        <v>0</v>
      </c>
      <c r="AN351">
        <v>0</v>
      </c>
      <c r="AO351">
        <v>0</v>
      </c>
      <c r="AP351">
        <v>0</v>
      </c>
      <c r="AQ351">
        <v>0</v>
      </c>
      <c r="AR351">
        <v>0</v>
      </c>
      <c r="AS351">
        <v>0</v>
      </c>
      <c r="AT351">
        <v>0</v>
      </c>
      <c r="AU351" s="30">
        <f t="shared" si="137"/>
        <v>35.861600000000003</v>
      </c>
    </row>
    <row r="352" spans="1:47" x14ac:dyDescent="0.25">
      <c r="A352">
        <v>2</v>
      </c>
      <c r="B352" t="s">
        <v>16</v>
      </c>
      <c r="C352">
        <v>25856</v>
      </c>
      <c r="D352">
        <v>256</v>
      </c>
      <c r="E352">
        <v>4</v>
      </c>
      <c r="F352">
        <v>4</v>
      </c>
      <c r="G352">
        <v>338.81</v>
      </c>
      <c r="H352" s="17">
        <v>34.015000000000001</v>
      </c>
      <c r="I352" s="33">
        <v>45308</v>
      </c>
      <c r="J352" s="37">
        <v>0.20966435185185184</v>
      </c>
      <c r="K352">
        <v>0</v>
      </c>
      <c r="L352">
        <v>0</v>
      </c>
      <c r="M352">
        <v>0</v>
      </c>
      <c r="N352">
        <v>0</v>
      </c>
      <c r="O352">
        <v>0</v>
      </c>
      <c r="P352">
        <v>0</v>
      </c>
      <c r="Q352">
        <v>0</v>
      </c>
      <c r="R352">
        <v>0</v>
      </c>
      <c r="S352">
        <v>0</v>
      </c>
      <c r="T352">
        <v>0</v>
      </c>
      <c r="U352">
        <v>0</v>
      </c>
      <c r="V352">
        <v>0</v>
      </c>
      <c r="W352" s="30">
        <f t="shared" si="141"/>
        <v>34.010000000000005</v>
      </c>
      <c r="Y352">
        <v>2</v>
      </c>
      <c r="Z352" t="s">
        <v>16</v>
      </c>
      <c r="AA352">
        <v>25856</v>
      </c>
      <c r="AB352">
        <v>256</v>
      </c>
      <c r="AC352">
        <v>4</v>
      </c>
      <c r="AD352">
        <v>4</v>
      </c>
      <c r="AE352">
        <v>321.55</v>
      </c>
      <c r="AF352" s="17">
        <v>35.841000000000001</v>
      </c>
      <c r="AG352" s="33">
        <v>45307</v>
      </c>
      <c r="AH352" s="34">
        <v>0.7096527777777778</v>
      </c>
      <c r="AI352">
        <v>0</v>
      </c>
      <c r="AJ352">
        <v>0</v>
      </c>
      <c r="AK352">
        <v>0</v>
      </c>
      <c r="AL352">
        <v>0</v>
      </c>
      <c r="AM352">
        <v>0</v>
      </c>
      <c r="AN352">
        <v>0</v>
      </c>
      <c r="AO352">
        <v>0</v>
      </c>
      <c r="AP352">
        <v>0</v>
      </c>
      <c r="AQ352">
        <v>0</v>
      </c>
      <c r="AR352">
        <v>0</v>
      </c>
      <c r="AS352">
        <v>0</v>
      </c>
      <c r="AT352">
        <v>0</v>
      </c>
      <c r="AU352" s="30">
        <f t="shared" si="137"/>
        <v>35.861600000000003</v>
      </c>
    </row>
    <row r="353" spans="1:47" x14ac:dyDescent="0.25">
      <c r="A353">
        <v>3</v>
      </c>
      <c r="B353" t="s">
        <v>16</v>
      </c>
      <c r="C353">
        <v>25856</v>
      </c>
      <c r="D353">
        <v>256</v>
      </c>
      <c r="E353">
        <v>4</v>
      </c>
      <c r="F353">
        <v>4</v>
      </c>
      <c r="G353">
        <v>338.88</v>
      </c>
      <c r="H353" s="17">
        <v>34.009</v>
      </c>
      <c r="I353" s="33">
        <v>45307</v>
      </c>
      <c r="J353" s="37">
        <v>0.60707175925925927</v>
      </c>
      <c r="K353">
        <v>0</v>
      </c>
      <c r="L353">
        <v>0</v>
      </c>
      <c r="M353">
        <v>0</v>
      </c>
      <c r="N353">
        <v>0</v>
      </c>
      <c r="O353">
        <v>0</v>
      </c>
      <c r="P353">
        <v>0</v>
      </c>
      <c r="Q353">
        <v>0</v>
      </c>
      <c r="R353">
        <v>0</v>
      </c>
      <c r="S353">
        <v>0</v>
      </c>
      <c r="T353">
        <v>0</v>
      </c>
      <c r="U353">
        <v>0</v>
      </c>
      <c r="V353">
        <v>0</v>
      </c>
      <c r="W353" s="30">
        <f t="shared" si="141"/>
        <v>34.010000000000005</v>
      </c>
      <c r="Y353">
        <v>3</v>
      </c>
      <c r="Z353" t="s">
        <v>16</v>
      </c>
      <c r="AA353">
        <v>25856</v>
      </c>
      <c r="AB353">
        <v>256</v>
      </c>
      <c r="AC353">
        <v>4</v>
      </c>
      <c r="AD353">
        <v>4</v>
      </c>
      <c r="AE353">
        <v>321.22000000000003</v>
      </c>
      <c r="AF353" s="17">
        <v>35.878</v>
      </c>
      <c r="AG353" s="33">
        <v>45307</v>
      </c>
      <c r="AH353" s="34">
        <v>0.64773148148148152</v>
      </c>
      <c r="AI353">
        <v>0</v>
      </c>
      <c r="AJ353">
        <v>0</v>
      </c>
      <c r="AK353">
        <v>0</v>
      </c>
      <c r="AL353">
        <v>0</v>
      </c>
      <c r="AM353">
        <v>0</v>
      </c>
      <c r="AN353">
        <v>0</v>
      </c>
      <c r="AO353">
        <v>0</v>
      </c>
      <c r="AP353">
        <v>0</v>
      </c>
      <c r="AQ353">
        <v>0</v>
      </c>
      <c r="AR353">
        <v>0</v>
      </c>
      <c r="AS353">
        <v>0</v>
      </c>
      <c r="AT353">
        <v>0</v>
      </c>
      <c r="AU353" s="30">
        <f t="shared" si="137"/>
        <v>35.861600000000003</v>
      </c>
    </row>
    <row r="354" spans="1:47" x14ac:dyDescent="0.25">
      <c r="A354">
        <v>4</v>
      </c>
      <c r="B354" t="s">
        <v>16</v>
      </c>
      <c r="C354">
        <v>25856</v>
      </c>
      <c r="D354">
        <v>256</v>
      </c>
      <c r="E354">
        <v>4</v>
      </c>
      <c r="F354">
        <v>4</v>
      </c>
      <c r="G354">
        <v>338.92</v>
      </c>
      <c r="H354" s="17">
        <v>34.005000000000003</v>
      </c>
      <c r="I354" s="33">
        <v>45307</v>
      </c>
      <c r="J354" s="37">
        <v>0.95002314814814814</v>
      </c>
      <c r="K354">
        <v>0</v>
      </c>
      <c r="L354">
        <v>0</v>
      </c>
      <c r="M354">
        <v>0</v>
      </c>
      <c r="N354">
        <v>0</v>
      </c>
      <c r="O354">
        <v>0</v>
      </c>
      <c r="P354">
        <v>0</v>
      </c>
      <c r="Q354">
        <v>0</v>
      </c>
      <c r="R354">
        <v>0</v>
      </c>
      <c r="S354">
        <v>0</v>
      </c>
      <c r="T354">
        <v>0</v>
      </c>
      <c r="U354">
        <v>0</v>
      </c>
      <c r="V354">
        <v>0</v>
      </c>
      <c r="W354" s="30">
        <f t="shared" si="141"/>
        <v>34.010000000000005</v>
      </c>
      <c r="Y354">
        <v>4</v>
      </c>
      <c r="Z354" t="s">
        <v>16</v>
      </c>
      <c r="AA354">
        <v>25856</v>
      </c>
      <c r="AB354">
        <v>256</v>
      </c>
      <c r="AC354">
        <v>4</v>
      </c>
      <c r="AD354">
        <v>4</v>
      </c>
      <c r="AE354">
        <v>321.14999999999998</v>
      </c>
      <c r="AF354" s="17">
        <v>35.886000000000003</v>
      </c>
      <c r="AG354" s="33">
        <v>45307</v>
      </c>
      <c r="AH354" s="34">
        <v>0.52263888888888888</v>
      </c>
      <c r="AI354">
        <v>0</v>
      </c>
      <c r="AJ354">
        <v>0</v>
      </c>
      <c r="AK354">
        <v>0</v>
      </c>
      <c r="AL354">
        <v>0</v>
      </c>
      <c r="AM354">
        <v>0</v>
      </c>
      <c r="AN354">
        <v>0</v>
      </c>
      <c r="AO354">
        <v>0</v>
      </c>
      <c r="AP354">
        <v>0</v>
      </c>
      <c r="AQ354">
        <v>0</v>
      </c>
      <c r="AR354">
        <v>0</v>
      </c>
      <c r="AS354">
        <v>0</v>
      </c>
      <c r="AT354">
        <v>0</v>
      </c>
      <c r="AU354" s="30">
        <f t="shared" si="137"/>
        <v>35.861600000000003</v>
      </c>
    </row>
    <row r="355" spans="1:47" x14ac:dyDescent="0.25">
      <c r="A355">
        <v>0</v>
      </c>
      <c r="B355" t="s">
        <v>16</v>
      </c>
      <c r="C355">
        <v>27392</v>
      </c>
      <c r="D355">
        <v>256</v>
      </c>
      <c r="E355">
        <v>4</v>
      </c>
      <c r="F355">
        <v>4</v>
      </c>
      <c r="G355">
        <v>397.79</v>
      </c>
      <c r="H355" s="17">
        <v>34.448</v>
      </c>
      <c r="I355" s="33">
        <v>45307</v>
      </c>
      <c r="J355" s="37">
        <v>0.57145833333333329</v>
      </c>
      <c r="K355">
        <v>0</v>
      </c>
      <c r="L355">
        <v>0</v>
      </c>
      <c r="M355">
        <v>0</v>
      </c>
      <c r="N355">
        <v>0</v>
      </c>
      <c r="O355">
        <v>0</v>
      </c>
      <c r="P355">
        <v>0</v>
      </c>
      <c r="Q355">
        <v>0</v>
      </c>
      <c r="R355">
        <v>0</v>
      </c>
      <c r="S355">
        <v>0</v>
      </c>
      <c r="T355">
        <v>0</v>
      </c>
      <c r="U355">
        <v>0</v>
      </c>
      <c r="V355">
        <v>0</v>
      </c>
      <c r="W355" s="30">
        <f t="shared" ref="W355" si="142">AVERAGE(H355:H359)</f>
        <v>34.471600000000002</v>
      </c>
      <c r="Y355">
        <v>0</v>
      </c>
      <c r="Z355" t="s">
        <v>16</v>
      </c>
      <c r="AA355">
        <v>27392</v>
      </c>
      <c r="AB355">
        <v>256</v>
      </c>
      <c r="AC355">
        <v>4</v>
      </c>
      <c r="AD355">
        <v>4</v>
      </c>
      <c r="AE355">
        <v>376.5</v>
      </c>
      <c r="AF355" s="17">
        <v>36.396000000000001</v>
      </c>
      <c r="AG355" s="33">
        <v>45307</v>
      </c>
      <c r="AH355" s="34">
        <v>0.53144675925925922</v>
      </c>
      <c r="AI355">
        <v>0</v>
      </c>
      <c r="AJ355">
        <v>0</v>
      </c>
      <c r="AK355">
        <v>0</v>
      </c>
      <c r="AL355">
        <v>0</v>
      </c>
      <c r="AM355">
        <v>0</v>
      </c>
      <c r="AN355">
        <v>0</v>
      </c>
      <c r="AO355">
        <v>0</v>
      </c>
      <c r="AP355">
        <v>0</v>
      </c>
      <c r="AQ355">
        <v>0</v>
      </c>
      <c r="AR355">
        <v>0</v>
      </c>
      <c r="AS355">
        <v>0</v>
      </c>
      <c r="AT355">
        <v>0</v>
      </c>
      <c r="AU355" s="30">
        <f t="shared" si="135"/>
        <v>33.703999999999994</v>
      </c>
    </row>
    <row r="356" spans="1:47" x14ac:dyDescent="0.25">
      <c r="A356">
        <v>1</v>
      </c>
      <c r="B356" t="s">
        <v>16</v>
      </c>
      <c r="C356">
        <v>27392</v>
      </c>
      <c r="D356">
        <v>256</v>
      </c>
      <c r="E356">
        <v>4</v>
      </c>
      <c r="F356">
        <v>4</v>
      </c>
      <c r="G356">
        <v>397.38</v>
      </c>
      <c r="H356" s="17">
        <v>34.484000000000002</v>
      </c>
      <c r="I356" s="33">
        <v>45307</v>
      </c>
      <c r="J356" s="37">
        <v>0.76850694444444445</v>
      </c>
      <c r="K356">
        <v>0</v>
      </c>
      <c r="L356">
        <v>0</v>
      </c>
      <c r="M356">
        <v>0</v>
      </c>
      <c r="N356">
        <v>0</v>
      </c>
      <c r="O356">
        <v>0</v>
      </c>
      <c r="P356">
        <v>0</v>
      </c>
      <c r="Q356">
        <v>0</v>
      </c>
      <c r="R356">
        <v>0</v>
      </c>
      <c r="S356">
        <v>0</v>
      </c>
      <c r="T356">
        <v>0</v>
      </c>
      <c r="U356">
        <v>0</v>
      </c>
      <c r="V356">
        <v>0</v>
      </c>
      <c r="W356" s="30">
        <f t="shared" ref="W356:W359" si="143">W355</f>
        <v>34.471600000000002</v>
      </c>
      <c r="Y356">
        <v>1</v>
      </c>
      <c r="Z356" t="s">
        <v>16</v>
      </c>
      <c r="AA356">
        <v>27392</v>
      </c>
      <c r="AB356">
        <v>256</v>
      </c>
      <c r="AC356">
        <v>4</v>
      </c>
      <c r="AD356">
        <v>4</v>
      </c>
      <c r="AE356">
        <v>595.25</v>
      </c>
      <c r="AF356" s="17">
        <v>23.021000000000001</v>
      </c>
      <c r="AG356" s="33">
        <v>45307</v>
      </c>
      <c r="AH356" s="34">
        <v>0.4810532407407408</v>
      </c>
      <c r="AI356">
        <v>0</v>
      </c>
      <c r="AJ356">
        <v>0</v>
      </c>
      <c r="AK356">
        <v>0</v>
      </c>
      <c r="AL356">
        <v>0</v>
      </c>
      <c r="AM356">
        <v>0</v>
      </c>
      <c r="AN356">
        <v>0</v>
      </c>
      <c r="AO356">
        <v>0</v>
      </c>
      <c r="AP356">
        <v>0</v>
      </c>
      <c r="AQ356">
        <v>0</v>
      </c>
      <c r="AR356">
        <v>0</v>
      </c>
      <c r="AS356">
        <v>0</v>
      </c>
      <c r="AT356">
        <v>0</v>
      </c>
      <c r="AU356" s="30">
        <f t="shared" si="137"/>
        <v>33.703999999999994</v>
      </c>
    </row>
    <row r="357" spans="1:47" x14ac:dyDescent="0.25">
      <c r="A357">
        <v>2</v>
      </c>
      <c r="B357" t="s">
        <v>16</v>
      </c>
      <c r="C357">
        <v>27392</v>
      </c>
      <c r="D357">
        <v>256</v>
      </c>
      <c r="E357">
        <v>4</v>
      </c>
      <c r="F357">
        <v>4</v>
      </c>
      <c r="G357">
        <v>397.34</v>
      </c>
      <c r="H357" s="17">
        <v>34.487000000000002</v>
      </c>
      <c r="I357" s="33">
        <v>45308</v>
      </c>
      <c r="J357" s="37">
        <v>0.10914351851851851</v>
      </c>
      <c r="K357">
        <v>0</v>
      </c>
      <c r="L357">
        <v>0</v>
      </c>
      <c r="M357">
        <v>0</v>
      </c>
      <c r="N357">
        <v>0</v>
      </c>
      <c r="O357">
        <v>0</v>
      </c>
      <c r="P357">
        <v>0</v>
      </c>
      <c r="Q357">
        <v>0</v>
      </c>
      <c r="R357">
        <v>0</v>
      </c>
      <c r="S357">
        <v>0</v>
      </c>
      <c r="T357">
        <v>0</v>
      </c>
      <c r="U357">
        <v>0</v>
      </c>
      <c r="V357">
        <v>0</v>
      </c>
      <c r="W357" s="30">
        <f t="shared" si="143"/>
        <v>34.471600000000002</v>
      </c>
      <c r="Y357">
        <v>2</v>
      </c>
      <c r="Z357" t="s">
        <v>16</v>
      </c>
      <c r="AA357">
        <v>27392</v>
      </c>
      <c r="AB357">
        <v>256</v>
      </c>
      <c r="AC357">
        <v>4</v>
      </c>
      <c r="AD357">
        <v>4</v>
      </c>
      <c r="AE357">
        <v>376.62</v>
      </c>
      <c r="AF357" s="17">
        <v>36.384999999999998</v>
      </c>
      <c r="AG357" s="33">
        <v>45307</v>
      </c>
      <c r="AH357" s="34">
        <v>0.63480324074074079</v>
      </c>
      <c r="AI357">
        <v>0</v>
      </c>
      <c r="AJ357">
        <v>0</v>
      </c>
      <c r="AK357">
        <v>0</v>
      </c>
      <c r="AL357">
        <v>0</v>
      </c>
      <c r="AM357">
        <v>0</v>
      </c>
      <c r="AN357">
        <v>0</v>
      </c>
      <c r="AO357">
        <v>0</v>
      </c>
      <c r="AP357">
        <v>0</v>
      </c>
      <c r="AQ357">
        <v>0</v>
      </c>
      <c r="AR357">
        <v>0</v>
      </c>
      <c r="AS357">
        <v>0</v>
      </c>
      <c r="AT357">
        <v>0</v>
      </c>
      <c r="AU357" s="30">
        <f t="shared" si="137"/>
        <v>33.703999999999994</v>
      </c>
    </row>
    <row r="358" spans="1:47" x14ac:dyDescent="0.25">
      <c r="A358">
        <v>3</v>
      </c>
      <c r="B358" t="s">
        <v>16</v>
      </c>
      <c r="C358">
        <v>27392</v>
      </c>
      <c r="D358">
        <v>256</v>
      </c>
      <c r="E358">
        <v>4</v>
      </c>
      <c r="F358">
        <v>4</v>
      </c>
      <c r="G358">
        <v>397.4</v>
      </c>
      <c r="H358" s="17">
        <v>34.481999999999999</v>
      </c>
      <c r="I358" s="33">
        <v>45307</v>
      </c>
      <c r="J358" s="37">
        <v>0.51622685185185191</v>
      </c>
      <c r="K358">
        <v>0</v>
      </c>
      <c r="L358">
        <v>0</v>
      </c>
      <c r="M358">
        <v>0</v>
      </c>
      <c r="N358">
        <v>0</v>
      </c>
      <c r="O358">
        <v>0</v>
      </c>
      <c r="P358">
        <v>0</v>
      </c>
      <c r="Q358">
        <v>0</v>
      </c>
      <c r="R358">
        <v>0</v>
      </c>
      <c r="S358">
        <v>0</v>
      </c>
      <c r="T358">
        <v>0</v>
      </c>
      <c r="U358">
        <v>0</v>
      </c>
      <c r="V358">
        <v>0</v>
      </c>
      <c r="W358" s="30">
        <f t="shared" si="143"/>
        <v>34.471600000000002</v>
      </c>
      <c r="Y358">
        <v>3</v>
      </c>
      <c r="Z358" t="s">
        <v>16</v>
      </c>
      <c r="AA358">
        <v>27392</v>
      </c>
      <c r="AB358">
        <v>256</v>
      </c>
      <c r="AC358">
        <v>4</v>
      </c>
      <c r="AD358">
        <v>4</v>
      </c>
      <c r="AE358">
        <v>376.98</v>
      </c>
      <c r="AF358" s="17">
        <v>36.35</v>
      </c>
      <c r="AG358" s="33">
        <v>45307</v>
      </c>
      <c r="AH358" s="34">
        <v>0.57289351851851855</v>
      </c>
      <c r="AI358">
        <v>0</v>
      </c>
      <c r="AJ358">
        <v>0</v>
      </c>
      <c r="AK358">
        <v>0</v>
      </c>
      <c r="AL358">
        <v>0</v>
      </c>
      <c r="AM358">
        <v>0</v>
      </c>
      <c r="AN358">
        <v>0</v>
      </c>
      <c r="AO358">
        <v>0</v>
      </c>
      <c r="AP358">
        <v>0</v>
      </c>
      <c r="AQ358">
        <v>0</v>
      </c>
      <c r="AR358">
        <v>0</v>
      </c>
      <c r="AS358">
        <v>0</v>
      </c>
      <c r="AT358">
        <v>0</v>
      </c>
      <c r="AU358" s="30">
        <f t="shared" si="137"/>
        <v>33.703999999999994</v>
      </c>
    </row>
    <row r="359" spans="1:47" x14ac:dyDescent="0.25">
      <c r="A359">
        <v>4</v>
      </c>
      <c r="B359" t="s">
        <v>16</v>
      </c>
      <c r="C359">
        <v>27392</v>
      </c>
      <c r="D359">
        <v>256</v>
      </c>
      <c r="E359">
        <v>4</v>
      </c>
      <c r="F359">
        <v>4</v>
      </c>
      <c r="G359">
        <v>397.68</v>
      </c>
      <c r="H359" s="17">
        <v>34.457000000000001</v>
      </c>
      <c r="I359" s="33">
        <v>45307</v>
      </c>
      <c r="J359" s="37">
        <v>0.84950231481481486</v>
      </c>
      <c r="K359">
        <v>0</v>
      </c>
      <c r="L359">
        <v>0</v>
      </c>
      <c r="M359">
        <v>0</v>
      </c>
      <c r="N359">
        <v>0</v>
      </c>
      <c r="O359">
        <v>0</v>
      </c>
      <c r="P359">
        <v>0</v>
      </c>
      <c r="Q359">
        <v>0</v>
      </c>
      <c r="R359">
        <v>0</v>
      </c>
      <c r="S359">
        <v>0</v>
      </c>
      <c r="T359">
        <v>0</v>
      </c>
      <c r="U359">
        <v>0</v>
      </c>
      <c r="V359">
        <v>0</v>
      </c>
      <c r="W359" s="30">
        <f t="shared" si="143"/>
        <v>34.471600000000002</v>
      </c>
      <c r="Y359">
        <v>4</v>
      </c>
      <c r="Z359" t="s">
        <v>16</v>
      </c>
      <c r="AA359">
        <v>27392</v>
      </c>
      <c r="AB359">
        <v>256</v>
      </c>
      <c r="AC359">
        <v>4</v>
      </c>
      <c r="AD359">
        <v>4</v>
      </c>
      <c r="AE359">
        <v>376.78</v>
      </c>
      <c r="AF359" s="17">
        <v>36.368000000000002</v>
      </c>
      <c r="AG359" s="33">
        <v>45307</v>
      </c>
      <c r="AH359" s="34">
        <v>0.48719907407407409</v>
      </c>
      <c r="AI359">
        <v>0</v>
      </c>
      <c r="AJ359">
        <v>0</v>
      </c>
      <c r="AK359">
        <v>0</v>
      </c>
      <c r="AL359">
        <v>0</v>
      </c>
      <c r="AM359">
        <v>0</v>
      </c>
      <c r="AN359">
        <v>0</v>
      </c>
      <c r="AO359">
        <v>0</v>
      </c>
      <c r="AP359">
        <v>0</v>
      </c>
      <c r="AQ359">
        <v>0</v>
      </c>
      <c r="AR359">
        <v>0</v>
      </c>
      <c r="AS359">
        <v>0</v>
      </c>
      <c r="AT359">
        <v>0</v>
      </c>
      <c r="AU359" s="30">
        <f t="shared" si="137"/>
        <v>33.703999999999994</v>
      </c>
    </row>
    <row r="360" spans="1:47" x14ac:dyDescent="0.25">
      <c r="A360">
        <v>0</v>
      </c>
      <c r="B360" t="s">
        <v>16</v>
      </c>
      <c r="C360">
        <v>28928</v>
      </c>
      <c r="D360">
        <v>256</v>
      </c>
      <c r="E360">
        <v>4</v>
      </c>
      <c r="F360">
        <v>4</v>
      </c>
      <c r="G360">
        <v>457.76</v>
      </c>
      <c r="H360" s="17">
        <v>35.258000000000003</v>
      </c>
      <c r="I360" s="33">
        <v>45307</v>
      </c>
      <c r="J360" s="37">
        <v>0.65054398148148151</v>
      </c>
      <c r="K360">
        <v>0</v>
      </c>
      <c r="L360">
        <v>0</v>
      </c>
      <c r="M360">
        <v>0</v>
      </c>
      <c r="N360">
        <v>0</v>
      </c>
      <c r="O360">
        <v>0</v>
      </c>
      <c r="P360">
        <v>0</v>
      </c>
      <c r="Q360">
        <v>0</v>
      </c>
      <c r="R360">
        <v>0</v>
      </c>
      <c r="S360">
        <v>0</v>
      </c>
      <c r="T360">
        <v>0</v>
      </c>
      <c r="U360">
        <v>0</v>
      </c>
      <c r="V360">
        <v>0</v>
      </c>
      <c r="W360" s="30">
        <f t="shared" ref="W360" si="144">AVERAGE(H360:H364)</f>
        <v>35.278800000000004</v>
      </c>
      <c r="Y360">
        <v>0</v>
      </c>
      <c r="Z360" t="s">
        <v>16</v>
      </c>
      <c r="AA360">
        <v>28928</v>
      </c>
      <c r="AB360">
        <v>256</v>
      </c>
      <c r="AC360">
        <v>4</v>
      </c>
      <c r="AD360">
        <v>4</v>
      </c>
      <c r="AE360">
        <v>433.71</v>
      </c>
      <c r="AF360" s="17">
        <v>37.213999999999999</v>
      </c>
      <c r="AG360" s="33">
        <v>45307</v>
      </c>
      <c r="AH360" s="34">
        <v>0.70743055555555545</v>
      </c>
      <c r="AI360">
        <v>0</v>
      </c>
      <c r="AJ360">
        <v>0</v>
      </c>
      <c r="AK360">
        <v>0</v>
      </c>
      <c r="AL360">
        <v>0</v>
      </c>
      <c r="AM360">
        <v>0</v>
      </c>
      <c r="AN360">
        <v>0</v>
      </c>
      <c r="AO360">
        <v>0</v>
      </c>
      <c r="AP360">
        <v>0</v>
      </c>
      <c r="AQ360">
        <v>0</v>
      </c>
      <c r="AR360">
        <v>0</v>
      </c>
      <c r="AS360">
        <v>0</v>
      </c>
      <c r="AT360">
        <v>0</v>
      </c>
      <c r="AU360" s="30">
        <f t="shared" si="135"/>
        <v>37.196999999999996</v>
      </c>
    </row>
    <row r="361" spans="1:47" x14ac:dyDescent="0.25">
      <c r="A361">
        <v>1</v>
      </c>
      <c r="B361" t="s">
        <v>16</v>
      </c>
      <c r="C361">
        <v>28928</v>
      </c>
      <c r="D361">
        <v>256</v>
      </c>
      <c r="E361">
        <v>4</v>
      </c>
      <c r="F361">
        <v>4</v>
      </c>
      <c r="G361">
        <v>457.44</v>
      </c>
      <c r="H361" s="17">
        <v>35.283000000000001</v>
      </c>
      <c r="I361" s="33">
        <v>45307</v>
      </c>
      <c r="J361" s="37">
        <v>0.99115740740740732</v>
      </c>
      <c r="K361">
        <v>0</v>
      </c>
      <c r="L361">
        <v>0</v>
      </c>
      <c r="M361">
        <v>0</v>
      </c>
      <c r="N361">
        <v>0</v>
      </c>
      <c r="O361">
        <v>0</v>
      </c>
      <c r="P361">
        <v>0</v>
      </c>
      <c r="Q361">
        <v>0</v>
      </c>
      <c r="R361">
        <v>0</v>
      </c>
      <c r="S361">
        <v>0</v>
      </c>
      <c r="T361">
        <v>0</v>
      </c>
      <c r="U361">
        <v>0</v>
      </c>
      <c r="V361">
        <v>0</v>
      </c>
      <c r="W361" s="30">
        <f t="shared" ref="W361:W364" si="145">W360</f>
        <v>35.278800000000004</v>
      </c>
      <c r="Y361">
        <v>1</v>
      </c>
      <c r="Z361" t="s">
        <v>16</v>
      </c>
      <c r="AA361">
        <v>28928</v>
      </c>
      <c r="AB361">
        <v>256</v>
      </c>
      <c r="AC361">
        <v>4</v>
      </c>
      <c r="AD361">
        <v>4</v>
      </c>
      <c r="AE361">
        <v>434.06</v>
      </c>
      <c r="AF361" s="17">
        <v>37.183</v>
      </c>
      <c r="AG361" s="33">
        <v>45307</v>
      </c>
      <c r="AH361" s="34">
        <v>0.54759259259259252</v>
      </c>
      <c r="AI361">
        <v>0</v>
      </c>
      <c r="AJ361">
        <v>0</v>
      </c>
      <c r="AK361">
        <v>0</v>
      </c>
      <c r="AL361">
        <v>0</v>
      </c>
      <c r="AM361">
        <v>0</v>
      </c>
      <c r="AN361">
        <v>0</v>
      </c>
      <c r="AO361">
        <v>0</v>
      </c>
      <c r="AP361">
        <v>0</v>
      </c>
      <c r="AQ361">
        <v>0</v>
      </c>
      <c r="AR361">
        <v>0</v>
      </c>
      <c r="AS361">
        <v>0</v>
      </c>
      <c r="AT361">
        <v>0</v>
      </c>
      <c r="AU361" s="30">
        <f t="shared" si="137"/>
        <v>37.196999999999996</v>
      </c>
    </row>
    <row r="362" spans="1:47" x14ac:dyDescent="0.25">
      <c r="A362">
        <v>2</v>
      </c>
      <c r="B362" t="s">
        <v>16</v>
      </c>
      <c r="C362">
        <v>28928</v>
      </c>
      <c r="D362">
        <v>256</v>
      </c>
      <c r="E362">
        <v>4</v>
      </c>
      <c r="F362">
        <v>4</v>
      </c>
      <c r="G362">
        <v>457.32</v>
      </c>
      <c r="H362" s="17">
        <v>35.292000000000002</v>
      </c>
      <c r="I362" s="33">
        <v>45308</v>
      </c>
      <c r="J362" s="37">
        <v>0.36702546296296296</v>
      </c>
      <c r="K362">
        <v>0</v>
      </c>
      <c r="L362">
        <v>0</v>
      </c>
      <c r="M362">
        <v>0</v>
      </c>
      <c r="N362">
        <v>0</v>
      </c>
      <c r="O362">
        <v>0</v>
      </c>
      <c r="P362">
        <v>0</v>
      </c>
      <c r="Q362">
        <v>0</v>
      </c>
      <c r="R362">
        <v>0</v>
      </c>
      <c r="S362">
        <v>0</v>
      </c>
      <c r="T362">
        <v>0</v>
      </c>
      <c r="U362">
        <v>0</v>
      </c>
      <c r="V362">
        <v>0</v>
      </c>
      <c r="W362" s="30">
        <f t="shared" si="145"/>
        <v>35.278800000000004</v>
      </c>
      <c r="Y362">
        <v>2</v>
      </c>
      <c r="Z362" t="s">
        <v>16</v>
      </c>
      <c r="AA362">
        <v>28928</v>
      </c>
      <c r="AB362">
        <v>256</v>
      </c>
      <c r="AC362">
        <v>4</v>
      </c>
      <c r="AD362">
        <v>4</v>
      </c>
      <c r="AE362">
        <v>435.06</v>
      </c>
      <c r="AF362" s="17">
        <v>37.097999999999999</v>
      </c>
      <c r="AG362" s="33">
        <v>45307</v>
      </c>
      <c r="AH362" s="34">
        <v>0.48571759259259256</v>
      </c>
      <c r="AI362">
        <v>0</v>
      </c>
      <c r="AJ362">
        <v>0</v>
      </c>
      <c r="AK362">
        <v>0</v>
      </c>
      <c r="AL362">
        <v>0</v>
      </c>
      <c r="AM362">
        <v>0</v>
      </c>
      <c r="AN362">
        <v>0</v>
      </c>
      <c r="AO362">
        <v>0</v>
      </c>
      <c r="AP362">
        <v>0</v>
      </c>
      <c r="AQ362">
        <v>0</v>
      </c>
      <c r="AR362">
        <v>0</v>
      </c>
      <c r="AS362">
        <v>0</v>
      </c>
      <c r="AT362">
        <v>0</v>
      </c>
      <c r="AU362" s="30">
        <f t="shared" si="137"/>
        <v>37.196999999999996</v>
      </c>
    </row>
    <row r="363" spans="1:47" x14ac:dyDescent="0.25">
      <c r="A363">
        <v>3</v>
      </c>
      <c r="B363" t="s">
        <v>16</v>
      </c>
      <c r="C363">
        <v>28928</v>
      </c>
      <c r="D363">
        <v>256</v>
      </c>
      <c r="E363">
        <v>4</v>
      </c>
      <c r="F363">
        <v>4</v>
      </c>
      <c r="G363">
        <v>457.43</v>
      </c>
      <c r="H363" s="17">
        <v>35.283999999999999</v>
      </c>
      <c r="I363" s="33">
        <v>45307</v>
      </c>
      <c r="J363" s="37">
        <v>0.76427083333333334</v>
      </c>
      <c r="K363">
        <v>0</v>
      </c>
      <c r="L363">
        <v>0</v>
      </c>
      <c r="M363">
        <v>0</v>
      </c>
      <c r="N363">
        <v>0</v>
      </c>
      <c r="O363">
        <v>0</v>
      </c>
      <c r="P363">
        <v>0</v>
      </c>
      <c r="Q363">
        <v>0</v>
      </c>
      <c r="R363">
        <v>0</v>
      </c>
      <c r="S363">
        <v>0</v>
      </c>
      <c r="T363">
        <v>0</v>
      </c>
      <c r="U363">
        <v>0</v>
      </c>
      <c r="V363">
        <v>0</v>
      </c>
      <c r="W363" s="30">
        <f t="shared" si="145"/>
        <v>35.278800000000004</v>
      </c>
      <c r="Y363">
        <v>3</v>
      </c>
      <c r="Z363" t="s">
        <v>16</v>
      </c>
      <c r="AA363">
        <v>28928</v>
      </c>
      <c r="AB363">
        <v>256</v>
      </c>
      <c r="AC363">
        <v>4</v>
      </c>
      <c r="AD363">
        <v>4</v>
      </c>
      <c r="AE363">
        <v>432.78</v>
      </c>
      <c r="AF363" s="17">
        <v>37.293999999999997</v>
      </c>
      <c r="AG363" s="33">
        <v>45307</v>
      </c>
      <c r="AH363" s="34">
        <v>0.74885416666666671</v>
      </c>
      <c r="AI363">
        <v>0</v>
      </c>
      <c r="AJ363">
        <v>0</v>
      </c>
      <c r="AK363">
        <v>0</v>
      </c>
      <c r="AL363">
        <v>0</v>
      </c>
      <c r="AM363">
        <v>0</v>
      </c>
      <c r="AN363">
        <v>0</v>
      </c>
      <c r="AO363">
        <v>0</v>
      </c>
      <c r="AP363">
        <v>0</v>
      </c>
      <c r="AQ363">
        <v>0</v>
      </c>
      <c r="AR363">
        <v>0</v>
      </c>
      <c r="AS363">
        <v>0</v>
      </c>
      <c r="AT363">
        <v>0</v>
      </c>
      <c r="AU363" s="30">
        <f t="shared" si="137"/>
        <v>37.196999999999996</v>
      </c>
    </row>
    <row r="364" spans="1:47" x14ac:dyDescent="0.25">
      <c r="A364">
        <v>4</v>
      </c>
      <c r="B364" t="s">
        <v>16</v>
      </c>
      <c r="C364">
        <v>28928</v>
      </c>
      <c r="D364">
        <v>256</v>
      </c>
      <c r="E364">
        <v>4</v>
      </c>
      <c r="F364">
        <v>4</v>
      </c>
      <c r="G364">
        <v>457.51</v>
      </c>
      <c r="H364" s="17">
        <v>35.277000000000001</v>
      </c>
      <c r="I364" s="33">
        <v>45308</v>
      </c>
      <c r="J364" s="37">
        <v>7.3171296296296304E-2</v>
      </c>
      <c r="K364">
        <v>0</v>
      </c>
      <c r="L364">
        <v>0</v>
      </c>
      <c r="M364">
        <v>0</v>
      </c>
      <c r="N364">
        <v>0</v>
      </c>
      <c r="O364">
        <v>0</v>
      </c>
      <c r="P364">
        <v>0</v>
      </c>
      <c r="Q364">
        <v>0</v>
      </c>
      <c r="R364">
        <v>0</v>
      </c>
      <c r="S364">
        <v>0</v>
      </c>
      <c r="T364">
        <v>0</v>
      </c>
      <c r="U364">
        <v>0</v>
      </c>
      <c r="V364">
        <v>0</v>
      </c>
      <c r="W364" s="30">
        <f t="shared" si="145"/>
        <v>35.278800000000004</v>
      </c>
      <c r="Y364">
        <v>4</v>
      </c>
      <c r="Z364" t="s">
        <v>16</v>
      </c>
      <c r="AA364">
        <v>28928</v>
      </c>
      <c r="AB364">
        <v>256</v>
      </c>
      <c r="AC364">
        <v>4</v>
      </c>
      <c r="AD364">
        <v>4</v>
      </c>
      <c r="AE364">
        <v>433.91</v>
      </c>
      <c r="AF364" s="17">
        <v>37.195999999999998</v>
      </c>
      <c r="AG364" s="33">
        <v>45307</v>
      </c>
      <c r="AH364" s="34">
        <v>0.54243055555555553</v>
      </c>
      <c r="AI364">
        <v>0</v>
      </c>
      <c r="AJ364">
        <v>0</v>
      </c>
      <c r="AK364">
        <v>0</v>
      </c>
      <c r="AL364">
        <v>0</v>
      </c>
      <c r="AM364">
        <v>0</v>
      </c>
      <c r="AN364">
        <v>0</v>
      </c>
      <c r="AO364">
        <v>0</v>
      </c>
      <c r="AP364">
        <v>0</v>
      </c>
      <c r="AQ364">
        <v>0</v>
      </c>
      <c r="AR364">
        <v>0</v>
      </c>
      <c r="AS364">
        <v>0</v>
      </c>
      <c r="AT364">
        <v>0</v>
      </c>
      <c r="AU364" s="30">
        <f t="shared" si="137"/>
        <v>37.196999999999996</v>
      </c>
    </row>
    <row r="365" spans="1:47" x14ac:dyDescent="0.25">
      <c r="A365" s="53">
        <v>0</v>
      </c>
      <c r="B365" s="53" t="s">
        <v>16</v>
      </c>
      <c r="C365" s="53">
        <v>28888</v>
      </c>
      <c r="D365" s="53">
        <v>184</v>
      </c>
      <c r="E365" s="53">
        <v>2</v>
      </c>
      <c r="F365" s="53">
        <v>8</v>
      </c>
      <c r="G365" s="53">
        <v>421.04</v>
      </c>
      <c r="H365" s="119">
        <v>38.173999999999999</v>
      </c>
      <c r="I365" s="54">
        <v>45318</v>
      </c>
      <c r="J365" s="120">
        <v>2.4641203703703703E-2</v>
      </c>
      <c r="K365" s="53">
        <v>0</v>
      </c>
      <c r="L365" s="53">
        <v>0</v>
      </c>
      <c r="M365" s="53">
        <v>0</v>
      </c>
      <c r="N365" s="53">
        <v>0</v>
      </c>
      <c r="O365" s="53">
        <v>0</v>
      </c>
      <c r="P365" s="53">
        <v>0</v>
      </c>
      <c r="Q365" s="53">
        <v>0</v>
      </c>
      <c r="R365" s="53">
        <v>0</v>
      </c>
      <c r="S365" s="53">
        <v>0</v>
      </c>
      <c r="T365" s="53">
        <v>0</v>
      </c>
      <c r="U365" s="53">
        <v>0</v>
      </c>
      <c r="V365" s="53">
        <v>0</v>
      </c>
      <c r="W365" s="30">
        <f>AVERAGE(H365:H369)</f>
        <v>38.205200000000005</v>
      </c>
      <c r="Y365" s="53">
        <v>0</v>
      </c>
      <c r="Z365" s="53" t="s">
        <v>16</v>
      </c>
      <c r="AA365" s="53">
        <v>29056</v>
      </c>
      <c r="AB365" s="53">
        <v>64</v>
      </c>
      <c r="AC365" s="53">
        <v>2</v>
      </c>
      <c r="AD365" s="53">
        <v>8</v>
      </c>
      <c r="AE365" s="53">
        <v>401.97</v>
      </c>
      <c r="AF365" s="59">
        <v>40.686999999999998</v>
      </c>
      <c r="AG365" s="54">
        <v>45307</v>
      </c>
      <c r="AH365" s="55">
        <v>0.47844907407407405</v>
      </c>
      <c r="AI365" s="53">
        <v>0</v>
      </c>
      <c r="AJ365" s="53">
        <v>0</v>
      </c>
      <c r="AK365" s="53">
        <v>0</v>
      </c>
      <c r="AL365" s="53">
        <v>0</v>
      </c>
      <c r="AM365" s="53">
        <v>0</v>
      </c>
      <c r="AN365" s="53">
        <v>0</v>
      </c>
      <c r="AO365" s="53">
        <v>0</v>
      </c>
      <c r="AP365" s="53">
        <v>0</v>
      </c>
      <c r="AQ365" s="53">
        <v>0</v>
      </c>
      <c r="AR365" s="53">
        <v>0</v>
      </c>
      <c r="AS365" s="53">
        <v>0</v>
      </c>
      <c r="AT365" s="53">
        <v>0</v>
      </c>
      <c r="AU365" s="30">
        <f t="shared" ref="AU365" si="146">AVERAGE(AF365:AF369)</f>
        <v>40.650199999999998</v>
      </c>
    </row>
    <row r="366" spans="1:47" x14ac:dyDescent="0.25">
      <c r="A366" s="53">
        <v>1</v>
      </c>
      <c r="B366" s="53" t="s">
        <v>16</v>
      </c>
      <c r="C366" s="53">
        <v>28888</v>
      </c>
      <c r="D366" s="53">
        <v>184</v>
      </c>
      <c r="E366" s="53">
        <v>2</v>
      </c>
      <c r="F366" s="53">
        <v>8</v>
      </c>
      <c r="G366" s="53">
        <v>421.6</v>
      </c>
      <c r="H366" s="119">
        <v>38.122999999999998</v>
      </c>
      <c r="I366" s="54">
        <v>45318</v>
      </c>
      <c r="J366" s="120">
        <v>5.5717592592592596E-2</v>
      </c>
      <c r="K366" s="53">
        <v>0</v>
      </c>
      <c r="L366" s="53">
        <v>0</v>
      </c>
      <c r="M366" s="53">
        <v>0</v>
      </c>
      <c r="N366" s="53">
        <v>0</v>
      </c>
      <c r="O366" s="53">
        <v>0</v>
      </c>
      <c r="P366" s="53">
        <v>0</v>
      </c>
      <c r="Q366" s="53">
        <v>0</v>
      </c>
      <c r="R366" s="53">
        <v>0</v>
      </c>
      <c r="S366" s="53">
        <v>0</v>
      </c>
      <c r="T366" s="53">
        <v>0</v>
      </c>
      <c r="U366" s="53">
        <v>0</v>
      </c>
      <c r="V366" s="53">
        <v>0</v>
      </c>
      <c r="W366" s="30">
        <f>W365</f>
        <v>38.205200000000005</v>
      </c>
      <c r="Y366" s="53">
        <v>1</v>
      </c>
      <c r="Z366" s="53" t="s">
        <v>16</v>
      </c>
      <c r="AA366" s="53">
        <v>29056</v>
      </c>
      <c r="AB366" s="53">
        <v>64</v>
      </c>
      <c r="AC366" s="53">
        <v>2</v>
      </c>
      <c r="AD366" s="53">
        <v>8</v>
      </c>
      <c r="AE366" s="53">
        <v>402.66</v>
      </c>
      <c r="AF366" s="59">
        <v>40.616999999999997</v>
      </c>
      <c r="AG366" s="54">
        <v>45307</v>
      </c>
      <c r="AH366" s="55">
        <v>0.49442129629629633</v>
      </c>
      <c r="AI366" s="53">
        <v>0</v>
      </c>
      <c r="AJ366" s="53">
        <v>0</v>
      </c>
      <c r="AK366" s="53">
        <v>0</v>
      </c>
      <c r="AL366" s="53">
        <v>0</v>
      </c>
      <c r="AM366" s="53">
        <v>0</v>
      </c>
      <c r="AN366" s="53">
        <v>0</v>
      </c>
      <c r="AO366" s="53">
        <v>0</v>
      </c>
      <c r="AP366" s="53">
        <v>0</v>
      </c>
      <c r="AQ366" s="53">
        <v>0</v>
      </c>
      <c r="AR366" s="53">
        <v>0</v>
      </c>
      <c r="AS366" s="53">
        <v>0</v>
      </c>
      <c r="AT366" s="53">
        <v>0</v>
      </c>
      <c r="AU366" s="30">
        <f t="shared" ref="AU366" si="147">AU365</f>
        <v>40.650199999999998</v>
      </c>
    </row>
    <row r="367" spans="1:47" x14ac:dyDescent="0.25">
      <c r="A367" s="53">
        <v>2</v>
      </c>
      <c r="B367" s="53" t="s">
        <v>16</v>
      </c>
      <c r="C367" s="53">
        <v>28888</v>
      </c>
      <c r="D367" s="53">
        <v>184</v>
      </c>
      <c r="E367" s="53">
        <v>2</v>
      </c>
      <c r="F367" s="53">
        <v>8</v>
      </c>
      <c r="G367" s="53">
        <v>420.23</v>
      </c>
      <c r="H367" s="119">
        <v>38.247999999999998</v>
      </c>
      <c r="I367" s="54">
        <v>45318</v>
      </c>
      <c r="J367" s="120">
        <v>8.6770833333333339E-2</v>
      </c>
      <c r="K367" s="53">
        <v>0</v>
      </c>
      <c r="L367" s="53">
        <v>0</v>
      </c>
      <c r="M367" s="53">
        <v>0</v>
      </c>
      <c r="N367" s="53">
        <v>0</v>
      </c>
      <c r="O367" s="53">
        <v>0</v>
      </c>
      <c r="P367" s="53">
        <v>0</v>
      </c>
      <c r="Q367" s="53">
        <v>0</v>
      </c>
      <c r="R367" s="53">
        <v>0</v>
      </c>
      <c r="S367" s="53">
        <v>0</v>
      </c>
      <c r="T367" s="53">
        <v>0</v>
      </c>
      <c r="U367" s="53">
        <v>0</v>
      </c>
      <c r="V367" s="53">
        <v>0</v>
      </c>
      <c r="W367" s="30">
        <f>W366</f>
        <v>38.205200000000005</v>
      </c>
      <c r="Y367" s="53">
        <v>2</v>
      </c>
      <c r="Z367" s="53" t="s">
        <v>16</v>
      </c>
      <c r="AA367" s="53">
        <v>29056</v>
      </c>
      <c r="AB367" s="53">
        <v>64</v>
      </c>
      <c r="AC367" s="53">
        <v>2</v>
      </c>
      <c r="AD367" s="53">
        <v>8</v>
      </c>
      <c r="AE367" s="53">
        <v>401.99</v>
      </c>
      <c r="AF367" s="59">
        <v>40.685000000000002</v>
      </c>
      <c r="AG367" s="54">
        <v>45307</v>
      </c>
      <c r="AH367" s="55">
        <v>0.51038194444444451</v>
      </c>
      <c r="AI367" s="53">
        <v>0</v>
      </c>
      <c r="AJ367" s="53">
        <v>0</v>
      </c>
      <c r="AK367" s="53">
        <v>0</v>
      </c>
      <c r="AL367" s="53">
        <v>0</v>
      </c>
      <c r="AM367" s="53">
        <v>0</v>
      </c>
      <c r="AN367" s="53">
        <v>0</v>
      </c>
      <c r="AO367" s="53">
        <v>0</v>
      </c>
      <c r="AP367" s="53">
        <v>0</v>
      </c>
      <c r="AQ367" s="53">
        <v>0</v>
      </c>
      <c r="AR367" s="53">
        <v>0</v>
      </c>
      <c r="AS367" s="53">
        <v>0</v>
      </c>
      <c r="AT367" s="53">
        <v>0</v>
      </c>
      <c r="AU367" s="30">
        <f>AU366</f>
        <v>40.650199999999998</v>
      </c>
    </row>
    <row r="368" spans="1:47" x14ac:dyDescent="0.25">
      <c r="A368" s="53">
        <v>3</v>
      </c>
      <c r="B368" s="53" t="s">
        <v>16</v>
      </c>
      <c r="C368" s="53">
        <v>28888</v>
      </c>
      <c r="D368" s="53">
        <v>184</v>
      </c>
      <c r="E368" s="53">
        <v>2</v>
      </c>
      <c r="F368" s="53">
        <v>8</v>
      </c>
      <c r="G368" s="53">
        <v>420.38</v>
      </c>
      <c r="H368" s="119">
        <v>38.234000000000002</v>
      </c>
      <c r="I368" s="54">
        <v>45318</v>
      </c>
      <c r="J368" s="120">
        <v>0.11782407407407407</v>
      </c>
      <c r="K368" s="53">
        <v>0</v>
      </c>
      <c r="L368" s="53">
        <v>0</v>
      </c>
      <c r="M368" s="53">
        <v>0</v>
      </c>
      <c r="N368" s="53">
        <v>0</v>
      </c>
      <c r="O368" s="53">
        <v>0</v>
      </c>
      <c r="P368" s="53">
        <v>0</v>
      </c>
      <c r="Q368" s="53">
        <v>0</v>
      </c>
      <c r="R368" s="53">
        <v>0</v>
      </c>
      <c r="S368" s="53">
        <v>0</v>
      </c>
      <c r="T368" s="53">
        <v>0</v>
      </c>
      <c r="U368" s="53">
        <v>0</v>
      </c>
      <c r="V368" s="53">
        <v>0</v>
      </c>
      <c r="W368" s="30">
        <f>W367</f>
        <v>38.205200000000005</v>
      </c>
      <c r="Y368" s="53">
        <v>3</v>
      </c>
      <c r="Z368" s="53" t="s">
        <v>16</v>
      </c>
      <c r="AA368" s="53">
        <v>29056</v>
      </c>
      <c r="AB368" s="53">
        <v>64</v>
      </c>
      <c r="AC368" s="53">
        <v>2</v>
      </c>
      <c r="AD368" s="53">
        <v>8</v>
      </c>
      <c r="AE368" s="53">
        <v>402.29</v>
      </c>
      <c r="AF368" s="59">
        <v>40.655000000000001</v>
      </c>
      <c r="AG368" s="54">
        <v>45307</v>
      </c>
      <c r="AH368" s="55">
        <v>0.52634259259259253</v>
      </c>
      <c r="AI368" s="53">
        <v>0</v>
      </c>
      <c r="AJ368" s="53">
        <v>0</v>
      </c>
      <c r="AK368" s="53">
        <v>0</v>
      </c>
      <c r="AL368" s="53">
        <v>0</v>
      </c>
      <c r="AM368" s="53">
        <v>0</v>
      </c>
      <c r="AN368" s="53">
        <v>0</v>
      </c>
      <c r="AO368" s="53">
        <v>0</v>
      </c>
      <c r="AP368" s="53">
        <v>0</v>
      </c>
      <c r="AQ368" s="53">
        <v>0</v>
      </c>
      <c r="AR368" s="53">
        <v>0</v>
      </c>
      <c r="AS368" s="53">
        <v>0</v>
      </c>
      <c r="AT368" s="53">
        <v>0</v>
      </c>
      <c r="AU368" s="30">
        <f>AU367</f>
        <v>40.650199999999998</v>
      </c>
    </row>
    <row r="369" spans="1:47" x14ac:dyDescent="0.25">
      <c r="A369" s="53">
        <v>4</v>
      </c>
      <c r="B369" s="53" t="s">
        <v>16</v>
      </c>
      <c r="C369" s="53">
        <v>28888</v>
      </c>
      <c r="D369" s="53">
        <v>184</v>
      </c>
      <c r="E369" s="53">
        <v>2</v>
      </c>
      <c r="F369" s="53">
        <v>8</v>
      </c>
      <c r="G369" s="53">
        <v>420.24</v>
      </c>
      <c r="H369" s="119">
        <v>38.247</v>
      </c>
      <c r="I369" s="54">
        <v>45318</v>
      </c>
      <c r="J369" s="120">
        <v>0.14887731481481481</v>
      </c>
      <c r="K369" s="53">
        <v>0</v>
      </c>
      <c r="L369" s="53">
        <v>0</v>
      </c>
      <c r="M369" s="53">
        <v>0</v>
      </c>
      <c r="N369" s="53">
        <v>0</v>
      </c>
      <c r="O369" s="53">
        <v>0</v>
      </c>
      <c r="P369" s="53">
        <v>0</v>
      </c>
      <c r="Q369" s="53">
        <v>0</v>
      </c>
      <c r="R369" s="53">
        <v>0</v>
      </c>
      <c r="S369" s="53">
        <v>0</v>
      </c>
      <c r="T369" s="53">
        <v>0</v>
      </c>
      <c r="U369" s="53">
        <v>0</v>
      </c>
      <c r="V369" s="53">
        <v>0</v>
      </c>
      <c r="W369" s="30">
        <f>W368</f>
        <v>38.205200000000005</v>
      </c>
      <c r="Y369" s="53">
        <v>4</v>
      </c>
      <c r="Z369" s="53" t="s">
        <v>16</v>
      </c>
      <c r="AA369" s="53">
        <v>29056</v>
      </c>
      <c r="AB369" s="53">
        <v>64</v>
      </c>
      <c r="AC369" s="53">
        <v>2</v>
      </c>
      <c r="AD369" s="53">
        <v>8</v>
      </c>
      <c r="AE369" s="53">
        <v>402.76</v>
      </c>
      <c r="AF369" s="59">
        <v>40.606999999999999</v>
      </c>
      <c r="AG369" s="54">
        <v>45307</v>
      </c>
      <c r="AH369" s="55">
        <v>0.54230324074074077</v>
      </c>
      <c r="AI369" s="53">
        <v>0</v>
      </c>
      <c r="AJ369" s="53">
        <v>0</v>
      </c>
      <c r="AK369" s="53">
        <v>0</v>
      </c>
      <c r="AL369" s="53">
        <v>0</v>
      </c>
      <c r="AM369" s="53">
        <v>0</v>
      </c>
      <c r="AN369" s="53">
        <v>0</v>
      </c>
      <c r="AO369" s="53">
        <v>0</v>
      </c>
      <c r="AP369" s="53">
        <v>0</v>
      </c>
      <c r="AQ369" s="53">
        <v>0</v>
      </c>
      <c r="AR369" s="53">
        <v>0</v>
      </c>
      <c r="AS369" s="53">
        <v>0</v>
      </c>
      <c r="AT369" s="53">
        <v>0</v>
      </c>
      <c r="AU369" s="30">
        <f>AU368</f>
        <v>40.650199999999998</v>
      </c>
    </row>
    <row r="370" spans="1:47" x14ac:dyDescent="0.25">
      <c r="A370" s="53">
        <v>0</v>
      </c>
      <c r="B370" s="53" t="s">
        <v>16</v>
      </c>
      <c r="C370" s="53">
        <v>28896</v>
      </c>
      <c r="D370" s="53">
        <v>168</v>
      </c>
      <c r="E370" s="53">
        <v>2</v>
      </c>
      <c r="F370" s="53">
        <v>8</v>
      </c>
      <c r="G370" s="53">
        <v>424.35</v>
      </c>
      <c r="H370" s="119">
        <v>37.908000000000001</v>
      </c>
      <c r="I370" s="54">
        <v>45318</v>
      </c>
      <c r="J370" s="120">
        <v>1.9560185185185184E-2</v>
      </c>
      <c r="K370" s="53">
        <v>0</v>
      </c>
      <c r="L370" s="53">
        <v>0</v>
      </c>
      <c r="M370" s="53">
        <v>0</v>
      </c>
      <c r="N370" s="53">
        <v>0</v>
      </c>
      <c r="O370" s="53">
        <v>0</v>
      </c>
      <c r="P370" s="53">
        <v>0</v>
      </c>
      <c r="Q370" s="53">
        <v>0</v>
      </c>
      <c r="R370" s="53">
        <v>0</v>
      </c>
      <c r="S370" s="53">
        <v>0</v>
      </c>
      <c r="T370" s="53">
        <v>0</v>
      </c>
      <c r="U370" s="53">
        <v>0</v>
      </c>
      <c r="V370" s="53">
        <v>0</v>
      </c>
      <c r="W370" s="30">
        <f>AVERAGE(H370:H374)</f>
        <v>38.044800000000002</v>
      </c>
      <c r="Y370" s="53">
        <v>0</v>
      </c>
      <c r="Z370" s="53" t="s">
        <v>16</v>
      </c>
      <c r="AA370" s="53">
        <v>29040</v>
      </c>
      <c r="AB370" s="53">
        <v>80</v>
      </c>
      <c r="AC370" s="53">
        <v>2</v>
      </c>
      <c r="AD370" s="53">
        <v>8</v>
      </c>
      <c r="AE370" s="53">
        <v>395.26</v>
      </c>
      <c r="AF370" s="59">
        <v>41.308999999999997</v>
      </c>
      <c r="AG370" s="54">
        <v>45307</v>
      </c>
      <c r="AH370" s="55">
        <v>0.48376157407407411</v>
      </c>
      <c r="AI370" s="53">
        <v>0</v>
      </c>
      <c r="AJ370" s="53">
        <v>0</v>
      </c>
      <c r="AK370" s="53">
        <v>0</v>
      </c>
      <c r="AL370" s="53">
        <v>0</v>
      </c>
      <c r="AM370" s="53">
        <v>0</v>
      </c>
      <c r="AN370" s="53">
        <v>0</v>
      </c>
      <c r="AO370" s="53">
        <v>0</v>
      </c>
      <c r="AP370" s="53">
        <v>0</v>
      </c>
      <c r="AQ370" s="53">
        <v>0</v>
      </c>
      <c r="AR370" s="53">
        <v>0</v>
      </c>
      <c r="AS370" s="53">
        <v>0</v>
      </c>
      <c r="AT370" s="53">
        <v>0</v>
      </c>
      <c r="AU370" s="30">
        <f t="shared" ref="AU370" si="148">AVERAGE(AF370:AF374)</f>
        <v>41.308800000000005</v>
      </c>
    </row>
    <row r="371" spans="1:47" x14ac:dyDescent="0.25">
      <c r="A371" s="53">
        <v>1</v>
      </c>
      <c r="B371" s="53" t="s">
        <v>16</v>
      </c>
      <c r="C371" s="53">
        <v>28896</v>
      </c>
      <c r="D371" s="53">
        <v>168</v>
      </c>
      <c r="E371" s="53">
        <v>2</v>
      </c>
      <c r="F371" s="53">
        <v>8</v>
      </c>
      <c r="G371" s="53">
        <v>422.34</v>
      </c>
      <c r="H371" s="119">
        <v>38.088000000000001</v>
      </c>
      <c r="I371" s="54">
        <v>45318</v>
      </c>
      <c r="J371" s="120">
        <v>5.061342592592593E-2</v>
      </c>
      <c r="K371" s="53">
        <v>0</v>
      </c>
      <c r="L371" s="53">
        <v>0</v>
      </c>
      <c r="M371" s="53">
        <v>0</v>
      </c>
      <c r="N371" s="53">
        <v>0</v>
      </c>
      <c r="O371" s="53">
        <v>0</v>
      </c>
      <c r="P371" s="53">
        <v>0</v>
      </c>
      <c r="Q371" s="53">
        <v>0</v>
      </c>
      <c r="R371" s="53">
        <v>0</v>
      </c>
      <c r="S371" s="53">
        <v>0</v>
      </c>
      <c r="T371" s="53">
        <v>0</v>
      </c>
      <c r="U371" s="53">
        <v>0</v>
      </c>
      <c r="V371" s="53">
        <v>0</v>
      </c>
      <c r="W371" s="30">
        <f>W370</f>
        <v>38.044800000000002</v>
      </c>
      <c r="Y371" s="53">
        <v>1</v>
      </c>
      <c r="Z371" s="53" t="s">
        <v>16</v>
      </c>
      <c r="AA371" s="53">
        <v>29040</v>
      </c>
      <c r="AB371" s="53">
        <v>80</v>
      </c>
      <c r="AC371" s="53">
        <v>2</v>
      </c>
      <c r="AD371" s="53">
        <v>8</v>
      </c>
      <c r="AE371" s="53">
        <v>395.43</v>
      </c>
      <c r="AF371" s="59">
        <v>41.292000000000002</v>
      </c>
      <c r="AG371" s="54">
        <v>45307</v>
      </c>
      <c r="AH371" s="55">
        <v>0.49973379629629627</v>
      </c>
      <c r="AI371" s="53">
        <v>0</v>
      </c>
      <c r="AJ371" s="53">
        <v>0</v>
      </c>
      <c r="AK371" s="53">
        <v>0</v>
      </c>
      <c r="AL371" s="53">
        <v>0</v>
      </c>
      <c r="AM371" s="53">
        <v>0</v>
      </c>
      <c r="AN371" s="53">
        <v>0</v>
      </c>
      <c r="AO371" s="53">
        <v>0</v>
      </c>
      <c r="AP371" s="53">
        <v>0</v>
      </c>
      <c r="AQ371" s="53">
        <v>0</v>
      </c>
      <c r="AR371" s="53">
        <v>0</v>
      </c>
      <c r="AS371" s="53">
        <v>0</v>
      </c>
      <c r="AT371" s="53">
        <v>0</v>
      </c>
      <c r="AU371" s="30">
        <f t="shared" ref="AU371" si="149">AU370</f>
        <v>41.308800000000005</v>
      </c>
    </row>
    <row r="372" spans="1:47" x14ac:dyDescent="0.25">
      <c r="A372" s="53">
        <v>2</v>
      </c>
      <c r="B372" s="53" t="s">
        <v>16</v>
      </c>
      <c r="C372" s="53">
        <v>28896</v>
      </c>
      <c r="D372" s="53">
        <v>168</v>
      </c>
      <c r="E372" s="53">
        <v>2</v>
      </c>
      <c r="F372" s="53">
        <v>8</v>
      </c>
      <c r="G372" s="53">
        <v>422.57</v>
      </c>
      <c r="H372" s="119">
        <v>38.067999999999998</v>
      </c>
      <c r="I372" s="54">
        <v>45318</v>
      </c>
      <c r="J372" s="120">
        <v>8.1689814814814812E-2</v>
      </c>
      <c r="K372" s="53">
        <v>0</v>
      </c>
      <c r="L372" s="53">
        <v>0</v>
      </c>
      <c r="M372" s="53">
        <v>0</v>
      </c>
      <c r="N372" s="53">
        <v>0</v>
      </c>
      <c r="O372" s="53">
        <v>0</v>
      </c>
      <c r="P372" s="53">
        <v>0</v>
      </c>
      <c r="Q372" s="53">
        <v>0</v>
      </c>
      <c r="R372" s="53">
        <v>0</v>
      </c>
      <c r="S372" s="53">
        <v>0</v>
      </c>
      <c r="T372" s="53">
        <v>0</v>
      </c>
      <c r="U372" s="53">
        <v>0</v>
      </c>
      <c r="V372" s="53">
        <v>0</v>
      </c>
      <c r="W372" s="30">
        <f>W371</f>
        <v>38.044800000000002</v>
      </c>
      <c r="Y372" s="53">
        <v>2</v>
      </c>
      <c r="Z372" s="53" t="s">
        <v>16</v>
      </c>
      <c r="AA372" s="53">
        <v>29040</v>
      </c>
      <c r="AB372" s="53">
        <v>80</v>
      </c>
      <c r="AC372" s="53">
        <v>2</v>
      </c>
      <c r="AD372" s="53">
        <v>8</v>
      </c>
      <c r="AE372" s="53">
        <v>395.13</v>
      </c>
      <c r="AF372" s="59">
        <v>41.323</v>
      </c>
      <c r="AG372" s="54">
        <v>45307</v>
      </c>
      <c r="AH372" s="55">
        <v>0.51569444444444446</v>
      </c>
      <c r="AI372" s="53">
        <v>0</v>
      </c>
      <c r="AJ372" s="53">
        <v>0</v>
      </c>
      <c r="AK372" s="53">
        <v>0</v>
      </c>
      <c r="AL372" s="53">
        <v>0</v>
      </c>
      <c r="AM372" s="53">
        <v>0</v>
      </c>
      <c r="AN372" s="53">
        <v>0</v>
      </c>
      <c r="AO372" s="53">
        <v>0</v>
      </c>
      <c r="AP372" s="53">
        <v>0</v>
      </c>
      <c r="AQ372" s="53">
        <v>0</v>
      </c>
      <c r="AR372" s="53">
        <v>0</v>
      </c>
      <c r="AS372" s="53">
        <v>0</v>
      </c>
      <c r="AT372" s="53">
        <v>0</v>
      </c>
      <c r="AU372" s="30">
        <f>AU371</f>
        <v>41.308800000000005</v>
      </c>
    </row>
    <row r="373" spans="1:47" x14ac:dyDescent="0.25">
      <c r="A373" s="53">
        <v>3</v>
      </c>
      <c r="B373" s="53" t="s">
        <v>16</v>
      </c>
      <c r="C373" s="53">
        <v>28896</v>
      </c>
      <c r="D373" s="53">
        <v>168</v>
      </c>
      <c r="E373" s="53">
        <v>2</v>
      </c>
      <c r="F373" s="53">
        <v>8</v>
      </c>
      <c r="G373" s="53">
        <v>422.63</v>
      </c>
      <c r="H373" s="119">
        <v>38.063000000000002</v>
      </c>
      <c r="I373" s="54">
        <v>45318</v>
      </c>
      <c r="J373" s="120">
        <v>0.11274305555555557</v>
      </c>
      <c r="K373" s="53">
        <v>0</v>
      </c>
      <c r="L373" s="53">
        <v>0</v>
      </c>
      <c r="M373" s="53">
        <v>0</v>
      </c>
      <c r="N373" s="53">
        <v>0</v>
      </c>
      <c r="O373" s="53">
        <v>0</v>
      </c>
      <c r="P373" s="53">
        <v>0</v>
      </c>
      <c r="Q373" s="53">
        <v>0</v>
      </c>
      <c r="R373" s="53">
        <v>0</v>
      </c>
      <c r="S373" s="53">
        <v>0</v>
      </c>
      <c r="T373" s="53">
        <v>0</v>
      </c>
      <c r="U373" s="53">
        <v>0</v>
      </c>
      <c r="V373" s="53">
        <v>0</v>
      </c>
      <c r="W373" s="30">
        <f>W372</f>
        <v>38.044800000000002</v>
      </c>
      <c r="Y373" s="53">
        <v>3</v>
      </c>
      <c r="Z373" s="53" t="s">
        <v>16</v>
      </c>
      <c r="AA373" s="53">
        <v>29040</v>
      </c>
      <c r="AB373" s="53">
        <v>80</v>
      </c>
      <c r="AC373" s="53">
        <v>2</v>
      </c>
      <c r="AD373" s="53">
        <v>8</v>
      </c>
      <c r="AE373" s="53">
        <v>395.07</v>
      </c>
      <c r="AF373" s="59">
        <v>41.33</v>
      </c>
      <c r="AG373" s="54">
        <v>45307</v>
      </c>
      <c r="AH373" s="55">
        <v>0.53165509259259258</v>
      </c>
      <c r="AI373" s="53">
        <v>0</v>
      </c>
      <c r="AJ373" s="53">
        <v>0</v>
      </c>
      <c r="AK373" s="53">
        <v>0</v>
      </c>
      <c r="AL373" s="53">
        <v>0</v>
      </c>
      <c r="AM373" s="53">
        <v>0</v>
      </c>
      <c r="AN373" s="53">
        <v>0</v>
      </c>
      <c r="AO373" s="53">
        <v>0</v>
      </c>
      <c r="AP373" s="53">
        <v>0</v>
      </c>
      <c r="AQ373" s="53">
        <v>0</v>
      </c>
      <c r="AR373" s="53">
        <v>0</v>
      </c>
      <c r="AS373" s="53">
        <v>0</v>
      </c>
      <c r="AT373" s="53">
        <v>0</v>
      </c>
      <c r="AU373" s="30">
        <f>AU372</f>
        <v>41.308800000000005</v>
      </c>
    </row>
    <row r="374" spans="1:47" x14ac:dyDescent="0.25">
      <c r="A374" s="53">
        <v>4</v>
      </c>
      <c r="B374" s="53" t="s">
        <v>16</v>
      </c>
      <c r="C374" s="53">
        <v>28896</v>
      </c>
      <c r="D374" s="53">
        <v>168</v>
      </c>
      <c r="E374" s="53">
        <v>2</v>
      </c>
      <c r="F374" s="53">
        <v>8</v>
      </c>
      <c r="G374" s="53">
        <v>422.25</v>
      </c>
      <c r="H374" s="119">
        <v>38.097000000000001</v>
      </c>
      <c r="I374" s="54">
        <v>45318</v>
      </c>
      <c r="J374" s="120">
        <v>0.14379629629629628</v>
      </c>
      <c r="K374" s="53">
        <v>0</v>
      </c>
      <c r="L374" s="53">
        <v>0</v>
      </c>
      <c r="M374" s="53">
        <v>0</v>
      </c>
      <c r="N374" s="53">
        <v>0</v>
      </c>
      <c r="O374" s="53">
        <v>0</v>
      </c>
      <c r="P374" s="53">
        <v>0</v>
      </c>
      <c r="Q374" s="53">
        <v>0</v>
      </c>
      <c r="R374" s="53">
        <v>0</v>
      </c>
      <c r="S374" s="53">
        <v>0</v>
      </c>
      <c r="T374" s="53">
        <v>0</v>
      </c>
      <c r="U374" s="53">
        <v>0</v>
      </c>
      <c r="V374" s="53">
        <v>0</v>
      </c>
      <c r="W374" s="30">
        <f>W373</f>
        <v>38.044800000000002</v>
      </c>
      <c r="Y374" s="53">
        <v>4</v>
      </c>
      <c r="Z374" s="53" t="s">
        <v>16</v>
      </c>
      <c r="AA374" s="53">
        <v>29040</v>
      </c>
      <c r="AB374" s="53">
        <v>80</v>
      </c>
      <c r="AC374" s="53">
        <v>2</v>
      </c>
      <c r="AD374" s="53">
        <v>8</v>
      </c>
      <c r="AE374" s="53">
        <v>395.45</v>
      </c>
      <c r="AF374" s="59">
        <v>41.29</v>
      </c>
      <c r="AG374" s="54">
        <v>45307</v>
      </c>
      <c r="AH374" s="55">
        <v>0.54761574074074071</v>
      </c>
      <c r="AI374" s="53">
        <v>0</v>
      </c>
      <c r="AJ374" s="53">
        <v>0</v>
      </c>
      <c r="AK374" s="53">
        <v>0</v>
      </c>
      <c r="AL374" s="53">
        <v>0</v>
      </c>
      <c r="AM374" s="53">
        <v>0</v>
      </c>
      <c r="AN374" s="53">
        <v>0</v>
      </c>
      <c r="AO374" s="53">
        <v>0</v>
      </c>
      <c r="AP374" s="53">
        <v>0</v>
      </c>
      <c r="AQ374" s="53">
        <v>0</v>
      </c>
      <c r="AR374" s="53">
        <v>0</v>
      </c>
      <c r="AS374" s="53">
        <v>0</v>
      </c>
      <c r="AT374" s="53">
        <v>0</v>
      </c>
      <c r="AU374" s="30">
        <f>AU373</f>
        <v>41.308800000000005</v>
      </c>
    </row>
    <row r="375" spans="1:47" x14ac:dyDescent="0.25">
      <c r="A375" s="53">
        <v>0</v>
      </c>
      <c r="B375" s="53" t="s">
        <v>16</v>
      </c>
      <c r="C375" s="53">
        <v>28968</v>
      </c>
      <c r="D375" s="53">
        <v>136</v>
      </c>
      <c r="E375" s="53">
        <v>2</v>
      </c>
      <c r="F375" s="53">
        <v>8</v>
      </c>
      <c r="G375" s="53">
        <v>432.34</v>
      </c>
      <c r="H375" s="119">
        <v>37.485999999999997</v>
      </c>
      <c r="I375" s="54">
        <v>45318</v>
      </c>
      <c r="J375" s="120">
        <v>9.2013888888888892E-3</v>
      </c>
      <c r="K375" s="53">
        <v>0</v>
      </c>
      <c r="L375" s="53">
        <v>0</v>
      </c>
      <c r="M375" s="53">
        <v>0</v>
      </c>
      <c r="N375" s="53">
        <v>0</v>
      </c>
      <c r="O375" s="53">
        <v>0</v>
      </c>
      <c r="P375" s="53">
        <v>0</v>
      </c>
      <c r="Q375" s="53">
        <v>0</v>
      </c>
      <c r="R375" s="53">
        <v>0</v>
      </c>
      <c r="S375" s="53">
        <v>0</v>
      </c>
      <c r="T375" s="53">
        <v>0</v>
      </c>
      <c r="U375" s="53">
        <v>0</v>
      </c>
      <c r="V375" s="53">
        <v>0</v>
      </c>
      <c r="W375" s="30">
        <f>AVERAGE(H375:H379)</f>
        <v>37.615200000000002</v>
      </c>
      <c r="Y375" s="53">
        <v>0</v>
      </c>
      <c r="Z375" s="53" t="s">
        <v>16</v>
      </c>
      <c r="AA375" s="53">
        <v>29040</v>
      </c>
      <c r="AB375" s="53">
        <v>88</v>
      </c>
      <c r="AC375" s="53">
        <v>2</v>
      </c>
      <c r="AD375" s="53">
        <v>8</v>
      </c>
      <c r="AE375" s="53">
        <v>393.77</v>
      </c>
      <c r="AF375" s="59">
        <v>41.465000000000003</v>
      </c>
      <c r="AG375" s="54">
        <v>45307</v>
      </c>
      <c r="AH375" s="55">
        <v>0.56149305555555562</v>
      </c>
      <c r="AI375" s="53">
        <v>0</v>
      </c>
      <c r="AJ375" s="53">
        <v>0</v>
      </c>
      <c r="AK375" s="53">
        <v>0</v>
      </c>
      <c r="AL375" s="53">
        <v>0</v>
      </c>
      <c r="AM375" s="53">
        <v>0</v>
      </c>
      <c r="AN375" s="53">
        <v>0</v>
      </c>
      <c r="AO375" s="53">
        <v>0</v>
      </c>
      <c r="AP375" s="53">
        <v>0</v>
      </c>
      <c r="AQ375" s="53">
        <v>0</v>
      </c>
      <c r="AR375" s="53">
        <v>0</v>
      </c>
      <c r="AS375" s="53">
        <v>0</v>
      </c>
      <c r="AT375" s="53">
        <v>0</v>
      </c>
      <c r="AU375" s="30">
        <f t="shared" ref="AU375" si="150">AVERAGE(AF375:AF379)</f>
        <v>41.516999999999996</v>
      </c>
    </row>
    <row r="376" spans="1:47" x14ac:dyDescent="0.25">
      <c r="A376" s="53">
        <v>1</v>
      </c>
      <c r="B376" s="53" t="s">
        <v>16</v>
      </c>
      <c r="C376" s="53">
        <v>28968</v>
      </c>
      <c r="D376" s="53">
        <v>136</v>
      </c>
      <c r="E376" s="53">
        <v>2</v>
      </c>
      <c r="F376" s="53">
        <v>8</v>
      </c>
      <c r="G376" s="53">
        <v>430.1</v>
      </c>
      <c r="H376" s="119">
        <v>37.680999999999997</v>
      </c>
      <c r="I376" s="54">
        <v>45318</v>
      </c>
      <c r="J376" s="120">
        <v>4.0312499999999994E-2</v>
      </c>
      <c r="K376" s="53">
        <v>0</v>
      </c>
      <c r="L376" s="53">
        <v>0</v>
      </c>
      <c r="M376" s="53">
        <v>0</v>
      </c>
      <c r="N376" s="53">
        <v>0</v>
      </c>
      <c r="O376" s="53">
        <v>0</v>
      </c>
      <c r="P376" s="53">
        <v>0</v>
      </c>
      <c r="Q376" s="53">
        <v>0</v>
      </c>
      <c r="R376" s="53">
        <v>0</v>
      </c>
      <c r="S376" s="53">
        <v>0</v>
      </c>
      <c r="T376" s="53">
        <v>0</v>
      </c>
      <c r="U376" s="53">
        <v>0</v>
      </c>
      <c r="V376" s="53">
        <v>0</v>
      </c>
      <c r="W376" s="30">
        <f>W375</f>
        <v>37.615200000000002</v>
      </c>
      <c r="Y376" s="53">
        <v>1</v>
      </c>
      <c r="Z376" s="53" t="s">
        <v>16</v>
      </c>
      <c r="AA376" s="53">
        <v>29040</v>
      </c>
      <c r="AB376" s="53">
        <v>88</v>
      </c>
      <c r="AC376" s="53">
        <v>2</v>
      </c>
      <c r="AD376" s="53">
        <v>8</v>
      </c>
      <c r="AE376" s="53">
        <v>393.14</v>
      </c>
      <c r="AF376" s="59">
        <v>41.531999999999996</v>
      </c>
      <c r="AG376" s="54">
        <v>45307</v>
      </c>
      <c r="AH376" s="55">
        <v>0.73827546296296298</v>
      </c>
      <c r="AI376" s="53">
        <v>0</v>
      </c>
      <c r="AJ376" s="53">
        <v>0</v>
      </c>
      <c r="AK376" s="53">
        <v>0</v>
      </c>
      <c r="AL376" s="53">
        <v>0</v>
      </c>
      <c r="AM376" s="53">
        <v>0</v>
      </c>
      <c r="AN376" s="53">
        <v>0</v>
      </c>
      <c r="AO376" s="53">
        <v>0</v>
      </c>
      <c r="AP376" s="53">
        <v>0</v>
      </c>
      <c r="AQ376" s="53">
        <v>0</v>
      </c>
      <c r="AR376" s="53">
        <v>0</v>
      </c>
      <c r="AS376" s="53">
        <v>0</v>
      </c>
      <c r="AT376" s="53">
        <v>0</v>
      </c>
      <c r="AU376" s="30">
        <f t="shared" ref="AU376" si="151">AU375</f>
        <v>41.516999999999996</v>
      </c>
    </row>
    <row r="377" spans="1:47" x14ac:dyDescent="0.25">
      <c r="A377" s="53">
        <v>2</v>
      </c>
      <c r="B377" s="53" t="s">
        <v>16</v>
      </c>
      <c r="C377" s="53">
        <v>28968</v>
      </c>
      <c r="D377" s="53">
        <v>136</v>
      </c>
      <c r="E377" s="53">
        <v>2</v>
      </c>
      <c r="F377" s="53">
        <v>8</v>
      </c>
      <c r="G377" s="53">
        <v>430.72</v>
      </c>
      <c r="H377" s="119">
        <v>37.627000000000002</v>
      </c>
      <c r="I377" s="54">
        <v>45318</v>
      </c>
      <c r="J377" s="120">
        <v>7.1388888888888891E-2</v>
      </c>
      <c r="K377" s="53">
        <v>0</v>
      </c>
      <c r="L377" s="53">
        <v>0</v>
      </c>
      <c r="M377" s="53">
        <v>0</v>
      </c>
      <c r="N377" s="53">
        <v>0</v>
      </c>
      <c r="O377" s="53">
        <v>0</v>
      </c>
      <c r="P377" s="53">
        <v>0</v>
      </c>
      <c r="Q377" s="53">
        <v>0</v>
      </c>
      <c r="R377" s="53">
        <v>0</v>
      </c>
      <c r="S377" s="53">
        <v>0</v>
      </c>
      <c r="T377" s="53">
        <v>0</v>
      </c>
      <c r="U377" s="53">
        <v>0</v>
      </c>
      <c r="V377" s="53">
        <v>0</v>
      </c>
      <c r="W377" s="30">
        <f>W376</f>
        <v>37.615200000000002</v>
      </c>
      <c r="Y377" s="53">
        <v>2</v>
      </c>
      <c r="Z377" s="53" t="s">
        <v>16</v>
      </c>
      <c r="AA377" s="53">
        <v>29040</v>
      </c>
      <c r="AB377" s="53">
        <v>88</v>
      </c>
      <c r="AC377" s="53">
        <v>2</v>
      </c>
      <c r="AD377" s="53">
        <v>8</v>
      </c>
      <c r="AE377" s="53">
        <v>393.38</v>
      </c>
      <c r="AF377" s="59">
        <v>41.506999999999998</v>
      </c>
      <c r="AG377" s="54">
        <v>45307</v>
      </c>
      <c r="AH377" s="55">
        <v>0.75936342592592598</v>
      </c>
      <c r="AI377" s="53">
        <v>0</v>
      </c>
      <c r="AJ377" s="53">
        <v>0</v>
      </c>
      <c r="AK377" s="53">
        <v>0</v>
      </c>
      <c r="AL377" s="53">
        <v>0</v>
      </c>
      <c r="AM377" s="53">
        <v>0</v>
      </c>
      <c r="AN377" s="53">
        <v>0</v>
      </c>
      <c r="AO377" s="53">
        <v>0</v>
      </c>
      <c r="AP377" s="53">
        <v>0</v>
      </c>
      <c r="AQ377" s="53">
        <v>0</v>
      </c>
      <c r="AR377" s="53">
        <v>0</v>
      </c>
      <c r="AS377" s="53">
        <v>0</v>
      </c>
      <c r="AT377" s="53">
        <v>0</v>
      </c>
      <c r="AU377" s="30">
        <f>AU376</f>
        <v>41.516999999999996</v>
      </c>
    </row>
    <row r="378" spans="1:47" x14ac:dyDescent="0.25">
      <c r="A378" s="53">
        <v>3</v>
      </c>
      <c r="B378" s="53" t="s">
        <v>16</v>
      </c>
      <c r="C378" s="53">
        <v>28968</v>
      </c>
      <c r="D378" s="53">
        <v>136</v>
      </c>
      <c r="E378" s="53">
        <v>2</v>
      </c>
      <c r="F378" s="53">
        <v>8</v>
      </c>
      <c r="G378" s="53">
        <v>430.26</v>
      </c>
      <c r="H378" s="119">
        <v>37.667000000000002</v>
      </c>
      <c r="I378" s="54">
        <v>45318</v>
      </c>
      <c r="J378" s="120">
        <v>0.10244212962962962</v>
      </c>
      <c r="K378" s="53">
        <v>0</v>
      </c>
      <c r="L378" s="53">
        <v>0</v>
      </c>
      <c r="M378" s="53">
        <v>0</v>
      </c>
      <c r="N378" s="53">
        <v>0</v>
      </c>
      <c r="O378" s="53">
        <v>0</v>
      </c>
      <c r="P378" s="53">
        <v>0</v>
      </c>
      <c r="Q378" s="53">
        <v>0</v>
      </c>
      <c r="R378" s="53">
        <v>0</v>
      </c>
      <c r="S378" s="53">
        <v>0</v>
      </c>
      <c r="T378" s="53">
        <v>0</v>
      </c>
      <c r="U378" s="53">
        <v>0</v>
      </c>
      <c r="V378" s="53">
        <v>0</v>
      </c>
      <c r="W378" s="30">
        <f>W377</f>
        <v>37.615200000000002</v>
      </c>
      <c r="Y378" s="53">
        <v>3</v>
      </c>
      <c r="Z378" s="53" t="s">
        <v>16</v>
      </c>
      <c r="AA378" s="53">
        <v>29040</v>
      </c>
      <c r="AB378" s="53">
        <v>88</v>
      </c>
      <c r="AC378" s="53">
        <v>2</v>
      </c>
      <c r="AD378" s="53">
        <v>8</v>
      </c>
      <c r="AE378" s="53">
        <v>392.99</v>
      </c>
      <c r="AF378" s="59">
        <v>41.548000000000002</v>
      </c>
      <c r="AG378" s="54">
        <v>45307</v>
      </c>
      <c r="AH378" s="55">
        <v>0.78043981481481473</v>
      </c>
      <c r="AI378" s="53">
        <v>0</v>
      </c>
      <c r="AJ378" s="53">
        <v>0</v>
      </c>
      <c r="AK378" s="53">
        <v>0</v>
      </c>
      <c r="AL378" s="53">
        <v>0</v>
      </c>
      <c r="AM378" s="53">
        <v>0</v>
      </c>
      <c r="AN378" s="53">
        <v>0</v>
      </c>
      <c r="AO378" s="53">
        <v>0</v>
      </c>
      <c r="AP378" s="53">
        <v>0</v>
      </c>
      <c r="AQ378" s="53">
        <v>0</v>
      </c>
      <c r="AR378" s="53">
        <v>0</v>
      </c>
      <c r="AS378" s="53">
        <v>0</v>
      </c>
      <c r="AT378" s="53">
        <v>0</v>
      </c>
      <c r="AU378" s="30">
        <f>AU377</f>
        <v>41.516999999999996</v>
      </c>
    </row>
    <row r="379" spans="1:47" x14ac:dyDescent="0.25">
      <c r="A379" s="53">
        <v>4</v>
      </c>
      <c r="B379" s="53" t="s">
        <v>16</v>
      </c>
      <c r="C379" s="53">
        <v>28968</v>
      </c>
      <c r="D379" s="53">
        <v>136</v>
      </c>
      <c r="E379" s="53">
        <v>2</v>
      </c>
      <c r="F379" s="53">
        <v>8</v>
      </c>
      <c r="G379" s="53">
        <v>430.86</v>
      </c>
      <c r="H379" s="119">
        <v>37.615000000000002</v>
      </c>
      <c r="I379" s="54">
        <v>45318</v>
      </c>
      <c r="J379" s="120">
        <v>0.13350694444444444</v>
      </c>
      <c r="K379" s="53">
        <v>0</v>
      </c>
      <c r="L379" s="53">
        <v>0</v>
      </c>
      <c r="M379" s="53">
        <v>0</v>
      </c>
      <c r="N379" s="53">
        <v>0</v>
      </c>
      <c r="O379" s="53">
        <v>0</v>
      </c>
      <c r="P379" s="53">
        <v>0</v>
      </c>
      <c r="Q379" s="53">
        <v>0</v>
      </c>
      <c r="R379" s="53">
        <v>0</v>
      </c>
      <c r="S379" s="53">
        <v>0</v>
      </c>
      <c r="T379" s="53">
        <v>0</v>
      </c>
      <c r="U379" s="53">
        <v>0</v>
      </c>
      <c r="V379" s="53">
        <v>0</v>
      </c>
      <c r="W379" s="30">
        <f>W378</f>
        <v>37.615200000000002</v>
      </c>
      <c r="Y379" s="53">
        <v>4</v>
      </c>
      <c r="Z379" s="53" t="s">
        <v>16</v>
      </c>
      <c r="AA379" s="53">
        <v>29040</v>
      </c>
      <c r="AB379" s="53">
        <v>88</v>
      </c>
      <c r="AC379" s="53">
        <v>2</v>
      </c>
      <c r="AD379" s="53">
        <v>8</v>
      </c>
      <c r="AE379" s="53">
        <v>393.14</v>
      </c>
      <c r="AF379" s="59">
        <v>41.533000000000001</v>
      </c>
      <c r="AG379" s="54">
        <v>45307</v>
      </c>
      <c r="AH379" s="55">
        <v>0.80150462962962965</v>
      </c>
      <c r="AI379" s="53">
        <v>0</v>
      </c>
      <c r="AJ379" s="53">
        <v>0</v>
      </c>
      <c r="AK379" s="53">
        <v>0</v>
      </c>
      <c r="AL379" s="53">
        <v>0</v>
      </c>
      <c r="AM379" s="53">
        <v>0</v>
      </c>
      <c r="AN379" s="53">
        <v>0</v>
      </c>
      <c r="AO379" s="53">
        <v>0</v>
      </c>
      <c r="AP379" s="53">
        <v>0</v>
      </c>
      <c r="AQ379" s="53">
        <v>0</v>
      </c>
      <c r="AR379" s="53">
        <v>0</v>
      </c>
      <c r="AS379" s="53">
        <v>0</v>
      </c>
      <c r="AT379" s="53">
        <v>0</v>
      </c>
      <c r="AU379" s="30">
        <f>AU378</f>
        <v>41.516999999999996</v>
      </c>
    </row>
    <row r="380" spans="1:47" x14ac:dyDescent="0.25">
      <c r="A380" s="53">
        <v>0</v>
      </c>
      <c r="B380" s="53" t="s">
        <v>16</v>
      </c>
      <c r="C380" s="53">
        <v>29016</v>
      </c>
      <c r="D380" s="53">
        <v>104</v>
      </c>
      <c r="E380" s="53">
        <v>2</v>
      </c>
      <c r="F380" s="53">
        <v>8</v>
      </c>
      <c r="G380" s="53">
        <v>441.53</v>
      </c>
      <c r="H380" s="119">
        <v>36.889000000000003</v>
      </c>
      <c r="I380" s="54">
        <v>45317</v>
      </c>
      <c r="J380" s="120">
        <v>0.99879629629629629</v>
      </c>
      <c r="K380" s="53">
        <v>0</v>
      </c>
      <c r="L380" s="53">
        <v>0</v>
      </c>
      <c r="M380" s="53">
        <v>0</v>
      </c>
      <c r="N380" s="53">
        <v>0</v>
      </c>
      <c r="O380" s="53">
        <v>0</v>
      </c>
      <c r="P380" s="53">
        <v>0</v>
      </c>
      <c r="Q380" s="53">
        <v>0</v>
      </c>
      <c r="R380" s="53">
        <v>0</v>
      </c>
      <c r="S380" s="53">
        <v>0</v>
      </c>
      <c r="T380" s="53">
        <v>0</v>
      </c>
      <c r="U380" s="53">
        <v>0</v>
      </c>
      <c r="V380" s="53">
        <v>0</v>
      </c>
      <c r="W380" s="30">
        <f>AVERAGE(H380:H384)</f>
        <v>37.0184</v>
      </c>
      <c r="Y380" s="53">
        <v>0</v>
      </c>
      <c r="Z380" s="53" t="s">
        <v>16</v>
      </c>
      <c r="AA380" s="53">
        <v>29016</v>
      </c>
      <c r="AB380" s="53">
        <v>104</v>
      </c>
      <c r="AC380" s="53">
        <v>2</v>
      </c>
      <c r="AD380" s="53">
        <v>8</v>
      </c>
      <c r="AE380" s="53">
        <v>390.73</v>
      </c>
      <c r="AF380" s="59">
        <v>41.683999999999997</v>
      </c>
      <c r="AG380" s="54">
        <v>45307</v>
      </c>
      <c r="AH380" s="55">
        <v>0.56674768518518526</v>
      </c>
      <c r="AI380" s="53">
        <v>0</v>
      </c>
      <c r="AJ380" s="53">
        <v>0</v>
      </c>
      <c r="AK380" s="53">
        <v>0</v>
      </c>
      <c r="AL380" s="53">
        <v>0</v>
      </c>
      <c r="AM380" s="53">
        <v>0</v>
      </c>
      <c r="AN380" s="53">
        <v>0</v>
      </c>
      <c r="AO380" s="53">
        <v>0</v>
      </c>
      <c r="AP380" s="53">
        <v>0</v>
      </c>
      <c r="AQ380" s="53">
        <v>0</v>
      </c>
      <c r="AR380" s="53">
        <v>0</v>
      </c>
      <c r="AS380" s="53">
        <v>0</v>
      </c>
      <c r="AT380" s="53">
        <v>0</v>
      </c>
      <c r="AU380" s="30">
        <f t="shared" ref="AU380" si="152">AVERAGE(AF380:AF384)</f>
        <v>41.650799999999997</v>
      </c>
    </row>
    <row r="381" spans="1:47" x14ac:dyDescent="0.25">
      <c r="A381" s="53">
        <v>1</v>
      </c>
      <c r="B381" s="53" t="s">
        <v>16</v>
      </c>
      <c r="C381" s="53">
        <v>29016</v>
      </c>
      <c r="D381" s="53">
        <v>104</v>
      </c>
      <c r="E381" s="53">
        <v>2</v>
      </c>
      <c r="F381" s="53">
        <v>8</v>
      </c>
      <c r="G381" s="53">
        <v>439.45</v>
      </c>
      <c r="H381" s="119">
        <v>37.064</v>
      </c>
      <c r="I381" s="54">
        <v>45318</v>
      </c>
      <c r="J381" s="120">
        <v>2.9953703703703705E-2</v>
      </c>
      <c r="K381" s="53">
        <v>0</v>
      </c>
      <c r="L381" s="53">
        <v>0</v>
      </c>
      <c r="M381" s="53">
        <v>0</v>
      </c>
      <c r="N381" s="53">
        <v>0</v>
      </c>
      <c r="O381" s="53">
        <v>0</v>
      </c>
      <c r="P381" s="53">
        <v>0</v>
      </c>
      <c r="Q381" s="53">
        <v>0</v>
      </c>
      <c r="R381" s="53">
        <v>0</v>
      </c>
      <c r="S381" s="53">
        <v>0</v>
      </c>
      <c r="T381" s="53">
        <v>0</v>
      </c>
      <c r="U381" s="53">
        <v>0</v>
      </c>
      <c r="V381" s="53">
        <v>0</v>
      </c>
      <c r="W381" s="30">
        <f>W380</f>
        <v>37.0184</v>
      </c>
      <c r="Y381" s="53">
        <v>1</v>
      </c>
      <c r="Z381" s="53" t="s">
        <v>16</v>
      </c>
      <c r="AA381" s="53">
        <v>29016</v>
      </c>
      <c r="AB381" s="53">
        <v>104</v>
      </c>
      <c r="AC381" s="53">
        <v>2</v>
      </c>
      <c r="AD381" s="53">
        <v>8</v>
      </c>
      <c r="AE381" s="53">
        <v>391.65</v>
      </c>
      <c r="AF381" s="59">
        <v>41.587000000000003</v>
      </c>
      <c r="AG381" s="54">
        <v>45307</v>
      </c>
      <c r="AH381" s="55">
        <v>0.74353009259259262</v>
      </c>
      <c r="AI381" s="53">
        <v>0</v>
      </c>
      <c r="AJ381" s="53">
        <v>0</v>
      </c>
      <c r="AK381" s="53">
        <v>0</v>
      </c>
      <c r="AL381" s="53">
        <v>0</v>
      </c>
      <c r="AM381" s="53">
        <v>0</v>
      </c>
      <c r="AN381" s="53">
        <v>0</v>
      </c>
      <c r="AO381" s="53">
        <v>0</v>
      </c>
      <c r="AP381" s="53">
        <v>0</v>
      </c>
      <c r="AQ381" s="53">
        <v>0</v>
      </c>
      <c r="AR381" s="53">
        <v>0</v>
      </c>
      <c r="AS381" s="53">
        <v>0</v>
      </c>
      <c r="AT381" s="53">
        <v>0</v>
      </c>
      <c r="AU381" s="30">
        <f t="shared" ref="AU381" si="153">AU380</f>
        <v>41.650799999999997</v>
      </c>
    </row>
    <row r="382" spans="1:47" x14ac:dyDescent="0.25">
      <c r="A382" s="53">
        <v>2</v>
      </c>
      <c r="B382" s="53" t="s">
        <v>16</v>
      </c>
      <c r="C382" s="53">
        <v>29016</v>
      </c>
      <c r="D382" s="53">
        <v>104</v>
      </c>
      <c r="E382" s="53">
        <v>2</v>
      </c>
      <c r="F382" s="53">
        <v>8</v>
      </c>
      <c r="G382" s="53">
        <v>439.37</v>
      </c>
      <c r="H382" s="119">
        <v>37.07</v>
      </c>
      <c r="I382" s="54">
        <v>45318</v>
      </c>
      <c r="J382" s="120">
        <v>6.1018518518518521E-2</v>
      </c>
      <c r="K382" s="53">
        <v>0</v>
      </c>
      <c r="L382" s="53">
        <v>0</v>
      </c>
      <c r="M382" s="53">
        <v>0</v>
      </c>
      <c r="N382" s="53">
        <v>0</v>
      </c>
      <c r="O382" s="53">
        <v>0</v>
      </c>
      <c r="P382" s="53">
        <v>0</v>
      </c>
      <c r="Q382" s="53">
        <v>0</v>
      </c>
      <c r="R382" s="53">
        <v>0</v>
      </c>
      <c r="S382" s="53">
        <v>0</v>
      </c>
      <c r="T382" s="53">
        <v>0</v>
      </c>
      <c r="U382" s="53">
        <v>0</v>
      </c>
      <c r="V382" s="53">
        <v>0</v>
      </c>
      <c r="W382" s="30">
        <f>W381</f>
        <v>37.0184</v>
      </c>
      <c r="Y382" s="53">
        <v>2</v>
      </c>
      <c r="Z382" s="53" t="s">
        <v>16</v>
      </c>
      <c r="AA382" s="53">
        <v>29016</v>
      </c>
      <c r="AB382" s="53">
        <v>104</v>
      </c>
      <c r="AC382" s="53">
        <v>2</v>
      </c>
      <c r="AD382" s="53">
        <v>8</v>
      </c>
      <c r="AE382" s="53">
        <v>391</v>
      </c>
      <c r="AF382" s="59">
        <v>41.655999999999999</v>
      </c>
      <c r="AG382" s="54">
        <v>45307</v>
      </c>
      <c r="AH382" s="55">
        <v>0.76461805555555562</v>
      </c>
      <c r="AI382" s="53">
        <v>0</v>
      </c>
      <c r="AJ382" s="53">
        <v>0</v>
      </c>
      <c r="AK382" s="53">
        <v>0</v>
      </c>
      <c r="AL382" s="53">
        <v>0</v>
      </c>
      <c r="AM382" s="53">
        <v>0</v>
      </c>
      <c r="AN382" s="53">
        <v>0</v>
      </c>
      <c r="AO382" s="53">
        <v>0</v>
      </c>
      <c r="AP382" s="53">
        <v>0</v>
      </c>
      <c r="AQ382" s="53">
        <v>0</v>
      </c>
      <c r="AR382" s="53">
        <v>0</v>
      </c>
      <c r="AS382" s="53">
        <v>0</v>
      </c>
      <c r="AT382" s="53">
        <v>0</v>
      </c>
      <c r="AU382" s="30">
        <f>AU381</f>
        <v>41.650799999999997</v>
      </c>
    </row>
    <row r="383" spans="1:47" x14ac:dyDescent="0.25">
      <c r="A383" s="53">
        <v>3</v>
      </c>
      <c r="B383" s="53" t="s">
        <v>16</v>
      </c>
      <c r="C383" s="53">
        <v>29016</v>
      </c>
      <c r="D383" s="53">
        <v>104</v>
      </c>
      <c r="E383" s="53">
        <v>2</v>
      </c>
      <c r="F383" s="53">
        <v>8</v>
      </c>
      <c r="G383" s="53">
        <v>439.91</v>
      </c>
      <c r="H383" s="119">
        <v>37.024000000000001</v>
      </c>
      <c r="I383" s="54">
        <v>45318</v>
      </c>
      <c r="J383" s="120">
        <v>9.2071759259259256E-2</v>
      </c>
      <c r="K383" s="53">
        <v>0</v>
      </c>
      <c r="L383" s="53">
        <v>0</v>
      </c>
      <c r="M383" s="53">
        <v>0</v>
      </c>
      <c r="N383" s="53">
        <v>0</v>
      </c>
      <c r="O383" s="53">
        <v>0</v>
      </c>
      <c r="P383" s="53">
        <v>0</v>
      </c>
      <c r="Q383" s="53">
        <v>0</v>
      </c>
      <c r="R383" s="53">
        <v>0</v>
      </c>
      <c r="S383" s="53">
        <v>0</v>
      </c>
      <c r="T383" s="53">
        <v>0</v>
      </c>
      <c r="U383" s="53">
        <v>0</v>
      </c>
      <c r="V383" s="53">
        <v>0</v>
      </c>
      <c r="W383" s="30">
        <f>W382</f>
        <v>37.0184</v>
      </c>
      <c r="Y383" s="53">
        <v>3</v>
      </c>
      <c r="Z383" s="53" t="s">
        <v>16</v>
      </c>
      <c r="AA383" s="53">
        <v>29016</v>
      </c>
      <c r="AB383" s="53">
        <v>104</v>
      </c>
      <c r="AC383" s="53">
        <v>2</v>
      </c>
      <c r="AD383" s="53">
        <v>8</v>
      </c>
      <c r="AE383" s="53">
        <v>391.13</v>
      </c>
      <c r="AF383" s="59">
        <v>41.643000000000001</v>
      </c>
      <c r="AG383" s="54">
        <v>45307</v>
      </c>
      <c r="AH383" s="55">
        <v>0.78568287037037043</v>
      </c>
      <c r="AI383" s="53">
        <v>0</v>
      </c>
      <c r="AJ383" s="53">
        <v>0</v>
      </c>
      <c r="AK383" s="53">
        <v>0</v>
      </c>
      <c r="AL383" s="53">
        <v>0</v>
      </c>
      <c r="AM383" s="53">
        <v>0</v>
      </c>
      <c r="AN383" s="53">
        <v>0</v>
      </c>
      <c r="AO383" s="53">
        <v>0</v>
      </c>
      <c r="AP383" s="53">
        <v>0</v>
      </c>
      <c r="AQ383" s="53">
        <v>0</v>
      </c>
      <c r="AR383" s="53">
        <v>0</v>
      </c>
      <c r="AS383" s="53">
        <v>0</v>
      </c>
      <c r="AT383" s="53">
        <v>0</v>
      </c>
      <c r="AU383" s="30">
        <f>AU382</f>
        <v>41.650799999999997</v>
      </c>
    </row>
    <row r="384" spans="1:47" x14ac:dyDescent="0.25">
      <c r="A384" s="53">
        <v>4</v>
      </c>
      <c r="B384" s="53" t="s">
        <v>16</v>
      </c>
      <c r="C384" s="53">
        <v>29016</v>
      </c>
      <c r="D384" s="53">
        <v>104</v>
      </c>
      <c r="E384" s="53">
        <v>2</v>
      </c>
      <c r="F384" s="53">
        <v>8</v>
      </c>
      <c r="G384" s="53">
        <v>439.67</v>
      </c>
      <c r="H384" s="119">
        <v>37.045000000000002</v>
      </c>
      <c r="I384" s="54">
        <v>45318</v>
      </c>
      <c r="J384" s="120">
        <v>0.12313657407407408</v>
      </c>
      <c r="K384" s="53">
        <v>0</v>
      </c>
      <c r="L384" s="53">
        <v>0</v>
      </c>
      <c r="M384" s="53">
        <v>0</v>
      </c>
      <c r="N384" s="53">
        <v>0</v>
      </c>
      <c r="O384" s="53">
        <v>0</v>
      </c>
      <c r="P384" s="53">
        <v>0</v>
      </c>
      <c r="Q384" s="53">
        <v>0</v>
      </c>
      <c r="R384" s="53">
        <v>0</v>
      </c>
      <c r="S384" s="53">
        <v>0</v>
      </c>
      <c r="T384" s="53">
        <v>0</v>
      </c>
      <c r="U384" s="53">
        <v>0</v>
      </c>
      <c r="V384" s="53">
        <v>0</v>
      </c>
      <c r="W384" s="30">
        <f>W383</f>
        <v>37.0184</v>
      </c>
      <c r="Y384" s="53">
        <v>4</v>
      </c>
      <c r="Z384" s="53" t="s">
        <v>16</v>
      </c>
      <c r="AA384" s="53">
        <v>29016</v>
      </c>
      <c r="AB384" s="53">
        <v>104</v>
      </c>
      <c r="AC384" s="53">
        <v>2</v>
      </c>
      <c r="AD384" s="53">
        <v>8</v>
      </c>
      <c r="AE384" s="53">
        <v>390.74</v>
      </c>
      <c r="AF384" s="59">
        <v>41.683999999999997</v>
      </c>
      <c r="AG384" s="54">
        <v>45307</v>
      </c>
      <c r="AH384" s="55">
        <v>0.80675925925925929</v>
      </c>
      <c r="AI384" s="53">
        <v>0</v>
      </c>
      <c r="AJ384" s="53">
        <v>0</v>
      </c>
      <c r="AK384" s="53">
        <v>0</v>
      </c>
      <c r="AL384" s="53">
        <v>0</v>
      </c>
      <c r="AM384" s="53">
        <v>0</v>
      </c>
      <c r="AN384" s="53">
        <v>0</v>
      </c>
      <c r="AO384" s="53">
        <v>0</v>
      </c>
      <c r="AP384" s="53">
        <v>0</v>
      </c>
      <c r="AQ384" s="53">
        <v>0</v>
      </c>
      <c r="AR384" s="53">
        <v>0</v>
      </c>
      <c r="AS384" s="53">
        <v>0</v>
      </c>
      <c r="AT384" s="53">
        <v>0</v>
      </c>
      <c r="AU384" s="30">
        <f>AU383</f>
        <v>41.650799999999997</v>
      </c>
    </row>
    <row r="385" spans="1:47" x14ac:dyDescent="0.25">
      <c r="A385" s="53">
        <v>0</v>
      </c>
      <c r="B385" s="53" t="s">
        <v>16</v>
      </c>
      <c r="C385" s="53">
        <v>29032</v>
      </c>
      <c r="D385" s="53">
        <v>152</v>
      </c>
      <c r="E385" s="53">
        <v>2</v>
      </c>
      <c r="F385" s="53">
        <v>8</v>
      </c>
      <c r="G385" s="53">
        <v>432.28</v>
      </c>
      <c r="H385" s="119">
        <v>37.741</v>
      </c>
      <c r="I385" s="54">
        <v>45318</v>
      </c>
      <c r="J385" s="120">
        <v>1.4421296296296295E-2</v>
      </c>
      <c r="K385" s="53">
        <v>0</v>
      </c>
      <c r="L385" s="53">
        <v>0</v>
      </c>
      <c r="M385" s="53">
        <v>0</v>
      </c>
      <c r="N385" s="53">
        <v>0</v>
      </c>
      <c r="O385" s="53">
        <v>0</v>
      </c>
      <c r="P385" s="53">
        <v>0</v>
      </c>
      <c r="Q385" s="53">
        <v>0</v>
      </c>
      <c r="R385" s="53">
        <v>0</v>
      </c>
      <c r="S385" s="53">
        <v>0</v>
      </c>
      <c r="T385" s="53">
        <v>0</v>
      </c>
      <c r="U385" s="53">
        <v>0</v>
      </c>
      <c r="V385" s="53">
        <v>0</v>
      </c>
      <c r="W385" s="30">
        <f>AVERAGE(H385:H389)</f>
        <v>37.915599999999998</v>
      </c>
      <c r="Y385" s="53">
        <v>0</v>
      </c>
      <c r="Z385" s="53" t="s">
        <v>16</v>
      </c>
      <c r="AA385" s="53">
        <v>29008</v>
      </c>
      <c r="AB385" s="53">
        <v>112</v>
      </c>
      <c r="AC385" s="53">
        <v>2</v>
      </c>
      <c r="AD385" s="53">
        <v>8</v>
      </c>
      <c r="AE385" s="53">
        <v>390.65</v>
      </c>
      <c r="AF385" s="59">
        <v>41.658999999999999</v>
      </c>
      <c r="AG385" s="54">
        <v>45307</v>
      </c>
      <c r="AH385" s="55">
        <v>0.72771990740740744</v>
      </c>
      <c r="AI385" s="53">
        <v>0</v>
      </c>
      <c r="AJ385" s="53">
        <v>0</v>
      </c>
      <c r="AK385" s="53">
        <v>0</v>
      </c>
      <c r="AL385" s="53">
        <v>0</v>
      </c>
      <c r="AM385" s="53">
        <v>0</v>
      </c>
      <c r="AN385" s="53">
        <v>0</v>
      </c>
      <c r="AO385" s="53">
        <v>0</v>
      </c>
      <c r="AP385" s="53">
        <v>0</v>
      </c>
      <c r="AQ385" s="53">
        <v>0</v>
      </c>
      <c r="AR385" s="53">
        <v>0</v>
      </c>
      <c r="AS385" s="53">
        <v>0</v>
      </c>
      <c r="AT385" s="53">
        <v>0</v>
      </c>
      <c r="AU385" s="30">
        <f t="shared" ref="AU385" si="154">AVERAGE(AF385:AF389)</f>
        <v>41.5946</v>
      </c>
    </row>
    <row r="386" spans="1:47" x14ac:dyDescent="0.25">
      <c r="A386" s="53">
        <v>1</v>
      </c>
      <c r="B386" s="53" t="s">
        <v>16</v>
      </c>
      <c r="C386" s="53">
        <v>29032</v>
      </c>
      <c r="D386" s="53">
        <v>152</v>
      </c>
      <c r="E386" s="53">
        <v>2</v>
      </c>
      <c r="F386" s="53">
        <v>8</v>
      </c>
      <c r="G386" s="53">
        <v>430.35</v>
      </c>
      <c r="H386" s="119">
        <v>37.909999999999997</v>
      </c>
      <c r="I386" s="54">
        <v>45318</v>
      </c>
      <c r="J386" s="120">
        <v>4.5509259259259256E-2</v>
      </c>
      <c r="K386" s="53">
        <v>0</v>
      </c>
      <c r="L386" s="53">
        <v>0</v>
      </c>
      <c r="M386" s="53">
        <v>0</v>
      </c>
      <c r="N386" s="53">
        <v>0</v>
      </c>
      <c r="O386" s="53">
        <v>0</v>
      </c>
      <c r="P386" s="53">
        <v>0</v>
      </c>
      <c r="Q386" s="53">
        <v>0</v>
      </c>
      <c r="R386" s="53">
        <v>0</v>
      </c>
      <c r="S386" s="53">
        <v>0</v>
      </c>
      <c r="T386" s="53">
        <v>0</v>
      </c>
      <c r="U386" s="53">
        <v>0</v>
      </c>
      <c r="V386" s="53">
        <v>0</v>
      </c>
      <c r="W386" s="30">
        <f>W385</f>
        <v>37.915599999999998</v>
      </c>
      <c r="Y386" s="53">
        <v>1</v>
      </c>
      <c r="Z386" s="53" t="s">
        <v>16</v>
      </c>
      <c r="AA386" s="53">
        <v>29008</v>
      </c>
      <c r="AB386" s="53">
        <v>112</v>
      </c>
      <c r="AC386" s="53">
        <v>2</v>
      </c>
      <c r="AD386" s="53">
        <v>8</v>
      </c>
      <c r="AE386" s="53">
        <v>391.95</v>
      </c>
      <c r="AF386" s="59">
        <v>41.521000000000001</v>
      </c>
      <c r="AG386" s="54">
        <v>45307</v>
      </c>
      <c r="AH386" s="55">
        <v>0.74879629629629629</v>
      </c>
      <c r="AI386" s="53">
        <v>0</v>
      </c>
      <c r="AJ386" s="53">
        <v>0</v>
      </c>
      <c r="AK386" s="53">
        <v>0</v>
      </c>
      <c r="AL386" s="53">
        <v>0</v>
      </c>
      <c r="AM386" s="53">
        <v>0</v>
      </c>
      <c r="AN386" s="53">
        <v>0</v>
      </c>
      <c r="AO386" s="53">
        <v>0</v>
      </c>
      <c r="AP386" s="53">
        <v>0</v>
      </c>
      <c r="AQ386" s="53">
        <v>0</v>
      </c>
      <c r="AR386" s="53">
        <v>0</v>
      </c>
      <c r="AS386" s="53">
        <v>0</v>
      </c>
      <c r="AT386" s="53">
        <v>0</v>
      </c>
      <c r="AU386" s="30">
        <f t="shared" ref="AU386:AU439" si="155">AU385</f>
        <v>41.5946</v>
      </c>
    </row>
    <row r="387" spans="1:47" x14ac:dyDescent="0.25">
      <c r="A387" s="53">
        <v>2</v>
      </c>
      <c r="B387" s="53" t="s">
        <v>16</v>
      </c>
      <c r="C387" s="53">
        <v>29032</v>
      </c>
      <c r="D387" s="53">
        <v>152</v>
      </c>
      <c r="E387" s="53">
        <v>2</v>
      </c>
      <c r="F387" s="53">
        <v>8</v>
      </c>
      <c r="G387" s="53">
        <v>429.46</v>
      </c>
      <c r="H387" s="119">
        <v>37.988999999999997</v>
      </c>
      <c r="I387" s="54">
        <v>45318</v>
      </c>
      <c r="J387" s="120">
        <v>7.6574074074074072E-2</v>
      </c>
      <c r="K387" s="53">
        <v>0</v>
      </c>
      <c r="L387" s="53">
        <v>0</v>
      </c>
      <c r="M387" s="53">
        <v>0</v>
      </c>
      <c r="N387" s="53">
        <v>0</v>
      </c>
      <c r="O387" s="53">
        <v>0</v>
      </c>
      <c r="P387" s="53">
        <v>0</v>
      </c>
      <c r="Q387" s="53">
        <v>0</v>
      </c>
      <c r="R387" s="53">
        <v>0</v>
      </c>
      <c r="S387" s="53">
        <v>0</v>
      </c>
      <c r="T387" s="53">
        <v>0</v>
      </c>
      <c r="U387" s="53">
        <v>0</v>
      </c>
      <c r="V387" s="53">
        <v>0</v>
      </c>
      <c r="W387" s="30">
        <f>W386</f>
        <v>37.915599999999998</v>
      </c>
      <c r="Y387" s="53">
        <v>2</v>
      </c>
      <c r="Z387" s="53" t="s">
        <v>16</v>
      </c>
      <c r="AA387" s="53">
        <v>29008</v>
      </c>
      <c r="AB387" s="53">
        <v>112</v>
      </c>
      <c r="AC387" s="53">
        <v>2</v>
      </c>
      <c r="AD387" s="53">
        <v>8</v>
      </c>
      <c r="AE387" s="53">
        <v>391.79</v>
      </c>
      <c r="AF387" s="59">
        <v>41.537999999999997</v>
      </c>
      <c r="AG387" s="54">
        <v>45307</v>
      </c>
      <c r="AH387" s="55">
        <v>0.7698842592592593</v>
      </c>
      <c r="AI387" s="53">
        <v>0</v>
      </c>
      <c r="AJ387" s="53">
        <v>0</v>
      </c>
      <c r="AK387" s="53">
        <v>0</v>
      </c>
      <c r="AL387" s="53">
        <v>0</v>
      </c>
      <c r="AM387" s="53">
        <v>0</v>
      </c>
      <c r="AN387" s="53">
        <v>0</v>
      </c>
      <c r="AO387" s="53">
        <v>0</v>
      </c>
      <c r="AP387" s="53">
        <v>0</v>
      </c>
      <c r="AQ387" s="53">
        <v>0</v>
      </c>
      <c r="AR387" s="53">
        <v>0</v>
      </c>
      <c r="AS387" s="53">
        <v>0</v>
      </c>
      <c r="AT387" s="53">
        <v>0</v>
      </c>
      <c r="AU387" s="30">
        <f t="shared" si="155"/>
        <v>41.5946</v>
      </c>
    </row>
    <row r="388" spans="1:47" x14ac:dyDescent="0.25">
      <c r="A388" s="53">
        <v>3</v>
      </c>
      <c r="B388" s="53" t="s">
        <v>16</v>
      </c>
      <c r="C388" s="53">
        <v>29032</v>
      </c>
      <c r="D388" s="53">
        <v>152</v>
      </c>
      <c r="E388" s="53">
        <v>2</v>
      </c>
      <c r="F388" s="53">
        <v>8</v>
      </c>
      <c r="G388" s="53">
        <v>430.08</v>
      </c>
      <c r="H388" s="119">
        <v>37.933999999999997</v>
      </c>
      <c r="I388" s="54">
        <v>45318</v>
      </c>
      <c r="J388" s="120">
        <v>0.1076388888888889</v>
      </c>
      <c r="K388" s="53">
        <v>0</v>
      </c>
      <c r="L388" s="53">
        <v>0</v>
      </c>
      <c r="M388" s="53">
        <v>0</v>
      </c>
      <c r="N388" s="53">
        <v>0</v>
      </c>
      <c r="O388" s="53">
        <v>0</v>
      </c>
      <c r="P388" s="53">
        <v>0</v>
      </c>
      <c r="Q388" s="53">
        <v>0</v>
      </c>
      <c r="R388" s="53">
        <v>0</v>
      </c>
      <c r="S388" s="53">
        <v>0</v>
      </c>
      <c r="T388" s="53">
        <v>0</v>
      </c>
      <c r="U388" s="53">
        <v>0</v>
      </c>
      <c r="V388" s="53">
        <v>0</v>
      </c>
      <c r="W388" s="30">
        <f>W387</f>
        <v>37.915599999999998</v>
      </c>
      <c r="Y388" s="53">
        <v>3</v>
      </c>
      <c r="Z388" s="53" t="s">
        <v>16</v>
      </c>
      <c r="AA388" s="53">
        <v>29008</v>
      </c>
      <c r="AB388" s="53">
        <v>112</v>
      </c>
      <c r="AC388" s="53">
        <v>2</v>
      </c>
      <c r="AD388" s="53">
        <v>8</v>
      </c>
      <c r="AE388" s="53">
        <v>391.01</v>
      </c>
      <c r="AF388" s="59">
        <v>41.62</v>
      </c>
      <c r="AG388" s="54">
        <v>45307</v>
      </c>
      <c r="AH388" s="55">
        <v>0.53690972222222222</v>
      </c>
      <c r="AI388" s="53">
        <v>0</v>
      </c>
      <c r="AJ388" s="53">
        <v>0</v>
      </c>
      <c r="AK388" s="53">
        <v>0</v>
      </c>
      <c r="AL388" s="53">
        <v>0</v>
      </c>
      <c r="AM388" s="53">
        <v>0</v>
      </c>
      <c r="AN388" s="53">
        <v>0</v>
      </c>
      <c r="AO388" s="53">
        <v>0</v>
      </c>
      <c r="AP388" s="53">
        <v>0</v>
      </c>
      <c r="AQ388" s="53">
        <v>0</v>
      </c>
      <c r="AR388" s="53">
        <v>0</v>
      </c>
      <c r="AS388" s="53">
        <v>0</v>
      </c>
      <c r="AT388" s="53">
        <v>0</v>
      </c>
      <c r="AU388" s="30">
        <f t="shared" si="155"/>
        <v>41.5946</v>
      </c>
    </row>
    <row r="389" spans="1:47" x14ac:dyDescent="0.25">
      <c r="A389" s="53">
        <v>4</v>
      </c>
      <c r="B389" s="53" t="s">
        <v>16</v>
      </c>
      <c r="C389" s="53">
        <v>29032</v>
      </c>
      <c r="D389" s="53">
        <v>152</v>
      </c>
      <c r="E389" s="53">
        <v>2</v>
      </c>
      <c r="F389" s="53">
        <v>8</v>
      </c>
      <c r="G389" s="53">
        <v>429.28</v>
      </c>
      <c r="H389" s="119">
        <v>38.003999999999998</v>
      </c>
      <c r="I389" s="54">
        <v>45318</v>
      </c>
      <c r="J389" s="120">
        <v>0.13869212962962962</v>
      </c>
      <c r="K389" s="53">
        <v>0</v>
      </c>
      <c r="L389" s="53">
        <v>0</v>
      </c>
      <c r="M389" s="53">
        <v>0</v>
      </c>
      <c r="N389" s="53">
        <v>0</v>
      </c>
      <c r="O389" s="53">
        <v>0</v>
      </c>
      <c r="P389" s="53">
        <v>0</v>
      </c>
      <c r="Q389" s="53">
        <v>0</v>
      </c>
      <c r="R389" s="53">
        <v>0</v>
      </c>
      <c r="S389" s="53">
        <v>0</v>
      </c>
      <c r="T389" s="53">
        <v>0</v>
      </c>
      <c r="U389" s="53">
        <v>0</v>
      </c>
      <c r="V389" s="53">
        <v>0</v>
      </c>
      <c r="W389" s="30">
        <f>W388</f>
        <v>37.915599999999998</v>
      </c>
      <c r="Y389" s="53">
        <v>4</v>
      </c>
      <c r="Z389" s="53" t="s">
        <v>16</v>
      </c>
      <c r="AA389" s="53">
        <v>29008</v>
      </c>
      <c r="AB389" s="53">
        <v>112</v>
      </c>
      <c r="AC389" s="53">
        <v>2</v>
      </c>
      <c r="AD389" s="53">
        <v>8</v>
      </c>
      <c r="AE389" s="53">
        <v>390.87</v>
      </c>
      <c r="AF389" s="59">
        <v>41.634999999999998</v>
      </c>
      <c r="AG389" s="54">
        <v>45307</v>
      </c>
      <c r="AH389" s="55">
        <v>0.81201388888888892</v>
      </c>
      <c r="AI389" s="53">
        <v>0</v>
      </c>
      <c r="AJ389" s="53">
        <v>0</v>
      </c>
      <c r="AK389" s="53">
        <v>0</v>
      </c>
      <c r="AL389" s="53">
        <v>0</v>
      </c>
      <c r="AM389" s="53">
        <v>0</v>
      </c>
      <c r="AN389" s="53">
        <v>0</v>
      </c>
      <c r="AO389" s="53">
        <v>0</v>
      </c>
      <c r="AP389" s="53">
        <v>0</v>
      </c>
      <c r="AQ389" s="53">
        <v>0</v>
      </c>
      <c r="AR389" s="53">
        <v>0</v>
      </c>
      <c r="AS389" s="53">
        <v>0</v>
      </c>
      <c r="AT389" s="53">
        <v>0</v>
      </c>
      <c r="AU389" s="30">
        <f t="shared" si="155"/>
        <v>41.5946</v>
      </c>
    </row>
    <row r="390" spans="1:47" x14ac:dyDescent="0.25">
      <c r="A390" s="53">
        <v>0</v>
      </c>
      <c r="B390" s="53" t="s">
        <v>16</v>
      </c>
      <c r="C390" s="53">
        <v>29040</v>
      </c>
      <c r="D390" s="53">
        <v>120</v>
      </c>
      <c r="E390" s="53">
        <v>2</v>
      </c>
      <c r="F390" s="53">
        <v>8</v>
      </c>
      <c r="G390" s="53">
        <v>428.98</v>
      </c>
      <c r="H390" s="119">
        <v>38.063000000000002</v>
      </c>
      <c r="I390" s="54">
        <v>45318</v>
      </c>
      <c r="J390" s="120">
        <v>3.9814814814814817E-3</v>
      </c>
      <c r="K390" s="53">
        <v>0</v>
      </c>
      <c r="L390" s="53">
        <v>0</v>
      </c>
      <c r="M390" s="53">
        <v>0</v>
      </c>
      <c r="N390" s="53">
        <v>0</v>
      </c>
      <c r="O390" s="53">
        <v>0</v>
      </c>
      <c r="P390" s="53">
        <v>0</v>
      </c>
      <c r="Q390" s="53">
        <v>0</v>
      </c>
      <c r="R390" s="53">
        <v>0</v>
      </c>
      <c r="S390" s="53">
        <v>0</v>
      </c>
      <c r="T390" s="53">
        <v>0</v>
      </c>
      <c r="U390" s="53">
        <v>0</v>
      </c>
      <c r="V390" s="53">
        <v>0</v>
      </c>
      <c r="W390" s="30">
        <f>AVERAGE(H390:H394)</f>
        <v>38.163800000000002</v>
      </c>
      <c r="Y390" s="53">
        <v>0</v>
      </c>
      <c r="Z390" s="53" t="s">
        <v>16</v>
      </c>
      <c r="AA390" s="53">
        <v>29040</v>
      </c>
      <c r="AB390" s="53">
        <v>120</v>
      </c>
      <c r="AC390" s="53">
        <v>2</v>
      </c>
      <c r="AD390" s="53">
        <v>8</v>
      </c>
      <c r="AE390" s="53">
        <v>391.74</v>
      </c>
      <c r="AF390" s="59">
        <v>41.680999999999997</v>
      </c>
      <c r="AG390" s="54">
        <v>45307</v>
      </c>
      <c r="AH390" s="55">
        <v>0.57728009259259261</v>
      </c>
      <c r="AI390" s="53">
        <v>0</v>
      </c>
      <c r="AJ390" s="53">
        <v>0</v>
      </c>
      <c r="AK390" s="53">
        <v>0</v>
      </c>
      <c r="AL390" s="53">
        <v>0</v>
      </c>
      <c r="AM390" s="53">
        <v>0</v>
      </c>
      <c r="AN390" s="53">
        <v>0</v>
      </c>
      <c r="AO390" s="53">
        <v>0</v>
      </c>
      <c r="AP390" s="53">
        <v>0</v>
      </c>
      <c r="AQ390" s="53">
        <v>0</v>
      </c>
      <c r="AR390" s="53">
        <v>0</v>
      </c>
      <c r="AS390" s="53">
        <v>0</v>
      </c>
      <c r="AT390" s="53">
        <v>0</v>
      </c>
      <c r="AU390" s="30">
        <f t="shared" ref="AU390" si="156">AVERAGE(AF390:AF394)</f>
        <v>41.692799999999998</v>
      </c>
    </row>
    <row r="391" spans="1:47" x14ac:dyDescent="0.25">
      <c r="A391" s="53">
        <v>1</v>
      </c>
      <c r="B391" s="53" t="s">
        <v>16</v>
      </c>
      <c r="C391" s="53">
        <v>29040</v>
      </c>
      <c r="D391" s="53">
        <v>120</v>
      </c>
      <c r="E391" s="53">
        <v>2</v>
      </c>
      <c r="F391" s="53">
        <v>8</v>
      </c>
      <c r="G391" s="53">
        <v>427.64</v>
      </c>
      <c r="H391" s="119">
        <v>38.182000000000002</v>
      </c>
      <c r="I391" s="54">
        <v>45318</v>
      </c>
      <c r="J391" s="120">
        <v>3.5115740740740746E-2</v>
      </c>
      <c r="K391" s="53">
        <v>0</v>
      </c>
      <c r="L391" s="53">
        <v>0</v>
      </c>
      <c r="M391" s="53">
        <v>0</v>
      </c>
      <c r="N391" s="53">
        <v>0</v>
      </c>
      <c r="O391" s="53">
        <v>0</v>
      </c>
      <c r="P391" s="53">
        <v>0</v>
      </c>
      <c r="Q391" s="53">
        <v>0</v>
      </c>
      <c r="R391" s="53">
        <v>0</v>
      </c>
      <c r="S391" s="53">
        <v>0</v>
      </c>
      <c r="T391" s="53">
        <v>0</v>
      </c>
      <c r="U391" s="53">
        <v>0</v>
      </c>
      <c r="V391" s="53">
        <v>0</v>
      </c>
      <c r="W391" s="30">
        <f>W390</f>
        <v>38.163800000000002</v>
      </c>
      <c r="Y391" s="53">
        <v>1</v>
      </c>
      <c r="Z391" s="53" t="s">
        <v>16</v>
      </c>
      <c r="AA391" s="53">
        <v>29040</v>
      </c>
      <c r="AB391" s="53">
        <v>120</v>
      </c>
      <c r="AC391" s="53">
        <v>2</v>
      </c>
      <c r="AD391" s="53">
        <v>8</v>
      </c>
      <c r="AE391" s="53">
        <v>392.04</v>
      </c>
      <c r="AF391" s="59">
        <v>41.649000000000001</v>
      </c>
      <c r="AG391" s="54">
        <v>45307</v>
      </c>
      <c r="AH391" s="55">
        <v>0.75407407407407412</v>
      </c>
      <c r="AI391" s="53">
        <v>0</v>
      </c>
      <c r="AJ391" s="53">
        <v>0</v>
      </c>
      <c r="AK391" s="53">
        <v>0</v>
      </c>
      <c r="AL391" s="53">
        <v>0</v>
      </c>
      <c r="AM391" s="53">
        <v>0</v>
      </c>
      <c r="AN391" s="53">
        <v>0</v>
      </c>
      <c r="AO391" s="53">
        <v>0</v>
      </c>
      <c r="AP391" s="53">
        <v>0</v>
      </c>
      <c r="AQ391" s="53">
        <v>0</v>
      </c>
      <c r="AR391" s="53">
        <v>0</v>
      </c>
      <c r="AS391" s="53">
        <v>0</v>
      </c>
      <c r="AT391" s="53">
        <v>0</v>
      </c>
      <c r="AU391" s="30">
        <f t="shared" ref="AU391:AU434" si="157">AU390</f>
        <v>41.692799999999998</v>
      </c>
    </row>
    <row r="392" spans="1:47" x14ac:dyDescent="0.25">
      <c r="A392" s="53">
        <v>2</v>
      </c>
      <c r="B392" s="53" t="s">
        <v>16</v>
      </c>
      <c r="C392" s="53">
        <v>29040</v>
      </c>
      <c r="D392" s="53">
        <v>120</v>
      </c>
      <c r="E392" s="53">
        <v>2</v>
      </c>
      <c r="F392" s="53">
        <v>8</v>
      </c>
      <c r="G392" s="53">
        <v>427.46</v>
      </c>
      <c r="H392" s="119">
        <v>38.198</v>
      </c>
      <c r="I392" s="54">
        <v>45318</v>
      </c>
      <c r="J392" s="120">
        <v>6.6180555555555562E-2</v>
      </c>
      <c r="K392" s="53">
        <v>0</v>
      </c>
      <c r="L392" s="53">
        <v>0</v>
      </c>
      <c r="M392" s="53">
        <v>0</v>
      </c>
      <c r="N392" s="53">
        <v>0</v>
      </c>
      <c r="O392" s="53">
        <v>0</v>
      </c>
      <c r="P392" s="53">
        <v>0</v>
      </c>
      <c r="Q392" s="53">
        <v>0</v>
      </c>
      <c r="R392" s="53">
        <v>0</v>
      </c>
      <c r="S392" s="53">
        <v>0</v>
      </c>
      <c r="T392" s="53">
        <v>0</v>
      </c>
      <c r="U392" s="53">
        <v>0</v>
      </c>
      <c r="V392" s="53">
        <v>0</v>
      </c>
      <c r="W392" s="30">
        <f>W391</f>
        <v>38.163800000000002</v>
      </c>
      <c r="Y392" s="53">
        <v>2</v>
      </c>
      <c r="Z392" s="53" t="s">
        <v>16</v>
      </c>
      <c r="AA392" s="53">
        <v>29040</v>
      </c>
      <c r="AB392" s="53">
        <v>120</v>
      </c>
      <c r="AC392" s="53">
        <v>2</v>
      </c>
      <c r="AD392" s="53">
        <v>8</v>
      </c>
      <c r="AE392" s="53">
        <v>391.66</v>
      </c>
      <c r="AF392" s="59">
        <v>41.689</v>
      </c>
      <c r="AG392" s="54">
        <v>45307</v>
      </c>
      <c r="AH392" s="55">
        <v>0.77515046296296297</v>
      </c>
      <c r="AI392" s="53">
        <v>0</v>
      </c>
      <c r="AJ392" s="53">
        <v>0</v>
      </c>
      <c r="AK392" s="53">
        <v>0</v>
      </c>
      <c r="AL392" s="53">
        <v>0</v>
      </c>
      <c r="AM392" s="53">
        <v>0</v>
      </c>
      <c r="AN392" s="53">
        <v>0</v>
      </c>
      <c r="AO392" s="53">
        <v>0</v>
      </c>
      <c r="AP392" s="53">
        <v>0</v>
      </c>
      <c r="AQ392" s="53">
        <v>0</v>
      </c>
      <c r="AR392" s="53">
        <v>0</v>
      </c>
      <c r="AS392" s="53">
        <v>0</v>
      </c>
      <c r="AT392" s="53">
        <v>0</v>
      </c>
      <c r="AU392" s="30">
        <f t="shared" si="157"/>
        <v>41.692799999999998</v>
      </c>
    </row>
    <row r="393" spans="1:47" x14ac:dyDescent="0.25">
      <c r="A393" s="53">
        <v>3</v>
      </c>
      <c r="B393" s="53" t="s">
        <v>16</v>
      </c>
      <c r="C393" s="53">
        <v>29040</v>
      </c>
      <c r="D393" s="53">
        <v>120</v>
      </c>
      <c r="E393" s="53">
        <v>2</v>
      </c>
      <c r="F393" s="53">
        <v>8</v>
      </c>
      <c r="G393" s="53">
        <v>427.66</v>
      </c>
      <c r="H393" s="119">
        <v>38.18</v>
      </c>
      <c r="I393" s="54">
        <v>45318</v>
      </c>
      <c r="J393" s="120">
        <v>9.7245370370370357E-2</v>
      </c>
      <c r="K393" s="53">
        <v>0</v>
      </c>
      <c r="L393" s="53">
        <v>0</v>
      </c>
      <c r="M393" s="53">
        <v>0</v>
      </c>
      <c r="N393" s="53">
        <v>0</v>
      </c>
      <c r="O393" s="53">
        <v>0</v>
      </c>
      <c r="P393" s="53">
        <v>0</v>
      </c>
      <c r="Q393" s="53">
        <v>0</v>
      </c>
      <c r="R393" s="53">
        <v>0</v>
      </c>
      <c r="S393" s="53">
        <v>0</v>
      </c>
      <c r="T393" s="53">
        <v>0</v>
      </c>
      <c r="U393" s="53">
        <v>0</v>
      </c>
      <c r="V393" s="53">
        <v>0</v>
      </c>
      <c r="W393" s="30">
        <f>W392</f>
        <v>38.163800000000002</v>
      </c>
      <c r="Y393" s="53">
        <v>3</v>
      </c>
      <c r="Z393" s="53" t="s">
        <v>16</v>
      </c>
      <c r="AA393" s="53">
        <v>29040</v>
      </c>
      <c r="AB393" s="53">
        <v>120</v>
      </c>
      <c r="AC393" s="53">
        <v>2</v>
      </c>
      <c r="AD393" s="53">
        <v>8</v>
      </c>
      <c r="AE393" s="53">
        <v>391.85</v>
      </c>
      <c r="AF393" s="59">
        <v>41.668999999999997</v>
      </c>
      <c r="AG393" s="54">
        <v>45307</v>
      </c>
      <c r="AH393" s="55">
        <v>0.79622685185185194</v>
      </c>
      <c r="AI393" s="53">
        <v>0</v>
      </c>
      <c r="AJ393" s="53">
        <v>0</v>
      </c>
      <c r="AK393" s="53">
        <v>0</v>
      </c>
      <c r="AL393" s="53">
        <v>0</v>
      </c>
      <c r="AM393" s="53">
        <v>0</v>
      </c>
      <c r="AN393" s="53">
        <v>0</v>
      </c>
      <c r="AO393" s="53">
        <v>0</v>
      </c>
      <c r="AP393" s="53">
        <v>0</v>
      </c>
      <c r="AQ393" s="53">
        <v>0</v>
      </c>
      <c r="AR393" s="53">
        <v>0</v>
      </c>
      <c r="AS393" s="53">
        <v>0</v>
      </c>
      <c r="AT393" s="53">
        <v>0</v>
      </c>
      <c r="AU393" s="30">
        <f t="shared" si="157"/>
        <v>41.692799999999998</v>
      </c>
    </row>
    <row r="394" spans="1:47" x14ac:dyDescent="0.25">
      <c r="A394" s="53">
        <v>4</v>
      </c>
      <c r="B394" s="53" t="s">
        <v>16</v>
      </c>
      <c r="C394" s="53">
        <v>29040</v>
      </c>
      <c r="D394" s="53">
        <v>120</v>
      </c>
      <c r="E394" s="53">
        <v>2</v>
      </c>
      <c r="F394" s="53">
        <v>8</v>
      </c>
      <c r="G394" s="53">
        <v>427.48</v>
      </c>
      <c r="H394" s="119">
        <v>38.195999999999998</v>
      </c>
      <c r="I394" s="54">
        <v>45318</v>
      </c>
      <c r="J394" s="120">
        <v>0.1282986111111111</v>
      </c>
      <c r="K394" s="53">
        <v>0</v>
      </c>
      <c r="L394" s="53">
        <v>0</v>
      </c>
      <c r="M394" s="53">
        <v>0</v>
      </c>
      <c r="N394" s="53">
        <v>0</v>
      </c>
      <c r="O394" s="53">
        <v>0</v>
      </c>
      <c r="P394" s="53">
        <v>0</v>
      </c>
      <c r="Q394" s="53">
        <v>0</v>
      </c>
      <c r="R394" s="53">
        <v>0</v>
      </c>
      <c r="S394" s="53">
        <v>0</v>
      </c>
      <c r="T394" s="53">
        <v>0</v>
      </c>
      <c r="U394" s="53">
        <v>0</v>
      </c>
      <c r="V394" s="53">
        <v>0</v>
      </c>
      <c r="W394" s="30">
        <f>W393</f>
        <v>38.163800000000002</v>
      </c>
      <c r="Y394" s="53">
        <v>4</v>
      </c>
      <c r="Z394" s="53" t="s">
        <v>16</v>
      </c>
      <c r="AA394" s="53">
        <v>29040</v>
      </c>
      <c r="AB394" s="53">
        <v>120</v>
      </c>
      <c r="AC394" s="53">
        <v>2</v>
      </c>
      <c r="AD394" s="53">
        <v>8</v>
      </c>
      <c r="AE394" s="53">
        <v>390.85</v>
      </c>
      <c r="AF394" s="59">
        <v>41.776000000000003</v>
      </c>
      <c r="AG394" s="54">
        <v>45307</v>
      </c>
      <c r="AH394" s="55">
        <v>0.81726851851851856</v>
      </c>
      <c r="AI394" s="53">
        <v>0</v>
      </c>
      <c r="AJ394" s="53">
        <v>0</v>
      </c>
      <c r="AK394" s="53">
        <v>0</v>
      </c>
      <c r="AL394" s="53">
        <v>0</v>
      </c>
      <c r="AM394" s="53">
        <v>0</v>
      </c>
      <c r="AN394" s="53">
        <v>0</v>
      </c>
      <c r="AO394" s="53">
        <v>0</v>
      </c>
      <c r="AP394" s="53">
        <v>0</v>
      </c>
      <c r="AQ394" s="53">
        <v>0</v>
      </c>
      <c r="AR394" s="53">
        <v>0</v>
      </c>
      <c r="AS394" s="53">
        <v>0</v>
      </c>
      <c r="AT394" s="53">
        <v>0</v>
      </c>
      <c r="AU394" s="30">
        <f t="shared" si="157"/>
        <v>41.692799999999998</v>
      </c>
    </row>
    <row r="395" spans="1:47" x14ac:dyDescent="0.25">
      <c r="Y395">
        <v>0</v>
      </c>
      <c r="Z395" t="s">
        <v>16</v>
      </c>
      <c r="AA395">
        <v>29056</v>
      </c>
      <c r="AB395">
        <v>64</v>
      </c>
      <c r="AC395">
        <v>2</v>
      </c>
      <c r="AD395">
        <v>8</v>
      </c>
      <c r="AE395">
        <v>401.62</v>
      </c>
      <c r="AF395" s="58">
        <v>40.722000000000001</v>
      </c>
      <c r="AG395" s="33">
        <v>45318</v>
      </c>
      <c r="AH395" s="34">
        <v>0.15741898148148148</v>
      </c>
      <c r="AI395">
        <v>0</v>
      </c>
      <c r="AJ395">
        <v>0</v>
      </c>
      <c r="AK395">
        <v>0</v>
      </c>
      <c r="AL395">
        <v>0</v>
      </c>
      <c r="AM395">
        <v>0</v>
      </c>
      <c r="AN395">
        <v>0</v>
      </c>
      <c r="AO395">
        <v>0</v>
      </c>
      <c r="AP395">
        <v>0</v>
      </c>
      <c r="AQ395">
        <v>0</v>
      </c>
      <c r="AR395">
        <v>0</v>
      </c>
      <c r="AS395">
        <v>0</v>
      </c>
      <c r="AT395">
        <v>0</v>
      </c>
      <c r="AU395" s="30">
        <f t="shared" ref="AU395" si="158">AVERAGE(AF395:AF399)</f>
        <v>40.719999999999992</v>
      </c>
    </row>
    <row r="396" spans="1:47" x14ac:dyDescent="0.25">
      <c r="Y396">
        <v>1</v>
      </c>
      <c r="Z396" t="s">
        <v>16</v>
      </c>
      <c r="AA396">
        <v>29056</v>
      </c>
      <c r="AB396">
        <v>64</v>
      </c>
      <c r="AC396">
        <v>2</v>
      </c>
      <c r="AD396">
        <v>8</v>
      </c>
      <c r="AE396">
        <v>401.44</v>
      </c>
      <c r="AF396" s="58">
        <v>40.741</v>
      </c>
      <c r="AG396" s="33">
        <v>45318</v>
      </c>
      <c r="AH396" s="34">
        <v>0.20508101851851854</v>
      </c>
      <c r="AI396">
        <v>0</v>
      </c>
      <c r="AJ396">
        <v>0</v>
      </c>
      <c r="AK396">
        <v>0</v>
      </c>
      <c r="AL396">
        <v>0</v>
      </c>
      <c r="AM396">
        <v>0</v>
      </c>
      <c r="AN396">
        <v>0</v>
      </c>
      <c r="AO396">
        <v>0</v>
      </c>
      <c r="AP396">
        <v>0</v>
      </c>
      <c r="AQ396">
        <v>0</v>
      </c>
      <c r="AR396">
        <v>0</v>
      </c>
      <c r="AS396">
        <v>0</v>
      </c>
      <c r="AT396">
        <v>0</v>
      </c>
      <c r="AU396" s="30">
        <f t="shared" ref="AU396" si="159">AU395</f>
        <v>40.719999999999992</v>
      </c>
    </row>
    <row r="397" spans="1:47" x14ac:dyDescent="0.25">
      <c r="Y397">
        <v>2</v>
      </c>
      <c r="Z397" t="s">
        <v>16</v>
      </c>
      <c r="AA397">
        <v>29056</v>
      </c>
      <c r="AB397">
        <v>64</v>
      </c>
      <c r="AC397">
        <v>2</v>
      </c>
      <c r="AD397">
        <v>8</v>
      </c>
      <c r="AE397">
        <v>401.49</v>
      </c>
      <c r="AF397" s="58">
        <v>40.735999999999997</v>
      </c>
      <c r="AG397" s="33">
        <v>45318</v>
      </c>
      <c r="AH397" s="34">
        <v>0.25642361111111112</v>
      </c>
      <c r="AI397">
        <v>0</v>
      </c>
      <c r="AJ397">
        <v>0</v>
      </c>
      <c r="AK397">
        <v>0</v>
      </c>
      <c r="AL397">
        <v>0</v>
      </c>
      <c r="AM397">
        <v>0</v>
      </c>
      <c r="AN397">
        <v>0</v>
      </c>
      <c r="AO397">
        <v>0</v>
      </c>
      <c r="AP397">
        <v>0</v>
      </c>
      <c r="AQ397">
        <v>0</v>
      </c>
      <c r="AR397">
        <v>0</v>
      </c>
      <c r="AS397">
        <v>0</v>
      </c>
      <c r="AT397">
        <v>0</v>
      </c>
      <c r="AU397" s="30">
        <f t="shared" si="155"/>
        <v>40.719999999999992</v>
      </c>
    </row>
    <row r="398" spans="1:47" x14ac:dyDescent="0.25">
      <c r="Y398">
        <v>3</v>
      </c>
      <c r="Z398" t="s">
        <v>16</v>
      </c>
      <c r="AA398">
        <v>29056</v>
      </c>
      <c r="AB398">
        <v>64</v>
      </c>
      <c r="AC398">
        <v>2</v>
      </c>
      <c r="AD398">
        <v>8</v>
      </c>
      <c r="AE398">
        <v>401.95</v>
      </c>
      <c r="AF398" s="58">
        <v>40.689</v>
      </c>
      <c r="AG398" s="33">
        <v>45318</v>
      </c>
      <c r="AH398" s="34">
        <v>0.30410879629629628</v>
      </c>
      <c r="AI398">
        <v>0</v>
      </c>
      <c r="AJ398">
        <v>0</v>
      </c>
      <c r="AK398">
        <v>0</v>
      </c>
      <c r="AL398">
        <v>0</v>
      </c>
      <c r="AM398">
        <v>0</v>
      </c>
      <c r="AN398">
        <v>0</v>
      </c>
      <c r="AO398">
        <v>0</v>
      </c>
      <c r="AP398">
        <v>0</v>
      </c>
      <c r="AQ398">
        <v>0</v>
      </c>
      <c r="AR398">
        <v>0</v>
      </c>
      <c r="AS398">
        <v>0</v>
      </c>
      <c r="AT398">
        <v>0</v>
      </c>
      <c r="AU398" s="30">
        <f t="shared" si="155"/>
        <v>40.719999999999992</v>
      </c>
    </row>
    <row r="399" spans="1:47" x14ac:dyDescent="0.25">
      <c r="Y399">
        <v>4</v>
      </c>
      <c r="Z399" t="s">
        <v>16</v>
      </c>
      <c r="AA399">
        <v>29056</v>
      </c>
      <c r="AB399">
        <v>64</v>
      </c>
      <c r="AC399">
        <v>2</v>
      </c>
      <c r="AD399">
        <v>8</v>
      </c>
      <c r="AE399">
        <v>401.72</v>
      </c>
      <c r="AF399" s="58">
        <v>40.712000000000003</v>
      </c>
      <c r="AG399" s="33">
        <v>45318</v>
      </c>
      <c r="AH399" s="34">
        <v>0.3517939814814815</v>
      </c>
      <c r="AI399">
        <v>0</v>
      </c>
      <c r="AJ399">
        <v>0</v>
      </c>
      <c r="AK399">
        <v>0</v>
      </c>
      <c r="AL399">
        <v>0</v>
      </c>
      <c r="AM399">
        <v>0</v>
      </c>
      <c r="AN399">
        <v>0</v>
      </c>
      <c r="AO399">
        <v>0</v>
      </c>
      <c r="AP399">
        <v>0</v>
      </c>
      <c r="AQ399">
        <v>0</v>
      </c>
      <c r="AR399">
        <v>0</v>
      </c>
      <c r="AS399">
        <v>0</v>
      </c>
      <c r="AT399">
        <v>0</v>
      </c>
      <c r="AU399" s="30">
        <f t="shared" si="155"/>
        <v>40.719999999999992</v>
      </c>
    </row>
    <row r="400" spans="1:47" x14ac:dyDescent="0.25">
      <c r="Y400">
        <v>0</v>
      </c>
      <c r="Z400" t="s">
        <v>16</v>
      </c>
      <c r="AA400">
        <v>29016</v>
      </c>
      <c r="AB400">
        <v>72</v>
      </c>
      <c r="AC400">
        <v>2</v>
      </c>
      <c r="AD400">
        <v>8</v>
      </c>
      <c r="AE400">
        <v>392.04</v>
      </c>
      <c r="AF400" s="58">
        <v>41.545999999999999</v>
      </c>
      <c r="AG400" s="33">
        <v>45318</v>
      </c>
      <c r="AH400" s="34">
        <v>0.16269675925925928</v>
      </c>
      <c r="AI400">
        <v>0</v>
      </c>
      <c r="AJ400">
        <v>0</v>
      </c>
      <c r="AK400">
        <v>0</v>
      </c>
      <c r="AL400">
        <v>0</v>
      </c>
      <c r="AM400">
        <v>0</v>
      </c>
      <c r="AN400">
        <v>0</v>
      </c>
      <c r="AO400">
        <v>0</v>
      </c>
      <c r="AP400">
        <v>0</v>
      </c>
      <c r="AQ400">
        <v>0</v>
      </c>
      <c r="AR400">
        <v>0</v>
      </c>
      <c r="AS400">
        <v>0</v>
      </c>
      <c r="AT400">
        <v>0</v>
      </c>
      <c r="AU400" s="30">
        <f t="shared" ref="AU400" si="160">AVERAGE(AF400:AF404)</f>
        <v>41.540000000000006</v>
      </c>
    </row>
    <row r="401" spans="25:47" x14ac:dyDescent="0.25">
      <c r="Y401">
        <v>1</v>
      </c>
      <c r="Z401" t="s">
        <v>16</v>
      </c>
      <c r="AA401">
        <v>29016</v>
      </c>
      <c r="AB401">
        <v>72</v>
      </c>
      <c r="AC401">
        <v>2</v>
      </c>
      <c r="AD401">
        <v>8</v>
      </c>
      <c r="AE401">
        <v>391.88</v>
      </c>
      <c r="AF401" s="58">
        <v>41.563000000000002</v>
      </c>
      <c r="AG401" s="33">
        <v>45318</v>
      </c>
      <c r="AH401" s="34">
        <v>0.21403935185185186</v>
      </c>
      <c r="AI401">
        <v>0</v>
      </c>
      <c r="AJ401">
        <v>0</v>
      </c>
      <c r="AK401">
        <v>0</v>
      </c>
      <c r="AL401">
        <v>0</v>
      </c>
      <c r="AM401">
        <v>0</v>
      </c>
      <c r="AN401">
        <v>0</v>
      </c>
      <c r="AO401">
        <v>0</v>
      </c>
      <c r="AP401">
        <v>0</v>
      </c>
      <c r="AQ401">
        <v>0</v>
      </c>
      <c r="AR401">
        <v>0</v>
      </c>
      <c r="AS401">
        <v>0</v>
      </c>
      <c r="AT401">
        <v>0</v>
      </c>
      <c r="AU401" s="30">
        <f t="shared" ref="AU401" si="161">AU400</f>
        <v>41.540000000000006</v>
      </c>
    </row>
    <row r="402" spans="25:47" x14ac:dyDescent="0.25">
      <c r="Y402">
        <v>2</v>
      </c>
      <c r="Z402" t="s">
        <v>16</v>
      </c>
      <c r="AA402">
        <v>29016</v>
      </c>
      <c r="AB402">
        <v>72</v>
      </c>
      <c r="AC402">
        <v>2</v>
      </c>
      <c r="AD402">
        <v>8</v>
      </c>
      <c r="AE402">
        <v>392.01</v>
      </c>
      <c r="AF402" s="58">
        <v>41.548999999999999</v>
      </c>
      <c r="AG402" s="33">
        <v>45318</v>
      </c>
      <c r="AH402" s="34">
        <v>0.26170138888888889</v>
      </c>
      <c r="AI402">
        <v>0</v>
      </c>
      <c r="AJ402">
        <v>0</v>
      </c>
      <c r="AK402">
        <v>0</v>
      </c>
      <c r="AL402">
        <v>0</v>
      </c>
      <c r="AM402">
        <v>0</v>
      </c>
      <c r="AN402">
        <v>0</v>
      </c>
      <c r="AO402">
        <v>0</v>
      </c>
      <c r="AP402">
        <v>0</v>
      </c>
      <c r="AQ402">
        <v>0</v>
      </c>
      <c r="AR402">
        <v>0</v>
      </c>
      <c r="AS402">
        <v>0</v>
      </c>
      <c r="AT402">
        <v>0</v>
      </c>
      <c r="AU402" s="30">
        <f t="shared" si="157"/>
        <v>41.540000000000006</v>
      </c>
    </row>
    <row r="403" spans="25:47" x14ac:dyDescent="0.25">
      <c r="Y403">
        <v>3</v>
      </c>
      <c r="Z403" t="s">
        <v>16</v>
      </c>
      <c r="AA403">
        <v>29016</v>
      </c>
      <c r="AB403">
        <v>72</v>
      </c>
      <c r="AC403">
        <v>2</v>
      </c>
      <c r="AD403">
        <v>8</v>
      </c>
      <c r="AE403">
        <v>392.28</v>
      </c>
      <c r="AF403" s="58">
        <v>41.52</v>
      </c>
      <c r="AG403" s="33">
        <v>45318</v>
      </c>
      <c r="AH403" s="34">
        <v>0.30938657407407405</v>
      </c>
      <c r="AI403">
        <v>0</v>
      </c>
      <c r="AJ403">
        <v>0</v>
      </c>
      <c r="AK403">
        <v>0</v>
      </c>
      <c r="AL403">
        <v>0</v>
      </c>
      <c r="AM403">
        <v>0</v>
      </c>
      <c r="AN403">
        <v>0</v>
      </c>
      <c r="AO403">
        <v>0</v>
      </c>
      <c r="AP403">
        <v>0</v>
      </c>
      <c r="AQ403">
        <v>0</v>
      </c>
      <c r="AR403">
        <v>0</v>
      </c>
      <c r="AS403">
        <v>0</v>
      </c>
      <c r="AT403">
        <v>0</v>
      </c>
      <c r="AU403" s="30">
        <f t="shared" si="157"/>
        <v>41.540000000000006</v>
      </c>
    </row>
    <row r="404" spans="25:47" x14ac:dyDescent="0.25">
      <c r="Y404">
        <v>4</v>
      </c>
      <c r="Z404" t="s">
        <v>16</v>
      </c>
      <c r="AA404">
        <v>29016</v>
      </c>
      <c r="AB404">
        <v>72</v>
      </c>
      <c r="AC404">
        <v>2</v>
      </c>
      <c r="AD404">
        <v>8</v>
      </c>
      <c r="AE404">
        <v>392.26</v>
      </c>
      <c r="AF404" s="58">
        <v>41.521999999999998</v>
      </c>
      <c r="AG404" s="33">
        <v>45318</v>
      </c>
      <c r="AH404" s="34">
        <v>0.35706018518518517</v>
      </c>
      <c r="AI404">
        <v>0</v>
      </c>
      <c r="AJ404">
        <v>0</v>
      </c>
      <c r="AK404">
        <v>0</v>
      </c>
      <c r="AL404">
        <v>0</v>
      </c>
      <c r="AM404">
        <v>0</v>
      </c>
      <c r="AN404">
        <v>0</v>
      </c>
      <c r="AO404">
        <v>0</v>
      </c>
      <c r="AP404">
        <v>0</v>
      </c>
      <c r="AQ404">
        <v>0</v>
      </c>
      <c r="AR404">
        <v>0</v>
      </c>
      <c r="AS404">
        <v>0</v>
      </c>
      <c r="AT404">
        <v>0</v>
      </c>
      <c r="AU404" s="30">
        <f t="shared" si="157"/>
        <v>41.540000000000006</v>
      </c>
    </row>
    <row r="405" spans="25:47" x14ac:dyDescent="0.25">
      <c r="Y405">
        <v>0</v>
      </c>
      <c r="Z405" t="s">
        <v>16</v>
      </c>
      <c r="AA405">
        <v>29040</v>
      </c>
      <c r="AB405">
        <v>80</v>
      </c>
      <c r="AC405">
        <v>2</v>
      </c>
      <c r="AD405">
        <v>8</v>
      </c>
      <c r="AE405">
        <v>394.74</v>
      </c>
      <c r="AF405" s="58">
        <v>41.363999999999997</v>
      </c>
      <c r="AG405" s="33">
        <v>45318</v>
      </c>
      <c r="AH405" s="34">
        <v>0.16799768518518518</v>
      </c>
      <c r="AI405">
        <v>0</v>
      </c>
      <c r="AJ405">
        <v>0</v>
      </c>
      <c r="AK405">
        <v>0</v>
      </c>
      <c r="AL405">
        <v>0</v>
      </c>
      <c r="AM405">
        <v>0</v>
      </c>
      <c r="AN405">
        <v>0</v>
      </c>
      <c r="AO405">
        <v>0</v>
      </c>
      <c r="AP405">
        <v>0</v>
      </c>
      <c r="AQ405">
        <v>0</v>
      </c>
      <c r="AR405">
        <v>0</v>
      </c>
      <c r="AS405">
        <v>0</v>
      </c>
      <c r="AT405">
        <v>0</v>
      </c>
      <c r="AU405" s="30">
        <f t="shared" ref="AU405" si="162">AVERAGE(AF405:AF409)</f>
        <v>41.36</v>
      </c>
    </row>
    <row r="406" spans="25:47" x14ac:dyDescent="0.25">
      <c r="Y406">
        <v>1</v>
      </c>
      <c r="Z406" t="s">
        <v>16</v>
      </c>
      <c r="AA406">
        <v>29040</v>
      </c>
      <c r="AB406">
        <v>80</v>
      </c>
      <c r="AC406">
        <v>2</v>
      </c>
      <c r="AD406">
        <v>8</v>
      </c>
      <c r="AE406">
        <v>394.85</v>
      </c>
      <c r="AF406" s="58">
        <v>41.353000000000002</v>
      </c>
      <c r="AG406" s="33">
        <v>45318</v>
      </c>
      <c r="AH406" s="34">
        <v>0.21934027777777776</v>
      </c>
      <c r="AI406">
        <v>0</v>
      </c>
      <c r="AJ406">
        <v>0</v>
      </c>
      <c r="AK406">
        <v>0</v>
      </c>
      <c r="AL406">
        <v>0</v>
      </c>
      <c r="AM406">
        <v>0</v>
      </c>
      <c r="AN406">
        <v>0</v>
      </c>
      <c r="AO406">
        <v>0</v>
      </c>
      <c r="AP406">
        <v>0</v>
      </c>
      <c r="AQ406">
        <v>0</v>
      </c>
      <c r="AR406">
        <v>0</v>
      </c>
      <c r="AS406">
        <v>0</v>
      </c>
      <c r="AT406">
        <v>0</v>
      </c>
      <c r="AU406" s="30">
        <f t="shared" ref="AU406" si="163">AU405</f>
        <v>41.36</v>
      </c>
    </row>
    <row r="407" spans="25:47" x14ac:dyDescent="0.25">
      <c r="Y407">
        <v>2</v>
      </c>
      <c r="Z407" t="s">
        <v>16</v>
      </c>
      <c r="AA407">
        <v>29040</v>
      </c>
      <c r="AB407">
        <v>80</v>
      </c>
      <c r="AC407">
        <v>2</v>
      </c>
      <c r="AD407">
        <v>8</v>
      </c>
      <c r="AE407">
        <v>394.53</v>
      </c>
      <c r="AF407" s="58">
        <v>41.386000000000003</v>
      </c>
      <c r="AG407" s="33">
        <v>45318</v>
      </c>
      <c r="AH407" s="34">
        <v>0.26700231481481479</v>
      </c>
      <c r="AI407">
        <v>0</v>
      </c>
      <c r="AJ407">
        <v>0</v>
      </c>
      <c r="AK407">
        <v>0</v>
      </c>
      <c r="AL407">
        <v>0</v>
      </c>
      <c r="AM407">
        <v>0</v>
      </c>
      <c r="AN407">
        <v>0</v>
      </c>
      <c r="AO407">
        <v>0</v>
      </c>
      <c r="AP407">
        <v>0</v>
      </c>
      <c r="AQ407">
        <v>0</v>
      </c>
      <c r="AR407">
        <v>0</v>
      </c>
      <c r="AS407">
        <v>0</v>
      </c>
      <c r="AT407">
        <v>0</v>
      </c>
      <c r="AU407" s="30">
        <f t="shared" si="155"/>
        <v>41.36</v>
      </c>
    </row>
    <row r="408" spans="25:47" x14ac:dyDescent="0.25">
      <c r="Y408">
        <v>3</v>
      </c>
      <c r="Z408" t="s">
        <v>16</v>
      </c>
      <c r="AA408">
        <v>29040</v>
      </c>
      <c r="AB408">
        <v>80</v>
      </c>
      <c r="AC408">
        <v>2</v>
      </c>
      <c r="AD408">
        <v>8</v>
      </c>
      <c r="AE408">
        <v>395.34</v>
      </c>
      <c r="AF408" s="58">
        <v>41.301000000000002</v>
      </c>
      <c r="AG408" s="33">
        <v>45318</v>
      </c>
      <c r="AH408" s="34">
        <v>0.3146990740740741</v>
      </c>
      <c r="AI408">
        <v>0</v>
      </c>
      <c r="AJ408">
        <v>0</v>
      </c>
      <c r="AK408">
        <v>0</v>
      </c>
      <c r="AL408">
        <v>0</v>
      </c>
      <c r="AM408">
        <v>0</v>
      </c>
      <c r="AN408">
        <v>0</v>
      </c>
      <c r="AO408">
        <v>0</v>
      </c>
      <c r="AP408">
        <v>0</v>
      </c>
      <c r="AQ408">
        <v>0</v>
      </c>
      <c r="AR408">
        <v>0</v>
      </c>
      <c r="AS408">
        <v>0</v>
      </c>
      <c r="AT408">
        <v>0</v>
      </c>
      <c r="AU408" s="30">
        <f t="shared" si="155"/>
        <v>41.36</v>
      </c>
    </row>
    <row r="409" spans="25:47" x14ac:dyDescent="0.25">
      <c r="Y409">
        <v>4</v>
      </c>
      <c r="Z409" t="s">
        <v>16</v>
      </c>
      <c r="AA409">
        <v>29040</v>
      </c>
      <c r="AB409">
        <v>80</v>
      </c>
      <c r="AC409">
        <v>2</v>
      </c>
      <c r="AD409">
        <v>8</v>
      </c>
      <c r="AE409">
        <v>394.43</v>
      </c>
      <c r="AF409" s="58">
        <v>41.396000000000001</v>
      </c>
      <c r="AG409" s="33">
        <v>45318</v>
      </c>
      <c r="AH409" s="34">
        <v>0.36236111111111113</v>
      </c>
      <c r="AI409">
        <v>0</v>
      </c>
      <c r="AJ409">
        <v>0</v>
      </c>
      <c r="AK409">
        <v>0</v>
      </c>
      <c r="AL409">
        <v>0</v>
      </c>
      <c r="AM409">
        <v>0</v>
      </c>
      <c r="AN409">
        <v>0</v>
      </c>
      <c r="AO409">
        <v>0</v>
      </c>
      <c r="AP409">
        <v>0</v>
      </c>
      <c r="AQ409">
        <v>0</v>
      </c>
      <c r="AR409">
        <v>0</v>
      </c>
      <c r="AS409">
        <v>0</v>
      </c>
      <c r="AT409">
        <v>0</v>
      </c>
      <c r="AU409" s="30">
        <f t="shared" si="155"/>
        <v>41.36</v>
      </c>
    </row>
    <row r="410" spans="25:47" x14ac:dyDescent="0.25">
      <c r="Y410">
        <v>0</v>
      </c>
      <c r="Z410" t="s">
        <v>16</v>
      </c>
      <c r="AA410">
        <v>29040</v>
      </c>
      <c r="AB410">
        <v>88</v>
      </c>
      <c r="AC410">
        <v>2</v>
      </c>
      <c r="AD410">
        <v>8</v>
      </c>
      <c r="AE410">
        <v>392.45</v>
      </c>
      <c r="AF410" s="58">
        <v>41.606000000000002</v>
      </c>
      <c r="AG410" s="33">
        <v>45318</v>
      </c>
      <c r="AH410" s="34">
        <v>0.17326388888888888</v>
      </c>
      <c r="AI410">
        <v>0</v>
      </c>
      <c r="AJ410">
        <v>0</v>
      </c>
      <c r="AK410">
        <v>0</v>
      </c>
      <c r="AL410">
        <v>0</v>
      </c>
      <c r="AM410">
        <v>0</v>
      </c>
      <c r="AN410">
        <v>0</v>
      </c>
      <c r="AO410">
        <v>0</v>
      </c>
      <c r="AP410">
        <v>0</v>
      </c>
      <c r="AQ410">
        <v>0</v>
      </c>
      <c r="AR410">
        <v>0</v>
      </c>
      <c r="AS410">
        <v>0</v>
      </c>
      <c r="AT410">
        <v>0</v>
      </c>
      <c r="AU410" s="30">
        <f t="shared" ref="AU410" si="164">AVERAGE(AF410:AF414)</f>
        <v>41.571399999999997</v>
      </c>
    </row>
    <row r="411" spans="25:47" x14ac:dyDescent="0.25">
      <c r="Y411">
        <v>1</v>
      </c>
      <c r="Z411" t="s">
        <v>16</v>
      </c>
      <c r="AA411">
        <v>29040</v>
      </c>
      <c r="AB411">
        <v>88</v>
      </c>
      <c r="AC411">
        <v>2</v>
      </c>
      <c r="AD411">
        <v>8</v>
      </c>
      <c r="AE411">
        <v>392.48</v>
      </c>
      <c r="AF411" s="58">
        <v>41.601999999999997</v>
      </c>
      <c r="AG411" s="33">
        <v>45318</v>
      </c>
      <c r="AH411" s="34">
        <v>0.22461805555555556</v>
      </c>
      <c r="AI411">
        <v>0</v>
      </c>
      <c r="AJ411">
        <v>0</v>
      </c>
      <c r="AK411">
        <v>0</v>
      </c>
      <c r="AL411">
        <v>0</v>
      </c>
      <c r="AM411">
        <v>0</v>
      </c>
      <c r="AN411">
        <v>0</v>
      </c>
      <c r="AO411">
        <v>0</v>
      </c>
      <c r="AP411">
        <v>0</v>
      </c>
      <c r="AQ411">
        <v>0</v>
      </c>
      <c r="AR411">
        <v>0</v>
      </c>
      <c r="AS411">
        <v>0</v>
      </c>
      <c r="AT411">
        <v>0</v>
      </c>
      <c r="AU411" s="30">
        <f t="shared" ref="AU411" si="165">AU410</f>
        <v>41.571399999999997</v>
      </c>
    </row>
    <row r="412" spans="25:47" x14ac:dyDescent="0.25">
      <c r="Y412">
        <v>2</v>
      </c>
      <c r="Z412" t="s">
        <v>16</v>
      </c>
      <c r="AA412">
        <v>29040</v>
      </c>
      <c r="AB412">
        <v>88</v>
      </c>
      <c r="AC412">
        <v>2</v>
      </c>
      <c r="AD412">
        <v>8</v>
      </c>
      <c r="AE412">
        <v>392.8</v>
      </c>
      <c r="AF412" s="58">
        <v>41.567999999999998</v>
      </c>
      <c r="AG412" s="33">
        <v>45318</v>
      </c>
      <c r="AH412" s="34">
        <v>0.27228009259259262</v>
      </c>
      <c r="AI412">
        <v>0</v>
      </c>
      <c r="AJ412">
        <v>0</v>
      </c>
      <c r="AK412">
        <v>0</v>
      </c>
      <c r="AL412">
        <v>0</v>
      </c>
      <c r="AM412">
        <v>0</v>
      </c>
      <c r="AN412">
        <v>0</v>
      </c>
      <c r="AO412">
        <v>0</v>
      </c>
      <c r="AP412">
        <v>0</v>
      </c>
      <c r="AQ412">
        <v>0</v>
      </c>
      <c r="AR412">
        <v>0</v>
      </c>
      <c r="AS412">
        <v>0</v>
      </c>
      <c r="AT412">
        <v>0</v>
      </c>
      <c r="AU412" s="30">
        <f t="shared" si="157"/>
        <v>41.571399999999997</v>
      </c>
    </row>
    <row r="413" spans="25:47" x14ac:dyDescent="0.25">
      <c r="Y413">
        <v>3</v>
      </c>
      <c r="Z413" t="s">
        <v>16</v>
      </c>
      <c r="AA413">
        <v>29040</v>
      </c>
      <c r="AB413">
        <v>88</v>
      </c>
      <c r="AC413">
        <v>2</v>
      </c>
      <c r="AD413">
        <v>8</v>
      </c>
      <c r="AE413">
        <v>392.64</v>
      </c>
      <c r="AF413" s="58">
        <v>41.585000000000001</v>
      </c>
      <c r="AG413" s="33">
        <v>45318</v>
      </c>
      <c r="AH413" s="34">
        <v>0.31997685185185182</v>
      </c>
      <c r="AI413">
        <v>0</v>
      </c>
      <c r="AJ413">
        <v>0</v>
      </c>
      <c r="AK413">
        <v>0</v>
      </c>
      <c r="AL413">
        <v>0</v>
      </c>
      <c r="AM413">
        <v>0</v>
      </c>
      <c r="AN413">
        <v>0</v>
      </c>
      <c r="AO413">
        <v>0</v>
      </c>
      <c r="AP413">
        <v>0</v>
      </c>
      <c r="AQ413">
        <v>0</v>
      </c>
      <c r="AR413">
        <v>0</v>
      </c>
      <c r="AS413">
        <v>0</v>
      </c>
      <c r="AT413">
        <v>0</v>
      </c>
      <c r="AU413" s="30">
        <f t="shared" si="157"/>
        <v>41.571399999999997</v>
      </c>
    </row>
    <row r="414" spans="25:47" x14ac:dyDescent="0.25">
      <c r="Y414">
        <v>4</v>
      </c>
      <c r="Z414" t="s">
        <v>16</v>
      </c>
      <c r="AA414">
        <v>29040</v>
      </c>
      <c r="AB414">
        <v>88</v>
      </c>
      <c r="AC414">
        <v>2</v>
      </c>
      <c r="AD414">
        <v>8</v>
      </c>
      <c r="AE414">
        <v>393.48</v>
      </c>
      <c r="AF414" s="58">
        <v>41.496000000000002</v>
      </c>
      <c r="AG414" s="33">
        <v>45318</v>
      </c>
      <c r="AH414" s="34">
        <v>0.36765046296296294</v>
      </c>
      <c r="AI414">
        <v>0</v>
      </c>
      <c r="AJ414">
        <v>0</v>
      </c>
      <c r="AK414">
        <v>0</v>
      </c>
      <c r="AL414">
        <v>0</v>
      </c>
      <c r="AM414">
        <v>0</v>
      </c>
      <c r="AN414">
        <v>0</v>
      </c>
      <c r="AO414">
        <v>0</v>
      </c>
      <c r="AP414">
        <v>0</v>
      </c>
      <c r="AQ414">
        <v>0</v>
      </c>
      <c r="AR414">
        <v>0</v>
      </c>
      <c r="AS414">
        <v>0</v>
      </c>
      <c r="AT414">
        <v>0</v>
      </c>
      <c r="AU414" s="30">
        <f t="shared" si="157"/>
        <v>41.571399999999997</v>
      </c>
    </row>
    <row r="415" spans="25:47" x14ac:dyDescent="0.25">
      <c r="Y415">
        <v>0</v>
      </c>
      <c r="Z415" t="s">
        <v>16</v>
      </c>
      <c r="AA415">
        <v>29016</v>
      </c>
      <c r="AB415">
        <v>104</v>
      </c>
      <c r="AC415">
        <v>2</v>
      </c>
      <c r="AD415">
        <v>8</v>
      </c>
      <c r="AE415">
        <v>390.4</v>
      </c>
      <c r="AF415" s="58">
        <v>41.72</v>
      </c>
      <c r="AG415" s="33">
        <v>45318</v>
      </c>
      <c r="AH415" s="34">
        <v>0.17850694444444445</v>
      </c>
      <c r="AI415">
        <v>0</v>
      </c>
      <c r="AJ415">
        <v>0</v>
      </c>
      <c r="AK415">
        <v>0</v>
      </c>
      <c r="AL415">
        <v>0</v>
      </c>
      <c r="AM415">
        <v>0</v>
      </c>
      <c r="AN415">
        <v>0</v>
      </c>
      <c r="AO415">
        <v>0</v>
      </c>
      <c r="AP415">
        <v>0</v>
      </c>
      <c r="AQ415">
        <v>0</v>
      </c>
      <c r="AR415">
        <v>0</v>
      </c>
      <c r="AS415">
        <v>0</v>
      </c>
      <c r="AT415">
        <v>0</v>
      </c>
      <c r="AU415" s="30">
        <f t="shared" ref="AU415" si="166">AVERAGE(AF415:AF419)</f>
        <v>41.709600000000002</v>
      </c>
    </row>
    <row r="416" spans="25:47" x14ac:dyDescent="0.25">
      <c r="Y416">
        <v>1</v>
      </c>
      <c r="Z416" t="s">
        <v>16</v>
      </c>
      <c r="AA416">
        <v>29016</v>
      </c>
      <c r="AB416">
        <v>104</v>
      </c>
      <c r="AC416">
        <v>2</v>
      </c>
      <c r="AD416">
        <v>8</v>
      </c>
      <c r="AE416">
        <v>390.48</v>
      </c>
      <c r="AF416" s="58">
        <v>41.710999999999999</v>
      </c>
      <c r="AG416" s="33">
        <v>45318</v>
      </c>
      <c r="AH416" s="34">
        <v>0.2298611111111111</v>
      </c>
      <c r="AI416">
        <v>0</v>
      </c>
      <c r="AJ416">
        <v>0</v>
      </c>
      <c r="AK416">
        <v>0</v>
      </c>
      <c r="AL416">
        <v>0</v>
      </c>
      <c r="AM416">
        <v>0</v>
      </c>
      <c r="AN416">
        <v>0</v>
      </c>
      <c r="AO416">
        <v>0</v>
      </c>
      <c r="AP416">
        <v>0</v>
      </c>
      <c r="AQ416">
        <v>0</v>
      </c>
      <c r="AR416">
        <v>0</v>
      </c>
      <c r="AS416">
        <v>0</v>
      </c>
      <c r="AT416">
        <v>0</v>
      </c>
      <c r="AU416" s="30">
        <f t="shared" ref="AU416" si="167">AU415</f>
        <v>41.709600000000002</v>
      </c>
    </row>
    <row r="417" spans="25:47" x14ac:dyDescent="0.25">
      <c r="Y417">
        <v>2</v>
      </c>
      <c r="Z417" t="s">
        <v>16</v>
      </c>
      <c r="AA417">
        <v>29016</v>
      </c>
      <c r="AB417">
        <v>104</v>
      </c>
      <c r="AC417">
        <v>2</v>
      </c>
      <c r="AD417">
        <v>8</v>
      </c>
      <c r="AE417">
        <v>390.34</v>
      </c>
      <c r="AF417" s="58">
        <v>41.726999999999997</v>
      </c>
      <c r="AG417" s="33">
        <v>45318</v>
      </c>
      <c r="AH417" s="34">
        <v>0.27752314814814816</v>
      </c>
      <c r="AI417">
        <v>0</v>
      </c>
      <c r="AJ417">
        <v>0</v>
      </c>
      <c r="AK417">
        <v>0</v>
      </c>
      <c r="AL417">
        <v>0</v>
      </c>
      <c r="AM417">
        <v>0</v>
      </c>
      <c r="AN417">
        <v>0</v>
      </c>
      <c r="AO417">
        <v>0</v>
      </c>
      <c r="AP417">
        <v>0</v>
      </c>
      <c r="AQ417">
        <v>0</v>
      </c>
      <c r="AR417">
        <v>0</v>
      </c>
      <c r="AS417">
        <v>0</v>
      </c>
      <c r="AT417">
        <v>0</v>
      </c>
      <c r="AU417" s="30">
        <f t="shared" si="155"/>
        <v>41.709600000000002</v>
      </c>
    </row>
    <row r="418" spans="25:47" x14ac:dyDescent="0.25">
      <c r="Y418">
        <v>3</v>
      </c>
      <c r="Z418" t="s">
        <v>16</v>
      </c>
      <c r="AA418">
        <v>29016</v>
      </c>
      <c r="AB418">
        <v>104</v>
      </c>
      <c r="AC418">
        <v>2</v>
      </c>
      <c r="AD418">
        <v>8</v>
      </c>
      <c r="AE418">
        <v>390.54</v>
      </c>
      <c r="AF418" s="58">
        <v>41.704999999999998</v>
      </c>
      <c r="AG418" s="33">
        <v>45318</v>
      </c>
      <c r="AH418" s="34">
        <v>0.32521990740740742</v>
      </c>
      <c r="AI418">
        <v>0</v>
      </c>
      <c r="AJ418">
        <v>0</v>
      </c>
      <c r="AK418">
        <v>0</v>
      </c>
      <c r="AL418">
        <v>0</v>
      </c>
      <c r="AM418">
        <v>0</v>
      </c>
      <c r="AN418">
        <v>0</v>
      </c>
      <c r="AO418">
        <v>0</v>
      </c>
      <c r="AP418">
        <v>0</v>
      </c>
      <c r="AQ418">
        <v>0</v>
      </c>
      <c r="AR418">
        <v>0</v>
      </c>
      <c r="AS418">
        <v>0</v>
      </c>
      <c r="AT418">
        <v>0</v>
      </c>
      <c r="AU418" s="30">
        <f t="shared" si="155"/>
        <v>41.709600000000002</v>
      </c>
    </row>
    <row r="419" spans="25:47" x14ac:dyDescent="0.25">
      <c r="Y419">
        <v>4</v>
      </c>
      <c r="Z419" t="s">
        <v>16</v>
      </c>
      <c r="AA419">
        <v>29016</v>
      </c>
      <c r="AB419">
        <v>104</v>
      </c>
      <c r="AC419">
        <v>2</v>
      </c>
      <c r="AD419">
        <v>8</v>
      </c>
      <c r="AE419">
        <v>390.73</v>
      </c>
      <c r="AF419" s="58">
        <v>41.685000000000002</v>
      </c>
      <c r="AG419" s="33">
        <v>45318</v>
      </c>
      <c r="AH419" s="34">
        <v>0.37289351851851849</v>
      </c>
      <c r="AI419">
        <v>0</v>
      </c>
      <c r="AJ419">
        <v>0</v>
      </c>
      <c r="AK419">
        <v>0</v>
      </c>
      <c r="AL419">
        <v>0</v>
      </c>
      <c r="AM419">
        <v>0</v>
      </c>
      <c r="AN419">
        <v>0</v>
      </c>
      <c r="AO419">
        <v>0</v>
      </c>
      <c r="AP419">
        <v>0</v>
      </c>
      <c r="AQ419">
        <v>0</v>
      </c>
      <c r="AR419">
        <v>0</v>
      </c>
      <c r="AS419">
        <v>0</v>
      </c>
      <c r="AT419">
        <v>0</v>
      </c>
      <c r="AU419" s="30">
        <f t="shared" si="155"/>
        <v>41.709600000000002</v>
      </c>
    </row>
    <row r="420" spans="25:47" x14ac:dyDescent="0.25">
      <c r="Y420">
        <v>0</v>
      </c>
      <c r="Z420" t="s">
        <v>16</v>
      </c>
      <c r="AA420">
        <v>29008</v>
      </c>
      <c r="AB420">
        <v>112</v>
      </c>
      <c r="AC420">
        <v>2</v>
      </c>
      <c r="AD420">
        <v>8</v>
      </c>
      <c r="AE420">
        <v>390.74</v>
      </c>
      <c r="AF420" s="58">
        <v>41.649000000000001</v>
      </c>
      <c r="AG420" s="33">
        <v>45318</v>
      </c>
      <c r="AH420" s="34">
        <v>0.18377314814814816</v>
      </c>
      <c r="AI420">
        <v>0</v>
      </c>
      <c r="AJ420">
        <v>0</v>
      </c>
      <c r="AK420">
        <v>0</v>
      </c>
      <c r="AL420">
        <v>0</v>
      </c>
      <c r="AM420">
        <v>0</v>
      </c>
      <c r="AN420">
        <v>0</v>
      </c>
      <c r="AO420">
        <v>0</v>
      </c>
      <c r="AP420">
        <v>0</v>
      </c>
      <c r="AQ420">
        <v>0</v>
      </c>
      <c r="AR420">
        <v>0</v>
      </c>
      <c r="AS420">
        <v>0</v>
      </c>
      <c r="AT420">
        <v>0</v>
      </c>
      <c r="AU420" s="30">
        <f t="shared" ref="AU420" si="168">AVERAGE(AF420:AF424)</f>
        <v>41.640999999999998</v>
      </c>
    </row>
    <row r="421" spans="25:47" x14ac:dyDescent="0.25">
      <c r="Y421">
        <v>1</v>
      </c>
      <c r="Z421" t="s">
        <v>16</v>
      </c>
      <c r="AA421">
        <v>29008</v>
      </c>
      <c r="AB421">
        <v>112</v>
      </c>
      <c r="AC421">
        <v>2</v>
      </c>
      <c r="AD421">
        <v>8</v>
      </c>
      <c r="AE421">
        <v>390.53</v>
      </c>
      <c r="AF421" s="58">
        <v>41.671999999999997</v>
      </c>
      <c r="AG421" s="33">
        <v>45318</v>
      </c>
      <c r="AH421" s="34">
        <v>0.23511574074074074</v>
      </c>
      <c r="AI421">
        <v>0</v>
      </c>
      <c r="AJ421">
        <v>0</v>
      </c>
      <c r="AK421">
        <v>0</v>
      </c>
      <c r="AL421">
        <v>0</v>
      </c>
      <c r="AM421">
        <v>0</v>
      </c>
      <c r="AN421">
        <v>0</v>
      </c>
      <c r="AO421">
        <v>0</v>
      </c>
      <c r="AP421">
        <v>0</v>
      </c>
      <c r="AQ421">
        <v>0</v>
      </c>
      <c r="AR421">
        <v>0</v>
      </c>
      <c r="AS421">
        <v>0</v>
      </c>
      <c r="AT421">
        <v>0</v>
      </c>
      <c r="AU421" s="30">
        <f t="shared" ref="AU421" si="169">AU420</f>
        <v>41.640999999999998</v>
      </c>
    </row>
    <row r="422" spans="25:47" x14ac:dyDescent="0.25">
      <c r="Y422">
        <v>2</v>
      </c>
      <c r="Z422" t="s">
        <v>16</v>
      </c>
      <c r="AA422">
        <v>29008</v>
      </c>
      <c r="AB422">
        <v>112</v>
      </c>
      <c r="AC422">
        <v>2</v>
      </c>
      <c r="AD422">
        <v>8</v>
      </c>
      <c r="AE422">
        <v>390.86</v>
      </c>
      <c r="AF422" s="58">
        <v>41.637</v>
      </c>
      <c r="AG422" s="33">
        <v>45318</v>
      </c>
      <c r="AH422" s="34">
        <v>0.28277777777777779</v>
      </c>
      <c r="AI422">
        <v>0</v>
      </c>
      <c r="AJ422">
        <v>0</v>
      </c>
      <c r="AK422">
        <v>0</v>
      </c>
      <c r="AL422">
        <v>0</v>
      </c>
      <c r="AM422">
        <v>0</v>
      </c>
      <c r="AN422">
        <v>0</v>
      </c>
      <c r="AO422">
        <v>0</v>
      </c>
      <c r="AP422">
        <v>0</v>
      </c>
      <c r="AQ422">
        <v>0</v>
      </c>
      <c r="AR422">
        <v>0</v>
      </c>
      <c r="AS422">
        <v>0</v>
      </c>
      <c r="AT422">
        <v>0</v>
      </c>
      <c r="AU422" s="30">
        <f t="shared" si="157"/>
        <v>41.640999999999998</v>
      </c>
    </row>
    <row r="423" spans="25:47" x14ac:dyDescent="0.25">
      <c r="Y423">
        <v>3</v>
      </c>
      <c r="Z423" t="s">
        <v>16</v>
      </c>
      <c r="AA423">
        <v>29008</v>
      </c>
      <c r="AB423">
        <v>112</v>
      </c>
      <c r="AC423">
        <v>2</v>
      </c>
      <c r="AD423">
        <v>8</v>
      </c>
      <c r="AE423">
        <v>390.75</v>
      </c>
      <c r="AF423" s="58">
        <v>41.648000000000003</v>
      </c>
      <c r="AG423" s="33">
        <v>45318</v>
      </c>
      <c r="AH423" s="34">
        <v>0.33047453703703705</v>
      </c>
      <c r="AI423">
        <v>0</v>
      </c>
      <c r="AJ423">
        <v>0</v>
      </c>
      <c r="AK423">
        <v>0</v>
      </c>
      <c r="AL423">
        <v>0</v>
      </c>
      <c r="AM423">
        <v>0</v>
      </c>
      <c r="AN423">
        <v>0</v>
      </c>
      <c r="AO423">
        <v>0</v>
      </c>
      <c r="AP423">
        <v>0</v>
      </c>
      <c r="AQ423">
        <v>0</v>
      </c>
      <c r="AR423">
        <v>0</v>
      </c>
      <c r="AS423">
        <v>0</v>
      </c>
      <c r="AT423">
        <v>0</v>
      </c>
      <c r="AU423" s="30">
        <f t="shared" si="157"/>
        <v>41.640999999999998</v>
      </c>
    </row>
    <row r="424" spans="25:47" x14ac:dyDescent="0.25">
      <c r="Y424">
        <v>4</v>
      </c>
      <c r="Z424" t="s">
        <v>16</v>
      </c>
      <c r="AA424">
        <v>29008</v>
      </c>
      <c r="AB424">
        <v>112</v>
      </c>
      <c r="AC424">
        <v>2</v>
      </c>
      <c r="AD424">
        <v>8</v>
      </c>
      <c r="AE424">
        <v>391.21</v>
      </c>
      <c r="AF424" s="58">
        <v>41.598999999999997</v>
      </c>
      <c r="AG424" s="33">
        <v>45318</v>
      </c>
      <c r="AH424" s="34">
        <v>0.37815972222222222</v>
      </c>
      <c r="AI424">
        <v>0</v>
      </c>
      <c r="AJ424">
        <v>0</v>
      </c>
      <c r="AK424">
        <v>0</v>
      </c>
      <c r="AL424">
        <v>0</v>
      </c>
      <c r="AM424">
        <v>0</v>
      </c>
      <c r="AN424">
        <v>0</v>
      </c>
      <c r="AO424">
        <v>0</v>
      </c>
      <c r="AP424">
        <v>0</v>
      </c>
      <c r="AQ424">
        <v>0</v>
      </c>
      <c r="AR424">
        <v>0</v>
      </c>
      <c r="AS424">
        <v>0</v>
      </c>
      <c r="AT424">
        <v>0</v>
      </c>
      <c r="AU424" s="30">
        <f t="shared" si="157"/>
        <v>41.640999999999998</v>
      </c>
    </row>
    <row r="425" spans="25:47" x14ac:dyDescent="0.25">
      <c r="Y425">
        <v>0</v>
      </c>
      <c r="Z425" t="s">
        <v>16</v>
      </c>
      <c r="AA425">
        <v>29040</v>
      </c>
      <c r="AB425">
        <v>120</v>
      </c>
      <c r="AC425">
        <v>2</v>
      </c>
      <c r="AD425">
        <v>8</v>
      </c>
      <c r="AE425">
        <v>391.56</v>
      </c>
      <c r="AF425" s="58">
        <v>41.7</v>
      </c>
      <c r="AG425" s="33">
        <v>45318</v>
      </c>
      <c r="AH425" s="34">
        <v>0.18903935185185183</v>
      </c>
      <c r="AI425">
        <v>0</v>
      </c>
      <c r="AJ425">
        <v>0</v>
      </c>
      <c r="AK425">
        <v>0</v>
      </c>
      <c r="AL425">
        <v>0</v>
      </c>
      <c r="AM425">
        <v>0</v>
      </c>
      <c r="AN425">
        <v>0</v>
      </c>
      <c r="AO425">
        <v>0</v>
      </c>
      <c r="AP425">
        <v>0</v>
      </c>
      <c r="AQ425">
        <v>0</v>
      </c>
      <c r="AR425">
        <v>0</v>
      </c>
      <c r="AS425">
        <v>0</v>
      </c>
      <c r="AT425">
        <v>0</v>
      </c>
      <c r="AU425" s="30">
        <f t="shared" ref="AU425" si="170">AVERAGE(AF425:AF429)</f>
        <v>41.718399999999995</v>
      </c>
    </row>
    <row r="426" spans="25:47" x14ac:dyDescent="0.25">
      <c r="Y426">
        <v>1</v>
      </c>
      <c r="Z426" t="s">
        <v>16</v>
      </c>
      <c r="AA426">
        <v>29040</v>
      </c>
      <c r="AB426">
        <v>120</v>
      </c>
      <c r="AC426">
        <v>2</v>
      </c>
      <c r="AD426">
        <v>8</v>
      </c>
      <c r="AE426">
        <v>391.31</v>
      </c>
      <c r="AF426" s="58">
        <v>41.726999999999997</v>
      </c>
      <c r="AG426" s="33">
        <v>45318</v>
      </c>
      <c r="AH426" s="34">
        <v>0.24038194444444447</v>
      </c>
      <c r="AI426">
        <v>0</v>
      </c>
      <c r="AJ426">
        <v>0</v>
      </c>
      <c r="AK426">
        <v>0</v>
      </c>
      <c r="AL426">
        <v>0</v>
      </c>
      <c r="AM426">
        <v>0</v>
      </c>
      <c r="AN426">
        <v>0</v>
      </c>
      <c r="AO426">
        <v>0</v>
      </c>
      <c r="AP426">
        <v>0</v>
      </c>
      <c r="AQ426">
        <v>0</v>
      </c>
      <c r="AR426">
        <v>0</v>
      </c>
      <c r="AS426">
        <v>0</v>
      </c>
      <c r="AT426">
        <v>0</v>
      </c>
      <c r="AU426" s="30">
        <f t="shared" ref="AU426" si="171">AU425</f>
        <v>41.718399999999995</v>
      </c>
    </row>
    <row r="427" spans="25:47" x14ac:dyDescent="0.25">
      <c r="Y427">
        <v>2</v>
      </c>
      <c r="Z427" t="s">
        <v>16</v>
      </c>
      <c r="AA427">
        <v>29040</v>
      </c>
      <c r="AB427">
        <v>120</v>
      </c>
      <c r="AC427">
        <v>2</v>
      </c>
      <c r="AD427">
        <v>8</v>
      </c>
      <c r="AE427">
        <v>392.28</v>
      </c>
      <c r="AF427" s="58">
        <v>41.622999999999998</v>
      </c>
      <c r="AG427" s="33">
        <v>45318</v>
      </c>
      <c r="AH427" s="34">
        <v>0.28805555555555556</v>
      </c>
      <c r="AI427">
        <v>0</v>
      </c>
      <c r="AJ427">
        <v>0</v>
      </c>
      <c r="AK427">
        <v>0</v>
      </c>
      <c r="AL427">
        <v>0</v>
      </c>
      <c r="AM427">
        <v>0</v>
      </c>
      <c r="AN427">
        <v>0</v>
      </c>
      <c r="AO427">
        <v>0</v>
      </c>
      <c r="AP427">
        <v>0</v>
      </c>
      <c r="AQ427">
        <v>0</v>
      </c>
      <c r="AR427">
        <v>0</v>
      </c>
      <c r="AS427">
        <v>0</v>
      </c>
      <c r="AT427">
        <v>0</v>
      </c>
      <c r="AU427" s="30">
        <f t="shared" si="155"/>
        <v>41.718399999999995</v>
      </c>
    </row>
    <row r="428" spans="25:47" x14ac:dyDescent="0.25">
      <c r="Y428">
        <v>3</v>
      </c>
      <c r="Z428" t="s">
        <v>16</v>
      </c>
      <c r="AA428">
        <v>29040</v>
      </c>
      <c r="AB428">
        <v>120</v>
      </c>
      <c r="AC428">
        <v>2</v>
      </c>
      <c r="AD428">
        <v>8</v>
      </c>
      <c r="AE428">
        <v>390.68</v>
      </c>
      <c r="AF428" s="58">
        <v>41.793999999999997</v>
      </c>
      <c r="AG428" s="33">
        <v>45318</v>
      </c>
      <c r="AH428" s="34">
        <v>0.33572916666666663</v>
      </c>
      <c r="AI428">
        <v>0</v>
      </c>
      <c r="AJ428">
        <v>0</v>
      </c>
      <c r="AK428">
        <v>0</v>
      </c>
      <c r="AL428">
        <v>0</v>
      </c>
      <c r="AM428">
        <v>0</v>
      </c>
      <c r="AN428">
        <v>0</v>
      </c>
      <c r="AO428">
        <v>0</v>
      </c>
      <c r="AP428">
        <v>0</v>
      </c>
      <c r="AQ428">
        <v>0</v>
      </c>
      <c r="AR428">
        <v>0</v>
      </c>
      <c r="AS428">
        <v>0</v>
      </c>
      <c r="AT428">
        <v>0</v>
      </c>
      <c r="AU428" s="30">
        <f t="shared" si="155"/>
        <v>41.718399999999995</v>
      </c>
    </row>
    <row r="429" spans="25:47" x14ac:dyDescent="0.25">
      <c r="Y429">
        <v>4</v>
      </c>
      <c r="Z429" t="s">
        <v>16</v>
      </c>
      <c r="AA429">
        <v>29040</v>
      </c>
      <c r="AB429">
        <v>120</v>
      </c>
      <c r="AC429">
        <v>2</v>
      </c>
      <c r="AD429">
        <v>8</v>
      </c>
      <c r="AE429">
        <v>391.11</v>
      </c>
      <c r="AF429" s="58">
        <v>41.747999999999998</v>
      </c>
      <c r="AG429" s="33">
        <v>45318</v>
      </c>
      <c r="AH429" s="34">
        <v>0.38341435185185185</v>
      </c>
      <c r="AI429">
        <v>0</v>
      </c>
      <c r="AJ429">
        <v>0</v>
      </c>
      <c r="AK429">
        <v>0</v>
      </c>
      <c r="AL429">
        <v>0</v>
      </c>
      <c r="AM429">
        <v>0</v>
      </c>
      <c r="AN429">
        <v>0</v>
      </c>
      <c r="AO429">
        <v>0</v>
      </c>
      <c r="AP429">
        <v>0</v>
      </c>
      <c r="AQ429">
        <v>0</v>
      </c>
      <c r="AR429">
        <v>0</v>
      </c>
      <c r="AS429">
        <v>0</v>
      </c>
      <c r="AT429">
        <v>0</v>
      </c>
      <c r="AU429" s="30">
        <f t="shared" si="155"/>
        <v>41.718399999999995</v>
      </c>
    </row>
    <row r="430" spans="25:47" x14ac:dyDescent="0.25">
      <c r="Y430">
        <v>0</v>
      </c>
      <c r="Z430" t="s">
        <v>16</v>
      </c>
      <c r="AA430">
        <v>28968</v>
      </c>
      <c r="AB430">
        <v>136</v>
      </c>
      <c r="AC430">
        <v>2</v>
      </c>
      <c r="AD430">
        <v>8</v>
      </c>
      <c r="AE430">
        <v>401.12</v>
      </c>
      <c r="AF430" s="58">
        <v>40.404000000000003</v>
      </c>
      <c r="AG430" s="33">
        <v>45318</v>
      </c>
      <c r="AH430" s="34">
        <v>0.19440972222222222</v>
      </c>
      <c r="AI430">
        <v>0</v>
      </c>
      <c r="AJ430">
        <v>0</v>
      </c>
      <c r="AK430">
        <v>0</v>
      </c>
      <c r="AL430">
        <v>0</v>
      </c>
      <c r="AM430">
        <v>0</v>
      </c>
      <c r="AN430">
        <v>0</v>
      </c>
      <c r="AO430">
        <v>0</v>
      </c>
      <c r="AP430">
        <v>0</v>
      </c>
      <c r="AQ430">
        <v>0</v>
      </c>
      <c r="AR430">
        <v>0</v>
      </c>
      <c r="AS430">
        <v>0</v>
      </c>
      <c r="AT430">
        <v>0</v>
      </c>
      <c r="AU430" s="30">
        <f t="shared" ref="AU430" si="172">AVERAGE(AF430:AF434)</f>
        <v>40.365600000000001</v>
      </c>
    </row>
    <row r="431" spans="25:47" x14ac:dyDescent="0.25">
      <c r="Y431">
        <v>1</v>
      </c>
      <c r="Z431" t="s">
        <v>16</v>
      </c>
      <c r="AA431">
        <v>28968</v>
      </c>
      <c r="AB431">
        <v>136</v>
      </c>
      <c r="AC431">
        <v>2</v>
      </c>
      <c r="AD431">
        <v>8</v>
      </c>
      <c r="AE431">
        <v>401.41</v>
      </c>
      <c r="AF431" s="58">
        <v>40.375</v>
      </c>
      <c r="AG431" s="33">
        <v>45318</v>
      </c>
      <c r="AH431" s="34">
        <v>0.24575231481481483</v>
      </c>
      <c r="AI431">
        <v>0</v>
      </c>
      <c r="AJ431">
        <v>0</v>
      </c>
      <c r="AK431">
        <v>0</v>
      </c>
      <c r="AL431">
        <v>0</v>
      </c>
      <c r="AM431">
        <v>0</v>
      </c>
      <c r="AN431">
        <v>0</v>
      </c>
      <c r="AO431">
        <v>0</v>
      </c>
      <c r="AP431">
        <v>0</v>
      </c>
      <c r="AQ431">
        <v>0</v>
      </c>
      <c r="AR431">
        <v>0</v>
      </c>
      <c r="AS431">
        <v>0</v>
      </c>
      <c r="AT431">
        <v>0</v>
      </c>
      <c r="AU431" s="30">
        <f t="shared" ref="AU431" si="173">AU430</f>
        <v>40.365600000000001</v>
      </c>
    </row>
    <row r="432" spans="25:47" x14ac:dyDescent="0.25">
      <c r="Y432">
        <v>2</v>
      </c>
      <c r="Z432" t="s">
        <v>16</v>
      </c>
      <c r="AA432">
        <v>28968</v>
      </c>
      <c r="AB432">
        <v>136</v>
      </c>
      <c r="AC432">
        <v>2</v>
      </c>
      <c r="AD432">
        <v>8</v>
      </c>
      <c r="AE432">
        <v>401.89</v>
      </c>
      <c r="AF432" s="58">
        <v>40.326000000000001</v>
      </c>
      <c r="AG432" s="33">
        <v>45318</v>
      </c>
      <c r="AH432" s="34">
        <v>0.29342592592592592</v>
      </c>
      <c r="AI432">
        <v>0</v>
      </c>
      <c r="AJ432">
        <v>0</v>
      </c>
      <c r="AK432">
        <v>0</v>
      </c>
      <c r="AL432">
        <v>0</v>
      </c>
      <c r="AM432">
        <v>0</v>
      </c>
      <c r="AN432">
        <v>0</v>
      </c>
      <c r="AO432">
        <v>0</v>
      </c>
      <c r="AP432">
        <v>0</v>
      </c>
      <c r="AQ432">
        <v>0</v>
      </c>
      <c r="AR432">
        <v>0</v>
      </c>
      <c r="AS432">
        <v>0</v>
      </c>
      <c r="AT432">
        <v>0</v>
      </c>
      <c r="AU432" s="30">
        <f t="shared" si="157"/>
        <v>40.365600000000001</v>
      </c>
    </row>
    <row r="433" spans="25:47" x14ac:dyDescent="0.25">
      <c r="Y433">
        <v>3</v>
      </c>
      <c r="Z433" t="s">
        <v>16</v>
      </c>
      <c r="AA433">
        <v>28968</v>
      </c>
      <c r="AB433">
        <v>136</v>
      </c>
      <c r="AC433">
        <v>2</v>
      </c>
      <c r="AD433">
        <v>8</v>
      </c>
      <c r="AE433">
        <v>401.78</v>
      </c>
      <c r="AF433" s="58">
        <v>40.337000000000003</v>
      </c>
      <c r="AG433" s="33">
        <v>45318</v>
      </c>
      <c r="AH433" s="34">
        <v>0.34111111111111114</v>
      </c>
      <c r="AI433">
        <v>0</v>
      </c>
      <c r="AJ433">
        <v>0</v>
      </c>
      <c r="AK433">
        <v>0</v>
      </c>
      <c r="AL433">
        <v>0</v>
      </c>
      <c r="AM433">
        <v>0</v>
      </c>
      <c r="AN433">
        <v>0</v>
      </c>
      <c r="AO433">
        <v>0</v>
      </c>
      <c r="AP433">
        <v>0</v>
      </c>
      <c r="AQ433">
        <v>0</v>
      </c>
      <c r="AR433">
        <v>0</v>
      </c>
      <c r="AS433">
        <v>0</v>
      </c>
      <c r="AT433">
        <v>0</v>
      </c>
      <c r="AU433" s="30">
        <f t="shared" si="157"/>
        <v>40.365600000000001</v>
      </c>
    </row>
    <row r="434" spans="25:47" x14ac:dyDescent="0.25">
      <c r="Y434">
        <v>4</v>
      </c>
      <c r="Z434" t="s">
        <v>16</v>
      </c>
      <c r="AA434">
        <v>28968</v>
      </c>
      <c r="AB434">
        <v>136</v>
      </c>
      <c r="AC434">
        <v>2</v>
      </c>
      <c r="AD434">
        <v>8</v>
      </c>
      <c r="AE434">
        <v>401.3</v>
      </c>
      <c r="AF434" s="58">
        <v>40.386000000000003</v>
      </c>
      <c r="AG434" s="33">
        <v>45318</v>
      </c>
      <c r="AH434" s="34">
        <v>0.38878472222222221</v>
      </c>
      <c r="AI434">
        <v>0</v>
      </c>
      <c r="AJ434">
        <v>0</v>
      </c>
      <c r="AK434">
        <v>0</v>
      </c>
      <c r="AL434">
        <v>0</v>
      </c>
      <c r="AM434">
        <v>0</v>
      </c>
      <c r="AN434">
        <v>0</v>
      </c>
      <c r="AO434">
        <v>0</v>
      </c>
      <c r="AP434">
        <v>0</v>
      </c>
      <c r="AQ434">
        <v>0</v>
      </c>
      <c r="AR434">
        <v>0</v>
      </c>
      <c r="AS434">
        <v>0</v>
      </c>
      <c r="AT434">
        <v>0</v>
      </c>
      <c r="AU434" s="30">
        <f t="shared" si="157"/>
        <v>40.365600000000001</v>
      </c>
    </row>
    <row r="435" spans="25:47" x14ac:dyDescent="0.25">
      <c r="Y435">
        <v>0</v>
      </c>
      <c r="Z435" t="s">
        <v>16</v>
      </c>
      <c r="AA435">
        <v>28944</v>
      </c>
      <c r="AB435">
        <v>144</v>
      </c>
      <c r="AC435">
        <v>2</v>
      </c>
      <c r="AD435">
        <v>8</v>
      </c>
      <c r="AE435">
        <v>394.41</v>
      </c>
      <c r="AF435" s="58">
        <v>40.988999999999997</v>
      </c>
      <c r="AG435" s="33">
        <v>45318</v>
      </c>
      <c r="AH435" s="34">
        <v>0.19971064814814818</v>
      </c>
      <c r="AI435">
        <v>0</v>
      </c>
      <c r="AJ435">
        <v>0</v>
      </c>
      <c r="AK435">
        <v>0</v>
      </c>
      <c r="AL435">
        <v>0</v>
      </c>
      <c r="AM435">
        <v>0</v>
      </c>
      <c r="AN435">
        <v>0</v>
      </c>
      <c r="AO435">
        <v>0</v>
      </c>
      <c r="AP435">
        <v>0</v>
      </c>
      <c r="AQ435">
        <v>0</v>
      </c>
      <c r="AR435">
        <v>0</v>
      </c>
      <c r="AS435">
        <v>0</v>
      </c>
      <c r="AT435">
        <v>0</v>
      </c>
      <c r="AU435" s="30">
        <f t="shared" ref="AU435" si="174">AVERAGE(AF435:AF439)</f>
        <v>41.000399999999999</v>
      </c>
    </row>
    <row r="436" spans="25:47" x14ac:dyDescent="0.25">
      <c r="Y436">
        <v>1</v>
      </c>
      <c r="Z436" t="s">
        <v>16</v>
      </c>
      <c r="AA436">
        <v>28944</v>
      </c>
      <c r="AB436">
        <v>144</v>
      </c>
      <c r="AC436">
        <v>2</v>
      </c>
      <c r="AD436">
        <v>8</v>
      </c>
      <c r="AE436">
        <v>393.85</v>
      </c>
      <c r="AF436" s="58">
        <v>41.048000000000002</v>
      </c>
      <c r="AG436" s="33">
        <v>45318</v>
      </c>
      <c r="AH436" s="34">
        <v>0.25105324074074076</v>
      </c>
      <c r="AI436">
        <v>0</v>
      </c>
      <c r="AJ436">
        <v>0</v>
      </c>
      <c r="AK436">
        <v>0</v>
      </c>
      <c r="AL436">
        <v>0</v>
      </c>
      <c r="AM436">
        <v>0</v>
      </c>
      <c r="AN436">
        <v>0</v>
      </c>
      <c r="AO436">
        <v>0</v>
      </c>
      <c r="AP436">
        <v>0</v>
      </c>
      <c r="AQ436">
        <v>0</v>
      </c>
      <c r="AR436">
        <v>0</v>
      </c>
      <c r="AS436">
        <v>0</v>
      </c>
      <c r="AT436">
        <v>0</v>
      </c>
      <c r="AU436" s="30">
        <f t="shared" ref="AU436" si="175">AU435</f>
        <v>41.000399999999999</v>
      </c>
    </row>
    <row r="437" spans="25:47" x14ac:dyDescent="0.25">
      <c r="Y437">
        <v>2</v>
      </c>
      <c r="Z437" t="s">
        <v>16</v>
      </c>
      <c r="AA437">
        <v>28944</v>
      </c>
      <c r="AB437">
        <v>144</v>
      </c>
      <c r="AC437">
        <v>2</v>
      </c>
      <c r="AD437">
        <v>8</v>
      </c>
      <c r="AE437">
        <v>394.29</v>
      </c>
      <c r="AF437" s="58">
        <v>41.002000000000002</v>
      </c>
      <c r="AG437" s="33">
        <v>45318</v>
      </c>
      <c r="AH437" s="34">
        <v>0.29873842592592592</v>
      </c>
      <c r="AI437">
        <v>0</v>
      </c>
      <c r="AJ437">
        <v>0</v>
      </c>
      <c r="AK437">
        <v>0</v>
      </c>
      <c r="AL437">
        <v>0</v>
      </c>
      <c r="AM437">
        <v>0</v>
      </c>
      <c r="AN437">
        <v>0</v>
      </c>
      <c r="AO437">
        <v>0</v>
      </c>
      <c r="AP437">
        <v>0</v>
      </c>
      <c r="AQ437">
        <v>0</v>
      </c>
      <c r="AR437">
        <v>0</v>
      </c>
      <c r="AS437">
        <v>0</v>
      </c>
      <c r="AT437">
        <v>0</v>
      </c>
      <c r="AU437" s="30">
        <f t="shared" si="155"/>
        <v>41.000399999999999</v>
      </c>
    </row>
    <row r="438" spans="25:47" x14ac:dyDescent="0.25">
      <c r="Y438">
        <v>3</v>
      </c>
      <c r="Z438" t="s">
        <v>16</v>
      </c>
      <c r="AA438">
        <v>28944</v>
      </c>
      <c r="AB438">
        <v>144</v>
      </c>
      <c r="AC438">
        <v>2</v>
      </c>
      <c r="AD438">
        <v>8</v>
      </c>
      <c r="AE438">
        <v>394.29</v>
      </c>
      <c r="AF438" s="58">
        <v>41.002000000000002</v>
      </c>
      <c r="AG438" s="33">
        <v>45318</v>
      </c>
      <c r="AH438" s="34">
        <v>0.34641203703703699</v>
      </c>
      <c r="AI438">
        <v>0</v>
      </c>
      <c r="AJ438">
        <v>0</v>
      </c>
      <c r="AK438">
        <v>0</v>
      </c>
      <c r="AL438">
        <v>0</v>
      </c>
      <c r="AM438">
        <v>0</v>
      </c>
      <c r="AN438">
        <v>0</v>
      </c>
      <c r="AO438">
        <v>0</v>
      </c>
      <c r="AP438">
        <v>0</v>
      </c>
      <c r="AQ438">
        <v>0</v>
      </c>
      <c r="AR438">
        <v>0</v>
      </c>
      <c r="AS438">
        <v>0</v>
      </c>
      <c r="AT438">
        <v>0</v>
      </c>
      <c r="AU438" s="30">
        <f t="shared" si="155"/>
        <v>41.000399999999999</v>
      </c>
    </row>
    <row r="439" spans="25:47" x14ac:dyDescent="0.25">
      <c r="Y439">
        <v>4</v>
      </c>
      <c r="Z439" t="s">
        <v>16</v>
      </c>
      <c r="AA439">
        <v>28944</v>
      </c>
      <c r="AB439">
        <v>144</v>
      </c>
      <c r="AC439">
        <v>2</v>
      </c>
      <c r="AD439">
        <v>8</v>
      </c>
      <c r="AE439">
        <v>394.68</v>
      </c>
      <c r="AF439" s="58">
        <v>40.960999999999999</v>
      </c>
      <c r="AG439" s="33">
        <v>45318</v>
      </c>
      <c r="AH439" s="34">
        <v>0.39409722222222227</v>
      </c>
      <c r="AI439">
        <v>0</v>
      </c>
      <c r="AJ439">
        <v>0</v>
      </c>
      <c r="AK439">
        <v>0</v>
      </c>
      <c r="AL439">
        <v>0</v>
      </c>
      <c r="AM439">
        <v>0</v>
      </c>
      <c r="AN439">
        <v>0</v>
      </c>
      <c r="AO439">
        <v>0</v>
      </c>
      <c r="AP439">
        <v>0</v>
      </c>
      <c r="AQ439">
        <v>0</v>
      </c>
      <c r="AR439">
        <v>0</v>
      </c>
      <c r="AS439">
        <v>0</v>
      </c>
      <c r="AT439">
        <v>0</v>
      </c>
      <c r="AU439" s="30">
        <f t="shared" si="155"/>
        <v>41.000399999999999</v>
      </c>
    </row>
  </sheetData>
  <sortState xmlns:xlrd2="http://schemas.microsoft.com/office/spreadsheetml/2017/richdata2" ref="Y5:AT364">
    <sortCondition ref="AB5:AB364"/>
    <sortCondition ref="AC5:AC364"/>
    <sortCondition ref="AA5:AA364"/>
    <sortCondition ref="Y5:Y364"/>
  </sortState>
  <mergeCells count="10">
    <mergeCell ref="A1:V1"/>
    <mergeCell ref="K2:M2"/>
    <mergeCell ref="N2:P2"/>
    <mergeCell ref="Q2:S2"/>
    <mergeCell ref="T2:V2"/>
    <mergeCell ref="Y1:AT1"/>
    <mergeCell ref="AI2:AK2"/>
    <mergeCell ref="AL2:AN2"/>
    <mergeCell ref="AO2:AQ2"/>
    <mergeCell ref="AR2:AT2"/>
  </mergeCells>
  <conditionalFormatting sqref="W5:W394 AU5:AU439">
    <cfRule type="colorScale" priority="44">
      <colorScale>
        <cfvo type="min"/>
        <cfvo type="percentile" val="50"/>
        <cfvo type="max"/>
        <color rgb="FFF8696B"/>
        <color rgb="FFFFEB84"/>
        <color rgb="FF63BE7B"/>
      </colorScale>
    </cfRule>
  </conditionalFormatting>
  <pageMargins left="0.7" right="0.7" top="0.75" bottom="0.75" header="0.3" footer="0.3"/>
  <pageSetup paperSize="9" orientation="portrait" verticalDpi="0"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AEA65-5F4B-483E-B3A2-B3F2D3B9A36C}">
  <dimension ref="A1:CD187"/>
  <sheetViews>
    <sheetView zoomScale="85" zoomScaleNormal="85" workbookViewId="0">
      <selection activeCell="A4" sqref="A4"/>
    </sheetView>
  </sheetViews>
  <sheetFormatPr defaultRowHeight="15" x14ac:dyDescent="0.25"/>
  <cols>
    <col min="1" max="1" width="9.7109375" bestFit="1" customWidth="1"/>
    <col min="2" max="2" width="9.7109375" style="16" bestFit="1" customWidth="1"/>
    <col min="3" max="5" width="9.28515625" style="16" bestFit="1" customWidth="1"/>
    <col min="6" max="6" width="9.140625" style="30"/>
    <col min="8" max="8" width="9.7109375" bestFit="1" customWidth="1"/>
    <col min="9" max="9" width="9.7109375" style="16" bestFit="1" customWidth="1"/>
    <col min="10" max="12" width="9.28515625" style="16" bestFit="1" customWidth="1"/>
    <col min="13" max="13" width="9.140625" style="30"/>
    <col min="27" max="27" width="9.140625" style="30"/>
    <col min="30" max="33" width="9.140625" style="16"/>
    <col min="34" max="34" width="9.140625" style="30"/>
    <col min="36" max="39" width="9.140625" style="16"/>
    <col min="40" max="40" width="9.140625" style="30"/>
    <col min="67" max="67" width="9.140625" style="58"/>
    <col min="82" max="82" width="9.140625" style="30"/>
  </cols>
  <sheetData>
    <row r="1" spans="1:13" x14ac:dyDescent="0.25">
      <c r="B1" s="160" t="s">
        <v>334</v>
      </c>
      <c r="C1" s="160"/>
      <c r="D1" s="160"/>
      <c r="E1" s="160"/>
      <c r="F1" s="160"/>
      <c r="I1" s="160" t="s">
        <v>335</v>
      </c>
      <c r="J1" s="160"/>
      <c r="K1" s="160"/>
      <c r="L1" s="160"/>
      <c r="M1" s="160"/>
    </row>
    <row r="2" spans="1:13" x14ac:dyDescent="0.25">
      <c r="B2" s="135">
        <f>INDEX(B4:B500,MATCH(MAX(F4:F500),F4:F500,0))</f>
        <v>28888</v>
      </c>
      <c r="C2" s="135">
        <f>INDEX(C4:C500,MATCH(MAX(F4:F500),F4:F500,0))</f>
        <v>184</v>
      </c>
      <c r="D2" s="135">
        <f>INDEX(D4:D500,MATCH(MAX(F4:F500),F4:F500,0))</f>
        <v>2</v>
      </c>
      <c r="E2" s="135">
        <f>INDEX(E4:E500,MATCH(MAX(F4:F500),F4:F500,0))</f>
        <v>8</v>
      </c>
      <c r="F2" s="136">
        <f>MAX(F4:F500)</f>
        <v>38.205200000000005</v>
      </c>
      <c r="I2" s="135">
        <f>INDEX(I4:I500,MATCH(MAX(M4:M500),M4:M500,0))</f>
        <v>29040</v>
      </c>
      <c r="J2" s="135">
        <f>INDEX(J4:J500,MATCH(MAX(M4:M500),M4:M500,0))</f>
        <v>120</v>
      </c>
      <c r="K2" s="135">
        <f>INDEX(K4:K500,MATCH(MAX(M4:M500),M4:M500,0))</f>
        <v>2</v>
      </c>
      <c r="L2" s="135">
        <f>INDEX(L4:L500,MATCH(MAX(M4:M500),M4:M500,0))</f>
        <v>8</v>
      </c>
      <c r="M2" s="136">
        <f>MAX(M4:M500)</f>
        <v>41.718399999999995</v>
      </c>
    </row>
    <row r="3" spans="1:13" x14ac:dyDescent="0.25">
      <c r="A3" t="s">
        <v>351</v>
      </c>
      <c r="B3" s="135" t="s">
        <v>5</v>
      </c>
      <c r="C3" s="135" t="s">
        <v>6</v>
      </c>
      <c r="D3" s="135" t="s">
        <v>7</v>
      </c>
      <c r="E3" s="135" t="s">
        <v>8</v>
      </c>
      <c r="F3" s="137" t="s">
        <v>333</v>
      </c>
      <c r="H3" t="s">
        <v>351</v>
      </c>
      <c r="I3" s="135" t="s">
        <v>5</v>
      </c>
      <c r="J3" s="135" t="s">
        <v>6</v>
      </c>
      <c r="K3" s="135" t="s">
        <v>7</v>
      </c>
      <c r="L3" s="135" t="s">
        <v>8</v>
      </c>
      <c r="M3" s="137" t="s">
        <v>333</v>
      </c>
    </row>
    <row r="4" spans="1:13" x14ac:dyDescent="0.25">
      <c r="A4">
        <f>IF(ABS(B4-25984)&lt;ABS(B4-27520),IF(ABS(B4-25984)&lt;ABS(B4-29056),25984,29056),IF(ABS(B4-27520)&lt;ABS(B4-29056),27520,29056))</f>
        <v>25984</v>
      </c>
      <c r="B4" s="16" cm="1">
        <f t="array" ref="B4:F187">_xlfn.CHOOSECOLS(_xlfn._xlws.FILTER('4 node, 933, params, RAW'!A5:W500,'4 node, 933, params, RAW'!A5:A500=0),3,4,5,6,23)</f>
        <v>25984</v>
      </c>
      <c r="C4" s="16">
        <v>32</v>
      </c>
      <c r="D4" s="16">
        <v>1</v>
      </c>
      <c r="E4" s="16">
        <v>16</v>
      </c>
      <c r="F4" s="30">
        <v>31.496199999999998</v>
      </c>
      <c r="H4">
        <f>IF(ABS(I4-25984)&lt;ABS(I4-27520),IF(ABS(I4-25984)&lt;ABS(I4-29056),25984,29056),IF(ABS(I4-27520)&lt;ABS(I4-29056),27520,29056))</f>
        <v>25984</v>
      </c>
      <c r="I4" s="16" cm="1">
        <f t="array" ref="I4:M151">_xlfn.CHOOSECOLS(_xlfn._xlws.FILTER('4 node, 933, params, RAW'!Y5:AU500,'4 node, 933, params, RAW'!Y5:Y500=0),3,4,5,6,23)</f>
        <v>25984</v>
      </c>
      <c r="J4" s="16">
        <v>32</v>
      </c>
      <c r="K4" s="16">
        <v>1</v>
      </c>
      <c r="L4" s="16">
        <v>16</v>
      </c>
      <c r="M4" s="30">
        <v>35.1768</v>
      </c>
    </row>
    <row r="5" spans="1:13" x14ac:dyDescent="0.25">
      <c r="A5">
        <f t="shared" ref="A5:A68" si="0">IF(ABS(B5-25984)&lt;ABS(B5-27520),IF(ABS(B5-25984)&lt;ABS(B5-29056),25984,29056),IF(ABS(B5-27520)&lt;ABS(B5-29056),27520,29056))</f>
        <v>27520</v>
      </c>
      <c r="B5" s="16">
        <v>27520</v>
      </c>
      <c r="C5" s="16">
        <v>32</v>
      </c>
      <c r="D5" s="16">
        <v>1</v>
      </c>
      <c r="E5" s="16">
        <v>16</v>
      </c>
      <c r="F5" s="30">
        <v>31.570399999999999</v>
      </c>
      <c r="H5">
        <f t="shared" ref="H5:H68" si="1">IF(ABS(I5-25984)&lt;ABS(I5-27520),IF(ABS(I5-25984)&lt;ABS(I5-29056),25984,29056),IF(ABS(I5-27520)&lt;ABS(I5-29056),27520,29056))</f>
        <v>27520</v>
      </c>
      <c r="I5" s="16">
        <v>27520</v>
      </c>
      <c r="J5" s="16">
        <v>32</v>
      </c>
      <c r="K5" s="16">
        <v>1</v>
      </c>
      <c r="L5" s="16">
        <v>16</v>
      </c>
      <c r="M5" s="30">
        <v>35.195399999999992</v>
      </c>
    </row>
    <row r="6" spans="1:13" x14ac:dyDescent="0.25">
      <c r="A6">
        <f t="shared" si="0"/>
        <v>29056</v>
      </c>
      <c r="B6" s="16">
        <v>29056</v>
      </c>
      <c r="C6" s="16">
        <v>32</v>
      </c>
      <c r="D6" s="16">
        <v>1</v>
      </c>
      <c r="E6" s="16">
        <v>16</v>
      </c>
      <c r="F6" s="30">
        <v>32.1004</v>
      </c>
      <c r="H6">
        <f t="shared" si="1"/>
        <v>29056</v>
      </c>
      <c r="I6" s="16">
        <v>29056</v>
      </c>
      <c r="J6" s="16">
        <v>32</v>
      </c>
      <c r="K6" s="16">
        <v>1</v>
      </c>
      <c r="L6" s="16">
        <v>16</v>
      </c>
      <c r="M6" s="30">
        <v>35.778199999999998</v>
      </c>
    </row>
    <row r="7" spans="1:13" x14ac:dyDescent="0.25">
      <c r="A7">
        <f t="shared" si="0"/>
        <v>25984</v>
      </c>
      <c r="B7" s="16">
        <v>25984</v>
      </c>
      <c r="C7" s="16">
        <v>32</v>
      </c>
      <c r="D7" s="16">
        <v>2</v>
      </c>
      <c r="E7" s="16">
        <v>8</v>
      </c>
      <c r="F7" s="30">
        <v>32.702399999999997</v>
      </c>
      <c r="H7">
        <f t="shared" si="1"/>
        <v>25984</v>
      </c>
      <c r="I7" s="16">
        <v>25984</v>
      </c>
      <c r="J7" s="16">
        <v>32</v>
      </c>
      <c r="K7" s="16">
        <v>2</v>
      </c>
      <c r="L7" s="16">
        <v>8</v>
      </c>
      <c r="M7" s="30">
        <v>37.555599999999998</v>
      </c>
    </row>
    <row r="8" spans="1:13" x14ac:dyDescent="0.25">
      <c r="A8">
        <f t="shared" si="0"/>
        <v>27520</v>
      </c>
      <c r="B8" s="16">
        <v>27520</v>
      </c>
      <c r="C8" s="16">
        <v>32</v>
      </c>
      <c r="D8" s="16">
        <v>2</v>
      </c>
      <c r="E8" s="16">
        <v>8</v>
      </c>
      <c r="F8" s="30">
        <v>33.022399999999998</v>
      </c>
      <c r="H8">
        <f t="shared" si="1"/>
        <v>27520</v>
      </c>
      <c r="I8" s="16">
        <v>27520</v>
      </c>
      <c r="J8" s="16">
        <v>32</v>
      </c>
      <c r="K8" s="16">
        <v>2</v>
      </c>
      <c r="L8" s="16">
        <v>8</v>
      </c>
      <c r="M8" s="30">
        <v>38.009399999999992</v>
      </c>
    </row>
    <row r="9" spans="1:13" x14ac:dyDescent="0.25">
      <c r="A9">
        <f t="shared" si="0"/>
        <v>29056</v>
      </c>
      <c r="B9" s="16">
        <v>29056</v>
      </c>
      <c r="C9" s="16">
        <v>32</v>
      </c>
      <c r="D9" s="16">
        <v>2</v>
      </c>
      <c r="E9" s="16">
        <v>8</v>
      </c>
      <c r="F9" s="30">
        <v>33.289400000000001</v>
      </c>
      <c r="H9">
        <f t="shared" si="1"/>
        <v>29056</v>
      </c>
      <c r="I9" s="16">
        <v>29056</v>
      </c>
      <c r="J9" s="16">
        <v>32</v>
      </c>
      <c r="K9" s="16">
        <v>2</v>
      </c>
      <c r="L9" s="16">
        <v>8</v>
      </c>
      <c r="M9" s="30">
        <v>38.1404</v>
      </c>
    </row>
    <row r="10" spans="1:13" x14ac:dyDescent="0.25">
      <c r="A10">
        <f t="shared" si="0"/>
        <v>25984</v>
      </c>
      <c r="B10" s="16">
        <v>25984</v>
      </c>
      <c r="C10" s="16">
        <v>32</v>
      </c>
      <c r="D10" s="16">
        <v>4</v>
      </c>
      <c r="E10" s="16">
        <v>4</v>
      </c>
      <c r="F10" s="30">
        <v>30.7788</v>
      </c>
      <c r="H10">
        <f t="shared" si="1"/>
        <v>25984</v>
      </c>
      <c r="I10" s="16">
        <v>25984</v>
      </c>
      <c r="J10" s="16">
        <v>32</v>
      </c>
      <c r="K10" s="16">
        <v>4</v>
      </c>
      <c r="L10" s="16">
        <v>4</v>
      </c>
      <c r="M10" s="30">
        <v>35.263599999999997</v>
      </c>
    </row>
    <row r="11" spans="1:13" x14ac:dyDescent="0.25">
      <c r="A11">
        <f t="shared" si="0"/>
        <v>27520</v>
      </c>
      <c r="B11" s="16">
        <v>27520</v>
      </c>
      <c r="C11" s="16">
        <v>32</v>
      </c>
      <c r="D11" s="16">
        <v>4</v>
      </c>
      <c r="E11" s="16">
        <v>4</v>
      </c>
      <c r="F11" s="30">
        <v>31.351399999999995</v>
      </c>
      <c r="H11">
        <f t="shared" si="1"/>
        <v>27520</v>
      </c>
      <c r="I11" s="16">
        <v>27520</v>
      </c>
      <c r="J11" s="16">
        <v>32</v>
      </c>
      <c r="K11" s="16">
        <v>4</v>
      </c>
      <c r="L11" s="16">
        <v>4</v>
      </c>
      <c r="M11" s="30">
        <v>35.885599999999997</v>
      </c>
    </row>
    <row r="12" spans="1:13" x14ac:dyDescent="0.25">
      <c r="A12">
        <f t="shared" si="0"/>
        <v>29056</v>
      </c>
      <c r="B12" s="16">
        <v>29056</v>
      </c>
      <c r="C12" s="16">
        <v>32</v>
      </c>
      <c r="D12" s="16">
        <v>4</v>
      </c>
      <c r="E12" s="16">
        <v>4</v>
      </c>
      <c r="F12" s="30">
        <v>31.683999999999997</v>
      </c>
      <c r="H12">
        <f t="shared" si="1"/>
        <v>29056</v>
      </c>
      <c r="I12" s="16">
        <v>29056</v>
      </c>
      <c r="J12" s="16">
        <v>32</v>
      </c>
      <c r="K12" s="16">
        <v>4</v>
      </c>
      <c r="L12" s="16">
        <v>4</v>
      </c>
      <c r="M12" s="30">
        <v>36.314599999999999</v>
      </c>
    </row>
    <row r="13" spans="1:13" x14ac:dyDescent="0.25">
      <c r="A13">
        <f t="shared" si="0"/>
        <v>25984</v>
      </c>
      <c r="B13" s="16">
        <v>25984</v>
      </c>
      <c r="C13" s="16">
        <v>64</v>
      </c>
      <c r="D13" s="16">
        <v>1</v>
      </c>
      <c r="E13" s="16">
        <v>16</v>
      </c>
      <c r="F13" s="30">
        <v>35.1798</v>
      </c>
      <c r="H13">
        <f t="shared" si="1"/>
        <v>25984</v>
      </c>
      <c r="I13" s="16">
        <v>25984</v>
      </c>
      <c r="J13" s="16">
        <v>64</v>
      </c>
      <c r="K13" s="16">
        <v>1</v>
      </c>
      <c r="L13" s="16">
        <v>16</v>
      </c>
      <c r="M13" s="30">
        <v>38.332399999999993</v>
      </c>
    </row>
    <row r="14" spans="1:13" x14ac:dyDescent="0.25">
      <c r="A14">
        <f t="shared" si="0"/>
        <v>27520</v>
      </c>
      <c r="B14" s="16">
        <v>27520</v>
      </c>
      <c r="C14" s="16">
        <v>64</v>
      </c>
      <c r="D14" s="16">
        <v>1</v>
      </c>
      <c r="E14" s="16">
        <v>16</v>
      </c>
      <c r="F14" s="30">
        <v>35.373000000000005</v>
      </c>
      <c r="H14">
        <f t="shared" si="1"/>
        <v>27520</v>
      </c>
      <c r="I14" s="16">
        <v>27520</v>
      </c>
      <c r="J14" s="16">
        <v>64</v>
      </c>
      <c r="K14" s="16">
        <v>1</v>
      </c>
      <c r="L14" s="16">
        <v>16</v>
      </c>
      <c r="M14" s="30">
        <v>38.660800000000002</v>
      </c>
    </row>
    <row r="15" spans="1:13" x14ac:dyDescent="0.25">
      <c r="A15">
        <f t="shared" si="0"/>
        <v>29056</v>
      </c>
      <c r="B15" s="16">
        <v>29056</v>
      </c>
      <c r="C15" s="16">
        <v>64</v>
      </c>
      <c r="D15" s="16">
        <v>1</v>
      </c>
      <c r="E15" s="16">
        <v>16</v>
      </c>
      <c r="F15" s="30">
        <v>35.624600000000001</v>
      </c>
      <c r="H15">
        <f t="shared" si="1"/>
        <v>29056</v>
      </c>
      <c r="I15" s="16">
        <v>29056</v>
      </c>
      <c r="J15" s="16">
        <v>64</v>
      </c>
      <c r="K15" s="16">
        <v>1</v>
      </c>
      <c r="L15" s="16">
        <v>16</v>
      </c>
      <c r="M15" s="30">
        <v>39.193399999999997</v>
      </c>
    </row>
    <row r="16" spans="1:13" x14ac:dyDescent="0.25">
      <c r="A16">
        <f t="shared" si="0"/>
        <v>25984</v>
      </c>
      <c r="B16" s="16">
        <v>25984</v>
      </c>
      <c r="C16" s="16">
        <v>64</v>
      </c>
      <c r="D16" s="16">
        <v>2</v>
      </c>
      <c r="E16" s="16">
        <v>8</v>
      </c>
      <c r="F16" s="30">
        <v>36.197400000000002</v>
      </c>
      <c r="H16">
        <f t="shared" si="1"/>
        <v>25984</v>
      </c>
      <c r="I16" s="16">
        <v>25984</v>
      </c>
      <c r="J16" s="16">
        <v>64</v>
      </c>
      <c r="K16" s="16">
        <v>2</v>
      </c>
      <c r="L16" s="16">
        <v>8</v>
      </c>
      <c r="M16" s="30">
        <v>40.001200000000004</v>
      </c>
    </row>
    <row r="17" spans="1:13" x14ac:dyDescent="0.25">
      <c r="A17">
        <f t="shared" si="0"/>
        <v>27520</v>
      </c>
      <c r="B17" s="16">
        <v>27520</v>
      </c>
      <c r="C17" s="16">
        <v>64</v>
      </c>
      <c r="D17" s="16">
        <v>2</v>
      </c>
      <c r="E17" s="16">
        <v>8</v>
      </c>
      <c r="F17" s="30">
        <v>36.685199999999995</v>
      </c>
      <c r="H17">
        <f t="shared" si="1"/>
        <v>27520</v>
      </c>
      <c r="I17" s="16">
        <v>27520</v>
      </c>
      <c r="J17" s="16">
        <v>64</v>
      </c>
      <c r="K17" s="16">
        <v>2</v>
      </c>
      <c r="L17" s="16">
        <v>8</v>
      </c>
      <c r="M17" s="30">
        <v>40.432600000000001</v>
      </c>
    </row>
    <row r="18" spans="1:13" x14ac:dyDescent="0.25">
      <c r="A18">
        <f t="shared" si="0"/>
        <v>29056</v>
      </c>
      <c r="B18" s="16">
        <v>29056</v>
      </c>
      <c r="C18" s="16">
        <v>64</v>
      </c>
      <c r="D18" s="16">
        <v>2</v>
      </c>
      <c r="E18" s="16">
        <v>8</v>
      </c>
      <c r="F18" s="30">
        <v>36.999000000000002</v>
      </c>
      <c r="H18">
        <f t="shared" si="1"/>
        <v>29056</v>
      </c>
      <c r="I18" s="16">
        <v>29056</v>
      </c>
      <c r="J18" s="16">
        <v>64</v>
      </c>
      <c r="K18" s="16">
        <v>2</v>
      </c>
      <c r="L18" s="16">
        <v>8</v>
      </c>
      <c r="M18" s="30">
        <v>40.797800000000002</v>
      </c>
    </row>
    <row r="19" spans="1:13" x14ac:dyDescent="0.25">
      <c r="A19">
        <f t="shared" si="0"/>
        <v>25984</v>
      </c>
      <c r="B19" s="16">
        <v>25984</v>
      </c>
      <c r="C19" s="16">
        <v>64</v>
      </c>
      <c r="D19" s="16">
        <v>4</v>
      </c>
      <c r="E19" s="16">
        <v>4</v>
      </c>
      <c r="F19" s="30">
        <v>33.869399999999999</v>
      </c>
      <c r="H19">
        <f t="shared" si="1"/>
        <v>25984</v>
      </c>
      <c r="I19" s="16">
        <v>25984</v>
      </c>
      <c r="J19" s="16">
        <v>64</v>
      </c>
      <c r="K19" s="16">
        <v>4</v>
      </c>
      <c r="L19" s="16">
        <v>4</v>
      </c>
      <c r="M19" s="30">
        <v>37.220399999999998</v>
      </c>
    </row>
    <row r="20" spans="1:13" x14ac:dyDescent="0.25">
      <c r="A20">
        <f t="shared" si="0"/>
        <v>27520</v>
      </c>
      <c r="B20" s="16">
        <v>27520</v>
      </c>
      <c r="C20" s="16">
        <v>64</v>
      </c>
      <c r="D20" s="16">
        <v>4</v>
      </c>
      <c r="E20" s="16">
        <v>4</v>
      </c>
      <c r="F20" s="30">
        <v>33.877000000000002</v>
      </c>
      <c r="H20">
        <f t="shared" si="1"/>
        <v>27520</v>
      </c>
      <c r="I20" s="16">
        <v>27520</v>
      </c>
      <c r="J20" s="16">
        <v>64</v>
      </c>
      <c r="K20" s="16">
        <v>4</v>
      </c>
      <c r="L20" s="16">
        <v>4</v>
      </c>
      <c r="M20" s="30">
        <v>37.673000000000002</v>
      </c>
    </row>
    <row r="21" spans="1:13" x14ac:dyDescent="0.25">
      <c r="A21">
        <f t="shared" si="0"/>
        <v>29056</v>
      </c>
      <c r="B21" s="16">
        <v>29056</v>
      </c>
      <c r="C21" s="16">
        <v>64</v>
      </c>
      <c r="D21" s="16">
        <v>4</v>
      </c>
      <c r="E21" s="16">
        <v>4</v>
      </c>
      <c r="F21" s="30">
        <v>34.918600000000005</v>
      </c>
      <c r="H21">
        <f t="shared" si="1"/>
        <v>29056</v>
      </c>
      <c r="I21" s="16">
        <v>29056</v>
      </c>
      <c r="J21" s="16">
        <v>64</v>
      </c>
      <c r="K21" s="16">
        <v>4</v>
      </c>
      <c r="L21" s="16">
        <v>4</v>
      </c>
      <c r="M21" s="30">
        <v>38.461599999999997</v>
      </c>
    </row>
    <row r="22" spans="1:13" x14ac:dyDescent="0.25">
      <c r="A22">
        <f t="shared" si="0"/>
        <v>25984</v>
      </c>
      <c r="B22" s="16">
        <v>25920</v>
      </c>
      <c r="C22" s="16">
        <v>96</v>
      </c>
      <c r="D22" s="16">
        <v>1</v>
      </c>
      <c r="E22" s="16">
        <v>16</v>
      </c>
      <c r="F22" s="30">
        <v>35.097200000000001</v>
      </c>
      <c r="H22">
        <f t="shared" si="1"/>
        <v>25984</v>
      </c>
      <c r="I22" s="16">
        <v>25920</v>
      </c>
      <c r="J22" s="16">
        <v>96</v>
      </c>
      <c r="K22" s="16">
        <v>1</v>
      </c>
      <c r="L22" s="16">
        <v>16</v>
      </c>
      <c r="M22" s="30">
        <v>39.0852</v>
      </c>
    </row>
    <row r="23" spans="1:13" x14ac:dyDescent="0.25">
      <c r="A23">
        <f t="shared" si="0"/>
        <v>27520</v>
      </c>
      <c r="B23" s="16">
        <v>27456</v>
      </c>
      <c r="C23" s="16">
        <v>96</v>
      </c>
      <c r="D23" s="16">
        <v>1</v>
      </c>
      <c r="E23" s="16">
        <v>16</v>
      </c>
      <c r="F23" s="30">
        <v>35.4024</v>
      </c>
      <c r="H23">
        <f t="shared" si="1"/>
        <v>27520</v>
      </c>
      <c r="I23" s="16">
        <v>27456</v>
      </c>
      <c r="J23" s="16">
        <v>96</v>
      </c>
      <c r="K23" s="16">
        <v>1</v>
      </c>
      <c r="L23" s="16">
        <v>16</v>
      </c>
      <c r="M23" s="30">
        <v>39.487200000000009</v>
      </c>
    </row>
    <row r="24" spans="1:13" x14ac:dyDescent="0.25">
      <c r="A24">
        <f t="shared" si="0"/>
        <v>29056</v>
      </c>
      <c r="B24" s="16">
        <v>28992</v>
      </c>
      <c r="C24" s="16">
        <v>96</v>
      </c>
      <c r="D24" s="16">
        <v>1</v>
      </c>
      <c r="E24" s="16">
        <v>16</v>
      </c>
      <c r="F24" s="30">
        <v>35.758800000000008</v>
      </c>
      <c r="H24">
        <f t="shared" si="1"/>
        <v>29056</v>
      </c>
      <c r="I24" s="16">
        <v>28992</v>
      </c>
      <c r="J24" s="16">
        <v>96</v>
      </c>
      <c r="K24" s="16">
        <v>1</v>
      </c>
      <c r="L24" s="16">
        <v>16</v>
      </c>
      <c r="M24" s="30">
        <v>40.034000000000006</v>
      </c>
    </row>
    <row r="25" spans="1:13" x14ac:dyDescent="0.25">
      <c r="A25">
        <f t="shared" si="0"/>
        <v>25984</v>
      </c>
      <c r="B25" s="16">
        <v>25920</v>
      </c>
      <c r="C25" s="16">
        <v>96</v>
      </c>
      <c r="D25" s="16">
        <v>2</v>
      </c>
      <c r="E25" s="16">
        <v>8</v>
      </c>
      <c r="F25" s="30">
        <v>36.030000000000008</v>
      </c>
      <c r="H25">
        <f t="shared" si="1"/>
        <v>25984</v>
      </c>
      <c r="I25" s="16">
        <v>25920</v>
      </c>
      <c r="J25" s="16">
        <v>96</v>
      </c>
      <c r="K25" s="16">
        <v>2</v>
      </c>
      <c r="L25" s="16">
        <v>8</v>
      </c>
      <c r="M25" s="30">
        <v>40.582799999999999</v>
      </c>
    </row>
    <row r="26" spans="1:13" x14ac:dyDescent="0.25">
      <c r="A26">
        <f t="shared" si="0"/>
        <v>27520</v>
      </c>
      <c r="B26" s="16">
        <v>27456</v>
      </c>
      <c r="C26" s="16">
        <v>96</v>
      </c>
      <c r="D26" s="16">
        <v>2</v>
      </c>
      <c r="E26" s="16">
        <v>8</v>
      </c>
      <c r="F26" s="30">
        <v>36.483199999999997</v>
      </c>
      <c r="H26">
        <f t="shared" si="1"/>
        <v>27520</v>
      </c>
      <c r="I26" s="16">
        <v>27456</v>
      </c>
      <c r="J26" s="16">
        <v>96</v>
      </c>
      <c r="K26" s="16">
        <v>2</v>
      </c>
      <c r="L26" s="16">
        <v>8</v>
      </c>
      <c r="M26" s="30">
        <v>41.1066</v>
      </c>
    </row>
    <row r="27" spans="1:13" x14ac:dyDescent="0.25">
      <c r="A27">
        <f t="shared" si="0"/>
        <v>29056</v>
      </c>
      <c r="B27" s="16">
        <v>28992</v>
      </c>
      <c r="C27" s="16">
        <v>96</v>
      </c>
      <c r="D27" s="16">
        <v>2</v>
      </c>
      <c r="E27" s="16">
        <v>8</v>
      </c>
      <c r="F27" s="30">
        <v>36.583800000000004</v>
      </c>
      <c r="H27">
        <f t="shared" si="1"/>
        <v>29056</v>
      </c>
      <c r="I27" s="16">
        <v>28992</v>
      </c>
      <c r="J27" s="16">
        <v>96</v>
      </c>
      <c r="K27" s="16">
        <v>2</v>
      </c>
      <c r="L27" s="16">
        <v>8</v>
      </c>
      <c r="M27" s="30">
        <v>41.543799999999997</v>
      </c>
    </row>
    <row r="28" spans="1:13" x14ac:dyDescent="0.25">
      <c r="A28">
        <f t="shared" si="0"/>
        <v>25984</v>
      </c>
      <c r="B28" s="16">
        <v>25920</v>
      </c>
      <c r="C28" s="16">
        <v>96</v>
      </c>
      <c r="D28" s="16">
        <v>4</v>
      </c>
      <c r="E28" s="16">
        <v>4</v>
      </c>
      <c r="F28" s="30">
        <v>34.084799999999994</v>
      </c>
      <c r="H28">
        <f t="shared" si="1"/>
        <v>25984</v>
      </c>
      <c r="I28" s="16">
        <v>25920</v>
      </c>
      <c r="J28" s="16">
        <v>96</v>
      </c>
      <c r="K28" s="16">
        <v>4</v>
      </c>
      <c r="L28" s="16">
        <v>4</v>
      </c>
      <c r="M28" s="30">
        <v>37.431200000000004</v>
      </c>
    </row>
    <row r="29" spans="1:13" x14ac:dyDescent="0.25">
      <c r="A29">
        <f t="shared" si="0"/>
        <v>27520</v>
      </c>
      <c r="B29" s="16">
        <v>27456</v>
      </c>
      <c r="C29" s="16">
        <v>96</v>
      </c>
      <c r="D29" s="16">
        <v>4</v>
      </c>
      <c r="E29" s="16">
        <v>4</v>
      </c>
      <c r="F29" s="30">
        <v>34.176400000000001</v>
      </c>
      <c r="H29">
        <f t="shared" si="1"/>
        <v>27520</v>
      </c>
      <c r="I29" s="16">
        <v>27456</v>
      </c>
      <c r="J29" s="16">
        <v>96</v>
      </c>
      <c r="K29" s="16">
        <v>4</v>
      </c>
      <c r="L29" s="16">
        <v>4</v>
      </c>
      <c r="M29" s="30">
        <v>37.997399999999999</v>
      </c>
    </row>
    <row r="30" spans="1:13" x14ac:dyDescent="0.25">
      <c r="A30">
        <f t="shared" si="0"/>
        <v>29056</v>
      </c>
      <c r="B30" s="16">
        <v>28992</v>
      </c>
      <c r="C30" s="16">
        <v>96</v>
      </c>
      <c r="D30" s="16">
        <v>4</v>
      </c>
      <c r="E30" s="16">
        <v>4</v>
      </c>
      <c r="F30" s="30">
        <v>35.2254</v>
      </c>
      <c r="H30">
        <f t="shared" si="1"/>
        <v>29056</v>
      </c>
      <c r="I30" s="16">
        <v>28992</v>
      </c>
      <c r="J30" s="16">
        <v>96</v>
      </c>
      <c r="K30" s="16">
        <v>4</v>
      </c>
      <c r="L30" s="16">
        <v>4</v>
      </c>
      <c r="M30" s="30">
        <v>38.8172</v>
      </c>
    </row>
    <row r="31" spans="1:13" x14ac:dyDescent="0.25">
      <c r="A31">
        <f t="shared" si="0"/>
        <v>25984</v>
      </c>
      <c r="B31" s="16">
        <v>25984</v>
      </c>
      <c r="C31" s="16">
        <v>128</v>
      </c>
      <c r="D31" s="16">
        <v>1</v>
      </c>
      <c r="E31" s="16">
        <v>16</v>
      </c>
      <c r="F31" s="30">
        <v>35.141599999999997</v>
      </c>
      <c r="H31">
        <f t="shared" si="1"/>
        <v>25984</v>
      </c>
      <c r="I31" s="16">
        <v>25984</v>
      </c>
      <c r="J31" s="16">
        <v>128</v>
      </c>
      <c r="K31" s="16">
        <v>1</v>
      </c>
      <c r="L31" s="16">
        <v>16</v>
      </c>
      <c r="M31" s="30">
        <v>37.570799999999998</v>
      </c>
    </row>
    <row r="32" spans="1:13" x14ac:dyDescent="0.25">
      <c r="A32">
        <f t="shared" si="0"/>
        <v>27520</v>
      </c>
      <c r="B32" s="16">
        <v>27520</v>
      </c>
      <c r="C32" s="16">
        <v>128</v>
      </c>
      <c r="D32" s="16">
        <v>1</v>
      </c>
      <c r="E32" s="16">
        <v>16</v>
      </c>
      <c r="F32" s="30">
        <v>35.435600000000001</v>
      </c>
      <c r="H32">
        <f t="shared" si="1"/>
        <v>27520</v>
      </c>
      <c r="I32" s="16">
        <v>27520</v>
      </c>
      <c r="J32" s="16">
        <v>128</v>
      </c>
      <c r="K32" s="16">
        <v>1</v>
      </c>
      <c r="L32" s="16">
        <v>16</v>
      </c>
      <c r="M32" s="30">
        <v>38.000799999999998</v>
      </c>
    </row>
    <row r="33" spans="1:32" x14ac:dyDescent="0.25">
      <c r="A33">
        <f t="shared" si="0"/>
        <v>29056</v>
      </c>
      <c r="B33" s="16">
        <v>29056</v>
      </c>
      <c r="C33" s="16">
        <v>128</v>
      </c>
      <c r="D33" s="16">
        <v>1</v>
      </c>
      <c r="E33" s="16">
        <v>16</v>
      </c>
      <c r="F33" s="30">
        <v>35.835799999999999</v>
      </c>
      <c r="H33">
        <f t="shared" si="1"/>
        <v>29056</v>
      </c>
      <c r="I33" s="16">
        <v>29056</v>
      </c>
      <c r="J33" s="16">
        <v>128</v>
      </c>
      <c r="K33" s="16">
        <v>1</v>
      </c>
      <c r="L33" s="16">
        <v>16</v>
      </c>
      <c r="M33" s="30">
        <v>38.340600000000002</v>
      </c>
    </row>
    <row r="34" spans="1:32" x14ac:dyDescent="0.25">
      <c r="A34">
        <f t="shared" si="0"/>
        <v>25984</v>
      </c>
      <c r="B34" s="16">
        <v>25984</v>
      </c>
      <c r="C34" s="16">
        <v>128</v>
      </c>
      <c r="D34" s="16">
        <v>2</v>
      </c>
      <c r="E34" s="16">
        <v>8</v>
      </c>
      <c r="F34" s="30">
        <v>36.302800000000005</v>
      </c>
      <c r="H34">
        <f t="shared" si="1"/>
        <v>25984</v>
      </c>
      <c r="I34" s="16">
        <v>25984</v>
      </c>
      <c r="J34" s="16">
        <v>128</v>
      </c>
      <c r="K34" s="16">
        <v>2</v>
      </c>
      <c r="L34" s="16">
        <v>8</v>
      </c>
      <c r="M34" s="30">
        <v>39.381399999999999</v>
      </c>
    </row>
    <row r="35" spans="1:32" x14ac:dyDescent="0.25">
      <c r="A35">
        <f t="shared" si="0"/>
        <v>27520</v>
      </c>
      <c r="B35" s="16">
        <v>27520</v>
      </c>
      <c r="C35" s="16">
        <v>128</v>
      </c>
      <c r="D35" s="16">
        <v>2</v>
      </c>
      <c r="E35" s="16">
        <v>8</v>
      </c>
      <c r="F35" s="30">
        <v>33.743200000000002</v>
      </c>
      <c r="H35">
        <f t="shared" si="1"/>
        <v>27520</v>
      </c>
      <c r="I35" s="16">
        <v>27520</v>
      </c>
      <c r="J35" s="16">
        <v>128</v>
      </c>
      <c r="K35" s="16">
        <v>2</v>
      </c>
      <c r="L35" s="16">
        <v>8</v>
      </c>
      <c r="M35" s="30">
        <v>37.581400000000002</v>
      </c>
    </row>
    <row r="36" spans="1:32" x14ac:dyDescent="0.25">
      <c r="A36">
        <f t="shared" si="0"/>
        <v>29056</v>
      </c>
      <c r="B36" s="16">
        <v>29056</v>
      </c>
      <c r="C36" s="16">
        <v>128</v>
      </c>
      <c r="D36" s="16">
        <v>2</v>
      </c>
      <c r="E36" s="16">
        <v>8</v>
      </c>
      <c r="F36" s="30">
        <v>37.355600000000003</v>
      </c>
      <c r="H36">
        <f t="shared" si="1"/>
        <v>29056</v>
      </c>
      <c r="I36" s="16">
        <v>29056</v>
      </c>
      <c r="J36" s="16">
        <v>128</v>
      </c>
      <c r="K36" s="16">
        <v>2</v>
      </c>
      <c r="L36" s="16">
        <v>8</v>
      </c>
      <c r="M36" s="30">
        <v>40.383799999999994</v>
      </c>
    </row>
    <row r="37" spans="1:32" x14ac:dyDescent="0.25">
      <c r="A37">
        <f t="shared" si="0"/>
        <v>25984</v>
      </c>
      <c r="B37" s="16">
        <v>25984</v>
      </c>
      <c r="C37" s="16">
        <v>128</v>
      </c>
      <c r="D37" s="16">
        <v>4</v>
      </c>
      <c r="E37" s="16">
        <v>4</v>
      </c>
      <c r="F37" s="30">
        <v>34.474999999999994</v>
      </c>
      <c r="H37">
        <f t="shared" si="1"/>
        <v>25984</v>
      </c>
      <c r="I37" s="16">
        <v>25984</v>
      </c>
      <c r="J37" s="16">
        <v>128</v>
      </c>
      <c r="K37" s="16">
        <v>4</v>
      </c>
      <c r="L37" s="16">
        <v>4</v>
      </c>
      <c r="M37" s="30">
        <v>36.714199999999998</v>
      </c>
    </row>
    <row r="38" spans="1:32" x14ac:dyDescent="0.25">
      <c r="A38">
        <f t="shared" si="0"/>
        <v>27520</v>
      </c>
      <c r="B38" s="16">
        <v>27520</v>
      </c>
      <c r="C38" s="16">
        <v>128</v>
      </c>
      <c r="D38" s="16">
        <v>4</v>
      </c>
      <c r="E38" s="16">
        <v>4</v>
      </c>
      <c r="F38" s="30">
        <v>34.626800000000003</v>
      </c>
      <c r="H38">
        <f t="shared" si="1"/>
        <v>27520</v>
      </c>
      <c r="I38" s="16">
        <v>27520</v>
      </c>
      <c r="J38" s="16">
        <v>128</v>
      </c>
      <c r="K38" s="16">
        <v>4</v>
      </c>
      <c r="L38" s="16">
        <v>4</v>
      </c>
      <c r="M38" s="30">
        <v>37.178399999999996</v>
      </c>
    </row>
    <row r="39" spans="1:32" x14ac:dyDescent="0.25">
      <c r="A39">
        <f t="shared" si="0"/>
        <v>29056</v>
      </c>
      <c r="B39" s="16">
        <v>29056</v>
      </c>
      <c r="C39" s="16">
        <v>128</v>
      </c>
      <c r="D39" s="16">
        <v>4</v>
      </c>
      <c r="E39" s="16">
        <v>4</v>
      </c>
      <c r="F39" s="30">
        <v>35.561800000000005</v>
      </c>
      <c r="H39">
        <f t="shared" si="1"/>
        <v>29056</v>
      </c>
      <c r="I39" s="16">
        <v>29056</v>
      </c>
      <c r="J39" s="16">
        <v>128</v>
      </c>
      <c r="K39" s="16">
        <v>4</v>
      </c>
      <c r="L39" s="16">
        <v>4</v>
      </c>
      <c r="M39" s="30">
        <v>37.986399999999996</v>
      </c>
    </row>
    <row r="40" spans="1:32" x14ac:dyDescent="0.25">
      <c r="A40">
        <f t="shared" si="0"/>
        <v>25984</v>
      </c>
      <c r="B40" s="16">
        <v>25920</v>
      </c>
      <c r="C40" s="16">
        <v>160</v>
      </c>
      <c r="D40" s="16">
        <v>1</v>
      </c>
      <c r="E40" s="16">
        <v>16</v>
      </c>
      <c r="F40" s="30">
        <v>35.673799999999993</v>
      </c>
      <c r="H40">
        <f t="shared" si="1"/>
        <v>25984</v>
      </c>
      <c r="I40" s="16">
        <v>25920</v>
      </c>
      <c r="J40" s="16">
        <v>160</v>
      </c>
      <c r="K40" s="16">
        <v>1</v>
      </c>
      <c r="L40" s="16">
        <v>16</v>
      </c>
      <c r="M40" s="30">
        <v>37.973799999999997</v>
      </c>
      <c r="AF40" s="16" t="s">
        <v>328</v>
      </c>
    </row>
    <row r="41" spans="1:32" x14ac:dyDescent="0.25">
      <c r="A41">
        <f t="shared" si="0"/>
        <v>27520</v>
      </c>
      <c r="B41" s="16">
        <v>27520</v>
      </c>
      <c r="C41" s="16">
        <v>160</v>
      </c>
      <c r="D41" s="16">
        <v>1</v>
      </c>
      <c r="E41" s="16">
        <v>16</v>
      </c>
      <c r="F41" s="30">
        <v>35.952199999999998</v>
      </c>
      <c r="H41">
        <f t="shared" si="1"/>
        <v>27520</v>
      </c>
      <c r="I41" s="16">
        <v>27520</v>
      </c>
      <c r="J41" s="16">
        <v>160</v>
      </c>
      <c r="K41" s="16">
        <v>1</v>
      </c>
      <c r="L41" s="16">
        <v>16</v>
      </c>
      <c r="M41" s="30">
        <v>38.057200000000002</v>
      </c>
    </row>
    <row r="42" spans="1:32" x14ac:dyDescent="0.25">
      <c r="A42">
        <f t="shared" si="0"/>
        <v>29056</v>
      </c>
      <c r="B42" s="16">
        <v>28960</v>
      </c>
      <c r="C42" s="16">
        <v>160</v>
      </c>
      <c r="D42" s="16">
        <v>1</v>
      </c>
      <c r="E42" s="16">
        <v>16</v>
      </c>
      <c r="F42" s="30">
        <v>36.215999999999994</v>
      </c>
      <c r="H42">
        <f t="shared" si="1"/>
        <v>29056</v>
      </c>
      <c r="I42" s="16">
        <v>28960</v>
      </c>
      <c r="J42" s="16">
        <v>160</v>
      </c>
      <c r="K42" s="16">
        <v>1</v>
      </c>
      <c r="L42" s="16">
        <v>16</v>
      </c>
      <c r="M42" s="30">
        <v>37.638800000000003</v>
      </c>
    </row>
    <row r="43" spans="1:32" x14ac:dyDescent="0.25">
      <c r="A43">
        <f t="shared" si="0"/>
        <v>25984</v>
      </c>
      <c r="B43" s="16">
        <v>25920</v>
      </c>
      <c r="C43" s="16">
        <v>160</v>
      </c>
      <c r="D43" s="16">
        <v>2</v>
      </c>
      <c r="E43" s="16">
        <v>8</v>
      </c>
      <c r="F43" s="30">
        <v>37.4542</v>
      </c>
      <c r="H43">
        <f t="shared" si="1"/>
        <v>25984</v>
      </c>
      <c r="I43" s="16">
        <v>25920</v>
      </c>
      <c r="J43" s="16">
        <v>160</v>
      </c>
      <c r="K43" s="16">
        <v>2</v>
      </c>
      <c r="L43" s="16">
        <v>8</v>
      </c>
      <c r="M43" s="30">
        <v>39.680999999999997</v>
      </c>
    </row>
    <row r="44" spans="1:32" x14ac:dyDescent="0.25">
      <c r="A44">
        <f t="shared" si="0"/>
        <v>27520</v>
      </c>
      <c r="B44" s="16">
        <v>27520</v>
      </c>
      <c r="C44" s="16">
        <v>160</v>
      </c>
      <c r="D44" s="16">
        <v>2</v>
      </c>
      <c r="E44" s="16">
        <v>8</v>
      </c>
      <c r="F44" s="30">
        <v>37.914200000000001</v>
      </c>
      <c r="H44">
        <f t="shared" si="1"/>
        <v>27520</v>
      </c>
      <c r="I44" s="16">
        <v>27520</v>
      </c>
      <c r="J44" s="16">
        <v>160</v>
      </c>
      <c r="K44" s="16">
        <v>2</v>
      </c>
      <c r="L44" s="16">
        <v>8</v>
      </c>
      <c r="M44" s="30">
        <v>40.192600000000006</v>
      </c>
    </row>
    <row r="45" spans="1:32" x14ac:dyDescent="0.25">
      <c r="A45">
        <f t="shared" si="0"/>
        <v>29056</v>
      </c>
      <c r="B45" s="16">
        <v>28960</v>
      </c>
      <c r="C45" s="16">
        <v>160</v>
      </c>
      <c r="D45" s="16">
        <v>2</v>
      </c>
      <c r="E45" s="16">
        <v>8</v>
      </c>
      <c r="F45" s="30">
        <v>38.121600000000001</v>
      </c>
      <c r="H45">
        <f t="shared" si="1"/>
        <v>29056</v>
      </c>
      <c r="I45" s="16">
        <v>28960</v>
      </c>
      <c r="J45" s="16">
        <v>160</v>
      </c>
      <c r="K45" s="16">
        <v>2</v>
      </c>
      <c r="L45" s="16">
        <v>8</v>
      </c>
      <c r="M45" s="30">
        <v>40.646599999999999</v>
      </c>
    </row>
    <row r="46" spans="1:32" x14ac:dyDescent="0.25">
      <c r="A46">
        <f t="shared" si="0"/>
        <v>25984</v>
      </c>
      <c r="B46" s="16">
        <v>25920</v>
      </c>
      <c r="C46" s="16">
        <v>160</v>
      </c>
      <c r="D46" s="16">
        <v>4</v>
      </c>
      <c r="E46" s="16">
        <v>4</v>
      </c>
      <c r="F46" s="30">
        <v>34.966799999999999</v>
      </c>
      <c r="H46">
        <f t="shared" si="1"/>
        <v>25984</v>
      </c>
      <c r="I46" s="16">
        <v>25920</v>
      </c>
      <c r="J46" s="16">
        <v>160</v>
      </c>
      <c r="K46" s="16">
        <v>4</v>
      </c>
      <c r="L46" s="16">
        <v>4</v>
      </c>
      <c r="M46" s="30">
        <v>36.8996</v>
      </c>
    </row>
    <row r="47" spans="1:32" x14ac:dyDescent="0.25">
      <c r="A47">
        <f t="shared" si="0"/>
        <v>27520</v>
      </c>
      <c r="B47" s="16">
        <v>27520</v>
      </c>
      <c r="C47" s="16">
        <v>160</v>
      </c>
      <c r="D47" s="16">
        <v>4</v>
      </c>
      <c r="E47" s="16">
        <v>4</v>
      </c>
      <c r="F47" s="30">
        <v>35.873599999999996</v>
      </c>
      <c r="H47">
        <f t="shared" si="1"/>
        <v>27520</v>
      </c>
      <c r="I47" s="16">
        <v>27520</v>
      </c>
      <c r="J47" s="16">
        <v>160</v>
      </c>
      <c r="K47" s="16">
        <v>4</v>
      </c>
      <c r="L47" s="16">
        <v>4</v>
      </c>
      <c r="M47" s="30">
        <v>37.693200000000004</v>
      </c>
    </row>
    <row r="48" spans="1:32" x14ac:dyDescent="0.25">
      <c r="A48">
        <f t="shared" si="0"/>
        <v>29056</v>
      </c>
      <c r="B48" s="16">
        <v>28960</v>
      </c>
      <c r="C48" s="16">
        <v>160</v>
      </c>
      <c r="D48" s="16">
        <v>4</v>
      </c>
      <c r="E48" s="16">
        <v>4</v>
      </c>
      <c r="F48" s="30">
        <v>36.363999999999997</v>
      </c>
      <c r="H48">
        <f t="shared" si="1"/>
        <v>29056</v>
      </c>
      <c r="I48" s="16">
        <v>28960</v>
      </c>
      <c r="J48" s="16">
        <v>160</v>
      </c>
      <c r="K48" s="16">
        <v>4</v>
      </c>
      <c r="L48" s="16">
        <v>4</v>
      </c>
      <c r="M48" s="30">
        <v>38.257999999999996</v>
      </c>
    </row>
    <row r="49" spans="1:13" x14ac:dyDescent="0.25">
      <c r="A49">
        <f t="shared" si="0"/>
        <v>25984</v>
      </c>
      <c r="B49" s="16">
        <v>25920</v>
      </c>
      <c r="C49" s="16">
        <v>192</v>
      </c>
      <c r="D49" s="16">
        <v>1</v>
      </c>
      <c r="E49" s="16">
        <v>16</v>
      </c>
      <c r="F49" s="30">
        <v>34.786000000000001</v>
      </c>
      <c r="H49">
        <f t="shared" si="1"/>
        <v>25984</v>
      </c>
      <c r="I49" s="16">
        <v>25920</v>
      </c>
      <c r="J49" s="16">
        <v>192</v>
      </c>
      <c r="K49" s="16">
        <v>1</v>
      </c>
      <c r="L49" s="16">
        <v>16</v>
      </c>
      <c r="M49" s="30">
        <v>37.541200000000003</v>
      </c>
    </row>
    <row r="50" spans="1:13" x14ac:dyDescent="0.25">
      <c r="A50">
        <f t="shared" si="0"/>
        <v>27520</v>
      </c>
      <c r="B50" s="16">
        <v>27456</v>
      </c>
      <c r="C50" s="16">
        <v>192</v>
      </c>
      <c r="D50" s="16">
        <v>1</v>
      </c>
      <c r="E50" s="16">
        <v>16</v>
      </c>
      <c r="F50" s="30">
        <v>35.317600000000006</v>
      </c>
      <c r="H50">
        <f t="shared" si="1"/>
        <v>27520</v>
      </c>
      <c r="I50" s="16">
        <v>27456</v>
      </c>
      <c r="J50" s="16">
        <v>192</v>
      </c>
      <c r="K50" s="16">
        <v>1</v>
      </c>
      <c r="L50" s="16">
        <v>16</v>
      </c>
      <c r="M50" s="30">
        <v>38.046599999999998</v>
      </c>
    </row>
    <row r="51" spans="1:13" x14ac:dyDescent="0.25">
      <c r="A51">
        <f t="shared" si="0"/>
        <v>29056</v>
      </c>
      <c r="B51" s="16">
        <v>28992</v>
      </c>
      <c r="C51" s="16">
        <v>192</v>
      </c>
      <c r="D51" s="16">
        <v>1</v>
      </c>
      <c r="E51" s="16">
        <v>16</v>
      </c>
      <c r="F51" s="30">
        <v>27.485399999999998</v>
      </c>
      <c r="H51">
        <f t="shared" si="1"/>
        <v>29056</v>
      </c>
      <c r="I51" s="16">
        <v>28992</v>
      </c>
      <c r="J51" s="16">
        <v>192</v>
      </c>
      <c r="K51" s="16">
        <v>1</v>
      </c>
      <c r="L51" s="16">
        <v>16</v>
      </c>
      <c r="M51" s="30">
        <v>35.177399999999999</v>
      </c>
    </row>
    <row r="52" spans="1:13" x14ac:dyDescent="0.25">
      <c r="A52">
        <f t="shared" si="0"/>
        <v>25984</v>
      </c>
      <c r="B52" s="16">
        <v>25920</v>
      </c>
      <c r="C52" s="16">
        <v>192</v>
      </c>
      <c r="D52" s="16">
        <v>2</v>
      </c>
      <c r="E52" s="16">
        <v>8</v>
      </c>
      <c r="F52" s="30">
        <v>36.812799999999996</v>
      </c>
      <c r="H52">
        <f t="shared" si="1"/>
        <v>25984</v>
      </c>
      <c r="I52" s="16">
        <v>25920</v>
      </c>
      <c r="J52" s="16">
        <v>192</v>
      </c>
      <c r="K52" s="16">
        <v>2</v>
      </c>
      <c r="L52" s="16">
        <v>8</v>
      </c>
      <c r="M52" s="30">
        <v>39.582199999999993</v>
      </c>
    </row>
    <row r="53" spans="1:13" x14ac:dyDescent="0.25">
      <c r="A53">
        <f t="shared" si="0"/>
        <v>27520</v>
      </c>
      <c r="B53" s="16">
        <v>27456</v>
      </c>
      <c r="C53" s="16">
        <v>192</v>
      </c>
      <c r="D53" s="16">
        <v>2</v>
      </c>
      <c r="E53" s="16">
        <v>8</v>
      </c>
      <c r="F53" s="30">
        <v>34.624399999999994</v>
      </c>
      <c r="H53">
        <f t="shared" si="1"/>
        <v>27520</v>
      </c>
      <c r="I53" s="16">
        <v>27456</v>
      </c>
      <c r="J53" s="16">
        <v>192</v>
      </c>
      <c r="K53" s="16">
        <v>2</v>
      </c>
      <c r="L53" s="16">
        <v>8</v>
      </c>
      <c r="M53" s="30">
        <v>39.0212</v>
      </c>
    </row>
    <row r="54" spans="1:13" x14ac:dyDescent="0.25">
      <c r="A54">
        <f t="shared" si="0"/>
        <v>29056</v>
      </c>
      <c r="B54" s="16">
        <v>28992</v>
      </c>
      <c r="C54" s="16">
        <v>192</v>
      </c>
      <c r="D54" s="16">
        <v>2</v>
      </c>
      <c r="E54" s="16">
        <v>8</v>
      </c>
      <c r="F54" s="30">
        <v>38.002200000000002</v>
      </c>
      <c r="H54">
        <f t="shared" si="1"/>
        <v>29056</v>
      </c>
      <c r="I54" s="16">
        <v>28992</v>
      </c>
      <c r="J54" s="16">
        <v>192</v>
      </c>
      <c r="K54" s="16">
        <v>2</v>
      </c>
      <c r="L54" s="16">
        <v>8</v>
      </c>
      <c r="M54" s="30">
        <v>40.735599999999998</v>
      </c>
    </row>
    <row r="55" spans="1:13" x14ac:dyDescent="0.25">
      <c r="A55">
        <f t="shared" si="0"/>
        <v>25984</v>
      </c>
      <c r="B55" s="16">
        <v>25920</v>
      </c>
      <c r="C55" s="16">
        <v>192</v>
      </c>
      <c r="D55" s="16">
        <v>4</v>
      </c>
      <c r="E55" s="16">
        <v>4</v>
      </c>
      <c r="F55" s="30">
        <v>34.791999999999994</v>
      </c>
      <c r="H55">
        <f t="shared" si="1"/>
        <v>25984</v>
      </c>
      <c r="I55" s="16">
        <v>25920</v>
      </c>
      <c r="J55" s="16">
        <v>192</v>
      </c>
      <c r="K55" s="16">
        <v>4</v>
      </c>
      <c r="L55" s="16">
        <v>4</v>
      </c>
      <c r="M55" s="30">
        <v>36.961799999999997</v>
      </c>
    </row>
    <row r="56" spans="1:13" x14ac:dyDescent="0.25">
      <c r="A56">
        <f t="shared" si="0"/>
        <v>27520</v>
      </c>
      <c r="B56" s="16">
        <v>27456</v>
      </c>
      <c r="C56" s="16">
        <v>192</v>
      </c>
      <c r="D56" s="16">
        <v>4</v>
      </c>
      <c r="E56" s="16">
        <v>4</v>
      </c>
      <c r="F56" s="30">
        <v>34.977800000000002</v>
      </c>
      <c r="H56">
        <f t="shared" si="1"/>
        <v>27520</v>
      </c>
      <c r="I56" s="16">
        <v>27456</v>
      </c>
      <c r="J56" s="16">
        <v>192</v>
      </c>
      <c r="K56" s="16">
        <v>4</v>
      </c>
      <c r="L56" s="16">
        <v>4</v>
      </c>
      <c r="M56" s="30">
        <v>37.517600000000002</v>
      </c>
    </row>
    <row r="57" spans="1:13" x14ac:dyDescent="0.25">
      <c r="A57">
        <f t="shared" si="0"/>
        <v>29056</v>
      </c>
      <c r="B57" s="16">
        <v>28992</v>
      </c>
      <c r="C57" s="16">
        <v>192</v>
      </c>
      <c r="D57" s="16">
        <v>4</v>
      </c>
      <c r="E57" s="16">
        <v>4</v>
      </c>
      <c r="F57" s="30">
        <v>35.959400000000002</v>
      </c>
      <c r="H57">
        <f t="shared" si="1"/>
        <v>29056</v>
      </c>
      <c r="I57" s="16">
        <v>28992</v>
      </c>
      <c r="J57" s="16">
        <v>192</v>
      </c>
      <c r="K57" s="16">
        <v>4</v>
      </c>
      <c r="L57" s="16">
        <v>4</v>
      </c>
      <c r="M57" s="30">
        <v>38.344799999999999</v>
      </c>
    </row>
    <row r="58" spans="1:13" x14ac:dyDescent="0.25">
      <c r="A58">
        <f t="shared" si="0"/>
        <v>25984</v>
      </c>
      <c r="B58" s="16">
        <v>25984</v>
      </c>
      <c r="C58" s="16">
        <v>224</v>
      </c>
      <c r="D58" s="16">
        <v>1</v>
      </c>
      <c r="E58" s="16">
        <v>16</v>
      </c>
      <c r="F58" s="30">
        <v>34.191200000000002</v>
      </c>
      <c r="H58">
        <f t="shared" si="1"/>
        <v>25984</v>
      </c>
      <c r="I58" s="16">
        <v>25984</v>
      </c>
      <c r="J58" s="16">
        <v>224</v>
      </c>
      <c r="K58" s="16">
        <v>1</v>
      </c>
      <c r="L58" s="16">
        <v>16</v>
      </c>
      <c r="M58" s="30">
        <v>37.069200000000002</v>
      </c>
    </row>
    <row r="59" spans="1:13" x14ac:dyDescent="0.25">
      <c r="A59">
        <f t="shared" si="0"/>
        <v>27520</v>
      </c>
      <c r="B59" s="16">
        <v>27328</v>
      </c>
      <c r="C59" s="16">
        <v>224</v>
      </c>
      <c r="D59" s="16">
        <v>1</v>
      </c>
      <c r="E59" s="16">
        <v>16</v>
      </c>
      <c r="F59" s="30">
        <v>34.618600000000001</v>
      </c>
      <c r="H59">
        <f t="shared" si="1"/>
        <v>27520</v>
      </c>
      <c r="I59" s="16">
        <v>27328</v>
      </c>
      <c r="J59" s="16">
        <v>224</v>
      </c>
      <c r="K59" s="16">
        <v>1</v>
      </c>
      <c r="L59" s="16">
        <v>16</v>
      </c>
      <c r="M59" s="30">
        <v>37.409599999999998</v>
      </c>
    </row>
    <row r="60" spans="1:13" x14ac:dyDescent="0.25">
      <c r="A60">
        <f t="shared" si="0"/>
        <v>29056</v>
      </c>
      <c r="B60" s="16">
        <v>28896</v>
      </c>
      <c r="C60" s="16">
        <v>224</v>
      </c>
      <c r="D60" s="16">
        <v>1</v>
      </c>
      <c r="E60" s="16">
        <v>16</v>
      </c>
      <c r="F60" s="30">
        <v>34.935799999999993</v>
      </c>
      <c r="H60">
        <f t="shared" si="1"/>
        <v>29056</v>
      </c>
      <c r="I60" s="16">
        <v>28896</v>
      </c>
      <c r="J60" s="16">
        <v>224</v>
      </c>
      <c r="K60" s="16">
        <v>1</v>
      </c>
      <c r="L60" s="16">
        <v>16</v>
      </c>
      <c r="M60" s="30">
        <v>37.737000000000002</v>
      </c>
    </row>
    <row r="61" spans="1:13" x14ac:dyDescent="0.25">
      <c r="A61">
        <f t="shared" si="0"/>
        <v>25984</v>
      </c>
      <c r="B61" s="16">
        <v>25984</v>
      </c>
      <c r="C61" s="16">
        <v>224</v>
      </c>
      <c r="D61" s="16">
        <v>2</v>
      </c>
      <c r="E61" s="16">
        <v>8</v>
      </c>
      <c r="F61" s="30">
        <v>36.952200000000005</v>
      </c>
      <c r="H61">
        <f t="shared" si="1"/>
        <v>25984</v>
      </c>
      <c r="I61" s="16">
        <v>25984</v>
      </c>
      <c r="J61" s="16">
        <v>224</v>
      </c>
      <c r="K61" s="16">
        <v>2</v>
      </c>
      <c r="L61" s="16">
        <v>8</v>
      </c>
      <c r="M61" s="30">
        <v>39.388000000000005</v>
      </c>
    </row>
    <row r="62" spans="1:13" x14ac:dyDescent="0.25">
      <c r="A62">
        <f t="shared" si="0"/>
        <v>27520</v>
      </c>
      <c r="B62" s="16">
        <v>27328</v>
      </c>
      <c r="C62" s="16">
        <v>224</v>
      </c>
      <c r="D62" s="16">
        <v>2</v>
      </c>
      <c r="E62" s="16">
        <v>8</v>
      </c>
      <c r="F62" s="30">
        <v>37.436599999999999</v>
      </c>
      <c r="H62">
        <f t="shared" si="1"/>
        <v>27520</v>
      </c>
      <c r="I62" s="16">
        <v>27328</v>
      </c>
      <c r="J62" s="16">
        <v>224</v>
      </c>
      <c r="K62" s="16">
        <v>2</v>
      </c>
      <c r="L62" s="16">
        <v>8</v>
      </c>
      <c r="M62" s="30">
        <v>39.929000000000002</v>
      </c>
    </row>
    <row r="63" spans="1:13" x14ac:dyDescent="0.25">
      <c r="A63">
        <f t="shared" si="0"/>
        <v>29056</v>
      </c>
      <c r="B63" s="16">
        <v>28896</v>
      </c>
      <c r="C63" s="16">
        <v>224</v>
      </c>
      <c r="D63" s="16">
        <v>2</v>
      </c>
      <c r="E63" s="16">
        <v>8</v>
      </c>
      <c r="F63" s="30">
        <v>37.588199999999993</v>
      </c>
      <c r="H63">
        <f t="shared" si="1"/>
        <v>29056</v>
      </c>
      <c r="I63" s="16">
        <v>28896</v>
      </c>
      <c r="J63" s="16">
        <v>224</v>
      </c>
      <c r="K63" s="16">
        <v>2</v>
      </c>
      <c r="L63" s="16">
        <v>8</v>
      </c>
      <c r="M63" s="30">
        <v>40.478999999999999</v>
      </c>
    </row>
    <row r="64" spans="1:13" x14ac:dyDescent="0.25">
      <c r="A64">
        <f t="shared" si="0"/>
        <v>25984</v>
      </c>
      <c r="B64" s="16">
        <v>25984</v>
      </c>
      <c r="C64" s="16">
        <v>224</v>
      </c>
      <c r="D64" s="16">
        <v>4</v>
      </c>
      <c r="E64" s="16">
        <v>4</v>
      </c>
      <c r="F64" s="30">
        <v>34.896599999999999</v>
      </c>
      <c r="H64">
        <f t="shared" si="1"/>
        <v>25984</v>
      </c>
      <c r="I64" s="16">
        <v>25984</v>
      </c>
      <c r="J64" s="16">
        <v>224</v>
      </c>
      <c r="K64" s="16">
        <v>4</v>
      </c>
      <c r="L64" s="16">
        <v>4</v>
      </c>
      <c r="M64" s="30">
        <v>36.8018</v>
      </c>
    </row>
    <row r="65" spans="1:13" x14ac:dyDescent="0.25">
      <c r="A65">
        <f t="shared" si="0"/>
        <v>27520</v>
      </c>
      <c r="B65" s="16">
        <v>27328</v>
      </c>
      <c r="C65" s="16">
        <v>224</v>
      </c>
      <c r="D65" s="16">
        <v>4</v>
      </c>
      <c r="E65" s="16">
        <v>4</v>
      </c>
      <c r="F65" s="30">
        <v>35.436999999999998</v>
      </c>
      <c r="H65">
        <f t="shared" si="1"/>
        <v>27520</v>
      </c>
      <c r="I65" s="16">
        <v>27328</v>
      </c>
      <c r="J65" s="16">
        <v>224</v>
      </c>
      <c r="K65" s="16">
        <v>4</v>
      </c>
      <c r="L65" s="16">
        <v>4</v>
      </c>
      <c r="M65" s="30">
        <v>37.475000000000001</v>
      </c>
    </row>
    <row r="66" spans="1:13" x14ac:dyDescent="0.25">
      <c r="A66">
        <f t="shared" si="0"/>
        <v>29056</v>
      </c>
      <c r="B66" s="16">
        <v>28896</v>
      </c>
      <c r="C66" s="16">
        <v>224</v>
      </c>
      <c r="D66" s="16">
        <v>4</v>
      </c>
      <c r="E66" s="16">
        <v>4</v>
      </c>
      <c r="F66" s="30">
        <v>35.765599999999992</v>
      </c>
      <c r="H66">
        <f t="shared" si="1"/>
        <v>29056</v>
      </c>
      <c r="I66" s="16">
        <v>28896</v>
      </c>
      <c r="J66" s="16">
        <v>224</v>
      </c>
      <c r="K66" s="16">
        <v>4</v>
      </c>
      <c r="L66" s="16">
        <v>4</v>
      </c>
      <c r="M66" s="30">
        <v>38.171999999999997</v>
      </c>
    </row>
    <row r="67" spans="1:13" x14ac:dyDescent="0.25">
      <c r="A67">
        <f t="shared" si="0"/>
        <v>25984</v>
      </c>
      <c r="B67" s="16">
        <v>25856</v>
      </c>
      <c r="C67" s="16">
        <v>256</v>
      </c>
      <c r="D67" s="16">
        <v>1</v>
      </c>
      <c r="E67" s="16">
        <v>16</v>
      </c>
      <c r="F67" s="30">
        <v>33.069600000000001</v>
      </c>
      <c r="H67">
        <f t="shared" si="1"/>
        <v>25984</v>
      </c>
      <c r="I67" s="16">
        <v>25856</v>
      </c>
      <c r="J67" s="16">
        <v>256</v>
      </c>
      <c r="K67" s="16">
        <v>1</v>
      </c>
      <c r="L67" s="16">
        <v>16</v>
      </c>
      <c r="M67" s="30">
        <v>35.463800000000006</v>
      </c>
    </row>
    <row r="68" spans="1:13" x14ac:dyDescent="0.25">
      <c r="A68">
        <f t="shared" si="0"/>
        <v>27520</v>
      </c>
      <c r="B68" s="16">
        <v>27392</v>
      </c>
      <c r="C68" s="16">
        <v>256</v>
      </c>
      <c r="D68" s="16">
        <v>1</v>
      </c>
      <c r="E68" s="16">
        <v>16</v>
      </c>
      <c r="F68" s="30">
        <v>33.837600000000002</v>
      </c>
      <c r="H68">
        <f t="shared" si="1"/>
        <v>27520</v>
      </c>
      <c r="I68" s="16">
        <v>27392</v>
      </c>
      <c r="J68" s="16">
        <v>256</v>
      </c>
      <c r="K68" s="16">
        <v>1</v>
      </c>
      <c r="L68" s="16">
        <v>16</v>
      </c>
      <c r="M68" s="30">
        <v>36.136600000000001</v>
      </c>
    </row>
    <row r="69" spans="1:13" x14ac:dyDescent="0.25">
      <c r="A69">
        <f t="shared" ref="A69:A132" si="2">IF(ABS(B69-25984)&lt;ABS(B69-27520),IF(ABS(B69-25984)&lt;ABS(B69-29056),25984,29056),IF(ABS(B69-27520)&lt;ABS(B69-29056),27520,29056))</f>
        <v>29056</v>
      </c>
      <c r="B69" s="16">
        <v>28928</v>
      </c>
      <c r="C69" s="16">
        <v>256</v>
      </c>
      <c r="D69" s="16">
        <v>1</v>
      </c>
      <c r="E69" s="16">
        <v>16</v>
      </c>
      <c r="F69" s="30">
        <v>33.849399999999996</v>
      </c>
      <c r="H69">
        <f t="shared" ref="H69:H132" si="3">IF(ABS(I69-25984)&lt;ABS(I69-27520),IF(ABS(I69-25984)&lt;ABS(I69-29056),25984,29056),IF(ABS(I69-27520)&lt;ABS(I69-29056),27520,29056))</f>
        <v>29056</v>
      </c>
      <c r="I69" s="16">
        <v>28928</v>
      </c>
      <c r="J69" s="16">
        <v>256</v>
      </c>
      <c r="K69" s="16">
        <v>1</v>
      </c>
      <c r="L69" s="16">
        <v>16</v>
      </c>
      <c r="M69" s="30">
        <v>36.071199999999997</v>
      </c>
    </row>
    <row r="70" spans="1:13" x14ac:dyDescent="0.25">
      <c r="A70">
        <f t="shared" si="2"/>
        <v>25984</v>
      </c>
      <c r="B70" s="16">
        <v>25856</v>
      </c>
      <c r="C70" s="16">
        <v>256</v>
      </c>
      <c r="D70" s="16">
        <v>2</v>
      </c>
      <c r="E70" s="16">
        <v>8</v>
      </c>
      <c r="F70" s="30">
        <v>36.036799999999992</v>
      </c>
      <c r="H70">
        <f t="shared" si="3"/>
        <v>25984</v>
      </c>
      <c r="I70" s="16">
        <v>25856</v>
      </c>
      <c r="J70" s="16">
        <v>256</v>
      </c>
      <c r="K70" s="16">
        <v>2</v>
      </c>
      <c r="L70" s="16">
        <v>8</v>
      </c>
      <c r="M70" s="30">
        <v>38.128</v>
      </c>
    </row>
    <row r="71" spans="1:13" x14ac:dyDescent="0.25">
      <c r="A71">
        <f t="shared" si="2"/>
        <v>27520</v>
      </c>
      <c r="B71" s="16">
        <v>27392</v>
      </c>
      <c r="C71" s="16">
        <v>256</v>
      </c>
      <c r="D71" s="16">
        <v>2</v>
      </c>
      <c r="E71" s="16">
        <v>8</v>
      </c>
      <c r="F71" s="30">
        <v>33.903399999999998</v>
      </c>
      <c r="H71">
        <f t="shared" si="3"/>
        <v>27520</v>
      </c>
      <c r="I71" s="16">
        <v>27392</v>
      </c>
      <c r="J71" s="16">
        <v>256</v>
      </c>
      <c r="K71" s="16">
        <v>2</v>
      </c>
      <c r="L71" s="16">
        <v>8</v>
      </c>
      <c r="M71" s="30">
        <v>37.276400000000002</v>
      </c>
    </row>
    <row r="72" spans="1:13" x14ac:dyDescent="0.25">
      <c r="A72">
        <f t="shared" si="2"/>
        <v>29056</v>
      </c>
      <c r="B72" s="16">
        <v>28928</v>
      </c>
      <c r="C72" s="16">
        <v>256</v>
      </c>
      <c r="D72" s="16">
        <v>2</v>
      </c>
      <c r="E72" s="16">
        <v>8</v>
      </c>
      <c r="F72" s="30">
        <v>37.202200000000005</v>
      </c>
      <c r="H72">
        <f t="shared" si="3"/>
        <v>29056</v>
      </c>
      <c r="I72" s="16">
        <v>28928</v>
      </c>
      <c r="J72" s="16">
        <v>256</v>
      </c>
      <c r="K72" s="16">
        <v>2</v>
      </c>
      <c r="L72" s="16">
        <v>8</v>
      </c>
      <c r="M72" s="30">
        <v>39.356199999999994</v>
      </c>
    </row>
    <row r="73" spans="1:13" x14ac:dyDescent="0.25">
      <c r="A73">
        <f t="shared" si="2"/>
        <v>25984</v>
      </c>
      <c r="B73" s="16">
        <v>25856</v>
      </c>
      <c r="C73" s="16">
        <v>256</v>
      </c>
      <c r="D73" s="16">
        <v>4</v>
      </c>
      <c r="E73" s="16">
        <v>4</v>
      </c>
      <c r="F73" s="30">
        <v>34.010000000000005</v>
      </c>
      <c r="H73">
        <f t="shared" si="3"/>
        <v>25984</v>
      </c>
      <c r="I73" s="16">
        <v>25856</v>
      </c>
      <c r="J73" s="16">
        <v>256</v>
      </c>
      <c r="K73" s="16">
        <v>4</v>
      </c>
      <c r="L73" s="16">
        <v>4</v>
      </c>
      <c r="M73" s="30">
        <v>35.861600000000003</v>
      </c>
    </row>
    <row r="74" spans="1:13" x14ac:dyDescent="0.25">
      <c r="A74">
        <f t="shared" si="2"/>
        <v>27520</v>
      </c>
      <c r="B74" s="16">
        <v>27392</v>
      </c>
      <c r="C74" s="16">
        <v>256</v>
      </c>
      <c r="D74" s="16">
        <v>4</v>
      </c>
      <c r="E74" s="16">
        <v>4</v>
      </c>
      <c r="F74" s="30">
        <v>34.471600000000002</v>
      </c>
      <c r="H74">
        <f t="shared" si="3"/>
        <v>27520</v>
      </c>
      <c r="I74" s="16">
        <v>27392</v>
      </c>
      <c r="J74" s="16">
        <v>256</v>
      </c>
      <c r="K74" s="16">
        <v>4</v>
      </c>
      <c r="L74" s="16">
        <v>4</v>
      </c>
      <c r="M74" s="30">
        <v>33.703999999999994</v>
      </c>
    </row>
    <row r="75" spans="1:13" x14ac:dyDescent="0.25">
      <c r="A75">
        <f t="shared" si="2"/>
        <v>29056</v>
      </c>
      <c r="B75" s="16">
        <v>28928</v>
      </c>
      <c r="C75" s="16">
        <v>256</v>
      </c>
      <c r="D75" s="16">
        <v>4</v>
      </c>
      <c r="E75" s="16">
        <v>4</v>
      </c>
      <c r="F75" s="30">
        <v>35.278800000000004</v>
      </c>
      <c r="H75">
        <f t="shared" si="3"/>
        <v>29056</v>
      </c>
      <c r="I75" s="16">
        <v>28928</v>
      </c>
      <c r="J75" s="16">
        <v>256</v>
      </c>
      <c r="K75" s="16">
        <v>4</v>
      </c>
      <c r="L75" s="16">
        <v>4</v>
      </c>
      <c r="M75" s="30">
        <v>37.196999999999996</v>
      </c>
    </row>
    <row r="76" spans="1:13" x14ac:dyDescent="0.25">
      <c r="A76">
        <f t="shared" si="2"/>
        <v>29056</v>
      </c>
      <c r="B76" s="16">
        <v>28888</v>
      </c>
      <c r="C76" s="16">
        <v>184</v>
      </c>
      <c r="D76" s="16">
        <v>2</v>
      </c>
      <c r="E76" s="16">
        <v>8</v>
      </c>
      <c r="F76" s="30">
        <v>38.205200000000005</v>
      </c>
      <c r="H76">
        <f t="shared" si="3"/>
        <v>29056</v>
      </c>
      <c r="I76" s="16">
        <v>29056</v>
      </c>
      <c r="J76" s="16">
        <v>64</v>
      </c>
      <c r="K76" s="16">
        <v>2</v>
      </c>
      <c r="L76" s="16">
        <v>8</v>
      </c>
      <c r="M76" s="30">
        <v>40.650199999999998</v>
      </c>
    </row>
    <row r="77" spans="1:13" x14ac:dyDescent="0.25">
      <c r="A77">
        <f t="shared" si="2"/>
        <v>29056</v>
      </c>
      <c r="B77" s="16">
        <v>28896</v>
      </c>
      <c r="C77" s="16">
        <v>168</v>
      </c>
      <c r="D77" s="16">
        <v>2</v>
      </c>
      <c r="E77" s="16">
        <v>8</v>
      </c>
      <c r="F77" s="30">
        <v>38.044800000000002</v>
      </c>
      <c r="H77">
        <f t="shared" si="3"/>
        <v>29056</v>
      </c>
      <c r="I77" s="16">
        <v>29040</v>
      </c>
      <c r="J77" s="16">
        <v>80</v>
      </c>
      <c r="K77" s="16">
        <v>2</v>
      </c>
      <c r="L77" s="16">
        <v>8</v>
      </c>
      <c r="M77" s="30">
        <v>41.308800000000005</v>
      </c>
    </row>
    <row r="78" spans="1:13" x14ac:dyDescent="0.25">
      <c r="A78">
        <f t="shared" si="2"/>
        <v>29056</v>
      </c>
      <c r="B78" s="16">
        <v>28968</v>
      </c>
      <c r="C78" s="16">
        <v>136</v>
      </c>
      <c r="D78" s="16">
        <v>2</v>
      </c>
      <c r="E78" s="16">
        <v>8</v>
      </c>
      <c r="F78" s="30">
        <v>37.615200000000002</v>
      </c>
      <c r="H78">
        <f t="shared" si="3"/>
        <v>29056</v>
      </c>
      <c r="I78" s="16">
        <v>29040</v>
      </c>
      <c r="J78" s="16">
        <v>88</v>
      </c>
      <c r="K78" s="16">
        <v>2</v>
      </c>
      <c r="L78" s="16">
        <v>8</v>
      </c>
      <c r="M78" s="30">
        <v>41.516999999999996</v>
      </c>
    </row>
    <row r="79" spans="1:13" x14ac:dyDescent="0.25">
      <c r="A79">
        <f t="shared" si="2"/>
        <v>29056</v>
      </c>
      <c r="B79" s="16">
        <v>29016</v>
      </c>
      <c r="C79" s="16">
        <v>104</v>
      </c>
      <c r="D79" s="16">
        <v>2</v>
      </c>
      <c r="E79" s="16">
        <v>8</v>
      </c>
      <c r="F79" s="30">
        <v>37.0184</v>
      </c>
      <c r="H79">
        <f t="shared" si="3"/>
        <v>29056</v>
      </c>
      <c r="I79" s="16">
        <v>29016</v>
      </c>
      <c r="J79" s="16">
        <v>104</v>
      </c>
      <c r="K79" s="16">
        <v>2</v>
      </c>
      <c r="L79" s="16">
        <v>8</v>
      </c>
      <c r="M79" s="30">
        <v>41.650799999999997</v>
      </c>
    </row>
    <row r="80" spans="1:13" x14ac:dyDescent="0.25">
      <c r="A80">
        <f t="shared" si="2"/>
        <v>29056</v>
      </c>
      <c r="B80" s="16">
        <v>29032</v>
      </c>
      <c r="C80" s="16">
        <v>152</v>
      </c>
      <c r="D80" s="16">
        <v>2</v>
      </c>
      <c r="E80" s="16">
        <v>8</v>
      </c>
      <c r="F80" s="30">
        <v>37.915599999999998</v>
      </c>
      <c r="H80">
        <f t="shared" si="3"/>
        <v>29056</v>
      </c>
      <c r="I80" s="16">
        <v>29008</v>
      </c>
      <c r="J80" s="16">
        <v>112</v>
      </c>
      <c r="K80" s="16">
        <v>2</v>
      </c>
      <c r="L80" s="16">
        <v>8</v>
      </c>
      <c r="M80" s="30">
        <v>41.5946</v>
      </c>
    </row>
    <row r="81" spans="1:13" x14ac:dyDescent="0.25">
      <c r="A81">
        <f t="shared" si="2"/>
        <v>29056</v>
      </c>
      <c r="B81" s="16">
        <v>29040</v>
      </c>
      <c r="C81" s="16">
        <v>120</v>
      </c>
      <c r="D81" s="16">
        <v>2</v>
      </c>
      <c r="E81" s="16">
        <v>8</v>
      </c>
      <c r="F81" s="30">
        <v>38.163800000000002</v>
      </c>
      <c r="H81">
        <f t="shared" si="3"/>
        <v>29056</v>
      </c>
      <c r="I81" s="16">
        <v>29040</v>
      </c>
      <c r="J81" s="16">
        <v>120</v>
      </c>
      <c r="K81" s="16">
        <v>2</v>
      </c>
      <c r="L81" s="16">
        <v>8</v>
      </c>
      <c r="M81" s="30">
        <v>41.692799999999998</v>
      </c>
    </row>
    <row r="82" spans="1:13" x14ac:dyDescent="0.25">
      <c r="A82">
        <f t="shared" si="2"/>
        <v>25984</v>
      </c>
      <c r="B82" s="16">
        <v>0</v>
      </c>
      <c r="C82" s="16">
        <v>0</v>
      </c>
      <c r="D82" s="16">
        <v>0</v>
      </c>
      <c r="E82" s="16">
        <v>0</v>
      </c>
      <c r="F82" s="30">
        <v>0</v>
      </c>
      <c r="H82">
        <f t="shared" si="3"/>
        <v>29056</v>
      </c>
      <c r="I82" s="16">
        <v>29056</v>
      </c>
      <c r="J82" s="16">
        <v>64</v>
      </c>
      <c r="K82" s="16">
        <v>2</v>
      </c>
      <c r="L82" s="16">
        <v>8</v>
      </c>
      <c r="M82" s="30">
        <v>40.719999999999992</v>
      </c>
    </row>
    <row r="83" spans="1:13" x14ac:dyDescent="0.25">
      <c r="A83">
        <f t="shared" si="2"/>
        <v>25984</v>
      </c>
      <c r="B83" s="16">
        <v>0</v>
      </c>
      <c r="C83" s="16">
        <v>0</v>
      </c>
      <c r="D83" s="16">
        <v>0</v>
      </c>
      <c r="E83" s="16">
        <v>0</v>
      </c>
      <c r="F83" s="30">
        <v>0</v>
      </c>
      <c r="H83">
        <f t="shared" si="3"/>
        <v>29056</v>
      </c>
      <c r="I83" s="16">
        <v>29016</v>
      </c>
      <c r="J83" s="16">
        <v>72</v>
      </c>
      <c r="K83" s="16">
        <v>2</v>
      </c>
      <c r="L83" s="16">
        <v>8</v>
      </c>
      <c r="M83" s="30">
        <v>41.540000000000006</v>
      </c>
    </row>
    <row r="84" spans="1:13" x14ac:dyDescent="0.25">
      <c r="A84">
        <f t="shared" si="2"/>
        <v>25984</v>
      </c>
      <c r="B84" s="16">
        <v>0</v>
      </c>
      <c r="C84" s="16">
        <v>0</v>
      </c>
      <c r="D84" s="16">
        <v>0</v>
      </c>
      <c r="E84" s="16">
        <v>0</v>
      </c>
      <c r="F84" s="30">
        <v>0</v>
      </c>
      <c r="H84">
        <f t="shared" si="3"/>
        <v>29056</v>
      </c>
      <c r="I84" s="16">
        <v>29040</v>
      </c>
      <c r="J84" s="16">
        <v>80</v>
      </c>
      <c r="K84" s="16">
        <v>2</v>
      </c>
      <c r="L84" s="16">
        <v>8</v>
      </c>
      <c r="M84" s="30">
        <v>41.36</v>
      </c>
    </row>
    <row r="85" spans="1:13" x14ac:dyDescent="0.25">
      <c r="A85">
        <f t="shared" si="2"/>
        <v>25984</v>
      </c>
      <c r="B85" s="16">
        <v>0</v>
      </c>
      <c r="C85" s="16">
        <v>0</v>
      </c>
      <c r="D85" s="16">
        <v>0</v>
      </c>
      <c r="E85" s="16">
        <v>0</v>
      </c>
      <c r="F85" s="30">
        <v>0</v>
      </c>
      <c r="H85">
        <f t="shared" si="3"/>
        <v>29056</v>
      </c>
      <c r="I85" s="16">
        <v>29040</v>
      </c>
      <c r="J85" s="16">
        <v>88</v>
      </c>
      <c r="K85" s="16">
        <v>2</v>
      </c>
      <c r="L85" s="16">
        <v>8</v>
      </c>
      <c r="M85" s="30">
        <v>41.571399999999997</v>
      </c>
    </row>
    <row r="86" spans="1:13" x14ac:dyDescent="0.25">
      <c r="A86">
        <f t="shared" si="2"/>
        <v>25984</v>
      </c>
      <c r="B86" s="16">
        <v>0</v>
      </c>
      <c r="C86" s="16">
        <v>0</v>
      </c>
      <c r="D86" s="16">
        <v>0</v>
      </c>
      <c r="E86" s="16">
        <v>0</v>
      </c>
      <c r="F86" s="30">
        <v>0</v>
      </c>
      <c r="H86">
        <f t="shared" si="3"/>
        <v>29056</v>
      </c>
      <c r="I86" s="16">
        <v>29016</v>
      </c>
      <c r="J86" s="16">
        <v>104</v>
      </c>
      <c r="K86" s="16">
        <v>2</v>
      </c>
      <c r="L86" s="16">
        <v>8</v>
      </c>
      <c r="M86" s="30">
        <v>41.709600000000002</v>
      </c>
    </row>
    <row r="87" spans="1:13" x14ac:dyDescent="0.25">
      <c r="A87">
        <f t="shared" si="2"/>
        <v>25984</v>
      </c>
      <c r="B87" s="16">
        <v>0</v>
      </c>
      <c r="C87" s="16">
        <v>0</v>
      </c>
      <c r="D87" s="16">
        <v>0</v>
      </c>
      <c r="E87" s="16">
        <v>0</v>
      </c>
      <c r="F87" s="30">
        <v>0</v>
      </c>
      <c r="H87">
        <f t="shared" si="3"/>
        <v>29056</v>
      </c>
      <c r="I87" s="16">
        <v>29008</v>
      </c>
      <c r="J87" s="16">
        <v>112</v>
      </c>
      <c r="K87" s="16">
        <v>2</v>
      </c>
      <c r="L87" s="16">
        <v>8</v>
      </c>
      <c r="M87" s="30">
        <v>41.640999999999998</v>
      </c>
    </row>
    <row r="88" spans="1:13" x14ac:dyDescent="0.25">
      <c r="A88">
        <f t="shared" si="2"/>
        <v>25984</v>
      </c>
      <c r="B88" s="16">
        <v>0</v>
      </c>
      <c r="C88" s="16">
        <v>0</v>
      </c>
      <c r="D88" s="16">
        <v>0</v>
      </c>
      <c r="E88" s="16">
        <v>0</v>
      </c>
      <c r="F88" s="30">
        <v>0</v>
      </c>
      <c r="H88">
        <f t="shared" si="3"/>
        <v>29056</v>
      </c>
      <c r="I88" s="16">
        <v>29040</v>
      </c>
      <c r="J88" s="16">
        <v>120</v>
      </c>
      <c r="K88" s="16">
        <v>2</v>
      </c>
      <c r="L88" s="16">
        <v>8</v>
      </c>
      <c r="M88" s="30">
        <v>41.718399999999995</v>
      </c>
    </row>
    <row r="89" spans="1:13" x14ac:dyDescent="0.25">
      <c r="A89">
        <f t="shared" si="2"/>
        <v>25984</v>
      </c>
      <c r="B89" s="16">
        <v>0</v>
      </c>
      <c r="C89" s="16">
        <v>0</v>
      </c>
      <c r="D89" s="16">
        <v>0</v>
      </c>
      <c r="E89" s="16">
        <v>0</v>
      </c>
      <c r="F89" s="30">
        <v>0</v>
      </c>
      <c r="H89">
        <f t="shared" si="3"/>
        <v>29056</v>
      </c>
      <c r="I89" s="16">
        <v>28968</v>
      </c>
      <c r="J89" s="16">
        <v>136</v>
      </c>
      <c r="K89" s="16">
        <v>2</v>
      </c>
      <c r="L89" s="16">
        <v>8</v>
      </c>
      <c r="M89" s="30">
        <v>40.365600000000001</v>
      </c>
    </row>
    <row r="90" spans="1:13" x14ac:dyDescent="0.25">
      <c r="A90">
        <f t="shared" si="2"/>
        <v>25984</v>
      </c>
      <c r="B90" s="16">
        <v>0</v>
      </c>
      <c r="C90" s="16">
        <v>0</v>
      </c>
      <c r="D90" s="16">
        <v>0</v>
      </c>
      <c r="E90" s="16">
        <v>0</v>
      </c>
      <c r="F90" s="30">
        <v>0</v>
      </c>
      <c r="H90">
        <f t="shared" si="3"/>
        <v>29056</v>
      </c>
      <c r="I90" s="16">
        <v>28944</v>
      </c>
      <c r="J90" s="16">
        <v>144</v>
      </c>
      <c r="K90" s="16">
        <v>2</v>
      </c>
      <c r="L90" s="16">
        <v>8</v>
      </c>
      <c r="M90" s="30">
        <v>41.000399999999999</v>
      </c>
    </row>
    <row r="91" spans="1:13" x14ac:dyDescent="0.25">
      <c r="A91">
        <f t="shared" si="2"/>
        <v>25984</v>
      </c>
      <c r="B91" s="16">
        <v>0</v>
      </c>
      <c r="C91" s="16">
        <v>0</v>
      </c>
      <c r="D91" s="16">
        <v>0</v>
      </c>
      <c r="E91" s="16">
        <v>0</v>
      </c>
      <c r="F91" s="30">
        <v>0</v>
      </c>
      <c r="H91">
        <f t="shared" si="3"/>
        <v>25984</v>
      </c>
      <c r="I91" s="16">
        <v>0</v>
      </c>
      <c r="J91" s="16">
        <v>0</v>
      </c>
      <c r="K91" s="16">
        <v>0</v>
      </c>
      <c r="L91" s="16">
        <v>0</v>
      </c>
      <c r="M91" s="30">
        <v>0</v>
      </c>
    </row>
    <row r="92" spans="1:13" x14ac:dyDescent="0.25">
      <c r="A92">
        <f t="shared" si="2"/>
        <v>25984</v>
      </c>
      <c r="B92" s="16">
        <v>0</v>
      </c>
      <c r="C92" s="16">
        <v>0</v>
      </c>
      <c r="D92" s="16">
        <v>0</v>
      </c>
      <c r="E92" s="16">
        <v>0</v>
      </c>
      <c r="F92" s="30">
        <v>0</v>
      </c>
      <c r="H92">
        <f t="shared" si="3"/>
        <v>25984</v>
      </c>
      <c r="I92" s="16">
        <v>0</v>
      </c>
      <c r="J92" s="16">
        <v>0</v>
      </c>
      <c r="K92" s="16">
        <v>0</v>
      </c>
      <c r="L92" s="16">
        <v>0</v>
      </c>
      <c r="M92" s="30">
        <v>0</v>
      </c>
    </row>
    <row r="93" spans="1:13" x14ac:dyDescent="0.25">
      <c r="A93">
        <f t="shared" si="2"/>
        <v>25984</v>
      </c>
      <c r="B93" s="16">
        <v>0</v>
      </c>
      <c r="C93" s="16">
        <v>0</v>
      </c>
      <c r="D93" s="16">
        <v>0</v>
      </c>
      <c r="E93" s="16">
        <v>0</v>
      </c>
      <c r="F93" s="30">
        <v>0</v>
      </c>
      <c r="H93">
        <f t="shared" si="3"/>
        <v>25984</v>
      </c>
      <c r="I93" s="16">
        <v>0</v>
      </c>
      <c r="J93" s="16">
        <v>0</v>
      </c>
      <c r="K93" s="16">
        <v>0</v>
      </c>
      <c r="L93" s="16">
        <v>0</v>
      </c>
      <c r="M93" s="30">
        <v>0</v>
      </c>
    </row>
    <row r="94" spans="1:13" x14ac:dyDescent="0.25">
      <c r="A94">
        <f t="shared" si="2"/>
        <v>25984</v>
      </c>
      <c r="B94" s="16">
        <v>0</v>
      </c>
      <c r="C94" s="16">
        <v>0</v>
      </c>
      <c r="D94" s="16">
        <v>0</v>
      </c>
      <c r="E94" s="16">
        <v>0</v>
      </c>
      <c r="F94" s="30">
        <v>0</v>
      </c>
      <c r="H94">
        <f t="shared" si="3"/>
        <v>25984</v>
      </c>
      <c r="I94" s="16">
        <v>0</v>
      </c>
      <c r="J94" s="16">
        <v>0</v>
      </c>
      <c r="K94" s="16">
        <v>0</v>
      </c>
      <c r="L94" s="16">
        <v>0</v>
      </c>
      <c r="M94" s="30">
        <v>0</v>
      </c>
    </row>
    <row r="95" spans="1:13" x14ac:dyDescent="0.25">
      <c r="A95">
        <f t="shared" si="2"/>
        <v>25984</v>
      </c>
      <c r="B95" s="16">
        <v>0</v>
      </c>
      <c r="C95" s="16">
        <v>0</v>
      </c>
      <c r="D95" s="16">
        <v>0</v>
      </c>
      <c r="E95" s="16">
        <v>0</v>
      </c>
      <c r="F95" s="30">
        <v>0</v>
      </c>
      <c r="H95">
        <f t="shared" si="3"/>
        <v>25984</v>
      </c>
      <c r="I95" s="16">
        <v>0</v>
      </c>
      <c r="J95" s="16">
        <v>0</v>
      </c>
      <c r="K95" s="16">
        <v>0</v>
      </c>
      <c r="L95" s="16">
        <v>0</v>
      </c>
      <c r="M95" s="30">
        <v>0</v>
      </c>
    </row>
    <row r="96" spans="1:13" x14ac:dyDescent="0.25">
      <c r="A96">
        <f t="shared" si="2"/>
        <v>25984</v>
      </c>
      <c r="B96" s="16">
        <v>0</v>
      </c>
      <c r="C96" s="16">
        <v>0</v>
      </c>
      <c r="D96" s="16">
        <v>0</v>
      </c>
      <c r="E96" s="16">
        <v>0</v>
      </c>
      <c r="F96" s="30">
        <v>0</v>
      </c>
      <c r="H96">
        <f t="shared" si="3"/>
        <v>25984</v>
      </c>
      <c r="I96" s="16">
        <v>0</v>
      </c>
      <c r="J96" s="16">
        <v>0</v>
      </c>
      <c r="K96" s="16">
        <v>0</v>
      </c>
      <c r="L96" s="16">
        <v>0</v>
      </c>
      <c r="M96" s="30">
        <v>0</v>
      </c>
    </row>
    <row r="97" spans="1:13" x14ac:dyDescent="0.25">
      <c r="A97">
        <f t="shared" si="2"/>
        <v>25984</v>
      </c>
      <c r="B97" s="16">
        <v>0</v>
      </c>
      <c r="C97" s="16">
        <v>0</v>
      </c>
      <c r="D97" s="16">
        <v>0</v>
      </c>
      <c r="E97" s="16">
        <v>0</v>
      </c>
      <c r="F97" s="30">
        <v>0</v>
      </c>
      <c r="H97">
        <f t="shared" si="3"/>
        <v>25984</v>
      </c>
      <c r="I97" s="16">
        <v>0</v>
      </c>
      <c r="J97" s="16">
        <v>0</v>
      </c>
      <c r="K97" s="16">
        <v>0</v>
      </c>
      <c r="L97" s="16">
        <v>0</v>
      </c>
      <c r="M97" s="30">
        <v>0</v>
      </c>
    </row>
    <row r="98" spans="1:13" x14ac:dyDescent="0.25">
      <c r="A98">
        <f t="shared" si="2"/>
        <v>25984</v>
      </c>
      <c r="B98" s="16">
        <v>0</v>
      </c>
      <c r="C98" s="16">
        <v>0</v>
      </c>
      <c r="D98" s="16">
        <v>0</v>
      </c>
      <c r="E98" s="16">
        <v>0</v>
      </c>
      <c r="F98" s="30">
        <v>0</v>
      </c>
      <c r="H98">
        <f t="shared" si="3"/>
        <v>25984</v>
      </c>
      <c r="I98" s="16">
        <v>0</v>
      </c>
      <c r="J98" s="16">
        <v>0</v>
      </c>
      <c r="K98" s="16">
        <v>0</v>
      </c>
      <c r="L98" s="16">
        <v>0</v>
      </c>
      <c r="M98" s="30">
        <v>0</v>
      </c>
    </row>
    <row r="99" spans="1:13" x14ac:dyDescent="0.25">
      <c r="A99">
        <f t="shared" si="2"/>
        <v>25984</v>
      </c>
      <c r="B99" s="16">
        <v>0</v>
      </c>
      <c r="C99" s="16">
        <v>0</v>
      </c>
      <c r="D99" s="16">
        <v>0</v>
      </c>
      <c r="E99" s="16">
        <v>0</v>
      </c>
      <c r="F99" s="30">
        <v>0</v>
      </c>
      <c r="H99">
        <f t="shared" si="3"/>
        <v>25984</v>
      </c>
      <c r="I99" s="16">
        <v>0</v>
      </c>
      <c r="J99" s="16">
        <v>0</v>
      </c>
      <c r="K99" s="16">
        <v>0</v>
      </c>
      <c r="L99" s="16">
        <v>0</v>
      </c>
      <c r="M99" s="30">
        <v>0</v>
      </c>
    </row>
    <row r="100" spans="1:13" x14ac:dyDescent="0.25">
      <c r="A100">
        <f t="shared" si="2"/>
        <v>25984</v>
      </c>
      <c r="B100" s="16">
        <v>0</v>
      </c>
      <c r="C100" s="16">
        <v>0</v>
      </c>
      <c r="D100" s="16">
        <v>0</v>
      </c>
      <c r="E100" s="16">
        <v>0</v>
      </c>
      <c r="F100" s="30">
        <v>0</v>
      </c>
      <c r="H100">
        <f t="shared" si="3"/>
        <v>25984</v>
      </c>
      <c r="I100" s="16">
        <v>0</v>
      </c>
      <c r="J100" s="16">
        <v>0</v>
      </c>
      <c r="K100" s="16">
        <v>0</v>
      </c>
      <c r="L100" s="16">
        <v>0</v>
      </c>
      <c r="M100" s="30">
        <v>0</v>
      </c>
    </row>
    <row r="101" spans="1:13" x14ac:dyDescent="0.25">
      <c r="A101">
        <f t="shared" si="2"/>
        <v>25984</v>
      </c>
      <c r="B101" s="16">
        <v>0</v>
      </c>
      <c r="C101" s="16">
        <v>0</v>
      </c>
      <c r="D101" s="16">
        <v>0</v>
      </c>
      <c r="E101" s="16">
        <v>0</v>
      </c>
      <c r="F101" s="30">
        <v>0</v>
      </c>
      <c r="H101">
        <f t="shared" si="3"/>
        <v>25984</v>
      </c>
      <c r="I101" s="16">
        <v>0</v>
      </c>
      <c r="J101" s="16">
        <v>0</v>
      </c>
      <c r="K101" s="16">
        <v>0</v>
      </c>
      <c r="L101" s="16">
        <v>0</v>
      </c>
      <c r="M101" s="30">
        <v>0</v>
      </c>
    </row>
    <row r="102" spans="1:13" x14ac:dyDescent="0.25">
      <c r="A102">
        <f t="shared" si="2"/>
        <v>25984</v>
      </c>
      <c r="B102" s="16">
        <v>0</v>
      </c>
      <c r="C102" s="16">
        <v>0</v>
      </c>
      <c r="D102" s="16">
        <v>0</v>
      </c>
      <c r="E102" s="16">
        <v>0</v>
      </c>
      <c r="F102" s="30">
        <v>0</v>
      </c>
      <c r="H102">
        <f t="shared" si="3"/>
        <v>25984</v>
      </c>
      <c r="I102" s="16">
        <v>0</v>
      </c>
      <c r="J102" s="16">
        <v>0</v>
      </c>
      <c r="K102" s="16">
        <v>0</v>
      </c>
      <c r="L102" s="16">
        <v>0</v>
      </c>
      <c r="M102" s="30">
        <v>0</v>
      </c>
    </row>
    <row r="103" spans="1:13" x14ac:dyDescent="0.25">
      <c r="A103">
        <f t="shared" si="2"/>
        <v>25984</v>
      </c>
      <c r="B103" s="16">
        <v>0</v>
      </c>
      <c r="C103" s="16">
        <v>0</v>
      </c>
      <c r="D103" s="16">
        <v>0</v>
      </c>
      <c r="E103" s="16">
        <v>0</v>
      </c>
      <c r="F103" s="30">
        <v>0</v>
      </c>
      <c r="H103">
        <f t="shared" si="3"/>
        <v>25984</v>
      </c>
      <c r="I103" s="16">
        <v>0</v>
      </c>
      <c r="J103" s="16">
        <v>0</v>
      </c>
      <c r="K103" s="16">
        <v>0</v>
      </c>
      <c r="L103" s="16">
        <v>0</v>
      </c>
      <c r="M103" s="30">
        <v>0</v>
      </c>
    </row>
    <row r="104" spans="1:13" x14ac:dyDescent="0.25">
      <c r="A104">
        <f t="shared" si="2"/>
        <v>25984</v>
      </c>
      <c r="B104" s="16">
        <v>0</v>
      </c>
      <c r="C104" s="16">
        <v>0</v>
      </c>
      <c r="D104" s="16">
        <v>0</v>
      </c>
      <c r="E104" s="16">
        <v>0</v>
      </c>
      <c r="F104" s="30">
        <v>0</v>
      </c>
      <c r="H104">
        <f t="shared" si="3"/>
        <v>25984</v>
      </c>
      <c r="I104" s="16">
        <v>0</v>
      </c>
      <c r="J104" s="16">
        <v>0</v>
      </c>
      <c r="K104" s="16">
        <v>0</v>
      </c>
      <c r="L104" s="16">
        <v>0</v>
      </c>
      <c r="M104" s="30">
        <v>0</v>
      </c>
    </row>
    <row r="105" spans="1:13" x14ac:dyDescent="0.25">
      <c r="A105">
        <f t="shared" si="2"/>
        <v>25984</v>
      </c>
      <c r="B105" s="16">
        <v>0</v>
      </c>
      <c r="C105" s="16">
        <v>0</v>
      </c>
      <c r="D105" s="16">
        <v>0</v>
      </c>
      <c r="E105" s="16">
        <v>0</v>
      </c>
      <c r="F105" s="30">
        <v>0</v>
      </c>
      <c r="H105">
        <f t="shared" si="3"/>
        <v>25984</v>
      </c>
      <c r="I105" s="16">
        <v>0</v>
      </c>
      <c r="J105" s="16">
        <v>0</v>
      </c>
      <c r="K105" s="16">
        <v>0</v>
      </c>
      <c r="L105" s="16">
        <v>0</v>
      </c>
      <c r="M105" s="30">
        <v>0</v>
      </c>
    </row>
    <row r="106" spans="1:13" x14ac:dyDescent="0.25">
      <c r="A106">
        <f t="shared" si="2"/>
        <v>25984</v>
      </c>
      <c r="B106" s="16">
        <v>0</v>
      </c>
      <c r="C106" s="16">
        <v>0</v>
      </c>
      <c r="D106" s="16">
        <v>0</v>
      </c>
      <c r="E106" s="16">
        <v>0</v>
      </c>
      <c r="F106" s="30">
        <v>0</v>
      </c>
      <c r="H106">
        <f t="shared" si="3"/>
        <v>25984</v>
      </c>
      <c r="I106" s="16">
        <v>0</v>
      </c>
      <c r="J106" s="16">
        <v>0</v>
      </c>
      <c r="K106" s="16">
        <v>0</v>
      </c>
      <c r="L106" s="16">
        <v>0</v>
      </c>
      <c r="M106" s="30">
        <v>0</v>
      </c>
    </row>
    <row r="107" spans="1:13" x14ac:dyDescent="0.25">
      <c r="A107">
        <f t="shared" si="2"/>
        <v>25984</v>
      </c>
      <c r="B107" s="16">
        <v>0</v>
      </c>
      <c r="C107" s="16">
        <v>0</v>
      </c>
      <c r="D107" s="16">
        <v>0</v>
      </c>
      <c r="E107" s="16">
        <v>0</v>
      </c>
      <c r="F107" s="30">
        <v>0</v>
      </c>
      <c r="H107">
        <f t="shared" si="3"/>
        <v>25984</v>
      </c>
      <c r="I107" s="16">
        <v>0</v>
      </c>
      <c r="J107" s="16">
        <v>0</v>
      </c>
      <c r="K107" s="16">
        <v>0</v>
      </c>
      <c r="L107" s="16">
        <v>0</v>
      </c>
      <c r="M107" s="30">
        <v>0</v>
      </c>
    </row>
    <row r="108" spans="1:13" x14ac:dyDescent="0.25">
      <c r="A108">
        <f t="shared" si="2"/>
        <v>25984</v>
      </c>
      <c r="B108" s="16">
        <v>0</v>
      </c>
      <c r="C108" s="16">
        <v>0</v>
      </c>
      <c r="D108" s="16">
        <v>0</v>
      </c>
      <c r="E108" s="16">
        <v>0</v>
      </c>
      <c r="F108" s="30">
        <v>0</v>
      </c>
      <c r="H108">
        <f t="shared" si="3"/>
        <v>25984</v>
      </c>
      <c r="I108" s="16">
        <v>0</v>
      </c>
      <c r="J108" s="16">
        <v>0</v>
      </c>
      <c r="K108" s="16">
        <v>0</v>
      </c>
      <c r="L108" s="16">
        <v>0</v>
      </c>
      <c r="M108" s="30">
        <v>0</v>
      </c>
    </row>
    <row r="109" spans="1:13" x14ac:dyDescent="0.25">
      <c r="A109">
        <f t="shared" si="2"/>
        <v>25984</v>
      </c>
      <c r="B109" s="16">
        <v>0</v>
      </c>
      <c r="C109" s="16">
        <v>0</v>
      </c>
      <c r="D109" s="16">
        <v>0</v>
      </c>
      <c r="E109" s="16">
        <v>0</v>
      </c>
      <c r="F109" s="30">
        <v>0</v>
      </c>
      <c r="H109">
        <f t="shared" si="3"/>
        <v>25984</v>
      </c>
      <c r="I109" s="16">
        <v>0</v>
      </c>
      <c r="J109" s="16">
        <v>0</v>
      </c>
      <c r="K109" s="16">
        <v>0</v>
      </c>
      <c r="L109" s="16">
        <v>0</v>
      </c>
      <c r="M109" s="30">
        <v>0</v>
      </c>
    </row>
    <row r="110" spans="1:13" x14ac:dyDescent="0.25">
      <c r="A110">
        <f t="shared" si="2"/>
        <v>25984</v>
      </c>
      <c r="B110" s="16">
        <v>0</v>
      </c>
      <c r="C110" s="16">
        <v>0</v>
      </c>
      <c r="D110" s="16">
        <v>0</v>
      </c>
      <c r="E110" s="16">
        <v>0</v>
      </c>
      <c r="F110" s="30">
        <v>0</v>
      </c>
      <c r="H110">
        <f t="shared" si="3"/>
        <v>25984</v>
      </c>
      <c r="I110" s="16">
        <v>0</v>
      </c>
      <c r="J110" s="16">
        <v>0</v>
      </c>
      <c r="K110" s="16">
        <v>0</v>
      </c>
      <c r="L110" s="16">
        <v>0</v>
      </c>
      <c r="M110" s="30">
        <v>0</v>
      </c>
    </row>
    <row r="111" spans="1:13" x14ac:dyDescent="0.25">
      <c r="A111">
        <f t="shared" si="2"/>
        <v>25984</v>
      </c>
      <c r="B111" s="16">
        <v>0</v>
      </c>
      <c r="C111" s="16">
        <v>0</v>
      </c>
      <c r="D111" s="16">
        <v>0</v>
      </c>
      <c r="E111" s="16">
        <v>0</v>
      </c>
      <c r="F111" s="30">
        <v>0</v>
      </c>
      <c r="H111">
        <f t="shared" si="3"/>
        <v>25984</v>
      </c>
      <c r="I111" s="16">
        <v>0</v>
      </c>
      <c r="J111" s="16">
        <v>0</v>
      </c>
      <c r="K111" s="16">
        <v>0</v>
      </c>
      <c r="L111" s="16">
        <v>0</v>
      </c>
      <c r="M111" s="30">
        <v>0</v>
      </c>
    </row>
    <row r="112" spans="1:13" x14ac:dyDescent="0.25">
      <c r="A112">
        <f t="shared" si="2"/>
        <v>25984</v>
      </c>
      <c r="B112" s="16">
        <v>0</v>
      </c>
      <c r="C112" s="16">
        <v>0</v>
      </c>
      <c r="D112" s="16">
        <v>0</v>
      </c>
      <c r="E112" s="16">
        <v>0</v>
      </c>
      <c r="F112" s="30">
        <v>0</v>
      </c>
      <c r="H112">
        <f t="shared" si="3"/>
        <v>25984</v>
      </c>
      <c r="I112" s="16">
        <v>0</v>
      </c>
      <c r="J112" s="16">
        <v>0</v>
      </c>
      <c r="K112" s="16">
        <v>0</v>
      </c>
      <c r="L112" s="16">
        <v>0</v>
      </c>
      <c r="M112" s="30">
        <v>0</v>
      </c>
    </row>
    <row r="113" spans="1:13" x14ac:dyDescent="0.25">
      <c r="A113">
        <f t="shared" si="2"/>
        <v>25984</v>
      </c>
      <c r="B113" s="16">
        <v>0</v>
      </c>
      <c r="C113" s="16">
        <v>0</v>
      </c>
      <c r="D113" s="16">
        <v>0</v>
      </c>
      <c r="E113" s="16">
        <v>0</v>
      </c>
      <c r="F113" s="30">
        <v>0</v>
      </c>
      <c r="H113">
        <f t="shared" si="3"/>
        <v>25984</v>
      </c>
      <c r="I113" s="16">
        <v>0</v>
      </c>
      <c r="J113" s="16">
        <v>0</v>
      </c>
      <c r="K113" s="16">
        <v>0</v>
      </c>
      <c r="L113" s="16">
        <v>0</v>
      </c>
      <c r="M113" s="30">
        <v>0</v>
      </c>
    </row>
    <row r="114" spans="1:13" x14ac:dyDescent="0.25">
      <c r="A114">
        <f t="shared" si="2"/>
        <v>25984</v>
      </c>
      <c r="B114" s="16">
        <v>0</v>
      </c>
      <c r="C114" s="16">
        <v>0</v>
      </c>
      <c r="D114" s="16">
        <v>0</v>
      </c>
      <c r="E114" s="16">
        <v>0</v>
      </c>
      <c r="F114" s="30">
        <v>0</v>
      </c>
      <c r="H114">
        <f t="shared" si="3"/>
        <v>25984</v>
      </c>
      <c r="I114" s="16">
        <v>0</v>
      </c>
      <c r="J114" s="16">
        <v>0</v>
      </c>
      <c r="K114" s="16">
        <v>0</v>
      </c>
      <c r="L114" s="16">
        <v>0</v>
      </c>
      <c r="M114" s="30">
        <v>0</v>
      </c>
    </row>
    <row r="115" spans="1:13" x14ac:dyDescent="0.25">
      <c r="A115">
        <f t="shared" si="2"/>
        <v>25984</v>
      </c>
      <c r="B115" s="16">
        <v>0</v>
      </c>
      <c r="C115" s="16">
        <v>0</v>
      </c>
      <c r="D115" s="16">
        <v>0</v>
      </c>
      <c r="E115" s="16">
        <v>0</v>
      </c>
      <c r="F115" s="30">
        <v>0</v>
      </c>
      <c r="H115">
        <f t="shared" si="3"/>
        <v>25984</v>
      </c>
      <c r="I115" s="16">
        <v>0</v>
      </c>
      <c r="J115" s="16">
        <v>0</v>
      </c>
      <c r="K115" s="16">
        <v>0</v>
      </c>
      <c r="L115" s="16">
        <v>0</v>
      </c>
      <c r="M115" s="30">
        <v>0</v>
      </c>
    </row>
    <row r="116" spans="1:13" x14ac:dyDescent="0.25">
      <c r="A116">
        <f t="shared" si="2"/>
        <v>25984</v>
      </c>
      <c r="B116" s="16">
        <v>0</v>
      </c>
      <c r="C116" s="16">
        <v>0</v>
      </c>
      <c r="D116" s="16">
        <v>0</v>
      </c>
      <c r="E116" s="16">
        <v>0</v>
      </c>
      <c r="F116" s="30">
        <v>0</v>
      </c>
      <c r="H116">
        <f t="shared" si="3"/>
        <v>25984</v>
      </c>
      <c r="I116" s="16">
        <v>0</v>
      </c>
      <c r="J116" s="16">
        <v>0</v>
      </c>
      <c r="K116" s="16">
        <v>0</v>
      </c>
      <c r="L116" s="16">
        <v>0</v>
      </c>
      <c r="M116" s="30">
        <v>0</v>
      </c>
    </row>
    <row r="117" spans="1:13" x14ac:dyDescent="0.25">
      <c r="A117">
        <f t="shared" si="2"/>
        <v>25984</v>
      </c>
      <c r="B117" s="16">
        <v>0</v>
      </c>
      <c r="C117" s="16">
        <v>0</v>
      </c>
      <c r="D117" s="16">
        <v>0</v>
      </c>
      <c r="E117" s="16">
        <v>0</v>
      </c>
      <c r="F117" s="30">
        <v>0</v>
      </c>
      <c r="H117">
        <f t="shared" si="3"/>
        <v>25984</v>
      </c>
      <c r="I117" s="16">
        <v>0</v>
      </c>
      <c r="J117" s="16">
        <v>0</v>
      </c>
      <c r="K117" s="16">
        <v>0</v>
      </c>
      <c r="L117" s="16">
        <v>0</v>
      </c>
      <c r="M117" s="30">
        <v>0</v>
      </c>
    </row>
    <row r="118" spans="1:13" x14ac:dyDescent="0.25">
      <c r="A118">
        <f t="shared" si="2"/>
        <v>25984</v>
      </c>
      <c r="B118" s="16">
        <v>0</v>
      </c>
      <c r="C118" s="16">
        <v>0</v>
      </c>
      <c r="D118" s="16">
        <v>0</v>
      </c>
      <c r="E118" s="16">
        <v>0</v>
      </c>
      <c r="F118" s="30">
        <v>0</v>
      </c>
      <c r="H118">
        <f t="shared" si="3"/>
        <v>25984</v>
      </c>
      <c r="I118" s="16">
        <v>0</v>
      </c>
      <c r="J118" s="16">
        <v>0</v>
      </c>
      <c r="K118" s="16">
        <v>0</v>
      </c>
      <c r="L118" s="16">
        <v>0</v>
      </c>
      <c r="M118" s="30">
        <v>0</v>
      </c>
    </row>
    <row r="119" spans="1:13" x14ac:dyDescent="0.25">
      <c r="A119">
        <f t="shared" si="2"/>
        <v>25984</v>
      </c>
      <c r="B119" s="16">
        <v>0</v>
      </c>
      <c r="C119" s="16">
        <v>0</v>
      </c>
      <c r="D119" s="16">
        <v>0</v>
      </c>
      <c r="E119" s="16">
        <v>0</v>
      </c>
      <c r="F119" s="30">
        <v>0</v>
      </c>
      <c r="H119">
        <f t="shared" si="3"/>
        <v>25984</v>
      </c>
      <c r="I119" s="16">
        <v>0</v>
      </c>
      <c r="J119" s="16">
        <v>0</v>
      </c>
      <c r="K119" s="16">
        <v>0</v>
      </c>
      <c r="L119" s="16">
        <v>0</v>
      </c>
      <c r="M119" s="30">
        <v>0</v>
      </c>
    </row>
    <row r="120" spans="1:13" x14ac:dyDescent="0.25">
      <c r="A120">
        <f t="shared" si="2"/>
        <v>25984</v>
      </c>
      <c r="B120" s="16">
        <v>0</v>
      </c>
      <c r="C120" s="16">
        <v>0</v>
      </c>
      <c r="D120" s="16">
        <v>0</v>
      </c>
      <c r="E120" s="16">
        <v>0</v>
      </c>
      <c r="F120" s="30">
        <v>0</v>
      </c>
      <c r="H120">
        <f t="shared" si="3"/>
        <v>25984</v>
      </c>
      <c r="I120" s="16">
        <v>0</v>
      </c>
      <c r="J120" s="16">
        <v>0</v>
      </c>
      <c r="K120" s="16">
        <v>0</v>
      </c>
      <c r="L120" s="16">
        <v>0</v>
      </c>
      <c r="M120" s="30">
        <v>0</v>
      </c>
    </row>
    <row r="121" spans="1:13" x14ac:dyDescent="0.25">
      <c r="A121">
        <f t="shared" si="2"/>
        <v>25984</v>
      </c>
      <c r="B121" s="16">
        <v>0</v>
      </c>
      <c r="C121" s="16">
        <v>0</v>
      </c>
      <c r="D121" s="16">
        <v>0</v>
      </c>
      <c r="E121" s="16">
        <v>0</v>
      </c>
      <c r="F121" s="30">
        <v>0</v>
      </c>
      <c r="H121">
        <f t="shared" si="3"/>
        <v>25984</v>
      </c>
      <c r="I121" s="16">
        <v>0</v>
      </c>
      <c r="J121" s="16">
        <v>0</v>
      </c>
      <c r="K121" s="16">
        <v>0</v>
      </c>
      <c r="L121" s="16">
        <v>0</v>
      </c>
      <c r="M121" s="30">
        <v>0</v>
      </c>
    </row>
    <row r="122" spans="1:13" x14ac:dyDescent="0.25">
      <c r="A122">
        <f t="shared" si="2"/>
        <v>25984</v>
      </c>
      <c r="B122" s="16">
        <v>0</v>
      </c>
      <c r="C122" s="16">
        <v>0</v>
      </c>
      <c r="D122" s="16">
        <v>0</v>
      </c>
      <c r="E122" s="16">
        <v>0</v>
      </c>
      <c r="F122" s="30">
        <v>0</v>
      </c>
      <c r="H122">
        <f t="shared" si="3"/>
        <v>25984</v>
      </c>
      <c r="I122" s="16">
        <v>0</v>
      </c>
      <c r="J122" s="16">
        <v>0</v>
      </c>
      <c r="K122" s="16">
        <v>0</v>
      </c>
      <c r="L122" s="16">
        <v>0</v>
      </c>
      <c r="M122" s="30">
        <v>0</v>
      </c>
    </row>
    <row r="123" spans="1:13" x14ac:dyDescent="0.25">
      <c r="A123">
        <f t="shared" si="2"/>
        <v>25984</v>
      </c>
      <c r="B123" s="16">
        <v>0</v>
      </c>
      <c r="C123" s="16">
        <v>0</v>
      </c>
      <c r="D123" s="16">
        <v>0</v>
      </c>
      <c r="E123" s="16">
        <v>0</v>
      </c>
      <c r="F123" s="30">
        <v>0</v>
      </c>
      <c r="H123">
        <f t="shared" si="3"/>
        <v>25984</v>
      </c>
      <c r="I123" s="16">
        <v>0</v>
      </c>
      <c r="J123" s="16">
        <v>0</v>
      </c>
      <c r="K123" s="16">
        <v>0</v>
      </c>
      <c r="L123" s="16">
        <v>0</v>
      </c>
      <c r="M123" s="30">
        <v>0</v>
      </c>
    </row>
    <row r="124" spans="1:13" x14ac:dyDescent="0.25">
      <c r="A124">
        <f t="shared" si="2"/>
        <v>25984</v>
      </c>
      <c r="B124" s="16">
        <v>0</v>
      </c>
      <c r="C124" s="16">
        <v>0</v>
      </c>
      <c r="D124" s="16">
        <v>0</v>
      </c>
      <c r="E124" s="16">
        <v>0</v>
      </c>
      <c r="F124" s="30">
        <v>0</v>
      </c>
      <c r="H124">
        <f t="shared" si="3"/>
        <v>25984</v>
      </c>
      <c r="I124" s="16">
        <v>0</v>
      </c>
      <c r="J124" s="16">
        <v>0</v>
      </c>
      <c r="K124" s="16">
        <v>0</v>
      </c>
      <c r="L124" s="16">
        <v>0</v>
      </c>
      <c r="M124" s="30">
        <v>0</v>
      </c>
    </row>
    <row r="125" spans="1:13" x14ac:dyDescent="0.25">
      <c r="A125">
        <f t="shared" si="2"/>
        <v>25984</v>
      </c>
      <c r="B125" s="16">
        <v>0</v>
      </c>
      <c r="C125" s="16">
        <v>0</v>
      </c>
      <c r="D125" s="16">
        <v>0</v>
      </c>
      <c r="E125" s="16">
        <v>0</v>
      </c>
      <c r="F125" s="30">
        <v>0</v>
      </c>
      <c r="H125">
        <f t="shared" si="3"/>
        <v>25984</v>
      </c>
      <c r="I125" s="16">
        <v>0</v>
      </c>
      <c r="J125" s="16">
        <v>0</v>
      </c>
      <c r="K125" s="16">
        <v>0</v>
      </c>
      <c r="L125" s="16">
        <v>0</v>
      </c>
      <c r="M125" s="30">
        <v>0</v>
      </c>
    </row>
    <row r="126" spans="1:13" x14ac:dyDescent="0.25">
      <c r="A126">
        <f t="shared" si="2"/>
        <v>25984</v>
      </c>
      <c r="B126" s="16">
        <v>0</v>
      </c>
      <c r="C126" s="16">
        <v>0</v>
      </c>
      <c r="D126" s="16">
        <v>0</v>
      </c>
      <c r="E126" s="16">
        <v>0</v>
      </c>
      <c r="F126" s="30">
        <v>0</v>
      </c>
      <c r="H126">
        <f t="shared" si="3"/>
        <v>25984</v>
      </c>
      <c r="I126" s="16">
        <v>0</v>
      </c>
      <c r="J126" s="16">
        <v>0</v>
      </c>
      <c r="K126" s="16">
        <v>0</v>
      </c>
      <c r="L126" s="16">
        <v>0</v>
      </c>
      <c r="M126" s="30">
        <v>0</v>
      </c>
    </row>
    <row r="127" spans="1:13" x14ac:dyDescent="0.25">
      <c r="A127">
        <f t="shared" si="2"/>
        <v>25984</v>
      </c>
      <c r="B127" s="16">
        <v>0</v>
      </c>
      <c r="C127" s="16">
        <v>0</v>
      </c>
      <c r="D127" s="16">
        <v>0</v>
      </c>
      <c r="E127" s="16">
        <v>0</v>
      </c>
      <c r="F127" s="30">
        <v>0</v>
      </c>
      <c r="H127">
        <f t="shared" si="3"/>
        <v>25984</v>
      </c>
      <c r="I127" s="16">
        <v>0</v>
      </c>
      <c r="J127" s="16">
        <v>0</v>
      </c>
      <c r="K127" s="16">
        <v>0</v>
      </c>
      <c r="L127" s="16">
        <v>0</v>
      </c>
      <c r="M127" s="30">
        <v>0</v>
      </c>
    </row>
    <row r="128" spans="1:13" x14ac:dyDescent="0.25">
      <c r="A128">
        <f t="shared" si="2"/>
        <v>25984</v>
      </c>
      <c r="B128" s="16">
        <v>0</v>
      </c>
      <c r="C128" s="16">
        <v>0</v>
      </c>
      <c r="D128" s="16">
        <v>0</v>
      </c>
      <c r="E128" s="16">
        <v>0</v>
      </c>
      <c r="F128" s="30">
        <v>0</v>
      </c>
      <c r="H128">
        <f t="shared" si="3"/>
        <v>25984</v>
      </c>
      <c r="I128" s="16">
        <v>0</v>
      </c>
      <c r="J128" s="16">
        <v>0</v>
      </c>
      <c r="K128" s="16">
        <v>0</v>
      </c>
      <c r="L128" s="16">
        <v>0</v>
      </c>
      <c r="M128" s="30">
        <v>0</v>
      </c>
    </row>
    <row r="129" spans="1:13" x14ac:dyDescent="0.25">
      <c r="A129">
        <f t="shared" si="2"/>
        <v>25984</v>
      </c>
      <c r="B129" s="16">
        <v>0</v>
      </c>
      <c r="C129" s="16">
        <v>0</v>
      </c>
      <c r="D129" s="16">
        <v>0</v>
      </c>
      <c r="E129" s="16">
        <v>0</v>
      </c>
      <c r="F129" s="30">
        <v>0</v>
      </c>
      <c r="H129">
        <f t="shared" si="3"/>
        <v>25984</v>
      </c>
      <c r="I129" s="16">
        <v>0</v>
      </c>
      <c r="J129" s="16">
        <v>0</v>
      </c>
      <c r="K129" s="16">
        <v>0</v>
      </c>
      <c r="L129" s="16">
        <v>0</v>
      </c>
      <c r="M129" s="30">
        <v>0</v>
      </c>
    </row>
    <row r="130" spans="1:13" x14ac:dyDescent="0.25">
      <c r="A130">
        <f t="shared" si="2"/>
        <v>25984</v>
      </c>
      <c r="B130" s="16">
        <v>0</v>
      </c>
      <c r="C130" s="16">
        <v>0</v>
      </c>
      <c r="D130" s="16">
        <v>0</v>
      </c>
      <c r="E130" s="16">
        <v>0</v>
      </c>
      <c r="F130" s="30">
        <v>0</v>
      </c>
      <c r="H130">
        <f t="shared" si="3"/>
        <v>25984</v>
      </c>
      <c r="I130" s="16">
        <v>0</v>
      </c>
      <c r="J130" s="16">
        <v>0</v>
      </c>
      <c r="K130" s="16">
        <v>0</v>
      </c>
      <c r="L130" s="16">
        <v>0</v>
      </c>
      <c r="M130" s="30">
        <v>0</v>
      </c>
    </row>
    <row r="131" spans="1:13" x14ac:dyDescent="0.25">
      <c r="A131">
        <f t="shared" si="2"/>
        <v>25984</v>
      </c>
      <c r="B131" s="16">
        <v>0</v>
      </c>
      <c r="C131" s="16">
        <v>0</v>
      </c>
      <c r="D131" s="16">
        <v>0</v>
      </c>
      <c r="E131" s="16">
        <v>0</v>
      </c>
      <c r="F131" s="30">
        <v>0</v>
      </c>
      <c r="H131">
        <f t="shared" si="3"/>
        <v>25984</v>
      </c>
      <c r="I131" s="16">
        <v>0</v>
      </c>
      <c r="J131" s="16">
        <v>0</v>
      </c>
      <c r="K131" s="16">
        <v>0</v>
      </c>
      <c r="L131" s="16">
        <v>0</v>
      </c>
      <c r="M131" s="30">
        <v>0</v>
      </c>
    </row>
    <row r="132" spans="1:13" x14ac:dyDescent="0.25">
      <c r="A132">
        <f t="shared" si="2"/>
        <v>25984</v>
      </c>
      <c r="B132" s="16">
        <v>0</v>
      </c>
      <c r="C132" s="16">
        <v>0</v>
      </c>
      <c r="D132" s="16">
        <v>0</v>
      </c>
      <c r="E132" s="16">
        <v>0</v>
      </c>
      <c r="F132" s="30">
        <v>0</v>
      </c>
      <c r="H132">
        <f t="shared" si="3"/>
        <v>25984</v>
      </c>
      <c r="I132" s="16">
        <v>0</v>
      </c>
      <c r="J132" s="16">
        <v>0</v>
      </c>
      <c r="K132" s="16">
        <v>0</v>
      </c>
      <c r="L132" s="16">
        <v>0</v>
      </c>
      <c r="M132" s="30">
        <v>0</v>
      </c>
    </row>
    <row r="133" spans="1:13" x14ac:dyDescent="0.25">
      <c r="A133">
        <f t="shared" ref="A133:A187" si="4">IF(ABS(B133-25984)&lt;ABS(B133-27520),IF(ABS(B133-25984)&lt;ABS(B133-29056),25984,29056),IF(ABS(B133-27520)&lt;ABS(B133-29056),27520,29056))</f>
        <v>25984</v>
      </c>
      <c r="B133" s="16">
        <v>0</v>
      </c>
      <c r="C133" s="16">
        <v>0</v>
      </c>
      <c r="D133" s="16">
        <v>0</v>
      </c>
      <c r="E133" s="16">
        <v>0</v>
      </c>
      <c r="F133" s="30">
        <v>0</v>
      </c>
      <c r="H133">
        <f t="shared" ref="H133:H151" si="5">IF(ABS(I133-25984)&lt;ABS(I133-27520),IF(ABS(I133-25984)&lt;ABS(I133-29056),25984,29056),IF(ABS(I133-27520)&lt;ABS(I133-29056),27520,29056))</f>
        <v>25984</v>
      </c>
      <c r="I133" s="16">
        <v>0</v>
      </c>
      <c r="J133" s="16">
        <v>0</v>
      </c>
      <c r="K133" s="16">
        <v>0</v>
      </c>
      <c r="L133" s="16">
        <v>0</v>
      </c>
      <c r="M133" s="30">
        <v>0</v>
      </c>
    </row>
    <row r="134" spans="1:13" x14ac:dyDescent="0.25">
      <c r="A134">
        <f t="shared" si="4"/>
        <v>25984</v>
      </c>
      <c r="B134" s="16">
        <v>0</v>
      </c>
      <c r="C134" s="16">
        <v>0</v>
      </c>
      <c r="D134" s="16">
        <v>0</v>
      </c>
      <c r="E134" s="16">
        <v>0</v>
      </c>
      <c r="F134" s="30">
        <v>0</v>
      </c>
      <c r="H134">
        <f t="shared" si="5"/>
        <v>25984</v>
      </c>
      <c r="I134" s="16">
        <v>0</v>
      </c>
      <c r="J134" s="16">
        <v>0</v>
      </c>
      <c r="K134" s="16">
        <v>0</v>
      </c>
      <c r="L134" s="16">
        <v>0</v>
      </c>
      <c r="M134" s="30">
        <v>0</v>
      </c>
    </row>
    <row r="135" spans="1:13" x14ac:dyDescent="0.25">
      <c r="A135">
        <f t="shared" si="4"/>
        <v>25984</v>
      </c>
      <c r="B135" s="16">
        <v>0</v>
      </c>
      <c r="C135" s="16">
        <v>0</v>
      </c>
      <c r="D135" s="16">
        <v>0</v>
      </c>
      <c r="E135" s="16">
        <v>0</v>
      </c>
      <c r="F135" s="30">
        <v>0</v>
      </c>
      <c r="H135">
        <f t="shared" si="5"/>
        <v>25984</v>
      </c>
      <c r="I135" s="16">
        <v>0</v>
      </c>
      <c r="J135" s="16">
        <v>0</v>
      </c>
      <c r="K135" s="16">
        <v>0</v>
      </c>
      <c r="L135" s="16">
        <v>0</v>
      </c>
      <c r="M135" s="30">
        <v>0</v>
      </c>
    </row>
    <row r="136" spans="1:13" x14ac:dyDescent="0.25">
      <c r="A136">
        <f t="shared" si="4"/>
        <v>25984</v>
      </c>
      <c r="B136" s="16">
        <v>0</v>
      </c>
      <c r="C136" s="16">
        <v>0</v>
      </c>
      <c r="D136" s="16">
        <v>0</v>
      </c>
      <c r="E136" s="16">
        <v>0</v>
      </c>
      <c r="F136" s="30">
        <v>0</v>
      </c>
      <c r="H136">
        <f t="shared" si="5"/>
        <v>25984</v>
      </c>
      <c r="I136" s="16">
        <v>0</v>
      </c>
      <c r="J136" s="16">
        <v>0</v>
      </c>
      <c r="K136" s="16">
        <v>0</v>
      </c>
      <c r="L136" s="16">
        <v>0</v>
      </c>
      <c r="M136" s="30">
        <v>0</v>
      </c>
    </row>
    <row r="137" spans="1:13" x14ac:dyDescent="0.25">
      <c r="A137">
        <f t="shared" si="4"/>
        <v>25984</v>
      </c>
      <c r="B137" s="16">
        <v>0</v>
      </c>
      <c r="C137" s="16">
        <v>0</v>
      </c>
      <c r="D137" s="16">
        <v>0</v>
      </c>
      <c r="E137" s="16">
        <v>0</v>
      </c>
      <c r="F137" s="30">
        <v>0</v>
      </c>
      <c r="H137">
        <f t="shared" si="5"/>
        <v>25984</v>
      </c>
      <c r="I137" s="16">
        <v>0</v>
      </c>
      <c r="J137" s="16">
        <v>0</v>
      </c>
      <c r="K137" s="16">
        <v>0</v>
      </c>
      <c r="L137" s="16">
        <v>0</v>
      </c>
      <c r="M137" s="30">
        <v>0</v>
      </c>
    </row>
    <row r="138" spans="1:13" x14ac:dyDescent="0.25">
      <c r="A138">
        <f t="shared" si="4"/>
        <v>25984</v>
      </c>
      <c r="B138" s="16">
        <v>0</v>
      </c>
      <c r="C138" s="16">
        <v>0</v>
      </c>
      <c r="D138" s="16">
        <v>0</v>
      </c>
      <c r="E138" s="16">
        <v>0</v>
      </c>
      <c r="F138" s="30">
        <v>0</v>
      </c>
      <c r="H138">
        <f t="shared" si="5"/>
        <v>25984</v>
      </c>
      <c r="I138" s="16">
        <v>0</v>
      </c>
      <c r="J138" s="16">
        <v>0</v>
      </c>
      <c r="K138" s="16">
        <v>0</v>
      </c>
      <c r="L138" s="16">
        <v>0</v>
      </c>
      <c r="M138" s="30">
        <v>0</v>
      </c>
    </row>
    <row r="139" spans="1:13" x14ac:dyDescent="0.25">
      <c r="A139">
        <f t="shared" si="4"/>
        <v>25984</v>
      </c>
      <c r="B139" s="16">
        <v>0</v>
      </c>
      <c r="C139" s="16">
        <v>0</v>
      </c>
      <c r="D139" s="16">
        <v>0</v>
      </c>
      <c r="E139" s="16">
        <v>0</v>
      </c>
      <c r="F139" s="30">
        <v>0</v>
      </c>
      <c r="H139">
        <f t="shared" si="5"/>
        <v>25984</v>
      </c>
      <c r="I139" s="16">
        <v>0</v>
      </c>
      <c r="J139" s="16">
        <v>0</v>
      </c>
      <c r="K139" s="16">
        <v>0</v>
      </c>
      <c r="L139" s="16">
        <v>0</v>
      </c>
      <c r="M139" s="30">
        <v>0</v>
      </c>
    </row>
    <row r="140" spans="1:13" x14ac:dyDescent="0.25">
      <c r="A140">
        <f t="shared" si="4"/>
        <v>25984</v>
      </c>
      <c r="B140" s="16">
        <v>0</v>
      </c>
      <c r="C140" s="16">
        <v>0</v>
      </c>
      <c r="D140" s="16">
        <v>0</v>
      </c>
      <c r="E140" s="16">
        <v>0</v>
      </c>
      <c r="F140" s="30">
        <v>0</v>
      </c>
      <c r="H140">
        <f t="shared" si="5"/>
        <v>25984</v>
      </c>
      <c r="I140" s="16">
        <v>0</v>
      </c>
      <c r="J140" s="16">
        <v>0</v>
      </c>
      <c r="K140" s="16">
        <v>0</v>
      </c>
      <c r="L140" s="16">
        <v>0</v>
      </c>
      <c r="M140" s="30">
        <v>0</v>
      </c>
    </row>
    <row r="141" spans="1:13" x14ac:dyDescent="0.25">
      <c r="A141">
        <f t="shared" si="4"/>
        <v>25984</v>
      </c>
      <c r="B141" s="16">
        <v>0</v>
      </c>
      <c r="C141" s="16">
        <v>0</v>
      </c>
      <c r="D141" s="16">
        <v>0</v>
      </c>
      <c r="E141" s="16">
        <v>0</v>
      </c>
      <c r="F141" s="30">
        <v>0</v>
      </c>
      <c r="H141">
        <f t="shared" si="5"/>
        <v>25984</v>
      </c>
      <c r="I141" s="16">
        <v>0</v>
      </c>
      <c r="J141" s="16">
        <v>0</v>
      </c>
      <c r="K141" s="16">
        <v>0</v>
      </c>
      <c r="L141" s="16">
        <v>0</v>
      </c>
      <c r="M141" s="30">
        <v>0</v>
      </c>
    </row>
    <row r="142" spans="1:13" x14ac:dyDescent="0.25">
      <c r="A142">
        <f t="shared" si="4"/>
        <v>25984</v>
      </c>
      <c r="B142" s="16">
        <v>0</v>
      </c>
      <c r="C142" s="16">
        <v>0</v>
      </c>
      <c r="D142" s="16">
        <v>0</v>
      </c>
      <c r="E142" s="16">
        <v>0</v>
      </c>
      <c r="F142" s="30">
        <v>0</v>
      </c>
      <c r="H142">
        <f t="shared" si="5"/>
        <v>25984</v>
      </c>
      <c r="I142" s="16">
        <v>0</v>
      </c>
      <c r="J142" s="16">
        <v>0</v>
      </c>
      <c r="K142" s="16">
        <v>0</v>
      </c>
      <c r="L142" s="16">
        <v>0</v>
      </c>
      <c r="M142" s="30">
        <v>0</v>
      </c>
    </row>
    <row r="143" spans="1:13" x14ac:dyDescent="0.25">
      <c r="A143">
        <f t="shared" si="4"/>
        <v>25984</v>
      </c>
      <c r="B143" s="16">
        <v>0</v>
      </c>
      <c r="C143" s="16">
        <v>0</v>
      </c>
      <c r="D143" s="16">
        <v>0</v>
      </c>
      <c r="E143" s="16">
        <v>0</v>
      </c>
      <c r="F143" s="30">
        <v>0</v>
      </c>
      <c r="H143">
        <f t="shared" si="5"/>
        <v>25984</v>
      </c>
      <c r="I143" s="16">
        <v>0</v>
      </c>
      <c r="J143" s="16">
        <v>0</v>
      </c>
      <c r="K143" s="16">
        <v>0</v>
      </c>
      <c r="L143" s="16">
        <v>0</v>
      </c>
      <c r="M143" s="30">
        <v>0</v>
      </c>
    </row>
    <row r="144" spans="1:13" x14ac:dyDescent="0.25">
      <c r="A144">
        <f t="shared" si="4"/>
        <v>25984</v>
      </c>
      <c r="B144" s="16">
        <v>0</v>
      </c>
      <c r="C144" s="16">
        <v>0</v>
      </c>
      <c r="D144" s="16">
        <v>0</v>
      </c>
      <c r="E144" s="16">
        <v>0</v>
      </c>
      <c r="F144" s="30">
        <v>0</v>
      </c>
      <c r="H144">
        <f t="shared" si="5"/>
        <v>25984</v>
      </c>
      <c r="I144" s="16">
        <v>0</v>
      </c>
      <c r="J144" s="16">
        <v>0</v>
      </c>
      <c r="K144" s="16">
        <v>0</v>
      </c>
      <c r="L144" s="16">
        <v>0</v>
      </c>
      <c r="M144" s="30">
        <v>0</v>
      </c>
    </row>
    <row r="145" spans="1:13" x14ac:dyDescent="0.25">
      <c r="A145">
        <f t="shared" si="4"/>
        <v>25984</v>
      </c>
      <c r="B145" s="16">
        <v>0</v>
      </c>
      <c r="C145" s="16">
        <v>0</v>
      </c>
      <c r="D145" s="16">
        <v>0</v>
      </c>
      <c r="E145" s="16">
        <v>0</v>
      </c>
      <c r="F145" s="30">
        <v>0</v>
      </c>
      <c r="H145">
        <f t="shared" si="5"/>
        <v>25984</v>
      </c>
      <c r="I145" s="16">
        <v>0</v>
      </c>
      <c r="J145" s="16">
        <v>0</v>
      </c>
      <c r="K145" s="16">
        <v>0</v>
      </c>
      <c r="L145" s="16">
        <v>0</v>
      </c>
      <c r="M145" s="30">
        <v>0</v>
      </c>
    </row>
    <row r="146" spans="1:13" x14ac:dyDescent="0.25">
      <c r="A146">
        <f t="shared" si="4"/>
        <v>25984</v>
      </c>
      <c r="B146" s="16">
        <v>0</v>
      </c>
      <c r="C146" s="16">
        <v>0</v>
      </c>
      <c r="D146" s="16">
        <v>0</v>
      </c>
      <c r="E146" s="16">
        <v>0</v>
      </c>
      <c r="F146" s="30">
        <v>0</v>
      </c>
      <c r="H146">
        <f t="shared" si="5"/>
        <v>25984</v>
      </c>
      <c r="I146" s="16">
        <v>0</v>
      </c>
      <c r="J146" s="16">
        <v>0</v>
      </c>
      <c r="K146" s="16">
        <v>0</v>
      </c>
      <c r="L146" s="16">
        <v>0</v>
      </c>
      <c r="M146" s="30">
        <v>0</v>
      </c>
    </row>
    <row r="147" spans="1:13" x14ac:dyDescent="0.25">
      <c r="A147">
        <f t="shared" si="4"/>
        <v>25984</v>
      </c>
      <c r="B147" s="16">
        <v>0</v>
      </c>
      <c r="C147" s="16">
        <v>0</v>
      </c>
      <c r="D147" s="16">
        <v>0</v>
      </c>
      <c r="E147" s="16">
        <v>0</v>
      </c>
      <c r="F147" s="30">
        <v>0</v>
      </c>
      <c r="H147">
        <f t="shared" si="5"/>
        <v>25984</v>
      </c>
      <c r="I147" s="16">
        <v>0</v>
      </c>
      <c r="J147" s="16">
        <v>0</v>
      </c>
      <c r="K147" s="16">
        <v>0</v>
      </c>
      <c r="L147" s="16">
        <v>0</v>
      </c>
      <c r="M147" s="30">
        <v>0</v>
      </c>
    </row>
    <row r="148" spans="1:13" x14ac:dyDescent="0.25">
      <c r="A148">
        <f t="shared" si="4"/>
        <v>25984</v>
      </c>
      <c r="B148" s="16">
        <v>0</v>
      </c>
      <c r="C148" s="16">
        <v>0</v>
      </c>
      <c r="D148" s="16">
        <v>0</v>
      </c>
      <c r="E148" s="16">
        <v>0</v>
      </c>
      <c r="F148" s="30">
        <v>0</v>
      </c>
      <c r="H148">
        <f t="shared" si="5"/>
        <v>25984</v>
      </c>
      <c r="I148" s="16">
        <v>0</v>
      </c>
      <c r="J148" s="16">
        <v>0</v>
      </c>
      <c r="K148" s="16">
        <v>0</v>
      </c>
      <c r="L148" s="16">
        <v>0</v>
      </c>
      <c r="M148" s="30">
        <v>0</v>
      </c>
    </row>
    <row r="149" spans="1:13" x14ac:dyDescent="0.25">
      <c r="A149">
        <f t="shared" si="4"/>
        <v>25984</v>
      </c>
      <c r="B149" s="16">
        <v>0</v>
      </c>
      <c r="C149" s="16">
        <v>0</v>
      </c>
      <c r="D149" s="16">
        <v>0</v>
      </c>
      <c r="E149" s="16">
        <v>0</v>
      </c>
      <c r="F149" s="30">
        <v>0</v>
      </c>
      <c r="H149">
        <f t="shared" si="5"/>
        <v>25984</v>
      </c>
      <c r="I149" s="16">
        <v>0</v>
      </c>
      <c r="J149" s="16">
        <v>0</v>
      </c>
      <c r="K149" s="16">
        <v>0</v>
      </c>
      <c r="L149" s="16">
        <v>0</v>
      </c>
      <c r="M149" s="30">
        <v>0</v>
      </c>
    </row>
    <row r="150" spans="1:13" x14ac:dyDescent="0.25">
      <c r="A150">
        <f t="shared" si="4"/>
        <v>25984</v>
      </c>
      <c r="B150" s="16">
        <v>0</v>
      </c>
      <c r="C150" s="16">
        <v>0</v>
      </c>
      <c r="D150" s="16">
        <v>0</v>
      </c>
      <c r="E150" s="16">
        <v>0</v>
      </c>
      <c r="F150" s="30">
        <v>0</v>
      </c>
      <c r="H150">
        <f t="shared" si="5"/>
        <v>25984</v>
      </c>
      <c r="I150" s="16">
        <v>0</v>
      </c>
      <c r="J150" s="16">
        <v>0</v>
      </c>
      <c r="K150" s="16">
        <v>0</v>
      </c>
      <c r="L150" s="16">
        <v>0</v>
      </c>
      <c r="M150" s="30">
        <v>0</v>
      </c>
    </row>
    <row r="151" spans="1:13" x14ac:dyDescent="0.25">
      <c r="A151">
        <f t="shared" si="4"/>
        <v>25984</v>
      </c>
      <c r="B151" s="16">
        <v>0</v>
      </c>
      <c r="C151" s="16">
        <v>0</v>
      </c>
      <c r="D151" s="16">
        <v>0</v>
      </c>
      <c r="E151" s="16">
        <v>0</v>
      </c>
      <c r="F151" s="30">
        <v>0</v>
      </c>
      <c r="H151">
        <f t="shared" si="5"/>
        <v>25984</v>
      </c>
      <c r="I151" s="16">
        <v>0</v>
      </c>
      <c r="J151" s="16">
        <v>0</v>
      </c>
      <c r="K151" s="16">
        <v>0</v>
      </c>
      <c r="L151" s="16">
        <v>0</v>
      </c>
      <c r="M151" s="30">
        <v>0</v>
      </c>
    </row>
    <row r="152" spans="1:13" x14ac:dyDescent="0.25">
      <c r="A152">
        <f t="shared" si="4"/>
        <v>25984</v>
      </c>
      <c r="B152" s="16">
        <v>0</v>
      </c>
      <c r="C152" s="16">
        <v>0</v>
      </c>
      <c r="D152" s="16">
        <v>0</v>
      </c>
      <c r="E152" s="16">
        <v>0</v>
      </c>
      <c r="F152" s="30">
        <v>0</v>
      </c>
    </row>
    <row r="153" spans="1:13" x14ac:dyDescent="0.25">
      <c r="A153">
        <f t="shared" si="4"/>
        <v>25984</v>
      </c>
      <c r="B153" s="16">
        <v>0</v>
      </c>
      <c r="C153" s="16">
        <v>0</v>
      </c>
      <c r="D153" s="16">
        <v>0</v>
      </c>
      <c r="E153" s="16">
        <v>0</v>
      </c>
      <c r="F153" s="30">
        <v>0</v>
      </c>
    </row>
    <row r="154" spans="1:13" x14ac:dyDescent="0.25">
      <c r="A154">
        <f t="shared" si="4"/>
        <v>25984</v>
      </c>
      <c r="B154" s="16">
        <v>0</v>
      </c>
      <c r="C154" s="16">
        <v>0</v>
      </c>
      <c r="D154" s="16">
        <v>0</v>
      </c>
      <c r="E154" s="16">
        <v>0</v>
      </c>
      <c r="F154" s="30">
        <v>0</v>
      </c>
    </row>
    <row r="155" spans="1:13" x14ac:dyDescent="0.25">
      <c r="A155">
        <f t="shared" si="4"/>
        <v>25984</v>
      </c>
      <c r="B155" s="16">
        <v>0</v>
      </c>
      <c r="C155" s="16">
        <v>0</v>
      </c>
      <c r="D155" s="16">
        <v>0</v>
      </c>
      <c r="E155" s="16">
        <v>0</v>
      </c>
      <c r="F155" s="30">
        <v>0</v>
      </c>
    </row>
    <row r="156" spans="1:13" x14ac:dyDescent="0.25">
      <c r="A156">
        <f t="shared" si="4"/>
        <v>25984</v>
      </c>
      <c r="B156" s="16">
        <v>0</v>
      </c>
      <c r="C156" s="16">
        <v>0</v>
      </c>
      <c r="D156" s="16">
        <v>0</v>
      </c>
      <c r="E156" s="16">
        <v>0</v>
      </c>
      <c r="F156" s="30">
        <v>0</v>
      </c>
    </row>
    <row r="157" spans="1:13" x14ac:dyDescent="0.25">
      <c r="A157">
        <f t="shared" si="4"/>
        <v>25984</v>
      </c>
      <c r="B157" s="16">
        <v>0</v>
      </c>
      <c r="C157" s="16">
        <v>0</v>
      </c>
      <c r="D157" s="16">
        <v>0</v>
      </c>
      <c r="E157" s="16">
        <v>0</v>
      </c>
      <c r="F157" s="30">
        <v>0</v>
      </c>
    </row>
    <row r="158" spans="1:13" x14ac:dyDescent="0.25">
      <c r="A158">
        <f t="shared" si="4"/>
        <v>25984</v>
      </c>
      <c r="B158" s="16">
        <v>0</v>
      </c>
      <c r="C158" s="16">
        <v>0</v>
      </c>
      <c r="D158" s="16">
        <v>0</v>
      </c>
      <c r="E158" s="16">
        <v>0</v>
      </c>
      <c r="F158" s="30">
        <v>0</v>
      </c>
    </row>
    <row r="159" spans="1:13" x14ac:dyDescent="0.25">
      <c r="A159">
        <f t="shared" si="4"/>
        <v>25984</v>
      </c>
      <c r="B159" s="16">
        <v>0</v>
      </c>
      <c r="C159" s="16">
        <v>0</v>
      </c>
      <c r="D159" s="16">
        <v>0</v>
      </c>
      <c r="E159" s="16">
        <v>0</v>
      </c>
      <c r="F159" s="30">
        <v>0</v>
      </c>
    </row>
    <row r="160" spans="1:13" x14ac:dyDescent="0.25">
      <c r="A160">
        <f t="shared" si="4"/>
        <v>25984</v>
      </c>
      <c r="B160" s="16">
        <v>0</v>
      </c>
      <c r="C160" s="16">
        <v>0</v>
      </c>
      <c r="D160" s="16">
        <v>0</v>
      </c>
      <c r="E160" s="16">
        <v>0</v>
      </c>
      <c r="F160" s="30">
        <v>0</v>
      </c>
    </row>
    <row r="161" spans="1:6" x14ac:dyDescent="0.25">
      <c r="A161">
        <f t="shared" si="4"/>
        <v>25984</v>
      </c>
      <c r="B161" s="16">
        <v>0</v>
      </c>
      <c r="C161" s="16">
        <v>0</v>
      </c>
      <c r="D161" s="16">
        <v>0</v>
      </c>
      <c r="E161" s="16">
        <v>0</v>
      </c>
      <c r="F161" s="30">
        <v>0</v>
      </c>
    </row>
    <row r="162" spans="1:6" x14ac:dyDescent="0.25">
      <c r="A162">
        <f t="shared" si="4"/>
        <v>25984</v>
      </c>
      <c r="B162" s="16">
        <v>0</v>
      </c>
      <c r="C162" s="16">
        <v>0</v>
      </c>
      <c r="D162" s="16">
        <v>0</v>
      </c>
      <c r="E162" s="16">
        <v>0</v>
      </c>
      <c r="F162" s="30">
        <v>0</v>
      </c>
    </row>
    <row r="163" spans="1:6" x14ac:dyDescent="0.25">
      <c r="A163">
        <f t="shared" si="4"/>
        <v>25984</v>
      </c>
      <c r="B163" s="16">
        <v>0</v>
      </c>
      <c r="C163" s="16">
        <v>0</v>
      </c>
      <c r="D163" s="16">
        <v>0</v>
      </c>
      <c r="E163" s="16">
        <v>0</v>
      </c>
      <c r="F163" s="30">
        <v>0</v>
      </c>
    </row>
    <row r="164" spans="1:6" x14ac:dyDescent="0.25">
      <c r="A164">
        <f t="shared" si="4"/>
        <v>25984</v>
      </c>
      <c r="B164" s="16">
        <v>0</v>
      </c>
      <c r="C164" s="16">
        <v>0</v>
      </c>
      <c r="D164" s="16">
        <v>0</v>
      </c>
      <c r="E164" s="16">
        <v>0</v>
      </c>
      <c r="F164" s="30">
        <v>0</v>
      </c>
    </row>
    <row r="165" spans="1:6" x14ac:dyDescent="0.25">
      <c r="A165">
        <f t="shared" si="4"/>
        <v>25984</v>
      </c>
      <c r="B165" s="16">
        <v>0</v>
      </c>
      <c r="C165" s="16">
        <v>0</v>
      </c>
      <c r="D165" s="16">
        <v>0</v>
      </c>
      <c r="E165" s="16">
        <v>0</v>
      </c>
      <c r="F165" s="30">
        <v>0</v>
      </c>
    </row>
    <row r="166" spans="1:6" x14ac:dyDescent="0.25">
      <c r="A166">
        <f t="shared" si="4"/>
        <v>25984</v>
      </c>
      <c r="B166" s="16">
        <v>0</v>
      </c>
      <c r="C166" s="16">
        <v>0</v>
      </c>
      <c r="D166" s="16">
        <v>0</v>
      </c>
      <c r="E166" s="16">
        <v>0</v>
      </c>
      <c r="F166" s="30">
        <v>0</v>
      </c>
    </row>
    <row r="167" spans="1:6" x14ac:dyDescent="0.25">
      <c r="A167">
        <f t="shared" si="4"/>
        <v>25984</v>
      </c>
      <c r="B167" s="16">
        <v>0</v>
      </c>
      <c r="C167" s="16">
        <v>0</v>
      </c>
      <c r="D167" s="16">
        <v>0</v>
      </c>
      <c r="E167" s="16">
        <v>0</v>
      </c>
      <c r="F167" s="30">
        <v>0</v>
      </c>
    </row>
    <row r="168" spans="1:6" x14ac:dyDescent="0.25">
      <c r="A168">
        <f t="shared" si="4"/>
        <v>25984</v>
      </c>
      <c r="B168" s="16">
        <v>0</v>
      </c>
      <c r="C168" s="16">
        <v>0</v>
      </c>
      <c r="D168" s="16">
        <v>0</v>
      </c>
      <c r="E168" s="16">
        <v>0</v>
      </c>
      <c r="F168" s="30">
        <v>0</v>
      </c>
    </row>
    <row r="169" spans="1:6" x14ac:dyDescent="0.25">
      <c r="A169">
        <f t="shared" si="4"/>
        <v>25984</v>
      </c>
      <c r="B169" s="16">
        <v>0</v>
      </c>
      <c r="C169" s="16">
        <v>0</v>
      </c>
      <c r="D169" s="16">
        <v>0</v>
      </c>
      <c r="E169" s="16">
        <v>0</v>
      </c>
      <c r="F169" s="30">
        <v>0</v>
      </c>
    </row>
    <row r="170" spans="1:6" x14ac:dyDescent="0.25">
      <c r="A170">
        <f t="shared" si="4"/>
        <v>25984</v>
      </c>
      <c r="B170" s="16">
        <v>0</v>
      </c>
      <c r="C170" s="16">
        <v>0</v>
      </c>
      <c r="D170" s="16">
        <v>0</v>
      </c>
      <c r="E170" s="16">
        <v>0</v>
      </c>
      <c r="F170" s="30">
        <v>0</v>
      </c>
    </row>
    <row r="171" spans="1:6" x14ac:dyDescent="0.25">
      <c r="A171">
        <f t="shared" si="4"/>
        <v>25984</v>
      </c>
      <c r="B171" s="16">
        <v>0</v>
      </c>
      <c r="C171" s="16">
        <v>0</v>
      </c>
      <c r="D171" s="16">
        <v>0</v>
      </c>
      <c r="E171" s="16">
        <v>0</v>
      </c>
      <c r="F171" s="30">
        <v>0</v>
      </c>
    </row>
    <row r="172" spans="1:6" x14ac:dyDescent="0.25">
      <c r="A172">
        <f t="shared" si="4"/>
        <v>25984</v>
      </c>
      <c r="B172" s="16">
        <v>0</v>
      </c>
      <c r="C172" s="16">
        <v>0</v>
      </c>
      <c r="D172" s="16">
        <v>0</v>
      </c>
      <c r="E172" s="16">
        <v>0</v>
      </c>
      <c r="F172" s="30">
        <v>0</v>
      </c>
    </row>
    <row r="173" spans="1:6" x14ac:dyDescent="0.25">
      <c r="A173">
        <f t="shared" si="4"/>
        <v>25984</v>
      </c>
      <c r="B173" s="16">
        <v>0</v>
      </c>
      <c r="C173" s="16">
        <v>0</v>
      </c>
      <c r="D173" s="16">
        <v>0</v>
      </c>
      <c r="E173" s="16">
        <v>0</v>
      </c>
      <c r="F173" s="30">
        <v>0</v>
      </c>
    </row>
    <row r="174" spans="1:6" x14ac:dyDescent="0.25">
      <c r="A174">
        <f t="shared" si="4"/>
        <v>25984</v>
      </c>
      <c r="B174" s="16">
        <v>0</v>
      </c>
      <c r="C174" s="16">
        <v>0</v>
      </c>
      <c r="D174" s="16">
        <v>0</v>
      </c>
      <c r="E174" s="16">
        <v>0</v>
      </c>
      <c r="F174" s="30">
        <v>0</v>
      </c>
    </row>
    <row r="175" spans="1:6" x14ac:dyDescent="0.25">
      <c r="A175">
        <f t="shared" si="4"/>
        <v>25984</v>
      </c>
      <c r="B175" s="16">
        <v>0</v>
      </c>
      <c r="C175" s="16">
        <v>0</v>
      </c>
      <c r="D175" s="16">
        <v>0</v>
      </c>
      <c r="E175" s="16">
        <v>0</v>
      </c>
      <c r="F175" s="30">
        <v>0</v>
      </c>
    </row>
    <row r="176" spans="1:6" x14ac:dyDescent="0.25">
      <c r="A176">
        <f t="shared" si="4"/>
        <v>25984</v>
      </c>
      <c r="B176" s="16">
        <v>0</v>
      </c>
      <c r="C176" s="16">
        <v>0</v>
      </c>
      <c r="D176" s="16">
        <v>0</v>
      </c>
      <c r="E176" s="16">
        <v>0</v>
      </c>
      <c r="F176" s="30">
        <v>0</v>
      </c>
    </row>
    <row r="177" spans="1:6" x14ac:dyDescent="0.25">
      <c r="A177">
        <f t="shared" si="4"/>
        <v>25984</v>
      </c>
      <c r="B177" s="16">
        <v>0</v>
      </c>
      <c r="C177" s="16">
        <v>0</v>
      </c>
      <c r="D177" s="16">
        <v>0</v>
      </c>
      <c r="E177" s="16">
        <v>0</v>
      </c>
      <c r="F177" s="30">
        <v>0</v>
      </c>
    </row>
    <row r="178" spans="1:6" x14ac:dyDescent="0.25">
      <c r="A178">
        <f t="shared" si="4"/>
        <v>25984</v>
      </c>
      <c r="B178" s="16">
        <v>0</v>
      </c>
      <c r="C178" s="16">
        <v>0</v>
      </c>
      <c r="D178" s="16">
        <v>0</v>
      </c>
      <c r="E178" s="16">
        <v>0</v>
      </c>
      <c r="F178" s="30">
        <v>0</v>
      </c>
    </row>
    <row r="179" spans="1:6" x14ac:dyDescent="0.25">
      <c r="A179">
        <f t="shared" si="4"/>
        <v>25984</v>
      </c>
      <c r="B179" s="16">
        <v>0</v>
      </c>
      <c r="C179" s="16">
        <v>0</v>
      </c>
      <c r="D179" s="16">
        <v>0</v>
      </c>
      <c r="E179" s="16">
        <v>0</v>
      </c>
      <c r="F179" s="30">
        <v>0</v>
      </c>
    </row>
    <row r="180" spans="1:6" x14ac:dyDescent="0.25">
      <c r="A180">
        <f t="shared" si="4"/>
        <v>25984</v>
      </c>
      <c r="B180" s="16">
        <v>0</v>
      </c>
      <c r="C180" s="16">
        <v>0</v>
      </c>
      <c r="D180" s="16">
        <v>0</v>
      </c>
      <c r="E180" s="16">
        <v>0</v>
      </c>
      <c r="F180" s="30">
        <v>0</v>
      </c>
    </row>
    <row r="181" spans="1:6" x14ac:dyDescent="0.25">
      <c r="A181">
        <f t="shared" si="4"/>
        <v>25984</v>
      </c>
      <c r="B181" s="16">
        <v>0</v>
      </c>
      <c r="C181" s="16">
        <v>0</v>
      </c>
      <c r="D181" s="16">
        <v>0</v>
      </c>
      <c r="E181" s="16">
        <v>0</v>
      </c>
      <c r="F181" s="30">
        <v>0</v>
      </c>
    </row>
    <row r="182" spans="1:6" x14ac:dyDescent="0.25">
      <c r="A182">
        <f t="shared" si="4"/>
        <v>25984</v>
      </c>
      <c r="B182" s="16">
        <v>0</v>
      </c>
      <c r="C182" s="16">
        <v>0</v>
      </c>
      <c r="D182" s="16">
        <v>0</v>
      </c>
      <c r="E182" s="16">
        <v>0</v>
      </c>
      <c r="F182" s="30">
        <v>0</v>
      </c>
    </row>
    <row r="183" spans="1:6" x14ac:dyDescent="0.25">
      <c r="A183">
        <f t="shared" si="4"/>
        <v>25984</v>
      </c>
      <c r="B183" s="16">
        <v>0</v>
      </c>
      <c r="C183" s="16">
        <v>0</v>
      </c>
      <c r="D183" s="16">
        <v>0</v>
      </c>
      <c r="E183" s="16">
        <v>0</v>
      </c>
      <c r="F183" s="30">
        <v>0</v>
      </c>
    </row>
    <row r="184" spans="1:6" x14ac:dyDescent="0.25">
      <c r="A184">
        <f t="shared" si="4"/>
        <v>25984</v>
      </c>
      <c r="B184" s="16">
        <v>0</v>
      </c>
      <c r="C184" s="16">
        <v>0</v>
      </c>
      <c r="D184" s="16">
        <v>0</v>
      </c>
      <c r="E184" s="16">
        <v>0</v>
      </c>
      <c r="F184" s="30">
        <v>0</v>
      </c>
    </row>
    <row r="185" spans="1:6" x14ac:dyDescent="0.25">
      <c r="A185">
        <f t="shared" si="4"/>
        <v>25984</v>
      </c>
      <c r="B185" s="16">
        <v>0</v>
      </c>
      <c r="C185" s="16">
        <v>0</v>
      </c>
      <c r="D185" s="16">
        <v>0</v>
      </c>
      <c r="E185" s="16">
        <v>0</v>
      </c>
      <c r="F185" s="30">
        <v>0</v>
      </c>
    </row>
    <row r="186" spans="1:6" x14ac:dyDescent="0.25">
      <c r="A186">
        <f t="shared" si="4"/>
        <v>25984</v>
      </c>
      <c r="B186" s="16">
        <v>0</v>
      </c>
      <c r="C186" s="16">
        <v>0</v>
      </c>
      <c r="D186" s="16">
        <v>0</v>
      </c>
      <c r="E186" s="16">
        <v>0</v>
      </c>
      <c r="F186" s="30">
        <v>0</v>
      </c>
    </row>
    <row r="187" spans="1:6" x14ac:dyDescent="0.25">
      <c r="A187">
        <f t="shared" si="4"/>
        <v>25984</v>
      </c>
      <c r="B187" s="16">
        <v>0</v>
      </c>
      <c r="C187" s="16">
        <v>0</v>
      </c>
      <c r="D187" s="16">
        <v>0</v>
      </c>
      <c r="E187" s="16">
        <v>0</v>
      </c>
      <c r="F187" s="30">
        <v>0</v>
      </c>
    </row>
  </sheetData>
  <mergeCells count="2">
    <mergeCell ref="B1:F1"/>
    <mergeCell ref="I1:M1"/>
  </mergeCells>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9C6E5-2C01-492B-AD20-117859D07D84}">
  <dimension ref="E2:BE74"/>
  <sheetViews>
    <sheetView topLeftCell="A37" zoomScale="115" zoomScaleNormal="115" workbookViewId="0">
      <selection activeCell="E2" sqref="E2:O74"/>
    </sheetView>
  </sheetViews>
  <sheetFormatPr defaultRowHeight="15" x14ac:dyDescent="0.25"/>
  <cols>
    <col min="5" max="5" width="11.7109375" customWidth="1"/>
    <col min="9" max="9" width="18.42578125" customWidth="1"/>
    <col min="11" max="11" width="11.7109375" customWidth="1"/>
    <col min="15" max="15" width="18.42578125" customWidth="1"/>
    <col min="17" max="17" width="11.7109375" customWidth="1"/>
    <col min="21" max="21" width="18.42578125" customWidth="1"/>
    <col min="23" max="23" width="11.7109375" customWidth="1"/>
    <col min="27" max="27" width="18.42578125" customWidth="1"/>
  </cols>
  <sheetData>
    <row r="2" spans="5:57" x14ac:dyDescent="0.25">
      <c r="E2" t="s">
        <v>351</v>
      </c>
      <c r="F2" t="s">
        <v>6</v>
      </c>
      <c r="G2" t="s">
        <v>7</v>
      </c>
      <c r="H2" t="s">
        <v>8</v>
      </c>
      <c r="I2" t="s">
        <v>333</v>
      </c>
      <c r="K2" t="s">
        <v>351</v>
      </c>
      <c r="L2" t="s">
        <v>6</v>
      </c>
      <c r="M2" t="s">
        <v>7</v>
      </c>
      <c r="N2" t="s">
        <v>8</v>
      </c>
      <c r="O2" t="s">
        <v>333</v>
      </c>
      <c r="Q2" t="s">
        <v>351</v>
      </c>
      <c r="R2" t="s">
        <v>6</v>
      </c>
      <c r="S2" t="s">
        <v>7</v>
      </c>
      <c r="T2" t="s">
        <v>8</v>
      </c>
      <c r="U2" t="s">
        <v>333</v>
      </c>
      <c r="W2" t="s">
        <v>351</v>
      </c>
      <c r="X2" t="s">
        <v>6</v>
      </c>
      <c r="Y2" t="s">
        <v>7</v>
      </c>
      <c r="Z2" t="s">
        <v>8</v>
      </c>
      <c r="AA2" t="s">
        <v>333</v>
      </c>
      <c r="BC2" t="s">
        <v>352</v>
      </c>
      <c r="BE2" t="s">
        <v>353</v>
      </c>
    </row>
    <row r="3" spans="5:57" x14ac:dyDescent="0.25">
      <c r="E3">
        <v>29056</v>
      </c>
      <c r="F3">
        <v>32</v>
      </c>
      <c r="G3">
        <v>1</v>
      </c>
      <c r="H3">
        <v>16</v>
      </c>
      <c r="I3">
        <v>32.1004</v>
      </c>
      <c r="K3">
        <v>29056</v>
      </c>
      <c r="L3">
        <v>32</v>
      </c>
      <c r="M3">
        <v>1</v>
      </c>
      <c r="N3">
        <v>16</v>
      </c>
      <c r="O3">
        <v>35.778199999999998</v>
      </c>
      <c r="Q3">
        <v>14592</v>
      </c>
      <c r="R3">
        <v>32</v>
      </c>
      <c r="S3">
        <v>1</v>
      </c>
      <c r="T3">
        <v>4</v>
      </c>
      <c r="U3">
        <v>9.0534400000000002</v>
      </c>
      <c r="W3">
        <v>14592</v>
      </c>
      <c r="X3">
        <v>32</v>
      </c>
      <c r="Y3">
        <v>1</v>
      </c>
      <c r="Z3">
        <v>4</v>
      </c>
      <c r="AA3">
        <v>10.3848</v>
      </c>
      <c r="AC3">
        <v>29056</v>
      </c>
      <c r="AD3">
        <v>32</v>
      </c>
      <c r="AE3">
        <v>2</v>
      </c>
      <c r="AF3">
        <v>8</v>
      </c>
      <c r="AG3">
        <v>33.289400000000001</v>
      </c>
      <c r="AI3">
        <v>29056</v>
      </c>
      <c r="AJ3">
        <v>32</v>
      </c>
      <c r="AK3">
        <v>2</v>
      </c>
      <c r="AL3">
        <v>8</v>
      </c>
      <c r="AM3">
        <v>38.1404</v>
      </c>
      <c r="AO3">
        <v>14592</v>
      </c>
      <c r="AP3">
        <v>32</v>
      </c>
      <c r="AQ3">
        <v>2</v>
      </c>
      <c r="AR3">
        <v>2</v>
      </c>
      <c r="AS3">
        <v>9.0344999999999995</v>
      </c>
      <c r="AU3">
        <v>14592</v>
      </c>
      <c r="AV3">
        <v>32</v>
      </c>
      <c r="AW3">
        <v>1</v>
      </c>
      <c r="AX3">
        <v>4</v>
      </c>
      <c r="AY3">
        <v>10.3848</v>
      </c>
      <c r="BA3" t="s">
        <v>354</v>
      </c>
      <c r="BB3">
        <v>32</v>
      </c>
      <c r="BC3">
        <f>AG3/AS3</f>
        <v>3.6846975482871218</v>
      </c>
      <c r="BE3">
        <f>AM3/AY3</f>
        <v>3.67271396656652</v>
      </c>
    </row>
    <row r="4" spans="5:57" x14ac:dyDescent="0.25">
      <c r="E4">
        <v>29056</v>
      </c>
      <c r="F4">
        <v>64</v>
      </c>
      <c r="G4">
        <v>1</v>
      </c>
      <c r="H4">
        <v>16</v>
      </c>
      <c r="I4">
        <v>35.624600000000001</v>
      </c>
      <c r="K4">
        <v>29056</v>
      </c>
      <c r="L4">
        <v>64</v>
      </c>
      <c r="M4">
        <v>1</v>
      </c>
      <c r="N4">
        <v>16</v>
      </c>
      <c r="O4">
        <v>39.193399999999997</v>
      </c>
      <c r="Q4">
        <v>14592</v>
      </c>
      <c r="R4">
        <v>64</v>
      </c>
      <c r="S4">
        <v>1</v>
      </c>
      <c r="T4">
        <v>4</v>
      </c>
      <c r="U4">
        <v>10.071940000000001</v>
      </c>
      <c r="W4">
        <v>14592</v>
      </c>
      <c r="X4">
        <v>64</v>
      </c>
      <c r="Y4">
        <v>1</v>
      </c>
      <c r="Z4">
        <v>4</v>
      </c>
      <c r="AA4">
        <v>11.2852</v>
      </c>
      <c r="AC4">
        <v>29056</v>
      </c>
      <c r="AD4">
        <v>64</v>
      </c>
      <c r="AE4">
        <v>2</v>
      </c>
      <c r="AF4">
        <v>8</v>
      </c>
      <c r="AG4">
        <v>36.999000000000002</v>
      </c>
      <c r="AI4">
        <v>29056</v>
      </c>
      <c r="AJ4">
        <v>64</v>
      </c>
      <c r="AK4">
        <v>2</v>
      </c>
      <c r="AL4">
        <v>8</v>
      </c>
      <c r="AM4">
        <v>40.797800000000002</v>
      </c>
      <c r="AO4">
        <v>14592</v>
      </c>
      <c r="AP4">
        <v>64</v>
      </c>
      <c r="AQ4">
        <v>2</v>
      </c>
      <c r="AR4">
        <v>2</v>
      </c>
      <c r="AS4">
        <v>10.1334</v>
      </c>
      <c r="AU4">
        <v>14592</v>
      </c>
      <c r="AV4">
        <v>64</v>
      </c>
      <c r="AW4">
        <v>1</v>
      </c>
      <c r="AX4">
        <v>4</v>
      </c>
      <c r="AY4">
        <v>11.2852</v>
      </c>
      <c r="BA4" t="s">
        <v>354</v>
      </c>
      <c r="BB4">
        <v>64</v>
      </c>
      <c r="BC4">
        <f t="shared" ref="BC4:BC26" si="0">AG4/AS4</f>
        <v>3.651193084256025</v>
      </c>
      <c r="BE4">
        <f t="shared" ref="BE4:BE26" si="1">AM4/AY4</f>
        <v>3.6151596781625495</v>
      </c>
    </row>
    <row r="5" spans="5:57" x14ac:dyDescent="0.25">
      <c r="E5">
        <v>29056</v>
      </c>
      <c r="F5">
        <v>96</v>
      </c>
      <c r="G5">
        <v>1</v>
      </c>
      <c r="H5">
        <v>16</v>
      </c>
      <c r="I5">
        <v>35.758800000000008</v>
      </c>
      <c r="K5">
        <v>29056</v>
      </c>
      <c r="L5">
        <v>96</v>
      </c>
      <c r="M5">
        <v>1</v>
      </c>
      <c r="N5">
        <v>16</v>
      </c>
      <c r="O5">
        <v>40.034000000000006</v>
      </c>
      <c r="Q5">
        <v>14592</v>
      </c>
      <c r="R5">
        <v>96</v>
      </c>
      <c r="S5">
        <v>1</v>
      </c>
      <c r="T5">
        <v>4</v>
      </c>
      <c r="U5">
        <v>10.1142</v>
      </c>
      <c r="W5">
        <v>14592</v>
      </c>
      <c r="X5">
        <v>96</v>
      </c>
      <c r="Y5">
        <v>1</v>
      </c>
      <c r="Z5">
        <v>4</v>
      </c>
      <c r="AA5">
        <v>11.5314</v>
      </c>
      <c r="AC5">
        <v>29056</v>
      </c>
      <c r="AD5">
        <v>96</v>
      </c>
      <c r="AE5">
        <v>2</v>
      </c>
      <c r="AF5">
        <v>8</v>
      </c>
      <c r="AG5">
        <v>36.583800000000004</v>
      </c>
      <c r="AI5">
        <v>29056</v>
      </c>
      <c r="AJ5">
        <v>96</v>
      </c>
      <c r="AK5">
        <v>2</v>
      </c>
      <c r="AL5">
        <v>8</v>
      </c>
      <c r="AM5">
        <v>41.543799999999997</v>
      </c>
      <c r="AO5">
        <v>14592</v>
      </c>
      <c r="AP5">
        <v>96</v>
      </c>
      <c r="AQ5">
        <v>2</v>
      </c>
      <c r="AR5">
        <v>2</v>
      </c>
      <c r="AS5">
        <v>10.352600000000001</v>
      </c>
      <c r="AU5">
        <v>14592</v>
      </c>
      <c r="AV5">
        <v>96</v>
      </c>
      <c r="AW5">
        <v>1</v>
      </c>
      <c r="AX5">
        <v>4</v>
      </c>
      <c r="AY5">
        <v>11.5314</v>
      </c>
      <c r="BA5" t="s">
        <v>354</v>
      </c>
      <c r="BB5">
        <v>96</v>
      </c>
      <c r="BC5">
        <f t="shared" si="0"/>
        <v>3.5337789540791684</v>
      </c>
      <c r="BE5">
        <f t="shared" si="1"/>
        <v>3.6026674991761625</v>
      </c>
    </row>
    <row r="6" spans="5:57" x14ac:dyDescent="0.25">
      <c r="E6">
        <v>29056</v>
      </c>
      <c r="F6">
        <v>128</v>
      </c>
      <c r="G6">
        <v>1</v>
      </c>
      <c r="H6">
        <v>16</v>
      </c>
      <c r="I6">
        <v>35.835799999999999</v>
      </c>
      <c r="K6">
        <v>29056</v>
      </c>
      <c r="L6">
        <v>128</v>
      </c>
      <c r="M6">
        <v>1</v>
      </c>
      <c r="N6">
        <v>16</v>
      </c>
      <c r="O6">
        <v>38.340600000000002</v>
      </c>
      <c r="Q6">
        <v>14592</v>
      </c>
      <c r="R6">
        <v>128</v>
      </c>
      <c r="S6">
        <v>1</v>
      </c>
      <c r="T6">
        <v>4</v>
      </c>
      <c r="U6">
        <v>10.334199999999999</v>
      </c>
      <c r="W6">
        <v>14592</v>
      </c>
      <c r="X6">
        <v>128</v>
      </c>
      <c r="Y6">
        <v>1</v>
      </c>
      <c r="Z6">
        <v>4</v>
      </c>
      <c r="AA6">
        <v>11.233599999999999</v>
      </c>
      <c r="AC6">
        <v>29056</v>
      </c>
      <c r="AD6">
        <v>128</v>
      </c>
      <c r="AE6">
        <v>2</v>
      </c>
      <c r="AF6">
        <v>8</v>
      </c>
      <c r="AG6">
        <v>37.355600000000003</v>
      </c>
      <c r="AI6">
        <v>29056</v>
      </c>
      <c r="AJ6">
        <v>128</v>
      </c>
      <c r="AK6">
        <v>2</v>
      </c>
      <c r="AL6">
        <v>8</v>
      </c>
      <c r="AM6">
        <v>40.383799999999994</v>
      </c>
      <c r="AO6">
        <v>14592</v>
      </c>
      <c r="AP6">
        <v>128</v>
      </c>
      <c r="AQ6">
        <v>2</v>
      </c>
      <c r="AR6">
        <v>2</v>
      </c>
      <c r="AS6">
        <v>10.5212</v>
      </c>
      <c r="AU6">
        <v>14592</v>
      </c>
      <c r="AV6">
        <v>128</v>
      </c>
      <c r="AW6">
        <v>1</v>
      </c>
      <c r="AX6">
        <v>4</v>
      </c>
      <c r="AY6">
        <v>11.233599999999999</v>
      </c>
      <c r="BA6" t="s">
        <v>354</v>
      </c>
      <c r="BB6">
        <v>128</v>
      </c>
      <c r="BC6">
        <f t="shared" si="0"/>
        <v>3.5505075466676805</v>
      </c>
      <c r="BE6">
        <f t="shared" si="1"/>
        <v>3.5949116934909555</v>
      </c>
    </row>
    <row r="7" spans="5:57" x14ac:dyDescent="0.25">
      <c r="E7">
        <v>29056</v>
      </c>
      <c r="F7">
        <v>160</v>
      </c>
      <c r="G7">
        <v>1</v>
      </c>
      <c r="H7">
        <v>16</v>
      </c>
      <c r="I7">
        <v>36.215999999999994</v>
      </c>
      <c r="K7">
        <v>29056</v>
      </c>
      <c r="L7">
        <v>160</v>
      </c>
      <c r="M7">
        <v>1</v>
      </c>
      <c r="N7">
        <v>16</v>
      </c>
      <c r="O7">
        <v>37.638800000000003</v>
      </c>
      <c r="Q7">
        <v>14592</v>
      </c>
      <c r="R7">
        <v>160</v>
      </c>
      <c r="S7">
        <v>1</v>
      </c>
      <c r="T7">
        <v>4</v>
      </c>
      <c r="U7">
        <v>10.5938</v>
      </c>
      <c r="W7">
        <v>14592</v>
      </c>
      <c r="X7">
        <v>160</v>
      </c>
      <c r="Y7">
        <v>1</v>
      </c>
      <c r="Z7">
        <v>4</v>
      </c>
      <c r="AA7">
        <v>11.323399999999999</v>
      </c>
      <c r="AC7">
        <v>29056</v>
      </c>
      <c r="AD7">
        <v>160</v>
      </c>
      <c r="AE7">
        <v>2</v>
      </c>
      <c r="AF7">
        <v>8</v>
      </c>
      <c r="AG7">
        <v>38.121600000000001</v>
      </c>
      <c r="AI7">
        <v>29056</v>
      </c>
      <c r="AJ7">
        <v>160</v>
      </c>
      <c r="AK7">
        <v>2</v>
      </c>
      <c r="AL7">
        <v>8</v>
      </c>
      <c r="AM7">
        <v>40.646599999999999</v>
      </c>
      <c r="AO7">
        <v>14592</v>
      </c>
      <c r="AP7">
        <v>160</v>
      </c>
      <c r="AQ7">
        <v>2</v>
      </c>
      <c r="AR7">
        <v>2</v>
      </c>
      <c r="AS7">
        <v>10.793400000000002</v>
      </c>
      <c r="AU7">
        <v>14592</v>
      </c>
      <c r="AV7">
        <v>160</v>
      </c>
      <c r="AW7">
        <v>1</v>
      </c>
      <c r="AX7">
        <v>4</v>
      </c>
      <c r="AY7">
        <v>11.323399999999999</v>
      </c>
      <c r="BA7" t="s">
        <v>354</v>
      </c>
      <c r="BB7">
        <v>160</v>
      </c>
      <c r="BC7">
        <f t="shared" si="0"/>
        <v>3.5319361832230802</v>
      </c>
      <c r="BE7">
        <f t="shared" si="1"/>
        <v>3.5896108942543759</v>
      </c>
    </row>
    <row r="8" spans="5:57" x14ac:dyDescent="0.25">
      <c r="E8">
        <v>29056</v>
      </c>
      <c r="F8">
        <v>192</v>
      </c>
      <c r="G8">
        <v>1</v>
      </c>
      <c r="H8">
        <v>16</v>
      </c>
      <c r="I8">
        <v>27.485399999999998</v>
      </c>
      <c r="K8">
        <v>29056</v>
      </c>
      <c r="L8">
        <v>192</v>
      </c>
      <c r="M8">
        <v>1</v>
      </c>
      <c r="N8">
        <v>16</v>
      </c>
      <c r="O8">
        <v>35.177399999999999</v>
      </c>
      <c r="Q8">
        <v>14592</v>
      </c>
      <c r="R8">
        <v>192</v>
      </c>
      <c r="S8">
        <v>1</v>
      </c>
      <c r="T8">
        <v>4</v>
      </c>
      <c r="U8">
        <v>10.571200000000001</v>
      </c>
      <c r="W8">
        <v>14592</v>
      </c>
      <c r="X8">
        <v>192</v>
      </c>
      <c r="Y8">
        <v>1</v>
      </c>
      <c r="Z8">
        <v>4</v>
      </c>
      <c r="AA8">
        <v>11.358000000000001</v>
      </c>
      <c r="AC8">
        <v>29056</v>
      </c>
      <c r="AD8">
        <v>192</v>
      </c>
      <c r="AE8">
        <v>2</v>
      </c>
      <c r="AF8">
        <v>8</v>
      </c>
      <c r="AG8">
        <v>38.002200000000002</v>
      </c>
      <c r="AI8">
        <v>29056</v>
      </c>
      <c r="AJ8">
        <v>192</v>
      </c>
      <c r="AK8">
        <v>2</v>
      </c>
      <c r="AL8">
        <v>8</v>
      </c>
      <c r="AM8">
        <v>40.735599999999998</v>
      </c>
      <c r="AO8">
        <v>14592</v>
      </c>
      <c r="AP8">
        <v>192</v>
      </c>
      <c r="AQ8">
        <v>2</v>
      </c>
      <c r="AR8">
        <v>2</v>
      </c>
      <c r="AS8">
        <v>10.659599999999999</v>
      </c>
      <c r="AU8">
        <v>14592</v>
      </c>
      <c r="AV8">
        <v>192</v>
      </c>
      <c r="AW8">
        <v>1</v>
      </c>
      <c r="AX8">
        <v>4</v>
      </c>
      <c r="AY8">
        <v>11.358000000000001</v>
      </c>
      <c r="BA8" t="s">
        <v>354</v>
      </c>
      <c r="BB8">
        <v>192</v>
      </c>
      <c r="BC8">
        <f t="shared" si="0"/>
        <v>3.5650681076212996</v>
      </c>
      <c r="BE8">
        <f t="shared" si="1"/>
        <v>3.5865117098080646</v>
      </c>
    </row>
    <row r="9" spans="5:57" x14ac:dyDescent="0.25">
      <c r="E9">
        <v>29056</v>
      </c>
      <c r="F9">
        <v>224</v>
      </c>
      <c r="G9">
        <v>1</v>
      </c>
      <c r="H9">
        <v>16</v>
      </c>
      <c r="I9">
        <v>34.935799999999993</v>
      </c>
      <c r="K9">
        <v>29056</v>
      </c>
      <c r="L9">
        <v>224</v>
      </c>
      <c r="M9">
        <v>1</v>
      </c>
      <c r="N9">
        <v>16</v>
      </c>
      <c r="O9">
        <v>37.737000000000002</v>
      </c>
      <c r="Q9">
        <v>14592</v>
      </c>
      <c r="R9">
        <v>224</v>
      </c>
      <c r="S9">
        <v>1</v>
      </c>
      <c r="T9">
        <v>4</v>
      </c>
      <c r="U9">
        <v>10.4696</v>
      </c>
      <c r="W9">
        <v>14592</v>
      </c>
      <c r="X9">
        <v>224</v>
      </c>
      <c r="Y9">
        <v>1</v>
      </c>
      <c r="Z9">
        <v>4</v>
      </c>
      <c r="AA9">
        <v>11.308600000000002</v>
      </c>
      <c r="AC9">
        <v>29056</v>
      </c>
      <c r="AD9">
        <v>224</v>
      </c>
      <c r="AE9">
        <v>2</v>
      </c>
      <c r="AF9">
        <v>8</v>
      </c>
      <c r="AG9">
        <v>37.588199999999993</v>
      </c>
      <c r="AI9">
        <v>29056</v>
      </c>
      <c r="AJ9">
        <v>224</v>
      </c>
      <c r="AK9">
        <v>2</v>
      </c>
      <c r="AL9">
        <v>8</v>
      </c>
      <c r="AM9">
        <v>40.478999999999999</v>
      </c>
      <c r="AO9">
        <v>14592</v>
      </c>
      <c r="AP9">
        <v>224</v>
      </c>
      <c r="AQ9">
        <v>2</v>
      </c>
      <c r="AR9">
        <v>2</v>
      </c>
      <c r="AS9">
        <v>10.662599999999999</v>
      </c>
      <c r="AU9">
        <v>14592</v>
      </c>
      <c r="AV9">
        <v>224</v>
      </c>
      <c r="AW9">
        <v>1</v>
      </c>
      <c r="AX9">
        <v>4</v>
      </c>
      <c r="AY9">
        <v>11.308600000000002</v>
      </c>
      <c r="BA9" t="s">
        <v>354</v>
      </c>
      <c r="BB9">
        <v>224</v>
      </c>
      <c r="BC9">
        <f t="shared" si="0"/>
        <v>3.5252377468910017</v>
      </c>
      <c r="BE9">
        <f t="shared" si="1"/>
        <v>3.5794881771395213</v>
      </c>
    </row>
    <row r="10" spans="5:57" x14ac:dyDescent="0.25">
      <c r="E10">
        <v>29056</v>
      </c>
      <c r="F10">
        <v>256</v>
      </c>
      <c r="G10">
        <v>1</v>
      </c>
      <c r="H10">
        <v>16</v>
      </c>
      <c r="I10">
        <v>33.849399999999996</v>
      </c>
      <c r="K10">
        <v>29056</v>
      </c>
      <c r="L10">
        <v>256</v>
      </c>
      <c r="M10">
        <v>1</v>
      </c>
      <c r="N10">
        <v>16</v>
      </c>
      <c r="O10">
        <v>36.071199999999997</v>
      </c>
      <c r="Q10">
        <v>14592</v>
      </c>
      <c r="R10">
        <v>256</v>
      </c>
      <c r="S10">
        <v>1</v>
      </c>
      <c r="T10">
        <v>4</v>
      </c>
      <c r="U10">
        <v>10.452</v>
      </c>
      <c r="W10">
        <v>14592</v>
      </c>
      <c r="X10">
        <v>256</v>
      </c>
      <c r="Y10">
        <v>1</v>
      </c>
      <c r="Z10">
        <v>4</v>
      </c>
      <c r="AA10">
        <v>11.008399999999998</v>
      </c>
      <c r="AC10">
        <v>29056</v>
      </c>
      <c r="AD10">
        <v>256</v>
      </c>
      <c r="AE10">
        <v>2</v>
      </c>
      <c r="AF10">
        <v>8</v>
      </c>
      <c r="AG10">
        <v>37.202200000000005</v>
      </c>
      <c r="AI10">
        <v>29056</v>
      </c>
      <c r="AJ10">
        <v>256</v>
      </c>
      <c r="AK10">
        <v>2</v>
      </c>
      <c r="AL10">
        <v>8</v>
      </c>
      <c r="AM10">
        <v>39.356199999999994</v>
      </c>
      <c r="AO10">
        <v>14592</v>
      </c>
      <c r="AP10">
        <v>256</v>
      </c>
      <c r="AQ10">
        <v>2</v>
      </c>
      <c r="AR10">
        <v>2</v>
      </c>
      <c r="AS10">
        <v>10.537399999999998</v>
      </c>
      <c r="AU10">
        <v>14592</v>
      </c>
      <c r="AV10">
        <v>256</v>
      </c>
      <c r="AW10">
        <v>1</v>
      </c>
      <c r="AX10">
        <v>4</v>
      </c>
      <c r="AY10">
        <v>11.008399999999998</v>
      </c>
      <c r="BA10" t="s">
        <v>354</v>
      </c>
      <c r="BB10">
        <v>256</v>
      </c>
      <c r="BC10">
        <f t="shared" si="0"/>
        <v>3.5304913925636314</v>
      </c>
      <c r="BE10">
        <f t="shared" si="1"/>
        <v>3.5751062824752009</v>
      </c>
    </row>
    <row r="11" spans="5:57" x14ac:dyDescent="0.25">
      <c r="E11">
        <v>27520</v>
      </c>
      <c r="F11">
        <v>32</v>
      </c>
      <c r="G11">
        <v>1</v>
      </c>
      <c r="H11">
        <v>16</v>
      </c>
      <c r="I11">
        <v>31.570399999999999</v>
      </c>
      <c r="K11">
        <v>27520</v>
      </c>
      <c r="L11">
        <v>32</v>
      </c>
      <c r="M11">
        <v>1</v>
      </c>
      <c r="N11">
        <v>16</v>
      </c>
      <c r="O11">
        <v>35.195399999999992</v>
      </c>
      <c r="Q11">
        <v>13824</v>
      </c>
      <c r="R11">
        <v>32</v>
      </c>
      <c r="S11">
        <v>1</v>
      </c>
      <c r="T11">
        <v>4</v>
      </c>
      <c r="U11">
        <v>8.0471600000000016</v>
      </c>
      <c r="W11">
        <v>13824</v>
      </c>
      <c r="X11">
        <v>32</v>
      </c>
      <c r="Y11">
        <v>1</v>
      </c>
      <c r="Z11">
        <v>4</v>
      </c>
      <c r="AA11">
        <v>9.6231600000000004</v>
      </c>
      <c r="AC11">
        <v>27520</v>
      </c>
      <c r="AD11">
        <v>32</v>
      </c>
      <c r="AE11">
        <v>2</v>
      </c>
      <c r="AF11">
        <v>8</v>
      </c>
      <c r="AG11">
        <v>33.022399999999998</v>
      </c>
      <c r="AI11">
        <v>27520</v>
      </c>
      <c r="AJ11">
        <v>32</v>
      </c>
      <c r="AK11">
        <v>2</v>
      </c>
      <c r="AL11">
        <v>8</v>
      </c>
      <c r="AM11">
        <v>38.009399999999992</v>
      </c>
      <c r="AO11">
        <v>13824</v>
      </c>
      <c r="AP11">
        <v>32</v>
      </c>
      <c r="AQ11">
        <v>2</v>
      </c>
      <c r="AR11">
        <v>2</v>
      </c>
      <c r="AS11">
        <v>8.9078799999999987</v>
      </c>
      <c r="AU11">
        <v>13824</v>
      </c>
      <c r="AV11">
        <v>32</v>
      </c>
      <c r="AW11">
        <v>1</v>
      </c>
      <c r="AX11">
        <v>4</v>
      </c>
      <c r="AY11">
        <v>9.6231600000000004</v>
      </c>
      <c r="BA11" t="s">
        <v>355</v>
      </c>
      <c r="BB11">
        <v>32</v>
      </c>
      <c r="BC11">
        <f t="shared" si="0"/>
        <v>3.7070997813172162</v>
      </c>
      <c r="BE11">
        <f t="shared" si="1"/>
        <v>3.9497836469517278</v>
      </c>
    </row>
    <row r="12" spans="5:57" x14ac:dyDescent="0.25">
      <c r="E12">
        <v>27520</v>
      </c>
      <c r="F12">
        <v>64</v>
      </c>
      <c r="G12">
        <v>1</v>
      </c>
      <c r="H12">
        <v>16</v>
      </c>
      <c r="I12">
        <v>35.373000000000005</v>
      </c>
      <c r="K12">
        <v>27520</v>
      </c>
      <c r="L12">
        <v>64</v>
      </c>
      <c r="M12">
        <v>1</v>
      </c>
      <c r="N12">
        <v>16</v>
      </c>
      <c r="O12">
        <v>38.660800000000002</v>
      </c>
      <c r="Q12">
        <v>13824</v>
      </c>
      <c r="R12">
        <v>64</v>
      </c>
      <c r="S12">
        <v>1</v>
      </c>
      <c r="T12">
        <v>4</v>
      </c>
      <c r="U12">
        <v>9.0016999999999996</v>
      </c>
      <c r="W12">
        <v>13824</v>
      </c>
      <c r="X12">
        <v>64</v>
      </c>
      <c r="Y12">
        <v>1</v>
      </c>
      <c r="Z12">
        <v>4</v>
      </c>
      <c r="AA12">
        <v>10.5632</v>
      </c>
      <c r="AC12">
        <v>27520</v>
      </c>
      <c r="AD12">
        <v>64</v>
      </c>
      <c r="AE12">
        <v>2</v>
      </c>
      <c r="AF12">
        <v>8</v>
      </c>
      <c r="AG12">
        <v>36.685199999999995</v>
      </c>
      <c r="AI12">
        <v>27520</v>
      </c>
      <c r="AJ12">
        <v>64</v>
      </c>
      <c r="AK12">
        <v>2</v>
      </c>
      <c r="AL12">
        <v>8</v>
      </c>
      <c r="AM12">
        <v>40.432600000000001</v>
      </c>
      <c r="AO12">
        <v>13824</v>
      </c>
      <c r="AP12">
        <v>64</v>
      </c>
      <c r="AQ12">
        <v>2</v>
      </c>
      <c r="AR12">
        <v>2</v>
      </c>
      <c r="AS12">
        <v>9.8649400000000007</v>
      </c>
      <c r="AU12">
        <v>13824</v>
      </c>
      <c r="AV12">
        <v>64</v>
      </c>
      <c r="AW12">
        <v>1</v>
      </c>
      <c r="AX12">
        <v>4</v>
      </c>
      <c r="AY12">
        <v>10.5632</v>
      </c>
      <c r="BA12" t="s">
        <v>355</v>
      </c>
      <c r="BB12">
        <v>64</v>
      </c>
      <c r="BC12">
        <f t="shared" si="0"/>
        <v>3.7187453750352248</v>
      </c>
      <c r="BE12">
        <f t="shared" si="1"/>
        <v>3.8276847924871253</v>
      </c>
    </row>
    <row r="13" spans="5:57" x14ac:dyDescent="0.25">
      <c r="E13">
        <v>27520</v>
      </c>
      <c r="F13">
        <v>96</v>
      </c>
      <c r="G13">
        <v>1</v>
      </c>
      <c r="H13">
        <v>16</v>
      </c>
      <c r="I13">
        <v>35.4024</v>
      </c>
      <c r="K13">
        <v>27520</v>
      </c>
      <c r="L13">
        <v>96</v>
      </c>
      <c r="M13">
        <v>1</v>
      </c>
      <c r="N13">
        <v>16</v>
      </c>
      <c r="O13">
        <v>39.487200000000009</v>
      </c>
      <c r="Q13">
        <v>13824</v>
      </c>
      <c r="R13">
        <v>96</v>
      </c>
      <c r="S13">
        <v>1</v>
      </c>
      <c r="T13">
        <v>4</v>
      </c>
      <c r="U13">
        <v>8.9986999999999995</v>
      </c>
      <c r="W13">
        <v>13824</v>
      </c>
      <c r="X13">
        <v>96</v>
      </c>
      <c r="Y13">
        <v>1</v>
      </c>
      <c r="Z13">
        <v>4</v>
      </c>
      <c r="AA13">
        <v>11.148399999999999</v>
      </c>
      <c r="AC13">
        <v>27520</v>
      </c>
      <c r="AD13">
        <v>96</v>
      </c>
      <c r="AE13">
        <v>2</v>
      </c>
      <c r="AF13">
        <v>8</v>
      </c>
      <c r="AG13">
        <v>36.483199999999997</v>
      </c>
      <c r="AI13">
        <v>27520</v>
      </c>
      <c r="AJ13">
        <v>96</v>
      </c>
      <c r="AK13">
        <v>2</v>
      </c>
      <c r="AL13">
        <v>8</v>
      </c>
      <c r="AM13">
        <v>41.1066</v>
      </c>
      <c r="AO13">
        <v>13824</v>
      </c>
      <c r="AP13">
        <v>96</v>
      </c>
      <c r="AQ13">
        <v>2</v>
      </c>
      <c r="AR13">
        <v>2</v>
      </c>
      <c r="AS13">
        <v>10.0684</v>
      </c>
      <c r="AU13">
        <v>13824</v>
      </c>
      <c r="AV13">
        <v>96</v>
      </c>
      <c r="AW13">
        <v>1</v>
      </c>
      <c r="AX13">
        <v>4</v>
      </c>
      <c r="AY13">
        <v>11.148399999999999</v>
      </c>
      <c r="BA13" t="s">
        <v>355</v>
      </c>
      <c r="BB13">
        <v>96</v>
      </c>
      <c r="BC13">
        <f t="shared" si="0"/>
        <v>3.6235350204600527</v>
      </c>
      <c r="BE13">
        <f t="shared" si="1"/>
        <v>3.6872196907179511</v>
      </c>
    </row>
    <row r="14" spans="5:57" x14ac:dyDescent="0.25">
      <c r="E14">
        <v>27520</v>
      </c>
      <c r="F14">
        <v>128</v>
      </c>
      <c r="G14">
        <v>1</v>
      </c>
      <c r="H14">
        <v>16</v>
      </c>
      <c r="I14">
        <v>35.435600000000001</v>
      </c>
      <c r="K14">
        <v>27520</v>
      </c>
      <c r="L14">
        <v>128</v>
      </c>
      <c r="M14">
        <v>1</v>
      </c>
      <c r="N14">
        <v>16</v>
      </c>
      <c r="O14">
        <v>38.000799999999998</v>
      </c>
      <c r="Q14">
        <v>13824</v>
      </c>
      <c r="R14">
        <v>128</v>
      </c>
      <c r="S14">
        <v>1</v>
      </c>
      <c r="T14">
        <v>4</v>
      </c>
      <c r="U14">
        <v>9.2961600000000004</v>
      </c>
      <c r="W14">
        <v>13824</v>
      </c>
      <c r="X14">
        <v>128</v>
      </c>
      <c r="Y14">
        <v>1</v>
      </c>
      <c r="Z14">
        <v>4</v>
      </c>
      <c r="AA14">
        <v>10.539</v>
      </c>
      <c r="AC14">
        <v>27520</v>
      </c>
      <c r="AD14">
        <v>128</v>
      </c>
      <c r="AE14">
        <v>2</v>
      </c>
      <c r="AF14">
        <v>8</v>
      </c>
      <c r="AG14">
        <v>33.743200000000002</v>
      </c>
      <c r="AI14">
        <v>27520</v>
      </c>
      <c r="AJ14">
        <v>128</v>
      </c>
      <c r="AK14">
        <v>2</v>
      </c>
      <c r="AL14">
        <v>8</v>
      </c>
      <c r="AM14">
        <v>37.581400000000002</v>
      </c>
      <c r="AO14">
        <v>13824</v>
      </c>
      <c r="AP14">
        <v>128</v>
      </c>
      <c r="AQ14">
        <v>2</v>
      </c>
      <c r="AR14">
        <v>2</v>
      </c>
      <c r="AS14">
        <v>10.2494</v>
      </c>
      <c r="AU14">
        <v>13824</v>
      </c>
      <c r="AV14">
        <v>128</v>
      </c>
      <c r="AW14">
        <v>1</v>
      </c>
      <c r="AX14">
        <v>4</v>
      </c>
      <c r="AY14">
        <v>10.539</v>
      </c>
      <c r="BA14" t="s">
        <v>355</v>
      </c>
      <c r="BB14">
        <v>128</v>
      </c>
      <c r="BC14">
        <f t="shared" si="0"/>
        <v>3.2922122270571941</v>
      </c>
      <c r="BE14">
        <f t="shared" si="1"/>
        <v>3.565936047063289</v>
      </c>
    </row>
    <row r="15" spans="5:57" x14ac:dyDescent="0.25">
      <c r="E15">
        <v>27520</v>
      </c>
      <c r="F15">
        <v>160</v>
      </c>
      <c r="G15">
        <v>1</v>
      </c>
      <c r="H15">
        <v>16</v>
      </c>
      <c r="I15">
        <v>35.952199999999998</v>
      </c>
      <c r="K15">
        <v>27520</v>
      </c>
      <c r="L15">
        <v>160</v>
      </c>
      <c r="M15">
        <v>1</v>
      </c>
      <c r="N15">
        <v>16</v>
      </c>
      <c r="O15">
        <v>38.057200000000002</v>
      </c>
      <c r="Q15">
        <v>13824</v>
      </c>
      <c r="R15">
        <v>160</v>
      </c>
      <c r="S15">
        <v>1</v>
      </c>
      <c r="T15">
        <v>4</v>
      </c>
      <c r="U15">
        <v>10.6022</v>
      </c>
      <c r="W15">
        <v>13824</v>
      </c>
      <c r="X15">
        <v>160</v>
      </c>
      <c r="Y15">
        <v>1</v>
      </c>
      <c r="Z15">
        <v>4</v>
      </c>
      <c r="AA15">
        <v>11.273599999999998</v>
      </c>
      <c r="AC15">
        <v>27520</v>
      </c>
      <c r="AD15">
        <v>160</v>
      </c>
      <c r="AE15">
        <v>2</v>
      </c>
      <c r="AF15">
        <v>8</v>
      </c>
      <c r="AG15">
        <v>37.914200000000001</v>
      </c>
      <c r="AI15">
        <v>27520</v>
      </c>
      <c r="AJ15">
        <v>160</v>
      </c>
      <c r="AK15">
        <v>2</v>
      </c>
      <c r="AL15">
        <v>8</v>
      </c>
      <c r="AM15">
        <v>40.192600000000006</v>
      </c>
      <c r="AO15">
        <v>13824</v>
      </c>
      <c r="AP15">
        <v>160</v>
      </c>
      <c r="AQ15">
        <v>2</v>
      </c>
      <c r="AR15">
        <v>2</v>
      </c>
      <c r="AS15">
        <v>10.719999999999999</v>
      </c>
      <c r="AU15">
        <v>13824</v>
      </c>
      <c r="AV15">
        <v>160</v>
      </c>
      <c r="AW15">
        <v>1</v>
      </c>
      <c r="AX15">
        <v>4</v>
      </c>
      <c r="AY15">
        <v>11.273599999999998</v>
      </c>
      <c r="BA15" t="s">
        <v>355</v>
      </c>
      <c r="BB15">
        <v>160</v>
      </c>
      <c r="BC15">
        <f t="shared" si="0"/>
        <v>3.5367723880597022</v>
      </c>
      <c r="BE15">
        <f t="shared" si="1"/>
        <v>3.5651965654271938</v>
      </c>
    </row>
    <row r="16" spans="5:57" x14ac:dyDescent="0.25">
      <c r="E16">
        <v>27520</v>
      </c>
      <c r="F16">
        <v>192</v>
      </c>
      <c r="G16">
        <v>1</v>
      </c>
      <c r="H16">
        <v>16</v>
      </c>
      <c r="I16">
        <v>35.317600000000006</v>
      </c>
      <c r="K16">
        <v>27520</v>
      </c>
      <c r="L16">
        <v>192</v>
      </c>
      <c r="M16">
        <v>1</v>
      </c>
      <c r="N16">
        <v>16</v>
      </c>
      <c r="O16">
        <v>38.046599999999998</v>
      </c>
      <c r="Q16">
        <v>13824</v>
      </c>
      <c r="R16">
        <v>192</v>
      </c>
      <c r="S16">
        <v>1</v>
      </c>
      <c r="T16">
        <v>4</v>
      </c>
      <c r="U16">
        <v>9.5838600000000014</v>
      </c>
      <c r="W16">
        <v>13824</v>
      </c>
      <c r="X16">
        <v>192</v>
      </c>
      <c r="Y16">
        <v>1</v>
      </c>
      <c r="Z16">
        <v>4</v>
      </c>
      <c r="AA16">
        <v>10.939</v>
      </c>
      <c r="AC16">
        <v>27520</v>
      </c>
      <c r="AD16">
        <v>192</v>
      </c>
      <c r="AE16">
        <v>2</v>
      </c>
      <c r="AF16">
        <v>8</v>
      </c>
      <c r="AG16">
        <v>34.624399999999994</v>
      </c>
      <c r="AI16">
        <v>27520</v>
      </c>
      <c r="AJ16">
        <v>192</v>
      </c>
      <c r="AK16">
        <v>2</v>
      </c>
      <c r="AL16">
        <v>8</v>
      </c>
      <c r="AM16">
        <v>39.0212</v>
      </c>
      <c r="AO16">
        <v>13824</v>
      </c>
      <c r="AP16">
        <v>192</v>
      </c>
      <c r="AQ16">
        <v>2</v>
      </c>
      <c r="AR16">
        <v>2</v>
      </c>
      <c r="AS16">
        <v>10.400600000000001</v>
      </c>
      <c r="AU16">
        <v>13824</v>
      </c>
      <c r="AV16">
        <v>192</v>
      </c>
      <c r="AW16">
        <v>1</v>
      </c>
      <c r="AX16">
        <v>4</v>
      </c>
      <c r="AY16">
        <v>10.939</v>
      </c>
      <c r="BA16" t="s">
        <v>355</v>
      </c>
      <c r="BB16">
        <v>192</v>
      </c>
      <c r="BC16">
        <f t="shared" si="0"/>
        <v>3.3290771686248863</v>
      </c>
      <c r="BE16">
        <f t="shared" si="1"/>
        <v>3.5671633604534234</v>
      </c>
    </row>
    <row r="17" spans="5:57" x14ac:dyDescent="0.25">
      <c r="E17">
        <v>27520</v>
      </c>
      <c r="F17">
        <v>224</v>
      </c>
      <c r="G17">
        <v>1</v>
      </c>
      <c r="H17">
        <v>16</v>
      </c>
      <c r="I17">
        <v>34.618600000000001</v>
      </c>
      <c r="K17">
        <v>27520</v>
      </c>
      <c r="L17">
        <v>224</v>
      </c>
      <c r="M17">
        <v>1</v>
      </c>
      <c r="N17">
        <v>16</v>
      </c>
      <c r="O17">
        <v>37.409599999999998</v>
      </c>
      <c r="Q17">
        <v>13824</v>
      </c>
      <c r="R17">
        <v>224</v>
      </c>
      <c r="S17">
        <v>1</v>
      </c>
      <c r="T17">
        <v>4</v>
      </c>
      <c r="U17">
        <v>10.4962</v>
      </c>
      <c r="W17">
        <v>13824</v>
      </c>
      <c r="X17">
        <v>224</v>
      </c>
      <c r="Y17">
        <v>1</v>
      </c>
      <c r="Z17">
        <v>4</v>
      </c>
      <c r="AA17">
        <v>11.239999999999998</v>
      </c>
      <c r="AC17">
        <v>27520</v>
      </c>
      <c r="AD17">
        <v>224</v>
      </c>
      <c r="AE17">
        <v>2</v>
      </c>
      <c r="AF17">
        <v>8</v>
      </c>
      <c r="AG17">
        <v>37.436599999999999</v>
      </c>
      <c r="AI17">
        <v>27520</v>
      </c>
      <c r="AJ17">
        <v>224</v>
      </c>
      <c r="AK17">
        <v>2</v>
      </c>
      <c r="AL17">
        <v>8</v>
      </c>
      <c r="AM17">
        <v>39.929000000000002</v>
      </c>
      <c r="AO17">
        <v>13824</v>
      </c>
      <c r="AP17">
        <v>224</v>
      </c>
      <c r="AQ17">
        <v>2</v>
      </c>
      <c r="AR17">
        <v>2</v>
      </c>
      <c r="AS17">
        <v>10.655800000000001</v>
      </c>
      <c r="AU17">
        <v>13824</v>
      </c>
      <c r="AV17">
        <v>224</v>
      </c>
      <c r="AW17">
        <v>1</v>
      </c>
      <c r="AX17">
        <v>4</v>
      </c>
      <c r="AY17">
        <v>11.239999999999998</v>
      </c>
      <c r="BA17" t="s">
        <v>355</v>
      </c>
      <c r="BB17">
        <v>224</v>
      </c>
      <c r="BC17">
        <f t="shared" si="0"/>
        <v>3.513260384016216</v>
      </c>
      <c r="BE17">
        <f t="shared" si="1"/>
        <v>3.5524021352313175</v>
      </c>
    </row>
    <row r="18" spans="5:57" x14ac:dyDescent="0.25">
      <c r="E18">
        <v>27520</v>
      </c>
      <c r="F18">
        <v>256</v>
      </c>
      <c r="G18">
        <v>1</v>
      </c>
      <c r="H18">
        <v>16</v>
      </c>
      <c r="I18">
        <v>33.837600000000002</v>
      </c>
      <c r="K18">
        <v>27520</v>
      </c>
      <c r="L18">
        <v>256</v>
      </c>
      <c r="M18">
        <v>1</v>
      </c>
      <c r="N18">
        <v>16</v>
      </c>
      <c r="O18">
        <v>36.136600000000001</v>
      </c>
      <c r="Q18">
        <v>13824</v>
      </c>
      <c r="R18">
        <v>256</v>
      </c>
      <c r="S18">
        <v>1</v>
      </c>
      <c r="T18">
        <v>4</v>
      </c>
      <c r="U18">
        <v>9.44754</v>
      </c>
      <c r="W18">
        <v>13824</v>
      </c>
      <c r="X18">
        <v>256</v>
      </c>
      <c r="Y18">
        <v>1</v>
      </c>
      <c r="Z18">
        <v>4</v>
      </c>
      <c r="AA18">
        <v>10.442200000000001</v>
      </c>
      <c r="AC18">
        <v>27520</v>
      </c>
      <c r="AD18">
        <v>256</v>
      </c>
      <c r="AE18">
        <v>2</v>
      </c>
      <c r="AF18">
        <v>8</v>
      </c>
      <c r="AG18">
        <v>33.903399999999998</v>
      </c>
      <c r="AI18">
        <v>27520</v>
      </c>
      <c r="AJ18">
        <v>256</v>
      </c>
      <c r="AK18">
        <v>2</v>
      </c>
      <c r="AL18">
        <v>8</v>
      </c>
      <c r="AM18">
        <v>37.276400000000002</v>
      </c>
      <c r="AO18">
        <v>13824</v>
      </c>
      <c r="AP18">
        <v>256</v>
      </c>
      <c r="AQ18">
        <v>2</v>
      </c>
      <c r="AR18">
        <v>2</v>
      </c>
      <c r="AS18">
        <v>10.335599999999999</v>
      </c>
      <c r="AU18">
        <v>13824</v>
      </c>
      <c r="AV18">
        <v>256</v>
      </c>
      <c r="AW18">
        <v>1</v>
      </c>
      <c r="AX18">
        <v>4</v>
      </c>
      <c r="AY18">
        <v>10.442200000000001</v>
      </c>
      <c r="BA18" t="s">
        <v>355</v>
      </c>
      <c r="BB18">
        <v>256</v>
      </c>
      <c r="BC18">
        <f t="shared" si="0"/>
        <v>3.2802546538178721</v>
      </c>
      <c r="BE18">
        <f t="shared" si="1"/>
        <v>3.5697841451035219</v>
      </c>
    </row>
    <row r="19" spans="5:57" x14ac:dyDescent="0.25">
      <c r="E19">
        <v>25984</v>
      </c>
      <c r="F19">
        <v>32</v>
      </c>
      <c r="G19">
        <v>1</v>
      </c>
      <c r="H19">
        <v>16</v>
      </c>
      <c r="I19">
        <v>31.496199999999998</v>
      </c>
      <c r="K19">
        <v>25984</v>
      </c>
      <c r="L19">
        <v>32</v>
      </c>
      <c r="M19">
        <v>1</v>
      </c>
      <c r="N19">
        <v>16</v>
      </c>
      <c r="O19">
        <v>35.1768</v>
      </c>
      <c r="Q19">
        <v>13056</v>
      </c>
      <c r="R19">
        <v>32</v>
      </c>
      <c r="S19">
        <v>1</v>
      </c>
      <c r="T19">
        <v>4</v>
      </c>
      <c r="U19">
        <v>8.9505400000000002</v>
      </c>
      <c r="W19">
        <v>13056</v>
      </c>
      <c r="X19">
        <v>32</v>
      </c>
      <c r="Y19">
        <v>1</v>
      </c>
      <c r="Z19">
        <v>4</v>
      </c>
      <c r="AA19">
        <v>10.349599999999999</v>
      </c>
      <c r="AC19">
        <v>25984</v>
      </c>
      <c r="AD19">
        <v>32</v>
      </c>
      <c r="AE19">
        <v>2</v>
      </c>
      <c r="AF19">
        <v>8</v>
      </c>
      <c r="AG19">
        <v>32.702399999999997</v>
      </c>
      <c r="AI19">
        <v>25984</v>
      </c>
      <c r="AJ19">
        <v>32</v>
      </c>
      <c r="AK19">
        <v>2</v>
      </c>
      <c r="AL19">
        <v>8</v>
      </c>
      <c r="AM19">
        <v>37.555599999999998</v>
      </c>
      <c r="AO19">
        <v>13056</v>
      </c>
      <c r="AP19">
        <v>32</v>
      </c>
      <c r="AQ19">
        <v>2</v>
      </c>
      <c r="AR19">
        <v>2</v>
      </c>
      <c r="AS19">
        <v>8.9427199999999996</v>
      </c>
      <c r="AU19">
        <v>13056</v>
      </c>
      <c r="AV19">
        <v>32</v>
      </c>
      <c r="AW19">
        <v>1</v>
      </c>
      <c r="AX19">
        <v>4</v>
      </c>
      <c r="AY19">
        <v>10.349599999999999</v>
      </c>
      <c r="BA19" t="s">
        <v>356</v>
      </c>
      <c r="BB19">
        <v>32</v>
      </c>
      <c r="BC19">
        <f t="shared" si="0"/>
        <v>3.6568739712302296</v>
      </c>
      <c r="BE19">
        <f t="shared" si="1"/>
        <v>3.6287006261111543</v>
      </c>
    </row>
    <row r="20" spans="5:57" x14ac:dyDescent="0.25">
      <c r="E20">
        <v>25984</v>
      </c>
      <c r="F20">
        <v>64</v>
      </c>
      <c r="G20">
        <v>1</v>
      </c>
      <c r="H20">
        <v>16</v>
      </c>
      <c r="I20">
        <v>35.1798</v>
      </c>
      <c r="K20">
        <v>25984</v>
      </c>
      <c r="L20">
        <v>64</v>
      </c>
      <c r="M20">
        <v>1</v>
      </c>
      <c r="N20">
        <v>16</v>
      </c>
      <c r="O20">
        <v>38.332399999999993</v>
      </c>
      <c r="Q20">
        <v>13056</v>
      </c>
      <c r="R20">
        <v>64</v>
      </c>
      <c r="S20">
        <v>1</v>
      </c>
      <c r="T20">
        <v>4</v>
      </c>
      <c r="U20">
        <v>9.965819999999999</v>
      </c>
      <c r="W20">
        <v>13056</v>
      </c>
      <c r="X20">
        <v>64</v>
      </c>
      <c r="Y20">
        <v>1</v>
      </c>
      <c r="Z20">
        <v>4</v>
      </c>
      <c r="AA20">
        <v>11.176399999999997</v>
      </c>
      <c r="AC20">
        <v>25984</v>
      </c>
      <c r="AD20">
        <v>64</v>
      </c>
      <c r="AE20">
        <v>2</v>
      </c>
      <c r="AF20">
        <v>8</v>
      </c>
      <c r="AG20">
        <v>36.197400000000002</v>
      </c>
      <c r="AI20">
        <v>25984</v>
      </c>
      <c r="AJ20">
        <v>64</v>
      </c>
      <c r="AK20">
        <v>2</v>
      </c>
      <c r="AL20">
        <v>8</v>
      </c>
      <c r="AM20">
        <v>40.001200000000004</v>
      </c>
      <c r="AO20">
        <v>13056</v>
      </c>
      <c r="AP20">
        <v>64</v>
      </c>
      <c r="AQ20">
        <v>2</v>
      </c>
      <c r="AR20">
        <v>2</v>
      </c>
      <c r="AS20">
        <v>10.0122</v>
      </c>
      <c r="AU20">
        <v>13056</v>
      </c>
      <c r="AV20">
        <v>64</v>
      </c>
      <c r="AW20">
        <v>1</v>
      </c>
      <c r="AX20">
        <v>4</v>
      </c>
      <c r="AY20">
        <v>11.176399999999997</v>
      </c>
      <c r="BA20" t="s">
        <v>356</v>
      </c>
      <c r="BB20">
        <v>64</v>
      </c>
      <c r="BC20">
        <f t="shared" si="0"/>
        <v>3.6153292982561278</v>
      </c>
      <c r="BE20">
        <f t="shared" si="1"/>
        <v>3.5790773415411055</v>
      </c>
    </row>
    <row r="21" spans="5:57" x14ac:dyDescent="0.25">
      <c r="E21">
        <v>25984</v>
      </c>
      <c r="F21">
        <v>96</v>
      </c>
      <c r="G21">
        <v>1</v>
      </c>
      <c r="H21">
        <v>16</v>
      </c>
      <c r="I21">
        <v>35.097200000000001</v>
      </c>
      <c r="K21">
        <v>25984</v>
      </c>
      <c r="L21">
        <v>96</v>
      </c>
      <c r="M21">
        <v>1</v>
      </c>
      <c r="N21">
        <v>16</v>
      </c>
      <c r="O21">
        <v>39.0852</v>
      </c>
      <c r="Q21">
        <v>13056</v>
      </c>
      <c r="R21">
        <v>96</v>
      </c>
      <c r="S21">
        <v>1</v>
      </c>
      <c r="T21">
        <v>4</v>
      </c>
      <c r="U21">
        <v>9.9669200000000018</v>
      </c>
      <c r="W21">
        <v>13056</v>
      </c>
      <c r="X21">
        <v>96</v>
      </c>
      <c r="Y21">
        <v>1</v>
      </c>
      <c r="Z21">
        <v>4</v>
      </c>
      <c r="AA21">
        <v>11.409600000000001</v>
      </c>
      <c r="AC21">
        <v>25984</v>
      </c>
      <c r="AD21">
        <v>96</v>
      </c>
      <c r="AE21">
        <v>2</v>
      </c>
      <c r="AF21">
        <v>8</v>
      </c>
      <c r="AG21">
        <v>36.030000000000008</v>
      </c>
      <c r="AI21">
        <v>25984</v>
      </c>
      <c r="AJ21">
        <v>96</v>
      </c>
      <c r="AK21">
        <v>2</v>
      </c>
      <c r="AL21">
        <v>8</v>
      </c>
      <c r="AM21">
        <v>40.582799999999999</v>
      </c>
      <c r="AO21">
        <v>13056</v>
      </c>
      <c r="AP21">
        <v>96</v>
      </c>
      <c r="AQ21">
        <v>2</v>
      </c>
      <c r="AR21">
        <v>2</v>
      </c>
      <c r="AS21">
        <v>10.223800000000001</v>
      </c>
      <c r="AU21">
        <v>13056</v>
      </c>
      <c r="AV21">
        <v>96</v>
      </c>
      <c r="AW21">
        <v>1</v>
      </c>
      <c r="AX21">
        <v>4</v>
      </c>
      <c r="AY21">
        <v>11.409600000000001</v>
      </c>
      <c r="BA21" t="s">
        <v>356</v>
      </c>
      <c r="BB21">
        <v>96</v>
      </c>
      <c r="BC21">
        <f t="shared" si="0"/>
        <v>3.5241299712435694</v>
      </c>
      <c r="BE21">
        <f t="shared" si="1"/>
        <v>3.5568994530921323</v>
      </c>
    </row>
    <row r="22" spans="5:57" x14ac:dyDescent="0.25">
      <c r="E22">
        <v>25984</v>
      </c>
      <c r="F22">
        <v>128</v>
      </c>
      <c r="G22">
        <v>1</v>
      </c>
      <c r="H22">
        <v>16</v>
      </c>
      <c r="I22">
        <v>35.141599999999997</v>
      </c>
      <c r="K22">
        <v>25984</v>
      </c>
      <c r="L22">
        <v>128</v>
      </c>
      <c r="M22">
        <v>1</v>
      </c>
      <c r="N22">
        <v>16</v>
      </c>
      <c r="O22">
        <v>37.570799999999998</v>
      </c>
      <c r="Q22">
        <v>13056</v>
      </c>
      <c r="R22">
        <v>128</v>
      </c>
      <c r="S22">
        <v>1</v>
      </c>
      <c r="T22">
        <v>4</v>
      </c>
      <c r="U22">
        <v>10.1876</v>
      </c>
      <c r="W22">
        <v>13056</v>
      </c>
      <c r="X22">
        <v>128</v>
      </c>
      <c r="Y22">
        <v>1</v>
      </c>
      <c r="Z22">
        <v>4</v>
      </c>
      <c r="AA22">
        <v>11.110000000000001</v>
      </c>
      <c r="AC22">
        <v>25984</v>
      </c>
      <c r="AD22">
        <v>128</v>
      </c>
      <c r="AE22">
        <v>2</v>
      </c>
      <c r="AF22">
        <v>8</v>
      </c>
      <c r="AG22">
        <v>36.302800000000005</v>
      </c>
      <c r="AI22">
        <v>25984</v>
      </c>
      <c r="AJ22">
        <v>128</v>
      </c>
      <c r="AK22">
        <v>2</v>
      </c>
      <c r="AL22">
        <v>8</v>
      </c>
      <c r="AM22">
        <v>39.381399999999999</v>
      </c>
      <c r="AO22">
        <v>13056</v>
      </c>
      <c r="AP22">
        <v>128</v>
      </c>
      <c r="AQ22">
        <v>2</v>
      </c>
      <c r="AR22">
        <v>2</v>
      </c>
      <c r="AS22">
        <v>10.4034</v>
      </c>
      <c r="AU22">
        <v>13056</v>
      </c>
      <c r="AV22">
        <v>128</v>
      </c>
      <c r="AW22">
        <v>1</v>
      </c>
      <c r="AX22">
        <v>4</v>
      </c>
      <c r="AY22">
        <v>11.110000000000001</v>
      </c>
      <c r="BA22" t="s">
        <v>356</v>
      </c>
      <c r="BB22">
        <v>128</v>
      </c>
      <c r="BC22">
        <f t="shared" si="0"/>
        <v>3.4895130438126003</v>
      </c>
      <c r="BE22">
        <f t="shared" si="1"/>
        <v>3.544680468046804</v>
      </c>
    </row>
    <row r="23" spans="5:57" x14ac:dyDescent="0.25">
      <c r="E23">
        <v>25984</v>
      </c>
      <c r="F23">
        <v>160</v>
      </c>
      <c r="G23">
        <v>1</v>
      </c>
      <c r="H23">
        <v>16</v>
      </c>
      <c r="I23">
        <v>35.673799999999993</v>
      </c>
      <c r="K23">
        <v>25984</v>
      </c>
      <c r="L23">
        <v>160</v>
      </c>
      <c r="M23">
        <v>1</v>
      </c>
      <c r="N23">
        <v>16</v>
      </c>
      <c r="O23">
        <v>37.973799999999997</v>
      </c>
      <c r="Q23">
        <v>13056</v>
      </c>
      <c r="R23">
        <v>160</v>
      </c>
      <c r="S23">
        <v>1</v>
      </c>
      <c r="T23">
        <v>4</v>
      </c>
      <c r="U23">
        <v>10.572199999999999</v>
      </c>
      <c r="W23">
        <v>13056</v>
      </c>
      <c r="X23">
        <v>160</v>
      </c>
      <c r="Y23">
        <v>1</v>
      </c>
      <c r="Z23">
        <v>4</v>
      </c>
      <c r="AA23">
        <v>11.209600000000002</v>
      </c>
      <c r="AC23">
        <v>25984</v>
      </c>
      <c r="AD23">
        <v>160</v>
      </c>
      <c r="AE23">
        <v>2</v>
      </c>
      <c r="AF23">
        <v>8</v>
      </c>
      <c r="AG23">
        <v>37.4542</v>
      </c>
      <c r="AI23">
        <v>25984</v>
      </c>
      <c r="AJ23">
        <v>160</v>
      </c>
      <c r="AK23">
        <v>2</v>
      </c>
      <c r="AL23">
        <v>8</v>
      </c>
      <c r="AM23">
        <v>39.680999999999997</v>
      </c>
      <c r="AO23">
        <v>13056</v>
      </c>
      <c r="AP23">
        <v>160</v>
      </c>
      <c r="AQ23">
        <v>2</v>
      </c>
      <c r="AR23">
        <v>2</v>
      </c>
      <c r="AS23">
        <v>10.601800000000001</v>
      </c>
      <c r="AU23">
        <v>13056</v>
      </c>
      <c r="AV23">
        <v>160</v>
      </c>
      <c r="AW23">
        <v>1</v>
      </c>
      <c r="AX23">
        <v>4</v>
      </c>
      <c r="AY23">
        <v>11.209600000000002</v>
      </c>
      <c r="BA23" t="s">
        <v>356</v>
      </c>
      <c r="BB23">
        <v>160</v>
      </c>
      <c r="BC23">
        <f t="shared" si="0"/>
        <v>3.5328151823275289</v>
      </c>
      <c r="BE23">
        <f t="shared" si="1"/>
        <v>3.5399122180987717</v>
      </c>
    </row>
    <row r="24" spans="5:57" x14ac:dyDescent="0.25">
      <c r="E24">
        <v>25984</v>
      </c>
      <c r="F24">
        <v>192</v>
      </c>
      <c r="G24">
        <v>1</v>
      </c>
      <c r="H24">
        <v>16</v>
      </c>
      <c r="I24">
        <v>34.786000000000001</v>
      </c>
      <c r="K24">
        <v>25984</v>
      </c>
      <c r="L24">
        <v>192</v>
      </c>
      <c r="M24">
        <v>1</v>
      </c>
      <c r="N24">
        <v>16</v>
      </c>
      <c r="O24">
        <v>37.541200000000003</v>
      </c>
      <c r="Q24">
        <v>13056</v>
      </c>
      <c r="R24">
        <v>192</v>
      </c>
      <c r="S24">
        <v>1</v>
      </c>
      <c r="T24">
        <v>4</v>
      </c>
      <c r="U24">
        <v>10.377799999999999</v>
      </c>
      <c r="W24">
        <v>13056</v>
      </c>
      <c r="X24">
        <v>192</v>
      </c>
      <c r="Y24">
        <v>1</v>
      </c>
      <c r="Z24">
        <v>4</v>
      </c>
      <c r="AA24">
        <v>11.199</v>
      </c>
      <c r="AC24">
        <v>25984</v>
      </c>
      <c r="AD24">
        <v>192</v>
      </c>
      <c r="AE24">
        <v>2</v>
      </c>
      <c r="AF24">
        <v>8</v>
      </c>
      <c r="AG24">
        <v>36.812799999999996</v>
      </c>
      <c r="AI24">
        <v>25984</v>
      </c>
      <c r="AJ24">
        <v>192</v>
      </c>
      <c r="AK24">
        <v>2</v>
      </c>
      <c r="AL24">
        <v>8</v>
      </c>
      <c r="AM24">
        <v>39.582199999999993</v>
      </c>
      <c r="AO24">
        <v>13056</v>
      </c>
      <c r="AP24">
        <v>192</v>
      </c>
      <c r="AQ24">
        <v>2</v>
      </c>
      <c r="AR24">
        <v>2</v>
      </c>
      <c r="AS24">
        <v>10.526199999999999</v>
      </c>
      <c r="AU24">
        <v>13056</v>
      </c>
      <c r="AV24">
        <v>192</v>
      </c>
      <c r="AW24">
        <v>1</v>
      </c>
      <c r="AX24">
        <v>4</v>
      </c>
      <c r="AY24">
        <v>11.199</v>
      </c>
      <c r="BA24" t="s">
        <v>356</v>
      </c>
      <c r="BB24">
        <v>192</v>
      </c>
      <c r="BC24">
        <f t="shared" si="0"/>
        <v>3.4972544697991674</v>
      </c>
      <c r="BE24">
        <f t="shared" si="1"/>
        <v>3.5344405750513435</v>
      </c>
    </row>
    <row r="25" spans="5:57" x14ac:dyDescent="0.25">
      <c r="E25">
        <v>25984</v>
      </c>
      <c r="F25">
        <v>224</v>
      </c>
      <c r="G25">
        <v>1</v>
      </c>
      <c r="H25">
        <v>16</v>
      </c>
      <c r="I25">
        <v>34.191200000000002</v>
      </c>
      <c r="K25">
        <v>25984</v>
      </c>
      <c r="L25">
        <v>224</v>
      </c>
      <c r="M25">
        <v>1</v>
      </c>
      <c r="N25">
        <v>16</v>
      </c>
      <c r="O25">
        <v>37.069200000000002</v>
      </c>
      <c r="Q25">
        <v>13056</v>
      </c>
      <c r="R25">
        <v>224</v>
      </c>
      <c r="S25">
        <v>1</v>
      </c>
      <c r="T25">
        <v>4</v>
      </c>
      <c r="U25">
        <v>10.417400000000001</v>
      </c>
      <c r="W25">
        <v>13056</v>
      </c>
      <c r="X25">
        <v>224</v>
      </c>
      <c r="Y25">
        <v>1</v>
      </c>
      <c r="Z25">
        <v>4</v>
      </c>
      <c r="AA25">
        <v>11.167199999999999</v>
      </c>
      <c r="AC25">
        <v>25984</v>
      </c>
      <c r="AD25">
        <v>224</v>
      </c>
      <c r="AE25">
        <v>2</v>
      </c>
      <c r="AF25">
        <v>8</v>
      </c>
      <c r="AG25">
        <v>36.952200000000005</v>
      </c>
      <c r="AI25">
        <v>25984</v>
      </c>
      <c r="AJ25">
        <v>224</v>
      </c>
      <c r="AK25">
        <v>2</v>
      </c>
      <c r="AL25">
        <v>8</v>
      </c>
      <c r="AM25">
        <v>39.388000000000005</v>
      </c>
      <c r="AO25">
        <v>13056</v>
      </c>
      <c r="AP25">
        <v>224</v>
      </c>
      <c r="AQ25">
        <v>2</v>
      </c>
      <c r="AR25">
        <v>2</v>
      </c>
      <c r="AS25">
        <v>10.5868</v>
      </c>
      <c r="AU25">
        <v>13056</v>
      </c>
      <c r="AV25">
        <v>224</v>
      </c>
      <c r="AW25">
        <v>1</v>
      </c>
      <c r="AX25">
        <v>4</v>
      </c>
      <c r="AY25">
        <v>11.167199999999999</v>
      </c>
      <c r="BA25" t="s">
        <v>356</v>
      </c>
      <c r="BB25">
        <v>224</v>
      </c>
      <c r="BC25">
        <f t="shared" si="0"/>
        <v>3.4904031435372356</v>
      </c>
      <c r="BE25">
        <f t="shared" si="1"/>
        <v>3.5271151228598043</v>
      </c>
    </row>
    <row r="26" spans="5:57" x14ac:dyDescent="0.25">
      <c r="E26">
        <v>25984</v>
      </c>
      <c r="F26">
        <v>256</v>
      </c>
      <c r="G26">
        <v>1</v>
      </c>
      <c r="H26">
        <v>16</v>
      </c>
      <c r="I26">
        <v>33.069600000000001</v>
      </c>
      <c r="K26">
        <v>25984</v>
      </c>
      <c r="L26">
        <v>256</v>
      </c>
      <c r="M26">
        <v>1</v>
      </c>
      <c r="N26">
        <v>16</v>
      </c>
      <c r="O26">
        <v>35.463800000000006</v>
      </c>
      <c r="Q26">
        <v>13056</v>
      </c>
      <c r="R26">
        <v>256</v>
      </c>
      <c r="S26">
        <v>1</v>
      </c>
      <c r="T26">
        <v>4</v>
      </c>
      <c r="U26">
        <v>10.209</v>
      </c>
      <c r="W26">
        <v>13056</v>
      </c>
      <c r="X26">
        <v>256</v>
      </c>
      <c r="Y26">
        <v>1</v>
      </c>
      <c r="Z26">
        <v>4</v>
      </c>
      <c r="AA26">
        <v>10.803599999999999</v>
      </c>
      <c r="AC26">
        <v>25984</v>
      </c>
      <c r="AD26">
        <v>256</v>
      </c>
      <c r="AE26">
        <v>2</v>
      </c>
      <c r="AF26">
        <v>8</v>
      </c>
      <c r="AG26">
        <v>36.036799999999992</v>
      </c>
      <c r="AI26">
        <v>25984</v>
      </c>
      <c r="AJ26">
        <v>256</v>
      </c>
      <c r="AK26">
        <v>2</v>
      </c>
      <c r="AL26">
        <v>8</v>
      </c>
      <c r="AM26">
        <v>38.128</v>
      </c>
      <c r="AO26">
        <v>13056</v>
      </c>
      <c r="AP26">
        <v>256</v>
      </c>
      <c r="AQ26">
        <v>2</v>
      </c>
      <c r="AR26">
        <v>2</v>
      </c>
      <c r="AS26">
        <v>10.358599999999999</v>
      </c>
      <c r="AU26">
        <v>13056</v>
      </c>
      <c r="AV26">
        <v>256</v>
      </c>
      <c r="AW26">
        <v>1</v>
      </c>
      <c r="AX26">
        <v>4</v>
      </c>
      <c r="AY26">
        <v>10.803599999999999</v>
      </c>
      <c r="BA26" t="s">
        <v>356</v>
      </c>
      <c r="BB26">
        <v>256</v>
      </c>
      <c r="BC26">
        <f t="shared" si="0"/>
        <v>3.4789257235533757</v>
      </c>
      <c r="BE26">
        <f t="shared" si="1"/>
        <v>3.5291939723795775</v>
      </c>
    </row>
    <row r="27" spans="5:57" x14ac:dyDescent="0.25">
      <c r="E27">
        <v>29056</v>
      </c>
      <c r="F27">
        <v>32</v>
      </c>
      <c r="G27">
        <v>2</v>
      </c>
      <c r="H27">
        <v>8</v>
      </c>
      <c r="I27">
        <v>33.289400000000001</v>
      </c>
      <c r="K27">
        <v>29056</v>
      </c>
      <c r="L27">
        <v>32</v>
      </c>
      <c r="M27">
        <v>2</v>
      </c>
      <c r="N27">
        <v>8</v>
      </c>
      <c r="O27">
        <v>38.1404</v>
      </c>
      <c r="Q27">
        <v>14592</v>
      </c>
      <c r="R27">
        <v>32</v>
      </c>
      <c r="S27">
        <v>2</v>
      </c>
      <c r="T27">
        <v>2</v>
      </c>
      <c r="U27">
        <v>9.0344999999999995</v>
      </c>
      <c r="W27">
        <v>14592</v>
      </c>
      <c r="X27">
        <v>32</v>
      </c>
      <c r="Y27">
        <v>2</v>
      </c>
      <c r="Z27">
        <v>2</v>
      </c>
      <c r="AA27">
        <v>10.5428</v>
      </c>
    </row>
    <row r="28" spans="5:57" x14ac:dyDescent="0.25">
      <c r="E28">
        <v>29056</v>
      </c>
      <c r="F28">
        <v>64</v>
      </c>
      <c r="G28">
        <v>2</v>
      </c>
      <c r="H28">
        <v>8</v>
      </c>
      <c r="I28">
        <v>36.999000000000002</v>
      </c>
      <c r="K28">
        <v>29056</v>
      </c>
      <c r="L28">
        <v>64</v>
      </c>
      <c r="M28">
        <v>2</v>
      </c>
      <c r="N28">
        <v>8</v>
      </c>
      <c r="O28">
        <v>40.797800000000002</v>
      </c>
      <c r="Q28">
        <v>14592</v>
      </c>
      <c r="R28">
        <v>64</v>
      </c>
      <c r="S28">
        <v>2</v>
      </c>
      <c r="T28">
        <v>2</v>
      </c>
      <c r="U28">
        <v>10.1334</v>
      </c>
      <c r="W28">
        <v>14592</v>
      </c>
      <c r="X28">
        <v>64</v>
      </c>
      <c r="Y28">
        <v>2</v>
      </c>
      <c r="Z28">
        <v>2</v>
      </c>
      <c r="AA28">
        <v>11.250200000000001</v>
      </c>
    </row>
    <row r="29" spans="5:57" x14ac:dyDescent="0.25">
      <c r="E29">
        <v>29056</v>
      </c>
      <c r="F29">
        <v>96</v>
      </c>
      <c r="G29">
        <v>2</v>
      </c>
      <c r="H29">
        <v>8</v>
      </c>
      <c r="I29">
        <v>36.583800000000004</v>
      </c>
      <c r="K29">
        <v>29056</v>
      </c>
      <c r="L29">
        <v>96</v>
      </c>
      <c r="M29">
        <v>2</v>
      </c>
      <c r="N29">
        <v>8</v>
      </c>
      <c r="O29">
        <v>41.543799999999997</v>
      </c>
      <c r="Q29">
        <v>14592</v>
      </c>
      <c r="R29">
        <v>96</v>
      </c>
      <c r="S29">
        <v>2</v>
      </c>
      <c r="T29">
        <v>2</v>
      </c>
      <c r="U29">
        <v>10.352600000000001</v>
      </c>
      <c r="W29">
        <v>14592</v>
      </c>
      <c r="X29">
        <v>96</v>
      </c>
      <c r="Y29">
        <v>2</v>
      </c>
      <c r="Z29">
        <v>2</v>
      </c>
      <c r="AA29">
        <v>11.512600000000001</v>
      </c>
    </row>
    <row r="30" spans="5:57" x14ac:dyDescent="0.25">
      <c r="E30">
        <v>29056</v>
      </c>
      <c r="F30">
        <v>128</v>
      </c>
      <c r="G30">
        <v>2</v>
      </c>
      <c r="H30">
        <v>8</v>
      </c>
      <c r="I30">
        <v>37.355600000000003</v>
      </c>
      <c r="K30">
        <v>29056</v>
      </c>
      <c r="L30">
        <v>128</v>
      </c>
      <c r="M30">
        <v>2</v>
      </c>
      <c r="N30">
        <v>8</v>
      </c>
      <c r="O30">
        <v>40.383799999999994</v>
      </c>
      <c r="Q30">
        <v>14592</v>
      </c>
      <c r="R30">
        <v>128</v>
      </c>
      <c r="S30">
        <v>2</v>
      </c>
      <c r="T30">
        <v>2</v>
      </c>
      <c r="U30">
        <v>10.5212</v>
      </c>
      <c r="W30">
        <v>14592</v>
      </c>
      <c r="X30">
        <v>128</v>
      </c>
      <c r="Y30">
        <v>2</v>
      </c>
      <c r="Z30">
        <v>2</v>
      </c>
      <c r="AA30">
        <v>11.263200000000001</v>
      </c>
    </row>
    <row r="31" spans="5:57" x14ac:dyDescent="0.25">
      <c r="E31">
        <v>29056</v>
      </c>
      <c r="F31">
        <v>160</v>
      </c>
      <c r="G31">
        <v>2</v>
      </c>
      <c r="H31">
        <v>8</v>
      </c>
      <c r="I31">
        <v>38.121600000000001</v>
      </c>
      <c r="K31">
        <v>29056</v>
      </c>
      <c r="L31">
        <v>160</v>
      </c>
      <c r="M31">
        <v>2</v>
      </c>
      <c r="N31">
        <v>8</v>
      </c>
      <c r="O31">
        <v>40.646599999999999</v>
      </c>
      <c r="Q31">
        <v>14592</v>
      </c>
      <c r="R31">
        <v>160</v>
      </c>
      <c r="S31">
        <v>2</v>
      </c>
      <c r="T31">
        <v>2</v>
      </c>
      <c r="U31">
        <v>10.793400000000002</v>
      </c>
      <c r="W31">
        <v>14592</v>
      </c>
      <c r="X31">
        <v>160</v>
      </c>
      <c r="Y31">
        <v>2</v>
      </c>
      <c r="Z31">
        <v>2</v>
      </c>
      <c r="AA31">
        <v>11.411000000000001</v>
      </c>
    </row>
    <row r="32" spans="5:57" x14ac:dyDescent="0.25">
      <c r="E32">
        <v>29056</v>
      </c>
      <c r="F32">
        <v>192</v>
      </c>
      <c r="G32">
        <v>2</v>
      </c>
      <c r="H32">
        <v>8</v>
      </c>
      <c r="I32">
        <v>38.002200000000002</v>
      </c>
      <c r="K32">
        <v>29056</v>
      </c>
      <c r="L32">
        <v>192</v>
      </c>
      <c r="M32">
        <v>2</v>
      </c>
      <c r="N32">
        <v>8</v>
      </c>
      <c r="O32">
        <v>40.735599999999998</v>
      </c>
      <c r="Q32">
        <v>14592</v>
      </c>
      <c r="R32">
        <v>192</v>
      </c>
      <c r="S32">
        <v>2</v>
      </c>
      <c r="T32">
        <v>2</v>
      </c>
      <c r="U32">
        <v>10.659599999999999</v>
      </c>
      <c r="W32">
        <v>14592</v>
      </c>
      <c r="X32">
        <v>192</v>
      </c>
      <c r="Y32">
        <v>2</v>
      </c>
      <c r="Z32">
        <v>2</v>
      </c>
      <c r="AA32">
        <v>11.419</v>
      </c>
    </row>
    <row r="33" spans="5:27" x14ac:dyDescent="0.25">
      <c r="E33">
        <v>29056</v>
      </c>
      <c r="F33">
        <v>224</v>
      </c>
      <c r="G33">
        <v>2</v>
      </c>
      <c r="H33">
        <v>8</v>
      </c>
      <c r="I33">
        <v>37.588199999999993</v>
      </c>
      <c r="K33">
        <v>29056</v>
      </c>
      <c r="L33">
        <v>224</v>
      </c>
      <c r="M33">
        <v>2</v>
      </c>
      <c r="N33">
        <v>8</v>
      </c>
      <c r="O33">
        <v>40.478999999999999</v>
      </c>
      <c r="Q33">
        <v>14592</v>
      </c>
      <c r="R33">
        <v>224</v>
      </c>
      <c r="S33">
        <v>2</v>
      </c>
      <c r="T33">
        <v>2</v>
      </c>
      <c r="U33">
        <v>10.662599999999999</v>
      </c>
      <c r="W33">
        <v>14592</v>
      </c>
      <c r="X33">
        <v>224</v>
      </c>
      <c r="Y33">
        <v>2</v>
      </c>
      <c r="Z33">
        <v>2</v>
      </c>
      <c r="AA33">
        <v>11.396400000000002</v>
      </c>
    </row>
    <row r="34" spans="5:27" x14ac:dyDescent="0.25">
      <c r="E34">
        <v>29056</v>
      </c>
      <c r="F34">
        <v>256</v>
      </c>
      <c r="G34">
        <v>2</v>
      </c>
      <c r="H34">
        <v>8</v>
      </c>
      <c r="I34">
        <v>37.202200000000005</v>
      </c>
      <c r="K34">
        <v>29056</v>
      </c>
      <c r="L34">
        <v>256</v>
      </c>
      <c r="M34">
        <v>2</v>
      </c>
      <c r="N34">
        <v>8</v>
      </c>
      <c r="O34">
        <v>39.356199999999994</v>
      </c>
      <c r="Q34">
        <v>14592</v>
      </c>
      <c r="R34">
        <v>256</v>
      </c>
      <c r="S34">
        <v>2</v>
      </c>
      <c r="T34">
        <v>2</v>
      </c>
      <c r="U34">
        <v>10.537399999999998</v>
      </c>
      <c r="W34">
        <v>14592</v>
      </c>
      <c r="X34">
        <v>256</v>
      </c>
      <c r="Y34">
        <v>2</v>
      </c>
      <c r="Z34">
        <v>2</v>
      </c>
      <c r="AA34">
        <v>11.161999999999999</v>
      </c>
    </row>
    <row r="35" spans="5:27" x14ac:dyDescent="0.25">
      <c r="E35">
        <v>27520</v>
      </c>
      <c r="F35">
        <v>32</v>
      </c>
      <c r="G35">
        <v>2</v>
      </c>
      <c r="H35">
        <v>8</v>
      </c>
      <c r="I35">
        <v>33.022399999999998</v>
      </c>
      <c r="K35">
        <v>27520</v>
      </c>
      <c r="L35">
        <v>32</v>
      </c>
      <c r="M35">
        <v>2</v>
      </c>
      <c r="N35">
        <v>8</v>
      </c>
      <c r="O35">
        <v>38.009399999999992</v>
      </c>
      <c r="Q35">
        <v>13824</v>
      </c>
      <c r="R35">
        <v>32</v>
      </c>
      <c r="S35">
        <v>2</v>
      </c>
      <c r="T35">
        <v>2</v>
      </c>
      <c r="U35">
        <v>8.9078799999999987</v>
      </c>
      <c r="W35">
        <v>13824</v>
      </c>
      <c r="X35">
        <v>32</v>
      </c>
      <c r="Y35">
        <v>2</v>
      </c>
      <c r="Z35">
        <v>2</v>
      </c>
      <c r="AA35">
        <v>10.4068</v>
      </c>
    </row>
    <row r="36" spans="5:27" x14ac:dyDescent="0.25">
      <c r="E36">
        <v>27520</v>
      </c>
      <c r="F36">
        <v>64</v>
      </c>
      <c r="G36">
        <v>2</v>
      </c>
      <c r="H36">
        <v>8</v>
      </c>
      <c r="I36">
        <v>36.685199999999995</v>
      </c>
      <c r="K36">
        <v>27520</v>
      </c>
      <c r="L36">
        <v>64</v>
      </c>
      <c r="M36">
        <v>2</v>
      </c>
      <c r="N36">
        <v>8</v>
      </c>
      <c r="O36">
        <v>40.432600000000001</v>
      </c>
      <c r="Q36">
        <v>13824</v>
      </c>
      <c r="R36">
        <v>64</v>
      </c>
      <c r="S36">
        <v>2</v>
      </c>
      <c r="T36">
        <v>2</v>
      </c>
      <c r="U36">
        <v>9.8649400000000007</v>
      </c>
      <c r="W36">
        <v>13824</v>
      </c>
      <c r="X36">
        <v>64</v>
      </c>
      <c r="Y36">
        <v>2</v>
      </c>
      <c r="Z36">
        <v>2</v>
      </c>
      <c r="AA36">
        <v>11.128399999999999</v>
      </c>
    </row>
    <row r="37" spans="5:27" x14ac:dyDescent="0.25">
      <c r="E37">
        <v>27520</v>
      </c>
      <c r="F37">
        <v>96</v>
      </c>
      <c r="G37">
        <v>2</v>
      </c>
      <c r="H37">
        <v>8</v>
      </c>
      <c r="I37">
        <v>36.483199999999997</v>
      </c>
      <c r="K37">
        <v>27520</v>
      </c>
      <c r="L37">
        <v>96</v>
      </c>
      <c r="M37">
        <v>2</v>
      </c>
      <c r="N37">
        <v>8</v>
      </c>
      <c r="O37">
        <v>41.1066</v>
      </c>
      <c r="Q37">
        <v>13824</v>
      </c>
      <c r="R37">
        <v>96</v>
      </c>
      <c r="S37">
        <v>2</v>
      </c>
      <c r="T37">
        <v>2</v>
      </c>
      <c r="U37">
        <v>10.0684</v>
      </c>
      <c r="W37">
        <v>13824</v>
      </c>
      <c r="X37">
        <v>96</v>
      </c>
      <c r="Y37">
        <v>2</v>
      </c>
      <c r="Z37">
        <v>2</v>
      </c>
      <c r="AA37">
        <v>11.405799999999999</v>
      </c>
    </row>
    <row r="38" spans="5:27" x14ac:dyDescent="0.25">
      <c r="E38">
        <v>27520</v>
      </c>
      <c r="F38">
        <v>128</v>
      </c>
      <c r="G38">
        <v>2</v>
      </c>
      <c r="H38">
        <v>8</v>
      </c>
      <c r="I38">
        <v>33.743200000000002</v>
      </c>
      <c r="K38">
        <v>27520</v>
      </c>
      <c r="L38">
        <v>128</v>
      </c>
      <c r="M38">
        <v>2</v>
      </c>
      <c r="N38">
        <v>8</v>
      </c>
      <c r="O38">
        <v>37.581400000000002</v>
      </c>
      <c r="Q38">
        <v>13824</v>
      </c>
      <c r="R38">
        <v>128</v>
      </c>
      <c r="S38">
        <v>2</v>
      </c>
      <c r="T38">
        <v>2</v>
      </c>
      <c r="U38">
        <v>10.2494</v>
      </c>
      <c r="W38">
        <v>13824</v>
      </c>
      <c r="X38">
        <v>128</v>
      </c>
      <c r="Y38">
        <v>2</v>
      </c>
      <c r="Z38">
        <v>2</v>
      </c>
      <c r="AA38">
        <v>11.1296</v>
      </c>
    </row>
    <row r="39" spans="5:27" x14ac:dyDescent="0.25">
      <c r="E39">
        <v>27520</v>
      </c>
      <c r="F39">
        <v>160</v>
      </c>
      <c r="G39">
        <v>2</v>
      </c>
      <c r="H39">
        <v>8</v>
      </c>
      <c r="I39">
        <v>37.914200000000001</v>
      </c>
      <c r="K39">
        <v>27520</v>
      </c>
      <c r="L39">
        <v>160</v>
      </c>
      <c r="M39">
        <v>2</v>
      </c>
      <c r="N39">
        <v>8</v>
      </c>
      <c r="O39">
        <v>40.192600000000006</v>
      </c>
      <c r="Q39">
        <v>13824</v>
      </c>
      <c r="R39">
        <v>160</v>
      </c>
      <c r="S39">
        <v>2</v>
      </c>
      <c r="T39">
        <v>2</v>
      </c>
      <c r="U39">
        <v>10.719999999999999</v>
      </c>
      <c r="W39">
        <v>13824</v>
      </c>
      <c r="X39">
        <v>160</v>
      </c>
      <c r="Y39">
        <v>2</v>
      </c>
      <c r="Z39">
        <v>2</v>
      </c>
      <c r="AA39">
        <v>11.3308</v>
      </c>
    </row>
    <row r="40" spans="5:27" x14ac:dyDescent="0.25">
      <c r="E40">
        <v>27520</v>
      </c>
      <c r="F40">
        <v>192</v>
      </c>
      <c r="G40">
        <v>2</v>
      </c>
      <c r="H40">
        <v>8</v>
      </c>
      <c r="I40">
        <v>34.624399999999994</v>
      </c>
      <c r="K40">
        <v>27520</v>
      </c>
      <c r="L40">
        <v>192</v>
      </c>
      <c r="M40">
        <v>2</v>
      </c>
      <c r="N40">
        <v>8</v>
      </c>
      <c r="O40">
        <v>39.0212</v>
      </c>
      <c r="Q40">
        <v>13824</v>
      </c>
      <c r="R40">
        <v>192</v>
      </c>
      <c r="S40">
        <v>2</v>
      </c>
      <c r="T40">
        <v>2</v>
      </c>
      <c r="U40">
        <v>10.400600000000001</v>
      </c>
      <c r="W40">
        <v>13824</v>
      </c>
      <c r="X40">
        <v>192</v>
      </c>
      <c r="Y40">
        <v>2</v>
      </c>
      <c r="Z40">
        <v>2</v>
      </c>
      <c r="AA40">
        <v>11.281000000000001</v>
      </c>
    </row>
    <row r="41" spans="5:27" x14ac:dyDescent="0.25">
      <c r="E41">
        <v>27520</v>
      </c>
      <c r="F41">
        <v>224</v>
      </c>
      <c r="G41">
        <v>2</v>
      </c>
      <c r="H41">
        <v>8</v>
      </c>
      <c r="I41">
        <v>37.436599999999999</v>
      </c>
      <c r="K41">
        <v>27520</v>
      </c>
      <c r="L41">
        <v>224</v>
      </c>
      <c r="M41">
        <v>2</v>
      </c>
      <c r="N41">
        <v>8</v>
      </c>
      <c r="O41">
        <v>39.929000000000002</v>
      </c>
      <c r="Q41">
        <v>13824</v>
      </c>
      <c r="R41">
        <v>224</v>
      </c>
      <c r="S41">
        <v>2</v>
      </c>
      <c r="T41">
        <v>2</v>
      </c>
      <c r="U41">
        <v>10.655800000000001</v>
      </c>
      <c r="W41">
        <v>13824</v>
      </c>
      <c r="X41">
        <v>224</v>
      </c>
      <c r="Y41">
        <v>2</v>
      </c>
      <c r="Z41">
        <v>2</v>
      </c>
      <c r="AA41">
        <v>11.3432</v>
      </c>
    </row>
    <row r="42" spans="5:27" x14ac:dyDescent="0.25">
      <c r="E42">
        <v>27520</v>
      </c>
      <c r="F42">
        <v>256</v>
      </c>
      <c r="G42">
        <v>2</v>
      </c>
      <c r="H42">
        <v>8</v>
      </c>
      <c r="I42">
        <v>33.903399999999998</v>
      </c>
      <c r="K42">
        <v>27520</v>
      </c>
      <c r="L42">
        <v>256</v>
      </c>
      <c r="M42">
        <v>2</v>
      </c>
      <c r="N42">
        <v>8</v>
      </c>
      <c r="O42">
        <v>37.276400000000002</v>
      </c>
      <c r="Q42">
        <v>13824</v>
      </c>
      <c r="R42">
        <v>256</v>
      </c>
      <c r="S42">
        <v>2</v>
      </c>
      <c r="T42">
        <v>2</v>
      </c>
      <c r="U42">
        <v>10.335599999999999</v>
      </c>
      <c r="W42">
        <v>13824</v>
      </c>
      <c r="X42">
        <v>256</v>
      </c>
      <c r="Y42">
        <v>2</v>
      </c>
      <c r="Z42">
        <v>2</v>
      </c>
      <c r="AA42">
        <v>10.964400000000001</v>
      </c>
    </row>
    <row r="43" spans="5:27" x14ac:dyDescent="0.25">
      <c r="E43">
        <v>25984</v>
      </c>
      <c r="F43">
        <v>32</v>
      </c>
      <c r="G43">
        <v>2</v>
      </c>
      <c r="H43">
        <v>8</v>
      </c>
      <c r="I43">
        <v>32.702399999999997</v>
      </c>
      <c r="K43">
        <v>25984</v>
      </c>
      <c r="L43">
        <v>32</v>
      </c>
      <c r="M43">
        <v>2</v>
      </c>
      <c r="N43">
        <v>8</v>
      </c>
      <c r="O43">
        <v>37.555599999999998</v>
      </c>
      <c r="Q43">
        <v>13056</v>
      </c>
      <c r="R43">
        <v>32</v>
      </c>
      <c r="S43">
        <v>2</v>
      </c>
      <c r="T43">
        <v>2</v>
      </c>
      <c r="U43">
        <v>8.9427199999999996</v>
      </c>
      <c r="W43">
        <v>13056</v>
      </c>
      <c r="X43">
        <v>32</v>
      </c>
      <c r="Y43">
        <v>2</v>
      </c>
      <c r="Z43">
        <v>2</v>
      </c>
      <c r="AA43">
        <v>10.448199999999998</v>
      </c>
    </row>
    <row r="44" spans="5:27" x14ac:dyDescent="0.25">
      <c r="E44">
        <v>25984</v>
      </c>
      <c r="F44">
        <v>64</v>
      </c>
      <c r="G44">
        <v>2</v>
      </c>
      <c r="H44">
        <v>8</v>
      </c>
      <c r="I44">
        <v>36.197400000000002</v>
      </c>
      <c r="K44">
        <v>25984</v>
      </c>
      <c r="L44">
        <v>64</v>
      </c>
      <c r="M44">
        <v>2</v>
      </c>
      <c r="N44">
        <v>8</v>
      </c>
      <c r="O44">
        <v>40.001200000000004</v>
      </c>
      <c r="Q44">
        <v>13056</v>
      </c>
      <c r="R44">
        <v>64</v>
      </c>
      <c r="S44">
        <v>2</v>
      </c>
      <c r="T44">
        <v>2</v>
      </c>
      <c r="U44">
        <v>10.0122</v>
      </c>
      <c r="W44">
        <v>13056</v>
      </c>
      <c r="X44">
        <v>64</v>
      </c>
      <c r="Y44">
        <v>2</v>
      </c>
      <c r="Z44">
        <v>2</v>
      </c>
      <c r="AA44">
        <v>11.123999999999999</v>
      </c>
    </row>
    <row r="45" spans="5:27" x14ac:dyDescent="0.25">
      <c r="E45">
        <v>25984</v>
      </c>
      <c r="F45">
        <v>96</v>
      </c>
      <c r="G45">
        <v>2</v>
      </c>
      <c r="H45">
        <v>8</v>
      </c>
      <c r="I45">
        <v>36.030000000000008</v>
      </c>
      <c r="K45">
        <v>25984</v>
      </c>
      <c r="L45">
        <v>96</v>
      </c>
      <c r="M45">
        <v>2</v>
      </c>
      <c r="N45">
        <v>8</v>
      </c>
      <c r="O45">
        <v>40.582799999999999</v>
      </c>
      <c r="Q45">
        <v>13056</v>
      </c>
      <c r="R45">
        <v>96</v>
      </c>
      <c r="S45">
        <v>2</v>
      </c>
      <c r="T45">
        <v>2</v>
      </c>
      <c r="U45">
        <v>10.223800000000001</v>
      </c>
      <c r="W45">
        <v>13056</v>
      </c>
      <c r="X45">
        <v>96</v>
      </c>
      <c r="Y45">
        <v>2</v>
      </c>
      <c r="Z45">
        <v>2</v>
      </c>
      <c r="AA45">
        <v>11.382400000000001</v>
      </c>
    </row>
    <row r="46" spans="5:27" x14ac:dyDescent="0.25">
      <c r="E46">
        <v>25984</v>
      </c>
      <c r="F46">
        <v>128</v>
      </c>
      <c r="G46">
        <v>2</v>
      </c>
      <c r="H46">
        <v>8</v>
      </c>
      <c r="I46">
        <v>36.302800000000005</v>
      </c>
      <c r="K46">
        <v>25984</v>
      </c>
      <c r="L46">
        <v>128</v>
      </c>
      <c r="M46">
        <v>2</v>
      </c>
      <c r="N46">
        <v>8</v>
      </c>
      <c r="O46">
        <v>39.381399999999999</v>
      </c>
      <c r="Q46">
        <v>13056</v>
      </c>
      <c r="R46">
        <v>128</v>
      </c>
      <c r="S46">
        <v>2</v>
      </c>
      <c r="T46">
        <v>2</v>
      </c>
      <c r="U46">
        <v>10.4034</v>
      </c>
      <c r="W46">
        <v>13056</v>
      </c>
      <c r="X46">
        <v>128</v>
      </c>
      <c r="Y46">
        <v>2</v>
      </c>
      <c r="Z46">
        <v>2</v>
      </c>
      <c r="AA46">
        <v>11.1098</v>
      </c>
    </row>
    <row r="47" spans="5:27" x14ac:dyDescent="0.25">
      <c r="E47">
        <v>25984</v>
      </c>
      <c r="F47">
        <v>160</v>
      </c>
      <c r="G47">
        <v>2</v>
      </c>
      <c r="H47">
        <v>8</v>
      </c>
      <c r="I47">
        <v>37.4542</v>
      </c>
      <c r="K47">
        <v>25984</v>
      </c>
      <c r="L47">
        <v>160</v>
      </c>
      <c r="M47">
        <v>2</v>
      </c>
      <c r="N47">
        <v>8</v>
      </c>
      <c r="O47">
        <v>39.680999999999997</v>
      </c>
      <c r="Q47">
        <v>13056</v>
      </c>
      <c r="R47">
        <v>160</v>
      </c>
      <c r="S47">
        <v>2</v>
      </c>
      <c r="T47">
        <v>2</v>
      </c>
      <c r="U47">
        <v>10.601800000000001</v>
      </c>
      <c r="W47">
        <v>13056</v>
      </c>
      <c r="X47">
        <v>160</v>
      </c>
      <c r="Y47">
        <v>2</v>
      </c>
      <c r="Z47">
        <v>2</v>
      </c>
      <c r="AA47">
        <v>11.266399999999999</v>
      </c>
    </row>
    <row r="48" spans="5:27" x14ac:dyDescent="0.25">
      <c r="E48">
        <v>25984</v>
      </c>
      <c r="F48">
        <v>192</v>
      </c>
      <c r="G48">
        <v>2</v>
      </c>
      <c r="H48">
        <v>8</v>
      </c>
      <c r="I48">
        <v>36.812799999999996</v>
      </c>
      <c r="K48">
        <v>25984</v>
      </c>
      <c r="L48">
        <v>192</v>
      </c>
      <c r="M48">
        <v>2</v>
      </c>
      <c r="N48">
        <v>8</v>
      </c>
      <c r="O48">
        <v>39.582199999999993</v>
      </c>
      <c r="Q48">
        <v>13056</v>
      </c>
      <c r="R48">
        <v>192</v>
      </c>
      <c r="S48">
        <v>2</v>
      </c>
      <c r="T48">
        <v>2</v>
      </c>
      <c r="U48">
        <v>10.526199999999999</v>
      </c>
      <c r="W48">
        <v>13056</v>
      </c>
      <c r="X48">
        <v>192</v>
      </c>
      <c r="Y48">
        <v>2</v>
      </c>
      <c r="Z48">
        <v>2</v>
      </c>
      <c r="AA48">
        <v>11.251799999999999</v>
      </c>
    </row>
    <row r="49" spans="5:27" x14ac:dyDescent="0.25">
      <c r="E49">
        <v>25984</v>
      </c>
      <c r="F49">
        <v>224</v>
      </c>
      <c r="G49">
        <v>2</v>
      </c>
      <c r="H49">
        <v>8</v>
      </c>
      <c r="I49">
        <v>36.952200000000005</v>
      </c>
      <c r="K49">
        <v>25984</v>
      </c>
      <c r="L49">
        <v>224</v>
      </c>
      <c r="M49">
        <v>2</v>
      </c>
      <c r="N49">
        <v>8</v>
      </c>
      <c r="O49">
        <v>39.388000000000005</v>
      </c>
      <c r="Q49">
        <v>13056</v>
      </c>
      <c r="R49">
        <v>224</v>
      </c>
      <c r="S49">
        <v>2</v>
      </c>
      <c r="T49">
        <v>2</v>
      </c>
      <c r="U49">
        <v>10.5868</v>
      </c>
      <c r="W49">
        <v>13056</v>
      </c>
      <c r="X49">
        <v>224</v>
      </c>
      <c r="Y49">
        <v>2</v>
      </c>
      <c r="Z49">
        <v>2</v>
      </c>
      <c r="AA49">
        <v>11.243599999999999</v>
      </c>
    </row>
    <row r="50" spans="5:27" x14ac:dyDescent="0.25">
      <c r="E50">
        <v>25984</v>
      </c>
      <c r="F50">
        <v>256</v>
      </c>
      <c r="G50">
        <v>2</v>
      </c>
      <c r="H50">
        <v>8</v>
      </c>
      <c r="I50">
        <v>36.036799999999992</v>
      </c>
      <c r="K50">
        <v>25984</v>
      </c>
      <c r="L50">
        <v>256</v>
      </c>
      <c r="M50">
        <v>2</v>
      </c>
      <c r="N50">
        <v>8</v>
      </c>
      <c r="O50">
        <v>38.128</v>
      </c>
      <c r="Q50">
        <v>13056</v>
      </c>
      <c r="R50">
        <v>256</v>
      </c>
      <c r="S50">
        <v>2</v>
      </c>
      <c r="T50">
        <v>2</v>
      </c>
      <c r="U50">
        <v>10.358599999999999</v>
      </c>
      <c r="W50">
        <v>13056</v>
      </c>
      <c r="X50">
        <v>256</v>
      </c>
      <c r="Y50">
        <v>2</v>
      </c>
      <c r="Z50">
        <v>2</v>
      </c>
      <c r="AA50">
        <v>10.973200000000002</v>
      </c>
    </row>
    <row r="51" spans="5:27" x14ac:dyDescent="0.25">
      <c r="E51">
        <v>29056</v>
      </c>
      <c r="F51">
        <v>32</v>
      </c>
      <c r="G51">
        <v>4</v>
      </c>
      <c r="H51">
        <v>4</v>
      </c>
      <c r="I51">
        <v>31.683999999999997</v>
      </c>
      <c r="K51">
        <v>29056</v>
      </c>
      <c r="L51">
        <v>32</v>
      </c>
      <c r="M51">
        <v>4</v>
      </c>
      <c r="N51">
        <v>4</v>
      </c>
      <c r="O51">
        <v>36.314599999999999</v>
      </c>
    </row>
    <row r="52" spans="5:27" x14ac:dyDescent="0.25">
      <c r="E52">
        <v>29056</v>
      </c>
      <c r="F52">
        <v>64</v>
      </c>
      <c r="G52">
        <v>4</v>
      </c>
      <c r="H52">
        <v>4</v>
      </c>
      <c r="I52">
        <v>34.918600000000005</v>
      </c>
      <c r="K52">
        <v>29056</v>
      </c>
      <c r="L52">
        <v>64</v>
      </c>
      <c r="M52">
        <v>4</v>
      </c>
      <c r="N52">
        <v>4</v>
      </c>
      <c r="O52">
        <v>38.461599999999997</v>
      </c>
    </row>
    <row r="53" spans="5:27" x14ac:dyDescent="0.25">
      <c r="E53">
        <v>29056</v>
      </c>
      <c r="F53">
        <v>96</v>
      </c>
      <c r="G53">
        <v>4</v>
      </c>
      <c r="H53">
        <v>4</v>
      </c>
      <c r="I53">
        <v>35.2254</v>
      </c>
      <c r="K53">
        <v>29056</v>
      </c>
      <c r="L53">
        <v>96</v>
      </c>
      <c r="M53">
        <v>4</v>
      </c>
      <c r="N53">
        <v>4</v>
      </c>
      <c r="O53">
        <v>38.8172</v>
      </c>
    </row>
    <row r="54" spans="5:27" x14ac:dyDescent="0.25">
      <c r="E54">
        <v>29056</v>
      </c>
      <c r="F54">
        <v>128</v>
      </c>
      <c r="G54">
        <v>4</v>
      </c>
      <c r="H54">
        <v>4</v>
      </c>
      <c r="I54">
        <v>35.561800000000005</v>
      </c>
      <c r="K54">
        <v>29056</v>
      </c>
      <c r="L54">
        <v>128</v>
      </c>
      <c r="M54">
        <v>4</v>
      </c>
      <c r="N54">
        <v>4</v>
      </c>
      <c r="O54">
        <v>37.986399999999996</v>
      </c>
    </row>
    <row r="55" spans="5:27" x14ac:dyDescent="0.25">
      <c r="E55">
        <v>29056</v>
      </c>
      <c r="F55">
        <v>160</v>
      </c>
      <c r="G55">
        <v>4</v>
      </c>
      <c r="H55">
        <v>4</v>
      </c>
      <c r="I55">
        <v>36.363999999999997</v>
      </c>
      <c r="K55">
        <v>29056</v>
      </c>
      <c r="L55">
        <v>160</v>
      </c>
      <c r="M55">
        <v>4</v>
      </c>
      <c r="N55">
        <v>4</v>
      </c>
      <c r="O55">
        <v>38.257999999999996</v>
      </c>
    </row>
    <row r="56" spans="5:27" x14ac:dyDescent="0.25">
      <c r="E56">
        <v>29056</v>
      </c>
      <c r="F56">
        <v>192</v>
      </c>
      <c r="G56">
        <v>4</v>
      </c>
      <c r="H56">
        <v>4</v>
      </c>
      <c r="I56">
        <v>35.959400000000002</v>
      </c>
      <c r="K56">
        <v>29056</v>
      </c>
      <c r="L56">
        <v>192</v>
      </c>
      <c r="M56">
        <v>4</v>
      </c>
      <c r="N56">
        <v>4</v>
      </c>
      <c r="O56">
        <v>38.344799999999999</v>
      </c>
    </row>
    <row r="57" spans="5:27" x14ac:dyDescent="0.25">
      <c r="E57">
        <v>29056</v>
      </c>
      <c r="F57">
        <v>224</v>
      </c>
      <c r="G57">
        <v>4</v>
      </c>
      <c r="H57">
        <v>4</v>
      </c>
      <c r="I57">
        <v>35.765599999999992</v>
      </c>
      <c r="K57">
        <v>29056</v>
      </c>
      <c r="L57">
        <v>224</v>
      </c>
      <c r="M57">
        <v>4</v>
      </c>
      <c r="N57">
        <v>4</v>
      </c>
      <c r="O57">
        <v>38.171999999999997</v>
      </c>
    </row>
    <row r="58" spans="5:27" x14ac:dyDescent="0.25">
      <c r="E58">
        <v>29056</v>
      </c>
      <c r="F58">
        <v>256</v>
      </c>
      <c r="G58">
        <v>4</v>
      </c>
      <c r="H58">
        <v>4</v>
      </c>
      <c r="I58">
        <v>35.278800000000004</v>
      </c>
      <c r="K58">
        <v>29056</v>
      </c>
      <c r="L58">
        <v>256</v>
      </c>
      <c r="M58">
        <v>4</v>
      </c>
      <c r="N58">
        <v>4</v>
      </c>
      <c r="O58">
        <v>37.196999999999996</v>
      </c>
    </row>
    <row r="59" spans="5:27" x14ac:dyDescent="0.25">
      <c r="E59">
        <v>27520</v>
      </c>
      <c r="F59">
        <v>32</v>
      </c>
      <c r="G59">
        <v>4</v>
      </c>
      <c r="H59">
        <v>4</v>
      </c>
      <c r="I59">
        <v>31.351399999999995</v>
      </c>
      <c r="K59">
        <v>27520</v>
      </c>
      <c r="L59">
        <v>32</v>
      </c>
      <c r="M59">
        <v>4</v>
      </c>
      <c r="N59">
        <v>4</v>
      </c>
      <c r="O59">
        <v>35.885599999999997</v>
      </c>
    </row>
    <row r="60" spans="5:27" x14ac:dyDescent="0.25">
      <c r="E60">
        <v>27520</v>
      </c>
      <c r="F60">
        <v>64</v>
      </c>
      <c r="G60">
        <v>4</v>
      </c>
      <c r="H60">
        <v>4</v>
      </c>
      <c r="I60">
        <v>33.877000000000002</v>
      </c>
      <c r="K60">
        <v>27520</v>
      </c>
      <c r="L60">
        <v>64</v>
      </c>
      <c r="M60">
        <v>4</v>
      </c>
      <c r="N60">
        <v>4</v>
      </c>
      <c r="O60">
        <v>37.673000000000002</v>
      </c>
    </row>
    <row r="61" spans="5:27" x14ac:dyDescent="0.25">
      <c r="E61">
        <v>27520</v>
      </c>
      <c r="F61">
        <v>96</v>
      </c>
      <c r="G61">
        <v>4</v>
      </c>
      <c r="H61">
        <v>4</v>
      </c>
      <c r="I61">
        <v>34.176400000000001</v>
      </c>
      <c r="K61">
        <v>27520</v>
      </c>
      <c r="L61">
        <v>96</v>
      </c>
      <c r="M61">
        <v>4</v>
      </c>
      <c r="N61">
        <v>4</v>
      </c>
      <c r="O61">
        <v>37.997399999999999</v>
      </c>
    </row>
    <row r="62" spans="5:27" x14ac:dyDescent="0.25">
      <c r="E62">
        <v>27520</v>
      </c>
      <c r="F62">
        <v>128</v>
      </c>
      <c r="G62">
        <v>4</v>
      </c>
      <c r="H62">
        <v>4</v>
      </c>
      <c r="I62">
        <v>34.626800000000003</v>
      </c>
      <c r="K62">
        <v>27520</v>
      </c>
      <c r="L62">
        <v>128</v>
      </c>
      <c r="M62">
        <v>4</v>
      </c>
      <c r="N62">
        <v>4</v>
      </c>
      <c r="O62">
        <v>37.178399999999996</v>
      </c>
    </row>
    <row r="63" spans="5:27" x14ac:dyDescent="0.25">
      <c r="E63">
        <v>27520</v>
      </c>
      <c r="F63">
        <v>160</v>
      </c>
      <c r="G63">
        <v>4</v>
      </c>
      <c r="H63">
        <v>4</v>
      </c>
      <c r="I63">
        <v>35.873599999999996</v>
      </c>
      <c r="K63">
        <v>27520</v>
      </c>
      <c r="L63">
        <v>160</v>
      </c>
      <c r="M63">
        <v>4</v>
      </c>
      <c r="N63">
        <v>4</v>
      </c>
      <c r="O63">
        <v>37.693200000000004</v>
      </c>
    </row>
    <row r="64" spans="5:27" x14ac:dyDescent="0.25">
      <c r="E64">
        <v>27520</v>
      </c>
      <c r="F64">
        <v>192</v>
      </c>
      <c r="G64">
        <v>4</v>
      </c>
      <c r="H64">
        <v>4</v>
      </c>
      <c r="I64">
        <v>34.977800000000002</v>
      </c>
      <c r="K64">
        <v>27520</v>
      </c>
      <c r="L64">
        <v>192</v>
      </c>
      <c r="M64">
        <v>4</v>
      </c>
      <c r="N64">
        <v>4</v>
      </c>
      <c r="O64">
        <v>37.517600000000002</v>
      </c>
    </row>
    <row r="65" spans="5:15" x14ac:dyDescent="0.25">
      <c r="E65">
        <v>27520</v>
      </c>
      <c r="F65">
        <v>224</v>
      </c>
      <c r="G65">
        <v>4</v>
      </c>
      <c r="H65">
        <v>4</v>
      </c>
      <c r="I65">
        <v>35.436999999999998</v>
      </c>
      <c r="K65">
        <v>27520</v>
      </c>
      <c r="L65">
        <v>224</v>
      </c>
      <c r="M65">
        <v>4</v>
      </c>
      <c r="N65">
        <v>4</v>
      </c>
      <c r="O65">
        <v>37.475000000000001</v>
      </c>
    </row>
    <row r="66" spans="5:15" x14ac:dyDescent="0.25">
      <c r="E66">
        <v>27520</v>
      </c>
      <c r="F66">
        <v>256</v>
      </c>
      <c r="G66">
        <v>4</v>
      </c>
      <c r="H66">
        <v>4</v>
      </c>
      <c r="I66">
        <v>34.471600000000002</v>
      </c>
      <c r="K66">
        <v>27520</v>
      </c>
      <c r="L66">
        <v>256</v>
      </c>
      <c r="M66">
        <v>4</v>
      </c>
      <c r="N66">
        <v>4</v>
      </c>
      <c r="O66">
        <v>33.703999999999994</v>
      </c>
    </row>
    <row r="67" spans="5:15" x14ac:dyDescent="0.25">
      <c r="E67">
        <v>25984</v>
      </c>
      <c r="F67">
        <v>32</v>
      </c>
      <c r="G67">
        <v>4</v>
      </c>
      <c r="H67">
        <v>4</v>
      </c>
      <c r="I67">
        <v>30.7788</v>
      </c>
      <c r="K67">
        <v>25984</v>
      </c>
      <c r="L67">
        <v>32</v>
      </c>
      <c r="M67">
        <v>4</v>
      </c>
      <c r="N67">
        <v>4</v>
      </c>
      <c r="O67">
        <v>35.263599999999997</v>
      </c>
    </row>
    <row r="68" spans="5:15" x14ac:dyDescent="0.25">
      <c r="E68">
        <v>25984</v>
      </c>
      <c r="F68">
        <v>64</v>
      </c>
      <c r="G68">
        <v>4</v>
      </c>
      <c r="H68">
        <v>4</v>
      </c>
      <c r="I68">
        <v>33.869399999999999</v>
      </c>
      <c r="K68">
        <v>25984</v>
      </c>
      <c r="L68">
        <v>64</v>
      </c>
      <c r="M68">
        <v>4</v>
      </c>
      <c r="N68">
        <v>4</v>
      </c>
      <c r="O68">
        <v>37.220399999999998</v>
      </c>
    </row>
    <row r="69" spans="5:15" x14ac:dyDescent="0.25">
      <c r="E69">
        <v>25984</v>
      </c>
      <c r="F69">
        <v>96</v>
      </c>
      <c r="G69">
        <v>4</v>
      </c>
      <c r="H69">
        <v>4</v>
      </c>
      <c r="I69">
        <v>34.084799999999994</v>
      </c>
      <c r="K69">
        <v>25984</v>
      </c>
      <c r="L69">
        <v>96</v>
      </c>
      <c r="M69">
        <v>4</v>
      </c>
      <c r="N69">
        <v>4</v>
      </c>
      <c r="O69">
        <v>37.431200000000004</v>
      </c>
    </row>
    <row r="70" spans="5:15" x14ac:dyDescent="0.25">
      <c r="E70">
        <v>25984</v>
      </c>
      <c r="F70">
        <v>128</v>
      </c>
      <c r="G70">
        <v>4</v>
      </c>
      <c r="H70">
        <v>4</v>
      </c>
      <c r="I70">
        <v>34.474999999999994</v>
      </c>
      <c r="K70">
        <v>25984</v>
      </c>
      <c r="L70">
        <v>128</v>
      </c>
      <c r="M70">
        <v>4</v>
      </c>
      <c r="N70">
        <v>4</v>
      </c>
      <c r="O70">
        <v>36.714199999999998</v>
      </c>
    </row>
    <row r="71" spans="5:15" x14ac:dyDescent="0.25">
      <c r="E71">
        <v>25984</v>
      </c>
      <c r="F71">
        <v>160</v>
      </c>
      <c r="G71">
        <v>4</v>
      </c>
      <c r="H71">
        <v>4</v>
      </c>
      <c r="I71">
        <v>34.966799999999999</v>
      </c>
      <c r="K71">
        <v>25984</v>
      </c>
      <c r="L71">
        <v>160</v>
      </c>
      <c r="M71">
        <v>4</v>
      </c>
      <c r="N71">
        <v>4</v>
      </c>
      <c r="O71">
        <v>36.8996</v>
      </c>
    </row>
    <row r="72" spans="5:15" x14ac:dyDescent="0.25">
      <c r="E72">
        <v>25984</v>
      </c>
      <c r="F72">
        <v>192</v>
      </c>
      <c r="G72">
        <v>4</v>
      </c>
      <c r="H72">
        <v>4</v>
      </c>
      <c r="I72">
        <v>34.791999999999994</v>
      </c>
      <c r="K72">
        <v>25984</v>
      </c>
      <c r="L72">
        <v>192</v>
      </c>
      <c r="M72">
        <v>4</v>
      </c>
      <c r="N72">
        <v>4</v>
      </c>
      <c r="O72">
        <v>36.961799999999997</v>
      </c>
    </row>
    <row r="73" spans="5:15" x14ac:dyDescent="0.25">
      <c r="E73">
        <v>25984</v>
      </c>
      <c r="F73">
        <v>224</v>
      </c>
      <c r="G73">
        <v>4</v>
      </c>
      <c r="H73">
        <v>4</v>
      </c>
      <c r="I73">
        <v>34.896599999999999</v>
      </c>
      <c r="K73">
        <v>25984</v>
      </c>
      <c r="L73">
        <v>224</v>
      </c>
      <c r="M73">
        <v>4</v>
      </c>
      <c r="N73">
        <v>4</v>
      </c>
      <c r="O73">
        <v>36.8018</v>
      </c>
    </row>
    <row r="74" spans="5:15" x14ac:dyDescent="0.25">
      <c r="E74">
        <v>25984</v>
      </c>
      <c r="F74">
        <v>256</v>
      </c>
      <c r="G74">
        <v>4</v>
      </c>
      <c r="H74">
        <v>4</v>
      </c>
      <c r="I74">
        <v>34.010000000000005</v>
      </c>
      <c r="K74">
        <v>25984</v>
      </c>
      <c r="L74">
        <v>256</v>
      </c>
      <c r="M74">
        <v>4</v>
      </c>
      <c r="N74">
        <v>4</v>
      </c>
      <c r="O74">
        <v>35.861600000000003</v>
      </c>
    </row>
  </sheetData>
  <pageMargins left="0.7" right="0.7" top="0.75" bottom="0.75" header="0.3" footer="0.3"/>
  <tableParts count="4">
    <tablePart r:id="rId1"/>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HPL 4 nodes, builds, old</vt:lpstr>
      <vt:lpstr>Arch details</vt:lpstr>
      <vt:lpstr>HPL_Builds</vt:lpstr>
      <vt:lpstr>ATLAS builds</vt:lpstr>
      <vt:lpstr>ATLAS make time results</vt:lpstr>
      <vt:lpstr>4 node, builds</vt:lpstr>
      <vt:lpstr>4 node, 933, scaling, RAW</vt:lpstr>
      <vt:lpstr>1 node, 825, params, RAW</vt:lpstr>
      <vt:lpstr>1 node, 825, params</vt:lpstr>
      <vt:lpstr>1 node, 933, params, RAW</vt:lpstr>
      <vt:lpstr>1 node, 933, params</vt:lpstr>
      <vt:lpstr>4 node, 825, params, RAW</vt:lpstr>
      <vt:lpstr>4 node, 825, params</vt:lpstr>
      <vt:lpstr>4 node, 933, params, RAW</vt:lpstr>
      <vt:lpstr>4 node, 933, params</vt:lpstr>
      <vt:lpstr>Scalability Analysis, 933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Zdravko Krpić</dc:creator>
  <cp:keywords/>
  <dc:description/>
  <cp:lastModifiedBy>Zdravko Krpić</cp:lastModifiedBy>
  <cp:revision/>
  <dcterms:created xsi:type="dcterms:W3CDTF">2022-06-10T13:31:47Z</dcterms:created>
  <dcterms:modified xsi:type="dcterms:W3CDTF">2025-02-14T14:42:50Z</dcterms:modified>
  <cp:category/>
  <cp:contentStatus/>
</cp:coreProperties>
</file>