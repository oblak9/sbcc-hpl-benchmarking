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etfoshr-my.sharepoint.com/personal/krpic_etfos_hr/Documents/Istraživanje/1. SBCC/Results/"/>
    </mc:Choice>
  </mc:AlternateContent>
  <xr:revisionPtr revIDLastSave="153" documentId="8_{7356F561-C5E8-467F-93ED-7676BB2815C1}" xr6:coauthVersionLast="47" xr6:coauthVersionMax="47" xr10:uidLastSave="{1280BCCC-F730-42B7-89C0-C2FB6FB552C8}"/>
  <bookViews>
    <workbookView xWindow="38280" yWindow="-120" windowWidth="38640" windowHeight="21390" tabRatio="896" activeTab="5" xr2:uid="{A2AD9453-B2DD-442A-8FF6-DE56922957DD}"/>
  </bookViews>
  <sheets>
    <sheet name="Arch details" sheetId="6" r:id="rId1"/>
    <sheet name="HPL_Builds" sheetId="8" r:id="rId2"/>
    <sheet name="ATLAS builds" sheetId="9" r:id="rId3"/>
    <sheet name="4 node, 933, big" sheetId="18" r:id="rId4"/>
    <sheet name="4 node, 825, big" sheetId="20" r:id="rId5"/>
    <sheet name="1 node, 933, big" sheetId="19" r:id="rId6"/>
    <sheet name="1 node, 825, big" sheetId="22" r:id="rId7"/>
    <sheet name="4 node, 933, small" sheetId="24" r:id="rId8"/>
    <sheet name="4 node, 825, small" sheetId="25" r:id="rId9"/>
    <sheet name="1 node, 933, small" sheetId="26" r:id="rId10"/>
    <sheet name="1 node, 825, small" sheetId="27" r:id="rId11"/>
  </sheets>
  <externalReferences>
    <externalReference r:id="rId1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4" i="27" l="1"/>
  <c r="Y2" i="27" s="1"/>
  <c r="Q4" i="27"/>
  <c r="E2" i="27" s="1"/>
  <c r="AG4" i="26"/>
  <c r="Y2" i="26" s="1"/>
  <c r="Q4" i="26"/>
  <c r="F2" i="26" s="1"/>
  <c r="BA5" i="25"/>
  <c r="AI3" i="25" s="1"/>
  <c r="AB5" i="25"/>
  <c r="H3" i="25" s="1"/>
  <c r="AB10" i="24"/>
  <c r="BB5" i="24"/>
  <c r="AK3" i="24" s="1"/>
  <c r="AC5" i="24"/>
  <c r="AB5" i="24"/>
  <c r="H3" i="24" s="1"/>
  <c r="AG4" i="22"/>
  <c r="P9" i="22"/>
  <c r="P4" i="22"/>
  <c r="P4" i="19"/>
  <c r="P9" i="19"/>
  <c r="AX5" i="18"/>
  <c r="Z10" i="18"/>
  <c r="F2" i="27" l="1"/>
  <c r="G2" i="27"/>
  <c r="H2" i="27"/>
  <c r="I2" i="27"/>
  <c r="U2" i="27"/>
  <c r="V2" i="27"/>
  <c r="W2" i="27"/>
  <c r="X2" i="27"/>
  <c r="E2" i="26"/>
  <c r="G2" i="26"/>
  <c r="H2" i="26"/>
  <c r="V2" i="26"/>
  <c r="U2" i="26"/>
  <c r="W2" i="26"/>
  <c r="I2" i="26"/>
  <c r="X2" i="26"/>
  <c r="I3" i="25"/>
  <c r="K3" i="25"/>
  <c r="AF3" i="25"/>
  <c r="G3" i="25"/>
  <c r="J3" i="25"/>
  <c r="AG3" i="25"/>
  <c r="AJ3" i="25"/>
  <c r="AH3" i="25"/>
  <c r="I3" i="24"/>
  <c r="J3" i="24"/>
  <c r="G3" i="24"/>
  <c r="K3" i="24"/>
  <c r="AH3" i="24"/>
  <c r="AJ3" i="24"/>
  <c r="AG3" i="24"/>
  <c r="AI3" i="24"/>
  <c r="D71" i="9"/>
  <c r="D72" i="9"/>
  <c r="D73" i="9"/>
  <c r="D74" i="9"/>
  <c r="D75" i="9"/>
  <c r="D76" i="9"/>
  <c r="D77" i="9"/>
  <c r="D78" i="9"/>
  <c r="D79" i="9"/>
  <c r="D70" i="9"/>
  <c r="D39" i="9" l="1"/>
  <c r="D40" i="9"/>
  <c r="D41" i="9"/>
  <c r="D42" i="9"/>
  <c r="D43" i="9"/>
  <c r="D44" i="9"/>
  <c r="D45" i="9"/>
  <c r="D46" i="9"/>
  <c r="D47" i="9"/>
  <c r="D48" i="9"/>
  <c r="D49" i="9"/>
  <c r="D38" i="9"/>
  <c r="AA5" i="18" l="1"/>
  <c r="AW5" i="20"/>
  <c r="Z5" i="20"/>
  <c r="AF4" i="19"/>
  <c r="Z5" i="18"/>
  <c r="AD3" i="20" l="1"/>
  <c r="AF3" i="20"/>
  <c r="AE3" i="20"/>
  <c r="AC3" i="20"/>
  <c r="AB3" i="20"/>
  <c r="U2" i="22"/>
  <c r="D2" i="22"/>
  <c r="T2" i="19"/>
  <c r="X2" i="19"/>
  <c r="V2" i="19"/>
  <c r="W2" i="19"/>
  <c r="F2" i="19"/>
  <c r="G2" i="19"/>
  <c r="H2" i="19"/>
  <c r="E2" i="19"/>
  <c r="D2" i="19"/>
  <c r="E3" i="20"/>
  <c r="E3" i="18"/>
  <c r="G3" i="18"/>
  <c r="H3" i="18"/>
  <c r="I3" i="18"/>
  <c r="AF3" i="18"/>
  <c r="AG3" i="18"/>
  <c r="AC3" i="18"/>
  <c r="AD3" i="18"/>
  <c r="AE3" i="18"/>
  <c r="H13" i="6"/>
  <c r="I13" i="6" s="1"/>
  <c r="F13" i="6"/>
  <c r="G13" i="6" s="1"/>
  <c r="O13" i="6" s="1"/>
  <c r="H12" i="6"/>
  <c r="I12" i="6" s="1"/>
  <c r="F12" i="6"/>
  <c r="G12" i="6" s="1"/>
  <c r="O12" i="6" s="1"/>
  <c r="M12" i="6" l="1"/>
  <c r="N12" i="6" s="1"/>
  <c r="P12" i="6" s="1"/>
  <c r="Q12" i="6" s="1"/>
  <c r="M13" i="6"/>
  <c r="N13" i="6" s="1"/>
  <c r="P13" i="6" s="1"/>
  <c r="Q13" i="6" s="1"/>
  <c r="F3" i="18" l="1"/>
  <c r="F3" i="20"/>
  <c r="I3" i="20"/>
  <c r="H3" i="20"/>
  <c r="G3" i="20"/>
  <c r="U2" i="19"/>
  <c r="V2" i="22"/>
  <c r="W2" i="22"/>
  <c r="X2" i="22"/>
  <c r="Y2" i="22"/>
  <c r="E2" i="22"/>
  <c r="H2" i="22"/>
  <c r="G2" i="22"/>
  <c r="F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tc={98B3928E-CA1C-419B-814F-82ECB78D3298}</author>
    <author>tc={98DA97FE-7F77-4EE1-A110-5E79C75ACC06}</author>
  </authors>
  <commentList>
    <comment ref="B11" authorId="0" shapeId="0" xr:uid="{98B3928E-CA1C-419B-814F-82ECB78D3298}">
      <text>
        <t>[Threaded comment]
Your version of Excel allows you to read this threaded comment; however, any edits to it will get removed if the file is opened in a newer version of Excel. Learn more: https://go.microsoft.com/fwlink/?linkid=870924
Comment:
    Additional measurements done with OpenBLAS, since there other NBs showed best performance compared to ATLAS</t>
      </text>
    </comment>
    <comment ref="AB275" authorId="1" shapeId="0" xr:uid="{98DA97FE-7F77-4EE1-A110-5E79C75ACC06}">
      <text>
        <t>[Threaded comment]
Your version of Excel allows you to read this threaded comment; however, any edits to it will get removed if the file is opened in a newer version of Excel. Learn more: https://go.microsoft.com/fwlink/?linkid=870924
Comment:
    Additional measurements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tc={A6EB0B74-5C2C-4620-9909-58CEF016C95F}</author>
    <author>tc={31C1F917-D29E-40EE-AD72-E889904B3FDA}</author>
  </authors>
  <commentList>
    <comment ref="B11" authorId="0" shapeId="0" xr:uid="{A6EB0B74-5C2C-4620-9909-58CEF016C95F}">
      <text>
        <t>[Threaded comment]
Your version of Excel allows you to read this threaded comment; however, any edits to it will get removed if the file is opened in a newer version of Excel. Learn more: https://go.microsoft.com/fwlink/?linkid=870924
Comment:
    Additional measurements done with OpenBLAS, since there other NBs showed best performance compared to ATLAS</t>
      </text>
    </comment>
    <comment ref="AA79" authorId="1" shapeId="0" xr:uid="{31C1F917-D29E-40EE-AD72-E889904B3FDA}">
      <text>
        <t>[Threaded comment]
Your version of Excel allows you to read this threaded comment; however, any edits to it will get removed if the file is opened in a newer version of Excel. Learn more: https://go.microsoft.com/fwlink/?linkid=870924
Comment:
    Additional measurements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tc={9620DE7E-3F39-46A4-80DD-F7B02A657C27}</author>
    <author>tc={E761C228-EB5F-4082-B5C8-79656D36DC39}</author>
  </authors>
  <commentList>
    <comment ref="B11" authorId="0" shapeId="0" xr:uid="{9620DE7E-3F39-46A4-80DD-F7B02A657C27}">
      <text>
        <t>[Threaded comment]
Your version of Excel allows you to read this threaded comment; however, any edits to it will get removed if the file is opened in a newer version of Excel. Learn more: https://go.microsoft.com/fwlink/?linkid=870924
Comment:
    Additional measurements done with OpenBLAS, since there other NBs showed best performance compared to ATLAS</t>
      </text>
    </comment>
    <comment ref="AF275" authorId="1" shapeId="0" xr:uid="{E761C228-EB5F-4082-B5C8-79656D36DC39}">
      <text>
        <t>[Threaded comment]
Your version of Excel allows you to read this threaded comment; however, any edits to it will get removed if the file is opened in a newer version of Excel. Learn more: https://go.microsoft.com/fwlink/?linkid=870924
Comment:
    Additional measurements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tc={49DA2AF6-0F2B-4B6D-B0E9-796FE17411E1}</author>
  </authors>
  <commentList>
    <comment ref="B11" authorId="0" shapeId="0" xr:uid="{49DA2AF6-0F2B-4B6D-B0E9-796FE17411E1}">
      <text>
        <t>[Threaded comment]
Your version of Excel allows you to read this threaded comment; however, any edits to it will get removed if the file is opened in a newer version of Excel. Learn more: https://go.microsoft.com/fwlink/?linkid=870924
Comment:
    Additional measurements done with OpenBLAS, since there other NBs showed best performance compared to ATLAS</t>
      </text>
    </comment>
  </commentList>
</comments>
</file>

<file path=xl/sharedStrings.xml><?xml version="1.0" encoding="utf-8"?>
<sst xmlns="http://schemas.openxmlformats.org/spreadsheetml/2006/main" count="1131" uniqueCount="301">
  <si>
    <t>Build</t>
  </si>
  <si>
    <t>Time at a frequency [1/100s]</t>
  </si>
  <si>
    <t>Odroid10 throttling time [1/100s]</t>
  </si>
  <si>
    <t>#run</t>
  </si>
  <si>
    <t>Flags</t>
  </si>
  <si>
    <t>N</t>
  </si>
  <si>
    <t>NB</t>
  </si>
  <si>
    <t>P</t>
  </si>
  <si>
    <t>Q</t>
  </si>
  <si>
    <t>Time</t>
  </si>
  <si>
    <t>GFLOPS</t>
  </si>
  <si>
    <t>Date</t>
  </si>
  <si>
    <t>1700MHz</t>
  </si>
  <si>
    <t>1800MHz</t>
  </si>
  <si>
    <t>1900MHz</t>
  </si>
  <si>
    <t>Average GFLOPS</t>
  </si>
  <si>
    <t>WR00L2L2</t>
  </si>
  <si>
    <t>Odroid11 throttling time [1/100s]</t>
  </si>
  <si>
    <t>Odroid12 throttling time [1/100s]</t>
  </si>
  <si>
    <t>Odroid13 throttling time [1/100s]</t>
  </si>
  <si>
    <t>RUN</t>
  </si>
  <si>
    <t>big</t>
  </si>
  <si>
    <t>optimized-big-atlasarch-tune</t>
  </si>
  <si>
    <t>optimized-big-arch-tune</t>
  </si>
  <si>
    <t>big-arch-tune</t>
  </si>
  <si>
    <t>optimized-big-atlasarch-tune2</t>
  </si>
  <si>
    <t>big-atlasarch-tune2</t>
  </si>
  <si>
    <t>optimized-big</t>
  </si>
  <si>
    <t>optimized-small</t>
  </si>
  <si>
    <t>big-arch7a-tune</t>
  </si>
  <si>
    <t>optimized-big-flags</t>
  </si>
  <si>
    <t>optimized-small-atlasarch-tune</t>
  </si>
  <si>
    <t>optimized-big-arch-tune-flags</t>
  </si>
  <si>
    <t>big-cpu</t>
  </si>
  <si>
    <t>optimized-small-arch-tune</t>
  </si>
  <si>
    <t>optimized-big-arch7a-tune</t>
  </si>
  <si>
    <t>optimized-small-atlasarch-tune2</t>
  </si>
  <si>
    <t>big-noMHz</t>
  </si>
  <si>
    <t>optimized-big-arch7a-tune-flags</t>
  </si>
  <si>
    <t>big-flags</t>
  </si>
  <si>
    <t>big-arch-tune-flags</t>
  </si>
  <si>
    <t>big-atlasarch-tune2-flags</t>
  </si>
  <si>
    <t>big-arch7a-tune-flags</t>
  </si>
  <si>
    <t>optimized-small-arch-tune-flags</t>
  </si>
  <si>
    <t>big-cpu-flags</t>
  </si>
  <si>
    <t>optimized-small-arch-tune-flags-taskset</t>
  </si>
  <si>
    <t>big-noMHz-flags</t>
  </si>
  <si>
    <t>optimized-big-noMHZ</t>
  </si>
  <si>
    <t>optimized-small-flags</t>
  </si>
  <si>
    <t>small-cpu</t>
  </si>
  <si>
    <t>SBC</t>
  </si>
  <si>
    <t>Cores</t>
  </si>
  <si>
    <t>march</t>
  </si>
  <si>
    <t>mcpu</t>
  </si>
  <si>
    <t>mtune</t>
  </si>
  <si>
    <t>fpu</t>
  </si>
  <si>
    <t>mfloat-abi</t>
  </si>
  <si>
    <t>ostalo</t>
  </si>
  <si>
    <t>ostalo (Thumb)</t>
  </si>
  <si>
    <t>Rpi 1B</t>
  </si>
  <si>
    <t>armv6</t>
  </si>
  <si>
    <t>arm1176jzf-s</t>
  </si>
  <si>
    <t>vfpv2 (alias is vfp)</t>
  </si>
  <si>
    <t>hard</t>
  </si>
  <si>
    <t>Thumb</t>
  </si>
  <si>
    <t>16KB L1 and no L2</t>
  </si>
  <si>
    <t>Cubieboard2</t>
  </si>
  <si>
    <t>armv7-a</t>
  </si>
  <si>
    <t>cortex-a7</t>
  </si>
  <si>
    <t>neon-vfpv4</t>
  </si>
  <si>
    <t>-funsafe-math-optimizations</t>
  </si>
  <si>
    <t>Thumb-2</t>
  </si>
  <si>
    <t>OdroidU3</t>
  </si>
  <si>
    <t>cortex-a9</t>
  </si>
  <si>
    <t>neon-vfpv3 (alias is neon)</t>
  </si>
  <si>
    <t>Thumb or Thumb-2</t>
  </si>
  <si>
    <t>1MB L2 cache total? From paper…</t>
  </si>
  <si>
    <t>OdroidMC1</t>
  </si>
  <si>
    <t>LITTLE</t>
  </si>
  <si>
    <t>2 sockets, 2,5MB L2 cache per socket</t>
  </si>
  <si>
    <t>Big</t>
  </si>
  <si>
    <t>cortex-a15</t>
  </si>
  <si>
    <t>HPL Runs (fixed parameters)</t>
  </si>
  <si>
    <t>Number of nodes</t>
  </si>
  <si>
    <t>Node</t>
  </si>
  <si>
    <t>Total memory of a node (kB)</t>
  </si>
  <si>
    <t>N, alpha</t>
  </si>
  <si>
    <t>N, alpha (NB round)</t>
  </si>
  <si>
    <t>N, beta</t>
  </si>
  <si>
    <t>N, beta (NB round)</t>
  </si>
  <si>
    <t>Ns difference</t>
  </si>
  <si>
    <t>Half of the Ns difference</t>
  </si>
  <si>
    <t>N1</t>
  </si>
  <si>
    <t>N2</t>
  </si>
  <si>
    <t>N3</t>
  </si>
  <si>
    <t>Percentage of mem</t>
  </si>
  <si>
    <t>Board</t>
  </si>
  <si>
    <t>Odroid MC1 Solo (Revised Odroid-XU4)</t>
  </si>
  <si>
    <t>Odroid MC1 (Odroid XU4)</t>
  </si>
  <si>
    <t>SoC</t>
  </si>
  <si>
    <t>Exynos5422</t>
  </si>
  <si>
    <t>OS</t>
  </si>
  <si>
    <t>Ubuntu 18.04.6 LTS</t>
  </si>
  <si>
    <t>CPU</t>
  </si>
  <si>
    <t>ARM Cortex-A7</t>
  </si>
  <si>
    <t>ARM Cortex-A15</t>
  </si>
  <si>
    <t>Kernel</t>
  </si>
  <si>
    <t>4.14.180-178 armv7l</t>
  </si>
  <si>
    <t>ARM ISA</t>
  </si>
  <si>
    <t>ARMv7-A</t>
  </si>
  <si>
    <t>MPI implementation</t>
  </si>
  <si>
    <t>MPICH 3.4.3</t>
  </si>
  <si>
    <t>Cores/Clock</t>
  </si>
  <si>
    <t>4 × 1.4GHz</t>
  </si>
  <si>
    <t>4 × 2.0GHz</t>
  </si>
  <si>
    <t>BLAS 1</t>
  </si>
  <si>
    <t>ATLAS 3.10.3</t>
  </si>
  <si>
    <t>Cache</t>
  </si>
  <si>
    <t>512 KB of L2 cache</t>
  </si>
  <si>
    <t>2 MB of L2 cache</t>
  </si>
  <si>
    <t>BLAS 2</t>
  </si>
  <si>
    <t>OpenBLAS 0.3.23</t>
  </si>
  <si>
    <t>DP FLOPs/cycle</t>
  </si>
  <si>
    <t>0.5</t>
  </si>
  <si>
    <t>HPL</t>
  </si>
  <si>
    <t>Netlib, 2.3</t>
  </si>
  <si>
    <t>Rpeak</t>
  </si>
  <si>
    <t>0.75 GFLOPs</t>
  </si>
  <si>
    <t>4 GFLOPs</t>
  </si>
  <si>
    <t>Memory</t>
  </si>
  <si>
    <t>2 GB LP-DDR3, 750 MHz</t>
  </si>
  <si>
    <t>Ethernet [Mbps]</t>
  </si>
  <si>
    <t>10/100/1000</t>
  </si>
  <si>
    <t>Storage employed</t>
  </si>
  <si>
    <t>MicroSD: Kingston Canvas Select Plus, 16GB, U1, V10, A1 (initially)
Kingston EP MicroSDXC, EP Series 64GB MICRO SDXC V30 A1 (later measurements)</t>
  </si>
  <si>
    <t>Release year**</t>
  </si>
  <si>
    <t>Odroid MC1</t>
  </si>
  <si>
    <t>Flags used for building ATLAS</t>
  </si>
  <si>
    <t>Flags used for flagsearching - mandatory</t>
  </si>
  <si>
    <t>Flags used for building HPL</t>
  </si>
  <si>
    <t>Machine setup for building HPL</t>
  </si>
  <si>
    <t>Ran?</t>
  </si>
  <si>
    <t>NOTE</t>
  </si>
  <si>
    <t>-D c -DWALL -b 32 -A ARMa7 --force-tids="4 0 1 2 3"</t>
  </si>
  <si>
    <t>-O2 -mcpu=cortex-a7 -fno-schedule-insns -fselective-scheduling2</t>
  </si>
  <si>
    <t>odroid12</t>
  </si>
  <si>
    <t>-D c -DWALL -b 32 -A ARMa7 --force-tids="4 0 1 2 3" -Fa al "-mcpu=cortex-a7 -mfloat-abi=hard -mfpu=neon-vfpv4"</t>
  </si>
  <si>
    <t>-O2 -mcpu=cortex-a7 -fno-schedule-insns -fselective-scheduling2 -mfloat-abi=hard -mfpu=neon-vfpv4</t>
  </si>
  <si>
    <t>-O2 -fselective-scheduling2 -mcpu=cortex-a7 -mfloat-abi=hard -mfpu=neon-vfpv4 (implied by -A ARMa15 and custom ones)</t>
  </si>
  <si>
    <t>odroid10</t>
  </si>
  <si>
    <t>-D c -DWALL -b 32 --force-tids="4 0 1 2 3" -F al "-march=armv7 -mtune=cortex-a7 -mfloat-abi=hard -mfpu=neon-vfpv4"</t>
  </si>
  <si>
    <t>-march=armv7 -mtune=cortex-a7 -mfloat-abi=hard -mfpu=neon-vfpv4</t>
  </si>
  <si>
    <t>Odroid13</t>
  </si>
  <si>
    <t>overridea li -F i task-set?</t>
  </si>
  <si>
    <t>-D c -DWALL -b 32 -A ARMa15 --force-tids="4 4 5 6 7"</t>
  </si>
  <si>
    <t>-O2 -fno-schedule-insns -fno-schedule-insns2 -fprefetch-loop-arrays</t>
  </si>
  <si>
    <t>-O2 -fselective-scheduling2 (implied by -A ARMa15)</t>
  </si>
  <si>
    <t>Odroid10</t>
  </si>
  <si>
    <t>made without taskset</t>
  </si>
  <si>
    <t>-D c -DWALL -b 32 -A ARMa15 --force-tids="4 4 5 6 7" -Fa al "-mcpu=cortex-a15 -mfloat-abi=hard -mfpu=neon-vfpv4"</t>
  </si>
  <si>
    <t>-O2 -fno-schedule-insns -fno-schedule-insns2 -fprefetch-loop-arrays -mcpu=cortex-a15 -mfloat-abi=hard -mfpu=neon-vfpv4</t>
  </si>
  <si>
    <t>-O2 -fselective-scheduling2 -mcpu=cortex-a15 -mfloat-abi=hard -mfpu=neon-vfpv4 (implied by -A ARMa15 and the custom ones)</t>
  </si>
  <si>
    <t>-D c -DWALL -b 32 --force-tids="4 4 5 6 7" -F al "-march=armv7 -mtune=cortex-a15 -mfloat-abi=hard -mfpu=neon-vfpv4"</t>
  </si>
  <si>
    <t>-march=armv7 -mtune=cortex-a15 -mfloat-abi=hard -mfpu=neon-vfpv4</t>
  </si>
  <si>
    <t>Odroid12</t>
  </si>
  <si>
    <t>-D c -DWALL -b 32 -A ARMa7 --force-tids="4 0 1 2 3" -Fa al "-mtune=cortex-a7 -mfloat-abi=hard -mfpu=neon-vfpv4"</t>
  </si>
  <si>
    <t>-O2 -fselective-scheduling2 -mtune=cortex-a7 -mfloat-abi=hard -mfpu=neon-vfpv4</t>
  </si>
  <si>
    <t>Odroid11</t>
  </si>
  <si>
    <t>-D c -DWALL -b 32 -A ARMa15 --force-tids="4 4 5 6 7" -Fa al "-mtune=cortex-a15 -mfloat-abi=hard -mfpu=neon-vfpv4"</t>
  </si>
  <si>
    <t>-O2 -fno-schedule-insns -fno-schedule-insns2 -fprefetch-loop-arrays -mtune=cortex-a15 -mfloat-abi=hard -mfpu=neon-vfpv4</t>
  </si>
  <si>
    <t>-O2 -fselective-scheduling2 -mtune=cortex-a15 -mfloat-abi=hard -mfpu=neon-vfpv4 (implied by -A ARMa15 and the custom ones)</t>
  </si>
  <si>
    <t xml:space="preserve"> -D c -DWALL -b 32 --force-tids="4 0 1 2 3" -F al "-O1 -march=armv7 -mtune=cortex-a7 -mfloat-abi=hard -mfpu=neon-vfpv4 -fno-expensive-optimizations -fschedule-insns2 -frename-registers"</t>
  </si>
  <si>
    <t>-O1 -march=armv7 -mtune=cortex-a7 -mfloat-abi=hard -mfpu=neon-vfpv4 -fno-expensive-optimizations -fschedule-insns2 -frename-registers</t>
  </si>
  <si>
    <t>-D c -DWALL -b 32 --force-tids="4 4 5 6 7" -m 2000 -F al "-march=armv7-a -mtune=cortex-a15 -mfloat-abi=hard -mfpu=neon-vfpv4"</t>
  </si>
  <si>
    <t>-march=armv7-a -mtune=cortex-a15 -mfloat-abi=hard -mfpu=neon-vfpv4</t>
  </si>
  <si>
    <t>-D c -DWALL -b 32 --force-tids="4 4 5 6 7" -m 2000 -Fa al "-O2 -fno-schedule-insns -fno-schedule-insns2 -fprefetch-loop-arrays -mfpu=neon-vfpv4 -fno-peephole2"</t>
  </si>
  <si>
    <t>-O2 -fno-schedule-insns -fno-schedule-insns2 -fprefetch-loop-arrays -mfpu=neon-vfpv4 -fno-peephole2</t>
  </si>
  <si>
    <t>-D c -DWALL -b 32 --force-tids="4 4 5 6 7" -m 2000 -F al "-O1 -march=armv7 -mtune=cortex-a15 -mfloat-abi=hard -mfpu=neon-vfpv4 -fschedule-insns2 -fselective-scheduling2 -fno-move-loop-invariants"</t>
  </si>
  <si>
    <t>-O1 -march=armv7 -mtune=cortex-a15 -mfloat-abi=hard -mfpu=neon-vfpv4 -fschedule-insns2 -fselective-scheduling2 -fno-move-loop-invariants</t>
  </si>
  <si>
    <t>-D c -DWALL -b 32 --force-tids="4 4 5 6 7" -m 2000 -F al "-O1 -march=armv7-a -mtune=cortex-a15 -mfloat-abi=hard -mfpu=neon-vfpv4 -fschedule-insns2 -fselective-scheduling2 -fivopts"</t>
  </si>
  <si>
    <t>-O1 -march=armv7-a -mtune=cortex-a15 -mfloat-abi=hard -mfpu=neon-vfpv4 -fschedule-insns2 -fselective-scheduling2 -fivopts</t>
  </si>
  <si>
    <t>-D c -DWALL -b 32 -A ARMa7 --force-tids="4 0 1 2 3" -Fa al "-O2 -mcpu=cortex-a7 -fno-schedule-insns -fselective-scheduling2 -frename-registers -fno-tree-pre"</t>
  </si>
  <si>
    <t>-O2 -mcpu=cortex-a7 -fno-schedule-insns -fselective-scheduling2 -frename-registers -fno-tree-pre</t>
  </si>
  <si>
    <t>-D c -DWALL -b 32 -m 2000 --force-tids="4 4 5 6 7" -Fa al "-mcpu=cortex-a15 -mfloat-abi=hard -mfpu=neon-vfpv4"</t>
  </si>
  <si>
    <t>-mcpu=cortex-a15 -mfloat-abi=hard -mfpu=neon-vfpv4</t>
  </si>
  <si>
    <t>Odorid12</t>
  </si>
  <si>
    <t>-D c -DWALL -b 32 --force-tids="4 0 1 2 3" -Fa al "-mcpu=cortex-a7 -mfloat-abi=hard -mfpu=neon-vfpv4"</t>
  </si>
  <si>
    <t>-mcpu=cortex-a7 -mfloat-abi=hard -mfpu=neon-vfpv4</t>
  </si>
  <si>
    <t>Flags used for building</t>
  </si>
  <si>
    <t>Flags used for flagsearching - optional</t>
  </si>
  <si>
    <t>Machine originally
built on</t>
  </si>
  <si>
    <t>Needs
flagsearching</t>
  </si>
  <si>
    <t>Flagsearched (d)</t>
  </si>
  <si>
    <t>Flagsearched (s)
No need! HPL uses only double precision! See ATLAS install manual</t>
  </si>
  <si>
    <t>Flagsearched (Td)</t>
  </si>
  <si>
    <t>TODO</t>
  </si>
  <si>
    <t>-mfloat-abi=hard
-mfpu=neon-vfpv4</t>
  </si>
  <si>
    <t>X</t>
  </si>
  <si>
    <t>OK build prema najnoviji saznanjima.</t>
  </si>
  <si>
    <t>In progress</t>
  </si>
  <si>
    <t>-march=armv7-a
-march=armv7</t>
  </si>
  <si>
    <t>NIJE POTREBAN BUILD, isto možemo postići s buildom 1 uz dodatak u flagsearchu mfloat mfpu.</t>
  </si>
  <si>
    <t>Freshly finished</t>
  </si>
  <si>
    <t>-march=armv7-a</t>
  </si>
  <si>
    <t>Done</t>
  </si>
  <si>
    <t>-D c -DWALL -b 32 -A ARMa15 -m 2000 --force-tids="4 4 5 6 7"</t>
  </si>
  <si>
    <t>-march=armv7
-march=armv7-a
-mcpu=cortex-a15
-mtune=cortex-a15
-mfloat-abi=hard
-mfpu=neon-vfpv4</t>
  </si>
  <si>
    <t>OK build prema najnoviji saznanjima.
ARMa15 implicira "-O2 -fno-schedule-insns -fno-schedule-insns2 -fprefetch-loop-arrays" za dmc kompajler (koji je gcc kompajler za MM kernel u duploj precinosti)</t>
  </si>
  <si>
    <t>TODO with the same settings!</t>
  </si>
  <si>
    <t>Nije ok build jer kombinira optimizacijske flagove (u ARMa15). DO THE FLAGSEARCH</t>
  </si>
  <si>
    <t>-D c -DWALL -b 32 --force-tids="4 4 5 6 7" -m 2000 -F al "-march=armv7 -mtune=cortex-a15 -mfloat-abi=hard -mfpu=neon-vfpv4"</t>
  </si>
  <si>
    <t>NIJE POTREBAN BUILD, predefinirani flag -mcpu ne ide u kombinaciji s mtune koji smo dodali. Ostalo rješava build 3</t>
  </si>
  <si>
    <t>Nije ok build jer kombinira optimizacijske flagove (u ARMa15).</t>
  </si>
  <si>
    <t>-march=armv7</t>
  </si>
  <si>
    <t>Nema ga ni na jednom stroju osim na odroid13, no ipak je HPL radio. Znači li to da build ne moram kopirati na strojeve već samo HPL koji je buildan povrh tog builda ATLAS-a? Provjeriti tako da se ovaj build kopira na sve strojeve i pokrene HPL opet. Ako su rez jako slični onda vrijedi to.</t>
  </si>
  <si>
    <t>Poslati ga na odroid10 još!</t>
  </si>
  <si>
    <t>-march=armv7-a
-march=armv7
-mcpu=cortex-a15
-mtune=cortex-a15
-mfloat-abi=hard
-mfpu=neon-vfpv4</t>
  </si>
  <si>
    <t>VARIANTS FOR THE PAPER</t>
  </si>
  <si>
    <t>ATLAS flags</t>
  </si>
  <si>
    <t xml:space="preserve">-A ARMa15 -m 2000 </t>
  </si>
  <si>
    <t>-D c -DWALL -b 32 --force-tids="4 4 5 6 7" -m 2000 -Fa alg "-march=armv7 -mtune=cortex-a15 -mfloat-abi=hard -mfpu=neon-vfpv4"</t>
  </si>
  <si>
    <t>-m 2000 -Fa alg "-march=armv7 -mtune=cortex-a15 -mfloat-abi=hard -mfpu=neon-vfpv4"</t>
  </si>
  <si>
    <t>-D c -DWALL -b 32 -A ARMa15 --force-tids="4 4 5 6 7" -Fa alg "-mtune=cortex-a15 -mfloat-abi=hard -mfpu=neon-vfpv4"</t>
  </si>
  <si>
    <t>-A ARMa15  -Fa alg "-mtune=cortex-a15 -mfloat-abi=hard -mfpu=neon-vfpv4"</t>
  </si>
  <si>
    <t>-D c -DWALL -b 32 --force-tids="4 4 5 6 7" -m 2000 -Fa alg "-march=armv7-a -mtune=cortex-a15 -mfloat-abi=hard -mfpu=neon-vfpv4"</t>
  </si>
  <si>
    <t>-m 2000 -Fa alg "-march=armv7-a -mtune=cortex-a15 -mfloat-abi=hard -mfpu=neon-vfpv4"</t>
  </si>
  <si>
    <t>-D c -DWALL -b 32 -m 2000 --force-tids="4 4 5 6 7" -Fa alg "-mcpu=cortex-a15 -mfloat-abi=hard -mfpu=neon-vfpv4"</t>
  </si>
  <si>
    <t>-m 2000  -Fa alg "-mcpu=cortex-a15 -mfloat-abi=hard -mfpu=neon-vfpv4"</t>
  </si>
  <si>
    <t xml:space="preserve">-A ARMa15 </t>
  </si>
  <si>
    <t>-D c -DWALL -b 32 --force-tids="4 4 5 6 7" -m 2000 -Fa alg "-O3 -fno-schedule-insns -fno-schedule-insns2 -fprefetch-loop-arrays -mfpu=neon-vfpv4 -mfloat-abi=hard"</t>
  </si>
  <si>
    <t>-m 2000 -Fa alg "-O3 -fno-schedule-insns -fno-schedule-insns2 -fprefetch-loop-arrays -mfpu=neon-vfpv4 -mfloat-abi=hard"</t>
  </si>
  <si>
    <t>-D c -DWALL -b 32 --force-tids="4 4 5 6 7" -m 2000 -Fa alg "-Os -march=armv7 -mtune=cortex-a15 -mfloat-abi=hard -mfpu=neon-vfpv4 -fschedule-insns2 -mfloat-abi=hard -fselective-scheduling2 -fno-tree-ter"</t>
  </si>
  <si>
    <t>-m 2000 -Fa alg "-Os -march=armv7 -mtune=cortex-a15 -mfloat-abi=hard -mfpu=neon-vfpv4 -fschedule-insns2 -mfloat-abi=hard -fselective-scheduling2 -fno-tree-ter"</t>
  </si>
  <si>
    <t>-D c -DWALL -b 32 --force-tids="4 4 5 6 7" -m 2000 -Fa alg "-O1 -fno-schedule-insns -fno-schedule-insns2 -fprefetch-loop-arrays -mtune=cortex-a7 -mfloat-abi=hard -mfpu=neon-vfpv4 -fschedule-insns2 -fsched2-use-superblocks"</t>
  </si>
  <si>
    <t>-m 2000 -Fa alg "-O1 -fno-schedule-insns -fno-schedule-insns2 -fprefetch-loop-arrays -mtune=cortex-a7 -mfloat-abi=hard -mfpu=neon-vfpv4 -fschedule-insns2 -fsched2-use-superblocks"</t>
  </si>
  <si>
    <t>-D c -DWALL -b 32 --force-tids="4 4 5 6 7" -m 2000 -Fa alg "-Os -march=armv7-a -mtune=cortex-a15 -mfloat-abi=hard -mfpu=neon-vfpv4 -fselective-scheduling2 -fmodulo-sched -fno-tree-ter"</t>
  </si>
  <si>
    <t>-m 2000 -Fa alg "-Os -march=armv7-a -mtune=cortex-a15 -mfloat-abi=hard -mfpu=neon-vfpv4 -fselective-scheduling2 -fmodulo-sched -fno-tree-ter"</t>
  </si>
  <si>
    <t>-D c -DWALL -b 32 --force-tids="4 4 5 6 7" -m 2000 -Fa alg "-O1 -mcpu=cortex-a15 -mfloat-abi=hard -mfpu=neon-vfpv4 -fno-schedule-insns -fschedule-insns2 -fselective-scheduling2 -fno-move-loop-invariants"</t>
  </si>
  <si>
    <t>-m 2000 -Fa alg "-O1 -mcpu=cortex-a15 -mfloat-abi=hard -mfpu=neon-vfpv4 -fno-schedule-insns -fschedule-insns2 -fselective-scheduling2 -fno-move-loop-invariants"</t>
  </si>
  <si>
    <t>-D c -DWALL -b 32 --force-tids="4 4 5 6 7" -m 2000 -Fa alg "-O2 -fno-schedule-insns -fno-schedule-insns2 -fprefetch-loop-arrays -mfpu=neon-vfpv4"</t>
  </si>
  <si>
    <t>-m 2000 -Fa alg "-O2 -fno-schedule-insns -fno-schedule-insns2 -fprefetch-loop-arrays -mfpu=neon-vfpv4"</t>
  </si>
  <si>
    <t>Input combinations, big cores</t>
  </si>
  <si>
    <t>Theoretical:</t>
  </si>
  <si>
    <t>--force-tids="4 4 5 6 7"</t>
  </si>
  <si>
    <t>-m 2000</t>
  </si>
  <si>
    <t>-mfloat-abi=hard</t>
  </si>
  <si>
    <t>-A ARMa15</t>
  </si>
  <si>
    <t>-mfpu=neon-vfpv4</t>
  </si>
  <si>
    <t>-mtune=cortex-a15</t>
  </si>
  <si>
    <t>Y</t>
  </si>
  <si>
    <t>GCC Flags</t>
  </si>
  <si>
    <t>-mcpu=cortex-a15</t>
  </si>
  <si>
    <t>Optimization level</t>
  </si>
  <si>
    <t>-O3</t>
  </si>
  <si>
    <t>-O2</t>
  </si>
  <si>
    <t>-Os</t>
  </si>
  <si>
    <t>-O1</t>
  </si>
  <si>
    <t>small</t>
  </si>
  <si>
    <t>small-atlasarch-tune</t>
  </si>
  <si>
    <t>small-arch-tune</t>
  </si>
  <si>
    <t>small-atlasarch-tune2</t>
  </si>
  <si>
    <t>small-flags</t>
  </si>
  <si>
    <t>small-atlasarch-tune-flags</t>
  </si>
  <si>
    <t>small-arch-tune-flags</t>
  </si>
  <si>
    <t>small-atlasarch-tune2-flags</t>
  </si>
  <si>
    <t>small-cpu-flags</t>
  </si>
  <si>
    <t>-A ARMa7</t>
  </si>
  <si>
    <t>-D c -DWALL -b 32 -A ARMa7-Fa alg "-mtune=cortex-a7 -mfloat-abi=hard -mfpu=neon-vfpv4"</t>
  </si>
  <si>
    <t>-D c -DWALL -b 32 -A ARMa7</t>
  </si>
  <si>
    <t>--force-tids="4 0 1 2 3"</t>
  </si>
  <si>
    <t>-mtune=cortex-a7</t>
  </si>
  <si>
    <t>-mcpu=cortex-a7</t>
  </si>
  <si>
    <t>-D c -DWALL -b 32 -Fa alg "-mcpu=cortex-a7 -mfloat-abi=hard -mfpu=neon-vfpv4"</t>
  </si>
  <si>
    <t>-D c -DWALL -b 32 -F alg "-march=armv7 -mtune=cortex-a7 -mfloat-abi=hard -mfpu=neon-vfpv4"</t>
  </si>
  <si>
    <t>-D c -DWALL -b 32 -Fa alg "-O1 -mcpu=cortex-a7 -fno-schedule-insns -fselective-scheduling2 -fschedule-insns -fschedule-insns2 -mfpu=neon-vfpv4 -fselective-scheduling"</t>
  </si>
  <si>
    <t>-D c -DWALL -b 32 -Fa alg "-O1 -fselective-scheduling2 -mcpu=cortex-a7 -mfloat-abi=hard -mfpu=neon-vfpv4 -fno-expensive-optimizations -fschedule-insns2"</t>
  </si>
  <si>
    <t>-D c -DWALL -b 32 -Fa alg "-O1 -march=armv7 -mtune=cortex-a7 -mfloat-abi=hard -mfpu=neon-vfpv4 -fno-expensive-optimizations -fschedule-insns -fschedule-insns2 -funroll-all-loops"</t>
  </si>
  <si>
    <t>-D c -DWALL -b 32 -Fa alg "-O1 -fselective-scheduling2 -mtune=cortex-a7 -mfloat-abi=hard -mfpu=neon-vfpv4 -fno-expensive-optimizations -fschedule-insns -fschedule-insns2 -fselective-scheduling"</t>
  </si>
  <si>
    <t>-D c -DWALL -b 32 -Fa alg "-O1 -mcpu=cortex-a7 -mfloat-abi=hard -mfpu=neon-vfpv4 -fno-expensive-optimizations -fschedule-insns -fschedule-insns2 -funroll-all-loops"</t>
  </si>
  <si>
    <t>-A ARMa7-Fa alg "-mtune=cortex-a7 -mfloat-abi=hard -mfpu=neon-vfpv4"</t>
  </si>
  <si>
    <t>-Fa alg "-mcpu=cortex-a7 -mfloat-abi=hard -mfpu=neon-vfpv4"</t>
  </si>
  <si>
    <t>-F alg "-march=armv7 -mtune=cortex-a7 -mfloat-abi=hard -mfpu=neon-vfpv4"</t>
  </si>
  <si>
    <t>-Fa alg "-O1 -mcpu=cortex-a7 -fno-schedule-insns -fselective-scheduling2 -fschedule-insns -fschedule-insns2 -mfpu=neon-vfpv4 -fselective-scheduling"</t>
  </si>
  <si>
    <t>-Fa alg "-O1 -fselective-scheduling2 -mcpu=cortex-a7 -mfloat-abi=hard -mfpu=neon-vfpv4 -fno-expensive-optimizations -fschedule-insns2"</t>
  </si>
  <si>
    <t>-Fa alg "-O1 -march=armv7 -mtune=cortex-a7 -mfloat-abi=hard -mfpu=neon-vfpv4 -fno-expensive-optimizations -fschedule-insns -fschedule-insns2 -funroll-all-loops"</t>
  </si>
  <si>
    <t>-Fa alg "-O1 -fselective-scheduling2 -mtune=cortex-a7 -mfloat-abi=hard -mfpu=neon-vfpv4 -fno-expensive-optimizations -fschedule-insns -fschedule-insns2 -fselective-scheduling"</t>
  </si>
  <si>
    <t>-Fa alg "-O1 -mcpu=cortex-a7 -mfloat-abi=hard -mfpu=neon-vfpv4 -fno-expensive-optimizations -fschedule-insns -fschedule-insns2 -funroll-all-loops"</t>
  </si>
  <si>
    <t>Name of the build</t>
  </si>
  <si>
    <t>All flags used</t>
  </si>
  <si>
    <t>BEST average:</t>
  </si>
  <si>
    <t>linux_OpenBLAS</t>
  </si>
  <si>
    <t>Odroid MC1 - small cores @ 933MHz, Swap ON, "small" build, ATLAS</t>
  </si>
  <si>
    <t>Odroid MC1 - small cores @ 933MHz, Swap ON, "small" build, OpenBLAS</t>
  </si>
  <si>
    <t>odroid10, "big" build, big cores, 825MHz, Swap ON, ATLAS</t>
  </si>
  <si>
    <t>odroid10, "big" build, big cores, 825MHz, Swap ON, OpenBLAS</t>
  </si>
  <si>
    <t>odroid10, "big" build, big cores, 933MHz, Swap ON, ATLAS</t>
  </si>
  <si>
    <t>odroid10, "big" build, big cores, 933MHz, Swap ON, OpenBLAS</t>
  </si>
  <si>
    <t>odroid10, "small" build, small cores, 825MHz, Swap ON, ATLAS</t>
  </si>
  <si>
    <t>odroid10, "small" build, small cores, 825MHz, Swap ON, OpenBLAS</t>
  </si>
  <si>
    <t>odroid10, "small" build, small cores, 933MHz, Swap ON, ATLAS</t>
  </si>
  <si>
    <t>odroid10, "small" build, small cores, 933MHz, Swap ON, OpenBLAS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</si>
</sst>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h:mm:ss;@"/>
  </numFmts>
  <fonts count="18" x14ac:knownFonts="1">
    <font>
      <sz val="11"/>
      <color theme="1"/>
      <name val="Calibri"/>
      <family val="2"/>
      <charset val="238"/>
      <scheme val="minor"/>
    </font>
    <font>
      <b/>
      <sz val="11"/>
      <color theme="1"/>
      <name val="Calibri"/>
      <family val="2"/>
      <scheme val="minor"/>
    </font>
    <font>
      <sz val="11"/>
      <color theme="0"/>
      <name val="Calibri"/>
      <family val="2"/>
      <charset val="238"/>
      <scheme val="minor"/>
    </font>
    <font>
      <sz val="11"/>
      <name val="Calibri"/>
      <family val="2"/>
      <charset val="238"/>
      <scheme val="minor"/>
    </font>
    <font>
      <sz val="11"/>
      <color rgb="FF006100"/>
      <name val="Calibri"/>
      <family val="2"/>
      <charset val="238"/>
      <scheme val="minor"/>
    </font>
    <font>
      <b/>
      <sz val="12"/>
      <color theme="1"/>
      <name val="Calibri"/>
      <family val="2"/>
      <scheme val="minor"/>
    </font>
    <font>
      <b/>
      <sz val="10"/>
      <color theme="1"/>
      <name val="Calibri"/>
      <family val="2"/>
      <scheme val="minor"/>
    </font>
    <font>
      <sz val="11"/>
      <color rgb="FF9C5700"/>
      <name val="Calibri"/>
      <family val="2"/>
      <charset val="238"/>
      <scheme val="minor"/>
    </font>
    <font>
      <sz val="11"/>
      <color rgb="FFFF0000"/>
      <name val="Calibri"/>
      <family val="2"/>
      <charset val="238"/>
      <scheme val="minor"/>
    </font>
    <font>
      <b/>
      <sz val="8"/>
      <color theme="1"/>
      <name val="Times New Roman"/>
      <family val="1"/>
    </font>
    <font>
      <sz val="8"/>
      <color theme="1"/>
      <name val="Times New Roman"/>
      <family val="1"/>
    </font>
    <font>
      <b/>
      <sz val="8"/>
      <color rgb="FFC00000"/>
      <name val="Times New Roman"/>
      <family val="1"/>
    </font>
    <font>
      <b/>
      <sz val="8"/>
      <name val="Times New Roman"/>
      <family val="1"/>
    </font>
    <font>
      <sz val="8"/>
      <color theme="0" tint="-0.34998626667073579"/>
      <name val="Times New Roman"/>
      <family val="1"/>
    </font>
    <font>
      <sz val="8"/>
      <name val="Times New Roman"/>
      <family val="1"/>
    </font>
    <font>
      <sz val="8"/>
      <color theme="2"/>
      <name val="Times New Roman"/>
      <family val="1"/>
    </font>
    <font>
      <sz val="8"/>
      <color theme="0"/>
      <name val="Times New Roman"/>
      <family val="1"/>
    </font>
    <font>
      <sz val="8"/>
      <name val="Calibri"/>
      <family val="2"/>
      <charset val="238"/>
      <scheme val="minor"/>
    </font>
  </fonts>
  <fills count="12">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C000"/>
        <bgColor indexed="64"/>
      </patternFill>
    </fill>
    <fill>
      <patternFill patternType="solid">
        <fgColor theme="5" tint="-0.249977111117893"/>
        <bgColor indexed="64"/>
      </patternFill>
    </fill>
    <fill>
      <patternFill patternType="solid">
        <fgColor theme="2"/>
        <bgColor indexed="64"/>
      </patternFill>
    </fill>
    <fill>
      <patternFill patternType="solid">
        <fgColor rgb="FFC00000"/>
        <bgColor indexed="64"/>
      </patternFill>
    </fill>
    <fill>
      <patternFill patternType="solid">
        <fgColor rgb="FFC6EFCE"/>
      </patternFill>
    </fill>
    <fill>
      <patternFill patternType="solid">
        <fgColor rgb="FFFFEB9C"/>
      </patternFill>
    </fill>
    <fill>
      <patternFill patternType="solid">
        <fgColor theme="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4" fillId="9" borderId="0" applyNumberFormat="0" applyBorder="0" applyAlignment="0" applyProtection="0"/>
    <xf numFmtId="0" fontId="7" fillId="10" borderId="0" applyNumberFormat="0" applyBorder="0" applyAlignment="0" applyProtection="0"/>
    <xf numFmtId="0" fontId="2" fillId="11" borderId="0" applyNumberFormat="0" applyBorder="0" applyAlignment="0" applyProtection="0"/>
  </cellStyleXfs>
  <cellXfs count="128">
    <xf numFmtId="0" fontId="0" fillId="0" borderId="0" xfId="0"/>
    <xf numFmtId="11" fontId="0" fillId="0" borderId="0" xfId="0" applyNumberFormat="1"/>
    <xf numFmtId="0" fontId="0" fillId="0" borderId="0" xfId="0" applyAlignment="1">
      <alignment horizontal="center"/>
    </xf>
    <xf numFmtId="0" fontId="0" fillId="0" borderId="0" xfId="0" applyAlignment="1">
      <alignment wrapText="1"/>
    </xf>
    <xf numFmtId="49" fontId="0" fillId="0" borderId="0" xfId="0" applyNumberFormat="1"/>
    <xf numFmtId="0" fontId="1" fillId="0" borderId="0" xfId="0" applyFont="1"/>
    <xf numFmtId="0" fontId="1" fillId="0" borderId="0" xfId="0" applyFont="1" applyAlignment="1">
      <alignment horizontal="left" vertical="center"/>
    </xf>
    <xf numFmtId="49" fontId="0" fillId="0" borderId="0" xfId="0" applyNumberFormat="1" applyAlignment="1">
      <alignment wrapText="1"/>
    </xf>
    <xf numFmtId="0" fontId="0" fillId="0" borderId="0" xfId="0" applyAlignment="1">
      <alignment vertical="center"/>
    </xf>
    <xf numFmtId="0" fontId="0" fillId="0" borderId="0" xfId="0" applyAlignment="1">
      <alignment vertical="center" wrapText="1"/>
    </xf>
    <xf numFmtId="49" fontId="1" fillId="0" borderId="0" xfId="0" applyNumberFormat="1" applyFont="1" applyAlignment="1">
      <alignment horizontal="center" vertical="center" wrapText="1"/>
    </xf>
    <xf numFmtId="0" fontId="1" fillId="0" borderId="0" xfId="0" applyFont="1" applyAlignment="1">
      <alignment horizontal="center" vertical="center" wrapText="1"/>
    </xf>
    <xf numFmtId="49" fontId="0" fillId="0" borderId="0" xfId="0" applyNumberFormat="1" applyAlignment="1">
      <alignment vertical="center" wrapText="1"/>
    </xf>
    <xf numFmtId="0" fontId="1" fillId="0" borderId="0" xfId="0" applyFont="1" applyAlignment="1">
      <alignment horizontal="center"/>
    </xf>
    <xf numFmtId="49" fontId="0" fillId="3" borderId="0" xfId="0" applyNumberFormat="1" applyFill="1" applyAlignment="1">
      <alignment vertical="center" wrapText="1"/>
    </xf>
    <xf numFmtId="0" fontId="0" fillId="3" borderId="0" xfId="0" applyFill="1" applyAlignment="1">
      <alignment vertical="center"/>
    </xf>
    <xf numFmtId="164" fontId="0" fillId="0" borderId="0" xfId="0" applyNumberFormat="1"/>
    <xf numFmtId="164" fontId="1" fillId="0" borderId="0" xfId="0" applyNumberFormat="1" applyFont="1"/>
    <xf numFmtId="0" fontId="0" fillId="5" borderId="0" xfId="0" applyFill="1" applyAlignment="1">
      <alignment vertical="center"/>
    </xf>
    <xf numFmtId="0" fontId="3" fillId="0" borderId="0" xfId="0" applyFont="1" applyAlignment="1">
      <alignment vertical="center"/>
    </xf>
    <xf numFmtId="49" fontId="3" fillId="0" borderId="0" xfId="0" applyNumberFormat="1" applyFont="1" applyAlignment="1">
      <alignment vertical="center" wrapText="1"/>
    </xf>
    <xf numFmtId="49" fontId="3" fillId="3" borderId="0" xfId="0" applyNumberFormat="1" applyFont="1" applyFill="1" applyAlignment="1">
      <alignment vertical="center" wrapText="1"/>
    </xf>
    <xf numFmtId="0" fontId="0" fillId="3" borderId="0" xfId="0" applyFill="1"/>
    <xf numFmtId="0" fontId="2" fillId="8" borderId="0" xfId="0" applyFont="1" applyFill="1"/>
    <xf numFmtId="0" fontId="3" fillId="0" borderId="0" xfId="0" applyFont="1"/>
    <xf numFmtId="165" fontId="0" fillId="0" borderId="0" xfId="0" applyNumberFormat="1"/>
    <xf numFmtId="165" fontId="1" fillId="0" borderId="0" xfId="0" applyNumberFormat="1" applyFont="1"/>
    <xf numFmtId="14" fontId="0" fillId="0" borderId="0" xfId="0" applyNumberFormat="1"/>
    <xf numFmtId="21" fontId="0" fillId="0" borderId="0" xfId="0" applyNumberFormat="1"/>
    <xf numFmtId="164" fontId="1" fillId="0" borderId="0" xfId="0" applyNumberFormat="1" applyFont="1" applyAlignment="1">
      <alignment horizontal="center"/>
    </xf>
    <xf numFmtId="164" fontId="0" fillId="0" borderId="0" xfId="0" applyNumberFormat="1" applyAlignment="1">
      <alignment horizontal="center"/>
    </xf>
    <xf numFmtId="166" fontId="0" fillId="0" borderId="0" xfId="0" applyNumberFormat="1"/>
    <xf numFmtId="166" fontId="1" fillId="0" borderId="0" xfId="0" applyNumberFormat="1" applyFont="1" applyAlignment="1">
      <alignment horizontal="center"/>
    </xf>
    <xf numFmtId="166" fontId="1" fillId="0" borderId="0" xfId="0" applyNumberFormat="1" applyFont="1"/>
    <xf numFmtId="0" fontId="5" fillId="0" borderId="0" xfId="0" applyFont="1" applyAlignment="1">
      <alignment horizontal="center"/>
    </xf>
    <xf numFmtId="164" fontId="5" fillId="0" borderId="0" xfId="0" applyNumberFormat="1" applyFont="1"/>
    <xf numFmtId="0" fontId="5" fillId="0" borderId="0" xfId="0" applyFont="1"/>
    <xf numFmtId="166" fontId="5" fillId="0" borderId="0" xfId="0" applyNumberFormat="1" applyFont="1"/>
    <xf numFmtId="164" fontId="5" fillId="0" borderId="0" xfId="0" applyNumberFormat="1" applyFont="1" applyAlignment="1">
      <alignment horizontal="center"/>
    </xf>
    <xf numFmtId="166" fontId="5" fillId="0" borderId="0" xfId="0" applyNumberFormat="1" applyFont="1" applyAlignment="1">
      <alignment horizontal="center"/>
    </xf>
    <xf numFmtId="165" fontId="1" fillId="0" borderId="0" xfId="0" applyNumberFormat="1" applyFont="1" applyAlignment="1">
      <alignment horizontal="center"/>
    </xf>
    <xf numFmtId="14" fontId="1" fillId="0" borderId="0" xfId="0" applyNumberFormat="1" applyFont="1" applyAlignment="1">
      <alignment horizontal="center"/>
    </xf>
    <xf numFmtId="0" fontId="6" fillId="0" borderId="0" xfId="0" applyFont="1" applyAlignment="1">
      <alignment horizontal="center"/>
    </xf>
    <xf numFmtId="14" fontId="1" fillId="0" borderId="0" xfId="0" applyNumberFormat="1" applyFont="1"/>
    <xf numFmtId="0" fontId="4" fillId="9" borderId="0" xfId="1"/>
    <xf numFmtId="0" fontId="7" fillId="10" borderId="0" xfId="2"/>
    <xf numFmtId="0" fontId="1" fillId="0" borderId="1" xfId="0" applyFont="1" applyBorder="1"/>
    <xf numFmtId="0" fontId="0" fillId="0" borderId="1" xfId="0" applyBorder="1"/>
    <xf numFmtId="0" fontId="8" fillId="0" borderId="1" xfId="0" applyFont="1" applyBorder="1"/>
    <xf numFmtId="14" fontId="7" fillId="10" borderId="0" xfId="2" applyNumberFormat="1"/>
    <xf numFmtId="21" fontId="7" fillId="10" borderId="0" xfId="2" applyNumberFormat="1"/>
    <xf numFmtId="49" fontId="4" fillId="9" borderId="0" xfId="1" applyNumberFormat="1" applyAlignment="1">
      <alignment vertical="center" wrapText="1"/>
    </xf>
    <xf numFmtId="0" fontId="9" fillId="0" borderId="1" xfId="0" applyFont="1" applyBorder="1" applyAlignment="1">
      <alignment vertical="center"/>
    </xf>
    <xf numFmtId="0" fontId="10" fillId="0" borderId="1" xfId="0" applyFont="1" applyBorder="1" applyAlignment="1">
      <alignment vertical="center"/>
    </xf>
    <xf numFmtId="0" fontId="9" fillId="0" borderId="1" xfId="0" applyFont="1" applyBorder="1" applyAlignment="1">
      <alignment vertical="center" wrapText="1"/>
    </xf>
    <xf numFmtId="0" fontId="10" fillId="0" borderId="1" xfId="0" applyFont="1" applyBorder="1" applyAlignment="1">
      <alignment horizontal="center" vertical="center" wrapText="1"/>
    </xf>
    <xf numFmtId="49" fontId="9" fillId="0" borderId="0" xfId="0" applyNumberFormat="1"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center" vertical="center"/>
    </xf>
    <xf numFmtId="0" fontId="11" fillId="0" borderId="0" xfId="0" applyFont="1" applyAlignment="1">
      <alignment horizontal="center" vertical="center" wrapText="1"/>
    </xf>
    <xf numFmtId="0" fontId="9" fillId="0" borderId="0" xfId="0" applyFont="1" applyAlignment="1">
      <alignment vertical="center" wrapText="1"/>
    </xf>
    <xf numFmtId="0" fontId="12" fillId="4" borderId="1" xfId="0" applyFont="1" applyFill="1" applyBorder="1" applyAlignment="1">
      <alignment vertical="center"/>
    </xf>
    <xf numFmtId="0" fontId="9" fillId="0" borderId="0" xfId="0" applyFont="1" applyAlignment="1">
      <alignment vertical="center"/>
    </xf>
    <xf numFmtId="0" fontId="10" fillId="3" borderId="0" xfId="0" applyFont="1" applyFill="1" applyAlignment="1">
      <alignment vertical="center"/>
    </xf>
    <xf numFmtId="0" fontId="10" fillId="0" borderId="0" xfId="0" applyFont="1" applyAlignment="1">
      <alignment vertical="center"/>
    </xf>
    <xf numFmtId="49" fontId="10" fillId="0" borderId="0" xfId="0" applyNumberFormat="1" applyFont="1" applyAlignment="1">
      <alignment vertical="center" wrapText="1"/>
    </xf>
    <xf numFmtId="0" fontId="10" fillId="0" borderId="0" xfId="0" applyFont="1" applyAlignment="1">
      <alignment vertical="center" wrapText="1"/>
    </xf>
    <xf numFmtId="0" fontId="10" fillId="2" borderId="1" xfId="0" applyFont="1" applyFill="1" applyBorder="1" applyAlignment="1">
      <alignment vertical="center"/>
    </xf>
    <xf numFmtId="0" fontId="13" fillId="0" borderId="0" xfId="0" applyFont="1" applyAlignment="1">
      <alignment vertical="center"/>
    </xf>
    <xf numFmtId="49" fontId="13" fillId="0" borderId="0" xfId="0" applyNumberFormat="1" applyFont="1" applyAlignment="1">
      <alignment vertical="center" wrapText="1"/>
    </xf>
    <xf numFmtId="49" fontId="10" fillId="7" borderId="0" xfId="0" applyNumberFormat="1" applyFont="1" applyFill="1" applyAlignment="1">
      <alignment vertical="center" wrapText="1"/>
    </xf>
    <xf numFmtId="0" fontId="13" fillId="0" borderId="0" xfId="0" applyFont="1" applyAlignment="1">
      <alignment vertical="center" wrapText="1"/>
    </xf>
    <xf numFmtId="0" fontId="10" fillId="3" borderId="1" xfId="0" applyFont="1" applyFill="1" applyBorder="1" applyAlignment="1">
      <alignment vertical="center"/>
    </xf>
    <xf numFmtId="49" fontId="10" fillId="0" borderId="0" xfId="0" applyNumberFormat="1" applyFont="1" applyAlignment="1">
      <alignment vertical="center"/>
    </xf>
    <xf numFmtId="0" fontId="10" fillId="6" borderId="1" xfId="0" applyFont="1" applyFill="1" applyBorder="1" applyAlignment="1">
      <alignment vertical="center"/>
    </xf>
    <xf numFmtId="49" fontId="14" fillId="4" borderId="0" xfId="0" applyNumberFormat="1" applyFont="1" applyFill="1" applyAlignment="1">
      <alignment vertical="center" wrapText="1"/>
    </xf>
    <xf numFmtId="0" fontId="15" fillId="0" borderId="0" xfId="0" applyFont="1" applyAlignment="1">
      <alignment vertical="center"/>
    </xf>
    <xf numFmtId="0" fontId="15" fillId="0" borderId="0" xfId="0" applyFont="1" applyAlignment="1">
      <alignment vertical="center" wrapText="1"/>
    </xf>
    <xf numFmtId="0" fontId="14" fillId="0" borderId="0" xfId="0" applyFont="1" applyAlignment="1">
      <alignment vertical="center"/>
    </xf>
    <xf numFmtId="49" fontId="14" fillId="0" borderId="0" xfId="0" applyNumberFormat="1" applyFont="1" applyAlignment="1">
      <alignment vertical="center" wrapText="1"/>
    </xf>
    <xf numFmtId="0" fontId="13" fillId="4" borderId="0" xfId="0" applyFont="1" applyFill="1" applyAlignment="1">
      <alignment wrapText="1"/>
    </xf>
    <xf numFmtId="49" fontId="13" fillId="4" borderId="0" xfId="0" applyNumberFormat="1" applyFont="1" applyFill="1" applyAlignment="1">
      <alignment vertical="center" wrapText="1"/>
    </xf>
    <xf numFmtId="0" fontId="13" fillId="0" borderId="0" xfId="0" applyFont="1"/>
    <xf numFmtId="0" fontId="10" fillId="0" borderId="0" xfId="0" applyFont="1"/>
    <xf numFmtId="0" fontId="14" fillId="0" borderId="0" xfId="0" applyFont="1"/>
    <xf numFmtId="49" fontId="10" fillId="0" borderId="0" xfId="0" applyNumberFormat="1" applyFont="1" applyAlignment="1">
      <alignment wrapText="1"/>
    </xf>
    <xf numFmtId="49" fontId="10" fillId="0" borderId="0" xfId="0" applyNumberFormat="1" applyFont="1"/>
    <xf numFmtId="0" fontId="10" fillId="0" borderId="0" xfId="0" applyFont="1" applyAlignment="1">
      <alignment wrapText="1"/>
    </xf>
    <xf numFmtId="0" fontId="10" fillId="4" borderId="0" xfId="0" applyFont="1" applyFill="1" applyAlignment="1">
      <alignment vertical="center"/>
    </xf>
    <xf numFmtId="0" fontId="16" fillId="8" borderId="0" xfId="0" applyFont="1" applyFill="1" applyAlignment="1">
      <alignment vertical="center"/>
    </xf>
    <xf numFmtId="0" fontId="12" fillId="0" borderId="0" xfId="0" applyFont="1" applyAlignment="1">
      <alignment horizontal="center" vertical="center"/>
    </xf>
    <xf numFmtId="49" fontId="10" fillId="0" borderId="1" xfId="0" quotePrefix="1" applyNumberFormat="1" applyFont="1" applyBorder="1" applyAlignment="1">
      <alignment wrapText="1"/>
    </xf>
    <xf numFmtId="0" fontId="10" fillId="0" borderId="1" xfId="0" quotePrefix="1" applyFont="1" applyBorder="1" applyAlignment="1">
      <alignment wrapText="1"/>
    </xf>
    <xf numFmtId="49" fontId="9" fillId="0" borderId="0" xfId="0" applyNumberFormat="1" applyFont="1" applyAlignment="1">
      <alignment wrapText="1"/>
    </xf>
    <xf numFmtId="0" fontId="9" fillId="0" borderId="0" xfId="0" applyFont="1"/>
    <xf numFmtId="49" fontId="9" fillId="0" borderId="0" xfId="0" applyNumberFormat="1" applyFont="1"/>
    <xf numFmtId="0" fontId="9" fillId="0" borderId="0" xfId="0" quotePrefix="1" applyFont="1"/>
    <xf numFmtId="0" fontId="14" fillId="0" borderId="0" xfId="0" applyFont="1" applyAlignment="1">
      <alignment horizontal="center" vertical="center"/>
    </xf>
    <xf numFmtId="49" fontId="14" fillId="0" borderId="0" xfId="0" applyNumberFormat="1" applyFont="1" applyAlignment="1">
      <alignment horizontal="center" vertical="center" wrapText="1"/>
    </xf>
    <xf numFmtId="49" fontId="10" fillId="0" borderId="1" xfId="0" applyNumberFormat="1" applyFont="1" applyBorder="1"/>
    <xf numFmtId="49" fontId="10" fillId="0" borderId="1" xfId="0" applyNumberFormat="1" applyFont="1" applyBorder="1" applyAlignment="1">
      <alignment wrapText="1"/>
    </xf>
    <xf numFmtId="0" fontId="14" fillId="0" borderId="0" xfId="0" quotePrefix="1" applyFont="1" applyAlignment="1">
      <alignment horizontal="center" vertical="center"/>
    </xf>
    <xf numFmtId="0" fontId="2" fillId="11" borderId="0" xfId="3" applyAlignment="1">
      <alignment horizontal="left"/>
    </xf>
    <xf numFmtId="165" fontId="2" fillId="11" borderId="0" xfId="3" applyNumberFormat="1" applyAlignment="1">
      <alignment horizontal="center"/>
    </xf>
    <xf numFmtId="0" fontId="2" fillId="11" borderId="0" xfId="3" applyAlignment="1">
      <alignment horizontal="center"/>
    </xf>
    <xf numFmtId="164" fontId="7" fillId="10" borderId="0" xfId="2" applyNumberFormat="1"/>
    <xf numFmtId="166" fontId="7" fillId="10" borderId="0" xfId="2" applyNumberFormat="1"/>
    <xf numFmtId="165" fontId="5" fillId="0" borderId="0" xfId="0" applyNumberFormat="1" applyFont="1"/>
    <xf numFmtId="165" fontId="5" fillId="0" borderId="0" xfId="0" applyNumberFormat="1" applyFont="1" applyAlignment="1">
      <alignment horizontal="center"/>
    </xf>
    <xf numFmtId="165" fontId="0" fillId="0" borderId="0" xfId="0" applyNumberFormat="1" applyAlignment="1">
      <alignment horizontal="center"/>
    </xf>
    <xf numFmtId="0" fontId="1" fillId="0" borderId="0" xfId="0" applyFont="1" applyAlignment="1">
      <alignment horizontal="center" vertical="center"/>
    </xf>
    <xf numFmtId="165" fontId="7" fillId="10" borderId="0" xfId="2" applyNumberFormat="1" applyAlignment="1"/>
    <xf numFmtId="0" fontId="1" fillId="0" borderId="0" xfId="0" applyFont="1" applyAlignment="1">
      <alignment horizontal="lef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xf numFmtId="0" fontId="10" fillId="0" borderId="1" xfId="0" applyFont="1" applyBorder="1" applyAlignment="1">
      <alignment horizontal="center" vertical="center" wrapText="1"/>
    </xf>
    <xf numFmtId="0" fontId="9" fillId="0" borderId="0" xfId="0" applyFont="1" applyAlignment="1">
      <alignment horizontal="left" vertical="center"/>
    </xf>
    <xf numFmtId="0" fontId="12" fillId="0" borderId="0" xfId="0" applyFont="1" applyAlignment="1">
      <alignment horizontal="center" vertical="center"/>
    </xf>
    <xf numFmtId="49" fontId="9" fillId="0" borderId="0" xfId="0" applyNumberFormat="1" applyFont="1" applyAlignment="1">
      <alignment horizontal="center" wrapText="1"/>
    </xf>
    <xf numFmtId="0" fontId="9" fillId="0" borderId="0" xfId="0" applyFont="1" applyAlignment="1">
      <alignment horizontal="center"/>
    </xf>
    <xf numFmtId="165" fontId="7" fillId="10" borderId="0" xfId="2" applyNumberFormat="1" applyAlignment="1">
      <alignment horizontal="center"/>
    </xf>
    <xf numFmtId="0" fontId="1" fillId="0" borderId="1" xfId="0" applyFont="1" applyBorder="1" applyAlignment="1">
      <alignment horizontal="center" vertical="center"/>
    </xf>
    <xf numFmtId="165" fontId="0" fillId="0" borderId="0" xfId="0" applyNumberFormat="1" applyAlignment="1">
      <alignment horizontal="center"/>
    </xf>
    <xf numFmtId="0" fontId="1"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xf>
    <xf numFmtId="164" fontId="0" fillId="0" borderId="0" xfId="0" applyNumberFormat="1" applyAlignment="1">
      <alignment horizontal="center"/>
    </xf>
  </cellXfs>
  <cellStyles count="4">
    <cellStyle name="Accent1" xfId="3" builtinId="29"/>
    <cellStyle name="Good" xfId="1" builtinId="26"/>
    <cellStyle name="Neutral" xfId="2" builtinId="28"/>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tfoshr-my.sharepoint.com/personal/krpic_etfos_hr/Documents/Istra&#382;ivanje/1.%20SBCC/Results/HPL%20results%202023%20-%20OdroidMC1%20-%20small.xlsx" TargetMode="External"/><Relationship Id="rId1" Type="http://schemas.openxmlformats.org/officeDocument/2006/relationships/externalLinkPath" Target="HPL%20results%202023%20-%20OdroidMC1%20-%20sma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933 builds"/>
      <sheetName val="933 params"/>
      <sheetName val="933 params OpenBLAS"/>
      <sheetName val="825 params"/>
      <sheetName val="825 params OpenBLAS"/>
      <sheetName val="Top values"/>
      <sheetName val="933 params 1 node"/>
      <sheetName val="933 params 1 node OpenBLAS"/>
      <sheetName val="825 params 1 node"/>
      <sheetName val="825 params 1 node OpenBLAS"/>
    </sheetNames>
    <sheetDataSet>
      <sheetData sheetId="0">
        <row r="56">
          <cell r="A56" t="str">
            <v>small-arch-tune</v>
          </cell>
          <cell r="B56">
            <v>5.7035200000000001</v>
          </cell>
        </row>
        <row r="57">
          <cell r="A57" t="str">
            <v>small-cpu</v>
          </cell>
          <cell r="B57">
            <v>7.2655199999999995</v>
          </cell>
        </row>
        <row r="58">
          <cell r="A58" t="str">
            <v>small-atlasarch-tune</v>
          </cell>
          <cell r="B58">
            <v>7.2748000000000008</v>
          </cell>
        </row>
        <row r="59">
          <cell r="A59" t="str">
            <v>small-atlasarch-tune2</v>
          </cell>
          <cell r="B59">
            <v>7.2752999999999997</v>
          </cell>
        </row>
        <row r="60">
          <cell r="A60" t="str">
            <v>small-atlasarch-tune2-flags</v>
          </cell>
          <cell r="B60">
            <v>8.0888400000000011</v>
          </cell>
        </row>
        <row r="61">
          <cell r="A61" t="str">
            <v>small-flags</v>
          </cell>
          <cell r="B61">
            <v>8.0902599999999989</v>
          </cell>
        </row>
        <row r="62">
          <cell r="A62" t="str">
            <v>small-cpu-flags</v>
          </cell>
          <cell r="B62">
            <v>8.3857400000000002</v>
          </cell>
        </row>
        <row r="63">
          <cell r="A63" t="str">
            <v>small-arch-tune-flags</v>
          </cell>
          <cell r="B63">
            <v>8.3876799999999996</v>
          </cell>
        </row>
        <row r="64">
          <cell r="A64" t="str">
            <v>small-atlasarch-tune-flags</v>
          </cell>
          <cell r="B64">
            <v>8.5175599999999996</v>
          </cell>
        </row>
        <row r="65">
          <cell r="A65" t="str">
            <v>small</v>
          </cell>
          <cell r="B65">
            <v>8.5284800000000001</v>
          </cell>
        </row>
      </sheetData>
      <sheetData sheetId="1"/>
      <sheetData sheetId="2"/>
      <sheetData sheetId="3"/>
      <sheetData sheetId="4"/>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person displayName="Zdravko Krpić" id="{656524D6-2AE7-46AD-8A57-306AECF19037}" userId="S::krpic@etfos.hr::6f7c9807-f6cd-4dcc-b5ec-bd0ee0cec0a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1" dT="2024-01-22T16:36:13.49" personId="{656524D6-2AE7-46AD-8A57-306AECF19037}" id="{98B3928E-CA1C-419B-814F-82ECB78D3298}">
    <text>Additional measurements done with OpenBLAS, since there other NBs showed best performance compared to ATLAS</text>
  </threadedComment>
  <threadedComment ref="AB275" dT="2024-01-22T16:48:11.07" personId="{656524D6-2AE7-46AD-8A57-306AECF19037}" id="{98DA97FE-7F77-4EE1-A110-5E79C75ACC06}">
    <text>Additional measurements</text>
  </threadedComment>
</ThreadedComments>
</file>

<file path=xl/threadedComments/threadedComment2.xml><?xml version="1.0" encoding="utf-8"?>
<ThreadedComments xmlns="http://schemas.microsoft.com/office/spreadsheetml/2018/threadedcomments" xmlns:x="http://schemas.openxmlformats.org/spreadsheetml/2006/main">
  <threadedComment ref="B11" dT="2024-01-22T16:36:13.49" personId="{656524D6-2AE7-46AD-8A57-306AECF19037}" id="{A6EB0B74-5C2C-4620-9909-58CEF016C95F}">
    <text>Additional measurements done with OpenBLAS, since there other NBs showed best performance compared to ATLAS</text>
  </threadedComment>
  <threadedComment ref="AA79" dT="2024-01-22T16:48:11.07" personId="{656524D6-2AE7-46AD-8A57-306AECF19037}" id="{31C1F917-D29E-40EE-AD72-E889904B3FDA}">
    <text>Additional measurements</text>
  </threadedComment>
</ThreadedComments>
</file>

<file path=xl/threadedComments/threadedComment3.xml><?xml version="1.0" encoding="utf-8"?>
<ThreadedComments xmlns="http://schemas.microsoft.com/office/spreadsheetml/2018/threadedcomments" xmlns:x="http://schemas.openxmlformats.org/spreadsheetml/2006/main">
  <threadedComment ref="B11" dT="2024-01-22T16:36:13.49" personId="{656524D6-2AE7-46AD-8A57-306AECF19037}" id="{9620DE7E-3F39-46A4-80DD-F7B02A657C27}">
    <text>Additional measurements done with OpenBLAS, since there other NBs showed best performance compared to ATLAS</text>
  </threadedComment>
  <threadedComment ref="AF275" dT="2024-01-22T16:48:11.07" personId="{656524D6-2AE7-46AD-8A57-306AECF19037}" id="{E761C228-EB5F-4082-B5C8-79656D36DC39}">
    <text>Additional measurements</text>
  </threadedComment>
</ThreadedComments>
</file>

<file path=xl/threadedComments/threadedComment4.xml><?xml version="1.0" encoding="utf-8"?>
<ThreadedComments xmlns="http://schemas.microsoft.com/office/spreadsheetml/2018/threadedcomments" xmlns:x="http://schemas.openxmlformats.org/spreadsheetml/2006/main">
  <threadedComment ref="B11" dT="2024-01-22T16:36:13.49" personId="{656524D6-2AE7-46AD-8A57-306AECF19037}" id="{49DA2AF6-0F2B-4B6D-B0E9-796FE17411E1}">
    <text>Additional measurements done with OpenBLAS, since there other NBs showed best performance compared to ATLAS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A4B5-93CF-4B8A-8DFF-B002923152E4}">
  <dimension ref="A1:Q32"/>
  <sheetViews>
    <sheetView workbookViewId="0">
      <selection activeCell="E34" sqref="E34"/>
    </sheetView>
  </sheetViews>
  <sheetFormatPr defaultRowHeight="15" x14ac:dyDescent="0.25"/>
  <cols>
    <col min="1" max="1" width="12.28515625" bestFit="1" customWidth="1"/>
    <col min="2" max="2" width="19" customWidth="1"/>
    <col min="3" max="3" width="19.28515625" customWidth="1"/>
    <col min="4" max="4" width="23.7109375" customWidth="1"/>
    <col min="5" max="5" width="12.140625" bestFit="1" customWidth="1"/>
    <col min="6" max="6" width="26.28515625" customWidth="1"/>
    <col min="7" max="7" width="10.5703125" customWidth="1"/>
    <col min="10" max="10" width="27.140625" bestFit="1" customWidth="1"/>
    <col min="11" max="11" width="18" bestFit="1" customWidth="1"/>
    <col min="12" max="12" width="31.140625" bestFit="1" customWidth="1"/>
  </cols>
  <sheetData>
    <row r="1" spans="1:17" x14ac:dyDescent="0.25">
      <c r="A1" s="6" t="s">
        <v>50</v>
      </c>
      <c r="B1" s="5" t="s">
        <v>51</v>
      </c>
      <c r="C1" s="5" t="s">
        <v>52</v>
      </c>
      <c r="D1" s="5" t="s">
        <v>53</v>
      </c>
      <c r="E1" s="5" t="s">
        <v>54</v>
      </c>
      <c r="F1" s="5" t="s">
        <v>55</v>
      </c>
      <c r="G1" s="5" t="s">
        <v>56</v>
      </c>
      <c r="H1" s="5"/>
      <c r="I1" s="5"/>
      <c r="J1" s="5" t="s">
        <v>57</v>
      </c>
      <c r="K1" t="s">
        <v>58</v>
      </c>
    </row>
    <row r="2" spans="1:17" x14ac:dyDescent="0.25">
      <c r="A2" s="6" t="s">
        <v>59</v>
      </c>
      <c r="C2" t="s">
        <v>60</v>
      </c>
      <c r="D2" t="s">
        <v>61</v>
      </c>
      <c r="E2" t="s">
        <v>61</v>
      </c>
      <c r="F2" t="s">
        <v>62</v>
      </c>
      <c r="G2" t="s">
        <v>63</v>
      </c>
      <c r="K2" t="s">
        <v>64</v>
      </c>
      <c r="L2" t="s">
        <v>65</v>
      </c>
    </row>
    <row r="3" spans="1:17" x14ac:dyDescent="0.25">
      <c r="A3" s="6" t="s">
        <v>66</v>
      </c>
      <c r="C3" t="s">
        <v>67</v>
      </c>
      <c r="D3" t="s">
        <v>68</v>
      </c>
      <c r="E3" t="s">
        <v>68</v>
      </c>
      <c r="F3" t="s">
        <v>69</v>
      </c>
      <c r="G3" t="s">
        <v>63</v>
      </c>
      <c r="J3" t="s">
        <v>70</v>
      </c>
      <c r="K3" t="s">
        <v>71</v>
      </c>
    </row>
    <row r="4" spans="1:17" x14ac:dyDescent="0.25">
      <c r="A4" s="6" t="s">
        <v>72</v>
      </c>
      <c r="C4" t="s">
        <v>67</v>
      </c>
      <c r="D4" t="s">
        <v>73</v>
      </c>
      <c r="E4" t="s">
        <v>73</v>
      </c>
      <c r="F4" t="s">
        <v>74</v>
      </c>
      <c r="G4" t="s">
        <v>63</v>
      </c>
      <c r="J4" t="s">
        <v>70</v>
      </c>
      <c r="K4" t="s">
        <v>75</v>
      </c>
      <c r="L4" t="s">
        <v>76</v>
      </c>
    </row>
    <row r="5" spans="1:17" x14ac:dyDescent="0.25">
      <c r="A5" s="112" t="s">
        <v>77</v>
      </c>
      <c r="B5" s="2" t="s">
        <v>78</v>
      </c>
      <c r="C5" t="s">
        <v>67</v>
      </c>
      <c r="D5" t="s">
        <v>68</v>
      </c>
      <c r="E5" t="s">
        <v>68</v>
      </c>
      <c r="F5" t="s">
        <v>69</v>
      </c>
      <c r="G5" t="s">
        <v>63</v>
      </c>
      <c r="J5" t="s">
        <v>70</v>
      </c>
      <c r="K5" t="s">
        <v>71</v>
      </c>
      <c r="L5" s="113" t="s">
        <v>79</v>
      </c>
    </row>
    <row r="6" spans="1:17" x14ac:dyDescent="0.25">
      <c r="A6" s="112"/>
      <c r="B6" s="2" t="s">
        <v>80</v>
      </c>
      <c r="C6" t="s">
        <v>67</v>
      </c>
      <c r="D6" t="s">
        <v>81</v>
      </c>
      <c r="E6" t="s">
        <v>81</v>
      </c>
      <c r="F6" t="s">
        <v>69</v>
      </c>
      <c r="G6" t="s">
        <v>63</v>
      </c>
      <c r="J6" t="s">
        <v>70</v>
      </c>
      <c r="K6" t="s">
        <v>71</v>
      </c>
      <c r="L6" s="113"/>
    </row>
    <row r="11" spans="1:17" ht="60" x14ac:dyDescent="0.25">
      <c r="A11" s="114" t="s">
        <v>82</v>
      </c>
      <c r="B11" s="114"/>
      <c r="C11" s="11" t="s">
        <v>83</v>
      </c>
      <c r="D11" s="11" t="s">
        <v>84</v>
      </c>
      <c r="E11" s="11" t="s">
        <v>85</v>
      </c>
      <c r="F11" s="11" t="s">
        <v>86</v>
      </c>
      <c r="G11" s="11" t="s">
        <v>87</v>
      </c>
      <c r="H11" s="11" t="s">
        <v>88</v>
      </c>
      <c r="I11" s="11" t="s">
        <v>89</v>
      </c>
      <c r="J11" s="11" t="s">
        <v>6</v>
      </c>
      <c r="K11" s="11" t="s">
        <v>7</v>
      </c>
      <c r="L11" s="11" t="s">
        <v>8</v>
      </c>
      <c r="M11" s="11" t="s">
        <v>90</v>
      </c>
      <c r="N11" s="11" t="s">
        <v>91</v>
      </c>
      <c r="O11" s="11" t="s">
        <v>92</v>
      </c>
      <c r="P11" s="11" t="s">
        <v>93</v>
      </c>
      <c r="Q11" s="11" t="s">
        <v>94</v>
      </c>
    </row>
    <row r="12" spans="1:17" x14ac:dyDescent="0.25">
      <c r="C12">
        <v>1</v>
      </c>
      <c r="D12" t="s">
        <v>77</v>
      </c>
      <c r="E12">
        <v>2042436</v>
      </c>
      <c r="F12">
        <f>$B$13*SQRT(($C12*$E12*1024)/8)</f>
        <v>12935.082416436318</v>
      </c>
      <c r="G12">
        <f>_xlfn.CEILING.MATH(F12/J12)*J12</f>
        <v>13056</v>
      </c>
      <c r="H12">
        <f>SQRT($B$13*($C12*$E12*1024)/8)</f>
        <v>14461.861788856924</v>
      </c>
      <c r="I12">
        <f>_xlfn.CEILING.MATH(H12/J12)*J12</f>
        <v>14464</v>
      </c>
      <c r="J12">
        <v>128</v>
      </c>
      <c r="K12">
        <v>2</v>
      </c>
      <c r="L12">
        <v>8</v>
      </c>
      <c r="M12">
        <f>I12-G12</f>
        <v>1408</v>
      </c>
      <c r="N12">
        <f>M12/2</f>
        <v>704</v>
      </c>
      <c r="O12">
        <f>G12</f>
        <v>13056</v>
      </c>
      <c r="P12">
        <f>_xlfn.CEILING.MATH((O12+N12)/J12)*J12</f>
        <v>13824</v>
      </c>
      <c r="Q12">
        <f>_xlfn.CEILING.MATH((P12+N12)/J12)*J12</f>
        <v>14592</v>
      </c>
    </row>
    <row r="13" spans="1:17" x14ac:dyDescent="0.25">
      <c r="A13" t="s">
        <v>95</v>
      </c>
      <c r="B13">
        <v>0.8</v>
      </c>
      <c r="C13">
        <v>4</v>
      </c>
      <c r="D13" t="s">
        <v>77</v>
      </c>
      <c r="E13">
        <v>2042436</v>
      </c>
      <c r="F13">
        <f>$B$13*SQRT(($C13*$E13*1024)/8)</f>
        <v>25870.164832872637</v>
      </c>
      <c r="G13">
        <f>_xlfn.CEILING.MATH(F13/J13)*J13</f>
        <v>25984</v>
      </c>
      <c r="H13">
        <f>SQRT($B$13*($C13*$E13*1024)/8)</f>
        <v>28923.723577713848</v>
      </c>
      <c r="I13">
        <f>_xlfn.CEILING.MATH(H13/J13)*J13</f>
        <v>28928</v>
      </c>
      <c r="J13">
        <v>128</v>
      </c>
      <c r="K13">
        <v>2</v>
      </c>
      <c r="L13">
        <v>2</v>
      </c>
      <c r="M13">
        <f>I13-G13</f>
        <v>2944</v>
      </c>
      <c r="N13">
        <f>M13/2</f>
        <v>1472</v>
      </c>
      <c r="O13">
        <f>G13</f>
        <v>25984</v>
      </c>
      <c r="P13">
        <f>_xlfn.CEILING.MATH((O13+N13)/J13)*J13</f>
        <v>27520</v>
      </c>
      <c r="Q13">
        <f>_xlfn.CEILING.MATH((P13+N13)/J13)*J13</f>
        <v>29056</v>
      </c>
    </row>
    <row r="20" spans="1:6" x14ac:dyDescent="0.25">
      <c r="A20" s="115"/>
      <c r="B20" s="115"/>
    </row>
    <row r="21" spans="1:6" ht="15" customHeight="1" x14ac:dyDescent="0.25">
      <c r="A21" s="54" t="s">
        <v>96</v>
      </c>
      <c r="B21" s="116" t="s">
        <v>97</v>
      </c>
      <c r="C21" s="116"/>
      <c r="E21" s="52" t="s">
        <v>96</v>
      </c>
      <c r="F21" s="53" t="s">
        <v>98</v>
      </c>
    </row>
    <row r="22" spans="1:6" x14ac:dyDescent="0.25">
      <c r="A22" s="54" t="s">
        <v>99</v>
      </c>
      <c r="B22" s="116" t="s">
        <v>100</v>
      </c>
      <c r="C22" s="116"/>
      <c r="E22" s="52" t="s">
        <v>101</v>
      </c>
      <c r="F22" s="53" t="s">
        <v>102</v>
      </c>
    </row>
    <row r="23" spans="1:6" x14ac:dyDescent="0.25">
      <c r="A23" s="54" t="s">
        <v>103</v>
      </c>
      <c r="B23" s="55" t="s">
        <v>104</v>
      </c>
      <c r="C23" s="55" t="s">
        <v>105</v>
      </c>
      <c r="E23" s="52" t="s">
        <v>106</v>
      </c>
      <c r="F23" s="53" t="s">
        <v>107</v>
      </c>
    </row>
    <row r="24" spans="1:6" x14ac:dyDescent="0.25">
      <c r="A24" s="54" t="s">
        <v>108</v>
      </c>
      <c r="B24" s="116" t="s">
        <v>109</v>
      </c>
      <c r="C24" s="116"/>
      <c r="E24" s="52" t="s">
        <v>110</v>
      </c>
      <c r="F24" s="53" t="s">
        <v>111</v>
      </c>
    </row>
    <row r="25" spans="1:6" x14ac:dyDescent="0.25">
      <c r="A25" s="54" t="s">
        <v>112</v>
      </c>
      <c r="B25" s="55" t="s">
        <v>113</v>
      </c>
      <c r="C25" s="55" t="s">
        <v>114</v>
      </c>
      <c r="E25" s="52" t="s">
        <v>115</v>
      </c>
      <c r="F25" s="53" t="s">
        <v>116</v>
      </c>
    </row>
    <row r="26" spans="1:6" x14ac:dyDescent="0.25">
      <c r="A26" s="54" t="s">
        <v>117</v>
      </c>
      <c r="B26" s="55" t="s">
        <v>118</v>
      </c>
      <c r="C26" s="55" t="s">
        <v>119</v>
      </c>
      <c r="E26" s="52" t="s">
        <v>120</v>
      </c>
      <c r="F26" s="53" t="s">
        <v>121</v>
      </c>
    </row>
    <row r="27" spans="1:6" ht="21" x14ac:dyDescent="0.25">
      <c r="A27" s="54" t="s">
        <v>122</v>
      </c>
      <c r="B27" s="55" t="s">
        <v>123</v>
      </c>
      <c r="C27" s="55">
        <v>2</v>
      </c>
      <c r="E27" s="52" t="s">
        <v>124</v>
      </c>
      <c r="F27" s="53" t="s">
        <v>125</v>
      </c>
    </row>
    <row r="28" spans="1:6" x14ac:dyDescent="0.25">
      <c r="A28" s="54" t="s">
        <v>126</v>
      </c>
      <c r="B28" s="55" t="s">
        <v>127</v>
      </c>
      <c r="C28" s="55" t="s">
        <v>128</v>
      </c>
    </row>
    <row r="29" spans="1:6" x14ac:dyDescent="0.25">
      <c r="A29" s="54" t="s">
        <v>129</v>
      </c>
      <c r="B29" s="116" t="s">
        <v>130</v>
      </c>
      <c r="C29" s="116"/>
    </row>
    <row r="30" spans="1:6" ht="21" x14ac:dyDescent="0.25">
      <c r="A30" s="54" t="s">
        <v>131</v>
      </c>
      <c r="B30" s="116" t="s">
        <v>132</v>
      </c>
      <c r="C30" s="116"/>
    </row>
    <row r="31" spans="1:6" ht="61.5" customHeight="1" x14ac:dyDescent="0.25">
      <c r="A31" s="54" t="s">
        <v>133</v>
      </c>
      <c r="B31" s="116" t="s">
        <v>134</v>
      </c>
      <c r="C31" s="116"/>
    </row>
    <row r="32" spans="1:6" x14ac:dyDescent="0.25">
      <c r="A32" s="54" t="s">
        <v>135</v>
      </c>
      <c r="B32" s="116">
        <v>2015</v>
      </c>
      <c r="C32" s="116"/>
    </row>
  </sheetData>
  <mergeCells count="11">
    <mergeCell ref="B31:C31"/>
    <mergeCell ref="B32:C32"/>
    <mergeCell ref="B30:C30"/>
    <mergeCell ref="B22:C22"/>
    <mergeCell ref="B24:C24"/>
    <mergeCell ref="B29:C29"/>
    <mergeCell ref="A5:A6"/>
    <mergeCell ref="L5:L6"/>
    <mergeCell ref="A11:B11"/>
    <mergeCell ref="A20:B20"/>
    <mergeCell ref="B21:C2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9CB29-1A3B-42C4-A0B1-1C7B04D9111F}">
  <dimension ref="A1:CM18"/>
  <sheetViews>
    <sheetView zoomScale="85" zoomScaleNormal="85" workbookViewId="0">
      <selection activeCell="I5" sqref="I5"/>
    </sheetView>
  </sheetViews>
  <sheetFormatPr defaultRowHeight="15" x14ac:dyDescent="0.25"/>
  <cols>
    <col min="1" max="1" width="3" bestFit="1" customWidth="1"/>
    <col min="2" max="2" width="30.5703125" bestFit="1" customWidth="1"/>
    <col min="3" max="3" width="46.28515625" style="4" bestFit="1" customWidth="1"/>
    <col min="4" max="4" width="35.85546875" bestFit="1" customWidth="1"/>
    <col min="5" max="5" width="53.85546875" style="7" bestFit="1" customWidth="1"/>
    <col min="6" max="6" width="17.5703125" bestFit="1" customWidth="1"/>
    <col min="7" max="7" width="17.5703125" customWidth="1"/>
    <col min="8" max="8" width="13.140625" style="3" customWidth="1"/>
  </cols>
  <sheetData>
    <row r="1" spans="1:16" ht="30" x14ac:dyDescent="0.25">
      <c r="A1" s="112" t="s">
        <v>136</v>
      </c>
      <c r="B1" s="112"/>
      <c r="C1" s="10" t="s">
        <v>137</v>
      </c>
      <c r="D1" s="10" t="s">
        <v>138</v>
      </c>
      <c r="E1" s="10" t="s">
        <v>139</v>
      </c>
      <c r="F1" s="11" t="s">
        <v>140</v>
      </c>
      <c r="G1" s="11" t="s">
        <v>141</v>
      </c>
      <c r="H1" s="11" t="s">
        <v>142</v>
      </c>
    </row>
    <row r="2" spans="1:16" ht="30" x14ac:dyDescent="0.25">
      <c r="A2" s="8">
        <v>1</v>
      </c>
      <c r="B2" s="8" t="s">
        <v>28</v>
      </c>
      <c r="C2" s="51" t="s">
        <v>143</v>
      </c>
      <c r="D2" s="51" t="s">
        <v>144</v>
      </c>
      <c r="E2" s="14" t="s">
        <v>144</v>
      </c>
      <c r="F2" s="8" t="s">
        <v>145</v>
      </c>
      <c r="G2" s="15"/>
      <c r="H2" s="9"/>
      <c r="K2" t="s">
        <v>28</v>
      </c>
      <c r="P2" s="44">
        <v>2024</v>
      </c>
    </row>
    <row r="3" spans="1:16" ht="45" x14ac:dyDescent="0.25">
      <c r="A3" s="8">
        <v>2</v>
      </c>
      <c r="B3" s="8" t="s">
        <v>31</v>
      </c>
      <c r="C3" s="51" t="s">
        <v>146</v>
      </c>
      <c r="D3" s="51" t="s">
        <v>147</v>
      </c>
      <c r="E3" s="14" t="s">
        <v>148</v>
      </c>
      <c r="F3" s="8" t="s">
        <v>149</v>
      </c>
      <c r="G3" s="15"/>
      <c r="H3" s="9"/>
      <c r="K3" t="s">
        <v>31</v>
      </c>
    </row>
    <row r="4" spans="1:16" ht="45" x14ac:dyDescent="0.25">
      <c r="A4" s="8">
        <v>3</v>
      </c>
      <c r="B4" s="8" t="s">
        <v>34</v>
      </c>
      <c r="C4" s="51" t="s">
        <v>150</v>
      </c>
      <c r="D4" s="51" t="s">
        <v>151</v>
      </c>
      <c r="E4" s="14" t="s">
        <v>151</v>
      </c>
      <c r="F4" s="8" t="s">
        <v>152</v>
      </c>
      <c r="G4" s="15"/>
      <c r="H4" s="9" t="s">
        <v>153</v>
      </c>
      <c r="K4" t="s">
        <v>34</v>
      </c>
    </row>
    <row r="5" spans="1:16" ht="45" x14ac:dyDescent="0.25">
      <c r="A5" s="8">
        <v>4</v>
      </c>
      <c r="B5" s="8" t="s">
        <v>27</v>
      </c>
      <c r="C5" s="12" t="s">
        <v>154</v>
      </c>
      <c r="D5" s="12" t="s">
        <v>155</v>
      </c>
      <c r="E5" s="14" t="s">
        <v>156</v>
      </c>
      <c r="F5" s="8" t="s">
        <v>157</v>
      </c>
      <c r="G5" s="15"/>
      <c r="H5" s="9" t="s">
        <v>158</v>
      </c>
      <c r="K5" t="s">
        <v>36</v>
      </c>
    </row>
    <row r="6" spans="1:16" ht="60" x14ac:dyDescent="0.25">
      <c r="A6" s="8">
        <v>5</v>
      </c>
      <c r="B6" s="8" t="s">
        <v>22</v>
      </c>
      <c r="C6" s="12" t="s">
        <v>159</v>
      </c>
      <c r="D6" s="12" t="s">
        <v>160</v>
      </c>
      <c r="E6" s="14" t="s">
        <v>161</v>
      </c>
      <c r="F6" s="8" t="s">
        <v>157</v>
      </c>
      <c r="G6" s="15"/>
      <c r="H6" s="9" t="s">
        <v>158</v>
      </c>
      <c r="K6" t="s">
        <v>43</v>
      </c>
    </row>
    <row r="7" spans="1:16" ht="45" x14ac:dyDescent="0.25">
      <c r="A7" s="8">
        <v>6</v>
      </c>
      <c r="B7" s="8" t="s">
        <v>23</v>
      </c>
      <c r="C7" s="12" t="s">
        <v>162</v>
      </c>
      <c r="D7" s="12" t="s">
        <v>163</v>
      </c>
      <c r="E7" s="14" t="s">
        <v>163</v>
      </c>
      <c r="F7" s="8" t="s">
        <v>164</v>
      </c>
      <c r="G7" s="15"/>
      <c r="H7" s="9"/>
      <c r="K7" t="s">
        <v>45</v>
      </c>
    </row>
    <row r="8" spans="1:16" ht="45" x14ac:dyDescent="0.25">
      <c r="A8" s="8">
        <v>7</v>
      </c>
      <c r="B8" s="8" t="s">
        <v>36</v>
      </c>
      <c r="C8" s="51" t="s">
        <v>165</v>
      </c>
      <c r="D8" s="51" t="s">
        <v>144</v>
      </c>
      <c r="E8" s="14" t="s">
        <v>166</v>
      </c>
      <c r="F8" s="8" t="s">
        <v>167</v>
      </c>
      <c r="G8" s="15"/>
      <c r="H8" s="9"/>
      <c r="K8" t="s">
        <v>48</v>
      </c>
    </row>
    <row r="9" spans="1:16" ht="60" x14ac:dyDescent="0.25">
      <c r="A9" s="8">
        <v>8</v>
      </c>
      <c r="B9" s="8" t="s">
        <v>25</v>
      </c>
      <c r="C9" s="12" t="s">
        <v>168</v>
      </c>
      <c r="D9" s="12" t="s">
        <v>169</v>
      </c>
      <c r="E9" s="14" t="s">
        <v>170</v>
      </c>
      <c r="F9" s="8" t="s">
        <v>157</v>
      </c>
      <c r="G9" s="15"/>
      <c r="H9" s="9" t="s">
        <v>158</v>
      </c>
      <c r="K9" t="s">
        <v>49</v>
      </c>
    </row>
    <row r="10" spans="1:16" ht="75" x14ac:dyDescent="0.25">
      <c r="A10" s="8">
        <v>9</v>
      </c>
      <c r="B10" s="24" t="s">
        <v>43</v>
      </c>
      <c r="C10" s="20" t="s">
        <v>171</v>
      </c>
      <c r="D10" s="8"/>
      <c r="E10" s="21" t="s">
        <v>172</v>
      </c>
      <c r="F10" s="8" t="s">
        <v>164</v>
      </c>
      <c r="G10" s="22"/>
    </row>
    <row r="11" spans="1:16" ht="45" x14ac:dyDescent="0.25">
      <c r="A11" s="18">
        <v>10</v>
      </c>
      <c r="B11" s="19" t="s">
        <v>35</v>
      </c>
      <c r="C11" s="20" t="s">
        <v>173</v>
      </c>
      <c r="D11" s="8" t="s">
        <v>174</v>
      </c>
      <c r="E11" s="21" t="s">
        <v>174</v>
      </c>
      <c r="F11" s="8" t="s">
        <v>152</v>
      </c>
      <c r="G11" s="22"/>
    </row>
    <row r="12" spans="1:16" ht="60" x14ac:dyDescent="0.25">
      <c r="A12" s="8">
        <v>11</v>
      </c>
      <c r="B12" s="19" t="s">
        <v>30</v>
      </c>
      <c r="C12" s="12" t="s">
        <v>175</v>
      </c>
      <c r="D12" s="8"/>
      <c r="E12" s="14" t="s">
        <v>176</v>
      </c>
      <c r="F12" s="8" t="s">
        <v>157</v>
      </c>
      <c r="G12" s="22"/>
    </row>
    <row r="13" spans="1:16" ht="75" x14ac:dyDescent="0.25">
      <c r="A13" s="8">
        <v>12</v>
      </c>
      <c r="B13" s="19" t="s">
        <v>32</v>
      </c>
      <c r="C13" s="12" t="s">
        <v>177</v>
      </c>
      <c r="D13" s="8"/>
      <c r="E13" s="14" t="s">
        <v>178</v>
      </c>
      <c r="F13" s="8" t="s">
        <v>167</v>
      </c>
      <c r="G13" s="22"/>
    </row>
    <row r="14" spans="1:16" ht="60" x14ac:dyDescent="0.25">
      <c r="A14" s="8">
        <v>13</v>
      </c>
      <c r="B14" s="19" t="s">
        <v>38</v>
      </c>
      <c r="C14" s="12" t="s">
        <v>179</v>
      </c>
      <c r="D14" s="8"/>
      <c r="E14" s="14" t="s">
        <v>180</v>
      </c>
      <c r="F14" s="8" t="s">
        <v>152</v>
      </c>
      <c r="G14" s="22"/>
    </row>
    <row r="15" spans="1:16" ht="60" x14ac:dyDescent="0.25">
      <c r="A15" s="8">
        <v>14</v>
      </c>
      <c r="B15" s="8" t="s">
        <v>48</v>
      </c>
      <c r="C15" s="12" t="s">
        <v>181</v>
      </c>
      <c r="D15" s="12"/>
      <c r="E15" s="12" t="s">
        <v>182</v>
      </c>
      <c r="F15" t="s">
        <v>167</v>
      </c>
      <c r="G15" s="22"/>
    </row>
    <row r="16" spans="1:16" ht="45" x14ac:dyDescent="0.25">
      <c r="A16" s="8">
        <v>15</v>
      </c>
      <c r="B16" s="19" t="s">
        <v>33</v>
      </c>
      <c r="C16" s="12" t="s">
        <v>183</v>
      </c>
      <c r="D16" s="12" t="s">
        <v>184</v>
      </c>
      <c r="E16" s="12" t="s">
        <v>184</v>
      </c>
      <c r="F16" t="s">
        <v>185</v>
      </c>
      <c r="G16" s="22"/>
    </row>
    <row r="17" spans="1:91" s="23" customFormat="1" ht="45" x14ac:dyDescent="0.25">
      <c r="A17" s="8">
        <v>16</v>
      </c>
      <c r="B17" s="19" t="s">
        <v>49</v>
      </c>
      <c r="C17" s="51" t="s">
        <v>186</v>
      </c>
      <c r="D17" s="51" t="s">
        <v>187</v>
      </c>
      <c r="E17" s="12" t="s">
        <v>187</v>
      </c>
      <c r="F17" t="s">
        <v>152</v>
      </c>
      <c r="G17" s="22"/>
      <c r="H17" s="3"/>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row>
    <row r="18" spans="1:91" ht="45" x14ac:dyDescent="0.25">
      <c r="A18" s="8">
        <v>17</v>
      </c>
      <c r="B18" s="19" t="s">
        <v>47</v>
      </c>
      <c r="C18" s="12" t="s">
        <v>154</v>
      </c>
      <c r="D18" s="12" t="s">
        <v>155</v>
      </c>
      <c r="E18" s="12" t="s">
        <v>155</v>
      </c>
      <c r="F18" t="s">
        <v>167</v>
      </c>
      <c r="G18" s="22"/>
    </row>
  </sheetData>
  <mergeCells count="1">
    <mergeCell ref="A1:B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42C3B-9CE2-42F1-979D-DD3786550C7D}">
  <dimension ref="A1:O91"/>
  <sheetViews>
    <sheetView zoomScale="115" zoomScaleNormal="115" workbookViewId="0">
      <selection activeCell="H41" sqref="H41"/>
    </sheetView>
  </sheetViews>
  <sheetFormatPr defaultRowHeight="11.25" x14ac:dyDescent="0.2"/>
  <cols>
    <col min="1" max="1" width="9.140625" style="83"/>
    <col min="2" max="2" width="20.85546875" style="83" customWidth="1"/>
    <col min="3" max="3" width="56.140625" style="85" customWidth="1"/>
    <col min="4" max="4" width="36.7109375" style="85" bestFit="1" customWidth="1"/>
    <col min="5" max="5" width="18" style="86" bestFit="1" customWidth="1"/>
    <col min="6" max="6" width="15.42578125" style="83" bestFit="1" customWidth="1"/>
    <col min="7" max="7" width="11.7109375" style="83" bestFit="1" customWidth="1"/>
    <col min="8" max="8" width="13.28515625" style="83" bestFit="1" customWidth="1"/>
    <col min="9" max="9" width="15.42578125" style="83" bestFit="1" customWidth="1"/>
    <col min="10" max="10" width="14.28515625" style="83" bestFit="1" customWidth="1"/>
    <col min="11" max="11" width="13.7109375" style="83" bestFit="1" customWidth="1"/>
    <col min="12" max="12" width="14.42578125" style="83" bestFit="1" customWidth="1"/>
    <col min="13" max="13" width="31.85546875" style="87" customWidth="1"/>
    <col min="14" max="14" width="9.140625" style="83"/>
    <col min="15" max="15" width="16.140625" style="83" bestFit="1" customWidth="1"/>
    <col min="16" max="16384" width="9.140625" style="83"/>
  </cols>
  <sheetData>
    <row r="1" spans="1:15" s="62" customFormat="1" ht="63" x14ac:dyDescent="0.25">
      <c r="A1" s="117" t="s">
        <v>77</v>
      </c>
      <c r="B1" s="117"/>
      <c r="C1" s="56" t="s">
        <v>188</v>
      </c>
      <c r="D1" s="56" t="s">
        <v>138</v>
      </c>
      <c r="E1" s="56" t="s">
        <v>189</v>
      </c>
      <c r="F1" s="57" t="s">
        <v>190</v>
      </c>
      <c r="G1" s="57" t="s">
        <v>191</v>
      </c>
      <c r="H1" s="58" t="s">
        <v>192</v>
      </c>
      <c r="I1" s="59" t="s">
        <v>193</v>
      </c>
      <c r="J1" s="58" t="s">
        <v>194</v>
      </c>
      <c r="K1" s="58" t="s">
        <v>106</v>
      </c>
      <c r="L1" s="58"/>
      <c r="M1" s="60" t="s">
        <v>142</v>
      </c>
      <c r="N1" s="61"/>
      <c r="O1" s="52" t="s">
        <v>195</v>
      </c>
    </row>
    <row r="2" spans="1:15" s="64" customFormat="1" ht="22.5" x14ac:dyDescent="0.25">
      <c r="A2" s="63">
        <v>1</v>
      </c>
      <c r="B2" s="64" t="s">
        <v>28</v>
      </c>
      <c r="C2" s="65" t="s">
        <v>143</v>
      </c>
      <c r="D2" s="65" t="s">
        <v>144</v>
      </c>
      <c r="E2" s="65" t="s">
        <v>196</v>
      </c>
      <c r="F2" s="64" t="s">
        <v>167</v>
      </c>
      <c r="G2" s="64" t="s">
        <v>197</v>
      </c>
      <c r="H2" s="64" t="s">
        <v>197</v>
      </c>
      <c r="J2" s="64" t="s">
        <v>197</v>
      </c>
      <c r="K2" s="64">
        <v>1</v>
      </c>
      <c r="M2" s="66" t="s">
        <v>198</v>
      </c>
      <c r="N2" s="67"/>
      <c r="O2" s="52" t="s">
        <v>199</v>
      </c>
    </row>
    <row r="3" spans="1:15" s="64" customFormat="1" ht="33.75" x14ac:dyDescent="0.25">
      <c r="A3" s="68">
        <v>2</v>
      </c>
      <c r="B3" s="68" t="s">
        <v>31</v>
      </c>
      <c r="C3" s="69" t="s">
        <v>146</v>
      </c>
      <c r="D3" s="70" t="s">
        <v>147</v>
      </c>
      <c r="E3" s="70" t="s">
        <v>200</v>
      </c>
      <c r="F3" s="68" t="s">
        <v>167</v>
      </c>
      <c r="G3" s="68" t="s">
        <v>197</v>
      </c>
      <c r="H3" s="68"/>
      <c r="I3" s="68"/>
      <c r="J3" s="68" t="s">
        <v>197</v>
      </c>
      <c r="K3" s="68">
        <v>1</v>
      </c>
      <c r="L3" s="68"/>
      <c r="M3" s="71" t="s">
        <v>201</v>
      </c>
      <c r="N3" s="72"/>
      <c r="O3" s="52" t="s">
        <v>202</v>
      </c>
    </row>
    <row r="4" spans="1:15" s="64" customFormat="1" ht="22.5" x14ac:dyDescent="0.25">
      <c r="A4" s="63">
        <v>3</v>
      </c>
      <c r="B4" s="64" t="s">
        <v>34</v>
      </c>
      <c r="C4" s="65" t="s">
        <v>150</v>
      </c>
      <c r="D4" s="65" t="s">
        <v>151</v>
      </c>
      <c r="E4" s="73" t="s">
        <v>203</v>
      </c>
      <c r="F4" s="64" t="s">
        <v>152</v>
      </c>
      <c r="G4" s="64" t="s">
        <v>197</v>
      </c>
      <c r="H4" s="64" t="s">
        <v>197</v>
      </c>
      <c r="J4" s="64" t="s">
        <v>197</v>
      </c>
      <c r="K4" s="64">
        <v>1</v>
      </c>
      <c r="M4" s="66" t="s">
        <v>198</v>
      </c>
      <c r="N4" s="53"/>
      <c r="O4" s="52" t="s">
        <v>204</v>
      </c>
    </row>
    <row r="5" spans="1:15" s="64" customFormat="1" ht="67.5" x14ac:dyDescent="0.25">
      <c r="A5" s="63">
        <v>4</v>
      </c>
      <c r="B5" s="64" t="s">
        <v>27</v>
      </c>
      <c r="C5" s="65" t="s">
        <v>205</v>
      </c>
      <c r="D5" s="65" t="s">
        <v>155</v>
      </c>
      <c r="E5" s="65" t="s">
        <v>206</v>
      </c>
      <c r="F5" s="64" t="s">
        <v>157</v>
      </c>
      <c r="G5" s="64" t="s">
        <v>197</v>
      </c>
      <c r="J5" s="64" t="s">
        <v>197</v>
      </c>
      <c r="K5" s="64">
        <v>2</v>
      </c>
      <c r="M5" s="66" t="s">
        <v>207</v>
      </c>
      <c r="N5" s="74"/>
      <c r="O5" s="54" t="s">
        <v>208</v>
      </c>
    </row>
    <row r="6" spans="1:15" s="64" customFormat="1" ht="33.75" x14ac:dyDescent="0.25">
      <c r="A6" s="68">
        <v>5</v>
      </c>
      <c r="B6" s="68" t="s">
        <v>22</v>
      </c>
      <c r="C6" s="69" t="s">
        <v>159</v>
      </c>
      <c r="D6" s="75" t="s">
        <v>160</v>
      </c>
      <c r="E6" s="75"/>
      <c r="F6" s="76" t="s">
        <v>157</v>
      </c>
      <c r="G6" s="76" t="s">
        <v>197</v>
      </c>
      <c r="H6" s="76" t="s">
        <v>197</v>
      </c>
      <c r="I6" s="76"/>
      <c r="J6" s="76" t="s">
        <v>197</v>
      </c>
      <c r="K6" s="76">
        <v>2</v>
      </c>
      <c r="L6" s="76"/>
      <c r="M6" s="77" t="s">
        <v>209</v>
      </c>
    </row>
    <row r="7" spans="1:15" s="64" customFormat="1" ht="22.5" x14ac:dyDescent="0.25">
      <c r="A7" s="63">
        <v>6</v>
      </c>
      <c r="B7" s="78" t="s">
        <v>23</v>
      </c>
      <c r="C7" s="79" t="s">
        <v>210</v>
      </c>
      <c r="D7" s="65" t="s">
        <v>163</v>
      </c>
      <c r="E7" s="73" t="s">
        <v>203</v>
      </c>
      <c r="F7" s="64" t="s">
        <v>157</v>
      </c>
      <c r="G7" s="64" t="s">
        <v>197</v>
      </c>
      <c r="H7" s="64" t="s">
        <v>197</v>
      </c>
      <c r="J7" s="64" t="s">
        <v>197</v>
      </c>
      <c r="K7" s="64">
        <v>1</v>
      </c>
      <c r="M7" s="66"/>
    </row>
    <row r="8" spans="1:15" s="64" customFormat="1" ht="33.75" x14ac:dyDescent="0.2">
      <c r="A8" s="68">
        <v>7</v>
      </c>
      <c r="B8" s="68" t="s">
        <v>36</v>
      </c>
      <c r="C8" s="69" t="s">
        <v>165</v>
      </c>
      <c r="D8" s="80" t="s">
        <v>144</v>
      </c>
      <c r="E8" s="81" t="s">
        <v>200</v>
      </c>
      <c r="F8" s="68" t="s">
        <v>167</v>
      </c>
      <c r="G8" s="82"/>
      <c r="H8" s="82"/>
      <c r="I8" s="82"/>
      <c r="J8" s="82" t="s">
        <v>197</v>
      </c>
      <c r="K8" s="82">
        <v>1</v>
      </c>
      <c r="L8" s="82"/>
      <c r="M8" s="71" t="s">
        <v>211</v>
      </c>
    </row>
    <row r="9" spans="1:15" s="64" customFormat="1" ht="33.75" x14ac:dyDescent="0.2">
      <c r="A9" s="63">
        <v>8</v>
      </c>
      <c r="B9" s="64" t="s">
        <v>25</v>
      </c>
      <c r="C9" s="65" t="s">
        <v>168</v>
      </c>
      <c r="D9" s="65" t="s">
        <v>169</v>
      </c>
      <c r="E9" s="65" t="s">
        <v>200</v>
      </c>
      <c r="F9" s="64" t="s">
        <v>157</v>
      </c>
      <c r="G9" s="83"/>
      <c r="H9" s="83"/>
      <c r="I9" s="83"/>
      <c r="J9" s="83" t="s">
        <v>197</v>
      </c>
      <c r="K9" s="64">
        <v>2</v>
      </c>
      <c r="L9" s="83"/>
      <c r="M9" s="66" t="s">
        <v>212</v>
      </c>
    </row>
    <row r="10" spans="1:15" s="64" customFormat="1" ht="33.75" x14ac:dyDescent="0.2">
      <c r="A10" s="64">
        <v>9</v>
      </c>
      <c r="B10" s="84" t="s">
        <v>43</v>
      </c>
      <c r="C10" s="79" t="s">
        <v>171</v>
      </c>
      <c r="D10" s="85"/>
      <c r="E10" s="86"/>
      <c r="F10" s="83" t="s">
        <v>164</v>
      </c>
      <c r="G10" s="83"/>
      <c r="H10" s="83"/>
      <c r="I10" s="83"/>
      <c r="J10" s="83"/>
      <c r="K10" s="83">
        <v>1</v>
      </c>
      <c r="L10" s="83"/>
      <c r="M10" s="66"/>
    </row>
    <row r="11" spans="1:15" s="64" customFormat="1" ht="22.5" x14ac:dyDescent="0.2">
      <c r="A11" s="63">
        <v>10</v>
      </c>
      <c r="B11" s="78" t="s">
        <v>35</v>
      </c>
      <c r="C11" s="79" t="s">
        <v>173</v>
      </c>
      <c r="D11" s="85" t="s">
        <v>174</v>
      </c>
      <c r="E11" s="73" t="s">
        <v>213</v>
      </c>
      <c r="F11" s="83" t="s">
        <v>152</v>
      </c>
      <c r="G11" s="83"/>
      <c r="H11" s="83"/>
      <c r="I11" s="83"/>
      <c r="J11" s="83"/>
      <c r="K11" s="83">
        <v>1</v>
      </c>
      <c r="L11" s="83"/>
      <c r="M11" s="87"/>
    </row>
    <row r="12" spans="1:15" s="64" customFormat="1" ht="33.75" x14ac:dyDescent="0.2">
      <c r="A12" s="64">
        <v>11</v>
      </c>
      <c r="B12" s="78" t="s">
        <v>30</v>
      </c>
      <c r="C12" s="85" t="s">
        <v>175</v>
      </c>
      <c r="D12" s="85"/>
      <c r="E12" s="86"/>
      <c r="F12" s="83" t="s">
        <v>157</v>
      </c>
      <c r="G12" s="83"/>
      <c r="H12" s="83"/>
      <c r="I12" s="83"/>
      <c r="J12" s="83"/>
      <c r="K12" s="83">
        <v>1</v>
      </c>
      <c r="L12" s="83"/>
      <c r="M12" s="87"/>
    </row>
    <row r="13" spans="1:15" s="64" customFormat="1" ht="33.75" x14ac:dyDescent="0.2">
      <c r="A13" s="64">
        <v>12</v>
      </c>
      <c r="B13" s="78" t="s">
        <v>32</v>
      </c>
      <c r="C13" s="85" t="s">
        <v>177</v>
      </c>
      <c r="D13" s="85"/>
      <c r="E13" s="86"/>
      <c r="F13" s="83" t="s">
        <v>167</v>
      </c>
      <c r="G13" s="83"/>
      <c r="H13" s="83"/>
      <c r="I13" s="83"/>
      <c r="J13" s="83"/>
      <c r="K13" s="83">
        <v>1</v>
      </c>
      <c r="L13" s="83"/>
      <c r="M13" s="87"/>
    </row>
    <row r="14" spans="1:15" s="64" customFormat="1" ht="78.75" x14ac:dyDescent="0.2">
      <c r="A14" s="64">
        <v>13</v>
      </c>
      <c r="B14" s="78" t="s">
        <v>38</v>
      </c>
      <c r="C14" s="85" t="s">
        <v>179</v>
      </c>
      <c r="D14" s="85"/>
      <c r="E14" s="86"/>
      <c r="F14" s="83" t="s">
        <v>152</v>
      </c>
      <c r="G14" s="83"/>
      <c r="H14" s="83"/>
      <c r="I14" s="83"/>
      <c r="J14" s="83"/>
      <c r="K14" s="83">
        <v>1</v>
      </c>
      <c r="L14" s="83"/>
      <c r="M14" s="87" t="s">
        <v>214</v>
      </c>
    </row>
    <row r="15" spans="1:15" s="64" customFormat="1" ht="33.75" x14ac:dyDescent="0.2">
      <c r="A15" s="64">
        <v>14</v>
      </c>
      <c r="B15" s="64" t="s">
        <v>48</v>
      </c>
      <c r="C15" s="65" t="s">
        <v>181</v>
      </c>
      <c r="D15" s="85"/>
      <c r="E15" s="86"/>
      <c r="F15" s="83" t="s">
        <v>167</v>
      </c>
      <c r="G15" s="83"/>
      <c r="H15" s="83"/>
      <c r="I15" s="83"/>
      <c r="J15" s="83"/>
      <c r="K15" s="83">
        <v>1</v>
      </c>
      <c r="L15" s="83"/>
      <c r="M15" s="87" t="s">
        <v>215</v>
      </c>
    </row>
    <row r="16" spans="1:15" s="88" customFormat="1" ht="22.5" x14ac:dyDescent="0.2">
      <c r="A16" s="63">
        <v>15</v>
      </c>
      <c r="B16" s="78" t="s">
        <v>33</v>
      </c>
      <c r="C16" s="65" t="s">
        <v>183</v>
      </c>
      <c r="D16" s="85" t="s">
        <v>184</v>
      </c>
      <c r="E16" s="86"/>
      <c r="F16" s="83" t="s">
        <v>185</v>
      </c>
      <c r="G16" s="83"/>
      <c r="H16" s="83"/>
      <c r="I16" s="83"/>
      <c r="J16" s="83"/>
      <c r="K16" s="83"/>
      <c r="L16" s="83"/>
      <c r="M16" s="87"/>
      <c r="N16" s="64"/>
      <c r="O16" s="64"/>
    </row>
    <row r="17" spans="1:15" s="89" customFormat="1" ht="22.5" x14ac:dyDescent="0.2">
      <c r="A17" s="63">
        <v>16</v>
      </c>
      <c r="B17" s="78" t="s">
        <v>49</v>
      </c>
      <c r="C17" s="65" t="s">
        <v>186</v>
      </c>
      <c r="D17" s="85" t="s">
        <v>187</v>
      </c>
      <c r="E17" s="86"/>
      <c r="F17" s="83" t="s">
        <v>152</v>
      </c>
      <c r="G17" s="83"/>
      <c r="H17" s="83"/>
      <c r="I17" s="83"/>
      <c r="J17" s="83"/>
      <c r="K17" s="83"/>
      <c r="L17" s="83"/>
      <c r="M17" s="87"/>
      <c r="N17" s="64"/>
      <c r="O17" s="64"/>
    </row>
    <row r="18" spans="1:15" s="64" customFormat="1" ht="67.5" x14ac:dyDescent="0.2">
      <c r="A18" s="63">
        <v>17</v>
      </c>
      <c r="B18" s="78" t="s">
        <v>47</v>
      </c>
      <c r="C18" s="65" t="s">
        <v>154</v>
      </c>
      <c r="D18" s="65" t="s">
        <v>155</v>
      </c>
      <c r="E18" s="65" t="s">
        <v>216</v>
      </c>
      <c r="F18" s="83" t="s">
        <v>167</v>
      </c>
      <c r="G18" s="83"/>
      <c r="H18" s="83"/>
      <c r="I18" s="83"/>
      <c r="J18" s="83"/>
      <c r="K18" s="83"/>
      <c r="L18" s="83"/>
      <c r="M18" s="87"/>
    </row>
    <row r="19" spans="1:15" s="64" customFormat="1" x14ac:dyDescent="0.2">
      <c r="B19" s="78"/>
      <c r="C19" s="85"/>
      <c r="D19" s="85"/>
      <c r="E19" s="86"/>
      <c r="F19" s="83"/>
      <c r="G19" s="83"/>
      <c r="H19" s="83"/>
      <c r="I19" s="83"/>
      <c r="J19" s="83"/>
      <c r="K19" s="83"/>
      <c r="L19" s="83"/>
      <c r="M19" s="87"/>
    </row>
    <row r="20" spans="1:15" s="64" customFormat="1" x14ac:dyDescent="0.2">
      <c r="B20" s="118" t="s">
        <v>217</v>
      </c>
      <c r="C20" s="118"/>
      <c r="D20" s="118"/>
      <c r="E20" s="118"/>
      <c r="F20" s="83"/>
      <c r="G20" s="83"/>
      <c r="H20" s="83"/>
      <c r="I20" s="83"/>
      <c r="J20" s="83"/>
      <c r="K20" s="83"/>
      <c r="L20" s="83"/>
      <c r="M20" s="87"/>
    </row>
    <row r="21" spans="1:15" s="64" customFormat="1" x14ac:dyDescent="0.2">
      <c r="B21" s="90"/>
      <c r="C21" s="90"/>
      <c r="D21" s="119" t="s">
        <v>218</v>
      </c>
      <c r="E21" s="119"/>
      <c r="F21" s="119"/>
      <c r="G21" s="120" t="s">
        <v>250</v>
      </c>
      <c r="H21" s="120"/>
      <c r="I21" s="120"/>
      <c r="J21" s="120"/>
      <c r="K21" s="120"/>
      <c r="L21" s="120"/>
      <c r="M21" s="94"/>
      <c r="N21" s="87"/>
    </row>
    <row r="22" spans="1:15" s="64" customFormat="1" x14ac:dyDescent="0.2">
      <c r="A22" s="83"/>
      <c r="B22" s="83" t="s">
        <v>287</v>
      </c>
      <c r="C22" s="85" t="s">
        <v>288</v>
      </c>
      <c r="D22" s="93" t="s">
        <v>246</v>
      </c>
      <c r="E22" s="93" t="s">
        <v>243</v>
      </c>
      <c r="F22" s="93" t="s">
        <v>244</v>
      </c>
      <c r="G22" s="93" t="s">
        <v>213</v>
      </c>
      <c r="H22" s="93" t="s">
        <v>203</v>
      </c>
      <c r="I22" s="93" t="s">
        <v>248</v>
      </c>
      <c r="J22" s="93" t="s">
        <v>251</v>
      </c>
      <c r="K22" s="95" t="s">
        <v>245</v>
      </c>
      <c r="L22" s="96" t="s">
        <v>247</v>
      </c>
      <c r="M22" s="96" t="s">
        <v>252</v>
      </c>
      <c r="N22" s="83"/>
      <c r="O22" s="83"/>
    </row>
    <row r="23" spans="1:15" s="64" customFormat="1" x14ac:dyDescent="0.2">
      <c r="A23" s="83"/>
      <c r="B23" s="83" t="s">
        <v>21</v>
      </c>
      <c r="C23" s="85" t="s">
        <v>205</v>
      </c>
      <c r="D23" s="97" t="s">
        <v>249</v>
      </c>
      <c r="E23" s="98" t="s">
        <v>249</v>
      </c>
      <c r="F23" s="98" t="s">
        <v>249</v>
      </c>
      <c r="G23" s="98" t="s">
        <v>5</v>
      </c>
      <c r="H23" s="98" t="s">
        <v>5</v>
      </c>
      <c r="I23" s="98" t="s">
        <v>5</v>
      </c>
      <c r="J23" s="98" t="s">
        <v>5</v>
      </c>
      <c r="K23" s="98" t="s">
        <v>5</v>
      </c>
      <c r="L23" s="97" t="s">
        <v>5</v>
      </c>
      <c r="M23" s="97"/>
      <c r="N23" s="64">
        <v>36.308</v>
      </c>
      <c r="O23" s="83"/>
    </row>
    <row r="24" spans="1:15" s="64" customFormat="1" ht="22.5" x14ac:dyDescent="0.2">
      <c r="A24" s="83"/>
      <c r="B24" s="87" t="s">
        <v>24</v>
      </c>
      <c r="C24" s="87" t="s">
        <v>220</v>
      </c>
      <c r="D24" s="98" t="s">
        <v>5</v>
      </c>
      <c r="E24" s="98" t="s">
        <v>249</v>
      </c>
      <c r="F24" s="98" t="s">
        <v>249</v>
      </c>
      <c r="G24" s="98" t="s">
        <v>249</v>
      </c>
      <c r="H24" s="98" t="s">
        <v>5</v>
      </c>
      <c r="I24" s="98" t="s">
        <v>249</v>
      </c>
      <c r="J24" s="98" t="s">
        <v>5</v>
      </c>
      <c r="K24" s="98" t="s">
        <v>249</v>
      </c>
      <c r="L24" s="97" t="s">
        <v>249</v>
      </c>
      <c r="M24" s="97"/>
      <c r="N24" s="64">
        <v>32.002200000000002</v>
      </c>
      <c r="O24" s="83"/>
    </row>
    <row r="25" spans="1:15" s="64" customFormat="1" ht="22.5" x14ac:dyDescent="0.2">
      <c r="A25" s="83"/>
      <c r="B25" s="87" t="s">
        <v>26</v>
      </c>
      <c r="C25" s="87" t="s">
        <v>222</v>
      </c>
      <c r="D25" s="98" t="s">
        <v>249</v>
      </c>
      <c r="E25" s="98" t="s">
        <v>249</v>
      </c>
      <c r="F25" s="98" t="s">
        <v>5</v>
      </c>
      <c r="G25" s="98" t="s">
        <v>5</v>
      </c>
      <c r="H25" s="98" t="s">
        <v>5</v>
      </c>
      <c r="I25" s="98" t="s">
        <v>249</v>
      </c>
      <c r="J25" s="98" t="s">
        <v>5</v>
      </c>
      <c r="K25" s="98" t="s">
        <v>249</v>
      </c>
      <c r="L25" s="97" t="s">
        <v>249</v>
      </c>
      <c r="M25" s="97"/>
      <c r="N25" s="64">
        <v>33.348799999999997</v>
      </c>
      <c r="O25" s="83"/>
    </row>
    <row r="26" spans="1:15" s="64" customFormat="1" ht="22.5" x14ac:dyDescent="0.2">
      <c r="A26" s="83"/>
      <c r="B26" s="87" t="s">
        <v>29</v>
      </c>
      <c r="C26" s="87" t="s">
        <v>224</v>
      </c>
      <c r="D26" s="98" t="s">
        <v>5</v>
      </c>
      <c r="E26" s="98" t="s">
        <v>249</v>
      </c>
      <c r="F26" s="98" t="s">
        <v>249</v>
      </c>
      <c r="G26" s="98" t="s">
        <v>249</v>
      </c>
      <c r="H26" s="98" t="s">
        <v>5</v>
      </c>
      <c r="I26" s="98" t="s">
        <v>249</v>
      </c>
      <c r="J26" s="98" t="s">
        <v>5</v>
      </c>
      <c r="K26" s="98" t="s">
        <v>249</v>
      </c>
      <c r="L26" s="97" t="s">
        <v>249</v>
      </c>
      <c r="M26" s="97"/>
      <c r="N26" s="64">
        <v>32.008200000000002</v>
      </c>
      <c r="O26" s="83"/>
    </row>
    <row r="27" spans="1:15" s="64" customFormat="1" ht="22.5" x14ac:dyDescent="0.2">
      <c r="A27" s="83"/>
      <c r="B27" s="87" t="s">
        <v>33</v>
      </c>
      <c r="C27" s="87" t="s">
        <v>226</v>
      </c>
      <c r="D27" s="98" t="s">
        <v>5</v>
      </c>
      <c r="E27" s="98" t="s">
        <v>249</v>
      </c>
      <c r="F27" s="98" t="s">
        <v>249</v>
      </c>
      <c r="G27" s="98" t="s">
        <v>5</v>
      </c>
      <c r="H27" s="98" t="s">
        <v>5</v>
      </c>
      <c r="I27" s="98" t="s">
        <v>5</v>
      </c>
      <c r="J27" s="98" t="s">
        <v>249</v>
      </c>
      <c r="K27" s="98" t="s">
        <v>249</v>
      </c>
      <c r="L27" s="97" t="s">
        <v>249</v>
      </c>
      <c r="M27" s="97"/>
      <c r="N27" s="64">
        <v>31.931400000000004</v>
      </c>
      <c r="O27" s="83"/>
    </row>
    <row r="28" spans="1:15" s="64" customFormat="1" x14ac:dyDescent="0.2">
      <c r="A28" s="83"/>
      <c r="B28" s="87" t="s">
        <v>37</v>
      </c>
      <c r="C28" s="87" t="s">
        <v>154</v>
      </c>
      <c r="D28" s="98" t="s">
        <v>249</v>
      </c>
      <c r="E28" s="98" t="s">
        <v>249</v>
      </c>
      <c r="F28" s="98" t="s">
        <v>5</v>
      </c>
      <c r="G28" s="98" t="s">
        <v>5</v>
      </c>
      <c r="H28" s="98" t="s">
        <v>5</v>
      </c>
      <c r="I28" s="98" t="s">
        <v>5</v>
      </c>
      <c r="J28" s="98" t="s">
        <v>5</v>
      </c>
      <c r="K28" s="97" t="s">
        <v>5</v>
      </c>
      <c r="L28" s="97" t="s">
        <v>5</v>
      </c>
      <c r="M28" s="97"/>
      <c r="N28" s="83">
        <v>36.295000000000002</v>
      </c>
      <c r="O28" s="83"/>
    </row>
    <row r="29" spans="1:15" s="64" customFormat="1" ht="33.75" x14ac:dyDescent="0.2">
      <c r="A29" s="83"/>
      <c r="B29" s="87" t="s">
        <v>39</v>
      </c>
      <c r="C29" s="87" t="s">
        <v>229</v>
      </c>
      <c r="D29" s="98" t="s">
        <v>5</v>
      </c>
      <c r="E29" s="98" t="s">
        <v>249</v>
      </c>
      <c r="F29" s="98" t="s">
        <v>249</v>
      </c>
      <c r="G29" s="98" t="s">
        <v>5</v>
      </c>
      <c r="H29" s="98" t="s">
        <v>5</v>
      </c>
      <c r="I29" s="98" t="s">
        <v>5</v>
      </c>
      <c r="J29" s="98" t="s">
        <v>5</v>
      </c>
      <c r="K29" s="97" t="s">
        <v>249</v>
      </c>
      <c r="L29" s="97" t="s">
        <v>249</v>
      </c>
      <c r="M29" s="101" t="s">
        <v>253</v>
      </c>
      <c r="N29" s="83">
        <v>31.211199999999998</v>
      </c>
      <c r="O29" s="83"/>
    </row>
    <row r="30" spans="1:15" s="68" customFormat="1" ht="33.75" x14ac:dyDescent="0.2">
      <c r="A30" s="83"/>
      <c r="B30" s="87" t="s">
        <v>40</v>
      </c>
      <c r="C30" s="87" t="s">
        <v>231</v>
      </c>
      <c r="D30" s="98" t="s">
        <v>5</v>
      </c>
      <c r="E30" s="98" t="s">
        <v>249</v>
      </c>
      <c r="F30" s="98" t="s">
        <v>249</v>
      </c>
      <c r="G30" s="98" t="s">
        <v>249</v>
      </c>
      <c r="H30" s="98" t="s">
        <v>5</v>
      </c>
      <c r="I30" s="98" t="s">
        <v>249</v>
      </c>
      <c r="J30" s="98" t="s">
        <v>5</v>
      </c>
      <c r="K30" s="97" t="s">
        <v>249</v>
      </c>
      <c r="L30" s="97" t="s">
        <v>249</v>
      </c>
      <c r="M30" s="101" t="s">
        <v>255</v>
      </c>
      <c r="N30" s="83">
        <v>29.315999999999995</v>
      </c>
      <c r="O30" s="83"/>
    </row>
    <row r="31" spans="1:15" s="64" customFormat="1" ht="33.75" x14ac:dyDescent="0.2">
      <c r="A31" s="83"/>
      <c r="B31" s="87" t="s">
        <v>41</v>
      </c>
      <c r="C31" s="87" t="s">
        <v>233</v>
      </c>
      <c r="D31" s="98" t="s">
        <v>5</v>
      </c>
      <c r="E31" s="98" t="s">
        <v>249</v>
      </c>
      <c r="F31" s="98" t="s">
        <v>249</v>
      </c>
      <c r="G31" s="98" t="s">
        <v>5</v>
      </c>
      <c r="H31" s="98" t="s">
        <v>5</v>
      </c>
      <c r="I31" s="98" t="s">
        <v>249</v>
      </c>
      <c r="J31" s="98" t="s">
        <v>5</v>
      </c>
      <c r="K31" s="97" t="s">
        <v>249</v>
      </c>
      <c r="L31" s="97" t="s">
        <v>249</v>
      </c>
      <c r="M31" s="101" t="s">
        <v>256</v>
      </c>
      <c r="N31" s="83">
        <v>32.705999999999996</v>
      </c>
      <c r="O31" s="83"/>
    </row>
    <row r="32" spans="1:15" s="64" customFormat="1" ht="33.75" x14ac:dyDescent="0.2">
      <c r="A32" s="83"/>
      <c r="B32" s="87" t="s">
        <v>42</v>
      </c>
      <c r="C32" s="87" t="s">
        <v>235</v>
      </c>
      <c r="D32" s="98" t="s">
        <v>5</v>
      </c>
      <c r="E32" s="98" t="s">
        <v>249</v>
      </c>
      <c r="F32" s="98" t="s">
        <v>249</v>
      </c>
      <c r="G32" s="98" t="s">
        <v>5</v>
      </c>
      <c r="H32" s="98" t="s">
        <v>249</v>
      </c>
      <c r="I32" s="98" t="s">
        <v>249</v>
      </c>
      <c r="J32" s="98" t="s">
        <v>5</v>
      </c>
      <c r="K32" s="97" t="s">
        <v>249</v>
      </c>
      <c r="L32" s="97" t="s">
        <v>249</v>
      </c>
      <c r="M32" s="101" t="s">
        <v>255</v>
      </c>
      <c r="N32" s="83">
        <v>29.200400000000002</v>
      </c>
      <c r="O32" s="83"/>
    </row>
    <row r="33" spans="1:15" s="76" customFormat="1" ht="33.75" x14ac:dyDescent="0.2">
      <c r="A33" s="83"/>
      <c r="B33" s="87" t="s">
        <v>44</v>
      </c>
      <c r="C33" s="87" t="s">
        <v>237</v>
      </c>
      <c r="D33" s="98" t="s">
        <v>5</v>
      </c>
      <c r="E33" s="98" t="s">
        <v>249</v>
      </c>
      <c r="F33" s="98" t="s">
        <v>249</v>
      </c>
      <c r="G33" s="98" t="s">
        <v>5</v>
      </c>
      <c r="H33" s="98" t="s">
        <v>5</v>
      </c>
      <c r="I33" s="98" t="s">
        <v>5</v>
      </c>
      <c r="J33" s="98" t="s">
        <v>249</v>
      </c>
      <c r="K33" s="97" t="s">
        <v>249</v>
      </c>
      <c r="L33" s="97" t="s">
        <v>249</v>
      </c>
      <c r="M33" s="101" t="s">
        <v>256</v>
      </c>
      <c r="N33" s="83">
        <v>32.0792</v>
      </c>
      <c r="O33" s="83"/>
    </row>
    <row r="34" spans="1:15" s="64" customFormat="1" ht="22.5" x14ac:dyDescent="0.2">
      <c r="A34" s="83"/>
      <c r="B34" s="87" t="s">
        <v>46</v>
      </c>
      <c r="C34" s="87" t="s">
        <v>239</v>
      </c>
      <c r="D34" s="98" t="s">
        <v>5</v>
      </c>
      <c r="E34" s="98" t="s">
        <v>249</v>
      </c>
      <c r="F34" s="98" t="s">
        <v>249</v>
      </c>
      <c r="G34" s="98" t="s">
        <v>5</v>
      </c>
      <c r="H34" s="98" t="s">
        <v>5</v>
      </c>
      <c r="I34" s="98" t="s">
        <v>5</v>
      </c>
      <c r="J34" s="98" t="s">
        <v>5</v>
      </c>
      <c r="K34" s="97" t="s">
        <v>5</v>
      </c>
      <c r="L34" s="97" t="s">
        <v>249</v>
      </c>
      <c r="M34" s="101" t="s">
        <v>254</v>
      </c>
      <c r="N34" s="83">
        <v>31.273399999999999</v>
      </c>
      <c r="O34" s="83"/>
    </row>
    <row r="35" spans="1:15" s="82" customFormat="1" x14ac:dyDescent="0.2">
      <c r="A35" s="83"/>
      <c r="B35" s="87"/>
      <c r="C35" s="87"/>
      <c r="D35" s="83"/>
      <c r="E35" s="83"/>
      <c r="F35" s="83"/>
      <c r="G35" s="83"/>
      <c r="H35" s="83"/>
      <c r="I35" s="83"/>
      <c r="J35" s="83"/>
      <c r="K35" s="83"/>
      <c r="L35" s="83"/>
      <c r="M35" s="83"/>
      <c r="N35" s="83"/>
      <c r="O35" s="83"/>
    </row>
    <row r="36" spans="1:15" x14ac:dyDescent="0.2">
      <c r="B36" s="87"/>
      <c r="C36" s="87"/>
      <c r="D36" s="83"/>
      <c r="E36" s="83"/>
      <c r="M36" s="83"/>
    </row>
    <row r="37" spans="1:15" x14ac:dyDescent="0.2">
      <c r="B37" s="87"/>
      <c r="C37" s="87"/>
      <c r="D37" s="83"/>
      <c r="E37" s="83"/>
      <c r="M37" s="83"/>
    </row>
    <row r="38" spans="1:15" x14ac:dyDescent="0.2">
      <c r="B38" s="99" t="s">
        <v>21</v>
      </c>
      <c r="C38" s="91" t="s">
        <v>219</v>
      </c>
      <c r="D38" s="83" t="e">
        <f>VLOOKUP(B38,#REF!,2,FALSE)</f>
        <v>#REF!</v>
      </c>
      <c r="E38" s="83"/>
      <c r="M38" s="83"/>
    </row>
    <row r="39" spans="1:15" ht="22.5" x14ac:dyDescent="0.2">
      <c r="B39" s="100" t="s">
        <v>24</v>
      </c>
      <c r="C39" s="92" t="s">
        <v>221</v>
      </c>
      <c r="D39" s="83" t="e">
        <f>VLOOKUP(B39,#REF!,2,FALSE)</f>
        <v>#REF!</v>
      </c>
      <c r="E39" s="83"/>
      <c r="M39" s="83"/>
    </row>
    <row r="40" spans="1:15" x14ac:dyDescent="0.2">
      <c r="B40" s="100" t="s">
        <v>26</v>
      </c>
      <c r="C40" s="92" t="s">
        <v>223</v>
      </c>
      <c r="D40" s="83" t="e">
        <f>VLOOKUP(B40,#REF!,2,FALSE)</f>
        <v>#REF!</v>
      </c>
      <c r="E40" s="83"/>
      <c r="M40" s="83"/>
    </row>
    <row r="41" spans="1:15" ht="22.5" x14ac:dyDescent="0.2">
      <c r="B41" s="100" t="s">
        <v>29</v>
      </c>
      <c r="C41" s="92" t="s">
        <v>225</v>
      </c>
      <c r="D41" s="83" t="e">
        <f>VLOOKUP(B41,#REF!,2,FALSE)</f>
        <v>#REF!</v>
      </c>
      <c r="E41" s="83"/>
      <c r="M41" s="83"/>
    </row>
    <row r="42" spans="1:15" x14ac:dyDescent="0.2">
      <c r="B42" s="100" t="s">
        <v>33</v>
      </c>
      <c r="C42" s="92" t="s">
        <v>227</v>
      </c>
      <c r="D42" s="83" t="e">
        <f>VLOOKUP(B42,#REF!,2,FALSE)</f>
        <v>#REF!</v>
      </c>
      <c r="E42" s="83"/>
      <c r="M42" s="83"/>
    </row>
    <row r="43" spans="1:15" x14ac:dyDescent="0.2">
      <c r="B43" s="100" t="s">
        <v>37</v>
      </c>
      <c r="C43" s="92" t="s">
        <v>228</v>
      </c>
      <c r="D43" s="83" t="e">
        <f>VLOOKUP(B43,#REF!,2,FALSE)</f>
        <v>#REF!</v>
      </c>
      <c r="E43" s="83"/>
      <c r="M43" s="83"/>
    </row>
    <row r="44" spans="1:15" ht="22.5" x14ac:dyDescent="0.2">
      <c r="B44" s="100" t="s">
        <v>39</v>
      </c>
      <c r="C44" s="92" t="s">
        <v>230</v>
      </c>
      <c r="D44" s="83" t="e">
        <f>VLOOKUP(B44,#REF!,2,FALSE)</f>
        <v>#REF!</v>
      </c>
      <c r="E44" s="83"/>
      <c r="M44" s="83"/>
    </row>
    <row r="45" spans="1:15" ht="33.75" x14ac:dyDescent="0.2">
      <c r="B45" s="100" t="s">
        <v>40</v>
      </c>
      <c r="C45" s="92" t="s">
        <v>232</v>
      </c>
      <c r="D45" s="83" t="e">
        <f>VLOOKUP(B45,#REF!,2,FALSE)</f>
        <v>#REF!</v>
      </c>
      <c r="E45" s="83"/>
      <c r="M45" s="83"/>
    </row>
    <row r="46" spans="1:15" ht="33.75" x14ac:dyDescent="0.2">
      <c r="B46" s="100" t="s">
        <v>41</v>
      </c>
      <c r="C46" s="92" t="s">
        <v>234</v>
      </c>
      <c r="D46" s="83" t="e">
        <f>VLOOKUP(B46,#REF!,2,FALSE)</f>
        <v>#REF!</v>
      </c>
      <c r="E46" s="83"/>
      <c r="M46" s="83"/>
    </row>
    <row r="47" spans="1:15" ht="22.5" x14ac:dyDescent="0.2">
      <c r="B47" s="100" t="s">
        <v>42</v>
      </c>
      <c r="C47" s="92" t="s">
        <v>236</v>
      </c>
      <c r="D47" s="83" t="e">
        <f>VLOOKUP(B47,#REF!,2,FALSE)</f>
        <v>#REF!</v>
      </c>
      <c r="E47" s="83"/>
      <c r="M47" s="83"/>
    </row>
    <row r="48" spans="1:15" ht="33.75" x14ac:dyDescent="0.2">
      <c r="B48" s="100" t="s">
        <v>44</v>
      </c>
      <c r="C48" s="92" t="s">
        <v>238</v>
      </c>
      <c r="D48" s="83" t="e">
        <f>VLOOKUP(B48,#REF!,2,FALSE)</f>
        <v>#REF!</v>
      </c>
      <c r="E48" s="83"/>
      <c r="M48" s="83"/>
    </row>
    <row r="49" spans="1:14" ht="22.5" x14ac:dyDescent="0.2">
      <c r="B49" s="100" t="s">
        <v>46</v>
      </c>
      <c r="C49" s="92" t="s">
        <v>240</v>
      </c>
      <c r="D49" s="83" t="e">
        <f>VLOOKUP(B49,#REF!,2,FALSE)</f>
        <v>#REF!</v>
      </c>
    </row>
    <row r="52" spans="1:14" x14ac:dyDescent="0.2">
      <c r="A52" s="64"/>
      <c r="B52" s="118" t="s">
        <v>217</v>
      </c>
      <c r="C52" s="118"/>
      <c r="D52" s="118"/>
      <c r="E52" s="118"/>
      <c r="N52" s="64"/>
    </row>
    <row r="53" spans="1:14" x14ac:dyDescent="0.2">
      <c r="A53" s="64"/>
      <c r="B53" s="90"/>
      <c r="C53" s="90"/>
      <c r="D53" s="93" t="s">
        <v>218</v>
      </c>
      <c r="E53" s="90"/>
      <c r="F53" s="94"/>
      <c r="G53" s="94" t="s">
        <v>250</v>
      </c>
      <c r="H53" s="94"/>
      <c r="I53" s="94"/>
      <c r="J53" s="94"/>
      <c r="K53" s="94"/>
      <c r="L53" s="94"/>
      <c r="M53" s="94"/>
      <c r="N53" s="87"/>
    </row>
    <row r="54" spans="1:14" ht="32.25" x14ac:dyDescent="0.2">
      <c r="D54" s="93" t="s">
        <v>266</v>
      </c>
      <c r="E54" s="93" t="s">
        <v>269</v>
      </c>
      <c r="F54" s="93" t="s">
        <v>213</v>
      </c>
      <c r="G54" s="93" t="s">
        <v>270</v>
      </c>
      <c r="H54" s="93" t="s">
        <v>271</v>
      </c>
      <c r="I54" s="95" t="s">
        <v>245</v>
      </c>
      <c r="J54" s="96" t="s">
        <v>247</v>
      </c>
      <c r="K54" s="96" t="s">
        <v>252</v>
      </c>
      <c r="M54" s="83"/>
    </row>
    <row r="55" spans="1:14" x14ac:dyDescent="0.2">
      <c r="B55" s="85" t="s">
        <v>257</v>
      </c>
      <c r="C55" s="85" t="s">
        <v>268</v>
      </c>
      <c r="D55" s="97" t="s">
        <v>249</v>
      </c>
      <c r="E55" s="98" t="s">
        <v>249</v>
      </c>
      <c r="F55" s="98" t="s">
        <v>5</v>
      </c>
      <c r="G55" s="98" t="s">
        <v>5</v>
      </c>
      <c r="H55" s="98" t="s">
        <v>5</v>
      </c>
      <c r="I55" s="98" t="s">
        <v>5</v>
      </c>
      <c r="J55" s="97" t="s">
        <v>5</v>
      </c>
      <c r="K55" s="97"/>
      <c r="L55" s="64">
        <v>8.5284800000000001</v>
      </c>
      <c r="M55" s="83"/>
    </row>
    <row r="56" spans="1:14" ht="22.5" x14ac:dyDescent="0.2">
      <c r="B56" s="85" t="s">
        <v>258</v>
      </c>
      <c r="C56" s="85" t="s">
        <v>272</v>
      </c>
      <c r="D56" s="98" t="s">
        <v>5</v>
      </c>
      <c r="E56" s="98" t="s">
        <v>249</v>
      </c>
      <c r="F56" s="98" t="s">
        <v>5</v>
      </c>
      <c r="G56" s="98" t="s">
        <v>5</v>
      </c>
      <c r="H56" s="98" t="s">
        <v>5</v>
      </c>
      <c r="I56" s="98" t="s">
        <v>249</v>
      </c>
      <c r="J56" s="97" t="s">
        <v>249</v>
      </c>
      <c r="K56" s="97"/>
      <c r="L56" s="64">
        <v>7.2748000000000008</v>
      </c>
      <c r="M56" s="83"/>
    </row>
    <row r="57" spans="1:14" ht="22.5" x14ac:dyDescent="0.2">
      <c r="B57" s="85" t="s">
        <v>259</v>
      </c>
      <c r="C57" s="85" t="s">
        <v>273</v>
      </c>
      <c r="D57" s="98" t="s">
        <v>5</v>
      </c>
      <c r="E57" s="98" t="s">
        <v>249</v>
      </c>
      <c r="F57" s="98" t="s">
        <v>249</v>
      </c>
      <c r="G57" s="98" t="s">
        <v>249</v>
      </c>
      <c r="H57" s="98" t="s">
        <v>5</v>
      </c>
      <c r="I57" s="98" t="s">
        <v>249</v>
      </c>
      <c r="J57" s="97" t="s">
        <v>249</v>
      </c>
      <c r="K57" s="97"/>
      <c r="L57" s="64">
        <v>5.7035200000000001</v>
      </c>
      <c r="M57" s="83"/>
    </row>
    <row r="58" spans="1:14" ht="22.5" x14ac:dyDescent="0.2">
      <c r="B58" s="85" t="s">
        <v>260</v>
      </c>
      <c r="C58" s="85" t="s">
        <v>267</v>
      </c>
      <c r="D58" s="98" t="s">
        <v>249</v>
      </c>
      <c r="E58" s="98" t="s">
        <v>249</v>
      </c>
      <c r="F58" s="98" t="s">
        <v>5</v>
      </c>
      <c r="G58" s="98" t="s">
        <v>249</v>
      </c>
      <c r="H58" s="98" t="s">
        <v>5</v>
      </c>
      <c r="I58" s="98" t="s">
        <v>249</v>
      </c>
      <c r="J58" s="97" t="s">
        <v>249</v>
      </c>
      <c r="K58" s="97"/>
      <c r="L58" s="64">
        <v>7.2752999999999997</v>
      </c>
      <c r="M58" s="83"/>
    </row>
    <row r="59" spans="1:14" ht="22.5" x14ac:dyDescent="0.2">
      <c r="B59" s="85" t="s">
        <v>49</v>
      </c>
      <c r="C59" s="85" t="s">
        <v>272</v>
      </c>
      <c r="D59" s="98" t="s">
        <v>5</v>
      </c>
      <c r="E59" s="98" t="s">
        <v>249</v>
      </c>
      <c r="F59" s="98" t="s">
        <v>5</v>
      </c>
      <c r="G59" s="98" t="s">
        <v>5</v>
      </c>
      <c r="H59" s="98" t="s">
        <v>249</v>
      </c>
      <c r="I59" s="98" t="s">
        <v>249</v>
      </c>
      <c r="J59" s="97" t="s">
        <v>249</v>
      </c>
      <c r="K59" s="97"/>
      <c r="L59" s="64">
        <v>7.2655199999999995</v>
      </c>
      <c r="M59" s="83"/>
    </row>
    <row r="60" spans="1:14" ht="33.75" x14ac:dyDescent="0.2">
      <c r="B60" s="85" t="s">
        <v>261</v>
      </c>
      <c r="C60" s="85" t="s">
        <v>274</v>
      </c>
      <c r="D60" s="98" t="s">
        <v>5</v>
      </c>
      <c r="E60" s="98" t="s">
        <v>249</v>
      </c>
      <c r="F60" s="98" t="s">
        <v>5</v>
      </c>
      <c r="G60" s="98" t="s">
        <v>5</v>
      </c>
      <c r="H60" s="98" t="s">
        <v>249</v>
      </c>
      <c r="I60" s="97" t="s">
        <v>5</v>
      </c>
      <c r="J60" s="97" t="s">
        <v>249</v>
      </c>
      <c r="K60" s="101" t="s">
        <v>256</v>
      </c>
      <c r="L60" s="83">
        <v>8.0902599999999989</v>
      </c>
      <c r="M60" s="83"/>
    </row>
    <row r="61" spans="1:14" ht="33.75" x14ac:dyDescent="0.2">
      <c r="B61" s="85" t="s">
        <v>262</v>
      </c>
      <c r="C61" s="85" t="s">
        <v>275</v>
      </c>
      <c r="D61" s="98" t="s">
        <v>5</v>
      </c>
      <c r="E61" s="98" t="s">
        <v>249</v>
      </c>
      <c r="F61" s="98" t="s">
        <v>5</v>
      </c>
      <c r="G61" s="98" t="s">
        <v>5</v>
      </c>
      <c r="H61" s="98" t="s">
        <v>249</v>
      </c>
      <c r="I61" s="97" t="s">
        <v>249</v>
      </c>
      <c r="J61" s="97" t="s">
        <v>249</v>
      </c>
      <c r="K61" s="101" t="s">
        <v>256</v>
      </c>
      <c r="L61" s="83">
        <v>8.5175599999999996</v>
      </c>
      <c r="M61" s="83"/>
    </row>
    <row r="62" spans="1:14" ht="33.75" x14ac:dyDescent="0.2">
      <c r="B62" s="85" t="s">
        <v>263</v>
      </c>
      <c r="C62" s="85" t="s">
        <v>276</v>
      </c>
      <c r="D62" s="98" t="s">
        <v>5</v>
      </c>
      <c r="E62" s="98" t="s">
        <v>249</v>
      </c>
      <c r="F62" s="98" t="s">
        <v>249</v>
      </c>
      <c r="G62" s="98" t="s">
        <v>249</v>
      </c>
      <c r="H62" s="98" t="s">
        <v>5</v>
      </c>
      <c r="I62" s="97" t="s">
        <v>249</v>
      </c>
      <c r="J62" s="97" t="s">
        <v>249</v>
      </c>
      <c r="K62" s="101" t="s">
        <v>256</v>
      </c>
      <c r="L62" s="83">
        <v>8.3876799999999996</v>
      </c>
      <c r="M62" s="83"/>
    </row>
    <row r="63" spans="1:14" ht="33.75" x14ac:dyDescent="0.2">
      <c r="B63" s="85" t="s">
        <v>264</v>
      </c>
      <c r="C63" s="85" t="s">
        <v>277</v>
      </c>
      <c r="D63" s="98" t="s">
        <v>5</v>
      </c>
      <c r="E63" s="98" t="s">
        <v>249</v>
      </c>
      <c r="F63" s="98" t="s">
        <v>5</v>
      </c>
      <c r="G63" s="98" t="s">
        <v>249</v>
      </c>
      <c r="H63" s="98" t="s">
        <v>5</v>
      </c>
      <c r="I63" s="97" t="s">
        <v>249</v>
      </c>
      <c r="J63" s="97" t="s">
        <v>249</v>
      </c>
      <c r="K63" s="101" t="s">
        <v>256</v>
      </c>
      <c r="L63" s="83">
        <v>8.0888400000000011</v>
      </c>
      <c r="M63" s="83"/>
    </row>
    <row r="64" spans="1:14" ht="33.75" x14ac:dyDescent="0.2">
      <c r="B64" s="85" t="s">
        <v>265</v>
      </c>
      <c r="C64" s="85" t="s">
        <v>278</v>
      </c>
      <c r="D64" s="98" t="s">
        <v>5</v>
      </c>
      <c r="E64" s="98" t="s">
        <v>249</v>
      </c>
      <c r="F64" s="98" t="s">
        <v>5</v>
      </c>
      <c r="G64" s="98" t="s">
        <v>5</v>
      </c>
      <c r="H64" s="98" t="s">
        <v>249</v>
      </c>
      <c r="I64" s="97" t="s">
        <v>249</v>
      </c>
      <c r="J64" s="97" t="s">
        <v>249</v>
      </c>
      <c r="K64" s="101" t="s">
        <v>256</v>
      </c>
      <c r="L64" s="83">
        <v>8.3857400000000002</v>
      </c>
      <c r="M64" s="83"/>
    </row>
    <row r="65" spans="2:13" x14ac:dyDescent="0.2">
      <c r="B65" s="85"/>
      <c r="D65" s="98"/>
      <c r="E65" s="98"/>
      <c r="F65" s="98"/>
      <c r="G65" s="98"/>
      <c r="H65" s="98"/>
      <c r="I65" s="98"/>
      <c r="J65" s="98"/>
      <c r="K65" s="97"/>
      <c r="L65" s="97"/>
      <c r="M65" s="101"/>
    </row>
    <row r="66" spans="2:13" x14ac:dyDescent="0.2">
      <c r="B66" s="85"/>
      <c r="D66" s="98"/>
      <c r="E66" s="98"/>
      <c r="F66" s="98"/>
      <c r="G66" s="98"/>
      <c r="H66" s="98"/>
      <c r="I66" s="98"/>
      <c r="J66" s="98"/>
      <c r="K66" s="97"/>
      <c r="L66" s="97"/>
      <c r="M66" s="101"/>
    </row>
    <row r="67" spans="2:13" x14ac:dyDescent="0.2">
      <c r="B67" s="87"/>
      <c r="C67" s="87"/>
      <c r="D67" s="83"/>
      <c r="E67" s="83"/>
      <c r="M67" s="83"/>
    </row>
    <row r="68" spans="2:13" x14ac:dyDescent="0.2">
      <c r="B68" s="87"/>
      <c r="C68" s="87"/>
      <c r="D68" s="83"/>
      <c r="E68" s="83"/>
      <c r="M68" s="83"/>
    </row>
    <row r="69" spans="2:13" x14ac:dyDescent="0.2">
      <c r="B69" s="87"/>
      <c r="C69" s="87"/>
      <c r="D69" s="83"/>
      <c r="E69" s="83"/>
      <c r="M69" s="83"/>
    </row>
    <row r="70" spans="2:13" x14ac:dyDescent="0.2">
      <c r="B70" s="100" t="s">
        <v>257</v>
      </c>
      <c r="C70" s="100" t="s">
        <v>266</v>
      </c>
      <c r="D70" s="83">
        <f>VLOOKUP(B70,'[1]933 builds'!$A$56:$B$65,2,FALSE)</f>
        <v>8.5284800000000001</v>
      </c>
      <c r="E70" s="83">
        <v>8.5284800000000001</v>
      </c>
      <c r="M70" s="83"/>
    </row>
    <row r="71" spans="2:13" x14ac:dyDescent="0.2">
      <c r="B71" s="100" t="s">
        <v>258</v>
      </c>
      <c r="C71" s="100" t="s">
        <v>280</v>
      </c>
      <c r="D71" s="83">
        <f>VLOOKUP(B71,'[1]933 builds'!$A$56:$B$65,2,FALSE)</f>
        <v>7.2748000000000008</v>
      </c>
      <c r="E71" s="83">
        <v>7.2748000000000008</v>
      </c>
      <c r="M71" s="83"/>
    </row>
    <row r="72" spans="2:13" x14ac:dyDescent="0.2">
      <c r="B72" s="100" t="s">
        <v>259</v>
      </c>
      <c r="C72" s="100" t="s">
        <v>281</v>
      </c>
      <c r="D72" s="83">
        <f>VLOOKUP(B72,'[1]933 builds'!$A$56:$B$65,2,FALSE)</f>
        <v>5.7035200000000001</v>
      </c>
      <c r="E72" s="83">
        <v>5.7035200000000001</v>
      </c>
      <c r="M72" s="83"/>
    </row>
    <row r="73" spans="2:13" x14ac:dyDescent="0.2">
      <c r="B73" s="100" t="s">
        <v>260</v>
      </c>
      <c r="C73" s="100" t="s">
        <v>279</v>
      </c>
      <c r="D73" s="83">
        <f>VLOOKUP(B73,'[1]933 builds'!$A$56:$B$65,2,FALSE)</f>
        <v>7.2752999999999997</v>
      </c>
      <c r="E73" s="83">
        <v>7.2752999999999997</v>
      </c>
      <c r="M73" s="83"/>
    </row>
    <row r="74" spans="2:13" x14ac:dyDescent="0.2">
      <c r="B74" s="100" t="s">
        <v>49</v>
      </c>
      <c r="C74" s="100" t="s">
        <v>280</v>
      </c>
      <c r="D74" s="83">
        <f>VLOOKUP(B74,'[1]933 builds'!$A$56:$B$65,2,FALSE)</f>
        <v>7.2655199999999995</v>
      </c>
      <c r="E74" s="83">
        <v>7.2655199999999995</v>
      </c>
      <c r="M74" s="83"/>
    </row>
    <row r="75" spans="2:13" ht="22.5" x14ac:dyDescent="0.2">
      <c r="B75" s="100" t="s">
        <v>261</v>
      </c>
      <c r="C75" s="100" t="s">
        <v>282</v>
      </c>
      <c r="D75" s="83">
        <f>VLOOKUP(B75,'[1]933 builds'!$A$56:$B$65,2,FALSE)</f>
        <v>8.0902599999999989</v>
      </c>
      <c r="E75" s="83">
        <v>8.0902599999999989</v>
      </c>
      <c r="M75" s="83"/>
    </row>
    <row r="76" spans="2:13" ht="22.5" x14ac:dyDescent="0.2">
      <c r="B76" s="100" t="s">
        <v>262</v>
      </c>
      <c r="C76" s="100" t="s">
        <v>283</v>
      </c>
      <c r="D76" s="83">
        <f>VLOOKUP(B76,'[1]933 builds'!$A$56:$B$65,2,FALSE)</f>
        <v>8.5175599999999996</v>
      </c>
      <c r="E76" s="83">
        <v>8.5175599999999996</v>
      </c>
      <c r="M76" s="83"/>
    </row>
    <row r="77" spans="2:13" ht="33.75" x14ac:dyDescent="0.2">
      <c r="B77" s="100" t="s">
        <v>263</v>
      </c>
      <c r="C77" s="100" t="s">
        <v>284</v>
      </c>
      <c r="D77" s="83">
        <f>VLOOKUP(B77,'[1]933 builds'!$A$56:$B$65,2,FALSE)</f>
        <v>8.3876799999999996</v>
      </c>
      <c r="E77" s="83">
        <v>8.3876799999999996</v>
      </c>
      <c r="M77" s="83"/>
    </row>
    <row r="78" spans="2:13" ht="33.75" x14ac:dyDescent="0.2">
      <c r="B78" s="100" t="s">
        <v>264</v>
      </c>
      <c r="C78" s="100" t="s">
        <v>285</v>
      </c>
      <c r="D78" s="83">
        <f>VLOOKUP(B78,'[1]933 builds'!$A$56:$B$65,2,FALSE)</f>
        <v>8.0888400000000011</v>
      </c>
      <c r="E78" s="83">
        <v>8.0888400000000011</v>
      </c>
      <c r="M78" s="83"/>
    </row>
    <row r="79" spans="2:13" ht="22.5" x14ac:dyDescent="0.2">
      <c r="B79" s="100" t="s">
        <v>265</v>
      </c>
      <c r="C79" s="100" t="s">
        <v>286</v>
      </c>
      <c r="D79" s="83">
        <f>VLOOKUP(B79,'[1]933 builds'!$A$56:$B$65,2,FALSE)</f>
        <v>8.3857400000000002</v>
      </c>
      <c r="E79" s="83">
        <v>8.3857400000000002</v>
      </c>
      <c r="M79" s="83"/>
    </row>
    <row r="82" spans="6:6" x14ac:dyDescent="0.2">
      <c r="F82" s="86"/>
    </row>
    <row r="83" spans="6:6" x14ac:dyDescent="0.2">
      <c r="F83" s="86"/>
    </row>
    <row r="84" spans="6:6" x14ac:dyDescent="0.2">
      <c r="F84" s="86"/>
    </row>
    <row r="85" spans="6:6" x14ac:dyDescent="0.2">
      <c r="F85" s="86"/>
    </row>
    <row r="86" spans="6:6" x14ac:dyDescent="0.2">
      <c r="F86" s="86"/>
    </row>
    <row r="87" spans="6:6" x14ac:dyDescent="0.2">
      <c r="F87" s="86"/>
    </row>
    <row r="88" spans="6:6" x14ac:dyDescent="0.2">
      <c r="F88" s="86"/>
    </row>
    <row r="89" spans="6:6" x14ac:dyDescent="0.2">
      <c r="F89" s="86"/>
    </row>
    <row r="90" spans="6:6" x14ac:dyDescent="0.2">
      <c r="F90" s="86"/>
    </row>
    <row r="91" spans="6:6" x14ac:dyDescent="0.2">
      <c r="F91" s="86"/>
    </row>
  </sheetData>
  <mergeCells count="5">
    <mergeCell ref="A1:B1"/>
    <mergeCell ref="B20:E20"/>
    <mergeCell ref="B52:E52"/>
    <mergeCell ref="D21:F21"/>
    <mergeCell ref="G21:L21"/>
  </mergeCells>
  <phoneticPr fontId="17" type="noConversion"/>
  <conditionalFormatting sqref="D23:M34 D55:K64 D65:M66">
    <cfRule type="cellIs" dxfId="1" priority="8" operator="equal">
      <formula>"Y"</formula>
    </cfRule>
    <cfRule type="cellIs" dxfId="0" priority="9" operator="equal">
      <formula>"N"</formula>
    </cfRule>
  </conditionalFormatting>
  <conditionalFormatting sqref="L55:L64 N65:N66">
    <cfRule type="colorScale" priority="4">
      <colorScale>
        <cfvo type="min"/>
        <cfvo type="percentile" val="50"/>
        <cfvo type="max"/>
        <color rgb="FFF8696B"/>
        <color rgb="FFFFEB84"/>
        <color rgb="FF63BE7B"/>
      </colorScale>
    </cfRule>
  </conditionalFormatting>
  <conditionalFormatting sqref="N23:N34">
    <cfRule type="colorScale" priority="7">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B950A-BF45-446A-BECD-70A1F47E7832}">
  <dimension ref="A1:AY349"/>
  <sheetViews>
    <sheetView zoomScale="85" zoomScaleNormal="85" workbookViewId="0">
      <selection activeCell="AB2" sqref="AB2"/>
    </sheetView>
  </sheetViews>
  <sheetFormatPr defaultRowHeight="15" x14ac:dyDescent="0.25"/>
  <cols>
    <col min="11" max="11" width="9.140625" style="16"/>
    <col min="12" max="12" width="9.140625" style="27"/>
    <col min="13" max="13" width="9.140625" style="31"/>
    <col min="26" max="26" width="9.140625" style="25"/>
    <col min="35" max="35" width="9.5703125" style="16" bestFit="1" customWidth="1"/>
    <col min="50" max="50" width="10.5703125" style="25" bestFit="1" customWidth="1"/>
  </cols>
  <sheetData>
    <row r="1" spans="1:51" s="5" customFormat="1" x14ac:dyDescent="0.25">
      <c r="A1" s="122" t="s">
        <v>241</v>
      </c>
      <c r="B1" s="122"/>
      <c r="C1" s="122"/>
      <c r="D1" s="124" t="s">
        <v>295</v>
      </c>
      <c r="E1" s="124"/>
      <c r="F1" s="124"/>
      <c r="G1" s="124"/>
      <c r="H1" s="124"/>
      <c r="I1" s="124"/>
      <c r="J1" s="124"/>
      <c r="K1" s="124"/>
      <c r="L1" s="124"/>
      <c r="M1" s="124"/>
      <c r="N1" s="124"/>
      <c r="O1" s="124"/>
      <c r="P1" s="124"/>
      <c r="Q1" s="124"/>
      <c r="R1" s="124"/>
      <c r="S1" s="124"/>
      <c r="T1" s="124"/>
      <c r="U1" s="124"/>
      <c r="V1" s="124"/>
      <c r="W1" s="124"/>
      <c r="X1" s="124"/>
      <c r="Y1" s="124"/>
      <c r="Z1" s="26"/>
      <c r="AB1" s="124" t="s">
        <v>296</v>
      </c>
      <c r="AC1" s="124"/>
      <c r="AD1" s="124"/>
      <c r="AE1" s="124"/>
      <c r="AF1" s="124"/>
      <c r="AG1" s="124"/>
      <c r="AH1" s="124"/>
      <c r="AI1" s="124"/>
      <c r="AJ1" s="124"/>
      <c r="AK1" s="124"/>
      <c r="AL1" s="124"/>
      <c r="AM1" s="124"/>
      <c r="AN1" s="124"/>
      <c r="AO1" s="124"/>
      <c r="AP1" s="124"/>
      <c r="AQ1" s="124"/>
      <c r="AR1" s="124"/>
      <c r="AS1" s="124"/>
      <c r="AT1" s="124"/>
      <c r="AU1" s="124"/>
      <c r="AV1" s="124"/>
      <c r="AW1" s="124"/>
      <c r="AX1" s="26"/>
    </row>
    <row r="2" spans="1:51" s="5" customFormat="1" x14ac:dyDescent="0.25">
      <c r="A2" s="122"/>
      <c r="B2" s="122"/>
      <c r="C2" s="122"/>
      <c r="D2" s="13"/>
      <c r="E2" s="13"/>
      <c r="F2" s="13"/>
      <c r="G2" s="13"/>
      <c r="H2" s="13"/>
      <c r="I2" s="13"/>
      <c r="J2" s="13"/>
      <c r="K2" s="29"/>
      <c r="L2" s="41"/>
      <c r="M2" s="32"/>
      <c r="N2" s="125" t="s">
        <v>2</v>
      </c>
      <c r="O2" s="125"/>
      <c r="P2" s="125"/>
      <c r="Q2" s="125" t="s">
        <v>17</v>
      </c>
      <c r="R2" s="125"/>
      <c r="S2" s="125"/>
      <c r="T2" s="125" t="s">
        <v>18</v>
      </c>
      <c r="U2" s="125"/>
      <c r="V2" s="125"/>
      <c r="W2" s="125" t="s">
        <v>19</v>
      </c>
      <c r="X2" s="125"/>
      <c r="Y2" s="125"/>
      <c r="Z2" s="26"/>
      <c r="AB2" s="13"/>
      <c r="AC2" s="13"/>
      <c r="AD2" s="13"/>
      <c r="AE2" s="13"/>
      <c r="AF2" s="13"/>
      <c r="AG2" s="13"/>
      <c r="AH2" s="13"/>
      <c r="AI2" s="29"/>
      <c r="AJ2" s="41"/>
      <c r="AK2" s="32"/>
      <c r="AL2" s="125" t="s">
        <v>2</v>
      </c>
      <c r="AM2" s="125"/>
      <c r="AN2" s="125"/>
      <c r="AO2" s="125" t="s">
        <v>17</v>
      </c>
      <c r="AP2" s="125"/>
      <c r="AQ2" s="125"/>
      <c r="AR2" s="125" t="s">
        <v>18</v>
      </c>
      <c r="AS2" s="125"/>
      <c r="AT2" s="125"/>
      <c r="AU2" s="125" t="s">
        <v>19</v>
      </c>
      <c r="AV2" s="125"/>
      <c r="AW2" s="125"/>
      <c r="AX2" s="26"/>
    </row>
    <row r="3" spans="1:51" s="5" customFormat="1" x14ac:dyDescent="0.25">
      <c r="A3" s="122"/>
      <c r="B3" s="122"/>
      <c r="C3" s="122"/>
      <c r="D3" s="102" t="s">
        <v>289</v>
      </c>
      <c r="E3" s="103">
        <f>MAX(Z5:Z499)</f>
        <v>38.194800000000001</v>
      </c>
      <c r="F3" s="104">
        <f>INDEX(F:F,MATCH(MAX($Z:$Z),$Z:$Z,0))</f>
        <v>29040</v>
      </c>
      <c r="G3" s="104">
        <f>INDEX(G:G,MATCH(MAX($Z:$Z),$Z:$Z,0))</f>
        <v>120</v>
      </c>
      <c r="H3" s="104">
        <f>INDEX(H:H,MATCH(MAX($Z:$Z),$Z:$Z,0))</f>
        <v>2</v>
      </c>
      <c r="I3" s="104">
        <f>INDEX(I:I,MATCH(MAX($Z:$Z),$Z:$Z,0))</f>
        <v>8</v>
      </c>
      <c r="J3" s="13"/>
      <c r="K3" s="29"/>
      <c r="L3" s="41"/>
      <c r="M3" s="32"/>
      <c r="N3" s="42"/>
      <c r="O3" s="42"/>
      <c r="P3" s="42"/>
      <c r="Q3" s="42"/>
      <c r="R3" s="42"/>
      <c r="S3" s="42"/>
      <c r="T3" s="42"/>
      <c r="U3" s="42"/>
      <c r="V3" s="42"/>
      <c r="W3" s="42"/>
      <c r="X3" s="42"/>
      <c r="Y3" s="42"/>
      <c r="AB3" s="102" t="s">
        <v>289</v>
      </c>
      <c r="AC3" s="103">
        <f>MAX(AX5:AX498)</f>
        <v>41.648600000000002</v>
      </c>
      <c r="AD3" s="104">
        <f>INDEX(AD:AD,MATCH(MAX($AX:$AX),$AX:$AX,0))</f>
        <v>29040</v>
      </c>
      <c r="AE3" s="104">
        <f>INDEX(AE:AE,MATCH(MAX($AX:$AX),$AX:$AX,0))</f>
        <v>120</v>
      </c>
      <c r="AF3" s="104">
        <f>INDEX(AF:AF,MATCH(MAX($AX:$AX),$AX:$AX,0))</f>
        <v>2</v>
      </c>
      <c r="AG3" s="104">
        <f>INDEX(AG:AG,MATCH(MAX($AX:$AX),$AX:$AX,0))</f>
        <v>8</v>
      </c>
      <c r="AH3" s="13"/>
      <c r="AI3" s="29"/>
      <c r="AJ3" s="41"/>
      <c r="AK3" s="32"/>
      <c r="AL3" s="42"/>
      <c r="AM3" s="42"/>
      <c r="AN3" s="42"/>
      <c r="AO3" s="42"/>
      <c r="AP3" s="42"/>
      <c r="AQ3" s="42"/>
      <c r="AR3" s="42"/>
      <c r="AS3" s="42"/>
      <c r="AT3" s="42"/>
      <c r="AU3" s="42"/>
      <c r="AV3" s="42"/>
      <c r="AW3" s="42"/>
      <c r="AX3" s="40"/>
    </row>
    <row r="4" spans="1:51" s="5" customFormat="1" x14ac:dyDescent="0.25">
      <c r="A4" s="46" t="s">
        <v>5</v>
      </c>
      <c r="B4" s="46" t="s">
        <v>6</v>
      </c>
      <c r="C4" s="46" t="s">
        <v>7</v>
      </c>
      <c r="D4" s="5" t="s">
        <v>20</v>
      </c>
      <c r="F4" s="5" t="s">
        <v>5</v>
      </c>
      <c r="G4" s="5" t="s">
        <v>6</v>
      </c>
      <c r="H4" s="5" t="s">
        <v>7</v>
      </c>
      <c r="I4" s="5" t="s">
        <v>8</v>
      </c>
      <c r="J4" s="5" t="s">
        <v>9</v>
      </c>
      <c r="K4" s="17" t="s">
        <v>10</v>
      </c>
      <c r="L4" s="43" t="s">
        <v>11</v>
      </c>
      <c r="M4" s="33" t="s">
        <v>9</v>
      </c>
      <c r="N4" s="42" t="s">
        <v>12</v>
      </c>
      <c r="O4" s="42" t="s">
        <v>13</v>
      </c>
      <c r="P4" s="42" t="s">
        <v>14</v>
      </c>
      <c r="Q4" s="42" t="s">
        <v>12</v>
      </c>
      <c r="R4" s="42" t="s">
        <v>13</v>
      </c>
      <c r="S4" s="42" t="s">
        <v>14</v>
      </c>
      <c r="T4" s="42" t="s">
        <v>12</v>
      </c>
      <c r="U4" s="42" t="s">
        <v>13</v>
      </c>
      <c r="V4" s="42" t="s">
        <v>14</v>
      </c>
      <c r="W4" s="42" t="s">
        <v>12</v>
      </c>
      <c r="X4" s="42" t="s">
        <v>13</v>
      </c>
      <c r="Y4" s="42" t="s">
        <v>14</v>
      </c>
      <c r="Z4" s="26"/>
      <c r="AB4" s="5" t="s">
        <v>20</v>
      </c>
      <c r="AD4" s="5" t="s">
        <v>5</v>
      </c>
      <c r="AE4" s="5" t="s">
        <v>6</v>
      </c>
      <c r="AF4" s="5" t="s">
        <v>7</v>
      </c>
      <c r="AG4" s="5" t="s">
        <v>8</v>
      </c>
      <c r="AH4" s="5" t="s">
        <v>9</v>
      </c>
      <c r="AI4" s="17" t="s">
        <v>10</v>
      </c>
      <c r="AJ4" s="43" t="s">
        <v>11</v>
      </c>
      <c r="AK4" s="33" t="s">
        <v>9</v>
      </c>
      <c r="AL4" s="42" t="s">
        <v>12</v>
      </c>
      <c r="AM4" s="42" t="s">
        <v>13</v>
      </c>
      <c r="AN4" s="42" t="s">
        <v>14</v>
      </c>
      <c r="AO4" s="42" t="s">
        <v>12</v>
      </c>
      <c r="AP4" s="42" t="s">
        <v>13</v>
      </c>
      <c r="AQ4" s="42" t="s">
        <v>14</v>
      </c>
      <c r="AR4" s="42" t="s">
        <v>12</v>
      </c>
      <c r="AS4" s="42" t="s">
        <v>13</v>
      </c>
      <c r="AT4" s="42" t="s">
        <v>14</v>
      </c>
      <c r="AU4" s="42" t="s">
        <v>12</v>
      </c>
      <c r="AV4" s="42" t="s">
        <v>13</v>
      </c>
      <c r="AW4" s="42" t="s">
        <v>14</v>
      </c>
      <c r="AX4" s="26"/>
    </row>
    <row r="5" spans="1:51" x14ac:dyDescent="0.25">
      <c r="A5" s="47">
        <v>27520</v>
      </c>
      <c r="B5" s="47">
        <v>160</v>
      </c>
      <c r="C5" s="47">
        <v>1</v>
      </c>
      <c r="D5">
        <v>0</v>
      </c>
      <c r="E5" t="s">
        <v>16</v>
      </c>
      <c r="F5">
        <v>29040</v>
      </c>
      <c r="G5">
        <v>120</v>
      </c>
      <c r="H5">
        <v>2</v>
      </c>
      <c r="I5">
        <v>8</v>
      </c>
      <c r="J5">
        <v>427.66</v>
      </c>
      <c r="K5" s="16">
        <v>38.18</v>
      </c>
      <c r="L5" s="27">
        <v>45372</v>
      </c>
      <c r="M5" s="31">
        <v>0.51752314814814815</v>
      </c>
      <c r="N5">
        <v>0</v>
      </c>
      <c r="O5">
        <v>0</v>
      </c>
      <c r="P5">
        <v>0</v>
      </c>
      <c r="Q5">
        <v>0</v>
      </c>
      <c r="R5">
        <v>0</v>
      </c>
      <c r="S5">
        <v>0</v>
      </c>
      <c r="T5">
        <v>0</v>
      </c>
      <c r="U5">
        <v>0</v>
      </c>
      <c r="V5">
        <v>0</v>
      </c>
      <c r="W5">
        <v>0</v>
      </c>
      <c r="X5">
        <v>0</v>
      </c>
      <c r="Y5">
        <v>0</v>
      </c>
      <c r="Z5" s="123">
        <f>AVERAGE(K5:K9)</f>
        <v>38.194800000000001</v>
      </c>
      <c r="AA5" s="16">
        <f>AVERAGE(K5:K94)</f>
        <v>38.176899999999996</v>
      </c>
      <c r="AB5">
        <v>0</v>
      </c>
      <c r="AC5" t="s">
        <v>16</v>
      </c>
      <c r="AD5">
        <v>29040</v>
      </c>
      <c r="AE5">
        <v>120</v>
      </c>
      <c r="AF5">
        <v>2</v>
      </c>
      <c r="AG5">
        <v>8</v>
      </c>
      <c r="AH5">
        <v>395.29</v>
      </c>
      <c r="AI5" s="16">
        <v>41.307000000000002</v>
      </c>
      <c r="AJ5" s="27">
        <v>45373</v>
      </c>
      <c r="AK5" s="28">
        <v>0.36516203703703703</v>
      </c>
      <c r="AL5">
        <v>0</v>
      </c>
      <c r="AM5">
        <v>0</v>
      </c>
      <c r="AN5">
        <v>0</v>
      </c>
      <c r="AO5">
        <v>0</v>
      </c>
      <c r="AP5">
        <v>0</v>
      </c>
      <c r="AQ5">
        <v>0</v>
      </c>
      <c r="AR5">
        <v>0</v>
      </c>
      <c r="AS5">
        <v>0</v>
      </c>
      <c r="AT5">
        <v>0</v>
      </c>
      <c r="AU5">
        <v>0</v>
      </c>
      <c r="AV5">
        <v>0</v>
      </c>
      <c r="AW5">
        <v>0</v>
      </c>
      <c r="AX5" s="123">
        <f>AVERAGE(AI5:AI9)</f>
        <v>41.648600000000002</v>
      </c>
      <c r="AY5" s="16"/>
    </row>
    <row r="6" spans="1:51" x14ac:dyDescent="0.25">
      <c r="A6" s="47">
        <v>25984</v>
      </c>
      <c r="B6" s="47">
        <v>192</v>
      </c>
      <c r="C6" s="47">
        <v>2</v>
      </c>
      <c r="D6">
        <v>1</v>
      </c>
      <c r="E6" t="s">
        <v>16</v>
      </c>
      <c r="F6">
        <v>29040</v>
      </c>
      <c r="G6">
        <v>120</v>
      </c>
      <c r="H6">
        <v>2</v>
      </c>
      <c r="I6">
        <v>8</v>
      </c>
      <c r="J6">
        <v>427.54</v>
      </c>
      <c r="K6" s="16">
        <v>38.191000000000003</v>
      </c>
      <c r="L6" s="27">
        <v>45372</v>
      </c>
      <c r="M6" s="31">
        <v>0.52268518518518514</v>
      </c>
      <c r="N6">
        <v>0</v>
      </c>
      <c r="O6">
        <v>0</v>
      </c>
      <c r="P6">
        <v>0</v>
      </c>
      <c r="Q6">
        <v>0</v>
      </c>
      <c r="R6">
        <v>0</v>
      </c>
      <c r="S6">
        <v>0</v>
      </c>
      <c r="T6">
        <v>0</v>
      </c>
      <c r="U6">
        <v>0</v>
      </c>
      <c r="V6">
        <v>0</v>
      </c>
      <c r="W6">
        <v>0</v>
      </c>
      <c r="X6">
        <v>0</v>
      </c>
      <c r="Y6">
        <v>0</v>
      </c>
      <c r="Z6" s="123"/>
      <c r="AA6" s="16"/>
      <c r="AB6">
        <v>1</v>
      </c>
      <c r="AC6" t="s">
        <v>16</v>
      </c>
      <c r="AD6">
        <v>29040</v>
      </c>
      <c r="AE6">
        <v>120</v>
      </c>
      <c r="AF6">
        <v>2</v>
      </c>
      <c r="AG6">
        <v>8</v>
      </c>
      <c r="AH6">
        <v>391.52</v>
      </c>
      <c r="AI6" s="16">
        <v>41.704000000000001</v>
      </c>
      <c r="AJ6" s="27">
        <v>45373</v>
      </c>
      <c r="AK6" s="28">
        <v>0.37043981481481481</v>
      </c>
      <c r="AL6">
        <v>0</v>
      </c>
      <c r="AM6">
        <v>0</v>
      </c>
      <c r="AN6">
        <v>0</v>
      </c>
      <c r="AO6">
        <v>0</v>
      </c>
      <c r="AP6">
        <v>0</v>
      </c>
      <c r="AQ6">
        <v>0</v>
      </c>
      <c r="AR6">
        <v>0</v>
      </c>
      <c r="AS6">
        <v>0</v>
      </c>
      <c r="AT6">
        <v>0</v>
      </c>
      <c r="AU6">
        <v>0</v>
      </c>
      <c r="AV6">
        <v>0</v>
      </c>
      <c r="AW6">
        <v>0</v>
      </c>
      <c r="AX6" s="123"/>
      <c r="AY6" s="16"/>
    </row>
    <row r="7" spans="1:51" x14ac:dyDescent="0.25">
      <c r="A7" s="47">
        <v>29056</v>
      </c>
      <c r="B7" s="47">
        <v>128</v>
      </c>
      <c r="C7" s="47">
        <v>4</v>
      </c>
      <c r="D7">
        <v>2</v>
      </c>
      <c r="E7" t="s">
        <v>16</v>
      </c>
      <c r="F7">
        <v>29040</v>
      </c>
      <c r="G7">
        <v>120</v>
      </c>
      <c r="H7">
        <v>2</v>
      </c>
      <c r="I7">
        <v>8</v>
      </c>
      <c r="J7">
        <v>427.36</v>
      </c>
      <c r="K7" s="16">
        <v>38.206000000000003</v>
      </c>
      <c r="L7" s="27">
        <v>45372</v>
      </c>
      <c r="M7" s="31">
        <v>0.52785879629629628</v>
      </c>
      <c r="N7">
        <v>0</v>
      </c>
      <c r="O7">
        <v>0</v>
      </c>
      <c r="P7">
        <v>0</v>
      </c>
      <c r="Q7">
        <v>0</v>
      </c>
      <c r="R7">
        <v>0</v>
      </c>
      <c r="S7">
        <v>0</v>
      </c>
      <c r="T7">
        <v>0</v>
      </c>
      <c r="U7">
        <v>0</v>
      </c>
      <c r="V7">
        <v>0</v>
      </c>
      <c r="W7">
        <v>0</v>
      </c>
      <c r="X7">
        <v>0</v>
      </c>
      <c r="Y7">
        <v>0</v>
      </c>
      <c r="Z7" s="123"/>
      <c r="AA7" s="16"/>
      <c r="AB7">
        <v>2</v>
      </c>
      <c r="AC7" t="s">
        <v>16</v>
      </c>
      <c r="AD7">
        <v>29040</v>
      </c>
      <c r="AE7">
        <v>120</v>
      </c>
      <c r="AF7">
        <v>2</v>
      </c>
      <c r="AG7">
        <v>8</v>
      </c>
      <c r="AH7">
        <v>391.55</v>
      </c>
      <c r="AI7" s="16">
        <v>41.701000000000001</v>
      </c>
      <c r="AJ7" s="27">
        <v>45373</v>
      </c>
      <c r="AK7" s="28">
        <v>0.37570601851851854</v>
      </c>
      <c r="AL7">
        <v>0</v>
      </c>
      <c r="AM7">
        <v>0</v>
      </c>
      <c r="AN7">
        <v>0</v>
      </c>
      <c r="AO7">
        <v>0</v>
      </c>
      <c r="AP7">
        <v>0</v>
      </c>
      <c r="AQ7">
        <v>0</v>
      </c>
      <c r="AR7">
        <v>0</v>
      </c>
      <c r="AS7">
        <v>0</v>
      </c>
      <c r="AT7">
        <v>0</v>
      </c>
      <c r="AU7">
        <v>0</v>
      </c>
      <c r="AV7">
        <v>0</v>
      </c>
      <c r="AW7">
        <v>0</v>
      </c>
      <c r="AX7" s="123"/>
      <c r="AY7" s="16"/>
    </row>
    <row r="8" spans="1:51" x14ac:dyDescent="0.25">
      <c r="A8" s="47"/>
      <c r="B8" s="47">
        <v>96</v>
      </c>
      <c r="C8" s="47"/>
      <c r="D8">
        <v>3</v>
      </c>
      <c r="E8" t="s">
        <v>16</v>
      </c>
      <c r="F8">
        <v>29040</v>
      </c>
      <c r="G8">
        <v>120</v>
      </c>
      <c r="H8">
        <v>2</v>
      </c>
      <c r="I8">
        <v>8</v>
      </c>
      <c r="J8">
        <v>427.33</v>
      </c>
      <c r="K8" s="16">
        <v>38.209000000000003</v>
      </c>
      <c r="L8" s="27">
        <v>45372</v>
      </c>
      <c r="M8" s="31">
        <v>0.53302083333333339</v>
      </c>
      <c r="N8">
        <v>0</v>
      </c>
      <c r="O8">
        <v>0</v>
      </c>
      <c r="P8">
        <v>0</v>
      </c>
      <c r="Q8">
        <v>0</v>
      </c>
      <c r="R8">
        <v>0</v>
      </c>
      <c r="S8">
        <v>0</v>
      </c>
      <c r="T8">
        <v>0</v>
      </c>
      <c r="U8">
        <v>0</v>
      </c>
      <c r="V8">
        <v>0</v>
      </c>
      <c r="W8">
        <v>0</v>
      </c>
      <c r="X8">
        <v>0</v>
      </c>
      <c r="Y8">
        <v>0</v>
      </c>
      <c r="Z8" s="123"/>
      <c r="AA8" s="16"/>
      <c r="AB8">
        <v>3</v>
      </c>
      <c r="AC8" t="s">
        <v>16</v>
      </c>
      <c r="AD8">
        <v>29040</v>
      </c>
      <c r="AE8">
        <v>120</v>
      </c>
      <c r="AF8">
        <v>2</v>
      </c>
      <c r="AG8">
        <v>8</v>
      </c>
      <c r="AH8">
        <v>391.05</v>
      </c>
      <c r="AI8" s="16">
        <v>41.753999999999998</v>
      </c>
      <c r="AJ8" s="27">
        <v>45373</v>
      </c>
      <c r="AK8" s="28">
        <v>0.38097222222222221</v>
      </c>
      <c r="AL8">
        <v>0</v>
      </c>
      <c r="AM8">
        <v>0</v>
      </c>
      <c r="AN8">
        <v>0</v>
      </c>
      <c r="AO8">
        <v>0</v>
      </c>
      <c r="AP8">
        <v>0</v>
      </c>
      <c r="AQ8">
        <v>0</v>
      </c>
      <c r="AR8">
        <v>0</v>
      </c>
      <c r="AS8">
        <v>0</v>
      </c>
      <c r="AT8">
        <v>0</v>
      </c>
      <c r="AU8">
        <v>0</v>
      </c>
      <c r="AV8">
        <v>0</v>
      </c>
      <c r="AW8">
        <v>0</v>
      </c>
      <c r="AX8" s="123"/>
      <c r="AY8" s="16"/>
    </row>
    <row r="9" spans="1:51" x14ac:dyDescent="0.25">
      <c r="A9" s="47"/>
      <c r="B9" s="47">
        <v>224</v>
      </c>
      <c r="C9" s="47"/>
      <c r="D9">
        <v>4</v>
      </c>
      <c r="E9" t="s">
        <v>16</v>
      </c>
      <c r="F9">
        <v>29040</v>
      </c>
      <c r="G9">
        <v>120</v>
      </c>
      <c r="H9">
        <v>2</v>
      </c>
      <c r="I9">
        <v>8</v>
      </c>
      <c r="J9">
        <v>427.57</v>
      </c>
      <c r="K9" s="16">
        <v>38.188000000000002</v>
      </c>
      <c r="L9" s="27">
        <v>45372</v>
      </c>
      <c r="M9" s="31">
        <v>0.53818287037037038</v>
      </c>
      <c r="N9">
        <v>0</v>
      </c>
      <c r="O9">
        <v>0</v>
      </c>
      <c r="P9">
        <v>0</v>
      </c>
      <c r="Q9">
        <v>0</v>
      </c>
      <c r="R9">
        <v>0</v>
      </c>
      <c r="S9">
        <v>0</v>
      </c>
      <c r="T9">
        <v>0</v>
      </c>
      <c r="U9">
        <v>0</v>
      </c>
      <c r="V9">
        <v>0</v>
      </c>
      <c r="W9">
        <v>0</v>
      </c>
      <c r="X9">
        <v>0</v>
      </c>
      <c r="Y9">
        <v>0</v>
      </c>
      <c r="Z9" s="123"/>
      <c r="AA9" s="16"/>
      <c r="AB9">
        <v>4</v>
      </c>
      <c r="AC9" t="s">
        <v>16</v>
      </c>
      <c r="AD9">
        <v>29040</v>
      </c>
      <c r="AE9">
        <v>120</v>
      </c>
      <c r="AF9">
        <v>2</v>
      </c>
      <c r="AG9">
        <v>8</v>
      </c>
      <c r="AH9">
        <v>390.83</v>
      </c>
      <c r="AI9" s="16">
        <v>41.777000000000001</v>
      </c>
      <c r="AJ9" s="27">
        <v>45373</v>
      </c>
      <c r="AK9" s="28">
        <v>0.38622685185185185</v>
      </c>
      <c r="AL9">
        <v>0</v>
      </c>
      <c r="AM9">
        <v>0</v>
      </c>
      <c r="AN9">
        <v>0</v>
      </c>
      <c r="AO9">
        <v>0</v>
      </c>
      <c r="AP9">
        <v>0</v>
      </c>
      <c r="AQ9">
        <v>0</v>
      </c>
      <c r="AR9">
        <v>0</v>
      </c>
      <c r="AS9">
        <v>0</v>
      </c>
      <c r="AT9">
        <v>0</v>
      </c>
      <c r="AU9">
        <v>0</v>
      </c>
      <c r="AV9">
        <v>0</v>
      </c>
      <c r="AW9">
        <v>0</v>
      </c>
      <c r="AX9" s="123"/>
      <c r="AY9" s="16"/>
    </row>
    <row r="10" spans="1:51" x14ac:dyDescent="0.25">
      <c r="A10" s="47"/>
      <c r="B10" s="47">
        <v>256</v>
      </c>
      <c r="C10" s="47"/>
      <c r="D10">
        <v>0</v>
      </c>
      <c r="E10" t="s">
        <v>16</v>
      </c>
      <c r="F10">
        <v>28888</v>
      </c>
      <c r="G10">
        <v>184</v>
      </c>
      <c r="H10">
        <v>2</v>
      </c>
      <c r="I10">
        <v>8</v>
      </c>
      <c r="J10">
        <v>424.37</v>
      </c>
      <c r="K10" s="16">
        <v>37.875</v>
      </c>
      <c r="L10" s="27">
        <v>45373</v>
      </c>
      <c r="M10" s="31">
        <v>0.39560185185185187</v>
      </c>
      <c r="N10">
        <v>0</v>
      </c>
      <c r="O10">
        <v>0</v>
      </c>
      <c r="P10">
        <v>0</v>
      </c>
      <c r="Q10">
        <v>0</v>
      </c>
      <c r="R10">
        <v>0</v>
      </c>
      <c r="S10">
        <v>0</v>
      </c>
      <c r="T10">
        <v>0</v>
      </c>
      <c r="U10">
        <v>0</v>
      </c>
      <c r="V10">
        <v>0</v>
      </c>
      <c r="W10">
        <v>0</v>
      </c>
      <c r="X10">
        <v>0</v>
      </c>
      <c r="Y10">
        <v>0</v>
      </c>
      <c r="Z10" s="123">
        <f>AVERAGE(K10:K14)</f>
        <v>38.159000000000006</v>
      </c>
      <c r="AA10" s="16"/>
      <c r="AJ10" s="27"/>
      <c r="AK10" s="28"/>
      <c r="AY10" s="16"/>
    </row>
    <row r="11" spans="1:51" x14ac:dyDescent="0.25">
      <c r="A11" s="47"/>
      <c r="B11" s="48">
        <v>88</v>
      </c>
      <c r="C11" s="47"/>
      <c r="D11">
        <v>1</v>
      </c>
      <c r="E11" t="s">
        <v>16</v>
      </c>
      <c r="F11">
        <v>28888</v>
      </c>
      <c r="G11">
        <v>184</v>
      </c>
      <c r="H11">
        <v>2</v>
      </c>
      <c r="I11">
        <v>8</v>
      </c>
      <c r="J11">
        <v>421.15</v>
      </c>
      <c r="K11" s="16">
        <v>38.164000000000001</v>
      </c>
      <c r="L11" s="27">
        <v>45373</v>
      </c>
      <c r="M11" s="31">
        <v>0.40069444444444446</v>
      </c>
      <c r="N11">
        <v>0</v>
      </c>
      <c r="O11">
        <v>0</v>
      </c>
      <c r="P11">
        <v>0</v>
      </c>
      <c r="Q11">
        <v>0</v>
      </c>
      <c r="R11">
        <v>0</v>
      </c>
      <c r="S11">
        <v>0</v>
      </c>
      <c r="T11">
        <v>0</v>
      </c>
      <c r="U11">
        <v>0</v>
      </c>
      <c r="V11">
        <v>0</v>
      </c>
      <c r="W11">
        <v>0</v>
      </c>
      <c r="X11">
        <v>0</v>
      </c>
      <c r="Y11">
        <v>0</v>
      </c>
      <c r="Z11" s="123"/>
      <c r="AA11" s="16"/>
      <c r="AJ11" s="27"/>
      <c r="AK11" s="28"/>
      <c r="AY11" s="16"/>
    </row>
    <row r="12" spans="1:51" x14ac:dyDescent="0.25">
      <c r="A12" s="47"/>
      <c r="B12" s="48">
        <v>104</v>
      </c>
      <c r="C12" s="47"/>
      <c r="D12">
        <v>2</v>
      </c>
      <c r="E12" t="s">
        <v>16</v>
      </c>
      <c r="F12">
        <v>28888</v>
      </c>
      <c r="G12">
        <v>184</v>
      </c>
      <c r="H12">
        <v>2</v>
      </c>
      <c r="I12">
        <v>8</v>
      </c>
      <c r="J12">
        <v>420.28</v>
      </c>
      <c r="K12" s="16">
        <v>38.243000000000002</v>
      </c>
      <c r="L12" s="27">
        <v>45373</v>
      </c>
      <c r="M12" s="31">
        <v>0.40577546296296296</v>
      </c>
      <c r="N12">
        <v>0</v>
      </c>
      <c r="O12">
        <v>0</v>
      </c>
      <c r="P12">
        <v>0</v>
      </c>
      <c r="Q12">
        <v>0</v>
      </c>
      <c r="R12">
        <v>0</v>
      </c>
      <c r="S12">
        <v>0</v>
      </c>
      <c r="T12">
        <v>0</v>
      </c>
      <c r="U12">
        <v>0</v>
      </c>
      <c r="V12">
        <v>0</v>
      </c>
      <c r="W12">
        <v>0</v>
      </c>
      <c r="X12">
        <v>0</v>
      </c>
      <c r="Y12">
        <v>0</v>
      </c>
      <c r="Z12" s="123"/>
      <c r="AA12" s="16"/>
      <c r="AJ12" s="27"/>
      <c r="AK12" s="28"/>
      <c r="AY12" s="16"/>
    </row>
    <row r="13" spans="1:51" x14ac:dyDescent="0.25">
      <c r="A13" s="47"/>
      <c r="B13" s="48">
        <v>112</v>
      </c>
      <c r="C13" s="47"/>
      <c r="D13">
        <v>3</v>
      </c>
      <c r="E13" t="s">
        <v>16</v>
      </c>
      <c r="F13">
        <v>28888</v>
      </c>
      <c r="G13">
        <v>184</v>
      </c>
      <c r="H13">
        <v>2</v>
      </c>
      <c r="I13">
        <v>8</v>
      </c>
      <c r="J13">
        <v>420.07</v>
      </c>
      <c r="K13" s="16">
        <v>38.262</v>
      </c>
      <c r="L13" s="27">
        <v>45373</v>
      </c>
      <c r="M13" s="31">
        <v>0.41085648148148146</v>
      </c>
      <c r="N13">
        <v>0</v>
      </c>
      <c r="O13">
        <v>0</v>
      </c>
      <c r="P13">
        <v>0</v>
      </c>
      <c r="Q13">
        <v>0</v>
      </c>
      <c r="R13">
        <v>0</v>
      </c>
      <c r="S13">
        <v>0</v>
      </c>
      <c r="T13">
        <v>0</v>
      </c>
      <c r="U13">
        <v>0</v>
      </c>
      <c r="V13">
        <v>0</v>
      </c>
      <c r="W13">
        <v>0</v>
      </c>
      <c r="X13">
        <v>0</v>
      </c>
      <c r="Y13">
        <v>0</v>
      </c>
      <c r="Z13" s="123"/>
      <c r="AA13" s="16"/>
      <c r="AJ13" s="27"/>
      <c r="AK13" s="28"/>
      <c r="AY13" s="16"/>
    </row>
    <row r="14" spans="1:51" x14ac:dyDescent="0.25">
      <c r="A14" s="47"/>
      <c r="B14" s="48">
        <v>120</v>
      </c>
      <c r="C14" s="47"/>
      <c r="D14">
        <v>4</v>
      </c>
      <c r="E14" t="s">
        <v>16</v>
      </c>
      <c r="F14">
        <v>28888</v>
      </c>
      <c r="G14">
        <v>184</v>
      </c>
      <c r="H14">
        <v>2</v>
      </c>
      <c r="I14">
        <v>8</v>
      </c>
      <c r="J14">
        <v>420.2</v>
      </c>
      <c r="K14" s="16">
        <v>38.250999999999998</v>
      </c>
      <c r="L14" s="27">
        <v>45373</v>
      </c>
      <c r="M14" s="31">
        <v>0.41593750000000002</v>
      </c>
      <c r="N14">
        <v>0</v>
      </c>
      <c r="O14">
        <v>0</v>
      </c>
      <c r="P14">
        <v>0</v>
      </c>
      <c r="Q14">
        <v>0</v>
      </c>
      <c r="R14">
        <v>0</v>
      </c>
      <c r="S14">
        <v>0</v>
      </c>
      <c r="T14">
        <v>0</v>
      </c>
      <c r="U14">
        <v>0</v>
      </c>
      <c r="V14">
        <v>0</v>
      </c>
      <c r="W14">
        <v>0</v>
      </c>
      <c r="X14">
        <v>0</v>
      </c>
      <c r="Y14">
        <v>0</v>
      </c>
      <c r="Z14" s="123"/>
      <c r="AA14" s="16"/>
      <c r="AJ14" s="27"/>
      <c r="AK14" s="28"/>
      <c r="AY14" s="16"/>
    </row>
    <row r="15" spans="1:51" x14ac:dyDescent="0.25">
      <c r="AA15" s="16"/>
      <c r="AJ15" s="27"/>
      <c r="AK15" s="28"/>
      <c r="AY15" s="16"/>
    </row>
    <row r="16" spans="1:51" x14ac:dyDescent="0.25">
      <c r="AA16" s="16"/>
      <c r="AJ16" s="27"/>
      <c r="AK16" s="28"/>
      <c r="AY16" s="16"/>
    </row>
    <row r="17" spans="27:51" x14ac:dyDescent="0.25">
      <c r="AA17" s="16"/>
      <c r="AJ17" s="27"/>
      <c r="AK17" s="28"/>
      <c r="AY17" s="16"/>
    </row>
    <row r="18" spans="27:51" x14ac:dyDescent="0.25">
      <c r="AA18" s="16"/>
      <c r="AJ18" s="27"/>
      <c r="AK18" s="28"/>
      <c r="AY18" s="16"/>
    </row>
    <row r="19" spans="27:51" x14ac:dyDescent="0.25">
      <c r="AA19" s="16"/>
      <c r="AJ19" s="27"/>
      <c r="AK19" s="28"/>
      <c r="AY19" s="16"/>
    </row>
    <row r="20" spans="27:51" x14ac:dyDescent="0.25">
      <c r="AA20" s="16"/>
      <c r="AJ20" s="27"/>
      <c r="AK20" s="28"/>
      <c r="AY20" s="16"/>
    </row>
    <row r="21" spans="27:51" x14ac:dyDescent="0.25">
      <c r="AA21" s="16"/>
      <c r="AJ21" s="27"/>
      <c r="AK21" s="28"/>
      <c r="AY21" s="16"/>
    </row>
    <row r="22" spans="27:51" x14ac:dyDescent="0.25">
      <c r="AA22" s="16"/>
      <c r="AJ22" s="27"/>
      <c r="AK22" s="28"/>
      <c r="AY22" s="16"/>
    </row>
    <row r="23" spans="27:51" x14ac:dyDescent="0.25">
      <c r="AA23" s="16"/>
      <c r="AJ23" s="27"/>
      <c r="AK23" s="28"/>
      <c r="AY23" s="16"/>
    </row>
    <row r="24" spans="27:51" x14ac:dyDescent="0.25">
      <c r="AA24" s="16"/>
      <c r="AJ24" s="27"/>
      <c r="AK24" s="28"/>
      <c r="AY24" s="16"/>
    </row>
    <row r="25" spans="27:51" x14ac:dyDescent="0.25">
      <c r="AA25" s="16"/>
      <c r="AJ25" s="27"/>
      <c r="AK25" s="28"/>
      <c r="AY25" s="16"/>
    </row>
    <row r="26" spans="27:51" x14ac:dyDescent="0.25">
      <c r="AA26" s="16"/>
      <c r="AJ26" s="27"/>
      <c r="AK26" s="28"/>
      <c r="AY26" s="16"/>
    </row>
    <row r="27" spans="27:51" x14ac:dyDescent="0.25">
      <c r="AA27" s="16"/>
      <c r="AJ27" s="27"/>
      <c r="AK27" s="28"/>
      <c r="AY27" s="16"/>
    </row>
    <row r="28" spans="27:51" x14ac:dyDescent="0.25">
      <c r="AA28" s="16"/>
      <c r="AJ28" s="27"/>
      <c r="AK28" s="28"/>
      <c r="AY28" s="16"/>
    </row>
    <row r="29" spans="27:51" x14ac:dyDescent="0.25">
      <c r="AA29" s="16"/>
      <c r="AJ29" s="27"/>
      <c r="AK29" s="28"/>
      <c r="AY29" s="16"/>
    </row>
    <row r="30" spans="27:51" x14ac:dyDescent="0.25">
      <c r="AA30" s="16"/>
      <c r="AJ30" s="27"/>
      <c r="AK30" s="28"/>
      <c r="AY30" s="16"/>
    </row>
    <row r="31" spans="27:51" x14ac:dyDescent="0.25">
      <c r="AA31" s="16"/>
      <c r="AJ31" s="27"/>
      <c r="AK31" s="28"/>
      <c r="AY31" s="16"/>
    </row>
    <row r="32" spans="27:51" x14ac:dyDescent="0.25">
      <c r="AA32" s="16"/>
      <c r="AJ32" s="27"/>
      <c r="AK32" s="28"/>
      <c r="AY32" s="16"/>
    </row>
    <row r="33" spans="27:51" x14ac:dyDescent="0.25">
      <c r="AA33" s="16"/>
      <c r="AJ33" s="27"/>
      <c r="AK33" s="28"/>
      <c r="AY33" s="16"/>
    </row>
    <row r="34" spans="27:51" x14ac:dyDescent="0.25">
      <c r="AA34" s="16"/>
      <c r="AJ34" s="27"/>
      <c r="AK34" s="28"/>
      <c r="AY34" s="16"/>
    </row>
    <row r="35" spans="27:51" x14ac:dyDescent="0.25">
      <c r="AA35" s="16"/>
      <c r="AJ35" s="27"/>
      <c r="AK35" s="28"/>
      <c r="AY35" s="16"/>
    </row>
    <row r="36" spans="27:51" x14ac:dyDescent="0.25">
      <c r="AA36" s="16"/>
      <c r="AJ36" s="27"/>
      <c r="AK36" s="28"/>
      <c r="AY36" s="16"/>
    </row>
    <row r="37" spans="27:51" x14ac:dyDescent="0.25">
      <c r="AA37" s="16"/>
      <c r="AJ37" s="27"/>
      <c r="AK37" s="28"/>
      <c r="AY37" s="16"/>
    </row>
    <row r="38" spans="27:51" x14ac:dyDescent="0.25">
      <c r="AA38" s="16"/>
      <c r="AJ38" s="27"/>
      <c r="AK38" s="28"/>
      <c r="AY38" s="16"/>
    </row>
    <row r="39" spans="27:51" x14ac:dyDescent="0.25">
      <c r="AA39" s="16"/>
      <c r="AJ39" s="27"/>
      <c r="AK39" s="28"/>
      <c r="AY39" s="16"/>
    </row>
    <row r="40" spans="27:51" x14ac:dyDescent="0.25">
      <c r="AA40" s="16"/>
      <c r="AJ40" s="27"/>
      <c r="AK40" s="28"/>
      <c r="AY40" s="16"/>
    </row>
    <row r="41" spans="27:51" x14ac:dyDescent="0.25">
      <c r="AA41" s="16"/>
      <c r="AJ41" s="27"/>
      <c r="AK41" s="28"/>
      <c r="AY41" s="16"/>
    </row>
    <row r="42" spans="27:51" x14ac:dyDescent="0.25">
      <c r="AA42" s="16"/>
      <c r="AJ42" s="27"/>
      <c r="AK42" s="28"/>
      <c r="AY42" s="16"/>
    </row>
    <row r="43" spans="27:51" x14ac:dyDescent="0.25">
      <c r="AA43" s="16"/>
      <c r="AJ43" s="27"/>
      <c r="AK43" s="28"/>
      <c r="AY43" s="16"/>
    </row>
    <row r="44" spans="27:51" x14ac:dyDescent="0.25">
      <c r="AA44" s="16"/>
      <c r="AJ44" s="27"/>
      <c r="AK44" s="28"/>
      <c r="AY44" s="16"/>
    </row>
    <row r="45" spans="27:51" x14ac:dyDescent="0.25">
      <c r="AA45" s="16"/>
      <c r="AJ45" s="27"/>
      <c r="AK45" s="28"/>
      <c r="AY45" s="16"/>
    </row>
    <row r="46" spans="27:51" x14ac:dyDescent="0.25">
      <c r="AA46" s="16"/>
      <c r="AJ46" s="27"/>
      <c r="AK46" s="28"/>
      <c r="AY46" s="16"/>
    </row>
    <row r="47" spans="27:51" x14ac:dyDescent="0.25">
      <c r="AA47" s="16"/>
      <c r="AJ47" s="27"/>
      <c r="AK47" s="28"/>
      <c r="AY47" s="16"/>
    </row>
    <row r="48" spans="27:51" x14ac:dyDescent="0.25">
      <c r="AA48" s="16"/>
      <c r="AJ48" s="27"/>
      <c r="AK48" s="28"/>
      <c r="AY48" s="16"/>
    </row>
    <row r="49" spans="27:51" x14ac:dyDescent="0.25">
      <c r="AA49" s="16"/>
      <c r="AJ49" s="27"/>
      <c r="AK49" s="28"/>
      <c r="AY49" s="16"/>
    </row>
    <row r="50" spans="27:51" x14ac:dyDescent="0.25">
      <c r="AA50" s="16"/>
      <c r="AJ50" s="27"/>
      <c r="AK50" s="28"/>
      <c r="AY50" s="16"/>
    </row>
    <row r="51" spans="27:51" x14ac:dyDescent="0.25">
      <c r="AA51" s="16"/>
      <c r="AJ51" s="27"/>
      <c r="AK51" s="28"/>
      <c r="AY51" s="16"/>
    </row>
    <row r="52" spans="27:51" x14ac:dyDescent="0.25">
      <c r="AA52" s="16"/>
      <c r="AJ52" s="27"/>
      <c r="AK52" s="28"/>
      <c r="AY52" s="16"/>
    </row>
    <row r="53" spans="27:51" x14ac:dyDescent="0.25">
      <c r="AA53" s="16"/>
      <c r="AJ53" s="27"/>
      <c r="AK53" s="28"/>
      <c r="AY53" s="16"/>
    </row>
    <row r="54" spans="27:51" x14ac:dyDescent="0.25">
      <c r="AA54" s="16"/>
      <c r="AJ54" s="27"/>
      <c r="AK54" s="28"/>
      <c r="AY54" s="16"/>
    </row>
    <row r="55" spans="27:51" x14ac:dyDescent="0.25">
      <c r="AA55" s="16"/>
      <c r="AJ55" s="27"/>
      <c r="AK55" s="28"/>
      <c r="AY55" s="16"/>
    </row>
    <row r="56" spans="27:51" x14ac:dyDescent="0.25">
      <c r="AA56" s="16"/>
      <c r="AJ56" s="27"/>
      <c r="AK56" s="28"/>
      <c r="AY56" s="16"/>
    </row>
    <row r="57" spans="27:51" x14ac:dyDescent="0.25">
      <c r="AA57" s="16"/>
      <c r="AJ57" s="27"/>
      <c r="AK57" s="28"/>
      <c r="AY57" s="16"/>
    </row>
    <row r="58" spans="27:51" x14ac:dyDescent="0.25">
      <c r="AA58" s="16"/>
      <c r="AJ58" s="27"/>
      <c r="AK58" s="28"/>
      <c r="AY58" s="16"/>
    </row>
    <row r="59" spans="27:51" x14ac:dyDescent="0.25">
      <c r="AA59" s="16"/>
      <c r="AJ59" s="27"/>
      <c r="AK59" s="28"/>
      <c r="AY59" s="16"/>
    </row>
    <row r="60" spans="27:51" x14ac:dyDescent="0.25">
      <c r="AA60" s="16"/>
      <c r="AJ60" s="27"/>
      <c r="AK60" s="28"/>
      <c r="AY60" s="16"/>
    </row>
    <row r="61" spans="27:51" x14ac:dyDescent="0.25">
      <c r="AA61" s="16"/>
      <c r="AJ61" s="27"/>
      <c r="AK61" s="28"/>
      <c r="AY61" s="16"/>
    </row>
    <row r="62" spans="27:51" x14ac:dyDescent="0.25">
      <c r="AA62" s="16"/>
      <c r="AJ62" s="27"/>
      <c r="AK62" s="28"/>
      <c r="AY62" s="16"/>
    </row>
    <row r="63" spans="27:51" x14ac:dyDescent="0.25">
      <c r="AA63" s="16"/>
      <c r="AJ63" s="27"/>
      <c r="AK63" s="28"/>
      <c r="AY63" s="16"/>
    </row>
    <row r="64" spans="27:51" x14ac:dyDescent="0.25">
      <c r="AA64" s="16"/>
      <c r="AJ64" s="27"/>
      <c r="AK64" s="28"/>
      <c r="AY64" s="16"/>
    </row>
    <row r="65" spans="27:51" x14ac:dyDescent="0.25">
      <c r="AA65" s="16"/>
      <c r="AJ65" s="27"/>
      <c r="AK65" s="28"/>
      <c r="AY65" s="16"/>
    </row>
    <row r="66" spans="27:51" x14ac:dyDescent="0.25">
      <c r="AA66" s="16"/>
      <c r="AJ66" s="27"/>
      <c r="AK66" s="28"/>
      <c r="AY66" s="16"/>
    </row>
    <row r="67" spans="27:51" x14ac:dyDescent="0.25">
      <c r="AA67" s="16"/>
      <c r="AJ67" s="27"/>
      <c r="AK67" s="28"/>
      <c r="AY67" s="16"/>
    </row>
    <row r="68" spans="27:51" x14ac:dyDescent="0.25">
      <c r="AA68" s="16"/>
      <c r="AJ68" s="27"/>
      <c r="AK68" s="28"/>
      <c r="AY68" s="16"/>
    </row>
    <row r="69" spans="27:51" x14ac:dyDescent="0.25">
      <c r="AA69" s="16"/>
      <c r="AJ69" s="27"/>
      <c r="AK69" s="28"/>
      <c r="AY69" s="16"/>
    </row>
    <row r="70" spans="27:51" x14ac:dyDescent="0.25">
      <c r="AA70" s="16"/>
      <c r="AJ70" s="27"/>
      <c r="AK70" s="28"/>
      <c r="AY70" s="16"/>
    </row>
    <row r="71" spans="27:51" x14ac:dyDescent="0.25">
      <c r="AA71" s="16"/>
      <c r="AJ71" s="27"/>
      <c r="AK71" s="28"/>
      <c r="AY71" s="16"/>
    </row>
    <row r="72" spans="27:51" x14ac:dyDescent="0.25">
      <c r="AA72" s="16"/>
      <c r="AJ72" s="27"/>
      <c r="AK72" s="28"/>
      <c r="AY72" s="16"/>
    </row>
    <row r="73" spans="27:51" x14ac:dyDescent="0.25">
      <c r="AA73" s="16"/>
      <c r="AJ73" s="27"/>
      <c r="AK73" s="28"/>
      <c r="AY73" s="16"/>
    </row>
    <row r="74" spans="27:51" x14ac:dyDescent="0.25">
      <c r="AA74" s="16"/>
      <c r="AJ74" s="27"/>
      <c r="AK74" s="28"/>
      <c r="AY74" s="16"/>
    </row>
    <row r="75" spans="27:51" x14ac:dyDescent="0.25">
      <c r="AA75" s="16"/>
      <c r="AJ75" s="27"/>
      <c r="AK75" s="28"/>
      <c r="AY75" s="16"/>
    </row>
    <row r="76" spans="27:51" x14ac:dyDescent="0.25">
      <c r="AA76" s="16"/>
      <c r="AJ76" s="27"/>
      <c r="AK76" s="28"/>
      <c r="AY76" s="16"/>
    </row>
    <row r="77" spans="27:51" x14ac:dyDescent="0.25">
      <c r="AA77" s="16"/>
      <c r="AJ77" s="27"/>
      <c r="AK77" s="28"/>
      <c r="AY77" s="16"/>
    </row>
    <row r="78" spans="27:51" x14ac:dyDescent="0.25">
      <c r="AA78" s="16"/>
      <c r="AJ78" s="27"/>
      <c r="AK78" s="28"/>
      <c r="AY78" s="16"/>
    </row>
    <row r="79" spans="27:51" x14ac:dyDescent="0.25">
      <c r="AA79" s="16"/>
      <c r="AJ79" s="27"/>
      <c r="AK79" s="28"/>
      <c r="AY79" s="16"/>
    </row>
    <row r="80" spans="27:51" x14ac:dyDescent="0.25">
      <c r="AA80" s="16"/>
      <c r="AJ80" s="27"/>
      <c r="AK80" s="28"/>
      <c r="AY80" s="16"/>
    </row>
    <row r="81" spans="27:51" x14ac:dyDescent="0.25">
      <c r="AA81" s="16"/>
      <c r="AJ81" s="27"/>
      <c r="AK81" s="28"/>
      <c r="AY81" s="16"/>
    </row>
    <row r="82" spans="27:51" x14ac:dyDescent="0.25">
      <c r="AA82" s="16"/>
      <c r="AJ82" s="27"/>
      <c r="AK82" s="28"/>
      <c r="AY82" s="16"/>
    </row>
    <row r="83" spans="27:51" x14ac:dyDescent="0.25">
      <c r="AA83" s="16"/>
      <c r="AJ83" s="27"/>
      <c r="AK83" s="28"/>
      <c r="AY83" s="16"/>
    </row>
    <row r="84" spans="27:51" x14ac:dyDescent="0.25">
      <c r="AA84" s="16"/>
      <c r="AJ84" s="27"/>
      <c r="AK84" s="28"/>
      <c r="AY84" s="16"/>
    </row>
    <row r="85" spans="27:51" x14ac:dyDescent="0.25">
      <c r="AA85" s="16"/>
      <c r="AJ85" s="27"/>
      <c r="AK85" s="28"/>
      <c r="AY85" s="16"/>
    </row>
    <row r="86" spans="27:51" x14ac:dyDescent="0.25">
      <c r="AA86" s="16"/>
      <c r="AJ86" s="27"/>
      <c r="AK86" s="28"/>
      <c r="AY86" s="16"/>
    </row>
    <row r="87" spans="27:51" x14ac:dyDescent="0.25">
      <c r="AA87" s="16"/>
      <c r="AJ87" s="27"/>
      <c r="AK87" s="28"/>
      <c r="AY87" s="16"/>
    </row>
    <row r="88" spans="27:51" x14ac:dyDescent="0.25">
      <c r="AA88" s="16"/>
      <c r="AJ88" s="27"/>
      <c r="AK88" s="28"/>
      <c r="AY88" s="16"/>
    </row>
    <row r="89" spans="27:51" x14ac:dyDescent="0.25">
      <c r="AA89" s="16"/>
      <c r="AJ89" s="27"/>
      <c r="AK89" s="28"/>
      <c r="AY89" s="16"/>
    </row>
    <row r="90" spans="27:51" x14ac:dyDescent="0.25">
      <c r="AA90" s="16"/>
      <c r="AJ90" s="27"/>
      <c r="AK90" s="28"/>
      <c r="AY90" s="16"/>
    </row>
    <row r="91" spans="27:51" x14ac:dyDescent="0.25">
      <c r="AA91" s="16"/>
      <c r="AJ91" s="27"/>
      <c r="AK91" s="28"/>
      <c r="AY91" s="16"/>
    </row>
    <row r="92" spans="27:51" x14ac:dyDescent="0.25">
      <c r="AA92" s="16"/>
      <c r="AJ92" s="27"/>
      <c r="AK92" s="28"/>
      <c r="AY92" s="16"/>
    </row>
    <row r="93" spans="27:51" x14ac:dyDescent="0.25">
      <c r="AA93" s="16"/>
      <c r="AJ93" s="27"/>
      <c r="AK93" s="28"/>
      <c r="AY93" s="16"/>
    </row>
    <row r="94" spans="27:51" x14ac:dyDescent="0.25">
      <c r="AA94" s="16"/>
      <c r="AJ94" s="27"/>
      <c r="AK94" s="28"/>
      <c r="AY94" s="16"/>
    </row>
    <row r="95" spans="27:51" x14ac:dyDescent="0.25">
      <c r="AA95" s="16"/>
      <c r="AJ95" s="27"/>
      <c r="AK95" s="28"/>
      <c r="AY95" s="16"/>
    </row>
    <row r="96" spans="27:51" x14ac:dyDescent="0.25">
      <c r="AA96" s="16"/>
      <c r="AJ96" s="27"/>
      <c r="AK96" s="28"/>
      <c r="AY96" s="16"/>
    </row>
    <row r="97" spans="27:51" x14ac:dyDescent="0.25">
      <c r="AA97" s="16"/>
      <c r="AJ97" s="27"/>
      <c r="AK97" s="28"/>
      <c r="AY97" s="16"/>
    </row>
    <row r="98" spans="27:51" x14ac:dyDescent="0.25">
      <c r="AA98" s="16"/>
      <c r="AJ98" s="27"/>
      <c r="AK98" s="28"/>
      <c r="AY98" s="16"/>
    </row>
    <row r="99" spans="27:51" x14ac:dyDescent="0.25">
      <c r="AA99" s="16"/>
      <c r="AJ99" s="27"/>
      <c r="AK99" s="28"/>
      <c r="AY99" s="16"/>
    </row>
    <row r="100" spans="27:51" x14ac:dyDescent="0.25">
      <c r="AA100" s="16"/>
      <c r="AJ100" s="27"/>
      <c r="AK100" s="28"/>
      <c r="AY100" s="16"/>
    </row>
    <row r="101" spans="27:51" x14ac:dyDescent="0.25">
      <c r="AA101" s="16"/>
      <c r="AJ101" s="27"/>
      <c r="AK101" s="28"/>
      <c r="AY101" s="16"/>
    </row>
    <row r="102" spans="27:51" x14ac:dyDescent="0.25">
      <c r="AA102" s="16"/>
      <c r="AJ102" s="27"/>
      <c r="AK102" s="28"/>
      <c r="AY102" s="16"/>
    </row>
    <row r="103" spans="27:51" x14ac:dyDescent="0.25">
      <c r="AA103" s="16"/>
      <c r="AJ103" s="27"/>
      <c r="AK103" s="28"/>
      <c r="AY103" s="16"/>
    </row>
    <row r="104" spans="27:51" x14ac:dyDescent="0.25">
      <c r="AA104" s="16"/>
      <c r="AJ104" s="27"/>
      <c r="AK104" s="28"/>
      <c r="AY104" s="16"/>
    </row>
    <row r="105" spans="27:51" x14ac:dyDescent="0.25">
      <c r="AA105" s="16"/>
      <c r="AJ105" s="27"/>
      <c r="AK105" s="28"/>
      <c r="AY105" s="16"/>
    </row>
    <row r="106" spans="27:51" x14ac:dyDescent="0.25">
      <c r="AA106" s="16"/>
      <c r="AJ106" s="27"/>
      <c r="AK106" s="28"/>
      <c r="AY106" s="16"/>
    </row>
    <row r="107" spans="27:51" x14ac:dyDescent="0.25">
      <c r="AA107" s="16"/>
      <c r="AJ107" s="27"/>
      <c r="AK107" s="28"/>
      <c r="AY107" s="16"/>
    </row>
    <row r="108" spans="27:51" x14ac:dyDescent="0.25">
      <c r="AA108" s="16"/>
      <c r="AJ108" s="27"/>
      <c r="AK108" s="28"/>
      <c r="AY108" s="16"/>
    </row>
    <row r="109" spans="27:51" x14ac:dyDescent="0.25">
      <c r="AA109" s="16"/>
      <c r="AJ109" s="27"/>
      <c r="AK109" s="28"/>
      <c r="AY109" s="16"/>
    </row>
    <row r="110" spans="27:51" x14ac:dyDescent="0.25">
      <c r="AA110" s="16"/>
      <c r="AJ110" s="27"/>
      <c r="AK110" s="28"/>
      <c r="AY110" s="16"/>
    </row>
    <row r="111" spans="27:51" x14ac:dyDescent="0.25">
      <c r="AA111" s="16"/>
      <c r="AJ111" s="27"/>
      <c r="AK111" s="28"/>
      <c r="AY111" s="16"/>
    </row>
    <row r="112" spans="27:51" x14ac:dyDescent="0.25">
      <c r="AA112" s="16"/>
      <c r="AJ112" s="27"/>
      <c r="AK112" s="28"/>
      <c r="AY112" s="16"/>
    </row>
    <row r="113" spans="27:51" x14ac:dyDescent="0.25">
      <c r="AA113" s="16"/>
      <c r="AJ113" s="27"/>
      <c r="AK113" s="28"/>
      <c r="AY113" s="16"/>
    </row>
    <row r="114" spans="27:51" x14ac:dyDescent="0.25">
      <c r="AA114" s="16"/>
      <c r="AJ114" s="27"/>
      <c r="AK114" s="28"/>
      <c r="AY114" s="16"/>
    </row>
    <row r="115" spans="27:51" x14ac:dyDescent="0.25">
      <c r="AA115" s="16"/>
      <c r="AJ115" s="27"/>
      <c r="AK115" s="28"/>
      <c r="AY115" s="16"/>
    </row>
    <row r="116" spans="27:51" x14ac:dyDescent="0.25">
      <c r="AA116" s="16"/>
      <c r="AJ116" s="27"/>
      <c r="AK116" s="28"/>
      <c r="AY116" s="16"/>
    </row>
    <row r="117" spans="27:51" x14ac:dyDescent="0.25">
      <c r="AA117" s="16"/>
      <c r="AJ117" s="27"/>
      <c r="AK117" s="28"/>
      <c r="AY117" s="16"/>
    </row>
    <row r="118" spans="27:51" x14ac:dyDescent="0.25">
      <c r="AA118" s="16"/>
      <c r="AJ118" s="27"/>
      <c r="AK118" s="28"/>
      <c r="AY118" s="16"/>
    </row>
    <row r="119" spans="27:51" x14ac:dyDescent="0.25">
      <c r="AA119" s="16"/>
      <c r="AJ119" s="27"/>
      <c r="AK119" s="28"/>
      <c r="AY119" s="16"/>
    </row>
    <row r="120" spans="27:51" x14ac:dyDescent="0.25">
      <c r="AA120" s="16"/>
      <c r="AJ120" s="27"/>
      <c r="AK120" s="28"/>
      <c r="AY120" s="16"/>
    </row>
    <row r="121" spans="27:51" x14ac:dyDescent="0.25">
      <c r="AA121" s="16"/>
      <c r="AJ121" s="27"/>
      <c r="AK121" s="28"/>
      <c r="AY121" s="16"/>
    </row>
    <row r="122" spans="27:51" x14ac:dyDescent="0.25">
      <c r="AA122" s="16"/>
      <c r="AJ122" s="27"/>
      <c r="AK122" s="28"/>
      <c r="AY122" s="16"/>
    </row>
    <row r="123" spans="27:51" x14ac:dyDescent="0.25">
      <c r="AA123" s="16"/>
      <c r="AJ123" s="27"/>
      <c r="AK123" s="28"/>
      <c r="AY123" s="16"/>
    </row>
    <row r="124" spans="27:51" x14ac:dyDescent="0.25">
      <c r="AA124" s="16"/>
      <c r="AJ124" s="27"/>
      <c r="AK124" s="28"/>
      <c r="AY124" s="16"/>
    </row>
    <row r="125" spans="27:51" x14ac:dyDescent="0.25">
      <c r="AA125" s="16"/>
      <c r="AJ125" s="27"/>
      <c r="AK125" s="28"/>
      <c r="AY125" s="16"/>
    </row>
    <row r="126" spans="27:51" x14ac:dyDescent="0.25">
      <c r="AA126" s="16"/>
      <c r="AJ126" s="27"/>
      <c r="AK126" s="28"/>
      <c r="AY126" s="16"/>
    </row>
    <row r="127" spans="27:51" x14ac:dyDescent="0.25">
      <c r="AA127" s="16"/>
      <c r="AJ127" s="27"/>
      <c r="AK127" s="28"/>
      <c r="AY127" s="16"/>
    </row>
    <row r="128" spans="27:51" x14ac:dyDescent="0.25">
      <c r="AA128" s="16"/>
      <c r="AJ128" s="27"/>
      <c r="AK128" s="28"/>
      <c r="AY128" s="16"/>
    </row>
    <row r="129" spans="27:51" x14ac:dyDescent="0.25">
      <c r="AA129" s="16"/>
      <c r="AJ129" s="27"/>
      <c r="AK129" s="28"/>
      <c r="AY129" s="16"/>
    </row>
    <row r="130" spans="27:51" x14ac:dyDescent="0.25">
      <c r="AA130" s="16"/>
      <c r="AJ130" s="27"/>
      <c r="AK130" s="28"/>
      <c r="AY130" s="16"/>
    </row>
    <row r="131" spans="27:51" x14ac:dyDescent="0.25">
      <c r="AA131" s="16"/>
      <c r="AJ131" s="27"/>
      <c r="AK131" s="28"/>
      <c r="AY131" s="16"/>
    </row>
    <row r="132" spans="27:51" x14ac:dyDescent="0.25">
      <c r="AA132" s="16"/>
      <c r="AJ132" s="27"/>
      <c r="AK132" s="28"/>
      <c r="AY132" s="16"/>
    </row>
    <row r="133" spans="27:51" x14ac:dyDescent="0.25">
      <c r="AA133" s="16"/>
      <c r="AJ133" s="27"/>
      <c r="AK133" s="28"/>
      <c r="AY133" s="16"/>
    </row>
    <row r="134" spans="27:51" x14ac:dyDescent="0.25">
      <c r="AA134" s="16"/>
      <c r="AJ134" s="27"/>
      <c r="AK134" s="28"/>
      <c r="AY134" s="16"/>
    </row>
    <row r="135" spans="27:51" x14ac:dyDescent="0.25">
      <c r="AA135" s="16"/>
      <c r="AJ135" s="27"/>
      <c r="AK135" s="28"/>
      <c r="AY135" s="16"/>
    </row>
    <row r="136" spans="27:51" x14ac:dyDescent="0.25">
      <c r="AA136" s="16"/>
      <c r="AJ136" s="27"/>
      <c r="AK136" s="28"/>
      <c r="AY136" s="16"/>
    </row>
    <row r="137" spans="27:51" x14ac:dyDescent="0.25">
      <c r="AA137" s="16"/>
      <c r="AJ137" s="27"/>
      <c r="AK137" s="28"/>
      <c r="AY137" s="16"/>
    </row>
    <row r="138" spans="27:51" x14ac:dyDescent="0.25">
      <c r="AA138" s="16"/>
      <c r="AJ138" s="27"/>
      <c r="AK138" s="28"/>
      <c r="AY138" s="16"/>
    </row>
    <row r="139" spans="27:51" x14ac:dyDescent="0.25">
      <c r="AA139" s="16"/>
      <c r="AJ139" s="27"/>
      <c r="AK139" s="28"/>
      <c r="AY139" s="16"/>
    </row>
    <row r="140" spans="27:51" x14ac:dyDescent="0.25">
      <c r="AA140" s="16"/>
      <c r="AJ140" s="27"/>
      <c r="AK140" s="28"/>
      <c r="AY140" s="16"/>
    </row>
    <row r="141" spans="27:51" x14ac:dyDescent="0.25">
      <c r="AA141" s="16"/>
      <c r="AJ141" s="27"/>
      <c r="AK141" s="28"/>
      <c r="AY141" s="16"/>
    </row>
    <row r="142" spans="27:51" x14ac:dyDescent="0.25">
      <c r="AA142" s="16"/>
      <c r="AJ142" s="27"/>
      <c r="AK142" s="28"/>
      <c r="AY142" s="16"/>
    </row>
    <row r="143" spans="27:51" x14ac:dyDescent="0.25">
      <c r="AA143" s="16"/>
      <c r="AJ143" s="27"/>
      <c r="AK143" s="28"/>
      <c r="AY143" s="16"/>
    </row>
    <row r="144" spans="27:51" x14ac:dyDescent="0.25">
      <c r="AA144" s="16"/>
      <c r="AJ144" s="27"/>
      <c r="AK144" s="28"/>
      <c r="AY144" s="16"/>
    </row>
    <row r="145" spans="27:51" x14ac:dyDescent="0.25">
      <c r="AA145" s="16"/>
      <c r="AJ145" s="27"/>
      <c r="AK145" s="28"/>
      <c r="AY145" s="16"/>
    </row>
    <row r="146" spans="27:51" x14ac:dyDescent="0.25">
      <c r="AA146" s="16"/>
      <c r="AJ146" s="27"/>
      <c r="AK146" s="28"/>
      <c r="AY146" s="16"/>
    </row>
    <row r="147" spans="27:51" x14ac:dyDescent="0.25">
      <c r="AA147" s="16"/>
      <c r="AJ147" s="27"/>
      <c r="AK147" s="28"/>
      <c r="AY147" s="16"/>
    </row>
    <row r="148" spans="27:51" x14ac:dyDescent="0.25">
      <c r="AA148" s="16"/>
      <c r="AJ148" s="27"/>
      <c r="AK148" s="28"/>
      <c r="AY148" s="16"/>
    </row>
    <row r="149" spans="27:51" x14ac:dyDescent="0.25">
      <c r="AA149" s="16"/>
      <c r="AJ149" s="27"/>
      <c r="AK149" s="28"/>
      <c r="AY149" s="16"/>
    </row>
    <row r="150" spans="27:51" x14ac:dyDescent="0.25">
      <c r="AA150" s="16"/>
      <c r="AJ150" s="27"/>
      <c r="AK150" s="28"/>
      <c r="AY150" s="16"/>
    </row>
    <row r="151" spans="27:51" x14ac:dyDescent="0.25">
      <c r="AA151" s="16"/>
      <c r="AJ151" s="27"/>
      <c r="AK151" s="28"/>
      <c r="AY151" s="16"/>
    </row>
    <row r="152" spans="27:51" x14ac:dyDescent="0.25">
      <c r="AA152" s="16"/>
      <c r="AJ152" s="27"/>
      <c r="AK152" s="28"/>
      <c r="AY152" s="16"/>
    </row>
    <row r="153" spans="27:51" x14ac:dyDescent="0.25">
      <c r="AA153" s="16"/>
      <c r="AJ153" s="27"/>
      <c r="AK153" s="28"/>
      <c r="AY153" s="16"/>
    </row>
    <row r="154" spans="27:51" x14ac:dyDescent="0.25">
      <c r="AA154" s="16"/>
      <c r="AJ154" s="27"/>
      <c r="AK154" s="28"/>
      <c r="AY154" s="16"/>
    </row>
    <row r="155" spans="27:51" x14ac:dyDescent="0.25">
      <c r="AA155" s="16"/>
      <c r="AJ155" s="27"/>
      <c r="AK155" s="28"/>
      <c r="AY155" s="16"/>
    </row>
    <row r="156" spans="27:51" x14ac:dyDescent="0.25">
      <c r="AA156" s="16"/>
      <c r="AJ156" s="27"/>
      <c r="AK156" s="28"/>
      <c r="AY156" s="16"/>
    </row>
    <row r="157" spans="27:51" x14ac:dyDescent="0.25">
      <c r="AA157" s="16"/>
      <c r="AJ157" s="27"/>
      <c r="AK157" s="28"/>
      <c r="AY157" s="16"/>
    </row>
    <row r="158" spans="27:51" x14ac:dyDescent="0.25">
      <c r="AA158" s="16"/>
      <c r="AJ158" s="27"/>
      <c r="AK158" s="28"/>
      <c r="AY158" s="16"/>
    </row>
    <row r="159" spans="27:51" x14ac:dyDescent="0.25">
      <c r="AA159" s="16"/>
      <c r="AJ159" s="27"/>
      <c r="AK159" s="28"/>
      <c r="AY159" s="16"/>
    </row>
    <row r="160" spans="27:51" x14ac:dyDescent="0.25">
      <c r="AA160" s="16"/>
      <c r="AJ160" s="27"/>
      <c r="AK160" s="28"/>
      <c r="AY160" s="16"/>
    </row>
    <row r="161" spans="27:51" x14ac:dyDescent="0.25">
      <c r="AA161" s="16"/>
      <c r="AJ161" s="27"/>
      <c r="AK161" s="28"/>
      <c r="AY161" s="16"/>
    </row>
    <row r="162" spans="27:51" x14ac:dyDescent="0.25">
      <c r="AA162" s="16"/>
      <c r="AJ162" s="27"/>
      <c r="AK162" s="28"/>
      <c r="AY162" s="16"/>
    </row>
    <row r="163" spans="27:51" x14ac:dyDescent="0.25">
      <c r="AA163" s="16"/>
      <c r="AJ163" s="27"/>
      <c r="AK163" s="28"/>
      <c r="AY163" s="16"/>
    </row>
    <row r="164" spans="27:51" x14ac:dyDescent="0.25">
      <c r="AA164" s="16"/>
      <c r="AJ164" s="27"/>
      <c r="AK164" s="28"/>
      <c r="AY164" s="16"/>
    </row>
    <row r="165" spans="27:51" x14ac:dyDescent="0.25">
      <c r="AA165" s="16"/>
      <c r="AJ165" s="27"/>
      <c r="AK165" s="28"/>
      <c r="AY165" s="16"/>
    </row>
    <row r="166" spans="27:51" x14ac:dyDescent="0.25">
      <c r="AA166" s="16"/>
      <c r="AJ166" s="27"/>
      <c r="AK166" s="28"/>
      <c r="AY166" s="16"/>
    </row>
    <row r="167" spans="27:51" x14ac:dyDescent="0.25">
      <c r="AA167" s="16"/>
      <c r="AJ167" s="27"/>
      <c r="AK167" s="28"/>
      <c r="AY167" s="16"/>
    </row>
    <row r="168" spans="27:51" x14ac:dyDescent="0.25">
      <c r="AA168" s="16"/>
      <c r="AJ168" s="27"/>
      <c r="AK168" s="28"/>
      <c r="AY168" s="16"/>
    </row>
    <row r="169" spans="27:51" x14ac:dyDescent="0.25">
      <c r="AA169" s="16"/>
      <c r="AJ169" s="27"/>
      <c r="AK169" s="28"/>
      <c r="AY169" s="16"/>
    </row>
    <row r="170" spans="27:51" x14ac:dyDescent="0.25">
      <c r="AA170" s="16"/>
      <c r="AJ170" s="27"/>
      <c r="AK170" s="28"/>
      <c r="AY170" s="16"/>
    </row>
    <row r="171" spans="27:51" x14ac:dyDescent="0.25">
      <c r="AA171" s="16"/>
      <c r="AJ171" s="27"/>
      <c r="AK171" s="28"/>
      <c r="AY171" s="16"/>
    </row>
    <row r="172" spans="27:51" x14ac:dyDescent="0.25">
      <c r="AA172" s="16"/>
      <c r="AJ172" s="27"/>
      <c r="AK172" s="28"/>
      <c r="AY172" s="16"/>
    </row>
    <row r="173" spans="27:51" x14ac:dyDescent="0.25">
      <c r="AA173" s="16"/>
      <c r="AJ173" s="27"/>
      <c r="AK173" s="28"/>
      <c r="AY173" s="16"/>
    </row>
    <row r="174" spans="27:51" x14ac:dyDescent="0.25">
      <c r="AA174" s="16"/>
      <c r="AJ174" s="27"/>
      <c r="AK174" s="28"/>
      <c r="AY174" s="16"/>
    </row>
    <row r="175" spans="27:51" x14ac:dyDescent="0.25">
      <c r="AA175" s="16"/>
      <c r="AJ175" s="27"/>
      <c r="AK175" s="28"/>
      <c r="AY175" s="16"/>
    </row>
    <row r="176" spans="27:51" x14ac:dyDescent="0.25">
      <c r="AA176" s="16"/>
      <c r="AJ176" s="27"/>
      <c r="AK176" s="28"/>
      <c r="AY176" s="16"/>
    </row>
    <row r="177" spans="27:51" x14ac:dyDescent="0.25">
      <c r="AA177" s="16"/>
      <c r="AJ177" s="27"/>
      <c r="AK177" s="28"/>
      <c r="AY177" s="16"/>
    </row>
    <row r="178" spans="27:51" x14ac:dyDescent="0.25">
      <c r="AA178" s="16"/>
      <c r="AJ178" s="27"/>
      <c r="AK178" s="28"/>
      <c r="AY178" s="16"/>
    </row>
    <row r="179" spans="27:51" x14ac:dyDescent="0.25">
      <c r="AA179" s="16"/>
      <c r="AJ179" s="27"/>
      <c r="AK179" s="28"/>
      <c r="AY179" s="16"/>
    </row>
    <row r="180" spans="27:51" x14ac:dyDescent="0.25">
      <c r="AA180" s="16"/>
      <c r="AJ180" s="27"/>
      <c r="AK180" s="28"/>
      <c r="AY180" s="16"/>
    </row>
    <row r="181" spans="27:51" x14ac:dyDescent="0.25">
      <c r="AA181" s="16"/>
      <c r="AJ181" s="27"/>
      <c r="AK181" s="28"/>
      <c r="AY181" s="16"/>
    </row>
    <row r="182" spans="27:51" x14ac:dyDescent="0.25">
      <c r="AA182" s="16"/>
      <c r="AJ182" s="27"/>
      <c r="AK182" s="28"/>
      <c r="AY182" s="16"/>
    </row>
    <row r="183" spans="27:51" x14ac:dyDescent="0.25">
      <c r="AA183" s="16"/>
      <c r="AJ183" s="27"/>
      <c r="AK183" s="28"/>
      <c r="AY183" s="16"/>
    </row>
    <row r="184" spans="27:51" x14ac:dyDescent="0.25">
      <c r="AA184" s="16"/>
      <c r="AJ184" s="27"/>
      <c r="AK184" s="28"/>
      <c r="AY184" s="16"/>
    </row>
    <row r="185" spans="27:51" x14ac:dyDescent="0.25">
      <c r="AA185" s="16"/>
      <c r="AJ185" s="27"/>
      <c r="AK185" s="28"/>
      <c r="AY185" s="16"/>
    </row>
    <row r="186" spans="27:51" x14ac:dyDescent="0.25">
      <c r="AA186" s="16"/>
      <c r="AJ186" s="27"/>
      <c r="AK186" s="28"/>
      <c r="AY186" s="16"/>
    </row>
    <row r="187" spans="27:51" x14ac:dyDescent="0.25">
      <c r="AA187" s="16"/>
      <c r="AJ187" s="27"/>
      <c r="AK187" s="28"/>
      <c r="AY187" s="16"/>
    </row>
    <row r="188" spans="27:51" x14ac:dyDescent="0.25">
      <c r="AA188" s="16"/>
      <c r="AJ188" s="27"/>
      <c r="AK188" s="28"/>
      <c r="AY188" s="16"/>
    </row>
    <row r="189" spans="27:51" x14ac:dyDescent="0.25">
      <c r="AA189" s="16"/>
      <c r="AJ189" s="27"/>
      <c r="AK189" s="28"/>
      <c r="AY189" s="16"/>
    </row>
    <row r="190" spans="27:51" x14ac:dyDescent="0.25">
      <c r="AA190" s="16"/>
      <c r="AJ190" s="27"/>
      <c r="AK190" s="28"/>
      <c r="AY190" s="16"/>
    </row>
    <row r="191" spans="27:51" x14ac:dyDescent="0.25">
      <c r="AA191" s="16"/>
      <c r="AJ191" s="27"/>
      <c r="AK191" s="28"/>
      <c r="AY191" s="16"/>
    </row>
    <row r="192" spans="27:51" x14ac:dyDescent="0.25">
      <c r="AA192" s="16"/>
      <c r="AJ192" s="27"/>
      <c r="AK192" s="28"/>
      <c r="AY192" s="16"/>
    </row>
    <row r="193" spans="27:51" x14ac:dyDescent="0.25">
      <c r="AA193" s="16"/>
      <c r="AJ193" s="27"/>
      <c r="AK193" s="28"/>
      <c r="AY193" s="16"/>
    </row>
    <row r="194" spans="27:51" x14ac:dyDescent="0.25">
      <c r="AA194" s="16"/>
      <c r="AJ194" s="27"/>
      <c r="AK194" s="28"/>
      <c r="AY194" s="16"/>
    </row>
    <row r="195" spans="27:51" x14ac:dyDescent="0.25">
      <c r="AA195" s="16"/>
      <c r="AJ195" s="27"/>
      <c r="AK195" s="28"/>
      <c r="AY195" s="16"/>
    </row>
    <row r="196" spans="27:51" x14ac:dyDescent="0.25">
      <c r="AA196" s="16"/>
      <c r="AJ196" s="27"/>
      <c r="AK196" s="28"/>
      <c r="AY196" s="16"/>
    </row>
    <row r="197" spans="27:51" x14ac:dyDescent="0.25">
      <c r="AA197" s="16"/>
      <c r="AJ197" s="27"/>
      <c r="AK197" s="28"/>
      <c r="AY197" s="16"/>
    </row>
    <row r="198" spans="27:51" x14ac:dyDescent="0.25">
      <c r="AA198" s="16"/>
      <c r="AJ198" s="27"/>
      <c r="AK198" s="28"/>
      <c r="AY198" s="16"/>
    </row>
    <row r="199" spans="27:51" x14ac:dyDescent="0.25">
      <c r="AA199" s="16"/>
      <c r="AJ199" s="27"/>
      <c r="AK199" s="28"/>
      <c r="AY199" s="16"/>
    </row>
    <row r="200" spans="27:51" x14ac:dyDescent="0.25">
      <c r="AA200" s="16"/>
      <c r="AJ200" s="27"/>
      <c r="AK200" s="28"/>
      <c r="AY200" s="16"/>
    </row>
    <row r="201" spans="27:51" x14ac:dyDescent="0.25">
      <c r="AA201" s="16"/>
      <c r="AJ201" s="27"/>
      <c r="AK201" s="28"/>
      <c r="AY201" s="16"/>
    </row>
    <row r="202" spans="27:51" x14ac:dyDescent="0.25">
      <c r="AA202" s="16"/>
      <c r="AJ202" s="27"/>
      <c r="AK202" s="28"/>
      <c r="AY202" s="16"/>
    </row>
    <row r="203" spans="27:51" x14ac:dyDescent="0.25">
      <c r="AA203" s="16"/>
      <c r="AJ203" s="27"/>
      <c r="AK203" s="28"/>
      <c r="AY203" s="16"/>
    </row>
    <row r="204" spans="27:51" x14ac:dyDescent="0.25">
      <c r="AA204" s="16"/>
      <c r="AJ204" s="27"/>
      <c r="AK204" s="28"/>
      <c r="AY204" s="16"/>
    </row>
    <row r="205" spans="27:51" x14ac:dyDescent="0.25">
      <c r="AA205" s="16"/>
      <c r="AJ205" s="27"/>
      <c r="AK205" s="28"/>
      <c r="AY205" s="16"/>
    </row>
    <row r="206" spans="27:51" x14ac:dyDescent="0.25">
      <c r="AA206" s="16"/>
      <c r="AJ206" s="27"/>
      <c r="AK206" s="28"/>
      <c r="AY206" s="16"/>
    </row>
    <row r="207" spans="27:51" x14ac:dyDescent="0.25">
      <c r="AA207" s="16"/>
      <c r="AJ207" s="27"/>
      <c r="AK207" s="28"/>
      <c r="AY207" s="16"/>
    </row>
    <row r="208" spans="27:51" x14ac:dyDescent="0.25">
      <c r="AA208" s="16"/>
      <c r="AJ208" s="27"/>
      <c r="AK208" s="28"/>
      <c r="AY208" s="16"/>
    </row>
    <row r="209" spans="27:51" x14ac:dyDescent="0.25">
      <c r="AA209" s="16"/>
      <c r="AJ209" s="27"/>
      <c r="AK209" s="28"/>
      <c r="AY209" s="16"/>
    </row>
    <row r="210" spans="27:51" x14ac:dyDescent="0.25">
      <c r="AA210" s="16"/>
      <c r="AJ210" s="27"/>
      <c r="AK210" s="28"/>
      <c r="AY210" s="16"/>
    </row>
    <row r="211" spans="27:51" x14ac:dyDescent="0.25">
      <c r="AA211" s="16"/>
      <c r="AJ211" s="27"/>
      <c r="AK211" s="28"/>
      <c r="AY211" s="16"/>
    </row>
    <row r="212" spans="27:51" x14ac:dyDescent="0.25">
      <c r="AA212" s="16"/>
      <c r="AJ212" s="27"/>
      <c r="AK212" s="28"/>
      <c r="AY212" s="16"/>
    </row>
    <row r="213" spans="27:51" x14ac:dyDescent="0.25">
      <c r="AA213" s="16"/>
      <c r="AJ213" s="27"/>
      <c r="AK213" s="28"/>
      <c r="AY213" s="16"/>
    </row>
    <row r="214" spans="27:51" x14ac:dyDescent="0.25">
      <c r="AA214" s="16"/>
      <c r="AJ214" s="27"/>
      <c r="AK214" s="28"/>
      <c r="AY214" s="16"/>
    </row>
    <row r="215" spans="27:51" x14ac:dyDescent="0.25">
      <c r="AA215" s="16"/>
      <c r="AJ215" s="27"/>
      <c r="AK215" s="28"/>
      <c r="AY215" s="16"/>
    </row>
    <row r="216" spans="27:51" x14ac:dyDescent="0.25">
      <c r="AA216" s="16"/>
      <c r="AJ216" s="27"/>
      <c r="AK216" s="28"/>
      <c r="AY216" s="16"/>
    </row>
    <row r="217" spans="27:51" x14ac:dyDescent="0.25">
      <c r="AA217" s="16"/>
      <c r="AJ217" s="27"/>
      <c r="AK217" s="28"/>
      <c r="AY217" s="16"/>
    </row>
    <row r="218" spans="27:51" x14ac:dyDescent="0.25">
      <c r="AA218" s="16"/>
      <c r="AJ218" s="27"/>
      <c r="AK218" s="28"/>
      <c r="AY218" s="16"/>
    </row>
    <row r="219" spans="27:51" x14ac:dyDescent="0.25">
      <c r="AA219" s="16"/>
      <c r="AJ219" s="27"/>
      <c r="AK219" s="28"/>
      <c r="AY219" s="16"/>
    </row>
    <row r="220" spans="27:51" x14ac:dyDescent="0.25">
      <c r="AA220" s="16"/>
      <c r="AJ220" s="27"/>
      <c r="AK220" s="28"/>
      <c r="AY220" s="16"/>
    </row>
    <row r="221" spans="27:51" x14ac:dyDescent="0.25">
      <c r="AA221" s="16"/>
      <c r="AJ221" s="27"/>
      <c r="AK221" s="28"/>
      <c r="AY221" s="16"/>
    </row>
    <row r="222" spans="27:51" x14ac:dyDescent="0.25">
      <c r="AA222" s="16"/>
      <c r="AJ222" s="27"/>
      <c r="AK222" s="28"/>
      <c r="AY222" s="16"/>
    </row>
    <row r="223" spans="27:51" x14ac:dyDescent="0.25">
      <c r="AA223" s="16"/>
      <c r="AJ223" s="27"/>
      <c r="AK223" s="28"/>
      <c r="AY223" s="16"/>
    </row>
    <row r="224" spans="27:51" x14ac:dyDescent="0.25">
      <c r="AA224" s="16"/>
      <c r="AJ224" s="27"/>
      <c r="AK224" s="28"/>
      <c r="AY224" s="16"/>
    </row>
    <row r="225" spans="27:51" x14ac:dyDescent="0.25">
      <c r="AA225" s="16"/>
      <c r="AJ225" s="27"/>
      <c r="AK225" s="28"/>
      <c r="AY225" s="16"/>
    </row>
    <row r="226" spans="27:51" x14ac:dyDescent="0.25">
      <c r="AA226" s="16"/>
      <c r="AJ226" s="27"/>
      <c r="AK226" s="28"/>
      <c r="AY226" s="16"/>
    </row>
    <row r="227" spans="27:51" x14ac:dyDescent="0.25">
      <c r="AA227" s="16"/>
      <c r="AJ227" s="27"/>
      <c r="AK227" s="28"/>
      <c r="AY227" s="16"/>
    </row>
    <row r="228" spans="27:51" x14ac:dyDescent="0.25">
      <c r="AA228" s="16"/>
      <c r="AJ228" s="27"/>
      <c r="AK228" s="28"/>
      <c r="AY228" s="16"/>
    </row>
    <row r="229" spans="27:51" x14ac:dyDescent="0.25">
      <c r="AA229" s="16"/>
      <c r="AJ229" s="27"/>
      <c r="AK229" s="28"/>
      <c r="AY229" s="16"/>
    </row>
    <row r="230" spans="27:51" x14ac:dyDescent="0.25">
      <c r="AA230" s="16"/>
      <c r="AJ230" s="27"/>
      <c r="AK230" s="28"/>
      <c r="AY230" s="16"/>
    </row>
    <row r="231" spans="27:51" x14ac:dyDescent="0.25">
      <c r="AA231" s="16"/>
      <c r="AJ231" s="27"/>
      <c r="AK231" s="28"/>
      <c r="AY231" s="16"/>
    </row>
    <row r="232" spans="27:51" x14ac:dyDescent="0.25">
      <c r="AA232" s="16"/>
      <c r="AJ232" s="27"/>
      <c r="AK232" s="28"/>
      <c r="AY232" s="16"/>
    </row>
    <row r="233" spans="27:51" x14ac:dyDescent="0.25">
      <c r="AA233" s="16"/>
      <c r="AJ233" s="27"/>
      <c r="AK233" s="28"/>
      <c r="AY233" s="16"/>
    </row>
    <row r="234" spans="27:51" x14ac:dyDescent="0.25">
      <c r="AA234" s="16"/>
      <c r="AJ234" s="27"/>
      <c r="AK234" s="28"/>
      <c r="AY234" s="16"/>
    </row>
    <row r="235" spans="27:51" x14ac:dyDescent="0.25">
      <c r="AA235" s="16"/>
      <c r="AJ235" s="27"/>
      <c r="AK235" s="28"/>
      <c r="AY235" s="16"/>
    </row>
    <row r="236" spans="27:51" x14ac:dyDescent="0.25">
      <c r="AA236" s="16"/>
      <c r="AJ236" s="27"/>
      <c r="AK236" s="28"/>
      <c r="AY236" s="16"/>
    </row>
    <row r="237" spans="27:51" x14ac:dyDescent="0.25">
      <c r="AA237" s="16"/>
      <c r="AJ237" s="27"/>
      <c r="AK237" s="28"/>
      <c r="AY237" s="16"/>
    </row>
    <row r="238" spans="27:51" x14ac:dyDescent="0.25">
      <c r="AA238" s="16"/>
      <c r="AJ238" s="27"/>
      <c r="AK238" s="28"/>
      <c r="AY238" s="16"/>
    </row>
    <row r="239" spans="27:51" x14ac:dyDescent="0.25">
      <c r="AA239" s="16"/>
      <c r="AJ239" s="27"/>
      <c r="AK239" s="28"/>
      <c r="AY239" s="16"/>
    </row>
    <row r="240" spans="27:51" x14ac:dyDescent="0.25">
      <c r="AA240" s="16"/>
      <c r="AJ240" s="27"/>
      <c r="AK240" s="28"/>
      <c r="AY240" s="16"/>
    </row>
    <row r="241" spans="27:51" x14ac:dyDescent="0.25">
      <c r="AA241" s="16"/>
      <c r="AJ241" s="27"/>
      <c r="AK241" s="28"/>
      <c r="AY241" s="16"/>
    </row>
    <row r="242" spans="27:51" x14ac:dyDescent="0.25">
      <c r="AA242" s="16"/>
      <c r="AJ242" s="27"/>
      <c r="AK242" s="28"/>
      <c r="AY242" s="16"/>
    </row>
    <row r="243" spans="27:51" x14ac:dyDescent="0.25">
      <c r="AA243" s="16"/>
      <c r="AJ243" s="27"/>
      <c r="AK243" s="28"/>
      <c r="AY243" s="16"/>
    </row>
    <row r="244" spans="27:51" x14ac:dyDescent="0.25">
      <c r="AA244" s="16"/>
      <c r="AJ244" s="27"/>
      <c r="AK244" s="28"/>
      <c r="AY244" s="16"/>
    </row>
    <row r="245" spans="27:51" x14ac:dyDescent="0.25">
      <c r="AA245" s="16"/>
      <c r="AJ245" s="27"/>
      <c r="AK245" s="28"/>
      <c r="AY245" s="16"/>
    </row>
    <row r="246" spans="27:51" x14ac:dyDescent="0.25">
      <c r="AA246" s="16"/>
      <c r="AJ246" s="27"/>
      <c r="AK246" s="28"/>
      <c r="AY246" s="16"/>
    </row>
    <row r="247" spans="27:51" x14ac:dyDescent="0.25">
      <c r="AA247" s="16"/>
      <c r="AJ247" s="27"/>
      <c r="AK247" s="28"/>
      <c r="AY247" s="16"/>
    </row>
    <row r="248" spans="27:51" x14ac:dyDescent="0.25">
      <c r="AA248" s="16"/>
      <c r="AJ248" s="27"/>
      <c r="AK248" s="28"/>
      <c r="AY248" s="16"/>
    </row>
    <row r="249" spans="27:51" x14ac:dyDescent="0.25">
      <c r="AA249" s="16"/>
      <c r="AJ249" s="27"/>
      <c r="AK249" s="28"/>
      <c r="AY249" s="16"/>
    </row>
    <row r="250" spans="27:51" x14ac:dyDescent="0.25">
      <c r="AA250" s="16"/>
      <c r="AJ250" s="27"/>
      <c r="AK250" s="28"/>
      <c r="AY250" s="16"/>
    </row>
    <row r="251" spans="27:51" x14ac:dyDescent="0.25">
      <c r="AA251" s="16"/>
      <c r="AJ251" s="27"/>
      <c r="AK251" s="28"/>
      <c r="AY251" s="16"/>
    </row>
    <row r="252" spans="27:51" x14ac:dyDescent="0.25">
      <c r="AA252" s="16"/>
      <c r="AJ252" s="27"/>
      <c r="AK252" s="28"/>
      <c r="AY252" s="16"/>
    </row>
    <row r="253" spans="27:51" x14ac:dyDescent="0.25">
      <c r="AA253" s="16"/>
      <c r="AJ253" s="27"/>
      <c r="AK253" s="28"/>
      <c r="AY253" s="16"/>
    </row>
    <row r="254" spans="27:51" x14ac:dyDescent="0.25">
      <c r="AA254" s="16"/>
      <c r="AJ254" s="27"/>
      <c r="AK254" s="28"/>
      <c r="AY254" s="16"/>
    </row>
    <row r="255" spans="27:51" x14ac:dyDescent="0.25">
      <c r="AA255" s="16"/>
      <c r="AJ255" s="27"/>
      <c r="AK255" s="28"/>
      <c r="AY255" s="16"/>
    </row>
    <row r="256" spans="27:51" x14ac:dyDescent="0.25">
      <c r="AA256" s="16"/>
      <c r="AJ256" s="27"/>
      <c r="AK256" s="28"/>
      <c r="AY256" s="16"/>
    </row>
    <row r="257" spans="27:51" x14ac:dyDescent="0.25">
      <c r="AA257" s="16"/>
      <c r="AJ257" s="27"/>
      <c r="AK257" s="28"/>
      <c r="AY257" s="16"/>
    </row>
    <row r="258" spans="27:51" x14ac:dyDescent="0.25">
      <c r="AA258" s="16"/>
      <c r="AJ258" s="27"/>
      <c r="AK258" s="28"/>
      <c r="AY258" s="16"/>
    </row>
    <row r="259" spans="27:51" x14ac:dyDescent="0.25">
      <c r="AA259" s="16"/>
      <c r="AJ259" s="27"/>
      <c r="AK259" s="28"/>
      <c r="AY259" s="16"/>
    </row>
    <row r="260" spans="27:51" x14ac:dyDescent="0.25">
      <c r="AA260" s="16"/>
      <c r="AJ260" s="27"/>
      <c r="AK260" s="28"/>
      <c r="AY260" s="16"/>
    </row>
    <row r="261" spans="27:51" x14ac:dyDescent="0.25">
      <c r="AA261" s="16"/>
      <c r="AJ261" s="27"/>
      <c r="AK261" s="28"/>
      <c r="AY261" s="16"/>
    </row>
    <row r="262" spans="27:51" x14ac:dyDescent="0.25">
      <c r="AA262" s="16"/>
      <c r="AJ262" s="27"/>
      <c r="AK262" s="28"/>
      <c r="AY262" s="16"/>
    </row>
    <row r="263" spans="27:51" x14ac:dyDescent="0.25">
      <c r="AA263" s="16"/>
      <c r="AJ263" s="27"/>
      <c r="AK263" s="28"/>
      <c r="AY263" s="16"/>
    </row>
    <row r="264" spans="27:51" x14ac:dyDescent="0.25">
      <c r="AA264" s="16"/>
      <c r="AJ264" s="27"/>
      <c r="AK264" s="28"/>
      <c r="AY264" s="16"/>
    </row>
    <row r="265" spans="27:51" x14ac:dyDescent="0.25">
      <c r="AA265" s="16"/>
      <c r="AJ265" s="27"/>
      <c r="AK265" s="28"/>
      <c r="AY265" s="16"/>
    </row>
    <row r="266" spans="27:51" x14ac:dyDescent="0.25">
      <c r="AA266" s="16"/>
      <c r="AJ266" s="27"/>
      <c r="AK266" s="28"/>
      <c r="AY266" s="16"/>
    </row>
    <row r="267" spans="27:51" x14ac:dyDescent="0.25">
      <c r="AA267" s="16"/>
      <c r="AJ267" s="27"/>
      <c r="AK267" s="28"/>
      <c r="AY267" s="16"/>
    </row>
    <row r="268" spans="27:51" x14ac:dyDescent="0.25">
      <c r="AA268" s="16"/>
      <c r="AJ268" s="27"/>
      <c r="AK268" s="28"/>
      <c r="AY268" s="16"/>
    </row>
    <row r="269" spans="27:51" x14ac:dyDescent="0.25">
      <c r="AA269" s="16"/>
      <c r="AJ269" s="27"/>
      <c r="AK269" s="28"/>
      <c r="AY269" s="16"/>
    </row>
    <row r="270" spans="27:51" x14ac:dyDescent="0.25">
      <c r="AA270" s="16"/>
      <c r="AJ270" s="27"/>
      <c r="AK270" s="28"/>
      <c r="AY270" s="16"/>
    </row>
    <row r="271" spans="27:51" x14ac:dyDescent="0.25">
      <c r="AA271" s="16"/>
      <c r="AJ271" s="27"/>
      <c r="AK271" s="28"/>
      <c r="AY271" s="16"/>
    </row>
    <row r="272" spans="27:51" x14ac:dyDescent="0.25">
      <c r="AA272" s="16"/>
      <c r="AJ272" s="27"/>
      <c r="AK272" s="28"/>
      <c r="AY272" s="16"/>
    </row>
    <row r="273" spans="4:51" x14ac:dyDescent="0.25">
      <c r="AA273" s="16"/>
      <c r="AJ273" s="27"/>
      <c r="AK273" s="28"/>
      <c r="AY273" s="16"/>
    </row>
    <row r="274" spans="4:51" x14ac:dyDescent="0.25">
      <c r="AA274" s="16"/>
      <c r="AJ274" s="27"/>
      <c r="AK274" s="28"/>
      <c r="AY274" s="16"/>
    </row>
    <row r="275" spans="4:51" x14ac:dyDescent="0.25">
      <c r="D275" s="45"/>
      <c r="E275" s="45"/>
      <c r="F275" s="45"/>
      <c r="G275" s="45"/>
      <c r="H275" s="45"/>
      <c r="I275" s="45"/>
      <c r="J275" s="45"/>
      <c r="K275" s="105"/>
      <c r="L275" s="49"/>
      <c r="M275" s="106"/>
      <c r="N275" s="45"/>
      <c r="O275" s="45"/>
      <c r="P275" s="45"/>
      <c r="Q275" s="45"/>
      <c r="R275" s="45"/>
      <c r="S275" s="45"/>
      <c r="T275" s="45"/>
      <c r="U275" s="45"/>
      <c r="V275" s="45"/>
      <c r="W275" s="45"/>
      <c r="X275" s="45"/>
      <c r="Y275" s="45"/>
      <c r="Z275" s="121"/>
      <c r="AB275" s="45"/>
      <c r="AC275" s="45"/>
      <c r="AD275" s="45"/>
      <c r="AE275" s="45"/>
      <c r="AF275" s="45"/>
      <c r="AG275" s="45"/>
      <c r="AH275" s="45"/>
      <c r="AI275" s="105"/>
      <c r="AJ275" s="49"/>
      <c r="AK275" s="50"/>
      <c r="AL275" s="45"/>
      <c r="AM275" s="45"/>
      <c r="AN275" s="45"/>
      <c r="AO275" s="45"/>
      <c r="AP275" s="45"/>
      <c r="AQ275" s="45"/>
      <c r="AR275" s="45"/>
      <c r="AS275" s="45"/>
      <c r="AT275" s="45"/>
      <c r="AU275" s="45"/>
      <c r="AV275" s="45"/>
      <c r="AW275" s="45"/>
    </row>
    <row r="276" spans="4:51" x14ac:dyDescent="0.25">
      <c r="D276" s="45"/>
      <c r="E276" s="45"/>
      <c r="F276" s="45"/>
      <c r="G276" s="45"/>
      <c r="H276" s="45"/>
      <c r="I276" s="45"/>
      <c r="J276" s="45"/>
      <c r="K276" s="105"/>
      <c r="L276" s="49"/>
      <c r="M276" s="106"/>
      <c r="N276" s="45"/>
      <c r="O276" s="45"/>
      <c r="P276" s="45"/>
      <c r="Q276" s="45"/>
      <c r="R276" s="45"/>
      <c r="S276" s="45"/>
      <c r="T276" s="45"/>
      <c r="U276" s="45"/>
      <c r="V276" s="45"/>
      <c r="W276" s="45"/>
      <c r="X276" s="45"/>
      <c r="Y276" s="45"/>
      <c r="Z276" s="121"/>
      <c r="AB276" s="45"/>
      <c r="AC276" s="45"/>
      <c r="AD276" s="45"/>
      <c r="AE276" s="45"/>
      <c r="AF276" s="45"/>
      <c r="AG276" s="45"/>
      <c r="AH276" s="45"/>
      <c r="AI276" s="105"/>
      <c r="AJ276" s="49"/>
      <c r="AK276" s="50"/>
      <c r="AL276" s="45"/>
      <c r="AM276" s="45"/>
      <c r="AN276" s="45"/>
      <c r="AO276" s="45"/>
      <c r="AP276" s="45"/>
      <c r="AQ276" s="45"/>
      <c r="AR276" s="45"/>
      <c r="AS276" s="45"/>
      <c r="AT276" s="45"/>
      <c r="AU276" s="45"/>
      <c r="AV276" s="45"/>
      <c r="AW276" s="45"/>
    </row>
    <row r="277" spans="4:51" x14ac:dyDescent="0.25">
      <c r="D277" s="45"/>
      <c r="E277" s="45"/>
      <c r="F277" s="45"/>
      <c r="G277" s="45"/>
      <c r="H277" s="45"/>
      <c r="I277" s="45"/>
      <c r="J277" s="45"/>
      <c r="K277" s="105"/>
      <c r="L277" s="49"/>
      <c r="M277" s="106"/>
      <c r="N277" s="45"/>
      <c r="O277" s="45"/>
      <c r="P277" s="45"/>
      <c r="Q277" s="45"/>
      <c r="R277" s="45"/>
      <c r="S277" s="45"/>
      <c r="T277" s="45"/>
      <c r="U277" s="45"/>
      <c r="V277" s="45"/>
      <c r="W277" s="45"/>
      <c r="X277" s="45"/>
      <c r="Y277" s="45"/>
      <c r="Z277" s="121"/>
      <c r="AB277" s="45"/>
      <c r="AC277" s="45"/>
      <c r="AD277" s="45"/>
      <c r="AE277" s="45"/>
      <c r="AF277" s="45"/>
      <c r="AG277" s="45"/>
      <c r="AH277" s="45"/>
      <c r="AI277" s="105"/>
      <c r="AJ277" s="49"/>
      <c r="AK277" s="50"/>
      <c r="AL277" s="45"/>
      <c r="AM277" s="45"/>
      <c r="AN277" s="45"/>
      <c r="AO277" s="45"/>
      <c r="AP277" s="45"/>
      <c r="AQ277" s="45"/>
      <c r="AR277" s="45"/>
      <c r="AS277" s="45"/>
      <c r="AT277" s="45"/>
      <c r="AU277" s="45"/>
      <c r="AV277" s="45"/>
      <c r="AW277" s="45"/>
    </row>
    <row r="278" spans="4:51" x14ac:dyDescent="0.25">
      <c r="D278" s="45"/>
      <c r="E278" s="45"/>
      <c r="F278" s="45"/>
      <c r="G278" s="45"/>
      <c r="H278" s="45"/>
      <c r="I278" s="45"/>
      <c r="J278" s="45"/>
      <c r="K278" s="105"/>
      <c r="L278" s="49"/>
      <c r="M278" s="106"/>
      <c r="N278" s="45"/>
      <c r="O278" s="45"/>
      <c r="P278" s="45"/>
      <c r="Q278" s="45"/>
      <c r="R278" s="45"/>
      <c r="S278" s="45"/>
      <c r="T278" s="45"/>
      <c r="U278" s="45"/>
      <c r="V278" s="45"/>
      <c r="W278" s="45"/>
      <c r="X278" s="45"/>
      <c r="Y278" s="45"/>
      <c r="Z278" s="121"/>
      <c r="AB278" s="45"/>
      <c r="AC278" s="45"/>
      <c r="AD278" s="45"/>
      <c r="AE278" s="45"/>
      <c r="AF278" s="45"/>
      <c r="AG278" s="45"/>
      <c r="AH278" s="45"/>
      <c r="AI278" s="105"/>
      <c r="AJ278" s="49"/>
      <c r="AK278" s="50"/>
      <c r="AL278" s="45"/>
      <c r="AM278" s="45"/>
      <c r="AN278" s="45"/>
      <c r="AO278" s="45"/>
      <c r="AP278" s="45"/>
      <c r="AQ278" s="45"/>
      <c r="AR278" s="45"/>
      <c r="AS278" s="45"/>
      <c r="AT278" s="45"/>
      <c r="AU278" s="45"/>
      <c r="AV278" s="45"/>
      <c r="AW278" s="45"/>
    </row>
    <row r="279" spans="4:51" x14ac:dyDescent="0.25">
      <c r="D279" s="45"/>
      <c r="E279" s="45"/>
      <c r="F279" s="45"/>
      <c r="G279" s="45"/>
      <c r="H279" s="45"/>
      <c r="I279" s="45"/>
      <c r="J279" s="45"/>
      <c r="K279" s="105"/>
      <c r="L279" s="49"/>
      <c r="M279" s="106"/>
      <c r="N279" s="45"/>
      <c r="O279" s="45"/>
      <c r="P279" s="45"/>
      <c r="Q279" s="45"/>
      <c r="R279" s="45"/>
      <c r="S279" s="45"/>
      <c r="T279" s="45"/>
      <c r="U279" s="45"/>
      <c r="V279" s="45"/>
      <c r="W279" s="45"/>
      <c r="X279" s="45"/>
      <c r="Y279" s="45"/>
      <c r="Z279" s="121"/>
      <c r="AB279" s="45"/>
      <c r="AC279" s="45"/>
      <c r="AD279" s="45"/>
      <c r="AE279" s="45"/>
      <c r="AF279" s="45"/>
      <c r="AG279" s="45"/>
      <c r="AH279" s="45"/>
      <c r="AI279" s="105"/>
      <c r="AJ279" s="49"/>
      <c r="AK279" s="50"/>
      <c r="AL279" s="45"/>
      <c r="AM279" s="45"/>
      <c r="AN279" s="45"/>
      <c r="AO279" s="45"/>
      <c r="AP279" s="45"/>
      <c r="AQ279" s="45"/>
      <c r="AR279" s="45"/>
      <c r="AS279" s="45"/>
      <c r="AT279" s="45"/>
      <c r="AU279" s="45"/>
      <c r="AV279" s="45"/>
      <c r="AW279" s="45"/>
    </row>
    <row r="280" spans="4:51" x14ac:dyDescent="0.25">
      <c r="D280" s="45"/>
      <c r="E280" s="45"/>
      <c r="F280" s="45"/>
      <c r="G280" s="45"/>
      <c r="H280" s="45"/>
      <c r="I280" s="45"/>
      <c r="J280" s="45"/>
      <c r="K280" s="105"/>
      <c r="L280" s="49"/>
      <c r="M280" s="106"/>
      <c r="N280" s="45"/>
      <c r="O280" s="45"/>
      <c r="P280" s="45"/>
      <c r="Q280" s="45"/>
      <c r="R280" s="45"/>
      <c r="S280" s="45"/>
      <c r="T280" s="45"/>
      <c r="U280" s="45"/>
      <c r="V280" s="45"/>
      <c r="W280" s="45"/>
      <c r="X280" s="45"/>
      <c r="Y280" s="45"/>
      <c r="Z280" s="121"/>
      <c r="AB280" s="45"/>
      <c r="AC280" s="45"/>
      <c r="AD280" s="45"/>
      <c r="AE280" s="45"/>
      <c r="AF280" s="45"/>
      <c r="AG280" s="45"/>
      <c r="AH280" s="45"/>
      <c r="AI280" s="105"/>
      <c r="AJ280" s="49"/>
      <c r="AK280" s="50"/>
      <c r="AL280" s="45"/>
      <c r="AM280" s="45"/>
      <c r="AN280" s="45"/>
      <c r="AO280" s="45"/>
      <c r="AP280" s="45"/>
      <c r="AQ280" s="45"/>
      <c r="AR280" s="45"/>
      <c r="AS280" s="45"/>
      <c r="AT280" s="45"/>
      <c r="AU280" s="45"/>
      <c r="AV280" s="45"/>
      <c r="AW280" s="45"/>
    </row>
    <row r="281" spans="4:51" x14ac:dyDescent="0.25">
      <c r="D281" s="45"/>
      <c r="E281" s="45"/>
      <c r="F281" s="45"/>
      <c r="G281" s="45"/>
      <c r="H281" s="45"/>
      <c r="I281" s="45"/>
      <c r="J281" s="45"/>
      <c r="K281" s="105"/>
      <c r="L281" s="49"/>
      <c r="M281" s="106"/>
      <c r="N281" s="45"/>
      <c r="O281" s="45"/>
      <c r="P281" s="45"/>
      <c r="Q281" s="45"/>
      <c r="R281" s="45"/>
      <c r="S281" s="45"/>
      <c r="T281" s="45"/>
      <c r="U281" s="45"/>
      <c r="V281" s="45"/>
      <c r="W281" s="45"/>
      <c r="X281" s="45"/>
      <c r="Y281" s="45"/>
      <c r="Z281" s="121"/>
      <c r="AB281" s="45"/>
      <c r="AC281" s="45"/>
      <c r="AD281" s="45"/>
      <c r="AE281" s="45"/>
      <c r="AF281" s="45"/>
      <c r="AG281" s="45"/>
      <c r="AH281" s="45"/>
      <c r="AI281" s="105"/>
      <c r="AJ281" s="49"/>
      <c r="AK281" s="50"/>
      <c r="AL281" s="45"/>
      <c r="AM281" s="45"/>
      <c r="AN281" s="45"/>
      <c r="AO281" s="45"/>
      <c r="AP281" s="45"/>
      <c r="AQ281" s="45"/>
      <c r="AR281" s="45"/>
      <c r="AS281" s="45"/>
      <c r="AT281" s="45"/>
      <c r="AU281" s="45"/>
      <c r="AV281" s="45"/>
      <c r="AW281" s="45"/>
    </row>
    <row r="282" spans="4:51" x14ac:dyDescent="0.25">
      <c r="D282" s="45"/>
      <c r="E282" s="45"/>
      <c r="F282" s="45"/>
      <c r="G282" s="45"/>
      <c r="H282" s="45"/>
      <c r="I282" s="45"/>
      <c r="J282" s="45"/>
      <c r="K282" s="105"/>
      <c r="L282" s="49"/>
      <c r="M282" s="106"/>
      <c r="N282" s="45"/>
      <c r="O282" s="45"/>
      <c r="P282" s="45"/>
      <c r="Q282" s="45"/>
      <c r="R282" s="45"/>
      <c r="S282" s="45"/>
      <c r="T282" s="45"/>
      <c r="U282" s="45"/>
      <c r="V282" s="45"/>
      <c r="W282" s="45"/>
      <c r="X282" s="45"/>
      <c r="Y282" s="45"/>
      <c r="Z282" s="121"/>
      <c r="AB282" s="45"/>
      <c r="AC282" s="45"/>
      <c r="AD282" s="45"/>
      <c r="AE282" s="45"/>
      <c r="AF282" s="45"/>
      <c r="AG282" s="45"/>
      <c r="AH282" s="45"/>
      <c r="AI282" s="105"/>
      <c r="AJ282" s="49"/>
      <c r="AK282" s="50"/>
      <c r="AL282" s="45"/>
      <c r="AM282" s="45"/>
      <c r="AN282" s="45"/>
      <c r="AO282" s="45"/>
      <c r="AP282" s="45"/>
      <c r="AQ282" s="45"/>
      <c r="AR282" s="45"/>
      <c r="AS282" s="45"/>
      <c r="AT282" s="45"/>
      <c r="AU282" s="45"/>
      <c r="AV282" s="45"/>
      <c r="AW282" s="45"/>
    </row>
    <row r="283" spans="4:51" x14ac:dyDescent="0.25">
      <c r="D283" s="45"/>
      <c r="E283" s="45"/>
      <c r="F283" s="45"/>
      <c r="G283" s="45"/>
      <c r="H283" s="45"/>
      <c r="I283" s="45"/>
      <c r="J283" s="45"/>
      <c r="K283" s="105"/>
      <c r="L283" s="49"/>
      <c r="M283" s="106"/>
      <c r="N283" s="45"/>
      <c r="O283" s="45"/>
      <c r="P283" s="45"/>
      <c r="Q283" s="45"/>
      <c r="R283" s="45"/>
      <c r="S283" s="45"/>
      <c r="T283" s="45"/>
      <c r="U283" s="45"/>
      <c r="V283" s="45"/>
      <c r="W283" s="45"/>
      <c r="X283" s="45"/>
      <c r="Y283" s="45"/>
      <c r="Z283" s="121"/>
      <c r="AB283" s="45"/>
      <c r="AC283" s="45"/>
      <c r="AD283" s="45"/>
      <c r="AE283" s="45"/>
      <c r="AF283" s="45"/>
      <c r="AG283" s="45"/>
      <c r="AH283" s="45"/>
      <c r="AI283" s="105"/>
      <c r="AJ283" s="49"/>
      <c r="AK283" s="50"/>
      <c r="AL283" s="45"/>
      <c r="AM283" s="45"/>
      <c r="AN283" s="45"/>
      <c r="AO283" s="45"/>
      <c r="AP283" s="45"/>
      <c r="AQ283" s="45"/>
      <c r="AR283" s="45"/>
      <c r="AS283" s="45"/>
      <c r="AT283" s="45"/>
      <c r="AU283" s="45"/>
      <c r="AV283" s="45"/>
      <c r="AW283" s="45"/>
    </row>
    <row r="284" spans="4:51" x14ac:dyDescent="0.25">
      <c r="D284" s="45"/>
      <c r="E284" s="45"/>
      <c r="F284" s="45"/>
      <c r="G284" s="45"/>
      <c r="H284" s="45"/>
      <c r="I284" s="45"/>
      <c r="J284" s="45"/>
      <c r="K284" s="105"/>
      <c r="L284" s="49"/>
      <c r="M284" s="106"/>
      <c r="N284" s="45"/>
      <c r="O284" s="45"/>
      <c r="P284" s="45"/>
      <c r="Q284" s="45"/>
      <c r="R284" s="45"/>
      <c r="S284" s="45"/>
      <c r="T284" s="45"/>
      <c r="U284" s="45"/>
      <c r="V284" s="45"/>
      <c r="W284" s="45"/>
      <c r="X284" s="45"/>
      <c r="Y284" s="45"/>
      <c r="Z284" s="121"/>
      <c r="AB284" s="45"/>
      <c r="AC284" s="45"/>
      <c r="AD284" s="45"/>
      <c r="AE284" s="45"/>
      <c r="AF284" s="45"/>
      <c r="AG284" s="45"/>
      <c r="AH284" s="45"/>
      <c r="AI284" s="105"/>
      <c r="AJ284" s="49"/>
      <c r="AK284" s="50"/>
      <c r="AL284" s="45"/>
      <c r="AM284" s="45"/>
      <c r="AN284" s="45"/>
      <c r="AO284" s="45"/>
      <c r="AP284" s="45"/>
      <c r="AQ284" s="45"/>
      <c r="AR284" s="45"/>
      <c r="AS284" s="45"/>
      <c r="AT284" s="45"/>
      <c r="AU284" s="45"/>
      <c r="AV284" s="45"/>
      <c r="AW284" s="45"/>
    </row>
    <row r="285" spans="4:51" x14ac:dyDescent="0.25">
      <c r="D285" s="45"/>
      <c r="E285" s="45"/>
      <c r="F285" s="45"/>
      <c r="G285" s="45"/>
      <c r="H285" s="45"/>
      <c r="I285" s="45"/>
      <c r="J285" s="45"/>
      <c r="K285" s="105"/>
      <c r="L285" s="49"/>
      <c r="M285" s="106"/>
      <c r="N285" s="45"/>
      <c r="O285" s="45"/>
      <c r="P285" s="45"/>
      <c r="Q285" s="45"/>
      <c r="R285" s="45"/>
      <c r="S285" s="45"/>
      <c r="T285" s="45"/>
      <c r="U285" s="45"/>
      <c r="V285" s="45"/>
      <c r="W285" s="45"/>
      <c r="X285" s="45"/>
      <c r="Y285" s="45"/>
      <c r="Z285" s="121"/>
      <c r="AB285" s="45"/>
      <c r="AC285" s="45"/>
      <c r="AD285" s="45"/>
      <c r="AE285" s="45"/>
      <c r="AF285" s="45"/>
      <c r="AG285" s="45"/>
      <c r="AH285" s="45"/>
      <c r="AI285" s="105"/>
      <c r="AJ285" s="49"/>
      <c r="AK285" s="50"/>
      <c r="AL285" s="45"/>
      <c r="AM285" s="45"/>
      <c r="AN285" s="45"/>
      <c r="AO285" s="45"/>
      <c r="AP285" s="45"/>
      <c r="AQ285" s="45"/>
      <c r="AR285" s="45"/>
      <c r="AS285" s="45"/>
      <c r="AT285" s="45"/>
      <c r="AU285" s="45"/>
      <c r="AV285" s="45"/>
      <c r="AW285" s="45"/>
    </row>
    <row r="286" spans="4:51" x14ac:dyDescent="0.25">
      <c r="D286" s="45"/>
      <c r="E286" s="45"/>
      <c r="F286" s="45"/>
      <c r="G286" s="45"/>
      <c r="H286" s="45"/>
      <c r="I286" s="45"/>
      <c r="J286" s="45"/>
      <c r="K286" s="105"/>
      <c r="L286" s="49"/>
      <c r="M286" s="106"/>
      <c r="N286" s="45"/>
      <c r="O286" s="45"/>
      <c r="P286" s="45"/>
      <c r="Q286" s="45"/>
      <c r="R286" s="45"/>
      <c r="S286" s="45"/>
      <c r="T286" s="45"/>
      <c r="U286" s="45"/>
      <c r="V286" s="45"/>
      <c r="W286" s="45"/>
      <c r="X286" s="45"/>
      <c r="Y286" s="45"/>
      <c r="Z286" s="121"/>
      <c r="AB286" s="45"/>
      <c r="AC286" s="45"/>
      <c r="AD286" s="45"/>
      <c r="AE286" s="45"/>
      <c r="AF286" s="45"/>
      <c r="AG286" s="45"/>
      <c r="AH286" s="45"/>
      <c r="AI286" s="105"/>
      <c r="AJ286" s="49"/>
      <c r="AK286" s="50"/>
      <c r="AL286" s="45"/>
      <c r="AM286" s="45"/>
      <c r="AN286" s="45"/>
      <c r="AO286" s="45"/>
      <c r="AP286" s="45"/>
      <c r="AQ286" s="45"/>
      <c r="AR286" s="45"/>
      <c r="AS286" s="45"/>
      <c r="AT286" s="45"/>
      <c r="AU286" s="45"/>
      <c r="AV286" s="45"/>
      <c r="AW286" s="45"/>
    </row>
    <row r="287" spans="4:51" x14ac:dyDescent="0.25">
      <c r="D287" s="45"/>
      <c r="E287" s="45"/>
      <c r="F287" s="45"/>
      <c r="G287" s="45"/>
      <c r="H287" s="45"/>
      <c r="I287" s="45"/>
      <c r="J287" s="45"/>
      <c r="K287" s="105"/>
      <c r="L287" s="49"/>
      <c r="M287" s="106"/>
      <c r="N287" s="45"/>
      <c r="O287" s="45"/>
      <c r="P287" s="45"/>
      <c r="Q287" s="45"/>
      <c r="R287" s="45"/>
      <c r="S287" s="45"/>
      <c r="T287" s="45"/>
      <c r="U287" s="45"/>
      <c r="V287" s="45"/>
      <c r="W287" s="45"/>
      <c r="X287" s="45"/>
      <c r="Y287" s="45"/>
      <c r="Z287" s="121"/>
      <c r="AB287" s="45"/>
      <c r="AC287" s="45"/>
      <c r="AD287" s="45"/>
      <c r="AE287" s="45"/>
      <c r="AF287" s="45"/>
      <c r="AG287" s="45"/>
      <c r="AH287" s="45"/>
      <c r="AI287" s="105"/>
      <c r="AJ287" s="49"/>
      <c r="AK287" s="50"/>
      <c r="AL287" s="45"/>
      <c r="AM287" s="45"/>
      <c r="AN287" s="45"/>
      <c r="AO287" s="45"/>
      <c r="AP287" s="45"/>
      <c r="AQ287" s="45"/>
      <c r="AR287" s="45"/>
      <c r="AS287" s="45"/>
      <c r="AT287" s="45"/>
      <c r="AU287" s="45"/>
      <c r="AV287" s="45"/>
      <c r="AW287" s="45"/>
    </row>
    <row r="288" spans="4:51" x14ac:dyDescent="0.25">
      <c r="D288" s="45"/>
      <c r="E288" s="45"/>
      <c r="F288" s="45"/>
      <c r="G288" s="45"/>
      <c r="H288" s="45"/>
      <c r="I288" s="45"/>
      <c r="J288" s="45"/>
      <c r="K288" s="105"/>
      <c r="L288" s="49"/>
      <c r="M288" s="106"/>
      <c r="N288" s="45"/>
      <c r="O288" s="45"/>
      <c r="P288" s="45"/>
      <c r="Q288" s="45"/>
      <c r="R288" s="45"/>
      <c r="S288" s="45"/>
      <c r="T288" s="45"/>
      <c r="U288" s="45"/>
      <c r="V288" s="45"/>
      <c r="W288" s="45"/>
      <c r="X288" s="45"/>
      <c r="Y288" s="45"/>
      <c r="Z288" s="121"/>
      <c r="AB288" s="45"/>
      <c r="AC288" s="45"/>
      <c r="AD288" s="45"/>
      <c r="AE288" s="45"/>
      <c r="AF288" s="45"/>
      <c r="AG288" s="45"/>
      <c r="AH288" s="45"/>
      <c r="AI288" s="105"/>
      <c r="AJ288" s="49"/>
      <c r="AK288" s="50"/>
      <c r="AL288" s="45"/>
      <c r="AM288" s="45"/>
      <c r="AN288" s="45"/>
      <c r="AO288" s="45"/>
      <c r="AP288" s="45"/>
      <c r="AQ288" s="45"/>
      <c r="AR288" s="45"/>
      <c r="AS288" s="45"/>
      <c r="AT288" s="45"/>
      <c r="AU288" s="45"/>
      <c r="AV288" s="45"/>
      <c r="AW288" s="45"/>
    </row>
    <row r="289" spans="4:49" x14ac:dyDescent="0.25">
      <c r="D289" s="45"/>
      <c r="E289" s="45"/>
      <c r="F289" s="45"/>
      <c r="G289" s="45"/>
      <c r="H289" s="45"/>
      <c r="I289" s="45"/>
      <c r="J289" s="45"/>
      <c r="K289" s="105"/>
      <c r="L289" s="49"/>
      <c r="M289" s="106"/>
      <c r="N289" s="45"/>
      <c r="O289" s="45"/>
      <c r="P289" s="45"/>
      <c r="Q289" s="45"/>
      <c r="R289" s="45"/>
      <c r="S289" s="45"/>
      <c r="T289" s="45"/>
      <c r="U289" s="45"/>
      <c r="V289" s="45"/>
      <c r="W289" s="45"/>
      <c r="X289" s="45"/>
      <c r="Y289" s="45"/>
      <c r="Z289" s="121"/>
      <c r="AB289" s="45"/>
      <c r="AC289" s="45"/>
      <c r="AD289" s="45"/>
      <c r="AE289" s="45"/>
      <c r="AF289" s="45"/>
      <c r="AG289" s="45"/>
      <c r="AH289" s="45"/>
      <c r="AI289" s="105"/>
      <c r="AJ289" s="49"/>
      <c r="AK289" s="50"/>
      <c r="AL289" s="45"/>
      <c r="AM289" s="45"/>
      <c r="AN289" s="45"/>
      <c r="AO289" s="45"/>
      <c r="AP289" s="45"/>
      <c r="AQ289" s="45"/>
      <c r="AR289" s="45"/>
      <c r="AS289" s="45"/>
      <c r="AT289" s="45"/>
      <c r="AU289" s="45"/>
      <c r="AV289" s="45"/>
      <c r="AW289" s="45"/>
    </row>
    <row r="290" spans="4:49" x14ac:dyDescent="0.25">
      <c r="D290" s="45"/>
      <c r="E290" s="45"/>
      <c r="F290" s="45"/>
      <c r="G290" s="45"/>
      <c r="H290" s="45"/>
      <c r="I290" s="45"/>
      <c r="J290" s="45"/>
      <c r="K290" s="105"/>
      <c r="L290" s="49"/>
      <c r="M290" s="106"/>
      <c r="N290" s="45"/>
      <c r="O290" s="45"/>
      <c r="P290" s="45"/>
      <c r="Q290" s="45"/>
      <c r="R290" s="45"/>
      <c r="S290" s="45"/>
      <c r="T290" s="45"/>
      <c r="U290" s="45"/>
      <c r="V290" s="45"/>
      <c r="W290" s="45"/>
      <c r="X290" s="45"/>
      <c r="Y290" s="45"/>
      <c r="Z290" s="121"/>
      <c r="AB290" s="45"/>
      <c r="AC290" s="45"/>
      <c r="AD290" s="45"/>
      <c r="AE290" s="45"/>
      <c r="AF290" s="45"/>
      <c r="AG290" s="45"/>
      <c r="AH290" s="45"/>
      <c r="AI290" s="105"/>
      <c r="AJ290" s="49"/>
      <c r="AK290" s="50"/>
      <c r="AL290" s="45"/>
      <c r="AM290" s="45"/>
      <c r="AN290" s="45"/>
      <c r="AO290" s="45"/>
      <c r="AP290" s="45"/>
      <c r="AQ290" s="45"/>
      <c r="AR290" s="45"/>
      <c r="AS290" s="45"/>
      <c r="AT290" s="45"/>
      <c r="AU290" s="45"/>
      <c r="AV290" s="45"/>
      <c r="AW290" s="45"/>
    </row>
    <row r="291" spans="4:49" x14ac:dyDescent="0.25">
      <c r="D291" s="45"/>
      <c r="E291" s="45"/>
      <c r="F291" s="45"/>
      <c r="G291" s="45"/>
      <c r="H291" s="45"/>
      <c r="I291" s="45"/>
      <c r="J291" s="45"/>
      <c r="K291" s="105"/>
      <c r="L291" s="49"/>
      <c r="M291" s="106"/>
      <c r="N291" s="45"/>
      <c r="O291" s="45"/>
      <c r="P291" s="45"/>
      <c r="Q291" s="45"/>
      <c r="R291" s="45"/>
      <c r="S291" s="45"/>
      <c r="T291" s="45"/>
      <c r="U291" s="45"/>
      <c r="V291" s="45"/>
      <c r="W291" s="45"/>
      <c r="X291" s="45"/>
      <c r="Y291" s="45"/>
      <c r="Z291" s="121"/>
      <c r="AB291" s="45"/>
      <c r="AC291" s="45"/>
      <c r="AD291" s="45"/>
      <c r="AE291" s="45"/>
      <c r="AF291" s="45"/>
      <c r="AG291" s="45"/>
      <c r="AH291" s="45"/>
      <c r="AI291" s="105"/>
      <c r="AJ291" s="49"/>
      <c r="AK291" s="50"/>
      <c r="AL291" s="45"/>
      <c r="AM291" s="45"/>
      <c r="AN291" s="45"/>
      <c r="AO291" s="45"/>
      <c r="AP291" s="45"/>
      <c r="AQ291" s="45"/>
      <c r="AR291" s="45"/>
      <c r="AS291" s="45"/>
      <c r="AT291" s="45"/>
      <c r="AU291" s="45"/>
      <c r="AV291" s="45"/>
      <c r="AW291" s="45"/>
    </row>
    <row r="292" spans="4:49" x14ac:dyDescent="0.25">
      <c r="D292" s="45"/>
      <c r="E292" s="45"/>
      <c r="F292" s="45"/>
      <c r="G292" s="45"/>
      <c r="H292" s="45"/>
      <c r="I292" s="45"/>
      <c r="J292" s="45"/>
      <c r="K292" s="105"/>
      <c r="L292" s="49"/>
      <c r="M292" s="106"/>
      <c r="N292" s="45"/>
      <c r="O292" s="45"/>
      <c r="P292" s="45"/>
      <c r="Q292" s="45"/>
      <c r="R292" s="45"/>
      <c r="S292" s="45"/>
      <c r="T292" s="45"/>
      <c r="U292" s="45"/>
      <c r="V292" s="45"/>
      <c r="W292" s="45"/>
      <c r="X292" s="45"/>
      <c r="Y292" s="45"/>
      <c r="Z292" s="121"/>
      <c r="AB292" s="45"/>
      <c r="AC292" s="45"/>
      <c r="AD292" s="45"/>
      <c r="AE292" s="45"/>
      <c r="AF292" s="45"/>
      <c r="AG292" s="45"/>
      <c r="AH292" s="45"/>
      <c r="AI292" s="105"/>
      <c r="AJ292" s="49"/>
      <c r="AK292" s="50"/>
      <c r="AL292" s="45"/>
      <c r="AM292" s="45"/>
      <c r="AN292" s="45"/>
      <c r="AO292" s="45"/>
      <c r="AP292" s="45"/>
      <c r="AQ292" s="45"/>
      <c r="AR292" s="45"/>
      <c r="AS292" s="45"/>
      <c r="AT292" s="45"/>
      <c r="AU292" s="45"/>
      <c r="AV292" s="45"/>
      <c r="AW292" s="45"/>
    </row>
    <row r="293" spans="4:49" x14ac:dyDescent="0.25">
      <c r="D293" s="45"/>
      <c r="E293" s="45"/>
      <c r="F293" s="45"/>
      <c r="G293" s="45"/>
      <c r="H293" s="45"/>
      <c r="I293" s="45"/>
      <c r="J293" s="45"/>
      <c r="K293" s="105"/>
      <c r="L293" s="49"/>
      <c r="M293" s="106"/>
      <c r="N293" s="45"/>
      <c r="O293" s="45"/>
      <c r="P293" s="45"/>
      <c r="Q293" s="45"/>
      <c r="R293" s="45"/>
      <c r="S293" s="45"/>
      <c r="T293" s="45"/>
      <c r="U293" s="45"/>
      <c r="V293" s="45"/>
      <c r="W293" s="45"/>
      <c r="X293" s="45"/>
      <c r="Y293" s="45"/>
      <c r="Z293" s="121"/>
      <c r="AB293" s="45"/>
      <c r="AC293" s="45"/>
      <c r="AD293" s="45"/>
      <c r="AE293" s="45"/>
      <c r="AF293" s="45"/>
      <c r="AG293" s="45"/>
      <c r="AH293" s="45"/>
      <c r="AI293" s="105"/>
      <c r="AJ293" s="49"/>
      <c r="AK293" s="50"/>
      <c r="AL293" s="45"/>
      <c r="AM293" s="45"/>
      <c r="AN293" s="45"/>
      <c r="AO293" s="45"/>
      <c r="AP293" s="45"/>
      <c r="AQ293" s="45"/>
      <c r="AR293" s="45"/>
      <c r="AS293" s="45"/>
      <c r="AT293" s="45"/>
      <c r="AU293" s="45"/>
      <c r="AV293" s="45"/>
      <c r="AW293" s="45"/>
    </row>
    <row r="294" spans="4:49" x14ac:dyDescent="0.25">
      <c r="D294" s="45"/>
      <c r="E294" s="45"/>
      <c r="F294" s="45"/>
      <c r="G294" s="45"/>
      <c r="H294" s="45"/>
      <c r="I294" s="45"/>
      <c r="J294" s="45"/>
      <c r="K294" s="105"/>
      <c r="L294" s="49"/>
      <c r="M294" s="106"/>
      <c r="N294" s="45"/>
      <c r="O294" s="45"/>
      <c r="P294" s="45"/>
      <c r="Q294" s="45"/>
      <c r="R294" s="45"/>
      <c r="S294" s="45"/>
      <c r="T294" s="45"/>
      <c r="U294" s="45"/>
      <c r="V294" s="45"/>
      <c r="W294" s="45"/>
      <c r="X294" s="45"/>
      <c r="Y294" s="45"/>
      <c r="Z294" s="121"/>
      <c r="AB294" s="45"/>
      <c r="AC294" s="45"/>
      <c r="AD294" s="45"/>
      <c r="AE294" s="45"/>
      <c r="AF294" s="45"/>
      <c r="AG294" s="45"/>
      <c r="AH294" s="45"/>
      <c r="AI294" s="105"/>
      <c r="AJ294" s="49"/>
      <c r="AK294" s="50"/>
      <c r="AL294" s="45"/>
      <c r="AM294" s="45"/>
      <c r="AN294" s="45"/>
      <c r="AO294" s="45"/>
      <c r="AP294" s="45"/>
      <c r="AQ294" s="45"/>
      <c r="AR294" s="45"/>
      <c r="AS294" s="45"/>
      <c r="AT294" s="45"/>
      <c r="AU294" s="45"/>
      <c r="AV294" s="45"/>
      <c r="AW294" s="45"/>
    </row>
    <row r="295" spans="4:49" x14ac:dyDescent="0.25">
      <c r="D295" s="45"/>
      <c r="E295" s="45"/>
      <c r="F295" s="45"/>
      <c r="G295" s="45"/>
      <c r="H295" s="45"/>
      <c r="I295" s="45"/>
      <c r="J295" s="45"/>
      <c r="K295" s="105"/>
      <c r="L295" s="49"/>
      <c r="M295" s="106"/>
      <c r="N295" s="45"/>
      <c r="O295" s="45"/>
      <c r="P295" s="45"/>
      <c r="Q295" s="45"/>
      <c r="R295" s="45"/>
      <c r="S295" s="45"/>
      <c r="T295" s="45"/>
      <c r="U295" s="45"/>
      <c r="V295" s="45"/>
      <c r="W295" s="45"/>
      <c r="X295" s="45"/>
      <c r="Y295" s="45"/>
      <c r="Z295" s="121"/>
      <c r="AB295" s="45"/>
      <c r="AC295" s="45"/>
      <c r="AD295" s="45"/>
      <c r="AE295" s="45"/>
      <c r="AF295" s="45"/>
      <c r="AG295" s="45"/>
      <c r="AH295" s="45"/>
      <c r="AI295" s="105"/>
      <c r="AJ295" s="49"/>
      <c r="AK295" s="50"/>
      <c r="AL295" s="45"/>
      <c r="AM295" s="45"/>
      <c r="AN295" s="45"/>
      <c r="AO295" s="45"/>
      <c r="AP295" s="45"/>
      <c r="AQ295" s="45"/>
      <c r="AR295" s="45"/>
      <c r="AS295" s="45"/>
      <c r="AT295" s="45"/>
      <c r="AU295" s="45"/>
      <c r="AV295" s="45"/>
      <c r="AW295" s="45"/>
    </row>
    <row r="296" spans="4:49" x14ac:dyDescent="0.25">
      <c r="D296" s="45"/>
      <c r="E296" s="45"/>
      <c r="F296" s="45"/>
      <c r="G296" s="45"/>
      <c r="H296" s="45"/>
      <c r="I296" s="45"/>
      <c r="J296" s="45"/>
      <c r="K296" s="105"/>
      <c r="L296" s="49"/>
      <c r="M296" s="106"/>
      <c r="N296" s="45"/>
      <c r="O296" s="45"/>
      <c r="P296" s="45"/>
      <c r="Q296" s="45"/>
      <c r="R296" s="45"/>
      <c r="S296" s="45"/>
      <c r="T296" s="45"/>
      <c r="U296" s="45"/>
      <c r="V296" s="45"/>
      <c r="W296" s="45"/>
      <c r="X296" s="45"/>
      <c r="Y296" s="45"/>
      <c r="Z296" s="121"/>
      <c r="AB296" s="45"/>
      <c r="AC296" s="45"/>
      <c r="AD296" s="45"/>
      <c r="AE296" s="45"/>
      <c r="AF296" s="45"/>
      <c r="AG296" s="45"/>
      <c r="AH296" s="45"/>
      <c r="AI296" s="105"/>
      <c r="AJ296" s="49"/>
      <c r="AK296" s="50"/>
      <c r="AL296" s="45"/>
      <c r="AM296" s="45"/>
      <c r="AN296" s="45"/>
      <c r="AO296" s="45"/>
      <c r="AP296" s="45"/>
      <c r="AQ296" s="45"/>
      <c r="AR296" s="45"/>
      <c r="AS296" s="45"/>
      <c r="AT296" s="45"/>
      <c r="AU296" s="45"/>
      <c r="AV296" s="45"/>
      <c r="AW296" s="45"/>
    </row>
    <row r="297" spans="4:49" x14ac:dyDescent="0.25">
      <c r="D297" s="45"/>
      <c r="E297" s="45"/>
      <c r="F297" s="45"/>
      <c r="G297" s="45"/>
      <c r="H297" s="45"/>
      <c r="I297" s="45"/>
      <c r="J297" s="45"/>
      <c r="K297" s="105"/>
      <c r="L297" s="49"/>
      <c r="M297" s="106"/>
      <c r="N297" s="45"/>
      <c r="O297" s="45"/>
      <c r="P297" s="45"/>
      <c r="Q297" s="45"/>
      <c r="R297" s="45"/>
      <c r="S297" s="45"/>
      <c r="T297" s="45"/>
      <c r="U297" s="45"/>
      <c r="V297" s="45"/>
      <c r="W297" s="45"/>
      <c r="X297" s="45"/>
      <c r="Y297" s="45"/>
      <c r="Z297" s="121"/>
      <c r="AB297" s="45"/>
      <c r="AC297" s="45"/>
      <c r="AD297" s="45"/>
      <c r="AE297" s="45"/>
      <c r="AF297" s="45"/>
      <c r="AG297" s="45"/>
      <c r="AH297" s="45"/>
      <c r="AI297" s="105"/>
      <c r="AJ297" s="49"/>
      <c r="AK297" s="50"/>
      <c r="AL297" s="45"/>
      <c r="AM297" s="45"/>
      <c r="AN297" s="45"/>
      <c r="AO297" s="45"/>
      <c r="AP297" s="45"/>
      <c r="AQ297" s="45"/>
      <c r="AR297" s="45"/>
      <c r="AS297" s="45"/>
      <c r="AT297" s="45"/>
      <c r="AU297" s="45"/>
      <c r="AV297" s="45"/>
      <c r="AW297" s="45"/>
    </row>
    <row r="298" spans="4:49" x14ac:dyDescent="0.25">
      <c r="D298" s="45"/>
      <c r="E298" s="45"/>
      <c r="F298" s="45"/>
      <c r="G298" s="45"/>
      <c r="H298" s="45"/>
      <c r="I298" s="45"/>
      <c r="J298" s="45"/>
      <c r="K298" s="105"/>
      <c r="L298" s="49"/>
      <c r="M298" s="106"/>
      <c r="N298" s="45"/>
      <c r="O298" s="45"/>
      <c r="P298" s="45"/>
      <c r="Q298" s="45"/>
      <c r="R298" s="45"/>
      <c r="S298" s="45"/>
      <c r="T298" s="45"/>
      <c r="U298" s="45"/>
      <c r="V298" s="45"/>
      <c r="W298" s="45"/>
      <c r="X298" s="45"/>
      <c r="Y298" s="45"/>
      <c r="Z298" s="121"/>
      <c r="AB298" s="45"/>
      <c r="AC298" s="45"/>
      <c r="AD298" s="45"/>
      <c r="AE298" s="45"/>
      <c r="AF298" s="45"/>
      <c r="AG298" s="45"/>
      <c r="AH298" s="45"/>
      <c r="AI298" s="105"/>
      <c r="AJ298" s="49"/>
      <c r="AK298" s="50"/>
      <c r="AL298" s="45"/>
      <c r="AM298" s="45"/>
      <c r="AN298" s="45"/>
      <c r="AO298" s="45"/>
      <c r="AP298" s="45"/>
      <c r="AQ298" s="45"/>
      <c r="AR298" s="45"/>
      <c r="AS298" s="45"/>
      <c r="AT298" s="45"/>
      <c r="AU298" s="45"/>
      <c r="AV298" s="45"/>
      <c r="AW298" s="45"/>
    </row>
    <row r="299" spans="4:49" x14ac:dyDescent="0.25">
      <c r="D299" s="45"/>
      <c r="E299" s="45"/>
      <c r="F299" s="45"/>
      <c r="G299" s="45"/>
      <c r="H299" s="45"/>
      <c r="I299" s="45"/>
      <c r="J299" s="45"/>
      <c r="K299" s="105"/>
      <c r="L299" s="49"/>
      <c r="M299" s="106"/>
      <c r="N299" s="45"/>
      <c r="O299" s="45"/>
      <c r="P299" s="45"/>
      <c r="Q299" s="45"/>
      <c r="R299" s="45"/>
      <c r="S299" s="45"/>
      <c r="T299" s="45"/>
      <c r="U299" s="45"/>
      <c r="V299" s="45"/>
      <c r="W299" s="45"/>
      <c r="X299" s="45"/>
      <c r="Y299" s="45"/>
      <c r="Z299" s="121"/>
      <c r="AB299" s="45"/>
      <c r="AC299" s="45"/>
      <c r="AD299" s="45"/>
      <c r="AE299" s="45"/>
      <c r="AF299" s="45"/>
      <c r="AG299" s="45"/>
      <c r="AH299" s="45"/>
      <c r="AI299" s="105"/>
      <c r="AJ299" s="49"/>
      <c r="AK299" s="50"/>
      <c r="AL299" s="45"/>
      <c r="AM299" s="45"/>
      <c r="AN299" s="45"/>
      <c r="AO299" s="45"/>
      <c r="AP299" s="45"/>
      <c r="AQ299" s="45"/>
      <c r="AR299" s="45"/>
      <c r="AS299" s="45"/>
      <c r="AT299" s="45"/>
      <c r="AU299" s="45"/>
      <c r="AV299" s="45"/>
      <c r="AW299" s="45"/>
    </row>
    <row r="300" spans="4:49" x14ac:dyDescent="0.25">
      <c r="D300" s="45"/>
      <c r="E300" s="45"/>
      <c r="F300" s="45"/>
      <c r="G300" s="45"/>
      <c r="H300" s="45"/>
      <c r="I300" s="45"/>
      <c r="J300" s="45"/>
      <c r="K300" s="105"/>
      <c r="L300" s="49"/>
      <c r="M300" s="106"/>
      <c r="N300" s="45"/>
      <c r="O300" s="45"/>
      <c r="P300" s="45"/>
      <c r="Q300" s="45"/>
      <c r="R300" s="45"/>
      <c r="S300" s="45"/>
      <c r="T300" s="45"/>
      <c r="U300" s="45"/>
      <c r="V300" s="45"/>
      <c r="W300" s="45"/>
      <c r="X300" s="45"/>
      <c r="Y300" s="45"/>
      <c r="Z300" s="121"/>
      <c r="AB300" s="45"/>
      <c r="AC300" s="45"/>
      <c r="AD300" s="45"/>
      <c r="AE300" s="45"/>
      <c r="AF300" s="45"/>
      <c r="AG300" s="45"/>
      <c r="AH300" s="45"/>
      <c r="AI300" s="105"/>
      <c r="AJ300" s="49"/>
      <c r="AK300" s="50"/>
      <c r="AL300" s="45"/>
      <c r="AM300" s="45"/>
      <c r="AN300" s="45"/>
      <c r="AO300" s="45"/>
      <c r="AP300" s="45"/>
      <c r="AQ300" s="45"/>
      <c r="AR300" s="45"/>
      <c r="AS300" s="45"/>
      <c r="AT300" s="45"/>
      <c r="AU300" s="45"/>
      <c r="AV300" s="45"/>
      <c r="AW300" s="45"/>
    </row>
    <row r="301" spans="4:49" x14ac:dyDescent="0.25">
      <c r="D301" s="45"/>
      <c r="E301" s="45"/>
      <c r="F301" s="45"/>
      <c r="G301" s="45"/>
      <c r="H301" s="45"/>
      <c r="I301" s="45"/>
      <c r="J301" s="45"/>
      <c r="K301" s="105"/>
      <c r="L301" s="49"/>
      <c r="M301" s="106"/>
      <c r="N301" s="45"/>
      <c r="O301" s="45"/>
      <c r="P301" s="45"/>
      <c r="Q301" s="45"/>
      <c r="R301" s="45"/>
      <c r="S301" s="45"/>
      <c r="T301" s="45"/>
      <c r="U301" s="45"/>
      <c r="V301" s="45"/>
      <c r="W301" s="45"/>
      <c r="X301" s="45"/>
      <c r="Y301" s="45"/>
      <c r="Z301" s="121"/>
      <c r="AB301" s="45"/>
      <c r="AC301" s="45"/>
      <c r="AD301" s="45"/>
      <c r="AE301" s="45"/>
      <c r="AF301" s="45"/>
      <c r="AG301" s="45"/>
      <c r="AH301" s="45"/>
      <c r="AI301" s="105"/>
      <c r="AJ301" s="49"/>
      <c r="AK301" s="50"/>
      <c r="AL301" s="45"/>
      <c r="AM301" s="45"/>
      <c r="AN301" s="45"/>
      <c r="AO301" s="45"/>
      <c r="AP301" s="45"/>
      <c r="AQ301" s="45"/>
      <c r="AR301" s="45"/>
      <c r="AS301" s="45"/>
      <c r="AT301" s="45"/>
      <c r="AU301" s="45"/>
      <c r="AV301" s="45"/>
      <c r="AW301" s="45"/>
    </row>
    <row r="302" spans="4:49" x14ac:dyDescent="0.25">
      <c r="D302" s="45"/>
      <c r="E302" s="45"/>
      <c r="F302" s="45"/>
      <c r="G302" s="45"/>
      <c r="H302" s="45"/>
      <c r="I302" s="45"/>
      <c r="J302" s="45"/>
      <c r="K302" s="105"/>
      <c r="L302" s="49"/>
      <c r="M302" s="106"/>
      <c r="N302" s="45"/>
      <c r="O302" s="45"/>
      <c r="P302" s="45"/>
      <c r="Q302" s="45"/>
      <c r="R302" s="45"/>
      <c r="S302" s="45"/>
      <c r="T302" s="45"/>
      <c r="U302" s="45"/>
      <c r="V302" s="45"/>
      <c r="W302" s="45"/>
      <c r="X302" s="45"/>
      <c r="Y302" s="45"/>
      <c r="Z302" s="121"/>
      <c r="AB302" s="45"/>
      <c r="AC302" s="45"/>
      <c r="AD302" s="45"/>
      <c r="AE302" s="45"/>
      <c r="AF302" s="45"/>
      <c r="AG302" s="45"/>
      <c r="AH302" s="45"/>
      <c r="AI302" s="105"/>
      <c r="AJ302" s="49"/>
      <c r="AK302" s="50"/>
      <c r="AL302" s="45"/>
      <c r="AM302" s="45"/>
      <c r="AN302" s="45"/>
      <c r="AO302" s="45"/>
      <c r="AP302" s="45"/>
      <c r="AQ302" s="45"/>
      <c r="AR302" s="45"/>
      <c r="AS302" s="45"/>
      <c r="AT302" s="45"/>
      <c r="AU302" s="45"/>
      <c r="AV302" s="45"/>
      <c r="AW302" s="45"/>
    </row>
    <row r="303" spans="4:49" x14ac:dyDescent="0.25">
      <c r="D303" s="45"/>
      <c r="E303" s="45"/>
      <c r="F303" s="45"/>
      <c r="G303" s="45"/>
      <c r="H303" s="45"/>
      <c r="I303" s="45"/>
      <c r="J303" s="45"/>
      <c r="K303" s="105"/>
      <c r="L303" s="49"/>
      <c r="M303" s="106"/>
      <c r="N303" s="45"/>
      <c r="O303" s="45"/>
      <c r="P303" s="45"/>
      <c r="Q303" s="45"/>
      <c r="R303" s="45"/>
      <c r="S303" s="45"/>
      <c r="T303" s="45"/>
      <c r="U303" s="45"/>
      <c r="V303" s="45"/>
      <c r="W303" s="45"/>
      <c r="X303" s="45"/>
      <c r="Y303" s="45"/>
      <c r="Z303" s="121"/>
      <c r="AB303" s="45"/>
      <c r="AC303" s="45"/>
      <c r="AD303" s="45"/>
      <c r="AE303" s="45"/>
      <c r="AF303" s="45"/>
      <c r="AG303" s="45"/>
      <c r="AH303" s="45"/>
      <c r="AI303" s="105"/>
      <c r="AJ303" s="49"/>
      <c r="AK303" s="50"/>
      <c r="AL303" s="45"/>
      <c r="AM303" s="45"/>
      <c r="AN303" s="45"/>
      <c r="AO303" s="45"/>
      <c r="AP303" s="45"/>
      <c r="AQ303" s="45"/>
      <c r="AR303" s="45"/>
      <c r="AS303" s="45"/>
      <c r="AT303" s="45"/>
      <c r="AU303" s="45"/>
      <c r="AV303" s="45"/>
      <c r="AW303" s="45"/>
    </row>
    <row r="304" spans="4:49" x14ac:dyDescent="0.25">
      <c r="D304" s="45"/>
      <c r="E304" s="45"/>
      <c r="F304" s="45"/>
      <c r="G304" s="45"/>
      <c r="H304" s="45"/>
      <c r="I304" s="45"/>
      <c r="J304" s="45"/>
      <c r="K304" s="105"/>
      <c r="L304" s="49"/>
      <c r="M304" s="106"/>
      <c r="N304" s="45"/>
      <c r="O304" s="45"/>
      <c r="P304" s="45"/>
      <c r="Q304" s="45"/>
      <c r="R304" s="45"/>
      <c r="S304" s="45"/>
      <c r="T304" s="45"/>
      <c r="U304" s="45"/>
      <c r="V304" s="45"/>
      <c r="W304" s="45"/>
      <c r="X304" s="45"/>
      <c r="Y304" s="45"/>
      <c r="Z304" s="121"/>
      <c r="AB304" s="45"/>
      <c r="AC304" s="45"/>
      <c r="AD304" s="45"/>
      <c r="AE304" s="45"/>
      <c r="AF304" s="45"/>
      <c r="AG304" s="45"/>
      <c r="AH304" s="45"/>
      <c r="AI304" s="105"/>
      <c r="AJ304" s="49"/>
      <c r="AK304" s="50"/>
      <c r="AL304" s="45"/>
      <c r="AM304" s="45"/>
      <c r="AN304" s="45"/>
      <c r="AO304" s="45"/>
      <c r="AP304" s="45"/>
      <c r="AQ304" s="45"/>
      <c r="AR304" s="45"/>
      <c r="AS304" s="45"/>
      <c r="AT304" s="45"/>
      <c r="AU304" s="45"/>
      <c r="AV304" s="45"/>
      <c r="AW304" s="45"/>
    </row>
    <row r="305" spans="36:37" x14ac:dyDescent="0.25">
      <c r="AJ305" s="27"/>
      <c r="AK305" s="28"/>
    </row>
    <row r="306" spans="36:37" x14ac:dyDescent="0.25">
      <c r="AJ306" s="27"/>
      <c r="AK306" s="28"/>
    </row>
    <row r="307" spans="36:37" x14ac:dyDescent="0.25">
      <c r="AJ307" s="27"/>
      <c r="AK307" s="28"/>
    </row>
    <row r="308" spans="36:37" x14ac:dyDescent="0.25">
      <c r="AJ308" s="27"/>
      <c r="AK308" s="28"/>
    </row>
    <row r="309" spans="36:37" x14ac:dyDescent="0.25">
      <c r="AJ309" s="27"/>
      <c r="AK309" s="28"/>
    </row>
    <row r="310" spans="36:37" x14ac:dyDescent="0.25">
      <c r="AJ310" s="27"/>
      <c r="AK310" s="28"/>
    </row>
    <row r="311" spans="36:37" x14ac:dyDescent="0.25">
      <c r="AJ311" s="27"/>
      <c r="AK311" s="28"/>
    </row>
    <row r="312" spans="36:37" x14ac:dyDescent="0.25">
      <c r="AJ312" s="27"/>
      <c r="AK312" s="28"/>
    </row>
    <row r="313" spans="36:37" x14ac:dyDescent="0.25">
      <c r="AJ313" s="27"/>
      <c r="AK313" s="28"/>
    </row>
    <row r="314" spans="36:37" x14ac:dyDescent="0.25">
      <c r="AJ314" s="27"/>
      <c r="AK314" s="28"/>
    </row>
    <row r="315" spans="36:37" x14ac:dyDescent="0.25">
      <c r="AJ315" s="27"/>
      <c r="AK315" s="28"/>
    </row>
    <row r="316" spans="36:37" x14ac:dyDescent="0.25">
      <c r="AJ316" s="27"/>
      <c r="AK316" s="28"/>
    </row>
    <row r="317" spans="36:37" x14ac:dyDescent="0.25">
      <c r="AJ317" s="27"/>
      <c r="AK317" s="28"/>
    </row>
    <row r="318" spans="36:37" x14ac:dyDescent="0.25">
      <c r="AJ318" s="27"/>
      <c r="AK318" s="28"/>
    </row>
    <row r="319" spans="36:37" x14ac:dyDescent="0.25">
      <c r="AJ319" s="27"/>
      <c r="AK319" s="28"/>
    </row>
    <row r="320" spans="36:37" x14ac:dyDescent="0.25">
      <c r="AJ320" s="27"/>
      <c r="AK320" s="28"/>
    </row>
    <row r="321" spans="36:37" x14ac:dyDescent="0.25">
      <c r="AJ321" s="27"/>
      <c r="AK321" s="28"/>
    </row>
    <row r="322" spans="36:37" x14ac:dyDescent="0.25">
      <c r="AJ322" s="27"/>
      <c r="AK322" s="28"/>
    </row>
    <row r="323" spans="36:37" x14ac:dyDescent="0.25">
      <c r="AJ323" s="27"/>
      <c r="AK323" s="28"/>
    </row>
    <row r="324" spans="36:37" x14ac:dyDescent="0.25">
      <c r="AJ324" s="27"/>
      <c r="AK324" s="28"/>
    </row>
    <row r="325" spans="36:37" x14ac:dyDescent="0.25">
      <c r="AJ325" s="27"/>
      <c r="AK325" s="28"/>
    </row>
    <row r="326" spans="36:37" x14ac:dyDescent="0.25">
      <c r="AJ326" s="27"/>
      <c r="AK326" s="28"/>
    </row>
    <row r="327" spans="36:37" x14ac:dyDescent="0.25">
      <c r="AJ327" s="27"/>
      <c r="AK327" s="28"/>
    </row>
    <row r="328" spans="36:37" x14ac:dyDescent="0.25">
      <c r="AJ328" s="27"/>
      <c r="AK328" s="28"/>
    </row>
    <row r="329" spans="36:37" x14ac:dyDescent="0.25">
      <c r="AJ329" s="27"/>
      <c r="AK329" s="28"/>
    </row>
    <row r="330" spans="36:37" x14ac:dyDescent="0.25">
      <c r="AJ330" s="27"/>
      <c r="AK330" s="28"/>
    </row>
    <row r="331" spans="36:37" x14ac:dyDescent="0.25">
      <c r="AJ331" s="27"/>
      <c r="AK331" s="28"/>
    </row>
    <row r="332" spans="36:37" x14ac:dyDescent="0.25">
      <c r="AJ332" s="27"/>
      <c r="AK332" s="28"/>
    </row>
    <row r="333" spans="36:37" x14ac:dyDescent="0.25">
      <c r="AJ333" s="27"/>
      <c r="AK333" s="28"/>
    </row>
    <row r="334" spans="36:37" x14ac:dyDescent="0.25">
      <c r="AJ334" s="27"/>
      <c r="AK334" s="28"/>
    </row>
    <row r="335" spans="36:37" x14ac:dyDescent="0.25">
      <c r="AJ335" s="27"/>
      <c r="AK335" s="28"/>
    </row>
    <row r="336" spans="36:37" x14ac:dyDescent="0.25">
      <c r="AJ336" s="27"/>
      <c r="AK336" s="28"/>
    </row>
    <row r="337" spans="36:37" x14ac:dyDescent="0.25">
      <c r="AJ337" s="27"/>
      <c r="AK337" s="28"/>
    </row>
    <row r="338" spans="36:37" x14ac:dyDescent="0.25">
      <c r="AJ338" s="27"/>
      <c r="AK338" s="28"/>
    </row>
    <row r="339" spans="36:37" x14ac:dyDescent="0.25">
      <c r="AJ339" s="27"/>
      <c r="AK339" s="28"/>
    </row>
    <row r="340" spans="36:37" x14ac:dyDescent="0.25">
      <c r="AJ340" s="27"/>
      <c r="AK340" s="28"/>
    </row>
    <row r="341" spans="36:37" x14ac:dyDescent="0.25">
      <c r="AJ341" s="27"/>
      <c r="AK341" s="28"/>
    </row>
    <row r="342" spans="36:37" x14ac:dyDescent="0.25">
      <c r="AJ342" s="27"/>
      <c r="AK342" s="28"/>
    </row>
    <row r="343" spans="36:37" x14ac:dyDescent="0.25">
      <c r="AJ343" s="27"/>
      <c r="AK343" s="28"/>
    </row>
    <row r="344" spans="36:37" x14ac:dyDescent="0.25">
      <c r="AJ344" s="27"/>
      <c r="AK344" s="28"/>
    </row>
    <row r="345" spans="36:37" x14ac:dyDescent="0.25">
      <c r="AJ345" s="27"/>
      <c r="AK345" s="28"/>
    </row>
    <row r="346" spans="36:37" x14ac:dyDescent="0.25">
      <c r="AJ346" s="27"/>
      <c r="AK346" s="28"/>
    </row>
    <row r="347" spans="36:37" x14ac:dyDescent="0.25">
      <c r="AJ347" s="27"/>
      <c r="AK347" s="28"/>
    </row>
    <row r="348" spans="36:37" x14ac:dyDescent="0.25">
      <c r="AJ348" s="27"/>
      <c r="AK348" s="28"/>
    </row>
    <row r="349" spans="36:37" x14ac:dyDescent="0.25">
      <c r="AJ349" s="27"/>
      <c r="AK349" s="28"/>
    </row>
  </sheetData>
  <sortState xmlns:xlrd2="http://schemas.microsoft.com/office/spreadsheetml/2017/richdata2" ref="AB5:AW274">
    <sortCondition ref="AE5:AE274"/>
    <sortCondition ref="AF5:AF274"/>
    <sortCondition ref="AD5:AD274"/>
    <sortCondition ref="AB5:AB274"/>
  </sortState>
  <mergeCells count="20">
    <mergeCell ref="AX5:AX9"/>
    <mergeCell ref="AB1:AW1"/>
    <mergeCell ref="AL2:AN2"/>
    <mergeCell ref="AO2:AQ2"/>
    <mergeCell ref="AR2:AT2"/>
    <mergeCell ref="AU2:AW2"/>
    <mergeCell ref="Z275:Z279"/>
    <mergeCell ref="A1:C3"/>
    <mergeCell ref="Z10:Z14"/>
    <mergeCell ref="D1:Y1"/>
    <mergeCell ref="N2:P2"/>
    <mergeCell ref="Q2:S2"/>
    <mergeCell ref="T2:V2"/>
    <mergeCell ref="W2:Y2"/>
    <mergeCell ref="Z5:Z9"/>
    <mergeCell ref="Z280:Z284"/>
    <mergeCell ref="Z285:Z289"/>
    <mergeCell ref="Z290:Z294"/>
    <mergeCell ref="Z295:Z299"/>
    <mergeCell ref="Z300:Z304"/>
  </mergeCells>
  <conditionalFormatting sqref="Z15 Z5 Z20 Z25 Z30 Z35 Z40 Z45 Z50 Z55 Z60 Z65 Z70 Z75 Z80 Z85 Z90 Z95 Z100 Z105 Z110 Z115 Z120 Z125 Z130 Z135 Z140 Z145 Z150 Z155 Z160 Z165 Z170 Z175 Z180 Z185 Z190 Z195 Z200 Z205 Z210 Z215 Z220 Z225 Z230 Z235 Z240 Z245 Z250 Z255 Z260 Z265 Z270 Z10">
    <cfRule type="colorScale" priority="11">
      <colorScale>
        <cfvo type="min"/>
        <cfvo type="percentile" val="50"/>
        <cfvo type="max"/>
        <color rgb="FFF8696B"/>
        <color rgb="FFFFEB84"/>
        <color rgb="FF63BE7B"/>
      </colorScale>
    </cfRule>
  </conditionalFormatting>
  <conditionalFormatting sqref="Z15:Z304 Z5 Z10">
    <cfRule type="colorScale" priority="41">
      <colorScale>
        <cfvo type="min"/>
        <cfvo type="percentile" val="50"/>
        <cfvo type="max"/>
        <color rgb="FFF8696B"/>
        <color rgb="FFFFEB84"/>
        <color rgb="FF63BE7B"/>
      </colorScale>
    </cfRule>
  </conditionalFormatting>
  <conditionalFormatting sqref="Z280 Z275 Z285 Z290 Z295 Z300">
    <cfRule type="colorScale" priority="4">
      <colorScale>
        <cfvo type="min"/>
        <cfvo type="percentile" val="50"/>
        <cfvo type="max"/>
        <color rgb="FFF8696B"/>
        <color rgb="FFFFEB84"/>
        <color rgb="FF63BE7B"/>
      </colorScale>
    </cfRule>
  </conditionalFormatting>
  <conditionalFormatting sqref="AA95 AA5 AA185">
    <cfRule type="colorScale" priority="50">
      <colorScale>
        <cfvo type="min"/>
        <cfvo type="percentile" val="50"/>
        <cfvo type="max"/>
        <color rgb="FFF8696B"/>
        <color rgb="FFFFEB84"/>
        <color rgb="FF63BE7B"/>
      </colorScale>
    </cfRule>
  </conditionalFormatting>
  <conditionalFormatting sqref="AX5:AX349">
    <cfRule type="colorScale" priority="49">
      <colorScale>
        <cfvo type="min"/>
        <cfvo type="percentile" val="50"/>
        <cfvo type="max"/>
        <color rgb="FFF8696B"/>
        <color rgb="FFFFEB84"/>
        <color rgb="FF63BE7B"/>
      </colorScale>
    </cfRule>
  </conditionalFormatting>
  <conditionalFormatting sqref="AX10 AX5 AX15 AX20 AX25 AX30 AX35 AX40 AX45 AX50 AX55 AX60 AX65 AX70 AX75 AX80 AX85 AX90 AX95 AX100 AX105 AX110 AX115 AX120 AX125 AX130 AX135 AX140 AX145 AX150 AX155 AX160 AX165 AX170 AX175 AX180 AX185 AX190 AX195 AX200 AX205 AX210 AX215 AX220 AX225 AX230 AX235 AX240 AX245 AX250 AX255 AX260 AX265 AX270">
    <cfRule type="colorScale" priority="9">
      <colorScale>
        <cfvo type="min"/>
        <cfvo type="percentile" val="50"/>
        <cfvo type="max"/>
        <color rgb="FFF8696B"/>
        <color rgb="FFFFEB84"/>
        <color rgb="FF63BE7B"/>
      </colorScale>
    </cfRule>
  </conditionalFormatting>
  <conditionalFormatting sqref="AY95 AY5 AY185">
    <cfRule type="colorScale" priority="6">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D075B-A89A-41CC-B5C9-3FA79356BA6E}">
  <dimension ref="A1:AW345"/>
  <sheetViews>
    <sheetView zoomScale="70" zoomScaleNormal="70" workbookViewId="0">
      <selection activeCell="AA2" sqref="AA2"/>
    </sheetView>
  </sheetViews>
  <sheetFormatPr defaultRowHeight="15" x14ac:dyDescent="0.25"/>
  <cols>
    <col min="11" max="11" width="9.140625" style="16"/>
    <col min="12" max="12" width="9.140625" style="27"/>
    <col min="13" max="13" width="9.140625" style="31"/>
    <col min="26" max="26" width="9.140625" style="25"/>
    <col min="49" max="49" width="9.140625" style="25"/>
  </cols>
  <sheetData>
    <row r="1" spans="1:49" s="5" customFormat="1" x14ac:dyDescent="0.25">
      <c r="A1" s="122" t="s">
        <v>241</v>
      </c>
      <c r="B1" s="122"/>
      <c r="C1" s="122"/>
      <c r="D1" s="124" t="s">
        <v>293</v>
      </c>
      <c r="E1" s="124"/>
      <c r="F1" s="124"/>
      <c r="G1" s="124"/>
      <c r="H1" s="124"/>
      <c r="I1" s="124"/>
      <c r="J1" s="124"/>
      <c r="K1" s="124"/>
      <c r="L1" s="124"/>
      <c r="M1" s="124"/>
      <c r="N1" s="124"/>
      <c r="O1" s="124"/>
      <c r="P1" s="124"/>
      <c r="Q1" s="124"/>
      <c r="R1" s="124"/>
      <c r="S1" s="124"/>
      <c r="T1" s="124"/>
      <c r="U1" s="124"/>
      <c r="V1" s="124"/>
      <c r="W1" s="124"/>
      <c r="X1" s="124"/>
      <c r="Y1" s="124"/>
      <c r="Z1" s="26"/>
      <c r="AA1" s="124" t="s">
        <v>294</v>
      </c>
      <c r="AB1" s="124"/>
      <c r="AC1" s="124"/>
      <c r="AD1" s="124"/>
      <c r="AE1" s="124"/>
      <c r="AF1" s="124"/>
      <c r="AG1" s="124"/>
      <c r="AH1" s="124"/>
      <c r="AI1" s="124"/>
      <c r="AJ1" s="124"/>
      <c r="AK1" s="124"/>
      <c r="AL1" s="124"/>
      <c r="AM1" s="124"/>
      <c r="AN1" s="124"/>
      <c r="AO1" s="124"/>
      <c r="AP1" s="124"/>
      <c r="AQ1" s="124"/>
      <c r="AR1" s="124"/>
      <c r="AS1" s="124"/>
      <c r="AT1" s="124"/>
      <c r="AU1" s="124"/>
      <c r="AV1" s="124"/>
      <c r="AW1" s="26"/>
    </row>
    <row r="2" spans="1:49" s="5" customFormat="1" x14ac:dyDescent="0.25">
      <c r="A2" s="122"/>
      <c r="B2" s="122"/>
      <c r="C2" s="122"/>
      <c r="D2" s="13"/>
      <c r="E2" s="13"/>
      <c r="F2" s="13"/>
      <c r="G2" s="13"/>
      <c r="H2" s="13"/>
      <c r="I2" s="13"/>
      <c r="J2" s="13"/>
      <c r="K2" s="29"/>
      <c r="L2" s="41"/>
      <c r="M2" s="32"/>
      <c r="N2" s="125" t="s">
        <v>2</v>
      </c>
      <c r="O2" s="125"/>
      <c r="P2" s="125"/>
      <c r="Q2" s="125" t="s">
        <v>17</v>
      </c>
      <c r="R2" s="125"/>
      <c r="S2" s="125"/>
      <c r="T2" s="125" t="s">
        <v>18</v>
      </c>
      <c r="U2" s="125"/>
      <c r="V2" s="125"/>
      <c r="W2" s="125" t="s">
        <v>19</v>
      </c>
      <c r="X2" s="125"/>
      <c r="Y2" s="125"/>
      <c r="Z2" s="26"/>
      <c r="AA2" s="13"/>
      <c r="AB2" s="13"/>
      <c r="AC2" s="13"/>
      <c r="AD2" s="13"/>
      <c r="AE2" s="13"/>
      <c r="AF2" s="13"/>
      <c r="AG2" s="13"/>
      <c r="AH2" s="29"/>
      <c r="AI2" s="41"/>
      <c r="AJ2" s="32"/>
      <c r="AK2" s="125" t="s">
        <v>2</v>
      </c>
      <c r="AL2" s="125"/>
      <c r="AM2" s="125"/>
      <c r="AN2" s="125" t="s">
        <v>17</v>
      </c>
      <c r="AO2" s="125"/>
      <c r="AP2" s="125"/>
      <c r="AQ2" s="125" t="s">
        <v>18</v>
      </c>
      <c r="AR2" s="125"/>
      <c r="AS2" s="125"/>
      <c r="AT2" s="125" t="s">
        <v>19</v>
      </c>
      <c r="AU2" s="125"/>
      <c r="AV2" s="125"/>
      <c r="AW2" s="26"/>
    </row>
    <row r="3" spans="1:49" s="5" customFormat="1" x14ac:dyDescent="0.25">
      <c r="A3" s="122"/>
      <c r="B3" s="122"/>
      <c r="C3" s="122"/>
      <c r="D3" s="102" t="s">
        <v>289</v>
      </c>
      <c r="E3" s="103">
        <f>MAX(Z5:Z500)</f>
        <v>37.418199999999999</v>
      </c>
      <c r="F3" s="104">
        <f>INDEX(F:F,MATCH(MAX($Z:$Z),$Z:$Z,0))</f>
        <v>28888</v>
      </c>
      <c r="G3" s="104">
        <f t="shared" ref="G3:I3" si="0">INDEX(G:G,MATCH(MAX($Z:$Z),$Z:$Z,0))</f>
        <v>184</v>
      </c>
      <c r="H3" s="104">
        <f t="shared" si="0"/>
        <v>2</v>
      </c>
      <c r="I3" s="104">
        <f t="shared" si="0"/>
        <v>8</v>
      </c>
      <c r="J3" s="13"/>
      <c r="K3" s="29"/>
      <c r="L3" s="41"/>
      <c r="M3" s="32"/>
      <c r="N3" s="42"/>
      <c r="O3" s="42"/>
      <c r="P3" s="42"/>
      <c r="Q3" s="42"/>
      <c r="R3" s="42"/>
      <c r="S3" s="42"/>
      <c r="T3" s="42"/>
      <c r="U3" s="42"/>
      <c r="V3" s="42"/>
      <c r="W3" s="42"/>
      <c r="X3" s="42"/>
      <c r="Y3" s="42"/>
      <c r="Z3" s="40"/>
      <c r="AA3" s="102" t="s">
        <v>289</v>
      </c>
      <c r="AB3" s="103">
        <f>MAX(AW5:AW500)</f>
        <v>40.953199999999995</v>
      </c>
      <c r="AC3" s="104">
        <f>INDEX(AC:AC,MATCH(MAX($AW:$AW),$AW:$AW,0))</f>
        <v>29040</v>
      </c>
      <c r="AD3" s="104">
        <f t="shared" ref="AD3:AF3" si="1">INDEX(AD:AD,MATCH(MAX($AW:$AW),$AW:$AW,0))</f>
        <v>120</v>
      </c>
      <c r="AE3" s="104">
        <f t="shared" si="1"/>
        <v>2</v>
      </c>
      <c r="AF3" s="104">
        <f t="shared" si="1"/>
        <v>8</v>
      </c>
      <c r="AG3" s="13"/>
      <c r="AH3" s="29"/>
      <c r="AI3" s="41"/>
      <c r="AJ3" s="32"/>
      <c r="AK3" s="42"/>
      <c r="AL3" s="42"/>
      <c r="AM3" s="42"/>
      <c r="AN3" s="42"/>
      <c r="AO3" s="42"/>
      <c r="AP3" s="42"/>
      <c r="AQ3" s="42"/>
      <c r="AR3" s="42"/>
      <c r="AS3" s="42"/>
      <c r="AT3" s="42"/>
      <c r="AU3" s="42"/>
      <c r="AV3" s="42"/>
      <c r="AW3" s="40"/>
    </row>
    <row r="4" spans="1:49" s="5" customFormat="1" x14ac:dyDescent="0.25">
      <c r="A4" s="46" t="s">
        <v>5</v>
      </c>
      <c r="B4" s="46" t="s">
        <v>6</v>
      </c>
      <c r="C4" s="46" t="s">
        <v>7</v>
      </c>
      <c r="D4" s="5" t="s">
        <v>20</v>
      </c>
      <c r="F4" s="5" t="s">
        <v>5</v>
      </c>
      <c r="G4" s="5" t="s">
        <v>6</v>
      </c>
      <c r="H4" s="5" t="s">
        <v>7</v>
      </c>
      <c r="I4" s="5" t="s">
        <v>8</v>
      </c>
      <c r="J4" s="5" t="s">
        <v>9</v>
      </c>
      <c r="K4" s="17" t="s">
        <v>10</v>
      </c>
      <c r="L4" s="43" t="s">
        <v>11</v>
      </c>
      <c r="M4" s="33" t="s">
        <v>9</v>
      </c>
      <c r="N4" s="42" t="s">
        <v>12</v>
      </c>
      <c r="O4" s="42" t="s">
        <v>13</v>
      </c>
      <c r="P4" s="42" t="s">
        <v>14</v>
      </c>
      <c r="Q4" s="42" t="s">
        <v>12</v>
      </c>
      <c r="R4" s="42" t="s">
        <v>13</v>
      </c>
      <c r="S4" s="42" t="s">
        <v>14</v>
      </c>
      <c r="T4" s="42" t="s">
        <v>12</v>
      </c>
      <c r="U4" s="42" t="s">
        <v>13</v>
      </c>
      <c r="V4" s="42" t="s">
        <v>14</v>
      </c>
      <c r="W4" s="42" t="s">
        <v>12</v>
      </c>
      <c r="X4" s="42" t="s">
        <v>13</v>
      </c>
      <c r="Y4" s="42" t="s">
        <v>14</v>
      </c>
      <c r="Z4" s="26"/>
      <c r="AA4" s="5" t="s">
        <v>20</v>
      </c>
      <c r="AC4" s="5" t="s">
        <v>5</v>
      </c>
      <c r="AD4" s="5" t="s">
        <v>6</v>
      </c>
      <c r="AE4" s="5" t="s">
        <v>7</v>
      </c>
      <c r="AF4" s="5" t="s">
        <v>8</v>
      </c>
      <c r="AG4" s="5" t="s">
        <v>9</v>
      </c>
      <c r="AH4" s="17" t="s">
        <v>10</v>
      </c>
      <c r="AI4" s="43" t="s">
        <v>11</v>
      </c>
      <c r="AJ4" s="33" t="s">
        <v>9</v>
      </c>
      <c r="AK4" s="42" t="s">
        <v>12</v>
      </c>
      <c r="AL4" s="42" t="s">
        <v>13</v>
      </c>
      <c r="AM4" s="42" t="s">
        <v>14</v>
      </c>
      <c r="AN4" s="42" t="s">
        <v>12</v>
      </c>
      <c r="AO4" s="42" t="s">
        <v>13</v>
      </c>
      <c r="AP4" s="42" t="s">
        <v>14</v>
      </c>
      <c r="AQ4" s="42" t="s">
        <v>12</v>
      </c>
      <c r="AR4" s="42" t="s">
        <v>13</v>
      </c>
      <c r="AS4" s="42" t="s">
        <v>14</v>
      </c>
      <c r="AT4" s="42" t="s">
        <v>12</v>
      </c>
      <c r="AU4" s="42" t="s">
        <v>13</v>
      </c>
      <c r="AV4" s="42" t="s">
        <v>14</v>
      </c>
      <c r="AW4" s="26"/>
    </row>
    <row r="5" spans="1:49" x14ac:dyDescent="0.25">
      <c r="A5" s="47">
        <v>27520</v>
      </c>
      <c r="B5" s="47">
        <v>160</v>
      </c>
      <c r="C5" s="47">
        <v>1</v>
      </c>
      <c r="D5">
        <v>0</v>
      </c>
      <c r="E5" t="s">
        <v>16</v>
      </c>
      <c r="F5">
        <v>28888</v>
      </c>
      <c r="G5">
        <v>184</v>
      </c>
      <c r="H5">
        <v>2</v>
      </c>
      <c r="I5">
        <v>8</v>
      </c>
      <c r="J5">
        <v>431.35</v>
      </c>
      <c r="K5" s="16">
        <v>37.262</v>
      </c>
      <c r="L5" s="27">
        <v>45373</v>
      </c>
      <c r="M5" s="31">
        <v>0.5540856481481482</v>
      </c>
      <c r="N5">
        <v>0</v>
      </c>
      <c r="O5">
        <v>0</v>
      </c>
      <c r="P5">
        <v>0</v>
      </c>
      <c r="Q5">
        <v>0</v>
      </c>
      <c r="R5">
        <v>0</v>
      </c>
      <c r="S5">
        <v>0</v>
      </c>
      <c r="T5">
        <v>0</v>
      </c>
      <c r="U5">
        <v>0</v>
      </c>
      <c r="V5">
        <v>0</v>
      </c>
      <c r="W5">
        <v>0</v>
      </c>
      <c r="X5">
        <v>0</v>
      </c>
      <c r="Y5">
        <v>0</v>
      </c>
      <c r="Z5" s="123">
        <f>AVERAGE(K5:K9)</f>
        <v>37.418199999999999</v>
      </c>
      <c r="AA5">
        <v>0</v>
      </c>
      <c r="AB5" t="s">
        <v>16</v>
      </c>
      <c r="AC5">
        <v>29040</v>
      </c>
      <c r="AD5">
        <v>120</v>
      </c>
      <c r="AE5">
        <v>2</v>
      </c>
      <c r="AF5">
        <v>8</v>
      </c>
      <c r="AG5">
        <v>398.83</v>
      </c>
      <c r="AH5" s="1">
        <v>40.939</v>
      </c>
      <c r="AI5" s="27">
        <v>45373</v>
      </c>
      <c r="AJ5" s="28">
        <v>0.52400462962962968</v>
      </c>
      <c r="AK5">
        <v>0</v>
      </c>
      <c r="AL5">
        <v>0</v>
      </c>
      <c r="AM5">
        <v>0</v>
      </c>
      <c r="AN5">
        <v>0</v>
      </c>
      <c r="AO5">
        <v>0</v>
      </c>
      <c r="AP5">
        <v>772</v>
      </c>
      <c r="AQ5">
        <v>0</v>
      </c>
      <c r="AR5">
        <v>0</v>
      </c>
      <c r="AS5">
        <v>0</v>
      </c>
      <c r="AT5">
        <v>0</v>
      </c>
      <c r="AU5">
        <v>0</v>
      </c>
      <c r="AV5">
        <v>2078</v>
      </c>
      <c r="AW5" s="123">
        <f>AVERAGE(AH5:AH9)</f>
        <v>40.953199999999995</v>
      </c>
    </row>
    <row r="6" spans="1:49" x14ac:dyDescent="0.25">
      <c r="A6" s="47">
        <v>25984</v>
      </c>
      <c r="B6" s="47">
        <v>192</v>
      </c>
      <c r="C6" s="47">
        <v>2</v>
      </c>
      <c r="D6">
        <v>1</v>
      </c>
      <c r="E6" t="s">
        <v>16</v>
      </c>
      <c r="F6">
        <v>28888</v>
      </c>
      <c r="G6">
        <v>184</v>
      </c>
      <c r="H6">
        <v>2</v>
      </c>
      <c r="I6">
        <v>8</v>
      </c>
      <c r="J6">
        <v>429.75</v>
      </c>
      <c r="K6" s="16">
        <v>37.401000000000003</v>
      </c>
      <c r="L6" s="27">
        <v>45373</v>
      </c>
      <c r="M6" s="31">
        <v>0.55927083333333338</v>
      </c>
      <c r="N6">
        <v>0</v>
      </c>
      <c r="O6">
        <v>0</v>
      </c>
      <c r="P6">
        <v>0</v>
      </c>
      <c r="Q6">
        <v>0</v>
      </c>
      <c r="R6">
        <v>0</v>
      </c>
      <c r="S6">
        <v>0</v>
      </c>
      <c r="T6">
        <v>0</v>
      </c>
      <c r="U6">
        <v>0</v>
      </c>
      <c r="V6">
        <v>0</v>
      </c>
      <c r="W6">
        <v>0</v>
      </c>
      <c r="X6">
        <v>0</v>
      </c>
      <c r="Y6">
        <v>0</v>
      </c>
      <c r="Z6" s="123"/>
      <c r="AA6">
        <v>1</v>
      </c>
      <c r="AB6" t="s">
        <v>16</v>
      </c>
      <c r="AC6">
        <v>29040</v>
      </c>
      <c r="AD6">
        <v>120</v>
      </c>
      <c r="AE6">
        <v>2</v>
      </c>
      <c r="AF6">
        <v>8</v>
      </c>
      <c r="AG6">
        <v>398.93</v>
      </c>
      <c r="AH6" s="1">
        <v>40.929000000000002</v>
      </c>
      <c r="AI6" s="27">
        <v>45373</v>
      </c>
      <c r="AJ6" s="28">
        <v>0.52935185185185185</v>
      </c>
      <c r="AK6">
        <v>0</v>
      </c>
      <c r="AL6">
        <v>0</v>
      </c>
      <c r="AM6">
        <v>0</v>
      </c>
      <c r="AN6">
        <v>0</v>
      </c>
      <c r="AO6">
        <v>0</v>
      </c>
      <c r="AP6">
        <v>1342</v>
      </c>
      <c r="AQ6">
        <v>0</v>
      </c>
      <c r="AR6">
        <v>0</v>
      </c>
      <c r="AS6">
        <v>0</v>
      </c>
      <c r="AT6">
        <v>0</v>
      </c>
      <c r="AU6">
        <v>0</v>
      </c>
      <c r="AV6">
        <v>2283</v>
      </c>
      <c r="AW6" s="123"/>
    </row>
    <row r="7" spans="1:49" x14ac:dyDescent="0.25">
      <c r="A7" s="47">
        <v>29056</v>
      </c>
      <c r="B7" s="47">
        <v>128</v>
      </c>
      <c r="C7" s="47">
        <v>4</v>
      </c>
      <c r="D7">
        <v>2</v>
      </c>
      <c r="E7" t="s">
        <v>16</v>
      </c>
      <c r="F7">
        <v>28888</v>
      </c>
      <c r="G7">
        <v>184</v>
      </c>
      <c r="H7">
        <v>2</v>
      </c>
      <c r="I7">
        <v>8</v>
      </c>
      <c r="J7">
        <v>428.76</v>
      </c>
      <c r="K7" s="16">
        <v>37.487000000000002</v>
      </c>
      <c r="L7" s="27">
        <v>45373</v>
      </c>
      <c r="M7" s="31">
        <v>0.56445601851851857</v>
      </c>
      <c r="N7">
        <v>0</v>
      </c>
      <c r="O7">
        <v>0</v>
      </c>
      <c r="P7">
        <v>0</v>
      </c>
      <c r="Q7">
        <v>0</v>
      </c>
      <c r="R7">
        <v>0</v>
      </c>
      <c r="S7">
        <v>0</v>
      </c>
      <c r="T7">
        <v>0</v>
      </c>
      <c r="U7">
        <v>0</v>
      </c>
      <c r="V7">
        <v>0</v>
      </c>
      <c r="W7">
        <v>0</v>
      </c>
      <c r="X7">
        <v>0</v>
      </c>
      <c r="Y7">
        <v>0</v>
      </c>
      <c r="Z7" s="123"/>
      <c r="AA7">
        <v>2</v>
      </c>
      <c r="AB7" t="s">
        <v>16</v>
      </c>
      <c r="AC7">
        <v>29040</v>
      </c>
      <c r="AD7">
        <v>120</v>
      </c>
      <c r="AE7">
        <v>2</v>
      </c>
      <c r="AF7">
        <v>8</v>
      </c>
      <c r="AG7">
        <v>399.08</v>
      </c>
      <c r="AH7" s="1">
        <v>40.914000000000001</v>
      </c>
      <c r="AI7" s="27">
        <v>45373</v>
      </c>
      <c r="AJ7" s="28">
        <v>0.53471064814814817</v>
      </c>
      <c r="AK7">
        <v>0</v>
      </c>
      <c r="AL7">
        <v>0</v>
      </c>
      <c r="AM7">
        <v>0</v>
      </c>
      <c r="AN7">
        <v>0</v>
      </c>
      <c r="AO7">
        <v>0</v>
      </c>
      <c r="AP7">
        <v>1630</v>
      </c>
      <c r="AQ7">
        <v>0</v>
      </c>
      <c r="AR7">
        <v>0</v>
      </c>
      <c r="AS7">
        <v>0</v>
      </c>
      <c r="AT7">
        <v>0</v>
      </c>
      <c r="AU7">
        <v>0</v>
      </c>
      <c r="AV7">
        <v>2617</v>
      </c>
      <c r="AW7" s="123"/>
    </row>
    <row r="8" spans="1:49" x14ac:dyDescent="0.25">
      <c r="A8" s="47"/>
      <c r="B8" s="47">
        <v>96</v>
      </c>
      <c r="C8" s="47"/>
      <c r="D8">
        <v>3</v>
      </c>
      <c r="E8" t="s">
        <v>16</v>
      </c>
      <c r="F8">
        <v>28888</v>
      </c>
      <c r="G8">
        <v>184</v>
      </c>
      <c r="H8">
        <v>2</v>
      </c>
      <c r="I8">
        <v>8</v>
      </c>
      <c r="J8">
        <v>428.97</v>
      </c>
      <c r="K8" s="16">
        <v>37.468000000000004</v>
      </c>
      <c r="L8" s="27">
        <v>45373</v>
      </c>
      <c r="M8" s="31">
        <v>0.56964120370370375</v>
      </c>
      <c r="N8">
        <v>0</v>
      </c>
      <c r="O8">
        <v>0</v>
      </c>
      <c r="P8">
        <v>0</v>
      </c>
      <c r="Q8">
        <v>0</v>
      </c>
      <c r="R8">
        <v>0</v>
      </c>
      <c r="S8">
        <v>0</v>
      </c>
      <c r="T8">
        <v>0</v>
      </c>
      <c r="U8">
        <v>0</v>
      </c>
      <c r="V8">
        <v>0</v>
      </c>
      <c r="W8">
        <v>0</v>
      </c>
      <c r="X8">
        <v>0</v>
      </c>
      <c r="Y8">
        <v>0</v>
      </c>
      <c r="Z8" s="123"/>
      <c r="AA8">
        <v>3</v>
      </c>
      <c r="AB8" t="s">
        <v>16</v>
      </c>
      <c r="AC8">
        <v>29040</v>
      </c>
      <c r="AD8">
        <v>120</v>
      </c>
      <c r="AE8">
        <v>2</v>
      </c>
      <c r="AF8">
        <v>8</v>
      </c>
      <c r="AG8">
        <v>398.06</v>
      </c>
      <c r="AH8" s="1">
        <v>41.018999999999998</v>
      </c>
      <c r="AI8" s="27">
        <v>45373</v>
      </c>
      <c r="AJ8" s="28">
        <v>0.54005787037037034</v>
      </c>
      <c r="AK8">
        <v>0</v>
      </c>
      <c r="AL8">
        <v>0</v>
      </c>
      <c r="AM8">
        <v>0</v>
      </c>
      <c r="AN8">
        <v>0</v>
      </c>
      <c r="AO8">
        <v>0</v>
      </c>
      <c r="AP8">
        <v>1228</v>
      </c>
      <c r="AQ8">
        <v>0</v>
      </c>
      <c r="AR8">
        <v>0</v>
      </c>
      <c r="AS8">
        <v>0</v>
      </c>
      <c r="AT8">
        <v>0</v>
      </c>
      <c r="AU8">
        <v>0</v>
      </c>
      <c r="AV8">
        <v>2747</v>
      </c>
      <c r="AW8" s="123"/>
    </row>
    <row r="9" spans="1:49" x14ac:dyDescent="0.25">
      <c r="A9" s="47"/>
      <c r="B9" s="47">
        <v>224</v>
      </c>
      <c r="C9" s="47"/>
      <c r="D9">
        <v>4</v>
      </c>
      <c r="E9" t="s">
        <v>16</v>
      </c>
      <c r="F9">
        <v>28888</v>
      </c>
      <c r="G9">
        <v>184</v>
      </c>
      <c r="H9">
        <v>2</v>
      </c>
      <c r="I9">
        <v>8</v>
      </c>
      <c r="J9">
        <v>428.92</v>
      </c>
      <c r="K9" s="16">
        <v>37.472999999999999</v>
      </c>
      <c r="L9" s="27">
        <v>45373</v>
      </c>
      <c r="M9" s="31">
        <v>0.57482638888888893</v>
      </c>
      <c r="N9">
        <v>0</v>
      </c>
      <c r="O9">
        <v>0</v>
      </c>
      <c r="P9">
        <v>0</v>
      </c>
      <c r="Q9">
        <v>0</v>
      </c>
      <c r="R9">
        <v>0</v>
      </c>
      <c r="S9">
        <v>0</v>
      </c>
      <c r="T9">
        <v>0</v>
      </c>
      <c r="U9">
        <v>0</v>
      </c>
      <c r="V9">
        <v>0</v>
      </c>
      <c r="W9">
        <v>0</v>
      </c>
      <c r="X9">
        <v>0</v>
      </c>
      <c r="Y9">
        <v>0</v>
      </c>
      <c r="Z9" s="123"/>
      <c r="AA9">
        <v>4</v>
      </c>
      <c r="AB9" t="s">
        <v>16</v>
      </c>
      <c r="AC9">
        <v>29040</v>
      </c>
      <c r="AD9">
        <v>120</v>
      </c>
      <c r="AE9">
        <v>2</v>
      </c>
      <c r="AF9">
        <v>8</v>
      </c>
      <c r="AG9">
        <v>398.59</v>
      </c>
      <c r="AH9" s="1">
        <v>40.965000000000003</v>
      </c>
      <c r="AI9" s="27">
        <v>45373</v>
      </c>
      <c r="AJ9" s="28">
        <v>0.54540509259259262</v>
      </c>
      <c r="AK9">
        <v>0</v>
      </c>
      <c r="AL9">
        <v>0</v>
      </c>
      <c r="AM9">
        <v>0</v>
      </c>
      <c r="AN9">
        <v>0</v>
      </c>
      <c r="AO9">
        <v>0</v>
      </c>
      <c r="AP9">
        <v>1930</v>
      </c>
      <c r="AQ9">
        <v>0</v>
      </c>
      <c r="AR9">
        <v>0</v>
      </c>
      <c r="AS9">
        <v>51</v>
      </c>
      <c r="AT9">
        <v>0</v>
      </c>
      <c r="AU9">
        <v>0</v>
      </c>
      <c r="AV9">
        <v>3719</v>
      </c>
      <c r="AW9" s="123"/>
    </row>
    <row r="10" spans="1:49" x14ac:dyDescent="0.25">
      <c r="A10" s="47"/>
      <c r="B10" s="47">
        <v>256</v>
      </c>
      <c r="C10" s="47"/>
      <c r="AH10" s="1"/>
      <c r="AI10" s="27"/>
      <c r="AJ10" s="28"/>
    </row>
    <row r="11" spans="1:49" x14ac:dyDescent="0.25">
      <c r="A11" s="47"/>
      <c r="B11" s="48">
        <v>88</v>
      </c>
      <c r="C11" s="47"/>
      <c r="AH11" s="1"/>
      <c r="AI11" s="27"/>
      <c r="AJ11" s="28"/>
    </row>
    <row r="12" spans="1:49" x14ac:dyDescent="0.25">
      <c r="A12" s="47"/>
      <c r="B12" s="48">
        <v>104</v>
      </c>
      <c r="C12" s="47"/>
      <c r="AH12" s="1"/>
      <c r="AI12" s="27"/>
      <c r="AJ12" s="28"/>
    </row>
    <row r="13" spans="1:49" x14ac:dyDescent="0.25">
      <c r="A13" s="47"/>
      <c r="B13" s="48">
        <v>112</v>
      </c>
      <c r="C13" s="47"/>
      <c r="AH13" s="1"/>
      <c r="AI13" s="27"/>
      <c r="AJ13" s="28"/>
    </row>
    <row r="14" spans="1:49" x14ac:dyDescent="0.25">
      <c r="A14" s="47"/>
      <c r="B14" s="48">
        <v>120</v>
      </c>
      <c r="C14" s="47"/>
      <c r="AH14" s="1"/>
      <c r="AI14" s="27"/>
      <c r="AJ14" s="28"/>
    </row>
    <row r="15" spans="1:49" x14ac:dyDescent="0.25">
      <c r="AH15" s="1"/>
      <c r="AI15" s="27"/>
      <c r="AJ15" s="28"/>
    </row>
    <row r="16" spans="1:49" x14ac:dyDescent="0.25">
      <c r="AH16" s="1"/>
      <c r="AI16" s="27"/>
      <c r="AJ16" s="28"/>
    </row>
    <row r="17" spans="34:36" x14ac:dyDescent="0.25">
      <c r="AH17" s="1"/>
      <c r="AI17" s="27"/>
      <c r="AJ17" s="28"/>
    </row>
    <row r="18" spans="34:36" x14ac:dyDescent="0.25">
      <c r="AH18" s="1"/>
      <c r="AI18" s="27"/>
      <c r="AJ18" s="28"/>
    </row>
    <row r="19" spans="34:36" x14ac:dyDescent="0.25">
      <c r="AH19" s="1"/>
      <c r="AI19" s="27"/>
      <c r="AJ19" s="28"/>
    </row>
    <row r="20" spans="34:36" x14ac:dyDescent="0.25">
      <c r="AH20" s="1"/>
      <c r="AI20" s="27"/>
      <c r="AJ20" s="28"/>
    </row>
    <row r="21" spans="34:36" x14ac:dyDescent="0.25">
      <c r="AH21" s="1"/>
      <c r="AI21" s="27"/>
      <c r="AJ21" s="28"/>
    </row>
    <row r="22" spans="34:36" x14ac:dyDescent="0.25">
      <c r="AH22" s="1"/>
      <c r="AI22" s="27"/>
      <c r="AJ22" s="28"/>
    </row>
    <row r="23" spans="34:36" x14ac:dyDescent="0.25">
      <c r="AH23" s="1"/>
      <c r="AI23" s="27"/>
      <c r="AJ23" s="28"/>
    </row>
    <row r="24" spans="34:36" x14ac:dyDescent="0.25">
      <c r="AH24" s="1"/>
      <c r="AI24" s="27"/>
      <c r="AJ24" s="28"/>
    </row>
    <row r="25" spans="34:36" x14ac:dyDescent="0.25">
      <c r="AH25" s="1"/>
      <c r="AI25" s="27"/>
      <c r="AJ25" s="28"/>
    </row>
    <row r="26" spans="34:36" x14ac:dyDescent="0.25">
      <c r="AH26" s="1"/>
      <c r="AI26" s="27"/>
      <c r="AJ26" s="28"/>
    </row>
    <row r="27" spans="34:36" x14ac:dyDescent="0.25">
      <c r="AH27" s="1"/>
      <c r="AI27" s="27"/>
      <c r="AJ27" s="28"/>
    </row>
    <row r="28" spans="34:36" x14ac:dyDescent="0.25">
      <c r="AH28" s="1"/>
      <c r="AI28" s="27"/>
      <c r="AJ28" s="28"/>
    </row>
    <row r="29" spans="34:36" x14ac:dyDescent="0.25">
      <c r="AH29" s="1"/>
      <c r="AI29" s="27"/>
      <c r="AJ29" s="28"/>
    </row>
    <row r="30" spans="34:36" x14ac:dyDescent="0.25">
      <c r="AH30" s="1"/>
      <c r="AI30" s="27"/>
      <c r="AJ30" s="28"/>
    </row>
    <row r="31" spans="34:36" x14ac:dyDescent="0.25">
      <c r="AH31" s="1"/>
      <c r="AI31" s="27"/>
      <c r="AJ31" s="28"/>
    </row>
    <row r="32" spans="34:36" x14ac:dyDescent="0.25">
      <c r="AH32" s="1"/>
      <c r="AI32" s="27"/>
      <c r="AJ32" s="28"/>
    </row>
    <row r="33" spans="34:36" x14ac:dyDescent="0.25">
      <c r="AH33" s="1"/>
      <c r="AI33" s="27"/>
      <c r="AJ33" s="28"/>
    </row>
    <row r="34" spans="34:36" x14ac:dyDescent="0.25">
      <c r="AH34" s="1"/>
      <c r="AI34" s="27"/>
      <c r="AJ34" s="28"/>
    </row>
    <row r="35" spans="34:36" x14ac:dyDescent="0.25">
      <c r="AH35" s="1"/>
      <c r="AI35" s="27"/>
      <c r="AJ35" s="28"/>
    </row>
    <row r="36" spans="34:36" x14ac:dyDescent="0.25">
      <c r="AH36" s="1"/>
      <c r="AI36" s="27"/>
      <c r="AJ36" s="28"/>
    </row>
    <row r="37" spans="34:36" x14ac:dyDescent="0.25">
      <c r="AH37" s="1"/>
      <c r="AI37" s="27"/>
      <c r="AJ37" s="28"/>
    </row>
    <row r="38" spans="34:36" x14ac:dyDescent="0.25">
      <c r="AH38" s="1"/>
      <c r="AI38" s="27"/>
      <c r="AJ38" s="28"/>
    </row>
    <row r="39" spans="34:36" x14ac:dyDescent="0.25">
      <c r="AH39" s="1"/>
      <c r="AI39" s="27"/>
      <c r="AJ39" s="28"/>
    </row>
    <row r="40" spans="34:36" x14ac:dyDescent="0.25">
      <c r="AH40" s="1"/>
      <c r="AI40" s="27"/>
      <c r="AJ40" s="28"/>
    </row>
    <row r="41" spans="34:36" x14ac:dyDescent="0.25">
      <c r="AH41" s="1"/>
      <c r="AI41" s="27"/>
      <c r="AJ41" s="28"/>
    </row>
    <row r="42" spans="34:36" x14ac:dyDescent="0.25">
      <c r="AH42" s="1"/>
      <c r="AI42" s="27"/>
      <c r="AJ42" s="28"/>
    </row>
    <row r="43" spans="34:36" x14ac:dyDescent="0.25">
      <c r="AH43" s="1"/>
      <c r="AI43" s="27"/>
      <c r="AJ43" s="28"/>
    </row>
    <row r="44" spans="34:36" x14ac:dyDescent="0.25">
      <c r="AH44" s="1"/>
      <c r="AI44" s="27"/>
      <c r="AJ44" s="28"/>
    </row>
    <row r="45" spans="34:36" x14ac:dyDescent="0.25">
      <c r="AH45" s="1"/>
      <c r="AI45" s="27"/>
      <c r="AJ45" s="28"/>
    </row>
    <row r="46" spans="34:36" x14ac:dyDescent="0.25">
      <c r="AH46" s="1"/>
      <c r="AI46" s="27"/>
      <c r="AJ46" s="28"/>
    </row>
    <row r="47" spans="34:36" x14ac:dyDescent="0.25">
      <c r="AH47" s="1"/>
      <c r="AI47" s="27"/>
      <c r="AJ47" s="28"/>
    </row>
    <row r="48" spans="34:36" x14ac:dyDescent="0.25">
      <c r="AH48" s="1"/>
      <c r="AI48" s="27"/>
      <c r="AJ48" s="28"/>
    </row>
    <row r="49" spans="34:36" x14ac:dyDescent="0.25">
      <c r="AH49" s="1"/>
      <c r="AI49" s="27"/>
      <c r="AJ49" s="28"/>
    </row>
    <row r="50" spans="34:36" x14ac:dyDescent="0.25">
      <c r="AH50" s="1"/>
      <c r="AI50" s="27"/>
      <c r="AJ50" s="28"/>
    </row>
    <row r="51" spans="34:36" x14ac:dyDescent="0.25">
      <c r="AH51" s="1"/>
      <c r="AI51" s="27"/>
      <c r="AJ51" s="28"/>
    </row>
    <row r="52" spans="34:36" x14ac:dyDescent="0.25">
      <c r="AH52" s="1"/>
      <c r="AI52" s="27"/>
      <c r="AJ52" s="28"/>
    </row>
    <row r="53" spans="34:36" x14ac:dyDescent="0.25">
      <c r="AH53" s="1"/>
      <c r="AI53" s="27"/>
      <c r="AJ53" s="28"/>
    </row>
    <row r="54" spans="34:36" x14ac:dyDescent="0.25">
      <c r="AH54" s="1"/>
      <c r="AI54" s="27"/>
      <c r="AJ54" s="28"/>
    </row>
    <row r="55" spans="34:36" x14ac:dyDescent="0.25">
      <c r="AH55" s="1"/>
      <c r="AI55" s="27"/>
      <c r="AJ55" s="28"/>
    </row>
    <row r="56" spans="34:36" x14ac:dyDescent="0.25">
      <c r="AH56" s="1"/>
      <c r="AI56" s="27"/>
      <c r="AJ56" s="28"/>
    </row>
    <row r="57" spans="34:36" x14ac:dyDescent="0.25">
      <c r="AH57" s="1"/>
      <c r="AI57" s="27"/>
      <c r="AJ57" s="28"/>
    </row>
    <row r="58" spans="34:36" x14ac:dyDescent="0.25">
      <c r="AH58" s="1"/>
      <c r="AI58" s="27"/>
      <c r="AJ58" s="28"/>
    </row>
    <row r="59" spans="34:36" x14ac:dyDescent="0.25">
      <c r="AH59" s="1"/>
      <c r="AI59" s="27"/>
      <c r="AJ59" s="28"/>
    </row>
    <row r="60" spans="34:36" x14ac:dyDescent="0.25">
      <c r="AH60" s="1"/>
      <c r="AI60" s="27"/>
      <c r="AJ60" s="28"/>
    </row>
    <row r="61" spans="34:36" x14ac:dyDescent="0.25">
      <c r="AH61" s="1"/>
      <c r="AI61" s="27"/>
      <c r="AJ61" s="28"/>
    </row>
    <row r="62" spans="34:36" x14ac:dyDescent="0.25">
      <c r="AH62" s="1"/>
      <c r="AI62" s="27"/>
      <c r="AJ62" s="28"/>
    </row>
    <row r="63" spans="34:36" x14ac:dyDescent="0.25">
      <c r="AH63" s="1"/>
      <c r="AI63" s="27"/>
      <c r="AJ63" s="28"/>
    </row>
    <row r="64" spans="34:36" x14ac:dyDescent="0.25">
      <c r="AH64" s="1"/>
      <c r="AI64" s="27"/>
      <c r="AJ64" s="28"/>
    </row>
    <row r="65" spans="27:36" x14ac:dyDescent="0.25">
      <c r="AH65" s="1"/>
      <c r="AI65" s="27"/>
      <c r="AJ65" s="28"/>
    </row>
    <row r="66" spans="27:36" x14ac:dyDescent="0.25">
      <c r="AH66" s="1"/>
      <c r="AI66" s="27"/>
      <c r="AJ66" s="28"/>
    </row>
    <row r="67" spans="27:36" x14ac:dyDescent="0.25">
      <c r="AH67" s="1"/>
      <c r="AI67" s="27"/>
      <c r="AJ67" s="28"/>
    </row>
    <row r="68" spans="27:36" x14ac:dyDescent="0.25">
      <c r="AH68" s="1"/>
      <c r="AI68" s="27"/>
      <c r="AJ68" s="28"/>
    </row>
    <row r="69" spans="27:36" x14ac:dyDescent="0.25">
      <c r="AH69" s="1"/>
      <c r="AI69" s="27"/>
      <c r="AJ69" s="28"/>
    </row>
    <row r="70" spans="27:36" x14ac:dyDescent="0.25">
      <c r="AH70" s="1"/>
      <c r="AI70" s="27"/>
      <c r="AJ70" s="28"/>
    </row>
    <row r="71" spans="27:36" x14ac:dyDescent="0.25">
      <c r="AH71" s="1"/>
      <c r="AI71" s="27"/>
      <c r="AJ71" s="28"/>
    </row>
    <row r="72" spans="27:36" x14ac:dyDescent="0.25">
      <c r="AH72" s="1"/>
      <c r="AI72" s="27"/>
      <c r="AJ72" s="28"/>
    </row>
    <row r="73" spans="27:36" x14ac:dyDescent="0.25">
      <c r="AH73" s="1"/>
      <c r="AI73" s="27"/>
      <c r="AJ73" s="28"/>
    </row>
    <row r="74" spans="27:36" x14ac:dyDescent="0.25">
      <c r="AH74" s="1"/>
      <c r="AI74" s="27"/>
      <c r="AJ74" s="28"/>
    </row>
    <row r="75" spans="27:36" x14ac:dyDescent="0.25">
      <c r="AH75" s="1"/>
      <c r="AI75" s="27"/>
      <c r="AJ75" s="28"/>
    </row>
    <row r="76" spans="27:36" x14ac:dyDescent="0.25">
      <c r="AH76" s="1"/>
      <c r="AI76" s="27"/>
      <c r="AJ76" s="28"/>
    </row>
    <row r="77" spans="27:36" x14ac:dyDescent="0.25">
      <c r="AH77" s="1"/>
      <c r="AI77" s="27"/>
      <c r="AJ77" s="28"/>
    </row>
    <row r="78" spans="27:36" x14ac:dyDescent="0.25">
      <c r="AH78" s="1"/>
      <c r="AI78" s="27"/>
      <c r="AJ78" s="28"/>
    </row>
    <row r="79" spans="27:36" x14ac:dyDescent="0.25"/>
    <row r="80" spans="27:36" x14ac:dyDescent="0.25">
      <c r="AH80" s="1"/>
      <c r="AI80" s="27"/>
      <c r="AJ80" s="28"/>
    </row>
    <row r="81" spans="34:36" x14ac:dyDescent="0.25">
      <c r="AH81" s="1"/>
      <c r="AI81" s="27"/>
      <c r="AJ81" s="28"/>
    </row>
    <row r="82" spans="34:36" x14ac:dyDescent="0.25">
      <c r="AH82" s="1"/>
      <c r="AI82" s="27"/>
      <c r="AJ82" s="28"/>
    </row>
    <row r="83" spans="34:36" x14ac:dyDescent="0.25">
      <c r="AH83" s="1"/>
      <c r="AI83" s="27"/>
      <c r="AJ83" s="28"/>
    </row>
    <row r="84" spans="34:36" x14ac:dyDescent="0.25">
      <c r="AH84" s="1"/>
      <c r="AI84" s="27"/>
      <c r="AJ84" s="28"/>
    </row>
    <row r="85" spans="34:36" x14ac:dyDescent="0.25">
      <c r="AH85" s="1"/>
      <c r="AI85" s="27"/>
      <c r="AJ85" s="28"/>
    </row>
    <row r="86" spans="34:36" x14ac:dyDescent="0.25">
      <c r="AH86" s="1"/>
      <c r="AI86" s="27"/>
      <c r="AJ86" s="28"/>
    </row>
    <row r="87" spans="34:36" x14ac:dyDescent="0.25">
      <c r="AH87" s="1"/>
      <c r="AI87" s="27"/>
      <c r="AJ87" s="28"/>
    </row>
    <row r="88" spans="34:36" x14ac:dyDescent="0.25">
      <c r="AH88" s="1"/>
      <c r="AI88" s="27"/>
      <c r="AJ88" s="28"/>
    </row>
    <row r="89" spans="34:36" x14ac:dyDescent="0.25">
      <c r="AH89" s="1"/>
      <c r="AI89" s="27"/>
      <c r="AJ89" s="28"/>
    </row>
    <row r="90" spans="34:36" x14ac:dyDescent="0.25">
      <c r="AH90" s="1"/>
      <c r="AI90" s="27"/>
      <c r="AJ90" s="28"/>
    </row>
    <row r="91" spans="34:36" x14ac:dyDescent="0.25">
      <c r="AH91" s="1"/>
      <c r="AI91" s="27"/>
      <c r="AJ91" s="28"/>
    </row>
    <row r="92" spans="34:36" x14ac:dyDescent="0.25">
      <c r="AH92" s="1"/>
      <c r="AI92" s="27"/>
      <c r="AJ92" s="28"/>
    </row>
    <row r="93" spans="34:36" x14ac:dyDescent="0.25">
      <c r="AH93" s="1"/>
      <c r="AI93" s="27"/>
      <c r="AJ93" s="28"/>
    </row>
    <row r="94" spans="34:36" x14ac:dyDescent="0.25">
      <c r="AH94" s="1"/>
      <c r="AI94" s="27"/>
      <c r="AJ94" s="28"/>
    </row>
    <row r="95" spans="34:36" x14ac:dyDescent="0.25">
      <c r="AH95" s="1"/>
      <c r="AI95" s="27"/>
      <c r="AJ95" s="28"/>
    </row>
    <row r="96" spans="34:36" x14ac:dyDescent="0.25">
      <c r="AH96" s="1"/>
      <c r="AI96" s="27"/>
      <c r="AJ96" s="28"/>
    </row>
    <row r="97" spans="34:36" x14ac:dyDescent="0.25">
      <c r="AH97" s="1"/>
      <c r="AI97" s="27"/>
      <c r="AJ97" s="28"/>
    </row>
    <row r="98" spans="34:36" x14ac:dyDescent="0.25">
      <c r="AH98" s="1"/>
      <c r="AI98" s="27"/>
      <c r="AJ98" s="28"/>
    </row>
    <row r="99" spans="34:36" x14ac:dyDescent="0.25">
      <c r="AH99" s="1"/>
      <c r="AI99" s="27"/>
      <c r="AJ99" s="28"/>
    </row>
    <row r="100" spans="34:36" x14ac:dyDescent="0.25">
      <c r="AH100" s="1"/>
      <c r="AI100" s="27"/>
      <c r="AJ100" s="28"/>
    </row>
    <row r="101" spans="34:36" x14ac:dyDescent="0.25">
      <c r="AH101" s="1"/>
      <c r="AI101" s="27"/>
      <c r="AJ101" s="28"/>
    </row>
    <row r="102" spans="34:36" x14ac:dyDescent="0.25">
      <c r="AH102" s="1"/>
      <c r="AI102" s="27"/>
      <c r="AJ102" s="28"/>
    </row>
    <row r="103" spans="34:36" x14ac:dyDescent="0.25">
      <c r="AH103" s="1"/>
      <c r="AI103" s="27"/>
      <c r="AJ103" s="28"/>
    </row>
    <row r="104" spans="34:36" x14ac:dyDescent="0.25">
      <c r="AH104" s="1"/>
      <c r="AI104" s="27"/>
      <c r="AJ104" s="28"/>
    </row>
    <row r="105" spans="34:36" x14ac:dyDescent="0.25">
      <c r="AH105" s="1"/>
      <c r="AI105" s="27"/>
      <c r="AJ105" s="28"/>
    </row>
    <row r="106" spans="34:36" x14ac:dyDescent="0.25">
      <c r="AH106" s="1"/>
      <c r="AI106" s="27"/>
      <c r="AJ106" s="28"/>
    </row>
    <row r="107" spans="34:36" x14ac:dyDescent="0.25">
      <c r="AH107" s="1"/>
      <c r="AI107" s="27"/>
      <c r="AJ107" s="28"/>
    </row>
    <row r="108" spans="34:36" x14ac:dyDescent="0.25">
      <c r="AH108" s="1"/>
      <c r="AI108" s="27"/>
      <c r="AJ108" s="28"/>
    </row>
    <row r="109" spans="34:36" x14ac:dyDescent="0.25">
      <c r="AH109" s="1"/>
      <c r="AI109" s="27"/>
      <c r="AJ109" s="28"/>
    </row>
    <row r="110" spans="34:36" x14ac:dyDescent="0.25">
      <c r="AH110" s="1"/>
      <c r="AI110" s="27"/>
      <c r="AJ110" s="28"/>
    </row>
    <row r="111" spans="34:36" x14ac:dyDescent="0.25">
      <c r="AH111" s="1"/>
      <c r="AI111" s="27"/>
      <c r="AJ111" s="28"/>
    </row>
    <row r="112" spans="34:36" x14ac:dyDescent="0.25">
      <c r="AH112" s="1"/>
      <c r="AI112" s="27"/>
      <c r="AJ112" s="28"/>
    </row>
    <row r="113" spans="34:36" x14ac:dyDescent="0.25">
      <c r="AH113" s="1"/>
      <c r="AI113" s="27"/>
      <c r="AJ113" s="28"/>
    </row>
    <row r="114" spans="34:36" x14ac:dyDescent="0.25">
      <c r="AH114" s="1"/>
      <c r="AI114" s="27"/>
      <c r="AJ114" s="28"/>
    </row>
    <row r="115" spans="34:36" x14ac:dyDescent="0.25">
      <c r="AH115" s="1"/>
      <c r="AI115" s="27"/>
      <c r="AJ115" s="28"/>
    </row>
    <row r="116" spans="34:36" x14ac:dyDescent="0.25">
      <c r="AH116" s="1"/>
      <c r="AI116" s="27"/>
      <c r="AJ116" s="28"/>
    </row>
    <row r="117" spans="34:36" x14ac:dyDescent="0.25">
      <c r="AH117" s="1"/>
      <c r="AI117" s="27"/>
      <c r="AJ117" s="28"/>
    </row>
    <row r="118" spans="34:36" x14ac:dyDescent="0.25">
      <c r="AH118" s="1"/>
      <c r="AI118" s="27"/>
      <c r="AJ118" s="28"/>
    </row>
    <row r="119" spans="34:36" x14ac:dyDescent="0.25">
      <c r="AH119" s="1"/>
      <c r="AI119" s="27"/>
      <c r="AJ119" s="28"/>
    </row>
    <row r="120" spans="34:36" x14ac:dyDescent="0.25">
      <c r="AH120" s="1"/>
      <c r="AI120" s="27"/>
      <c r="AJ120" s="28"/>
    </row>
    <row r="121" spans="34:36" x14ac:dyDescent="0.25">
      <c r="AH121" s="1"/>
      <c r="AI121" s="27"/>
      <c r="AJ121" s="28"/>
    </row>
    <row r="122" spans="34:36" x14ac:dyDescent="0.25">
      <c r="AH122" s="1"/>
      <c r="AI122" s="27"/>
      <c r="AJ122" s="28"/>
    </row>
    <row r="123" spans="34:36" x14ac:dyDescent="0.25">
      <c r="AH123" s="1"/>
      <c r="AI123" s="27"/>
      <c r="AJ123" s="28"/>
    </row>
    <row r="124" spans="34:36" x14ac:dyDescent="0.25">
      <c r="AH124" s="1"/>
      <c r="AI124" s="27"/>
      <c r="AJ124" s="28"/>
    </row>
    <row r="125" spans="34:36" x14ac:dyDescent="0.25">
      <c r="AH125" s="1"/>
      <c r="AI125" s="27"/>
      <c r="AJ125" s="28"/>
    </row>
    <row r="126" spans="34:36" x14ac:dyDescent="0.25">
      <c r="AH126" s="1"/>
      <c r="AI126" s="27"/>
      <c r="AJ126" s="28"/>
    </row>
    <row r="127" spans="34:36" x14ac:dyDescent="0.25">
      <c r="AH127" s="1"/>
      <c r="AI127" s="27"/>
      <c r="AJ127" s="28"/>
    </row>
    <row r="128" spans="34:36" x14ac:dyDescent="0.25">
      <c r="AH128" s="1"/>
      <c r="AI128" s="27"/>
      <c r="AJ128" s="28"/>
    </row>
    <row r="129" spans="34:36" x14ac:dyDescent="0.25">
      <c r="AH129" s="1"/>
      <c r="AI129" s="27"/>
      <c r="AJ129" s="28"/>
    </row>
    <row r="130" spans="34:36" x14ac:dyDescent="0.25">
      <c r="AH130" s="1"/>
      <c r="AI130" s="27"/>
      <c r="AJ130" s="28"/>
    </row>
    <row r="131" spans="34:36" x14ac:dyDescent="0.25">
      <c r="AH131" s="1"/>
      <c r="AI131" s="27"/>
      <c r="AJ131" s="28"/>
    </row>
    <row r="132" spans="34:36" x14ac:dyDescent="0.25">
      <c r="AH132" s="1"/>
      <c r="AI132" s="27"/>
      <c r="AJ132" s="28"/>
    </row>
    <row r="133" spans="34:36" x14ac:dyDescent="0.25">
      <c r="AH133" s="1"/>
      <c r="AI133" s="27"/>
      <c r="AJ133" s="28"/>
    </row>
    <row r="134" spans="34:36" x14ac:dyDescent="0.25">
      <c r="AH134" s="1"/>
      <c r="AI134" s="27"/>
      <c r="AJ134" s="28"/>
    </row>
    <row r="135" spans="34:36" x14ac:dyDescent="0.25">
      <c r="AH135" s="1"/>
      <c r="AI135" s="27"/>
      <c r="AJ135" s="28"/>
    </row>
    <row r="136" spans="34:36" x14ac:dyDescent="0.25">
      <c r="AH136" s="1"/>
      <c r="AI136" s="27"/>
      <c r="AJ136" s="28"/>
    </row>
    <row r="137" spans="34:36" x14ac:dyDescent="0.25">
      <c r="AH137" s="1"/>
      <c r="AI137" s="27"/>
      <c r="AJ137" s="28"/>
    </row>
    <row r="138" spans="34:36" x14ac:dyDescent="0.25">
      <c r="AH138" s="1"/>
      <c r="AI138" s="27"/>
      <c r="AJ138" s="28"/>
    </row>
    <row r="139" spans="34:36" x14ac:dyDescent="0.25">
      <c r="AH139" s="1"/>
      <c r="AI139" s="27"/>
      <c r="AJ139" s="28"/>
    </row>
    <row r="140" spans="34:36" x14ac:dyDescent="0.25">
      <c r="AH140" s="1"/>
      <c r="AI140" s="27"/>
      <c r="AJ140" s="28"/>
    </row>
    <row r="141" spans="34:36" x14ac:dyDescent="0.25">
      <c r="AH141" s="1"/>
      <c r="AI141" s="27"/>
      <c r="AJ141" s="28"/>
    </row>
    <row r="142" spans="34:36" x14ac:dyDescent="0.25">
      <c r="AH142" s="1"/>
      <c r="AI142" s="27"/>
      <c r="AJ142" s="28"/>
    </row>
    <row r="143" spans="34:36" x14ac:dyDescent="0.25">
      <c r="AH143" s="1"/>
      <c r="AI143" s="27"/>
      <c r="AJ143" s="28"/>
    </row>
    <row r="144" spans="34:36" x14ac:dyDescent="0.25">
      <c r="AH144" s="1"/>
      <c r="AI144" s="27"/>
      <c r="AJ144" s="28"/>
    </row>
    <row r="145" spans="34:36" x14ac:dyDescent="0.25">
      <c r="AH145" s="1"/>
      <c r="AI145" s="27"/>
      <c r="AJ145" s="28"/>
    </row>
    <row r="146" spans="34:36" x14ac:dyDescent="0.25">
      <c r="AH146" s="1"/>
      <c r="AI146" s="27"/>
      <c r="AJ146" s="28"/>
    </row>
    <row r="147" spans="34:36" x14ac:dyDescent="0.25">
      <c r="AH147" s="1"/>
      <c r="AI147" s="27"/>
      <c r="AJ147" s="28"/>
    </row>
    <row r="148" spans="34:36" x14ac:dyDescent="0.25">
      <c r="AH148" s="1"/>
      <c r="AI148" s="27"/>
      <c r="AJ148" s="28"/>
    </row>
    <row r="149" spans="34:36" x14ac:dyDescent="0.25">
      <c r="AH149" s="1"/>
      <c r="AI149" s="27"/>
      <c r="AJ149" s="28"/>
    </row>
    <row r="150" spans="34:36" x14ac:dyDescent="0.25">
      <c r="AH150" s="1"/>
      <c r="AI150" s="27"/>
      <c r="AJ150" s="28"/>
    </row>
    <row r="151" spans="34:36" x14ac:dyDescent="0.25">
      <c r="AH151" s="1"/>
      <c r="AI151" s="27"/>
      <c r="AJ151" s="28"/>
    </row>
    <row r="152" spans="34:36" x14ac:dyDescent="0.25">
      <c r="AH152" s="1"/>
      <c r="AI152" s="27"/>
      <c r="AJ152" s="28"/>
    </row>
    <row r="153" spans="34:36" x14ac:dyDescent="0.25">
      <c r="AH153" s="1"/>
      <c r="AI153" s="27"/>
      <c r="AJ153" s="28"/>
    </row>
    <row r="154" spans="34:36" x14ac:dyDescent="0.25">
      <c r="AH154" s="1"/>
      <c r="AI154" s="27"/>
      <c r="AJ154" s="28"/>
    </row>
    <row r="155" spans="34:36" x14ac:dyDescent="0.25">
      <c r="AH155" s="1"/>
      <c r="AI155" s="27"/>
      <c r="AJ155" s="28"/>
    </row>
    <row r="156" spans="34:36" x14ac:dyDescent="0.25">
      <c r="AH156" s="1"/>
      <c r="AI156" s="27"/>
      <c r="AJ156" s="28"/>
    </row>
    <row r="157" spans="34:36" x14ac:dyDescent="0.25">
      <c r="AH157" s="1"/>
      <c r="AI157" s="27"/>
      <c r="AJ157" s="28"/>
    </row>
    <row r="158" spans="34:36" x14ac:dyDescent="0.25">
      <c r="AH158" s="1"/>
      <c r="AI158" s="27"/>
      <c r="AJ158" s="28"/>
    </row>
    <row r="159" spans="34:36" x14ac:dyDescent="0.25">
      <c r="AH159" s="1"/>
      <c r="AI159" s="27"/>
      <c r="AJ159" s="28"/>
    </row>
    <row r="160" spans="34:36" x14ac:dyDescent="0.25">
      <c r="AH160" s="1"/>
      <c r="AI160" s="27"/>
      <c r="AJ160" s="28"/>
    </row>
    <row r="161" spans="34:36" x14ac:dyDescent="0.25">
      <c r="AH161" s="1"/>
      <c r="AI161" s="27"/>
      <c r="AJ161" s="28"/>
    </row>
    <row r="162" spans="34:36" x14ac:dyDescent="0.25">
      <c r="AH162" s="1"/>
      <c r="AI162" s="27"/>
      <c r="AJ162" s="28"/>
    </row>
    <row r="163" spans="34:36" x14ac:dyDescent="0.25">
      <c r="AH163" s="1"/>
      <c r="AI163" s="27"/>
      <c r="AJ163" s="28"/>
    </row>
    <row r="164" spans="34:36" x14ac:dyDescent="0.25">
      <c r="AH164" s="1"/>
      <c r="AI164" s="27"/>
      <c r="AJ164" s="28"/>
    </row>
    <row r="165" spans="34:36" x14ac:dyDescent="0.25">
      <c r="AH165" s="1"/>
      <c r="AI165" s="27"/>
      <c r="AJ165" s="28"/>
    </row>
    <row r="166" spans="34:36" x14ac:dyDescent="0.25">
      <c r="AH166" s="1"/>
      <c r="AI166" s="27"/>
      <c r="AJ166" s="28"/>
    </row>
    <row r="167" spans="34:36" x14ac:dyDescent="0.25">
      <c r="AH167" s="1"/>
      <c r="AI167" s="27"/>
      <c r="AJ167" s="28"/>
    </row>
    <row r="168" spans="34:36" x14ac:dyDescent="0.25">
      <c r="AH168" s="1"/>
      <c r="AI168" s="27"/>
      <c r="AJ168" s="28"/>
    </row>
    <row r="169" spans="34:36" x14ac:dyDescent="0.25">
      <c r="AH169" s="1"/>
      <c r="AI169" s="27"/>
      <c r="AJ169" s="28"/>
    </row>
    <row r="170" spans="34:36" x14ac:dyDescent="0.25">
      <c r="AH170" s="1"/>
      <c r="AI170" s="27"/>
      <c r="AJ170" s="28"/>
    </row>
    <row r="171" spans="34:36" x14ac:dyDescent="0.25">
      <c r="AH171" s="1"/>
      <c r="AI171" s="27"/>
      <c r="AJ171" s="28"/>
    </row>
    <row r="172" spans="34:36" x14ac:dyDescent="0.25">
      <c r="AH172" s="1"/>
      <c r="AI172" s="27"/>
      <c r="AJ172" s="28"/>
    </row>
    <row r="173" spans="34:36" x14ac:dyDescent="0.25">
      <c r="AH173" s="1"/>
      <c r="AI173" s="27"/>
      <c r="AJ173" s="28"/>
    </row>
    <row r="174" spans="34:36" x14ac:dyDescent="0.25">
      <c r="AH174" s="1"/>
      <c r="AI174" s="27"/>
      <c r="AJ174" s="28"/>
    </row>
    <row r="175" spans="34:36" x14ac:dyDescent="0.25">
      <c r="AH175" s="1"/>
      <c r="AI175" s="27"/>
      <c r="AJ175" s="28"/>
    </row>
    <row r="176" spans="34:36" x14ac:dyDescent="0.25">
      <c r="AH176" s="1"/>
      <c r="AI176" s="27"/>
      <c r="AJ176" s="28"/>
    </row>
    <row r="177" spans="34:36" x14ac:dyDescent="0.25">
      <c r="AH177" s="1"/>
      <c r="AI177" s="27"/>
      <c r="AJ177" s="28"/>
    </row>
    <row r="178" spans="34:36" x14ac:dyDescent="0.25">
      <c r="AH178" s="1"/>
      <c r="AI178" s="27"/>
      <c r="AJ178" s="28"/>
    </row>
    <row r="179" spans="34:36" x14ac:dyDescent="0.25">
      <c r="AH179" s="1"/>
      <c r="AI179" s="27"/>
      <c r="AJ179" s="28"/>
    </row>
    <row r="180" spans="34:36" x14ac:dyDescent="0.25">
      <c r="AH180" s="1"/>
      <c r="AI180" s="27"/>
      <c r="AJ180" s="28"/>
    </row>
    <row r="181" spans="34:36" x14ac:dyDescent="0.25">
      <c r="AH181" s="1"/>
      <c r="AI181" s="27"/>
      <c r="AJ181" s="28"/>
    </row>
    <row r="182" spans="34:36" x14ac:dyDescent="0.25">
      <c r="AH182" s="1"/>
      <c r="AI182" s="27"/>
      <c r="AJ182" s="28"/>
    </row>
    <row r="183" spans="34:36" x14ac:dyDescent="0.25">
      <c r="AH183" s="1"/>
      <c r="AI183" s="27"/>
      <c r="AJ183" s="28"/>
    </row>
    <row r="184" spans="34:36" x14ac:dyDescent="0.25">
      <c r="AH184" s="1"/>
      <c r="AI184" s="27"/>
      <c r="AJ184" s="28"/>
    </row>
    <row r="185" spans="34:36" x14ac:dyDescent="0.25">
      <c r="AH185" s="1"/>
      <c r="AI185" s="27"/>
      <c r="AJ185" s="28"/>
    </row>
    <row r="186" spans="34:36" x14ac:dyDescent="0.25">
      <c r="AH186" s="1"/>
      <c r="AI186" s="27"/>
      <c r="AJ186" s="28"/>
    </row>
    <row r="187" spans="34:36" x14ac:dyDescent="0.25">
      <c r="AH187" s="1"/>
      <c r="AI187" s="27"/>
      <c r="AJ187" s="28"/>
    </row>
    <row r="188" spans="34:36" x14ac:dyDescent="0.25">
      <c r="AH188" s="1"/>
      <c r="AI188" s="27"/>
      <c r="AJ188" s="28"/>
    </row>
    <row r="189" spans="34:36" x14ac:dyDescent="0.25">
      <c r="AH189" s="1"/>
      <c r="AI189" s="27"/>
      <c r="AJ189" s="28"/>
    </row>
    <row r="190" spans="34:36" x14ac:dyDescent="0.25">
      <c r="AH190" s="1"/>
      <c r="AI190" s="27"/>
      <c r="AJ190" s="28"/>
    </row>
    <row r="191" spans="34:36" x14ac:dyDescent="0.25">
      <c r="AH191" s="1"/>
      <c r="AI191" s="27"/>
      <c r="AJ191" s="28"/>
    </row>
    <row r="192" spans="34:36" x14ac:dyDescent="0.25">
      <c r="AH192" s="1"/>
      <c r="AI192" s="27"/>
      <c r="AJ192" s="28"/>
    </row>
    <row r="193" spans="34:36" x14ac:dyDescent="0.25">
      <c r="AH193" s="1"/>
      <c r="AI193" s="27"/>
      <c r="AJ193" s="28"/>
    </row>
    <row r="194" spans="34:36" x14ac:dyDescent="0.25">
      <c r="AH194" s="1"/>
      <c r="AI194" s="27"/>
      <c r="AJ194" s="28"/>
    </row>
    <row r="195" spans="34:36" x14ac:dyDescent="0.25">
      <c r="AH195" s="1"/>
      <c r="AI195" s="27"/>
      <c r="AJ195" s="28"/>
    </row>
    <row r="196" spans="34:36" x14ac:dyDescent="0.25">
      <c r="AH196" s="1"/>
      <c r="AI196" s="27"/>
      <c r="AJ196" s="28"/>
    </row>
    <row r="197" spans="34:36" x14ac:dyDescent="0.25">
      <c r="AH197" s="1"/>
      <c r="AI197" s="27"/>
      <c r="AJ197" s="28"/>
    </row>
    <row r="198" spans="34:36" x14ac:dyDescent="0.25">
      <c r="AH198" s="1"/>
      <c r="AI198" s="27"/>
      <c r="AJ198" s="28"/>
    </row>
    <row r="199" spans="34:36" x14ac:dyDescent="0.25">
      <c r="AH199" s="1"/>
      <c r="AI199" s="27"/>
      <c r="AJ199" s="28"/>
    </row>
    <row r="200" spans="34:36" x14ac:dyDescent="0.25">
      <c r="AH200" s="1"/>
      <c r="AI200" s="27"/>
      <c r="AJ200" s="28"/>
    </row>
    <row r="201" spans="34:36" x14ac:dyDescent="0.25">
      <c r="AH201" s="1"/>
      <c r="AI201" s="27"/>
      <c r="AJ201" s="28"/>
    </row>
    <row r="202" spans="34:36" x14ac:dyDescent="0.25">
      <c r="AH202" s="1"/>
      <c r="AI202" s="27"/>
      <c r="AJ202" s="28"/>
    </row>
    <row r="203" spans="34:36" x14ac:dyDescent="0.25">
      <c r="AH203" s="1"/>
      <c r="AI203" s="27"/>
      <c r="AJ203" s="28"/>
    </row>
    <row r="204" spans="34:36" x14ac:dyDescent="0.25">
      <c r="AH204" s="1"/>
      <c r="AI204" s="27"/>
      <c r="AJ204" s="28"/>
    </row>
    <row r="205" spans="34:36" x14ac:dyDescent="0.25">
      <c r="AH205" s="1"/>
      <c r="AI205" s="27"/>
      <c r="AJ205" s="28"/>
    </row>
    <row r="206" spans="34:36" x14ac:dyDescent="0.25">
      <c r="AH206" s="1"/>
      <c r="AI206" s="27"/>
      <c r="AJ206" s="28"/>
    </row>
    <row r="207" spans="34:36" x14ac:dyDescent="0.25">
      <c r="AH207" s="1"/>
      <c r="AI207" s="27"/>
      <c r="AJ207" s="28"/>
    </row>
    <row r="208" spans="34:36" x14ac:dyDescent="0.25">
      <c r="AH208" s="1"/>
      <c r="AI208" s="27"/>
      <c r="AJ208" s="28"/>
    </row>
    <row r="209" spans="34:36" x14ac:dyDescent="0.25">
      <c r="AH209" s="1"/>
      <c r="AI209" s="27"/>
      <c r="AJ209" s="28"/>
    </row>
    <row r="210" spans="34:36" x14ac:dyDescent="0.25">
      <c r="AH210" s="1"/>
      <c r="AI210" s="27"/>
      <c r="AJ210" s="28"/>
    </row>
    <row r="211" spans="34:36" x14ac:dyDescent="0.25">
      <c r="AH211" s="1"/>
      <c r="AI211" s="27"/>
      <c r="AJ211" s="28"/>
    </row>
    <row r="212" spans="34:36" x14ac:dyDescent="0.25">
      <c r="AH212" s="1"/>
      <c r="AI212" s="27"/>
      <c r="AJ212" s="28"/>
    </row>
    <row r="213" spans="34:36" x14ac:dyDescent="0.25">
      <c r="AH213" s="1"/>
      <c r="AI213" s="27"/>
      <c r="AJ213" s="28"/>
    </row>
    <row r="214" spans="34:36" x14ac:dyDescent="0.25">
      <c r="AH214" s="1"/>
      <c r="AI214" s="27"/>
      <c r="AJ214" s="28"/>
    </row>
    <row r="215" spans="34:36" x14ac:dyDescent="0.25">
      <c r="AH215" s="1"/>
      <c r="AI215" s="27"/>
      <c r="AJ215" s="28"/>
    </row>
    <row r="216" spans="34:36" x14ac:dyDescent="0.25">
      <c r="AH216" s="1"/>
      <c r="AI216" s="27"/>
      <c r="AJ216" s="28"/>
    </row>
    <row r="217" spans="34:36" x14ac:dyDescent="0.25">
      <c r="AH217" s="1"/>
      <c r="AI217" s="27"/>
      <c r="AJ217" s="28"/>
    </row>
    <row r="218" spans="34:36" x14ac:dyDescent="0.25">
      <c r="AH218" s="1"/>
      <c r="AI218" s="27"/>
      <c r="AJ218" s="28"/>
    </row>
    <row r="219" spans="34:36" x14ac:dyDescent="0.25">
      <c r="AH219" s="1"/>
      <c r="AI219" s="27"/>
      <c r="AJ219" s="28"/>
    </row>
    <row r="220" spans="34:36" x14ac:dyDescent="0.25">
      <c r="AH220" s="1"/>
      <c r="AI220" s="27"/>
      <c r="AJ220" s="28"/>
    </row>
    <row r="221" spans="34:36" x14ac:dyDescent="0.25">
      <c r="AH221" s="1"/>
      <c r="AI221" s="27"/>
      <c r="AJ221" s="28"/>
    </row>
    <row r="222" spans="34:36" x14ac:dyDescent="0.25">
      <c r="AH222" s="1"/>
      <c r="AI222" s="27"/>
      <c r="AJ222" s="28"/>
    </row>
    <row r="223" spans="34:36" x14ac:dyDescent="0.25">
      <c r="AH223" s="1"/>
      <c r="AI223" s="27"/>
      <c r="AJ223" s="28"/>
    </row>
    <row r="224" spans="34:36" x14ac:dyDescent="0.25">
      <c r="AH224" s="1"/>
      <c r="AI224" s="27"/>
      <c r="AJ224" s="28"/>
    </row>
    <row r="225" spans="34:36" x14ac:dyDescent="0.25">
      <c r="AH225" s="1"/>
      <c r="AI225" s="27"/>
      <c r="AJ225" s="28"/>
    </row>
    <row r="226" spans="34:36" x14ac:dyDescent="0.25">
      <c r="AH226" s="1"/>
      <c r="AI226" s="27"/>
      <c r="AJ226" s="28"/>
    </row>
    <row r="227" spans="34:36" x14ac:dyDescent="0.25">
      <c r="AH227" s="1"/>
      <c r="AI227" s="27"/>
      <c r="AJ227" s="28"/>
    </row>
    <row r="228" spans="34:36" x14ac:dyDescent="0.25">
      <c r="AH228" s="1"/>
      <c r="AI228" s="27"/>
      <c r="AJ228" s="28"/>
    </row>
    <row r="229" spans="34:36" x14ac:dyDescent="0.25">
      <c r="AH229" s="1"/>
      <c r="AI229" s="27"/>
      <c r="AJ229" s="28"/>
    </row>
    <row r="230" spans="34:36" x14ac:dyDescent="0.25">
      <c r="AH230" s="1"/>
      <c r="AI230" s="27"/>
      <c r="AJ230" s="28"/>
    </row>
    <row r="231" spans="34:36" x14ac:dyDescent="0.25">
      <c r="AH231" s="1"/>
      <c r="AI231" s="27"/>
      <c r="AJ231" s="28"/>
    </row>
    <row r="232" spans="34:36" x14ac:dyDescent="0.25">
      <c r="AH232" s="1"/>
      <c r="AI232" s="27"/>
      <c r="AJ232" s="28"/>
    </row>
    <row r="233" spans="34:36" x14ac:dyDescent="0.25">
      <c r="AH233" s="1"/>
      <c r="AI233" s="27"/>
      <c r="AJ233" s="28"/>
    </row>
    <row r="234" spans="34:36" x14ac:dyDescent="0.25">
      <c r="AH234" s="1"/>
      <c r="AI234" s="27"/>
      <c r="AJ234" s="28"/>
    </row>
    <row r="235" spans="34:36" x14ac:dyDescent="0.25">
      <c r="AH235" s="1"/>
      <c r="AI235" s="27"/>
      <c r="AJ235" s="28"/>
    </row>
    <row r="236" spans="34:36" x14ac:dyDescent="0.25">
      <c r="AH236" s="1"/>
      <c r="AI236" s="27"/>
      <c r="AJ236" s="28"/>
    </row>
    <row r="237" spans="34:36" x14ac:dyDescent="0.25">
      <c r="AH237" s="1"/>
      <c r="AI237" s="27"/>
      <c r="AJ237" s="28"/>
    </row>
    <row r="238" spans="34:36" x14ac:dyDescent="0.25">
      <c r="AH238" s="1"/>
      <c r="AI238" s="27"/>
      <c r="AJ238" s="28"/>
    </row>
    <row r="239" spans="34:36" x14ac:dyDescent="0.25">
      <c r="AH239" s="1"/>
      <c r="AI239" s="27"/>
      <c r="AJ239" s="28"/>
    </row>
    <row r="240" spans="34:36" x14ac:dyDescent="0.25">
      <c r="AH240" s="1"/>
      <c r="AI240" s="27"/>
      <c r="AJ240" s="28"/>
    </row>
    <row r="241" spans="34:36" x14ac:dyDescent="0.25">
      <c r="AH241" s="1"/>
      <c r="AI241" s="27"/>
      <c r="AJ241" s="28"/>
    </row>
    <row r="242" spans="34:36" x14ac:dyDescent="0.25">
      <c r="AH242" s="1"/>
      <c r="AI242" s="27"/>
      <c r="AJ242" s="28"/>
    </row>
    <row r="243" spans="34:36" x14ac:dyDescent="0.25">
      <c r="AH243" s="1"/>
      <c r="AI243" s="27"/>
      <c r="AJ243" s="28"/>
    </row>
    <row r="244" spans="34:36" x14ac:dyDescent="0.25">
      <c r="AH244" s="1"/>
      <c r="AI244" s="27"/>
      <c r="AJ244" s="28"/>
    </row>
    <row r="245" spans="34:36" x14ac:dyDescent="0.25">
      <c r="AH245" s="1"/>
      <c r="AI245" s="27"/>
      <c r="AJ245" s="28"/>
    </row>
    <row r="246" spans="34:36" x14ac:dyDescent="0.25">
      <c r="AH246" s="1"/>
      <c r="AI246" s="27"/>
      <c r="AJ246" s="28"/>
    </row>
    <row r="247" spans="34:36" x14ac:dyDescent="0.25">
      <c r="AH247" s="1"/>
      <c r="AI247" s="27"/>
      <c r="AJ247" s="28"/>
    </row>
    <row r="248" spans="34:36" x14ac:dyDescent="0.25">
      <c r="AH248" s="1"/>
      <c r="AI248" s="27"/>
      <c r="AJ248" s="28"/>
    </row>
    <row r="249" spans="34:36" x14ac:dyDescent="0.25">
      <c r="AH249" s="1"/>
      <c r="AI249" s="27"/>
      <c r="AJ249" s="28"/>
    </row>
    <row r="250" spans="34:36" x14ac:dyDescent="0.25">
      <c r="AH250" s="1"/>
      <c r="AI250" s="27"/>
      <c r="AJ250" s="28"/>
    </row>
    <row r="251" spans="34:36" x14ac:dyDescent="0.25">
      <c r="AH251" s="1"/>
      <c r="AI251" s="27"/>
      <c r="AJ251" s="28"/>
    </row>
    <row r="252" spans="34:36" x14ac:dyDescent="0.25">
      <c r="AH252" s="1"/>
      <c r="AI252" s="27"/>
      <c r="AJ252" s="28"/>
    </row>
    <row r="253" spans="34:36" x14ac:dyDescent="0.25">
      <c r="AH253" s="1"/>
      <c r="AI253" s="27"/>
      <c r="AJ253" s="28"/>
    </row>
    <row r="254" spans="34:36" x14ac:dyDescent="0.25">
      <c r="AH254" s="1"/>
      <c r="AI254" s="27"/>
      <c r="AJ254" s="28"/>
    </row>
    <row r="255" spans="34:36" x14ac:dyDescent="0.25">
      <c r="AH255" s="1"/>
      <c r="AI255" s="27"/>
      <c r="AJ255" s="28"/>
    </row>
    <row r="256" spans="34:36" x14ac:dyDescent="0.25">
      <c r="AH256" s="1"/>
      <c r="AI256" s="27"/>
      <c r="AJ256" s="28"/>
    </row>
    <row r="257" spans="34:36" x14ac:dyDescent="0.25">
      <c r="AH257" s="1"/>
      <c r="AI257" s="27"/>
      <c r="AJ257" s="28"/>
    </row>
    <row r="258" spans="34:36" x14ac:dyDescent="0.25">
      <c r="AH258" s="1"/>
      <c r="AI258" s="27"/>
      <c r="AJ258" s="28"/>
    </row>
    <row r="259" spans="34:36" x14ac:dyDescent="0.25">
      <c r="AH259" s="1"/>
      <c r="AI259" s="27"/>
      <c r="AJ259" s="28"/>
    </row>
    <row r="260" spans="34:36" x14ac:dyDescent="0.25">
      <c r="AH260" s="1"/>
      <c r="AI260" s="27"/>
      <c r="AJ260" s="28"/>
    </row>
    <row r="261" spans="34:36" x14ac:dyDescent="0.25">
      <c r="AH261" s="1"/>
      <c r="AI261" s="27"/>
      <c r="AJ261" s="28"/>
    </row>
    <row r="262" spans="34:36" x14ac:dyDescent="0.25">
      <c r="AH262" s="1"/>
      <c r="AI262" s="27"/>
      <c r="AJ262" s="28"/>
    </row>
    <row r="263" spans="34:36" x14ac:dyDescent="0.25">
      <c r="AH263" s="1"/>
      <c r="AI263" s="27"/>
      <c r="AJ263" s="28"/>
    </row>
    <row r="264" spans="34:36" x14ac:dyDescent="0.25">
      <c r="AH264" s="1"/>
      <c r="AI264" s="27"/>
      <c r="AJ264" s="28"/>
    </row>
    <row r="265" spans="34:36" x14ac:dyDescent="0.25">
      <c r="AH265" s="1"/>
      <c r="AI265" s="27"/>
      <c r="AJ265" s="28"/>
    </row>
    <row r="266" spans="34:36" x14ac:dyDescent="0.25">
      <c r="AH266" s="1"/>
      <c r="AI266" s="27"/>
      <c r="AJ266" s="28"/>
    </row>
    <row r="267" spans="34:36" x14ac:dyDescent="0.25">
      <c r="AH267" s="1"/>
      <c r="AI267" s="27"/>
      <c r="AJ267" s="28"/>
    </row>
    <row r="268" spans="34:36" x14ac:dyDescent="0.25">
      <c r="AH268" s="1"/>
      <c r="AI268" s="27"/>
      <c r="AJ268" s="28"/>
    </row>
    <row r="269" spans="34:36" x14ac:dyDescent="0.25">
      <c r="AH269" s="1"/>
      <c r="AI269" s="27"/>
      <c r="AJ269" s="28"/>
    </row>
    <row r="270" spans="34:36" x14ac:dyDescent="0.25">
      <c r="AH270" s="1"/>
      <c r="AI270" s="27"/>
      <c r="AJ270" s="28"/>
    </row>
    <row r="271" spans="34:36" x14ac:dyDescent="0.25">
      <c r="AH271" s="1"/>
      <c r="AI271" s="27"/>
      <c r="AJ271" s="28"/>
    </row>
    <row r="272" spans="34:36" x14ac:dyDescent="0.25">
      <c r="AH272" s="1"/>
      <c r="AI272" s="27"/>
      <c r="AJ272" s="28"/>
    </row>
    <row r="273" spans="34:36" x14ac:dyDescent="0.25">
      <c r="AH273" s="1"/>
      <c r="AI273" s="27"/>
      <c r="AJ273" s="28"/>
    </row>
    <row r="274" spans="34:36" x14ac:dyDescent="0.25">
      <c r="AH274" s="1"/>
      <c r="AI274" s="27"/>
      <c r="AJ274" s="28"/>
    </row>
    <row r="313" spans="34:36" x14ac:dyDescent="0.25">
      <c r="AH313" s="1"/>
      <c r="AI313" s="27"/>
      <c r="AJ313" s="28"/>
    </row>
    <row r="314" spans="34:36" x14ac:dyDescent="0.25">
      <c r="AH314" s="1"/>
      <c r="AI314" s="27"/>
      <c r="AJ314" s="28"/>
    </row>
    <row r="315" spans="34:36" x14ac:dyDescent="0.25">
      <c r="AH315" s="1"/>
      <c r="AI315" s="27"/>
      <c r="AJ315" s="28"/>
    </row>
    <row r="316" spans="34:36" x14ac:dyDescent="0.25">
      <c r="AH316" s="1"/>
      <c r="AI316" s="27"/>
      <c r="AJ316" s="28"/>
    </row>
    <row r="317" spans="34:36" x14ac:dyDescent="0.25">
      <c r="AH317" s="1"/>
      <c r="AI317" s="27"/>
      <c r="AJ317" s="28"/>
    </row>
    <row r="318" spans="34:36" x14ac:dyDescent="0.25">
      <c r="AH318" s="1"/>
      <c r="AI318" s="27"/>
      <c r="AJ318" s="28"/>
    </row>
    <row r="319" spans="34:36" x14ac:dyDescent="0.25">
      <c r="AH319" s="1"/>
      <c r="AI319" s="27"/>
      <c r="AJ319" s="28"/>
    </row>
    <row r="320" spans="34:36" x14ac:dyDescent="0.25">
      <c r="AH320" s="1"/>
      <c r="AI320" s="27"/>
      <c r="AJ320" s="28"/>
    </row>
    <row r="321" spans="34:36" x14ac:dyDescent="0.25">
      <c r="AH321" s="1"/>
      <c r="AI321" s="27"/>
      <c r="AJ321" s="28"/>
    </row>
    <row r="322" spans="34:36" x14ac:dyDescent="0.25">
      <c r="AH322" s="1"/>
      <c r="AI322" s="27"/>
      <c r="AJ322" s="28"/>
    </row>
    <row r="323" spans="34:36" x14ac:dyDescent="0.25">
      <c r="AH323" s="1"/>
      <c r="AI323" s="27"/>
      <c r="AJ323" s="28"/>
    </row>
    <row r="324" spans="34:36" x14ac:dyDescent="0.25">
      <c r="AH324" s="1"/>
      <c r="AI324" s="27"/>
      <c r="AJ324" s="28"/>
    </row>
    <row r="325" spans="34:36" x14ac:dyDescent="0.25">
      <c r="AH325" s="1"/>
      <c r="AI325" s="27"/>
      <c r="AJ325" s="28"/>
    </row>
    <row r="326" spans="34:36" x14ac:dyDescent="0.25">
      <c r="AH326" s="1"/>
      <c r="AI326" s="27"/>
      <c r="AJ326" s="28"/>
    </row>
    <row r="327" spans="34:36" x14ac:dyDescent="0.25">
      <c r="AH327" s="1"/>
      <c r="AI327" s="27"/>
      <c r="AJ327" s="28"/>
    </row>
    <row r="328" spans="34:36" x14ac:dyDescent="0.25">
      <c r="AH328" s="1"/>
      <c r="AI328" s="27"/>
      <c r="AJ328" s="28"/>
    </row>
    <row r="329" spans="34:36" x14ac:dyDescent="0.25">
      <c r="AH329" s="1"/>
      <c r="AI329" s="27"/>
      <c r="AJ329" s="28"/>
    </row>
    <row r="330" spans="34:36" x14ac:dyDescent="0.25">
      <c r="AH330" s="1"/>
      <c r="AI330" s="27"/>
      <c r="AJ330" s="28"/>
    </row>
    <row r="331" spans="34:36" x14ac:dyDescent="0.25">
      <c r="AH331" s="1"/>
      <c r="AI331" s="27"/>
      <c r="AJ331" s="28"/>
    </row>
    <row r="332" spans="34:36" x14ac:dyDescent="0.25">
      <c r="AH332" s="1"/>
      <c r="AI332" s="27"/>
      <c r="AJ332" s="28"/>
    </row>
    <row r="333" spans="34:36" x14ac:dyDescent="0.25">
      <c r="AH333" s="1"/>
      <c r="AI333" s="27"/>
      <c r="AJ333" s="28"/>
    </row>
    <row r="334" spans="34:36" x14ac:dyDescent="0.25">
      <c r="AH334" s="1"/>
      <c r="AI334" s="27"/>
      <c r="AJ334" s="28"/>
    </row>
    <row r="335" spans="34:36" x14ac:dyDescent="0.25">
      <c r="AH335" s="1"/>
      <c r="AI335" s="27"/>
      <c r="AJ335" s="28"/>
    </row>
    <row r="336" spans="34:36" x14ac:dyDescent="0.25">
      <c r="AH336" s="1"/>
      <c r="AI336" s="27"/>
      <c r="AJ336" s="28"/>
    </row>
    <row r="337" spans="34:36" x14ac:dyDescent="0.25">
      <c r="AH337" s="1"/>
      <c r="AI337" s="27"/>
      <c r="AJ337" s="28"/>
    </row>
    <row r="338" spans="34:36" x14ac:dyDescent="0.25">
      <c r="AH338" s="1"/>
      <c r="AI338" s="27"/>
      <c r="AJ338" s="28"/>
    </row>
    <row r="339" spans="34:36" x14ac:dyDescent="0.25">
      <c r="AH339" s="1"/>
      <c r="AI339" s="27"/>
      <c r="AJ339" s="28"/>
    </row>
    <row r="340" spans="34:36" x14ac:dyDescent="0.25">
      <c r="AH340" s="1"/>
      <c r="AI340" s="27"/>
      <c r="AJ340" s="28"/>
    </row>
    <row r="341" spans="34:36" x14ac:dyDescent="0.25">
      <c r="AH341" s="1"/>
      <c r="AI341" s="27"/>
      <c r="AJ341" s="28"/>
    </row>
    <row r="342" spans="34:36" x14ac:dyDescent="0.25">
      <c r="AH342" s="1"/>
      <c r="AI342" s="27"/>
      <c r="AJ342" s="28"/>
    </row>
    <row r="343" spans="34:36" x14ac:dyDescent="0.25">
      <c r="AH343" s="1"/>
      <c r="AI343" s="27"/>
      <c r="AJ343" s="28"/>
    </row>
    <row r="344" spans="34:36" x14ac:dyDescent="0.25">
      <c r="AH344" s="1"/>
      <c r="AI344" s="27"/>
      <c r="AJ344" s="28"/>
    </row>
    <row r="345" spans="34:36" x14ac:dyDescent="0.25">
      <c r="AH345" s="1"/>
      <c r="AI345" s="27"/>
      <c r="AJ345" s="28"/>
    </row>
  </sheetData>
  <sortState xmlns:xlrd2="http://schemas.microsoft.com/office/spreadsheetml/2017/richdata2" ref="D5:Y274">
    <sortCondition ref="G5:G274"/>
    <sortCondition ref="H5:H274"/>
    <sortCondition ref="F5:F274"/>
    <sortCondition ref="D5:D274"/>
  </sortState>
  <mergeCells count="13">
    <mergeCell ref="A1:C3"/>
    <mergeCell ref="D1:Y1"/>
    <mergeCell ref="AA1:AV1"/>
    <mergeCell ref="N2:P2"/>
    <mergeCell ref="AT2:AV2"/>
    <mergeCell ref="Z5:Z9"/>
    <mergeCell ref="AW5:AW9"/>
    <mergeCell ref="Q2:S2"/>
    <mergeCell ref="T2:V2"/>
    <mergeCell ref="W2:Y2"/>
    <mergeCell ref="AK2:AM2"/>
    <mergeCell ref="AN2:AP2"/>
    <mergeCell ref="AQ2:AS2"/>
  </mergeCells>
  <conditionalFormatting sqref="Z10 Z5 Z15 Z20 Z25 Z30 Z35 Z40 Z45 Z50 Z55 Z60 Z65 Z70 Z75 Z80 Z85 Z90 Z95 Z100 Z105 Z110 Z115 Z120 Z125 Z130 Z135 Z140 Z145 Z150 Z155 Z160 Z165 Z170 Z175 Z180 Z185 Z190 Z195 Z200 Z205 Z210 Z215 Z220 Z225 Z230 Z235 Z240 Z245 Z250 Z255 Z260 Z265 Z270">
    <cfRule type="colorScale" priority="51">
      <colorScale>
        <cfvo type="min"/>
        <cfvo type="percentile" val="50"/>
        <cfvo type="max"/>
        <color rgb="FFF8696B"/>
        <color rgb="FFFFEB84"/>
        <color rgb="FF63BE7B"/>
      </colorScale>
    </cfRule>
  </conditionalFormatting>
  <conditionalFormatting sqref="AW10 AW5 AW15 AW20 AW25 AW30 AW35 AW40 AW45 AW50 AW55 AW60 AW65 AW70 AW75 AW80 AW85 AW90 AW95 AW100 AW105 AW110 AW115 AW120 AW125 AW130 AW135 AW140 AW145 AW150 AW155 AW160 AW165 AW170 AW175 AW180 AW185 AW190 AW195 AW200 AW205 AW210 AW215 AW220 AW225 AW230 AW235 AW240 AW245 AW250 AW255 AW260 AW265 AW270">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6B31C-9504-4A5E-B975-7362141B1CCA}">
  <dimension ref="A1:AG183"/>
  <sheetViews>
    <sheetView tabSelected="1" zoomScale="85" zoomScaleNormal="85" workbookViewId="0">
      <selection activeCell="B1" sqref="B1:P1"/>
    </sheetView>
  </sheetViews>
  <sheetFormatPr defaultRowHeight="15" x14ac:dyDescent="0.25"/>
  <cols>
    <col min="2" max="2" width="11.85546875" bestFit="1" customWidth="1"/>
    <col min="10" max="10" width="9.140625" style="16"/>
    <col min="12" max="12" width="9.140625" style="31"/>
    <col min="13" max="15" width="15.28515625" customWidth="1"/>
    <col min="16" max="16" width="15.7109375" style="25" bestFit="1" customWidth="1"/>
    <col min="17" max="17" width="15.7109375" style="16" customWidth="1"/>
    <col min="18" max="18" width="11.85546875" bestFit="1" customWidth="1"/>
    <col min="26" max="26" width="9.140625" style="16"/>
    <col min="28" max="28" width="9.140625" style="31"/>
    <col min="29" max="31" width="15" customWidth="1"/>
    <col min="32" max="32" width="15.7109375" style="25" bestFit="1" customWidth="1"/>
  </cols>
  <sheetData>
    <row r="1" spans="1:33" s="36" customFormat="1" ht="15.75" x14ac:dyDescent="0.25">
      <c r="B1" s="126" t="s">
        <v>295</v>
      </c>
      <c r="C1" s="126"/>
      <c r="D1" s="126"/>
      <c r="E1" s="126"/>
      <c r="F1" s="126"/>
      <c r="G1" s="126"/>
      <c r="H1" s="126"/>
      <c r="I1" s="126"/>
      <c r="J1" s="126"/>
      <c r="K1" s="126"/>
      <c r="L1" s="126"/>
      <c r="M1" s="126"/>
      <c r="N1" s="126"/>
      <c r="O1" s="126"/>
      <c r="P1" s="126"/>
      <c r="Q1" s="35"/>
      <c r="R1" s="126" t="s">
        <v>296</v>
      </c>
      <c r="S1" s="126"/>
      <c r="T1" s="126"/>
      <c r="U1" s="126"/>
      <c r="V1" s="126"/>
      <c r="W1" s="126"/>
      <c r="X1" s="126"/>
      <c r="Y1" s="126"/>
      <c r="Z1" s="126"/>
      <c r="AA1" s="126"/>
      <c r="AB1" s="126"/>
      <c r="AC1" s="126"/>
      <c r="AD1" s="126"/>
      <c r="AE1" s="126"/>
      <c r="AF1" s="126"/>
    </row>
    <row r="2" spans="1:33" s="36" customFormat="1" ht="15.75" x14ac:dyDescent="0.25">
      <c r="C2" s="102" t="s">
        <v>289</v>
      </c>
      <c r="D2" s="103">
        <f>MAX(P4:P499)</f>
        <v>10.795000000000002</v>
      </c>
      <c r="E2" s="104">
        <f>INDEX(E:E,MATCH(MAX($P:$P),$P:$P,0))</f>
        <v>14560</v>
      </c>
      <c r="F2" s="104">
        <f t="shared" ref="F2:H2" si="0">INDEX(F:F,MATCH(MAX($P:$P),$P:$P,0))</f>
        <v>160</v>
      </c>
      <c r="G2" s="104">
        <f t="shared" si="0"/>
        <v>2</v>
      </c>
      <c r="H2" s="104">
        <f t="shared" si="0"/>
        <v>2</v>
      </c>
      <c r="J2" s="35"/>
      <c r="L2" s="37"/>
      <c r="M2" s="126" t="s">
        <v>1</v>
      </c>
      <c r="N2" s="126"/>
      <c r="O2" s="126"/>
      <c r="P2" s="107"/>
      <c r="Q2" s="35"/>
      <c r="S2" s="102" t="s">
        <v>289</v>
      </c>
      <c r="T2" s="103">
        <f>MAX(AF4:AF498)</f>
        <v>11.473000000000003</v>
      </c>
      <c r="U2" s="104">
        <f>INDEX(U:U,MATCH(MAX($AF:$AF),$AF:$AF,0))</f>
        <v>14544</v>
      </c>
      <c r="V2" s="104">
        <f>INDEX(V:V,MATCH(MAX($AF:$AF),$AF:$AF,0))</f>
        <v>144</v>
      </c>
      <c r="W2" s="104">
        <f>INDEX(W:W,MATCH(MAX($AF:$AF),$AF:$AF,0))</f>
        <v>2</v>
      </c>
      <c r="X2" s="104">
        <f>INDEX(X:X,MATCH(MAX($AF:$AF),$AF:$AF,0))</f>
        <v>2</v>
      </c>
      <c r="Z2" s="35"/>
      <c r="AB2" s="37"/>
      <c r="AC2" s="126" t="s">
        <v>2</v>
      </c>
      <c r="AD2" s="126"/>
      <c r="AE2" s="126"/>
      <c r="AF2" s="107"/>
    </row>
    <row r="3" spans="1:33" s="36" customFormat="1" ht="15" customHeight="1" x14ac:dyDescent="0.25">
      <c r="B3" s="34" t="s">
        <v>0</v>
      </c>
      <c r="C3" s="34" t="s">
        <v>3</v>
      </c>
      <c r="D3" s="34" t="s">
        <v>4</v>
      </c>
      <c r="E3" s="34" t="s">
        <v>5</v>
      </c>
      <c r="F3" s="34" t="s">
        <v>6</v>
      </c>
      <c r="G3" s="34" t="s">
        <v>7</v>
      </c>
      <c r="H3" s="34" t="s">
        <v>8</v>
      </c>
      <c r="I3" s="34" t="s">
        <v>9</v>
      </c>
      <c r="J3" s="38" t="s">
        <v>10</v>
      </c>
      <c r="K3" s="34" t="s">
        <v>11</v>
      </c>
      <c r="L3" s="39" t="s">
        <v>9</v>
      </c>
      <c r="M3" s="34" t="s">
        <v>12</v>
      </c>
      <c r="N3" s="34" t="s">
        <v>13</v>
      </c>
      <c r="O3" s="34" t="s">
        <v>14</v>
      </c>
      <c r="P3" s="108" t="s">
        <v>15</v>
      </c>
      <c r="Q3" s="38"/>
      <c r="R3" s="34" t="s">
        <v>0</v>
      </c>
      <c r="S3" s="34" t="s">
        <v>3</v>
      </c>
      <c r="T3" s="34" t="s">
        <v>4</v>
      </c>
      <c r="U3" s="34" t="s">
        <v>5</v>
      </c>
      <c r="V3" s="34" t="s">
        <v>6</v>
      </c>
      <c r="W3" s="34" t="s">
        <v>7</v>
      </c>
      <c r="X3" s="34" t="s">
        <v>8</v>
      </c>
      <c r="Y3" s="34" t="s">
        <v>9</v>
      </c>
      <c r="Z3" s="38" t="s">
        <v>10</v>
      </c>
      <c r="AA3" s="34" t="s">
        <v>11</v>
      </c>
      <c r="AB3" s="39" t="s">
        <v>9</v>
      </c>
      <c r="AC3" s="34" t="s">
        <v>12</v>
      </c>
      <c r="AD3" s="34" t="s">
        <v>13</v>
      </c>
      <c r="AE3" s="34" t="s">
        <v>14</v>
      </c>
      <c r="AF3" s="108" t="s">
        <v>15</v>
      </c>
    </row>
    <row r="4" spans="1:33" x14ac:dyDescent="0.25">
      <c r="A4" t="s">
        <v>21</v>
      </c>
      <c r="B4" s="5">
        <v>0</v>
      </c>
      <c r="C4">
        <v>0</v>
      </c>
      <c r="D4" t="s">
        <v>16</v>
      </c>
      <c r="E4">
        <v>14560</v>
      </c>
      <c r="F4">
        <v>160</v>
      </c>
      <c r="G4">
        <v>2</v>
      </c>
      <c r="H4">
        <v>2</v>
      </c>
      <c r="I4">
        <v>190.71</v>
      </c>
      <c r="J4" s="16">
        <v>10.792</v>
      </c>
      <c r="K4" s="27">
        <v>45404</v>
      </c>
      <c r="L4" s="31">
        <v>0.52739583333333329</v>
      </c>
      <c r="M4">
        <v>0</v>
      </c>
      <c r="N4">
        <v>0</v>
      </c>
      <c r="O4">
        <v>0</v>
      </c>
      <c r="P4" s="123">
        <f>AVERAGE(J4:J8)</f>
        <v>10.7928</v>
      </c>
      <c r="R4" s="5"/>
      <c r="S4">
        <v>0</v>
      </c>
      <c r="T4" t="s">
        <v>16</v>
      </c>
      <c r="U4">
        <v>14544</v>
      </c>
      <c r="V4">
        <v>144</v>
      </c>
      <c r="W4">
        <v>2</v>
      </c>
      <c r="X4">
        <v>2</v>
      </c>
      <c r="Y4">
        <v>178.75</v>
      </c>
      <c r="Z4" s="16">
        <v>11.476000000000001</v>
      </c>
      <c r="AA4" s="27">
        <v>45404</v>
      </c>
      <c r="AB4" s="31">
        <v>0.51386574074074076</v>
      </c>
      <c r="AC4">
        <v>0</v>
      </c>
      <c r="AD4">
        <v>0</v>
      </c>
      <c r="AE4">
        <v>0</v>
      </c>
      <c r="AF4" s="123">
        <f>AVERAGE(Z4:Z8)</f>
        <v>11.473000000000003</v>
      </c>
      <c r="AG4" s="16"/>
    </row>
    <row r="5" spans="1:33" x14ac:dyDescent="0.25">
      <c r="A5" t="s">
        <v>21</v>
      </c>
      <c r="B5">
        <v>1</v>
      </c>
      <c r="C5">
        <v>1</v>
      </c>
      <c r="D5" t="s">
        <v>16</v>
      </c>
      <c r="E5">
        <v>14560</v>
      </c>
      <c r="F5">
        <v>160</v>
      </c>
      <c r="G5">
        <v>2</v>
      </c>
      <c r="H5">
        <v>2</v>
      </c>
      <c r="I5">
        <v>190.65</v>
      </c>
      <c r="J5" s="16">
        <v>10.795</v>
      </c>
      <c r="K5" s="27">
        <v>45404</v>
      </c>
      <c r="L5" s="31">
        <v>0.52978009259259262</v>
      </c>
      <c r="M5">
        <v>0</v>
      </c>
      <c r="N5">
        <v>0</v>
      </c>
      <c r="O5">
        <v>0</v>
      </c>
      <c r="P5" s="123"/>
      <c r="S5">
        <v>1</v>
      </c>
      <c r="T5" t="s">
        <v>16</v>
      </c>
      <c r="U5">
        <v>14544</v>
      </c>
      <c r="V5">
        <v>144</v>
      </c>
      <c r="W5">
        <v>2</v>
      </c>
      <c r="X5">
        <v>2</v>
      </c>
      <c r="Y5">
        <v>178.68</v>
      </c>
      <c r="Z5" s="16">
        <v>11.48</v>
      </c>
      <c r="AA5" s="27">
        <v>45404</v>
      </c>
      <c r="AB5" s="31">
        <v>0.51662037037037034</v>
      </c>
      <c r="AC5">
        <v>0</v>
      </c>
      <c r="AD5">
        <v>0</v>
      </c>
      <c r="AE5">
        <v>0</v>
      </c>
      <c r="AF5" s="123"/>
      <c r="AG5" s="16"/>
    </row>
    <row r="6" spans="1:33" x14ac:dyDescent="0.25">
      <c r="A6" t="s">
        <v>21</v>
      </c>
      <c r="B6">
        <v>2</v>
      </c>
      <c r="C6">
        <v>2</v>
      </c>
      <c r="D6" t="s">
        <v>16</v>
      </c>
      <c r="E6">
        <v>14560</v>
      </c>
      <c r="F6">
        <v>160</v>
      </c>
      <c r="G6">
        <v>2</v>
      </c>
      <c r="H6">
        <v>2</v>
      </c>
      <c r="I6">
        <v>190.65</v>
      </c>
      <c r="J6" s="16">
        <v>10.795</v>
      </c>
      <c r="K6" s="27">
        <v>45404</v>
      </c>
      <c r="L6" s="31">
        <v>0.53216435185185185</v>
      </c>
      <c r="M6">
        <v>0</v>
      </c>
      <c r="N6">
        <v>0</v>
      </c>
      <c r="O6">
        <v>0</v>
      </c>
      <c r="P6" s="123"/>
      <c r="S6">
        <v>2</v>
      </c>
      <c r="T6" t="s">
        <v>16</v>
      </c>
      <c r="U6">
        <v>14544</v>
      </c>
      <c r="V6">
        <v>144</v>
      </c>
      <c r="W6">
        <v>2</v>
      </c>
      <c r="X6">
        <v>2</v>
      </c>
      <c r="Y6">
        <v>178.82</v>
      </c>
      <c r="Z6" s="16">
        <v>11.471</v>
      </c>
      <c r="AA6" s="27">
        <v>45404</v>
      </c>
      <c r="AB6" s="31">
        <v>0.51938657407407407</v>
      </c>
      <c r="AC6">
        <v>0</v>
      </c>
      <c r="AD6">
        <v>0</v>
      </c>
      <c r="AE6">
        <v>0</v>
      </c>
      <c r="AF6" s="123"/>
      <c r="AG6" s="16"/>
    </row>
    <row r="7" spans="1:33" x14ac:dyDescent="0.25">
      <c r="A7" t="s">
        <v>21</v>
      </c>
      <c r="B7">
        <v>3</v>
      </c>
      <c r="C7">
        <v>3</v>
      </c>
      <c r="D7" t="s">
        <v>16</v>
      </c>
      <c r="E7">
        <v>14560</v>
      </c>
      <c r="F7">
        <v>160</v>
      </c>
      <c r="G7">
        <v>2</v>
      </c>
      <c r="H7">
        <v>2</v>
      </c>
      <c r="I7">
        <v>190.68</v>
      </c>
      <c r="J7" s="16">
        <v>10.792999999999999</v>
      </c>
      <c r="K7" s="27">
        <v>45404</v>
      </c>
      <c r="L7" s="31">
        <v>0.53454861111111107</v>
      </c>
      <c r="M7">
        <v>0</v>
      </c>
      <c r="N7">
        <v>0</v>
      </c>
      <c r="O7">
        <v>0</v>
      </c>
      <c r="P7" s="123"/>
      <c r="S7">
        <v>3</v>
      </c>
      <c r="T7" t="s">
        <v>16</v>
      </c>
      <c r="U7">
        <v>14544</v>
      </c>
      <c r="V7">
        <v>144</v>
      </c>
      <c r="W7">
        <v>2</v>
      </c>
      <c r="X7">
        <v>2</v>
      </c>
      <c r="Y7">
        <v>178.76</v>
      </c>
      <c r="Z7" s="16">
        <v>11.475</v>
      </c>
      <c r="AA7" s="27">
        <v>45404</v>
      </c>
      <c r="AB7" s="31">
        <v>0.52214120370370365</v>
      </c>
      <c r="AC7">
        <v>0</v>
      </c>
      <c r="AD7">
        <v>0</v>
      </c>
      <c r="AE7">
        <v>0</v>
      </c>
      <c r="AF7" s="123"/>
      <c r="AG7" s="16"/>
    </row>
    <row r="8" spans="1:33" x14ac:dyDescent="0.25">
      <c r="A8" t="s">
        <v>21</v>
      </c>
      <c r="B8">
        <v>4</v>
      </c>
      <c r="C8">
        <v>4</v>
      </c>
      <c r="D8" t="s">
        <v>16</v>
      </c>
      <c r="E8">
        <v>14560</v>
      </c>
      <c r="F8">
        <v>160</v>
      </c>
      <c r="G8">
        <v>2</v>
      </c>
      <c r="H8">
        <v>2</v>
      </c>
      <c r="I8">
        <v>190.75</v>
      </c>
      <c r="J8" s="16">
        <v>10.789</v>
      </c>
      <c r="K8" s="27">
        <v>45404</v>
      </c>
      <c r="L8" s="31">
        <v>0.53692129629629626</v>
      </c>
      <c r="M8">
        <v>0</v>
      </c>
      <c r="N8">
        <v>0</v>
      </c>
      <c r="O8">
        <v>0</v>
      </c>
      <c r="P8" s="123"/>
      <c r="S8">
        <v>4</v>
      </c>
      <c r="T8" t="s">
        <v>16</v>
      </c>
      <c r="U8">
        <v>14544</v>
      </c>
      <c r="V8">
        <v>144</v>
      </c>
      <c r="W8">
        <v>2</v>
      </c>
      <c r="X8">
        <v>2</v>
      </c>
      <c r="Y8">
        <v>178.95</v>
      </c>
      <c r="Z8" s="16">
        <v>11.462999999999999</v>
      </c>
      <c r="AA8" s="27">
        <v>45404</v>
      </c>
      <c r="AB8" s="31">
        <v>0.52490740740740738</v>
      </c>
      <c r="AC8">
        <v>0</v>
      </c>
      <c r="AD8">
        <v>0</v>
      </c>
      <c r="AE8">
        <v>0</v>
      </c>
      <c r="AF8" s="123"/>
      <c r="AG8" s="16"/>
    </row>
    <row r="9" spans="1:33" x14ac:dyDescent="0.25">
      <c r="A9" t="s">
        <v>21</v>
      </c>
      <c r="B9">
        <v>0</v>
      </c>
      <c r="C9">
        <v>0</v>
      </c>
      <c r="D9" t="s">
        <v>16</v>
      </c>
      <c r="E9">
        <v>14560</v>
      </c>
      <c r="F9">
        <v>160</v>
      </c>
      <c r="G9">
        <v>2</v>
      </c>
      <c r="H9">
        <v>2</v>
      </c>
      <c r="I9">
        <v>190.49</v>
      </c>
      <c r="J9" s="16">
        <v>10.804</v>
      </c>
      <c r="K9" s="27">
        <v>45404</v>
      </c>
      <c r="L9" s="31">
        <v>0.62451388888888892</v>
      </c>
      <c r="M9">
        <v>0</v>
      </c>
      <c r="N9">
        <v>0</v>
      </c>
      <c r="O9">
        <v>0</v>
      </c>
      <c r="P9" s="123">
        <f t="shared" ref="P9" si="1">AVERAGE(J9:J13)</f>
        <v>10.795000000000002</v>
      </c>
      <c r="AA9" s="27"/>
      <c r="AG9" s="16"/>
    </row>
    <row r="10" spans="1:33" x14ac:dyDescent="0.25">
      <c r="A10" t="s">
        <v>21</v>
      </c>
      <c r="B10">
        <v>1</v>
      </c>
      <c r="C10">
        <v>1</v>
      </c>
      <c r="D10" t="s">
        <v>16</v>
      </c>
      <c r="E10">
        <v>14560</v>
      </c>
      <c r="F10">
        <v>160</v>
      </c>
      <c r="G10">
        <v>2</v>
      </c>
      <c r="H10">
        <v>2</v>
      </c>
      <c r="I10">
        <v>190.64</v>
      </c>
      <c r="J10" s="16">
        <v>10.795999999999999</v>
      </c>
      <c r="K10" s="27">
        <v>45404</v>
      </c>
      <c r="L10" s="31">
        <v>0.62689814814814815</v>
      </c>
      <c r="M10">
        <v>0</v>
      </c>
      <c r="N10">
        <v>0</v>
      </c>
      <c r="O10">
        <v>0</v>
      </c>
      <c r="P10" s="123"/>
      <c r="AA10" s="27"/>
      <c r="AG10" s="16"/>
    </row>
    <row r="11" spans="1:33" x14ac:dyDescent="0.25">
      <c r="A11" t="s">
        <v>21</v>
      </c>
      <c r="B11">
        <v>2</v>
      </c>
      <c r="C11">
        <v>2</v>
      </c>
      <c r="D11" t="s">
        <v>16</v>
      </c>
      <c r="E11">
        <v>14560</v>
      </c>
      <c r="F11">
        <v>160</v>
      </c>
      <c r="G11">
        <v>2</v>
      </c>
      <c r="H11">
        <v>2</v>
      </c>
      <c r="I11">
        <v>190.73</v>
      </c>
      <c r="J11" s="16">
        <v>10.791</v>
      </c>
      <c r="K11" s="27">
        <v>45404</v>
      </c>
      <c r="L11" s="31">
        <v>0.62928240740740737</v>
      </c>
      <c r="M11">
        <v>0</v>
      </c>
      <c r="N11">
        <v>0</v>
      </c>
      <c r="O11">
        <v>0</v>
      </c>
      <c r="P11" s="123"/>
      <c r="AA11" s="27"/>
      <c r="AG11" s="16"/>
    </row>
    <row r="12" spans="1:33" x14ac:dyDescent="0.25">
      <c r="A12" t="s">
        <v>21</v>
      </c>
      <c r="B12">
        <v>3</v>
      </c>
      <c r="C12">
        <v>3</v>
      </c>
      <c r="D12" t="s">
        <v>16</v>
      </c>
      <c r="E12">
        <v>14560</v>
      </c>
      <c r="F12">
        <v>160</v>
      </c>
      <c r="G12">
        <v>2</v>
      </c>
      <c r="H12">
        <v>2</v>
      </c>
      <c r="I12">
        <v>190.6</v>
      </c>
      <c r="J12" s="16">
        <v>10.798</v>
      </c>
      <c r="K12" s="27">
        <v>45404</v>
      </c>
      <c r="L12" s="31">
        <v>0.63165509259259256</v>
      </c>
      <c r="M12">
        <v>0</v>
      </c>
      <c r="N12">
        <v>0</v>
      </c>
      <c r="O12">
        <v>0</v>
      </c>
      <c r="P12" s="123"/>
      <c r="AA12" s="27"/>
      <c r="AG12" s="16"/>
    </row>
    <row r="13" spans="1:33" x14ac:dyDescent="0.25">
      <c r="A13" t="s">
        <v>21</v>
      </c>
      <c r="B13">
        <v>4</v>
      </c>
      <c r="C13">
        <v>4</v>
      </c>
      <c r="D13" t="s">
        <v>16</v>
      </c>
      <c r="E13">
        <v>14560</v>
      </c>
      <c r="F13">
        <v>160</v>
      </c>
      <c r="G13">
        <v>2</v>
      </c>
      <c r="H13">
        <v>2</v>
      </c>
      <c r="I13">
        <v>190.81</v>
      </c>
      <c r="J13" s="16">
        <v>10.786</v>
      </c>
      <c r="K13" s="27">
        <v>45404</v>
      </c>
      <c r="L13" s="31">
        <v>0.6340393518518519</v>
      </c>
      <c r="M13">
        <v>0</v>
      </c>
      <c r="N13">
        <v>0</v>
      </c>
      <c r="O13">
        <v>0</v>
      </c>
      <c r="P13" s="123"/>
      <c r="AA13" s="27"/>
      <c r="AG13" s="16"/>
    </row>
    <row r="14" spans="1:33" x14ac:dyDescent="0.25">
      <c r="K14" s="27"/>
      <c r="AA14" s="27"/>
      <c r="AG14" s="16"/>
    </row>
    <row r="15" spans="1:33" x14ac:dyDescent="0.25">
      <c r="K15" s="27"/>
      <c r="AA15" s="27"/>
      <c r="AG15" s="16"/>
    </row>
    <row r="16" spans="1:33" x14ac:dyDescent="0.25">
      <c r="K16" s="27"/>
      <c r="AA16" s="27"/>
      <c r="AG16" s="16"/>
    </row>
    <row r="17" spans="11:33" x14ac:dyDescent="0.25">
      <c r="K17" s="27"/>
      <c r="AA17" s="27"/>
      <c r="AG17" s="16"/>
    </row>
    <row r="18" spans="11:33" x14ac:dyDescent="0.25">
      <c r="K18" s="27"/>
      <c r="AA18" s="27"/>
      <c r="AG18" s="16"/>
    </row>
    <row r="19" spans="11:33" x14ac:dyDescent="0.25">
      <c r="K19" s="27"/>
      <c r="AA19" s="27"/>
      <c r="AG19" s="16"/>
    </row>
    <row r="20" spans="11:33" x14ac:dyDescent="0.25">
      <c r="K20" s="27"/>
      <c r="AA20" s="27"/>
      <c r="AG20" s="16"/>
    </row>
    <row r="21" spans="11:33" x14ac:dyDescent="0.25">
      <c r="K21" s="27"/>
      <c r="AA21" s="27"/>
      <c r="AG21" s="16"/>
    </row>
    <row r="22" spans="11:33" x14ac:dyDescent="0.25">
      <c r="K22" s="27"/>
      <c r="AA22" s="27"/>
      <c r="AG22" s="16"/>
    </row>
    <row r="23" spans="11:33" x14ac:dyDescent="0.25">
      <c r="K23" s="27"/>
      <c r="AA23" s="27"/>
      <c r="AG23" s="16"/>
    </row>
    <row r="24" spans="11:33" x14ac:dyDescent="0.25">
      <c r="K24" s="27"/>
      <c r="AA24" s="27"/>
      <c r="AG24" s="16"/>
    </row>
    <row r="25" spans="11:33" x14ac:dyDescent="0.25">
      <c r="K25" s="27"/>
      <c r="AA25" s="27"/>
      <c r="AG25" s="16"/>
    </row>
    <row r="26" spans="11:33" x14ac:dyDescent="0.25">
      <c r="K26" s="27"/>
      <c r="AA26" s="27"/>
      <c r="AG26" s="16"/>
    </row>
    <row r="27" spans="11:33" x14ac:dyDescent="0.25">
      <c r="K27" s="27"/>
      <c r="AA27" s="27"/>
      <c r="AG27" s="16"/>
    </row>
    <row r="28" spans="11:33" x14ac:dyDescent="0.25">
      <c r="K28" s="27"/>
      <c r="AA28" s="27"/>
      <c r="AG28" s="16"/>
    </row>
    <row r="29" spans="11:33" x14ac:dyDescent="0.25">
      <c r="K29" s="27"/>
      <c r="AA29" s="27"/>
      <c r="AG29" s="16"/>
    </row>
    <row r="30" spans="11:33" x14ac:dyDescent="0.25">
      <c r="K30" s="27"/>
      <c r="AA30" s="27"/>
      <c r="AG30" s="16"/>
    </row>
    <row r="31" spans="11:33" x14ac:dyDescent="0.25">
      <c r="K31" s="27"/>
      <c r="AA31" s="27"/>
      <c r="AG31" s="16"/>
    </row>
    <row r="32" spans="11:33" x14ac:dyDescent="0.25">
      <c r="K32" s="27"/>
      <c r="AA32" s="27"/>
      <c r="AG32" s="16"/>
    </row>
    <row r="33" spans="11:33" x14ac:dyDescent="0.25">
      <c r="K33" s="27"/>
      <c r="AA33" s="27"/>
      <c r="AG33" s="16"/>
    </row>
    <row r="34" spans="11:33" x14ac:dyDescent="0.25">
      <c r="K34" s="27"/>
      <c r="AA34" s="27"/>
      <c r="AG34" s="16"/>
    </row>
    <row r="35" spans="11:33" x14ac:dyDescent="0.25">
      <c r="K35" s="27"/>
      <c r="AA35" s="27"/>
      <c r="AG35" s="16"/>
    </row>
    <row r="36" spans="11:33" x14ac:dyDescent="0.25">
      <c r="K36" s="27"/>
      <c r="AA36" s="27"/>
      <c r="AG36" s="16"/>
    </row>
    <row r="37" spans="11:33" x14ac:dyDescent="0.25">
      <c r="K37" s="27"/>
      <c r="AA37" s="27"/>
      <c r="AG37" s="16"/>
    </row>
    <row r="38" spans="11:33" x14ac:dyDescent="0.25">
      <c r="K38" s="27"/>
      <c r="AA38" s="27"/>
      <c r="AG38" s="16"/>
    </row>
    <row r="39" spans="11:33" x14ac:dyDescent="0.25">
      <c r="K39" s="27"/>
      <c r="AA39" s="27"/>
      <c r="AG39" s="16"/>
    </row>
    <row r="40" spans="11:33" x14ac:dyDescent="0.25">
      <c r="K40" s="27"/>
      <c r="AA40" s="27"/>
      <c r="AG40" s="16"/>
    </row>
    <row r="41" spans="11:33" x14ac:dyDescent="0.25">
      <c r="K41" s="27"/>
      <c r="AA41" s="27"/>
      <c r="AG41" s="16"/>
    </row>
    <row r="42" spans="11:33" x14ac:dyDescent="0.25">
      <c r="K42" s="27"/>
      <c r="AA42" s="27"/>
      <c r="AG42" s="16"/>
    </row>
    <row r="43" spans="11:33" x14ac:dyDescent="0.25">
      <c r="K43" s="27"/>
      <c r="AA43" s="27"/>
      <c r="AG43" s="16"/>
    </row>
    <row r="44" spans="11:33" x14ac:dyDescent="0.25">
      <c r="K44" s="27"/>
      <c r="AA44" s="27"/>
      <c r="AG44" s="16"/>
    </row>
    <row r="45" spans="11:33" x14ac:dyDescent="0.25">
      <c r="K45" s="27"/>
      <c r="AA45" s="27"/>
      <c r="AG45" s="16"/>
    </row>
    <row r="46" spans="11:33" x14ac:dyDescent="0.25">
      <c r="K46" s="27"/>
      <c r="AA46" s="27"/>
      <c r="AG46" s="16"/>
    </row>
    <row r="47" spans="11:33" x14ac:dyDescent="0.25">
      <c r="K47" s="27"/>
      <c r="AA47" s="27"/>
      <c r="AG47" s="16"/>
    </row>
    <row r="48" spans="11:33" x14ac:dyDescent="0.25">
      <c r="K48" s="27"/>
      <c r="AA48" s="27"/>
      <c r="AG48" s="16"/>
    </row>
    <row r="49" spans="11:33" x14ac:dyDescent="0.25">
      <c r="K49" s="27"/>
      <c r="AA49" s="27"/>
      <c r="AG49" s="16"/>
    </row>
    <row r="50" spans="11:33" x14ac:dyDescent="0.25">
      <c r="K50" s="27"/>
      <c r="AA50" s="27"/>
      <c r="AG50" s="16"/>
    </row>
    <row r="51" spans="11:33" x14ac:dyDescent="0.25">
      <c r="K51" s="27"/>
      <c r="AA51" s="27"/>
      <c r="AG51" s="16"/>
    </row>
    <row r="52" spans="11:33" x14ac:dyDescent="0.25">
      <c r="K52" s="27"/>
      <c r="AA52" s="27"/>
      <c r="AG52" s="16"/>
    </row>
    <row r="53" spans="11:33" x14ac:dyDescent="0.25">
      <c r="K53" s="27"/>
      <c r="AA53" s="27"/>
      <c r="AG53" s="16"/>
    </row>
    <row r="54" spans="11:33" x14ac:dyDescent="0.25">
      <c r="K54" s="27"/>
      <c r="AA54" s="27"/>
      <c r="AG54" s="16"/>
    </row>
    <row r="55" spans="11:33" x14ac:dyDescent="0.25">
      <c r="K55" s="27"/>
      <c r="AA55" s="27"/>
      <c r="AG55" s="16"/>
    </row>
    <row r="56" spans="11:33" x14ac:dyDescent="0.25">
      <c r="K56" s="27"/>
      <c r="AA56" s="27"/>
      <c r="AG56" s="16"/>
    </row>
    <row r="57" spans="11:33" x14ac:dyDescent="0.25">
      <c r="K57" s="27"/>
      <c r="AA57" s="27"/>
      <c r="AG57" s="16"/>
    </row>
    <row r="58" spans="11:33" x14ac:dyDescent="0.25">
      <c r="K58" s="27"/>
      <c r="AA58" s="27"/>
      <c r="AG58" s="16"/>
    </row>
    <row r="59" spans="11:33" x14ac:dyDescent="0.25">
      <c r="K59" s="27"/>
      <c r="AA59" s="27"/>
      <c r="AG59" s="16"/>
    </row>
    <row r="60" spans="11:33" x14ac:dyDescent="0.25">
      <c r="K60" s="27"/>
      <c r="AA60" s="27"/>
      <c r="AG60" s="16"/>
    </row>
    <row r="61" spans="11:33" x14ac:dyDescent="0.25">
      <c r="K61" s="27"/>
      <c r="AA61" s="27"/>
      <c r="AG61" s="16"/>
    </row>
    <row r="62" spans="11:33" x14ac:dyDescent="0.25">
      <c r="K62" s="27"/>
      <c r="AA62" s="27"/>
      <c r="AG62" s="16"/>
    </row>
    <row r="63" spans="11:33" x14ac:dyDescent="0.25">
      <c r="K63" s="27"/>
      <c r="AA63" s="27"/>
      <c r="AG63" s="16"/>
    </row>
    <row r="64" spans="11:33" x14ac:dyDescent="0.25">
      <c r="K64" s="27"/>
      <c r="AA64" s="27"/>
      <c r="AG64" s="16"/>
    </row>
    <row r="65" spans="11:33" x14ac:dyDescent="0.25">
      <c r="K65" s="27"/>
      <c r="AA65" s="27"/>
      <c r="AG65" s="16"/>
    </row>
    <row r="66" spans="11:33" x14ac:dyDescent="0.25">
      <c r="K66" s="27"/>
      <c r="AA66" s="27"/>
      <c r="AG66" s="16"/>
    </row>
    <row r="67" spans="11:33" x14ac:dyDescent="0.25">
      <c r="K67" s="27"/>
      <c r="AA67" s="27"/>
      <c r="AG67" s="16"/>
    </row>
    <row r="68" spans="11:33" x14ac:dyDescent="0.25">
      <c r="K68" s="27"/>
      <c r="AA68" s="27"/>
      <c r="AG68" s="16"/>
    </row>
    <row r="69" spans="11:33" x14ac:dyDescent="0.25">
      <c r="K69" s="27"/>
      <c r="AA69" s="27"/>
      <c r="AG69" s="16"/>
    </row>
    <row r="70" spans="11:33" x14ac:dyDescent="0.25">
      <c r="K70" s="27"/>
      <c r="AA70" s="27"/>
      <c r="AG70" s="16"/>
    </row>
    <row r="71" spans="11:33" x14ac:dyDescent="0.25">
      <c r="K71" s="27"/>
      <c r="AA71" s="27"/>
      <c r="AG71" s="16"/>
    </row>
    <row r="72" spans="11:33" x14ac:dyDescent="0.25">
      <c r="K72" s="27"/>
      <c r="AA72" s="27"/>
      <c r="AG72" s="16"/>
    </row>
    <row r="73" spans="11:33" x14ac:dyDescent="0.25">
      <c r="K73" s="27"/>
      <c r="AA73" s="27"/>
      <c r="AG73" s="16"/>
    </row>
    <row r="74" spans="11:33" x14ac:dyDescent="0.25">
      <c r="K74" s="27"/>
      <c r="AA74" s="27"/>
      <c r="AG74" s="16"/>
    </row>
    <row r="75" spans="11:33" x14ac:dyDescent="0.25">
      <c r="K75" s="27"/>
      <c r="AA75" s="27"/>
      <c r="AG75" s="16"/>
    </row>
    <row r="76" spans="11:33" x14ac:dyDescent="0.25">
      <c r="K76" s="27"/>
      <c r="AA76" s="27"/>
      <c r="AG76" s="16"/>
    </row>
    <row r="77" spans="11:33" x14ac:dyDescent="0.25">
      <c r="K77" s="27"/>
      <c r="AA77" s="27"/>
      <c r="AG77" s="16"/>
    </row>
    <row r="78" spans="11:33" x14ac:dyDescent="0.25">
      <c r="K78" s="27"/>
      <c r="AA78" s="27"/>
      <c r="AG78" s="16"/>
    </row>
    <row r="79" spans="11:33" x14ac:dyDescent="0.25">
      <c r="K79" s="27"/>
      <c r="AA79" s="27"/>
      <c r="AG79" s="16"/>
    </row>
    <row r="80" spans="11:33" x14ac:dyDescent="0.25">
      <c r="K80" s="27"/>
      <c r="AA80" s="27"/>
      <c r="AG80" s="16"/>
    </row>
    <row r="81" spans="11:33" x14ac:dyDescent="0.25">
      <c r="K81" s="27"/>
      <c r="AA81" s="27"/>
      <c r="AG81" s="16"/>
    </row>
    <row r="82" spans="11:33" x14ac:dyDescent="0.25">
      <c r="K82" s="27"/>
      <c r="AA82" s="27"/>
      <c r="AG82" s="16"/>
    </row>
    <row r="83" spans="11:33" x14ac:dyDescent="0.25">
      <c r="K83" s="27"/>
      <c r="AA83" s="27"/>
      <c r="AG83" s="16"/>
    </row>
    <row r="84" spans="11:33" x14ac:dyDescent="0.25">
      <c r="K84" s="27"/>
      <c r="AA84" s="27"/>
      <c r="AG84" s="16"/>
    </row>
    <row r="85" spans="11:33" x14ac:dyDescent="0.25">
      <c r="K85" s="27"/>
      <c r="AA85" s="27"/>
      <c r="AG85" s="16"/>
    </row>
    <row r="86" spans="11:33" x14ac:dyDescent="0.25">
      <c r="K86" s="27"/>
      <c r="AA86" s="27"/>
      <c r="AG86" s="16"/>
    </row>
    <row r="87" spans="11:33" x14ac:dyDescent="0.25">
      <c r="K87" s="27"/>
      <c r="AA87" s="27"/>
      <c r="AG87" s="16"/>
    </row>
    <row r="88" spans="11:33" x14ac:dyDescent="0.25">
      <c r="K88" s="27"/>
      <c r="AA88" s="27"/>
      <c r="AG88" s="16"/>
    </row>
    <row r="89" spans="11:33" x14ac:dyDescent="0.25">
      <c r="K89" s="27"/>
      <c r="AA89" s="27"/>
      <c r="AG89" s="16"/>
    </row>
    <row r="90" spans="11:33" x14ac:dyDescent="0.25">
      <c r="K90" s="27"/>
      <c r="AA90" s="27"/>
      <c r="AG90" s="16"/>
    </row>
    <row r="91" spans="11:33" x14ac:dyDescent="0.25">
      <c r="K91" s="27"/>
      <c r="AA91" s="27"/>
      <c r="AG91" s="16"/>
    </row>
    <row r="92" spans="11:33" x14ac:dyDescent="0.25">
      <c r="K92" s="27"/>
      <c r="AA92" s="27"/>
      <c r="AG92" s="16"/>
    </row>
    <row r="93" spans="11:33" x14ac:dyDescent="0.25">
      <c r="K93" s="27"/>
      <c r="AA93" s="27"/>
      <c r="AG93" s="16"/>
    </row>
    <row r="94" spans="11:33" x14ac:dyDescent="0.25">
      <c r="K94" s="27"/>
      <c r="AA94" s="27"/>
      <c r="AG94" s="16"/>
    </row>
    <row r="95" spans="11:33" x14ac:dyDescent="0.25">
      <c r="K95" s="27"/>
      <c r="AA95" s="27"/>
      <c r="AG95" s="16"/>
    </row>
    <row r="96" spans="11:33" x14ac:dyDescent="0.25">
      <c r="K96" s="27"/>
      <c r="AA96" s="27"/>
      <c r="AG96" s="16"/>
    </row>
    <row r="97" spans="11:33" x14ac:dyDescent="0.25">
      <c r="K97" s="27"/>
      <c r="AA97" s="27"/>
      <c r="AG97" s="16"/>
    </row>
    <row r="98" spans="11:33" x14ac:dyDescent="0.25">
      <c r="K98" s="27"/>
      <c r="AA98" s="27"/>
      <c r="AG98" s="16"/>
    </row>
    <row r="99" spans="11:33" x14ac:dyDescent="0.25">
      <c r="K99" s="27"/>
      <c r="AA99" s="27"/>
      <c r="AG99" s="16"/>
    </row>
    <row r="100" spans="11:33" x14ac:dyDescent="0.25">
      <c r="K100" s="27"/>
      <c r="AA100" s="27"/>
      <c r="AG100" s="16"/>
    </row>
    <row r="101" spans="11:33" x14ac:dyDescent="0.25">
      <c r="K101" s="27"/>
      <c r="AA101" s="27"/>
      <c r="AG101" s="16"/>
    </row>
    <row r="102" spans="11:33" x14ac:dyDescent="0.25">
      <c r="K102" s="27"/>
      <c r="AA102" s="27"/>
      <c r="AG102" s="16"/>
    </row>
    <row r="103" spans="11:33" x14ac:dyDescent="0.25">
      <c r="K103" s="27"/>
      <c r="AA103" s="27"/>
      <c r="AG103" s="16"/>
    </row>
    <row r="104" spans="11:33" x14ac:dyDescent="0.25">
      <c r="K104" s="27"/>
      <c r="AA104" s="27"/>
      <c r="AG104" s="16"/>
    </row>
    <row r="105" spans="11:33" x14ac:dyDescent="0.25">
      <c r="K105" s="27"/>
      <c r="AA105" s="27"/>
      <c r="AG105" s="16"/>
    </row>
    <row r="106" spans="11:33" x14ac:dyDescent="0.25">
      <c r="K106" s="27"/>
      <c r="AA106" s="27"/>
      <c r="AG106" s="16"/>
    </row>
    <row r="107" spans="11:33" x14ac:dyDescent="0.25">
      <c r="K107" s="27"/>
      <c r="AA107" s="27"/>
      <c r="AG107" s="16"/>
    </row>
    <row r="108" spans="11:33" x14ac:dyDescent="0.25">
      <c r="K108" s="27"/>
      <c r="AA108" s="27"/>
      <c r="AG108" s="16"/>
    </row>
    <row r="109" spans="11:33" x14ac:dyDescent="0.25">
      <c r="K109" s="27"/>
      <c r="AA109" s="27"/>
      <c r="AG109" s="16"/>
    </row>
    <row r="110" spans="11:33" x14ac:dyDescent="0.25">
      <c r="K110" s="27"/>
      <c r="AA110" s="27"/>
      <c r="AG110" s="16"/>
    </row>
    <row r="111" spans="11:33" x14ac:dyDescent="0.25">
      <c r="K111" s="27"/>
      <c r="AA111" s="27"/>
      <c r="AG111" s="16"/>
    </row>
    <row r="112" spans="11:33" x14ac:dyDescent="0.25">
      <c r="K112" s="27"/>
      <c r="AA112" s="27"/>
      <c r="AG112" s="16"/>
    </row>
    <row r="113" spans="11:33" x14ac:dyDescent="0.25">
      <c r="K113" s="27"/>
      <c r="AA113" s="27"/>
      <c r="AG113" s="16"/>
    </row>
    <row r="114" spans="11:33" x14ac:dyDescent="0.25">
      <c r="K114" s="27"/>
      <c r="AA114" s="27"/>
      <c r="AG114" s="16"/>
    </row>
    <row r="115" spans="11:33" x14ac:dyDescent="0.25">
      <c r="K115" s="27"/>
      <c r="AA115" s="27"/>
      <c r="AG115" s="16"/>
    </row>
    <row r="116" spans="11:33" x14ac:dyDescent="0.25">
      <c r="K116" s="27"/>
      <c r="AA116" s="27"/>
      <c r="AG116" s="16"/>
    </row>
    <row r="117" spans="11:33" x14ac:dyDescent="0.25">
      <c r="K117" s="27"/>
      <c r="AA117" s="27"/>
      <c r="AG117" s="16"/>
    </row>
    <row r="118" spans="11:33" x14ac:dyDescent="0.25">
      <c r="K118" s="27"/>
      <c r="AA118" s="27"/>
      <c r="AG118" s="16"/>
    </row>
    <row r="119" spans="11:33" x14ac:dyDescent="0.25">
      <c r="K119" s="27"/>
      <c r="AA119" s="27"/>
      <c r="AG119" s="16"/>
    </row>
    <row r="120" spans="11:33" x14ac:dyDescent="0.25">
      <c r="K120" s="27"/>
      <c r="AA120" s="27"/>
      <c r="AG120" s="16"/>
    </row>
    <row r="121" spans="11:33" x14ac:dyDescent="0.25">
      <c r="K121" s="27"/>
      <c r="AA121" s="27"/>
      <c r="AG121" s="16"/>
    </row>
    <row r="122" spans="11:33" x14ac:dyDescent="0.25">
      <c r="K122" s="27"/>
      <c r="AA122" s="27"/>
      <c r="AG122" s="16"/>
    </row>
    <row r="123" spans="11:33" x14ac:dyDescent="0.25">
      <c r="K123" s="27"/>
      <c r="AA123" s="27"/>
      <c r="AG123" s="16"/>
    </row>
    <row r="124" spans="11:33" x14ac:dyDescent="0.25">
      <c r="S124" s="45"/>
      <c r="T124" s="45"/>
      <c r="U124" s="45"/>
      <c r="V124" s="45"/>
      <c r="W124" s="45"/>
      <c r="X124" s="45"/>
      <c r="Y124" s="45"/>
      <c r="Z124" s="105"/>
      <c r="AA124" s="49"/>
      <c r="AB124" s="106"/>
      <c r="AC124" s="45"/>
      <c r="AD124" s="45"/>
      <c r="AE124" s="45"/>
      <c r="AF124" s="111"/>
      <c r="AG124" s="45"/>
    </row>
    <row r="125" spans="11:33" x14ac:dyDescent="0.25">
      <c r="S125" s="45"/>
      <c r="T125" s="45"/>
      <c r="U125" s="45"/>
      <c r="V125" s="45"/>
      <c r="W125" s="45"/>
      <c r="X125" s="45"/>
      <c r="Y125" s="45"/>
      <c r="Z125" s="105"/>
      <c r="AA125" s="49"/>
      <c r="AB125" s="106"/>
      <c r="AC125" s="45"/>
      <c r="AD125" s="45"/>
      <c r="AE125" s="45"/>
      <c r="AF125" s="111"/>
      <c r="AG125" s="45"/>
    </row>
    <row r="126" spans="11:33" x14ac:dyDescent="0.25">
      <c r="S126" s="45"/>
      <c r="T126" s="45"/>
      <c r="U126" s="45"/>
      <c r="V126" s="45"/>
      <c r="W126" s="45"/>
      <c r="X126" s="45"/>
      <c r="Y126" s="45"/>
      <c r="Z126" s="105"/>
      <c r="AA126" s="49"/>
      <c r="AB126" s="106"/>
      <c r="AC126" s="45"/>
      <c r="AD126" s="45"/>
      <c r="AE126" s="45"/>
      <c r="AF126" s="111"/>
      <c r="AG126" s="45"/>
    </row>
    <row r="127" spans="11:33" x14ac:dyDescent="0.25">
      <c r="S127" s="45"/>
      <c r="T127" s="45"/>
      <c r="U127" s="45"/>
      <c r="V127" s="45"/>
      <c r="W127" s="45"/>
      <c r="X127" s="45"/>
      <c r="Y127" s="45"/>
      <c r="Z127" s="105"/>
      <c r="AA127" s="49"/>
      <c r="AB127" s="106"/>
      <c r="AC127" s="45"/>
      <c r="AD127" s="45"/>
      <c r="AE127" s="45"/>
      <c r="AF127" s="111"/>
      <c r="AG127" s="45"/>
    </row>
    <row r="128" spans="11:33" x14ac:dyDescent="0.25">
      <c r="S128" s="45"/>
      <c r="T128" s="45"/>
      <c r="U128" s="45"/>
      <c r="V128" s="45"/>
      <c r="W128" s="45"/>
      <c r="X128" s="45"/>
      <c r="Y128" s="45"/>
      <c r="Z128" s="105"/>
      <c r="AA128" s="49"/>
      <c r="AB128" s="106"/>
      <c r="AC128" s="45"/>
      <c r="AD128" s="45"/>
      <c r="AE128" s="45"/>
      <c r="AF128" s="111"/>
      <c r="AG128" s="45"/>
    </row>
    <row r="129" spans="19:33" x14ac:dyDescent="0.25">
      <c r="S129" s="45"/>
      <c r="T129" s="45"/>
      <c r="U129" s="45"/>
      <c r="V129" s="45"/>
      <c r="W129" s="45"/>
      <c r="X129" s="45"/>
      <c r="Y129" s="45"/>
      <c r="Z129" s="105"/>
      <c r="AA129" s="49"/>
      <c r="AB129" s="106"/>
      <c r="AC129" s="45"/>
      <c r="AD129" s="45"/>
      <c r="AE129" s="45"/>
      <c r="AF129" s="111"/>
      <c r="AG129" s="45"/>
    </row>
    <row r="130" spans="19:33" x14ac:dyDescent="0.25">
      <c r="S130" s="45"/>
      <c r="T130" s="45"/>
      <c r="U130" s="45"/>
      <c r="V130" s="45"/>
      <c r="W130" s="45"/>
      <c r="X130" s="45"/>
      <c r="Y130" s="45"/>
      <c r="Z130" s="105"/>
      <c r="AA130" s="49"/>
      <c r="AB130" s="106"/>
      <c r="AC130" s="45"/>
      <c r="AD130" s="45"/>
      <c r="AE130" s="45"/>
      <c r="AF130" s="111"/>
      <c r="AG130" s="45"/>
    </row>
    <row r="131" spans="19:33" x14ac:dyDescent="0.25">
      <c r="S131" s="45"/>
      <c r="T131" s="45"/>
      <c r="U131" s="45"/>
      <c r="V131" s="45"/>
      <c r="W131" s="45"/>
      <c r="X131" s="45"/>
      <c r="Y131" s="45"/>
      <c r="Z131" s="105"/>
      <c r="AA131" s="49"/>
      <c r="AB131" s="106"/>
      <c r="AC131" s="45"/>
      <c r="AD131" s="45"/>
      <c r="AE131" s="45"/>
      <c r="AF131" s="111"/>
      <c r="AG131" s="45"/>
    </row>
    <row r="132" spans="19:33" x14ac:dyDescent="0.25">
      <c r="S132" s="45"/>
      <c r="T132" s="45"/>
      <c r="U132" s="45"/>
      <c r="V132" s="45"/>
      <c r="W132" s="45"/>
      <c r="X132" s="45"/>
      <c r="Y132" s="45"/>
      <c r="Z132" s="105"/>
      <c r="AA132" s="49"/>
      <c r="AB132" s="106"/>
      <c r="AC132" s="45"/>
      <c r="AD132" s="45"/>
      <c r="AE132" s="45"/>
      <c r="AF132" s="111"/>
      <c r="AG132" s="45"/>
    </row>
    <row r="133" spans="19:33" x14ac:dyDescent="0.25">
      <c r="S133" s="45"/>
      <c r="T133" s="45"/>
      <c r="U133" s="45"/>
      <c r="V133" s="45"/>
      <c r="W133" s="45"/>
      <c r="X133" s="45"/>
      <c r="Y133" s="45"/>
      <c r="Z133" s="105"/>
      <c r="AA133" s="49"/>
      <c r="AB133" s="106"/>
      <c r="AC133" s="45"/>
      <c r="AD133" s="45"/>
      <c r="AE133" s="45"/>
      <c r="AF133" s="111"/>
      <c r="AG133" s="45"/>
    </row>
    <row r="134" spans="19:33" x14ac:dyDescent="0.25">
      <c r="S134" s="45"/>
      <c r="T134" s="45"/>
      <c r="U134" s="45"/>
      <c r="V134" s="45"/>
      <c r="W134" s="45"/>
      <c r="X134" s="45"/>
      <c r="Y134" s="45"/>
      <c r="Z134" s="105"/>
      <c r="AA134" s="49"/>
      <c r="AB134" s="106"/>
      <c r="AC134" s="45"/>
      <c r="AD134" s="45"/>
      <c r="AE134" s="45"/>
      <c r="AF134" s="111"/>
      <c r="AG134" s="45"/>
    </row>
    <row r="135" spans="19:33" x14ac:dyDescent="0.25">
      <c r="S135" s="45"/>
      <c r="T135" s="45"/>
      <c r="U135" s="45"/>
      <c r="V135" s="45"/>
      <c r="W135" s="45"/>
      <c r="X135" s="45"/>
      <c r="Y135" s="45"/>
      <c r="Z135" s="105"/>
      <c r="AA135" s="49"/>
      <c r="AB135" s="106"/>
      <c r="AC135" s="45"/>
      <c r="AD135" s="45"/>
      <c r="AE135" s="45"/>
      <c r="AF135" s="111"/>
      <c r="AG135" s="45"/>
    </row>
    <row r="136" spans="19:33" x14ac:dyDescent="0.25">
      <c r="S136" s="45"/>
      <c r="T136" s="45"/>
      <c r="U136" s="45"/>
      <c r="V136" s="45"/>
      <c r="W136" s="45"/>
      <c r="X136" s="45"/>
      <c r="Y136" s="45"/>
      <c r="Z136" s="105"/>
      <c r="AA136" s="49"/>
      <c r="AB136" s="106"/>
      <c r="AC136" s="45"/>
      <c r="AD136" s="45"/>
      <c r="AE136" s="45"/>
      <c r="AF136" s="111"/>
      <c r="AG136" s="45"/>
    </row>
    <row r="137" spans="19:33" x14ac:dyDescent="0.25">
      <c r="S137" s="45"/>
      <c r="T137" s="45"/>
      <c r="U137" s="45"/>
      <c r="V137" s="45"/>
      <c r="W137" s="45"/>
      <c r="X137" s="45"/>
      <c r="Y137" s="45"/>
      <c r="Z137" s="105"/>
      <c r="AA137" s="49"/>
      <c r="AB137" s="106"/>
      <c r="AC137" s="45"/>
      <c r="AD137" s="45"/>
      <c r="AE137" s="45"/>
      <c r="AF137" s="111"/>
      <c r="AG137" s="45"/>
    </row>
    <row r="138" spans="19:33" x14ac:dyDescent="0.25">
      <c r="S138" s="45"/>
      <c r="T138" s="45"/>
      <c r="U138" s="45"/>
      <c r="V138" s="45"/>
      <c r="W138" s="45"/>
      <c r="X138" s="45"/>
      <c r="Y138" s="45"/>
      <c r="Z138" s="105"/>
      <c r="AA138" s="49"/>
      <c r="AB138" s="106"/>
      <c r="AC138" s="45"/>
      <c r="AD138" s="45"/>
      <c r="AE138" s="45"/>
      <c r="AF138" s="111"/>
      <c r="AG138" s="45"/>
    </row>
    <row r="139" spans="19:33" x14ac:dyDescent="0.25">
      <c r="S139" s="45"/>
      <c r="T139" s="45"/>
      <c r="U139" s="45"/>
      <c r="V139" s="45"/>
      <c r="W139" s="45"/>
      <c r="X139" s="45"/>
      <c r="Y139" s="45"/>
      <c r="Z139" s="105"/>
      <c r="AA139" s="49"/>
      <c r="AB139" s="106"/>
      <c r="AC139" s="45"/>
      <c r="AD139" s="45"/>
      <c r="AE139" s="45"/>
      <c r="AF139" s="111"/>
      <c r="AG139" s="45"/>
    </row>
    <row r="140" spans="19:33" x14ac:dyDescent="0.25">
      <c r="S140" s="45"/>
      <c r="T140" s="45"/>
      <c r="U140" s="45"/>
      <c r="V140" s="45"/>
      <c r="W140" s="45"/>
      <c r="X140" s="45"/>
      <c r="Y140" s="45"/>
      <c r="Z140" s="105"/>
      <c r="AA140" s="49"/>
      <c r="AB140" s="106"/>
      <c r="AC140" s="45"/>
      <c r="AD140" s="45"/>
      <c r="AE140" s="45"/>
      <c r="AF140" s="111"/>
      <c r="AG140" s="45"/>
    </row>
    <row r="141" spans="19:33" x14ac:dyDescent="0.25">
      <c r="S141" s="45"/>
      <c r="T141" s="45"/>
      <c r="U141" s="45"/>
      <c r="V141" s="45"/>
      <c r="W141" s="45"/>
      <c r="X141" s="45"/>
      <c r="Y141" s="45"/>
      <c r="Z141" s="105"/>
      <c r="AA141" s="49"/>
      <c r="AB141" s="106"/>
      <c r="AC141" s="45"/>
      <c r="AD141" s="45"/>
      <c r="AE141" s="45"/>
      <c r="AF141" s="111"/>
      <c r="AG141" s="45"/>
    </row>
    <row r="142" spans="19:33" x14ac:dyDescent="0.25">
      <c r="S142" s="45"/>
      <c r="T142" s="45"/>
      <c r="U142" s="45"/>
      <c r="V142" s="45"/>
      <c r="W142" s="45"/>
      <c r="X142" s="45"/>
      <c r="Y142" s="45"/>
      <c r="Z142" s="105"/>
      <c r="AA142" s="49"/>
      <c r="AB142" s="106"/>
      <c r="AC142" s="45"/>
      <c r="AD142" s="45"/>
      <c r="AE142" s="45"/>
      <c r="AF142" s="111"/>
      <c r="AG142" s="45"/>
    </row>
    <row r="143" spans="19:33" x14ac:dyDescent="0.25">
      <c r="S143" s="45"/>
      <c r="T143" s="45"/>
      <c r="U143" s="45"/>
      <c r="V143" s="45"/>
      <c r="W143" s="45"/>
      <c r="X143" s="45"/>
      <c r="Y143" s="45"/>
      <c r="Z143" s="105"/>
      <c r="AA143" s="49"/>
      <c r="AB143" s="106"/>
      <c r="AC143" s="45"/>
      <c r="AD143" s="45"/>
      <c r="AE143" s="45"/>
      <c r="AF143" s="111"/>
      <c r="AG143" s="45"/>
    </row>
    <row r="144" spans="19:33" x14ac:dyDescent="0.25">
      <c r="S144" s="45"/>
      <c r="T144" s="45"/>
      <c r="U144" s="45"/>
      <c r="V144" s="45"/>
      <c r="W144" s="45"/>
      <c r="X144" s="45"/>
      <c r="Y144" s="45"/>
      <c r="Z144" s="105"/>
      <c r="AA144" s="49"/>
      <c r="AB144" s="106"/>
      <c r="AC144" s="45"/>
      <c r="AD144" s="45"/>
      <c r="AE144" s="45"/>
      <c r="AF144" s="111"/>
      <c r="AG144" s="45"/>
    </row>
    <row r="145" spans="19:33" x14ac:dyDescent="0.25">
      <c r="S145" s="45"/>
      <c r="T145" s="45"/>
      <c r="U145" s="45"/>
      <c r="V145" s="45"/>
      <c r="W145" s="45"/>
      <c r="X145" s="45"/>
      <c r="Y145" s="45"/>
      <c r="Z145" s="105"/>
      <c r="AA145" s="49"/>
      <c r="AB145" s="106"/>
      <c r="AC145" s="45"/>
      <c r="AD145" s="45"/>
      <c r="AE145" s="45"/>
      <c r="AF145" s="111"/>
      <c r="AG145" s="45"/>
    </row>
    <row r="146" spans="19:33" x14ac:dyDescent="0.25">
      <c r="S146" s="45"/>
      <c r="T146" s="45"/>
      <c r="U146" s="45"/>
      <c r="V146" s="45"/>
      <c r="W146" s="45"/>
      <c r="X146" s="45"/>
      <c r="Y146" s="45"/>
      <c r="Z146" s="105"/>
      <c r="AA146" s="49"/>
      <c r="AB146" s="106"/>
      <c r="AC146" s="45"/>
      <c r="AD146" s="45"/>
      <c r="AE146" s="45"/>
      <c r="AF146" s="111"/>
      <c r="AG146" s="45"/>
    </row>
    <row r="147" spans="19:33" x14ac:dyDescent="0.25">
      <c r="S147" s="45"/>
      <c r="T147" s="45"/>
      <c r="U147" s="45"/>
      <c r="V147" s="45"/>
      <c r="W147" s="45"/>
      <c r="X147" s="45"/>
      <c r="Y147" s="45"/>
      <c r="Z147" s="105"/>
      <c r="AA147" s="49"/>
      <c r="AB147" s="106"/>
      <c r="AC147" s="45"/>
      <c r="AD147" s="45"/>
      <c r="AE147" s="45"/>
      <c r="AF147" s="111"/>
      <c r="AG147" s="45"/>
    </row>
    <row r="148" spans="19:33" x14ac:dyDescent="0.25">
      <c r="S148" s="45"/>
      <c r="T148" s="45"/>
      <c r="U148" s="45"/>
      <c r="V148" s="45"/>
      <c r="W148" s="45"/>
      <c r="X148" s="45"/>
      <c r="Y148" s="45"/>
      <c r="Z148" s="105"/>
      <c r="AA148" s="49"/>
      <c r="AB148" s="106"/>
      <c r="AC148" s="45"/>
      <c r="AD148" s="45"/>
      <c r="AE148" s="45"/>
      <c r="AF148" s="111"/>
      <c r="AG148" s="45"/>
    </row>
    <row r="149" spans="19:33" x14ac:dyDescent="0.25">
      <c r="S149" s="45"/>
      <c r="T149" s="45"/>
      <c r="U149" s="45"/>
      <c r="V149" s="45"/>
      <c r="W149" s="45"/>
      <c r="X149" s="45"/>
      <c r="Y149" s="45"/>
      <c r="Z149" s="105"/>
      <c r="AA149" s="49"/>
      <c r="AB149" s="106"/>
      <c r="AC149" s="45"/>
      <c r="AD149" s="45"/>
      <c r="AE149" s="45"/>
      <c r="AF149" s="111"/>
      <c r="AG149" s="45"/>
    </row>
    <row r="150" spans="19:33" x14ac:dyDescent="0.25">
      <c r="S150" s="45"/>
      <c r="T150" s="45"/>
      <c r="U150" s="45"/>
      <c r="V150" s="45"/>
      <c r="W150" s="45"/>
      <c r="X150" s="45"/>
      <c r="Y150" s="45"/>
      <c r="Z150" s="105"/>
      <c r="AA150" s="49"/>
      <c r="AB150" s="106"/>
      <c r="AC150" s="45"/>
      <c r="AD150" s="45"/>
      <c r="AE150" s="45"/>
      <c r="AF150" s="111"/>
      <c r="AG150" s="45"/>
    </row>
    <row r="151" spans="19:33" x14ac:dyDescent="0.25">
      <c r="S151" s="45"/>
      <c r="T151" s="45"/>
      <c r="U151" s="45"/>
      <c r="V151" s="45"/>
      <c r="W151" s="45"/>
      <c r="X151" s="45"/>
      <c r="Y151" s="45"/>
      <c r="Z151" s="105"/>
      <c r="AA151" s="49"/>
      <c r="AB151" s="106"/>
      <c r="AC151" s="45"/>
      <c r="AD151" s="45"/>
      <c r="AE151" s="45"/>
      <c r="AF151" s="111"/>
      <c r="AG151" s="45"/>
    </row>
    <row r="152" spans="19:33" x14ac:dyDescent="0.25">
      <c r="S152" s="45"/>
      <c r="T152" s="45"/>
      <c r="U152" s="45"/>
      <c r="V152" s="45"/>
      <c r="W152" s="45"/>
      <c r="X152" s="45"/>
      <c r="Y152" s="45"/>
      <c r="Z152" s="105"/>
      <c r="AA152" s="49"/>
      <c r="AB152" s="106"/>
      <c r="AC152" s="45"/>
      <c r="AD152" s="45"/>
      <c r="AE152" s="45"/>
      <c r="AF152" s="111"/>
      <c r="AG152" s="45"/>
    </row>
    <row r="153" spans="19:33" x14ac:dyDescent="0.25">
      <c r="S153" s="45"/>
      <c r="T153" s="45"/>
      <c r="U153" s="45"/>
      <c r="V153" s="45"/>
      <c r="W153" s="45"/>
      <c r="X153" s="45"/>
      <c r="Y153" s="45"/>
      <c r="Z153" s="105"/>
      <c r="AA153" s="49"/>
      <c r="AB153" s="106"/>
      <c r="AC153" s="45"/>
      <c r="AD153" s="45"/>
      <c r="AE153" s="45"/>
      <c r="AF153" s="111"/>
      <c r="AG153" s="45"/>
    </row>
    <row r="154" spans="19:33" x14ac:dyDescent="0.25">
      <c r="S154" s="45"/>
      <c r="T154" s="45"/>
      <c r="U154" s="45"/>
      <c r="V154" s="45"/>
      <c r="W154" s="45"/>
      <c r="X154" s="45"/>
      <c r="Y154" s="45"/>
      <c r="Z154" s="105"/>
      <c r="AA154" s="49"/>
      <c r="AB154" s="106"/>
      <c r="AC154" s="45"/>
      <c r="AD154" s="45"/>
      <c r="AE154" s="45"/>
      <c r="AF154" s="111"/>
      <c r="AG154" s="45"/>
    </row>
    <row r="155" spans="19:33" x14ac:dyDescent="0.25">
      <c r="S155" s="45"/>
      <c r="T155" s="45"/>
      <c r="U155" s="45"/>
      <c r="V155" s="45"/>
      <c r="W155" s="45"/>
      <c r="X155" s="45"/>
      <c r="Y155" s="45"/>
      <c r="Z155" s="105"/>
      <c r="AA155" s="49"/>
      <c r="AB155" s="106"/>
      <c r="AC155" s="45"/>
      <c r="AD155" s="45"/>
      <c r="AE155" s="45"/>
      <c r="AF155" s="111"/>
      <c r="AG155" s="45"/>
    </row>
    <row r="156" spans="19:33" x14ac:dyDescent="0.25">
      <c r="S156" s="45"/>
      <c r="T156" s="45"/>
      <c r="U156" s="45"/>
      <c r="V156" s="45"/>
      <c r="W156" s="45"/>
      <c r="X156" s="45"/>
      <c r="Y156" s="45"/>
      <c r="Z156" s="105"/>
      <c r="AA156" s="49"/>
      <c r="AB156" s="106"/>
      <c r="AC156" s="45"/>
      <c r="AD156" s="45"/>
      <c r="AE156" s="45"/>
      <c r="AF156" s="111"/>
      <c r="AG156" s="45"/>
    </row>
    <row r="157" spans="19:33" x14ac:dyDescent="0.25">
      <c r="S157" s="45"/>
      <c r="T157" s="45"/>
      <c r="U157" s="45"/>
      <c r="V157" s="45"/>
      <c r="W157" s="45"/>
      <c r="X157" s="45"/>
      <c r="Y157" s="45"/>
      <c r="Z157" s="105"/>
      <c r="AA157" s="49"/>
      <c r="AB157" s="106"/>
      <c r="AC157" s="45"/>
      <c r="AD157" s="45"/>
      <c r="AE157" s="45"/>
      <c r="AF157" s="111"/>
      <c r="AG157" s="45"/>
    </row>
    <row r="158" spans="19:33" x14ac:dyDescent="0.25">
      <c r="S158" s="45"/>
      <c r="T158" s="45"/>
      <c r="U158" s="45"/>
      <c r="V158" s="45"/>
      <c r="W158" s="45"/>
      <c r="X158" s="45"/>
      <c r="Y158" s="45"/>
      <c r="Z158" s="105"/>
      <c r="AA158" s="49"/>
      <c r="AB158" s="106"/>
      <c r="AC158" s="45"/>
      <c r="AD158" s="45"/>
      <c r="AE158" s="45"/>
      <c r="AF158" s="111"/>
      <c r="AG158" s="45"/>
    </row>
    <row r="159" spans="19:33" x14ac:dyDescent="0.25">
      <c r="S159" s="45"/>
      <c r="T159" s="45"/>
      <c r="U159" s="45"/>
      <c r="V159" s="45"/>
      <c r="W159" s="45"/>
      <c r="X159" s="45"/>
      <c r="Y159" s="45"/>
      <c r="Z159" s="105"/>
      <c r="AA159" s="49"/>
      <c r="AB159" s="106"/>
      <c r="AC159" s="45"/>
      <c r="AD159" s="45"/>
      <c r="AE159" s="45"/>
      <c r="AF159" s="111"/>
      <c r="AG159" s="45"/>
    </row>
    <row r="160" spans="19:33" x14ac:dyDescent="0.25">
      <c r="S160" s="45"/>
      <c r="T160" s="45"/>
      <c r="U160" s="45"/>
      <c r="V160" s="45"/>
      <c r="W160" s="45"/>
      <c r="X160" s="45"/>
      <c r="Y160" s="45"/>
      <c r="Z160" s="105"/>
      <c r="AA160" s="49"/>
      <c r="AB160" s="106"/>
      <c r="AC160" s="45"/>
      <c r="AD160" s="45"/>
      <c r="AE160" s="45"/>
      <c r="AF160" s="111"/>
      <c r="AG160" s="45"/>
    </row>
    <row r="161" spans="19:33" x14ac:dyDescent="0.25">
      <c r="S161" s="45"/>
      <c r="T161" s="45"/>
      <c r="U161" s="45"/>
      <c r="V161" s="45"/>
      <c r="W161" s="45"/>
      <c r="X161" s="45"/>
      <c r="Y161" s="45"/>
      <c r="Z161" s="105"/>
      <c r="AA161" s="49"/>
      <c r="AB161" s="106"/>
      <c r="AC161" s="45"/>
      <c r="AD161" s="45"/>
      <c r="AE161" s="45"/>
      <c r="AF161" s="111"/>
      <c r="AG161" s="45"/>
    </row>
    <row r="162" spans="19:33" x14ac:dyDescent="0.25">
      <c r="S162" s="45"/>
      <c r="T162" s="45"/>
      <c r="U162" s="45"/>
      <c r="V162" s="45"/>
      <c r="W162" s="45"/>
      <c r="X162" s="45"/>
      <c r="Y162" s="45"/>
      <c r="Z162" s="105"/>
      <c r="AA162" s="49"/>
      <c r="AB162" s="106"/>
      <c r="AC162" s="45"/>
      <c r="AD162" s="45"/>
      <c r="AE162" s="45"/>
      <c r="AF162" s="111"/>
      <c r="AG162" s="45"/>
    </row>
    <row r="163" spans="19:33" x14ac:dyDescent="0.25">
      <c r="S163" s="45"/>
      <c r="T163" s="45"/>
      <c r="U163" s="45"/>
      <c r="V163" s="45"/>
      <c r="W163" s="45"/>
      <c r="X163" s="45"/>
      <c r="Y163" s="45"/>
      <c r="Z163" s="105"/>
      <c r="AA163" s="49"/>
      <c r="AB163" s="106"/>
      <c r="AC163" s="45"/>
      <c r="AD163" s="45"/>
      <c r="AE163" s="45"/>
      <c r="AF163" s="111"/>
      <c r="AG163" s="45"/>
    </row>
    <row r="164" spans="19:33" x14ac:dyDescent="0.25">
      <c r="S164" s="45"/>
      <c r="T164" s="45"/>
      <c r="U164" s="45"/>
      <c r="V164" s="45"/>
      <c r="W164" s="45"/>
      <c r="X164" s="45"/>
      <c r="Y164" s="45"/>
      <c r="Z164" s="105"/>
      <c r="AA164" s="49"/>
      <c r="AB164" s="106"/>
      <c r="AC164" s="45"/>
      <c r="AD164" s="45"/>
      <c r="AE164" s="45"/>
      <c r="AF164" s="111"/>
      <c r="AG164" s="45"/>
    </row>
    <row r="165" spans="19:33" x14ac:dyDescent="0.25">
      <c r="S165" s="45"/>
      <c r="T165" s="45"/>
      <c r="U165" s="45"/>
      <c r="V165" s="45"/>
      <c r="W165" s="45"/>
      <c r="X165" s="45"/>
      <c r="Y165" s="45"/>
      <c r="Z165" s="105"/>
      <c r="AA165" s="49"/>
      <c r="AB165" s="106"/>
      <c r="AC165" s="45"/>
      <c r="AD165" s="45"/>
      <c r="AE165" s="45"/>
      <c r="AF165" s="111"/>
      <c r="AG165" s="45"/>
    </row>
    <row r="166" spans="19:33" x14ac:dyDescent="0.25">
      <c r="S166" s="45"/>
      <c r="T166" s="45"/>
      <c r="U166" s="45"/>
      <c r="V166" s="45"/>
      <c r="W166" s="45"/>
      <c r="X166" s="45"/>
      <c r="Y166" s="45"/>
      <c r="Z166" s="105"/>
      <c r="AA166" s="49"/>
      <c r="AB166" s="106"/>
      <c r="AC166" s="45"/>
      <c r="AD166" s="45"/>
      <c r="AE166" s="45"/>
      <c r="AF166" s="111"/>
      <c r="AG166" s="45"/>
    </row>
    <row r="167" spans="19:33" x14ac:dyDescent="0.25">
      <c r="S167" s="45"/>
      <c r="T167" s="45"/>
      <c r="U167" s="45"/>
      <c r="V167" s="45"/>
      <c r="W167" s="45"/>
      <c r="X167" s="45"/>
      <c r="Y167" s="45"/>
      <c r="Z167" s="105"/>
      <c r="AA167" s="49"/>
      <c r="AB167" s="106"/>
      <c r="AC167" s="45"/>
      <c r="AD167" s="45"/>
      <c r="AE167" s="45"/>
      <c r="AF167" s="111"/>
      <c r="AG167" s="45"/>
    </row>
    <row r="168" spans="19:33" x14ac:dyDescent="0.25">
      <c r="S168" s="45"/>
      <c r="T168" s="45"/>
      <c r="U168" s="45"/>
      <c r="V168" s="45"/>
      <c r="W168" s="45"/>
      <c r="X168" s="45"/>
      <c r="Y168" s="45"/>
      <c r="Z168" s="105"/>
      <c r="AA168" s="49"/>
      <c r="AB168" s="106"/>
      <c r="AC168" s="45"/>
      <c r="AD168" s="45"/>
      <c r="AE168" s="45"/>
      <c r="AF168" s="111"/>
      <c r="AG168" s="45"/>
    </row>
    <row r="169" spans="19:33" x14ac:dyDescent="0.25">
      <c r="S169" s="45"/>
      <c r="T169" s="45"/>
      <c r="U169" s="45"/>
      <c r="V169" s="45"/>
      <c r="W169" s="45"/>
      <c r="X169" s="45"/>
      <c r="Y169" s="45"/>
      <c r="Z169" s="105"/>
      <c r="AA169" s="49"/>
      <c r="AB169" s="106"/>
      <c r="AC169" s="45"/>
      <c r="AD169" s="45"/>
      <c r="AE169" s="45"/>
      <c r="AF169" s="111"/>
      <c r="AG169" s="45"/>
    </row>
    <row r="170" spans="19:33" x14ac:dyDescent="0.25">
      <c r="S170" s="45"/>
      <c r="T170" s="45"/>
      <c r="U170" s="45"/>
      <c r="V170" s="45"/>
      <c r="W170" s="45"/>
      <c r="X170" s="45"/>
      <c r="Y170" s="45"/>
      <c r="Z170" s="105"/>
      <c r="AA170" s="49"/>
      <c r="AB170" s="106"/>
      <c r="AC170" s="45"/>
      <c r="AD170" s="45"/>
      <c r="AE170" s="45"/>
      <c r="AF170" s="111"/>
      <c r="AG170" s="45"/>
    </row>
    <row r="171" spans="19:33" x14ac:dyDescent="0.25">
      <c r="S171" s="45"/>
      <c r="T171" s="45"/>
      <c r="U171" s="45"/>
      <c r="V171" s="45"/>
      <c r="W171" s="45"/>
      <c r="X171" s="45"/>
      <c r="Y171" s="45"/>
      <c r="Z171" s="105"/>
      <c r="AA171" s="49"/>
      <c r="AB171" s="106"/>
      <c r="AC171" s="45"/>
      <c r="AD171" s="45"/>
      <c r="AE171" s="45"/>
      <c r="AF171" s="111"/>
      <c r="AG171" s="45"/>
    </row>
    <row r="172" spans="19:33" x14ac:dyDescent="0.25">
      <c r="S172" s="45"/>
      <c r="T172" s="45"/>
      <c r="U172" s="45"/>
      <c r="V172" s="45"/>
      <c r="W172" s="45"/>
      <c r="X172" s="45"/>
      <c r="Y172" s="45"/>
      <c r="Z172" s="105"/>
      <c r="AA172" s="49"/>
      <c r="AB172" s="106"/>
      <c r="AC172" s="45"/>
      <c r="AD172" s="45"/>
      <c r="AE172" s="45"/>
      <c r="AF172" s="111"/>
      <c r="AG172" s="45"/>
    </row>
    <row r="173" spans="19:33" x14ac:dyDescent="0.25">
      <c r="S173" s="45"/>
      <c r="T173" s="45"/>
      <c r="U173" s="45"/>
      <c r="V173" s="45"/>
      <c r="W173" s="45"/>
      <c r="X173" s="45"/>
      <c r="Y173" s="45"/>
      <c r="Z173" s="105"/>
      <c r="AA173" s="49"/>
      <c r="AB173" s="106"/>
      <c r="AC173" s="45"/>
      <c r="AD173" s="45"/>
      <c r="AE173" s="45"/>
      <c r="AF173" s="111"/>
      <c r="AG173" s="45"/>
    </row>
    <row r="174" spans="19:33" x14ac:dyDescent="0.25">
      <c r="S174" s="45"/>
      <c r="T174" s="45"/>
      <c r="U174" s="45"/>
      <c r="V174" s="45"/>
      <c r="W174" s="45"/>
      <c r="X174" s="45"/>
      <c r="Y174" s="45"/>
      <c r="Z174" s="105"/>
      <c r="AA174" s="49"/>
      <c r="AB174" s="106"/>
      <c r="AC174" s="45"/>
      <c r="AD174" s="45"/>
      <c r="AE174" s="45"/>
      <c r="AF174" s="111"/>
      <c r="AG174" s="45"/>
    </row>
    <row r="175" spans="19:33" x14ac:dyDescent="0.25">
      <c r="S175" s="45"/>
      <c r="T175" s="45"/>
      <c r="U175" s="45"/>
      <c r="V175" s="45"/>
      <c r="W175" s="45"/>
      <c r="X175" s="45"/>
      <c r="Y175" s="45"/>
      <c r="Z175" s="105"/>
      <c r="AA175" s="49"/>
      <c r="AB175" s="106"/>
      <c r="AC175" s="45"/>
      <c r="AD175" s="45"/>
      <c r="AE175" s="45"/>
      <c r="AF175" s="111"/>
      <c r="AG175" s="45"/>
    </row>
    <row r="176" spans="19:33" x14ac:dyDescent="0.25">
      <c r="S176" s="45"/>
      <c r="T176" s="45"/>
      <c r="U176" s="45"/>
      <c r="V176" s="45"/>
      <c r="W176" s="45"/>
      <c r="X176" s="45"/>
      <c r="Y176" s="45"/>
      <c r="Z176" s="105"/>
      <c r="AA176" s="49"/>
      <c r="AB176" s="106"/>
      <c r="AC176" s="45"/>
      <c r="AD176" s="45"/>
      <c r="AE176" s="45"/>
      <c r="AF176" s="111"/>
      <c r="AG176" s="45"/>
    </row>
    <row r="177" spans="19:33" x14ac:dyDescent="0.25">
      <c r="S177" s="45"/>
      <c r="T177" s="45"/>
      <c r="U177" s="45"/>
      <c r="V177" s="45"/>
      <c r="W177" s="45"/>
      <c r="X177" s="45"/>
      <c r="Y177" s="45"/>
      <c r="Z177" s="105"/>
      <c r="AA177" s="49"/>
      <c r="AB177" s="106"/>
      <c r="AC177" s="45"/>
      <c r="AD177" s="45"/>
      <c r="AE177" s="45"/>
      <c r="AF177" s="111"/>
      <c r="AG177" s="45"/>
    </row>
    <row r="178" spans="19:33" x14ac:dyDescent="0.25">
      <c r="S178" s="45"/>
      <c r="T178" s="45"/>
      <c r="U178" s="45"/>
      <c r="V178" s="45"/>
      <c r="W178" s="45"/>
      <c r="X178" s="45"/>
      <c r="Y178" s="45"/>
      <c r="Z178" s="105"/>
      <c r="AA178" s="49"/>
      <c r="AB178" s="106"/>
      <c r="AC178" s="45"/>
      <c r="AD178" s="45"/>
      <c r="AE178" s="45"/>
      <c r="AF178" s="111"/>
      <c r="AG178" s="45"/>
    </row>
    <row r="179" spans="19:33" x14ac:dyDescent="0.25">
      <c r="S179" s="45"/>
      <c r="T179" s="45"/>
      <c r="U179" s="45"/>
      <c r="V179" s="45"/>
      <c r="W179" s="45"/>
      <c r="X179" s="45"/>
      <c r="Y179" s="45"/>
      <c r="Z179" s="105"/>
      <c r="AA179" s="49"/>
      <c r="AB179" s="106"/>
      <c r="AC179" s="45"/>
      <c r="AD179" s="45"/>
      <c r="AE179" s="45"/>
      <c r="AF179" s="111"/>
      <c r="AG179" s="45"/>
    </row>
    <row r="180" spans="19:33" x14ac:dyDescent="0.25">
      <c r="S180" s="45"/>
      <c r="T180" s="45"/>
      <c r="U180" s="45"/>
      <c r="V180" s="45"/>
      <c r="W180" s="45"/>
      <c r="X180" s="45"/>
      <c r="Y180" s="45"/>
      <c r="Z180" s="105"/>
      <c r="AA180" s="49"/>
      <c r="AB180" s="106"/>
      <c r="AC180" s="45"/>
      <c r="AD180" s="45"/>
      <c r="AE180" s="45"/>
      <c r="AF180" s="111"/>
      <c r="AG180" s="45"/>
    </row>
    <row r="181" spans="19:33" x14ac:dyDescent="0.25">
      <c r="S181" s="45"/>
      <c r="T181" s="45"/>
      <c r="U181" s="45"/>
      <c r="V181" s="45"/>
      <c r="W181" s="45"/>
      <c r="X181" s="45"/>
      <c r="Y181" s="45"/>
      <c r="Z181" s="105"/>
      <c r="AA181" s="49"/>
      <c r="AB181" s="106"/>
      <c r="AC181" s="45"/>
      <c r="AD181" s="45"/>
      <c r="AE181" s="45"/>
      <c r="AF181" s="111"/>
      <c r="AG181" s="45"/>
    </row>
    <row r="182" spans="19:33" x14ac:dyDescent="0.25">
      <c r="S182" s="45"/>
      <c r="T182" s="45"/>
      <c r="U182" s="45"/>
      <c r="V182" s="45"/>
      <c r="W182" s="45"/>
      <c r="X182" s="45"/>
      <c r="Y182" s="45"/>
      <c r="Z182" s="105"/>
      <c r="AA182" s="49"/>
      <c r="AB182" s="106"/>
      <c r="AC182" s="45"/>
      <c r="AD182" s="45"/>
      <c r="AE182" s="45"/>
      <c r="AF182" s="111"/>
      <c r="AG182" s="45"/>
    </row>
    <row r="183" spans="19:33" x14ac:dyDescent="0.25">
      <c r="S183" s="45"/>
      <c r="T183" s="45"/>
      <c r="U183" s="45"/>
      <c r="V183" s="45"/>
      <c r="W183" s="45"/>
      <c r="X183" s="45"/>
      <c r="Y183" s="45"/>
      <c r="Z183" s="105"/>
      <c r="AA183" s="49"/>
      <c r="AB183" s="106"/>
      <c r="AC183" s="45"/>
      <c r="AD183" s="45"/>
      <c r="AE183" s="45"/>
      <c r="AF183" s="111"/>
      <c r="AG183" s="45"/>
    </row>
  </sheetData>
  <sortState xmlns:xlrd2="http://schemas.microsoft.com/office/spreadsheetml/2017/richdata2" ref="S4:AE123">
    <sortCondition ref="V4:V123"/>
    <sortCondition ref="W4:W123"/>
    <sortCondition ref="U4:U123"/>
    <sortCondition ref="S4:S123"/>
  </sortState>
  <mergeCells count="7">
    <mergeCell ref="P9:P13"/>
    <mergeCell ref="B1:P1"/>
    <mergeCell ref="R1:AF1"/>
    <mergeCell ref="M2:O2"/>
    <mergeCell ref="AC2:AE2"/>
    <mergeCell ref="P4:P8"/>
    <mergeCell ref="AF4:AF8"/>
  </mergeCells>
  <conditionalFormatting sqref="P4:Q4 P9 P14 P19 P24 P29 P39 P44 P49 P54 P59 P69 P74 P79 P84 P89 P99 P104 P109 P114 P119 P34 P94 P64:Q64 Q124">
    <cfRule type="colorScale" priority="8">
      <colorScale>
        <cfvo type="min"/>
        <cfvo type="percentile" val="50"/>
        <cfvo type="max"/>
        <color rgb="FFF8696B"/>
        <color rgb="FFFFEB84"/>
        <color rgb="FF63BE7B"/>
      </colorScale>
    </cfRule>
  </conditionalFormatting>
  <conditionalFormatting sqref="AF4:AF123">
    <cfRule type="colorScale" priority="7">
      <colorScale>
        <cfvo type="min"/>
        <cfvo type="percentile" val="50"/>
        <cfvo type="max"/>
        <color rgb="FFF8696B"/>
        <color rgb="FFFFEB84"/>
        <color rgb="FF63BE7B"/>
      </colorScale>
    </cfRule>
  </conditionalFormatting>
  <conditionalFormatting sqref="AF124:AF183">
    <cfRule type="colorScale" priority="1">
      <colorScale>
        <cfvo type="min"/>
        <cfvo type="percentile" val="50"/>
        <cfvo type="max"/>
        <color rgb="FFF8696B"/>
        <color rgb="FFFFEB84"/>
        <color rgb="FF63BE7B"/>
      </colorScale>
    </cfRule>
  </conditionalFormatting>
  <conditionalFormatting sqref="AG64 AG4">
    <cfRule type="colorScale" priority="2">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DA7E8-56C1-4E6E-B4B6-87D6BF878AD7}">
  <dimension ref="B1:BM134"/>
  <sheetViews>
    <sheetView zoomScale="85" zoomScaleNormal="85" workbookViewId="0">
      <selection activeCell="B1" sqref="B1:P1"/>
    </sheetView>
  </sheetViews>
  <sheetFormatPr defaultRowHeight="15" x14ac:dyDescent="0.25"/>
  <cols>
    <col min="2" max="2" width="11.85546875" bestFit="1" customWidth="1"/>
    <col min="10" max="10" width="9.140625" style="16"/>
    <col min="12" max="12" width="9.140625" style="31"/>
    <col min="13" max="15" width="15" customWidth="1"/>
    <col min="16" max="16" width="15.7109375" style="25" bestFit="1" customWidth="1"/>
    <col min="19" max="19" width="11.85546875" bestFit="1" customWidth="1"/>
    <col min="27" max="27" width="9.140625" style="16"/>
    <col min="29" max="29" width="9.140625" style="31"/>
    <col min="30" max="32" width="15.28515625" customWidth="1"/>
    <col min="33" max="33" width="15.7109375" style="25" bestFit="1" customWidth="1"/>
    <col min="34" max="34" width="15.7109375" style="16" customWidth="1"/>
  </cols>
  <sheetData>
    <row r="1" spans="2:65" s="36" customFormat="1" ht="15.75" x14ac:dyDescent="0.25">
      <c r="B1" s="126" t="s">
        <v>293</v>
      </c>
      <c r="C1" s="126"/>
      <c r="D1" s="126"/>
      <c r="E1" s="126"/>
      <c r="F1" s="126"/>
      <c r="G1" s="126"/>
      <c r="H1" s="126"/>
      <c r="I1" s="126"/>
      <c r="J1" s="126"/>
      <c r="K1" s="126"/>
      <c r="L1" s="126"/>
      <c r="M1" s="126"/>
      <c r="N1" s="126"/>
      <c r="O1" s="126"/>
      <c r="P1" s="126"/>
      <c r="S1" s="126" t="s">
        <v>294</v>
      </c>
      <c r="T1" s="126"/>
      <c r="U1" s="126"/>
      <c r="V1" s="126"/>
      <c r="W1" s="126"/>
      <c r="X1" s="126"/>
      <c r="Y1" s="126"/>
      <c r="Z1" s="126"/>
      <c r="AA1" s="126"/>
      <c r="AB1" s="126"/>
      <c r="AC1" s="126"/>
      <c r="AD1" s="126"/>
      <c r="AE1" s="126"/>
      <c r="AF1" s="126"/>
      <c r="AG1" s="126"/>
      <c r="AH1" s="35"/>
      <c r="AI1" s="126"/>
      <c r="AJ1" s="126"/>
      <c r="AK1" s="126"/>
      <c r="AL1" s="126"/>
      <c r="AM1" s="126"/>
      <c r="AN1" s="126"/>
      <c r="AO1" s="126"/>
      <c r="AP1" s="126"/>
      <c r="AQ1" s="126"/>
      <c r="AR1" s="126"/>
      <c r="AS1" s="126"/>
      <c r="AT1" s="126"/>
      <c r="AU1" s="126"/>
      <c r="AV1" s="126"/>
      <c r="AW1" s="126"/>
      <c r="AX1" s="35"/>
      <c r="AY1" s="126"/>
      <c r="AZ1" s="126"/>
      <c r="BA1" s="126"/>
      <c r="BB1" s="126"/>
      <c r="BC1" s="126"/>
      <c r="BD1" s="126"/>
      <c r="BE1" s="126"/>
      <c r="BF1" s="126"/>
      <c r="BG1" s="126"/>
      <c r="BH1" s="126"/>
      <c r="BI1" s="126"/>
      <c r="BJ1" s="126"/>
      <c r="BK1" s="126"/>
      <c r="BL1" s="126"/>
      <c r="BM1" s="126"/>
    </row>
    <row r="2" spans="2:65" s="36" customFormat="1" ht="15.75" x14ac:dyDescent="0.25">
      <c r="C2" s="102" t="s">
        <v>289</v>
      </c>
      <c r="D2" s="103">
        <f>MAX(P4:P499)</f>
        <v>10.573999999999998</v>
      </c>
      <c r="E2" s="104">
        <f>INDEX(E:E,MATCH(MAX($P:$P),$P:$P,0))</f>
        <v>14560</v>
      </c>
      <c r="F2" s="104">
        <f t="shared" ref="F2:H2" si="0">INDEX(F:F,MATCH(MAX($P:$P),$P:$P,0))</f>
        <v>160</v>
      </c>
      <c r="G2" s="104">
        <f t="shared" si="0"/>
        <v>2</v>
      </c>
      <c r="H2" s="104">
        <f t="shared" si="0"/>
        <v>2</v>
      </c>
      <c r="J2" s="35"/>
      <c r="L2" s="37"/>
      <c r="M2" s="126" t="s">
        <v>2</v>
      </c>
      <c r="N2" s="126"/>
      <c r="O2" s="126"/>
      <c r="P2" s="25"/>
      <c r="T2" s="102" t="s">
        <v>289</v>
      </c>
      <c r="U2" s="103">
        <f>MAX(AG4:AG499)</f>
        <v>11.2058</v>
      </c>
      <c r="V2" s="104">
        <f>INDEX(V:V,MATCH(MAX($AG:$AG),$AG:$AG,0))</f>
        <v>14592</v>
      </c>
      <c r="W2" s="104">
        <f>INDEX(W:W,MATCH(MAX($AG:$AG),$AG:$AG,0))</f>
        <v>192</v>
      </c>
      <c r="X2" s="104">
        <f>INDEX(X:X,MATCH(MAX($AG:$AG),$AG:$AG,0))</f>
        <v>2</v>
      </c>
      <c r="Y2" s="104">
        <f>INDEX(Y:Y,MATCH(MAX($AG:$AG),$AG:$AG,0))</f>
        <v>2</v>
      </c>
      <c r="AA2" s="35"/>
      <c r="AC2" s="37"/>
      <c r="AD2" s="126" t="s">
        <v>1</v>
      </c>
      <c r="AE2" s="126"/>
      <c r="AF2" s="126"/>
      <c r="AG2" s="25"/>
      <c r="AH2" s="35"/>
      <c r="AQ2" s="35"/>
      <c r="AS2" s="37"/>
      <c r="AT2" s="126"/>
      <c r="AU2" s="126"/>
      <c r="AV2" s="126"/>
      <c r="AW2" s="35"/>
      <c r="AX2" s="35"/>
      <c r="BG2" s="35"/>
      <c r="BI2" s="37"/>
      <c r="BJ2" s="126"/>
      <c r="BK2" s="126"/>
      <c r="BL2" s="126"/>
      <c r="BM2" s="35"/>
    </row>
    <row r="3" spans="2:65" s="36" customFormat="1" ht="15" customHeight="1" x14ac:dyDescent="0.25">
      <c r="B3" s="34" t="s">
        <v>0</v>
      </c>
      <c r="C3" s="34" t="s">
        <v>3</v>
      </c>
      <c r="D3" s="34" t="s">
        <v>4</v>
      </c>
      <c r="E3" s="34" t="s">
        <v>5</v>
      </c>
      <c r="F3" s="34" t="s">
        <v>6</v>
      </c>
      <c r="G3" s="34" t="s">
        <v>7</v>
      </c>
      <c r="H3" s="34" t="s">
        <v>8</v>
      </c>
      <c r="I3" s="34" t="s">
        <v>9</v>
      </c>
      <c r="J3" s="38" t="s">
        <v>10</v>
      </c>
      <c r="K3" s="34" t="s">
        <v>11</v>
      </c>
      <c r="L3" s="39" t="s">
        <v>9</v>
      </c>
      <c r="M3" s="34" t="s">
        <v>12</v>
      </c>
      <c r="N3" s="34" t="s">
        <v>13</v>
      </c>
      <c r="O3" s="34" t="s">
        <v>14</v>
      </c>
      <c r="P3" s="108" t="s">
        <v>15</v>
      </c>
      <c r="S3" s="34" t="s">
        <v>0</v>
      </c>
      <c r="T3" s="34" t="s">
        <v>3</v>
      </c>
      <c r="U3" s="34" t="s">
        <v>4</v>
      </c>
      <c r="V3" s="34" t="s">
        <v>5</v>
      </c>
      <c r="W3" s="34" t="s">
        <v>6</v>
      </c>
      <c r="X3" s="34" t="s">
        <v>7</v>
      </c>
      <c r="Y3" s="34" t="s">
        <v>8</v>
      </c>
      <c r="Z3" s="34" t="s">
        <v>9</v>
      </c>
      <c r="AA3" s="38" t="s">
        <v>10</v>
      </c>
      <c r="AB3" s="34" t="s">
        <v>11</v>
      </c>
      <c r="AC3" s="39" t="s">
        <v>9</v>
      </c>
      <c r="AD3" s="34" t="s">
        <v>12</v>
      </c>
      <c r="AE3" s="34" t="s">
        <v>13</v>
      </c>
      <c r="AF3" s="34" t="s">
        <v>14</v>
      </c>
      <c r="AG3" s="108" t="s">
        <v>15</v>
      </c>
      <c r="AH3" s="38"/>
      <c r="AI3" s="34"/>
      <c r="AJ3" s="34"/>
      <c r="AK3" s="34"/>
      <c r="AL3" s="34"/>
      <c r="AM3" s="34"/>
      <c r="AN3" s="34"/>
      <c r="AO3" s="34"/>
      <c r="AP3" s="34"/>
      <c r="AQ3" s="38"/>
      <c r="AR3" s="34"/>
      <c r="AS3" s="39"/>
      <c r="AT3" s="34"/>
      <c r="AU3" s="34"/>
      <c r="AV3" s="34"/>
      <c r="AW3" s="38"/>
      <c r="AX3" s="38"/>
      <c r="AY3" s="34"/>
      <c r="AZ3" s="34"/>
      <c r="BA3" s="34"/>
      <c r="BB3" s="34"/>
      <c r="BC3" s="34"/>
      <c r="BD3" s="34"/>
      <c r="BE3" s="34"/>
      <c r="BF3" s="34"/>
      <c r="BG3" s="38"/>
      <c r="BH3" s="34"/>
      <c r="BI3" s="39"/>
      <c r="BJ3" s="34"/>
      <c r="BK3" s="34"/>
      <c r="BL3" s="34"/>
      <c r="BM3" s="38"/>
    </row>
    <row r="4" spans="2:65" x14ac:dyDescent="0.25">
      <c r="B4" s="5"/>
      <c r="C4">
        <v>0</v>
      </c>
      <c r="D4" t="s">
        <v>16</v>
      </c>
      <c r="E4">
        <v>14560</v>
      </c>
      <c r="F4">
        <v>160</v>
      </c>
      <c r="G4">
        <v>2</v>
      </c>
      <c r="H4">
        <v>2</v>
      </c>
      <c r="I4">
        <v>194.63</v>
      </c>
      <c r="J4" s="16">
        <v>10.574</v>
      </c>
      <c r="K4" s="27">
        <v>45404</v>
      </c>
      <c r="L4" s="31">
        <v>0.58728009259259262</v>
      </c>
      <c r="M4">
        <v>0</v>
      </c>
      <c r="N4">
        <v>0</v>
      </c>
      <c r="O4">
        <v>0</v>
      </c>
      <c r="P4" s="123">
        <f>AVERAGE(J4:J8)</f>
        <v>10.573999999999998</v>
      </c>
      <c r="S4" s="5"/>
      <c r="T4">
        <v>0</v>
      </c>
      <c r="U4" t="s">
        <v>16</v>
      </c>
      <c r="V4">
        <v>14592</v>
      </c>
      <c r="W4">
        <v>192</v>
      </c>
      <c r="X4">
        <v>2</v>
      </c>
      <c r="Y4">
        <v>2</v>
      </c>
      <c r="Z4">
        <v>185.37</v>
      </c>
      <c r="AA4" s="16">
        <v>11.176</v>
      </c>
      <c r="AB4" s="27">
        <v>45404</v>
      </c>
      <c r="AC4" s="31">
        <v>0.57344907407407408</v>
      </c>
      <c r="AD4">
        <v>0</v>
      </c>
      <c r="AE4">
        <v>0</v>
      </c>
      <c r="AF4">
        <v>0</v>
      </c>
      <c r="AG4" s="123">
        <f>AVERAGE(AA4:AA8)</f>
        <v>11.2058</v>
      </c>
      <c r="AH4" s="30"/>
      <c r="AI4" s="5"/>
      <c r="AQ4" s="16"/>
      <c r="AR4" s="27"/>
      <c r="AS4" s="31"/>
      <c r="AW4" s="127"/>
      <c r="AX4" s="30"/>
      <c r="AY4" s="5"/>
      <c r="BG4" s="16"/>
      <c r="BH4" s="27"/>
      <c r="BI4" s="31"/>
      <c r="BM4" s="127"/>
    </row>
    <row r="5" spans="2:65" x14ac:dyDescent="0.25">
      <c r="C5">
        <v>1</v>
      </c>
      <c r="D5" t="s">
        <v>16</v>
      </c>
      <c r="E5">
        <v>14560</v>
      </c>
      <c r="F5">
        <v>160</v>
      </c>
      <c r="G5">
        <v>2</v>
      </c>
      <c r="H5">
        <v>2</v>
      </c>
      <c r="I5">
        <v>194.66</v>
      </c>
      <c r="J5" s="16">
        <v>10.573</v>
      </c>
      <c r="K5" s="27">
        <v>45404</v>
      </c>
      <c r="L5" s="31">
        <v>0.58971064814814811</v>
      </c>
      <c r="M5">
        <v>0</v>
      </c>
      <c r="N5">
        <v>0</v>
      </c>
      <c r="O5">
        <v>0</v>
      </c>
      <c r="P5" s="123"/>
      <c r="T5">
        <v>1</v>
      </c>
      <c r="U5" t="s">
        <v>16</v>
      </c>
      <c r="V5">
        <v>14592</v>
      </c>
      <c r="W5">
        <v>192</v>
      </c>
      <c r="X5">
        <v>2</v>
      </c>
      <c r="Y5">
        <v>2</v>
      </c>
      <c r="Z5">
        <v>184.83</v>
      </c>
      <c r="AA5" s="16">
        <v>11.208</v>
      </c>
      <c r="AB5" s="27">
        <v>45404</v>
      </c>
      <c r="AC5" s="31">
        <v>0.57627314814814812</v>
      </c>
      <c r="AD5">
        <v>0</v>
      </c>
      <c r="AE5">
        <v>0</v>
      </c>
      <c r="AF5">
        <v>0</v>
      </c>
      <c r="AG5" s="123"/>
      <c r="AH5" s="2"/>
      <c r="AQ5" s="16"/>
      <c r="AR5" s="27"/>
      <c r="AS5" s="31"/>
      <c r="AW5" s="127"/>
      <c r="AX5" s="2"/>
      <c r="BG5" s="16"/>
      <c r="BH5" s="27"/>
      <c r="BI5" s="31"/>
      <c r="BM5" s="127"/>
    </row>
    <row r="6" spans="2:65" x14ac:dyDescent="0.25">
      <c r="C6">
        <v>2</v>
      </c>
      <c r="D6" t="s">
        <v>16</v>
      </c>
      <c r="E6">
        <v>14560</v>
      </c>
      <c r="F6">
        <v>160</v>
      </c>
      <c r="G6">
        <v>2</v>
      </c>
      <c r="H6">
        <v>2</v>
      </c>
      <c r="I6">
        <v>194.58</v>
      </c>
      <c r="J6" s="16">
        <v>10.577</v>
      </c>
      <c r="K6" s="27">
        <v>45404</v>
      </c>
      <c r="L6" s="31">
        <v>0.59212962962962967</v>
      </c>
      <c r="M6">
        <v>0</v>
      </c>
      <c r="N6">
        <v>0</v>
      </c>
      <c r="O6">
        <v>0</v>
      </c>
      <c r="P6" s="123"/>
      <c r="T6">
        <v>2</v>
      </c>
      <c r="U6" t="s">
        <v>16</v>
      </c>
      <c r="V6">
        <v>14592</v>
      </c>
      <c r="W6">
        <v>192</v>
      </c>
      <c r="X6">
        <v>2</v>
      </c>
      <c r="Y6">
        <v>2</v>
      </c>
      <c r="Z6">
        <v>184.86</v>
      </c>
      <c r="AA6" s="16">
        <v>11.207000000000001</v>
      </c>
      <c r="AB6" s="27">
        <v>45404</v>
      </c>
      <c r="AC6" s="31">
        <v>0.57909722222222226</v>
      </c>
      <c r="AD6">
        <v>0</v>
      </c>
      <c r="AE6">
        <v>0</v>
      </c>
      <c r="AF6">
        <v>0</v>
      </c>
      <c r="AG6" s="123"/>
      <c r="AH6" s="2"/>
      <c r="AQ6" s="16"/>
      <c r="AR6" s="27"/>
      <c r="AS6" s="31"/>
      <c r="AW6" s="127"/>
      <c r="AX6" s="2"/>
      <c r="BG6" s="16"/>
      <c r="BH6" s="27"/>
      <c r="BI6" s="31"/>
      <c r="BM6" s="127"/>
    </row>
    <row r="7" spans="2:65" x14ac:dyDescent="0.25">
      <c r="C7">
        <v>3</v>
      </c>
      <c r="D7" t="s">
        <v>16</v>
      </c>
      <c r="E7">
        <v>14560</v>
      </c>
      <c r="F7">
        <v>160</v>
      </c>
      <c r="G7">
        <v>2</v>
      </c>
      <c r="H7">
        <v>2</v>
      </c>
      <c r="I7">
        <v>194.67</v>
      </c>
      <c r="J7" s="16">
        <v>10.571999999999999</v>
      </c>
      <c r="K7" s="27">
        <v>45404</v>
      </c>
      <c r="L7" s="31">
        <v>0.59456018518518516</v>
      </c>
      <c r="M7">
        <v>0</v>
      </c>
      <c r="N7">
        <v>0</v>
      </c>
      <c r="O7">
        <v>0</v>
      </c>
      <c r="P7" s="123"/>
      <c r="T7">
        <v>3</v>
      </c>
      <c r="U7" t="s">
        <v>16</v>
      </c>
      <c r="V7">
        <v>14592</v>
      </c>
      <c r="W7">
        <v>192</v>
      </c>
      <c r="X7">
        <v>2</v>
      </c>
      <c r="Y7">
        <v>2</v>
      </c>
      <c r="Z7">
        <v>184.76</v>
      </c>
      <c r="AA7" s="16">
        <v>11.212999999999999</v>
      </c>
      <c r="AB7" s="27">
        <v>45404</v>
      </c>
      <c r="AC7" s="31">
        <v>0.58190972222222226</v>
      </c>
      <c r="AD7">
        <v>0</v>
      </c>
      <c r="AE7">
        <v>0</v>
      </c>
      <c r="AF7">
        <v>0</v>
      </c>
      <c r="AG7" s="123"/>
      <c r="AH7" s="2"/>
      <c r="AQ7" s="16"/>
      <c r="AR7" s="27"/>
      <c r="AS7" s="31"/>
      <c r="AW7" s="127"/>
      <c r="AX7" s="2"/>
      <c r="BG7" s="16"/>
      <c r="BH7" s="27"/>
      <c r="BI7" s="31"/>
      <c r="BM7" s="127"/>
    </row>
    <row r="8" spans="2:65" x14ac:dyDescent="0.25">
      <c r="C8">
        <v>4</v>
      </c>
      <c r="D8" t="s">
        <v>16</v>
      </c>
      <c r="E8">
        <v>14560</v>
      </c>
      <c r="F8">
        <v>160</v>
      </c>
      <c r="G8">
        <v>2</v>
      </c>
      <c r="H8">
        <v>2</v>
      </c>
      <c r="I8">
        <v>194.64</v>
      </c>
      <c r="J8" s="16">
        <v>10.574</v>
      </c>
      <c r="K8" s="27">
        <v>45404</v>
      </c>
      <c r="L8" s="31">
        <v>0.59699074074074077</v>
      </c>
      <c r="M8">
        <v>0</v>
      </c>
      <c r="N8">
        <v>0</v>
      </c>
      <c r="O8">
        <v>0</v>
      </c>
      <c r="P8" s="123"/>
      <c r="T8">
        <v>4</v>
      </c>
      <c r="U8" t="s">
        <v>16</v>
      </c>
      <c r="V8">
        <v>14592</v>
      </c>
      <c r="W8">
        <v>192</v>
      </c>
      <c r="X8">
        <v>2</v>
      </c>
      <c r="Y8">
        <v>2</v>
      </c>
      <c r="Z8">
        <v>184.56</v>
      </c>
      <c r="AA8" s="16">
        <v>11.225</v>
      </c>
      <c r="AB8" s="27">
        <v>45404</v>
      </c>
      <c r="AC8" s="31">
        <v>0.58473379629629629</v>
      </c>
      <c r="AD8">
        <v>0</v>
      </c>
      <c r="AE8">
        <v>0</v>
      </c>
      <c r="AF8">
        <v>0</v>
      </c>
      <c r="AG8" s="123"/>
      <c r="AH8" s="2"/>
      <c r="AQ8" s="16"/>
      <c r="AR8" s="27"/>
      <c r="AS8" s="31"/>
      <c r="AW8" s="127"/>
      <c r="AX8" s="2"/>
      <c r="BG8" s="16"/>
      <c r="BH8" s="27"/>
      <c r="BI8" s="31"/>
      <c r="BM8" s="127"/>
    </row>
    <row r="9" spans="2:65" x14ac:dyDescent="0.25">
      <c r="C9">
        <v>0</v>
      </c>
      <c r="D9" t="s">
        <v>16</v>
      </c>
      <c r="E9">
        <v>14560</v>
      </c>
      <c r="F9">
        <v>160</v>
      </c>
      <c r="G9">
        <v>2</v>
      </c>
      <c r="H9">
        <v>2</v>
      </c>
      <c r="I9">
        <v>194.51</v>
      </c>
      <c r="J9" s="16">
        <v>10.581</v>
      </c>
      <c r="K9" s="27">
        <v>45404</v>
      </c>
      <c r="L9" s="31">
        <v>0.60217592592592595</v>
      </c>
      <c r="M9">
        <v>0</v>
      </c>
      <c r="N9">
        <v>0</v>
      </c>
      <c r="O9">
        <v>0</v>
      </c>
      <c r="P9" s="123">
        <f>AVERAGE(J9:J13)</f>
        <v>10.573</v>
      </c>
      <c r="AB9" s="27"/>
      <c r="AH9" s="30"/>
      <c r="AQ9" s="16"/>
      <c r="AR9" s="27"/>
      <c r="AS9" s="31"/>
      <c r="AW9" s="127"/>
      <c r="AX9" s="30"/>
      <c r="BG9" s="16"/>
      <c r="BH9" s="27"/>
      <c r="BI9" s="31"/>
      <c r="BM9" s="127"/>
    </row>
    <row r="10" spans="2:65" x14ac:dyDescent="0.25">
      <c r="C10">
        <v>1</v>
      </c>
      <c r="D10" t="s">
        <v>16</v>
      </c>
      <c r="E10">
        <v>14560</v>
      </c>
      <c r="F10">
        <v>160</v>
      </c>
      <c r="G10">
        <v>2</v>
      </c>
      <c r="H10">
        <v>2</v>
      </c>
      <c r="I10">
        <v>194.72</v>
      </c>
      <c r="J10" s="16">
        <v>10.57</v>
      </c>
      <c r="K10" s="27">
        <v>45404</v>
      </c>
      <c r="L10" s="31">
        <v>0.60460648148148144</v>
      </c>
      <c r="M10">
        <v>0</v>
      </c>
      <c r="N10">
        <v>0</v>
      </c>
      <c r="O10">
        <v>0</v>
      </c>
      <c r="P10" s="123"/>
      <c r="AB10" s="27"/>
      <c r="AH10" s="2"/>
      <c r="AQ10" s="16"/>
      <c r="AR10" s="27"/>
      <c r="AS10" s="31"/>
      <c r="AW10" s="127"/>
      <c r="AX10" s="2"/>
      <c r="BG10" s="16"/>
      <c r="BH10" s="27"/>
      <c r="BI10" s="31"/>
      <c r="BM10" s="127"/>
    </row>
    <row r="11" spans="2:65" x14ac:dyDescent="0.25">
      <c r="C11">
        <v>2</v>
      </c>
      <c r="D11" t="s">
        <v>16</v>
      </c>
      <c r="E11">
        <v>14560</v>
      </c>
      <c r="F11">
        <v>160</v>
      </c>
      <c r="G11">
        <v>2</v>
      </c>
      <c r="H11">
        <v>2</v>
      </c>
      <c r="I11">
        <v>194.63</v>
      </c>
      <c r="J11" s="16">
        <v>10.574</v>
      </c>
      <c r="K11" s="27">
        <v>45404</v>
      </c>
      <c r="L11" s="31">
        <v>0.60703703703703704</v>
      </c>
      <c r="M11">
        <v>0</v>
      </c>
      <c r="N11">
        <v>0</v>
      </c>
      <c r="O11">
        <v>0</v>
      </c>
      <c r="P11" s="123"/>
      <c r="AB11" s="27"/>
      <c r="AH11" s="2"/>
      <c r="AQ11" s="16"/>
      <c r="AR11" s="27"/>
      <c r="AS11" s="31"/>
      <c r="AW11" s="127"/>
      <c r="AX11" s="2"/>
      <c r="BG11" s="16"/>
      <c r="BH11" s="27"/>
      <c r="BI11" s="31"/>
      <c r="BM11" s="127"/>
    </row>
    <row r="12" spans="2:65" x14ac:dyDescent="0.25">
      <c r="C12">
        <v>3</v>
      </c>
      <c r="D12" t="s">
        <v>16</v>
      </c>
      <c r="E12">
        <v>14560</v>
      </c>
      <c r="F12">
        <v>160</v>
      </c>
      <c r="G12">
        <v>2</v>
      </c>
      <c r="H12">
        <v>2</v>
      </c>
      <c r="I12">
        <v>194.65</v>
      </c>
      <c r="J12" s="16">
        <v>10.573</v>
      </c>
      <c r="K12" s="27">
        <v>45404</v>
      </c>
      <c r="L12" s="31">
        <v>0.60946759259259264</v>
      </c>
      <c r="M12">
        <v>0</v>
      </c>
      <c r="N12">
        <v>0</v>
      </c>
      <c r="O12">
        <v>0</v>
      </c>
      <c r="P12" s="123"/>
      <c r="AB12" s="27"/>
      <c r="AH12" s="2"/>
      <c r="AQ12" s="16"/>
      <c r="AR12" s="27"/>
      <c r="AS12" s="31"/>
      <c r="AW12" s="127"/>
      <c r="AX12" s="2"/>
      <c r="BG12" s="16"/>
      <c r="BH12" s="27"/>
      <c r="BI12" s="31"/>
      <c r="BM12" s="127"/>
    </row>
    <row r="13" spans="2:65" x14ac:dyDescent="0.25">
      <c r="C13">
        <v>4</v>
      </c>
      <c r="D13" t="s">
        <v>16</v>
      </c>
      <c r="E13">
        <v>14560</v>
      </c>
      <c r="F13">
        <v>160</v>
      </c>
      <c r="G13">
        <v>2</v>
      </c>
      <c r="H13">
        <v>2</v>
      </c>
      <c r="I13">
        <v>194.77</v>
      </c>
      <c r="J13" s="16">
        <v>10.567</v>
      </c>
      <c r="K13" s="27">
        <v>45404</v>
      </c>
      <c r="L13" s="31">
        <v>0.6118865740740741</v>
      </c>
      <c r="M13">
        <v>0</v>
      </c>
      <c r="N13">
        <v>0</v>
      </c>
      <c r="O13">
        <v>0</v>
      </c>
      <c r="P13" s="123"/>
      <c r="AB13" s="27"/>
      <c r="AH13" s="2"/>
      <c r="AQ13" s="16"/>
      <c r="AR13" s="27"/>
      <c r="AS13" s="31"/>
      <c r="AW13" s="127"/>
      <c r="AX13" s="2"/>
      <c r="BG13" s="16"/>
      <c r="BH13" s="27"/>
      <c r="BI13" s="31"/>
      <c r="BM13" s="127"/>
    </row>
    <row r="14" spans="2:65" x14ac:dyDescent="0.25">
      <c r="K14" s="27"/>
      <c r="AB14" s="27"/>
      <c r="AH14" s="30"/>
      <c r="AQ14" s="16"/>
      <c r="AR14" s="27"/>
      <c r="AS14" s="31"/>
      <c r="AW14" s="127"/>
      <c r="AX14" s="30"/>
      <c r="BG14" s="16"/>
      <c r="BH14" s="27"/>
      <c r="BI14" s="31"/>
      <c r="BM14" s="127"/>
    </row>
    <row r="15" spans="2:65" x14ac:dyDescent="0.25">
      <c r="K15" s="27"/>
      <c r="AB15" s="27"/>
      <c r="AH15" s="2"/>
      <c r="AQ15" s="16"/>
      <c r="AR15" s="27"/>
      <c r="AS15" s="31"/>
      <c r="AW15" s="127"/>
      <c r="AX15" s="2"/>
      <c r="BG15" s="16"/>
      <c r="BH15" s="27"/>
      <c r="BI15" s="31"/>
      <c r="BM15" s="127"/>
    </row>
    <row r="16" spans="2:65" x14ac:dyDescent="0.25">
      <c r="K16" s="27"/>
      <c r="AB16" s="27"/>
      <c r="AH16" s="2"/>
      <c r="AQ16" s="16"/>
      <c r="AR16" s="27"/>
      <c r="AS16" s="31"/>
      <c r="AW16" s="127"/>
      <c r="AX16" s="2"/>
      <c r="BG16" s="16"/>
      <c r="BH16" s="27"/>
      <c r="BI16" s="31"/>
      <c r="BM16" s="127"/>
    </row>
    <row r="17" spans="11:65" x14ac:dyDescent="0.25">
      <c r="K17" s="27"/>
      <c r="AB17" s="27"/>
      <c r="AH17" s="2"/>
      <c r="AQ17" s="16"/>
      <c r="AR17" s="27"/>
      <c r="AS17" s="31"/>
      <c r="AW17" s="127"/>
      <c r="AX17" s="2"/>
      <c r="BG17" s="16"/>
      <c r="BH17" s="27"/>
      <c r="BI17" s="31"/>
      <c r="BM17" s="127"/>
    </row>
    <row r="18" spans="11:65" x14ac:dyDescent="0.25">
      <c r="K18" s="27"/>
      <c r="AB18" s="27"/>
      <c r="AH18" s="2"/>
      <c r="AQ18" s="16"/>
      <c r="AR18" s="27"/>
      <c r="AS18" s="31"/>
      <c r="AW18" s="127"/>
      <c r="AX18" s="2"/>
      <c r="BG18" s="16"/>
      <c r="BH18" s="27"/>
      <c r="BI18" s="31"/>
      <c r="BM18" s="127"/>
    </row>
    <row r="19" spans="11:65" x14ac:dyDescent="0.25">
      <c r="K19" s="27"/>
      <c r="AB19" s="27"/>
      <c r="AH19" s="30"/>
      <c r="AQ19" s="16"/>
      <c r="AR19" s="27"/>
      <c r="AS19" s="31"/>
      <c r="AW19" s="127"/>
      <c r="AX19" s="30"/>
      <c r="BG19" s="16"/>
      <c r="BH19" s="27"/>
      <c r="BI19" s="31"/>
      <c r="BM19" s="127"/>
    </row>
    <row r="20" spans="11:65" x14ac:dyDescent="0.25">
      <c r="K20" s="27"/>
      <c r="AB20" s="27"/>
      <c r="AH20" s="2"/>
      <c r="AQ20" s="16"/>
      <c r="AR20" s="27"/>
      <c r="AS20" s="31"/>
      <c r="AW20" s="127"/>
      <c r="AX20" s="2"/>
      <c r="BG20" s="16"/>
      <c r="BH20" s="27"/>
      <c r="BI20" s="31"/>
      <c r="BM20" s="127"/>
    </row>
    <row r="21" spans="11:65" x14ac:dyDescent="0.25">
      <c r="K21" s="27"/>
      <c r="AB21" s="27"/>
      <c r="AH21" s="2"/>
      <c r="AQ21" s="16"/>
      <c r="AR21" s="27"/>
      <c r="AS21" s="31"/>
      <c r="AW21" s="127"/>
      <c r="AX21" s="2"/>
      <c r="BG21" s="16"/>
      <c r="BH21" s="27"/>
      <c r="BI21" s="31"/>
      <c r="BM21" s="127"/>
    </row>
    <row r="22" spans="11:65" x14ac:dyDescent="0.25">
      <c r="K22" s="27"/>
      <c r="AB22" s="27"/>
      <c r="AH22" s="2"/>
      <c r="AQ22" s="16"/>
      <c r="AR22" s="27"/>
      <c r="AS22" s="31"/>
      <c r="AW22" s="127"/>
      <c r="AX22" s="2"/>
      <c r="BG22" s="16"/>
      <c r="BH22" s="27"/>
      <c r="BI22" s="31"/>
      <c r="BM22" s="127"/>
    </row>
    <row r="23" spans="11:65" x14ac:dyDescent="0.25">
      <c r="K23" s="27"/>
      <c r="AB23" s="27"/>
      <c r="AH23" s="2"/>
      <c r="AQ23" s="16"/>
      <c r="AR23" s="27"/>
      <c r="AS23" s="31"/>
      <c r="AW23" s="127"/>
      <c r="AX23" s="2"/>
      <c r="BG23" s="16"/>
      <c r="BH23" s="27"/>
      <c r="BI23" s="31"/>
      <c r="BM23" s="127"/>
    </row>
    <row r="24" spans="11:65" x14ac:dyDescent="0.25">
      <c r="K24" s="27"/>
      <c r="AB24" s="27"/>
      <c r="AH24" s="30"/>
      <c r="AQ24" s="16"/>
      <c r="AR24" s="27"/>
      <c r="AS24" s="31"/>
      <c r="AW24" s="127"/>
      <c r="AX24" s="30"/>
      <c r="BG24" s="16"/>
      <c r="BH24" s="27"/>
      <c r="BI24" s="31"/>
      <c r="BM24" s="127"/>
    </row>
    <row r="25" spans="11:65" x14ac:dyDescent="0.25">
      <c r="K25" s="27"/>
      <c r="AB25" s="27"/>
      <c r="AH25" s="2"/>
      <c r="AQ25" s="16"/>
      <c r="AR25" s="27"/>
      <c r="AS25" s="31"/>
      <c r="AW25" s="127"/>
      <c r="AX25" s="2"/>
      <c r="BG25" s="16"/>
      <c r="BH25" s="27"/>
      <c r="BI25" s="31"/>
      <c r="BM25" s="127"/>
    </row>
    <row r="26" spans="11:65" x14ac:dyDescent="0.25">
      <c r="K26" s="27"/>
      <c r="AB26" s="27"/>
      <c r="AH26" s="2"/>
      <c r="AQ26" s="16"/>
      <c r="AR26" s="27"/>
      <c r="AS26" s="31"/>
      <c r="AW26" s="127"/>
      <c r="AX26" s="2"/>
      <c r="BG26" s="16"/>
      <c r="BH26" s="27"/>
      <c r="BI26" s="31"/>
      <c r="BM26" s="127"/>
    </row>
    <row r="27" spans="11:65" x14ac:dyDescent="0.25">
      <c r="K27" s="27"/>
      <c r="AB27" s="27"/>
      <c r="AH27" s="2"/>
      <c r="AQ27" s="16"/>
      <c r="AR27" s="27"/>
      <c r="AS27" s="31"/>
      <c r="AW27" s="127"/>
      <c r="AX27" s="2"/>
      <c r="BG27" s="16"/>
      <c r="BH27" s="27"/>
      <c r="BI27" s="31"/>
      <c r="BM27" s="127"/>
    </row>
    <row r="28" spans="11:65" x14ac:dyDescent="0.25">
      <c r="K28" s="27"/>
      <c r="AB28" s="27"/>
      <c r="AH28" s="2"/>
      <c r="AQ28" s="16"/>
      <c r="AR28" s="27"/>
      <c r="AS28" s="31"/>
      <c r="AW28" s="127"/>
      <c r="AX28" s="2"/>
      <c r="BG28" s="16"/>
      <c r="BH28" s="27"/>
      <c r="BI28" s="31"/>
      <c r="BM28" s="127"/>
    </row>
    <row r="29" spans="11:65" x14ac:dyDescent="0.25">
      <c r="K29" s="27"/>
      <c r="AB29" s="27"/>
      <c r="AH29" s="30"/>
      <c r="AQ29" s="16"/>
      <c r="AR29" s="27"/>
      <c r="AS29" s="31"/>
      <c r="AW29" s="127"/>
      <c r="AX29" s="30"/>
      <c r="BG29" s="16"/>
      <c r="BH29" s="27"/>
      <c r="BI29" s="31"/>
      <c r="BM29" s="127"/>
    </row>
    <row r="30" spans="11:65" x14ac:dyDescent="0.25">
      <c r="K30" s="27"/>
      <c r="AB30" s="27"/>
      <c r="AH30" s="2"/>
      <c r="AQ30" s="16"/>
      <c r="AR30" s="27"/>
      <c r="AS30" s="31"/>
      <c r="AW30" s="127"/>
      <c r="AX30" s="2"/>
      <c r="BG30" s="16"/>
      <c r="BH30" s="27"/>
      <c r="BI30" s="31"/>
      <c r="BM30" s="127"/>
    </row>
    <row r="31" spans="11:65" x14ac:dyDescent="0.25">
      <c r="K31" s="27"/>
      <c r="AB31" s="27"/>
      <c r="AH31" s="2"/>
      <c r="AQ31" s="16"/>
      <c r="AR31" s="27"/>
      <c r="AS31" s="31"/>
      <c r="AW31" s="127"/>
      <c r="AX31" s="2"/>
      <c r="BG31" s="16"/>
      <c r="BH31" s="27"/>
      <c r="BI31" s="31"/>
      <c r="BM31" s="127"/>
    </row>
    <row r="32" spans="11:65" x14ac:dyDescent="0.25">
      <c r="K32" s="27"/>
      <c r="AB32" s="27"/>
      <c r="AH32" s="2"/>
      <c r="AQ32" s="16"/>
      <c r="AR32" s="27"/>
      <c r="AS32" s="31"/>
      <c r="AW32" s="127"/>
      <c r="AX32" s="2"/>
      <c r="BG32" s="16"/>
      <c r="BH32" s="27"/>
      <c r="BI32" s="31"/>
      <c r="BM32" s="127"/>
    </row>
    <row r="33" spans="11:65" x14ac:dyDescent="0.25">
      <c r="K33" s="27"/>
      <c r="AB33" s="27"/>
      <c r="AH33" s="2"/>
      <c r="AQ33" s="16"/>
      <c r="AR33" s="27"/>
      <c r="AS33" s="31"/>
      <c r="AW33" s="127"/>
      <c r="AX33" s="2"/>
      <c r="BG33" s="16"/>
      <c r="BH33" s="27"/>
      <c r="BI33" s="31"/>
      <c r="BM33" s="127"/>
    </row>
    <row r="34" spans="11:65" x14ac:dyDescent="0.25">
      <c r="K34" s="27"/>
      <c r="AB34" s="27"/>
      <c r="AH34" s="30"/>
      <c r="AQ34" s="16"/>
      <c r="AR34" s="27"/>
      <c r="AS34" s="31"/>
      <c r="AW34" s="127"/>
      <c r="AX34" s="30"/>
      <c r="BG34" s="16"/>
      <c r="BH34" s="27"/>
      <c r="BI34" s="31"/>
      <c r="BM34" s="127"/>
    </row>
    <row r="35" spans="11:65" x14ac:dyDescent="0.25">
      <c r="K35" s="27"/>
      <c r="AB35" s="27"/>
      <c r="AH35" s="2"/>
      <c r="AQ35" s="16"/>
      <c r="AR35" s="27"/>
      <c r="AS35" s="31"/>
      <c r="AW35" s="127"/>
      <c r="AX35" s="2"/>
      <c r="BG35" s="16"/>
      <c r="BH35" s="27"/>
      <c r="BI35" s="31"/>
      <c r="BM35" s="127"/>
    </row>
    <row r="36" spans="11:65" x14ac:dyDescent="0.25">
      <c r="K36" s="27"/>
      <c r="AB36" s="27"/>
      <c r="AH36" s="2"/>
      <c r="AQ36" s="16"/>
      <c r="AR36" s="27"/>
      <c r="AS36" s="31"/>
      <c r="AW36" s="127"/>
      <c r="AX36" s="2"/>
      <c r="BG36" s="16"/>
      <c r="BH36" s="27"/>
      <c r="BI36" s="31"/>
      <c r="BM36" s="127"/>
    </row>
    <row r="37" spans="11:65" x14ac:dyDescent="0.25">
      <c r="K37" s="27"/>
      <c r="AB37" s="27"/>
      <c r="AH37" s="2"/>
      <c r="AQ37" s="16"/>
      <c r="AR37" s="27"/>
      <c r="AS37" s="31"/>
      <c r="AW37" s="127"/>
      <c r="AX37" s="2"/>
      <c r="BG37" s="16"/>
      <c r="BH37" s="27"/>
      <c r="BI37" s="31"/>
      <c r="BM37" s="127"/>
    </row>
    <row r="38" spans="11:65" x14ac:dyDescent="0.25">
      <c r="K38" s="27"/>
      <c r="AB38" s="27"/>
      <c r="AH38" s="2"/>
      <c r="AQ38" s="16"/>
      <c r="AR38" s="27"/>
      <c r="AS38" s="31"/>
      <c r="AW38" s="127"/>
      <c r="AX38" s="2"/>
      <c r="BG38" s="16"/>
      <c r="BH38" s="27"/>
      <c r="BI38" s="31"/>
      <c r="BM38" s="127"/>
    </row>
    <row r="39" spans="11:65" x14ac:dyDescent="0.25">
      <c r="K39" s="27"/>
      <c r="AB39" s="27"/>
      <c r="AH39" s="30"/>
      <c r="AQ39" s="16"/>
      <c r="AR39" s="27"/>
      <c r="AS39" s="31"/>
      <c r="AW39" s="127"/>
      <c r="AX39" s="30"/>
      <c r="BG39" s="16"/>
      <c r="BH39" s="27"/>
      <c r="BI39" s="31"/>
      <c r="BM39" s="127"/>
    </row>
    <row r="40" spans="11:65" x14ac:dyDescent="0.25">
      <c r="K40" s="27"/>
      <c r="AB40" s="27"/>
      <c r="AH40" s="2"/>
      <c r="AQ40" s="16"/>
      <c r="AR40" s="27"/>
      <c r="AS40" s="31"/>
      <c r="AW40" s="127"/>
      <c r="AX40" s="2"/>
      <c r="BG40" s="16"/>
      <c r="BH40" s="27"/>
      <c r="BI40" s="31"/>
      <c r="BM40" s="127"/>
    </row>
    <row r="41" spans="11:65" x14ac:dyDescent="0.25">
      <c r="K41" s="27"/>
      <c r="AB41" s="27"/>
      <c r="AH41" s="2"/>
      <c r="AQ41" s="16"/>
      <c r="AR41" s="27"/>
      <c r="AS41" s="31"/>
      <c r="AW41" s="127"/>
      <c r="AX41" s="2"/>
      <c r="BG41" s="16"/>
      <c r="BH41" s="27"/>
      <c r="BI41" s="31"/>
      <c r="BM41" s="127"/>
    </row>
    <row r="42" spans="11:65" x14ac:dyDescent="0.25">
      <c r="K42" s="27"/>
      <c r="AB42" s="27"/>
      <c r="AH42" s="2"/>
      <c r="AQ42" s="16"/>
      <c r="AR42" s="27"/>
      <c r="AS42" s="31"/>
      <c r="AW42" s="127"/>
      <c r="AX42" s="2"/>
      <c r="BG42" s="16"/>
      <c r="BH42" s="27"/>
      <c r="BI42" s="31"/>
      <c r="BM42" s="127"/>
    </row>
    <row r="43" spans="11:65" x14ac:dyDescent="0.25">
      <c r="K43" s="27"/>
      <c r="AB43" s="27"/>
      <c r="AH43" s="2"/>
      <c r="AQ43" s="16"/>
      <c r="AR43" s="27"/>
      <c r="AS43" s="31"/>
      <c r="AW43" s="127"/>
      <c r="AX43" s="2"/>
      <c r="BG43" s="16"/>
      <c r="BH43" s="27"/>
      <c r="BI43" s="31"/>
      <c r="BM43" s="127"/>
    </row>
    <row r="44" spans="11:65" x14ac:dyDescent="0.25">
      <c r="K44" s="27"/>
      <c r="AB44" s="27"/>
      <c r="AH44" s="30"/>
      <c r="AQ44" s="16"/>
      <c r="AR44" s="27"/>
      <c r="AS44" s="31"/>
      <c r="AW44" s="127"/>
      <c r="AX44" s="30"/>
      <c r="BG44" s="16"/>
      <c r="BH44" s="27"/>
      <c r="BI44" s="31"/>
      <c r="BM44" s="127"/>
    </row>
    <row r="45" spans="11:65" x14ac:dyDescent="0.25">
      <c r="K45" s="27"/>
      <c r="AB45" s="27"/>
      <c r="AH45" s="2"/>
      <c r="AQ45" s="16"/>
      <c r="AR45" s="27"/>
      <c r="AS45" s="31"/>
      <c r="AW45" s="127"/>
      <c r="AX45" s="2"/>
      <c r="BG45" s="16"/>
      <c r="BH45" s="27"/>
      <c r="BI45" s="31"/>
      <c r="BM45" s="127"/>
    </row>
    <row r="46" spans="11:65" x14ac:dyDescent="0.25">
      <c r="K46" s="27"/>
      <c r="AB46" s="27"/>
      <c r="AH46" s="2"/>
      <c r="AQ46" s="16"/>
      <c r="AR46" s="27"/>
      <c r="AS46" s="31"/>
      <c r="AW46" s="127"/>
      <c r="AX46" s="2"/>
      <c r="BG46" s="16"/>
      <c r="BH46" s="27"/>
      <c r="BI46" s="31"/>
      <c r="BM46" s="127"/>
    </row>
    <row r="47" spans="11:65" x14ac:dyDescent="0.25">
      <c r="K47" s="27"/>
      <c r="AB47" s="27"/>
      <c r="AH47" s="2"/>
      <c r="AQ47" s="16"/>
      <c r="AR47" s="27"/>
      <c r="AS47" s="31"/>
      <c r="AW47" s="127"/>
      <c r="AX47" s="2"/>
      <c r="BG47" s="16"/>
      <c r="BH47" s="27"/>
      <c r="BI47" s="31"/>
      <c r="BM47" s="127"/>
    </row>
    <row r="48" spans="11:65" x14ac:dyDescent="0.25">
      <c r="K48" s="27"/>
      <c r="AB48" s="27"/>
      <c r="AH48" s="2"/>
      <c r="AQ48" s="16"/>
      <c r="AR48" s="27"/>
      <c r="AS48" s="31"/>
      <c r="AW48" s="127"/>
      <c r="AX48" s="2"/>
      <c r="BG48" s="16"/>
      <c r="BH48" s="27"/>
      <c r="BI48" s="31"/>
      <c r="BM48" s="127"/>
    </row>
    <row r="49" spans="11:65" x14ac:dyDescent="0.25">
      <c r="K49" s="27"/>
      <c r="AB49" s="27"/>
      <c r="AH49" s="30"/>
      <c r="AQ49" s="16"/>
      <c r="AR49" s="27"/>
      <c r="AS49" s="31"/>
      <c r="AW49" s="127"/>
      <c r="AX49" s="30"/>
      <c r="BG49" s="16"/>
      <c r="BH49" s="27"/>
      <c r="BI49" s="31"/>
      <c r="BM49" s="127"/>
    </row>
    <row r="50" spans="11:65" x14ac:dyDescent="0.25">
      <c r="K50" s="27"/>
      <c r="AB50" s="27"/>
      <c r="AH50" s="2"/>
      <c r="AQ50" s="16"/>
      <c r="AR50" s="27"/>
      <c r="AS50" s="31"/>
      <c r="AW50" s="127"/>
      <c r="AX50" s="2"/>
      <c r="BG50" s="16"/>
      <c r="BH50" s="27"/>
      <c r="BI50" s="31"/>
      <c r="BM50" s="127"/>
    </row>
    <row r="51" spans="11:65" x14ac:dyDescent="0.25">
      <c r="K51" s="27"/>
      <c r="AB51" s="27"/>
      <c r="AH51" s="2"/>
      <c r="AQ51" s="16"/>
      <c r="AR51" s="27"/>
      <c r="AS51" s="31"/>
      <c r="AW51" s="127"/>
      <c r="AX51" s="2"/>
      <c r="BG51" s="16"/>
      <c r="BH51" s="27"/>
      <c r="BI51" s="31"/>
      <c r="BM51" s="127"/>
    </row>
    <row r="52" spans="11:65" x14ac:dyDescent="0.25">
      <c r="K52" s="27"/>
      <c r="AB52" s="27"/>
      <c r="AH52" s="2"/>
      <c r="AQ52" s="16"/>
      <c r="AR52" s="27"/>
      <c r="AS52" s="31"/>
      <c r="AW52" s="127"/>
      <c r="AX52" s="2"/>
      <c r="BG52" s="16"/>
      <c r="BH52" s="27"/>
      <c r="BI52" s="31"/>
      <c r="BM52" s="127"/>
    </row>
    <row r="53" spans="11:65" x14ac:dyDescent="0.25">
      <c r="K53" s="27"/>
      <c r="AB53" s="27"/>
      <c r="AH53" s="2"/>
      <c r="AQ53" s="16"/>
      <c r="AR53" s="27"/>
      <c r="AS53" s="31"/>
      <c r="AW53" s="127"/>
      <c r="AX53" s="2"/>
      <c r="BG53" s="16"/>
      <c r="BH53" s="27"/>
      <c r="BI53" s="31"/>
      <c r="BM53" s="127"/>
    </row>
    <row r="54" spans="11:65" x14ac:dyDescent="0.25">
      <c r="K54" s="27"/>
      <c r="AB54" s="27"/>
      <c r="AH54" s="30"/>
      <c r="AQ54" s="16"/>
      <c r="AR54" s="27"/>
      <c r="AS54" s="31"/>
      <c r="AW54" s="127"/>
      <c r="AX54" s="30"/>
      <c r="BG54" s="16"/>
      <c r="BH54" s="27"/>
      <c r="BI54" s="31"/>
      <c r="BM54" s="127"/>
    </row>
    <row r="55" spans="11:65" x14ac:dyDescent="0.25">
      <c r="K55" s="27"/>
      <c r="AB55" s="27"/>
      <c r="AH55" s="2"/>
      <c r="AQ55" s="16"/>
      <c r="AR55" s="27"/>
      <c r="AS55" s="31"/>
      <c r="AW55" s="127"/>
      <c r="AX55" s="2"/>
      <c r="BG55" s="16"/>
      <c r="BH55" s="27"/>
      <c r="BI55" s="31"/>
      <c r="BM55" s="127"/>
    </row>
    <row r="56" spans="11:65" x14ac:dyDescent="0.25">
      <c r="K56" s="27"/>
      <c r="AB56" s="27"/>
      <c r="AH56" s="2"/>
      <c r="AQ56" s="16"/>
      <c r="AR56" s="27"/>
      <c r="AS56" s="31"/>
      <c r="AW56" s="127"/>
      <c r="AX56" s="2"/>
      <c r="BG56" s="16"/>
      <c r="BH56" s="27"/>
      <c r="BI56" s="31"/>
      <c r="BM56" s="127"/>
    </row>
    <row r="57" spans="11:65" x14ac:dyDescent="0.25">
      <c r="K57" s="27"/>
      <c r="AB57" s="27"/>
      <c r="AH57" s="2"/>
      <c r="AQ57" s="16"/>
      <c r="AR57" s="27"/>
      <c r="AS57" s="31"/>
      <c r="AW57" s="127"/>
      <c r="AX57" s="2"/>
      <c r="BG57" s="16"/>
      <c r="BH57" s="27"/>
      <c r="BI57" s="31"/>
      <c r="BM57" s="127"/>
    </row>
    <row r="58" spans="11:65" x14ac:dyDescent="0.25">
      <c r="K58" s="27"/>
      <c r="AB58" s="27"/>
      <c r="AH58" s="2"/>
      <c r="AQ58" s="16"/>
      <c r="AR58" s="27"/>
      <c r="AS58" s="31"/>
      <c r="AW58" s="127"/>
      <c r="AX58" s="2"/>
      <c r="BG58" s="16"/>
      <c r="BH58" s="27"/>
      <c r="BI58" s="31"/>
      <c r="BM58" s="127"/>
    </row>
    <row r="59" spans="11:65" x14ac:dyDescent="0.25">
      <c r="K59" s="27"/>
      <c r="AB59" s="27"/>
      <c r="AH59" s="30"/>
      <c r="AQ59" s="16"/>
      <c r="AR59" s="27"/>
      <c r="AS59" s="31"/>
      <c r="AW59" s="127"/>
      <c r="AX59" s="30"/>
      <c r="BG59" s="16"/>
      <c r="BH59" s="27"/>
      <c r="BI59" s="31"/>
      <c r="BM59" s="127"/>
    </row>
    <row r="60" spans="11:65" x14ac:dyDescent="0.25">
      <c r="K60" s="27"/>
      <c r="AB60" s="27"/>
      <c r="AH60" s="2"/>
      <c r="AQ60" s="16"/>
      <c r="AR60" s="27"/>
      <c r="AS60" s="31"/>
      <c r="AW60" s="127"/>
      <c r="AX60" s="2"/>
      <c r="BG60" s="16"/>
      <c r="BH60" s="27"/>
      <c r="BI60" s="31"/>
      <c r="BM60" s="127"/>
    </row>
    <row r="61" spans="11:65" x14ac:dyDescent="0.25">
      <c r="K61" s="27"/>
      <c r="AB61" s="27"/>
      <c r="AH61" s="2"/>
      <c r="AQ61" s="16"/>
      <c r="AR61" s="27"/>
      <c r="AS61" s="31"/>
      <c r="AW61" s="127"/>
      <c r="AX61" s="2"/>
      <c r="BG61" s="16"/>
      <c r="BH61" s="27"/>
      <c r="BI61" s="31"/>
      <c r="BM61" s="127"/>
    </row>
    <row r="62" spans="11:65" x14ac:dyDescent="0.25">
      <c r="K62" s="27"/>
      <c r="AB62" s="27"/>
      <c r="AH62" s="2"/>
      <c r="AQ62" s="16"/>
      <c r="AR62" s="27"/>
      <c r="AS62" s="31"/>
      <c r="AW62" s="127"/>
      <c r="AX62" s="2"/>
      <c r="BG62" s="16"/>
      <c r="BH62" s="27"/>
      <c r="BI62" s="31"/>
      <c r="BM62" s="127"/>
    </row>
    <row r="63" spans="11:65" x14ac:dyDescent="0.25">
      <c r="K63" s="27"/>
      <c r="AB63" s="27"/>
      <c r="AH63" s="2"/>
      <c r="AQ63" s="16"/>
      <c r="AR63" s="27"/>
      <c r="AS63" s="31"/>
      <c r="AW63" s="127"/>
      <c r="AX63" s="2"/>
      <c r="BG63" s="16"/>
      <c r="BH63" s="27"/>
      <c r="BI63" s="31"/>
      <c r="BM63" s="127"/>
    </row>
    <row r="64" spans="11:65" x14ac:dyDescent="0.25">
      <c r="K64" s="27"/>
      <c r="AB64" s="27"/>
      <c r="AH64" s="30"/>
      <c r="AQ64" s="16"/>
      <c r="AR64" s="27"/>
      <c r="AS64" s="31"/>
      <c r="AW64" s="127"/>
      <c r="AX64" s="30"/>
      <c r="BG64" s="16"/>
      <c r="BH64" s="27"/>
      <c r="BI64" s="31"/>
      <c r="BM64" s="127"/>
    </row>
    <row r="65" spans="11:65" x14ac:dyDescent="0.25">
      <c r="K65" s="27"/>
      <c r="AB65" s="27"/>
      <c r="AH65" s="2"/>
      <c r="AQ65" s="16"/>
      <c r="AR65" s="27"/>
      <c r="AS65" s="31"/>
      <c r="AW65" s="127"/>
      <c r="AX65" s="2"/>
      <c r="BG65" s="16"/>
      <c r="BH65" s="27"/>
      <c r="BI65" s="31"/>
      <c r="BM65" s="127"/>
    </row>
    <row r="66" spans="11:65" x14ac:dyDescent="0.25">
      <c r="K66" s="27"/>
      <c r="AB66" s="27"/>
      <c r="AH66" s="2"/>
      <c r="AQ66" s="16"/>
      <c r="AR66" s="27"/>
      <c r="AS66" s="31"/>
      <c r="AW66" s="127"/>
      <c r="AX66" s="2"/>
      <c r="BG66" s="16"/>
      <c r="BH66" s="27"/>
      <c r="BI66" s="31"/>
      <c r="BM66" s="127"/>
    </row>
    <row r="67" spans="11:65" x14ac:dyDescent="0.25">
      <c r="K67" s="27"/>
      <c r="AB67" s="27"/>
      <c r="AH67" s="2"/>
      <c r="AQ67" s="16"/>
      <c r="AR67" s="27"/>
      <c r="AS67" s="31"/>
      <c r="AW67" s="127"/>
      <c r="AX67" s="2"/>
      <c r="BG67" s="16"/>
      <c r="BH67" s="27"/>
      <c r="BI67" s="31"/>
      <c r="BM67" s="127"/>
    </row>
    <row r="68" spans="11:65" x14ac:dyDescent="0.25">
      <c r="K68" s="27"/>
      <c r="AB68" s="27"/>
      <c r="AH68" s="2"/>
      <c r="AQ68" s="16"/>
      <c r="AR68" s="27"/>
      <c r="AS68" s="31"/>
      <c r="AW68" s="127"/>
      <c r="AX68" s="2"/>
      <c r="BG68" s="16"/>
      <c r="BH68" s="27"/>
      <c r="BI68" s="31"/>
      <c r="BM68" s="127"/>
    </row>
    <row r="69" spans="11:65" x14ac:dyDescent="0.25">
      <c r="K69" s="27"/>
      <c r="AB69" s="27"/>
      <c r="AH69" s="30"/>
      <c r="AQ69" s="16"/>
      <c r="AR69" s="27"/>
      <c r="AS69" s="31"/>
      <c r="AW69" s="127"/>
      <c r="AX69" s="30"/>
      <c r="BG69" s="16"/>
      <c r="BH69" s="27"/>
      <c r="BI69" s="31"/>
      <c r="BM69" s="127"/>
    </row>
    <row r="70" spans="11:65" x14ac:dyDescent="0.25">
      <c r="K70" s="27"/>
      <c r="AB70" s="27"/>
      <c r="AH70" s="2"/>
      <c r="AQ70" s="16"/>
      <c r="AR70" s="27"/>
      <c r="AS70" s="31"/>
      <c r="AW70" s="127"/>
      <c r="AX70" s="2"/>
      <c r="BG70" s="16"/>
      <c r="BH70" s="27"/>
      <c r="BI70" s="31"/>
      <c r="BM70" s="127"/>
    </row>
    <row r="71" spans="11:65" x14ac:dyDescent="0.25">
      <c r="K71" s="27"/>
      <c r="AB71" s="27"/>
      <c r="AH71" s="2"/>
      <c r="AQ71" s="16"/>
      <c r="AR71" s="27"/>
      <c r="AS71" s="31"/>
      <c r="AW71" s="127"/>
      <c r="AX71" s="2"/>
      <c r="BG71" s="16"/>
      <c r="BH71" s="27"/>
      <c r="BI71" s="31"/>
      <c r="BM71" s="127"/>
    </row>
    <row r="72" spans="11:65" x14ac:dyDescent="0.25">
      <c r="K72" s="27"/>
      <c r="AB72" s="27"/>
      <c r="AH72" s="2"/>
      <c r="AQ72" s="16"/>
      <c r="AR72" s="27"/>
      <c r="AS72" s="31"/>
      <c r="AW72" s="127"/>
      <c r="AX72" s="2"/>
      <c r="BG72" s="16"/>
      <c r="BH72" s="27"/>
      <c r="BI72" s="31"/>
      <c r="BM72" s="127"/>
    </row>
    <row r="73" spans="11:65" x14ac:dyDescent="0.25">
      <c r="K73" s="27"/>
      <c r="AB73" s="27"/>
      <c r="AH73" s="2"/>
      <c r="AQ73" s="16"/>
      <c r="AR73" s="27"/>
      <c r="AS73" s="31"/>
      <c r="AW73" s="127"/>
      <c r="AX73" s="2"/>
      <c r="BG73" s="16"/>
      <c r="BH73" s="27"/>
      <c r="BI73" s="31"/>
      <c r="BM73" s="127"/>
    </row>
    <row r="74" spans="11:65" x14ac:dyDescent="0.25">
      <c r="K74" s="27"/>
      <c r="AB74" s="27"/>
      <c r="AH74" s="30"/>
      <c r="AQ74" s="16"/>
      <c r="AR74" s="27"/>
      <c r="AS74" s="31"/>
      <c r="AW74" s="127"/>
      <c r="AX74" s="30"/>
      <c r="BG74" s="16"/>
      <c r="BH74" s="27"/>
      <c r="BI74" s="31"/>
      <c r="BM74" s="127"/>
    </row>
    <row r="75" spans="11:65" x14ac:dyDescent="0.25">
      <c r="K75" s="27"/>
      <c r="AB75" s="27"/>
      <c r="AH75" s="2"/>
      <c r="AQ75" s="16"/>
      <c r="AR75" s="27"/>
      <c r="AS75" s="31"/>
      <c r="AW75" s="127"/>
      <c r="AX75" s="2"/>
      <c r="BG75" s="16"/>
      <c r="BH75" s="27"/>
      <c r="BI75" s="31"/>
      <c r="BM75" s="127"/>
    </row>
    <row r="76" spans="11:65" x14ac:dyDescent="0.25">
      <c r="K76" s="27"/>
      <c r="AB76" s="27"/>
      <c r="AH76" s="2"/>
      <c r="AQ76" s="16"/>
      <c r="AR76" s="27"/>
      <c r="AS76" s="31"/>
      <c r="AW76" s="127"/>
      <c r="AX76" s="2"/>
      <c r="BG76" s="16"/>
      <c r="BH76" s="27"/>
      <c r="BI76" s="31"/>
      <c r="BM76" s="127"/>
    </row>
    <row r="77" spans="11:65" x14ac:dyDescent="0.25">
      <c r="K77" s="27"/>
      <c r="AB77" s="27"/>
      <c r="AH77" s="2"/>
      <c r="AQ77" s="16"/>
      <c r="AR77" s="27"/>
      <c r="AS77" s="31"/>
      <c r="AW77" s="127"/>
      <c r="AX77" s="2"/>
      <c r="BG77" s="16"/>
      <c r="BH77" s="27"/>
      <c r="BI77" s="31"/>
      <c r="BM77" s="127"/>
    </row>
    <row r="78" spans="11:65" x14ac:dyDescent="0.25">
      <c r="K78" s="27"/>
      <c r="AB78" s="27"/>
      <c r="AH78" s="2"/>
      <c r="AQ78" s="16"/>
      <c r="AR78" s="27"/>
      <c r="AS78" s="31"/>
      <c r="AW78" s="127"/>
      <c r="AX78" s="2"/>
      <c r="BG78" s="16"/>
      <c r="BH78" s="27"/>
      <c r="BI78" s="31"/>
      <c r="BM78" s="127"/>
    </row>
    <row r="79" spans="11:65" x14ac:dyDescent="0.25">
      <c r="K79" s="27"/>
      <c r="AB79" s="27"/>
      <c r="AH79" s="30"/>
      <c r="AQ79" s="16"/>
      <c r="AR79" s="27"/>
      <c r="AS79" s="31"/>
      <c r="AW79" s="127"/>
      <c r="AX79" s="30"/>
      <c r="BG79" s="16"/>
      <c r="BH79" s="27"/>
      <c r="BI79" s="31"/>
      <c r="BM79" s="127"/>
    </row>
    <row r="80" spans="11:65" x14ac:dyDescent="0.25">
      <c r="K80" s="27"/>
      <c r="AB80" s="27"/>
      <c r="AH80" s="2"/>
      <c r="AQ80" s="16"/>
      <c r="AR80" s="27"/>
      <c r="AS80" s="31"/>
      <c r="AW80" s="127"/>
      <c r="AX80" s="2"/>
      <c r="BG80" s="16"/>
      <c r="BH80" s="27"/>
      <c r="BI80" s="31"/>
      <c r="BM80" s="127"/>
    </row>
    <row r="81" spans="11:65" x14ac:dyDescent="0.25">
      <c r="K81" s="27"/>
      <c r="AB81" s="27"/>
      <c r="AH81" s="2"/>
      <c r="AQ81" s="16"/>
      <c r="AR81" s="27"/>
      <c r="AS81" s="31"/>
      <c r="AW81" s="127"/>
      <c r="AX81" s="2"/>
      <c r="BG81" s="16"/>
      <c r="BH81" s="27"/>
      <c r="BI81" s="31"/>
      <c r="BM81" s="127"/>
    </row>
    <row r="82" spans="11:65" x14ac:dyDescent="0.25">
      <c r="K82" s="27"/>
      <c r="AB82" s="27"/>
      <c r="AH82" s="2"/>
      <c r="AQ82" s="16"/>
      <c r="AR82" s="27"/>
      <c r="AS82" s="31"/>
      <c r="AW82" s="127"/>
      <c r="AX82" s="2"/>
      <c r="BG82" s="16"/>
      <c r="BH82" s="27"/>
      <c r="BI82" s="31"/>
      <c r="BM82" s="127"/>
    </row>
    <row r="83" spans="11:65" x14ac:dyDescent="0.25">
      <c r="K83" s="27"/>
      <c r="AB83" s="27"/>
      <c r="AH83" s="2"/>
      <c r="AQ83" s="16"/>
      <c r="AR83" s="27"/>
      <c r="AS83" s="31"/>
      <c r="AW83" s="127"/>
      <c r="AX83" s="2"/>
      <c r="BG83" s="16"/>
      <c r="BH83" s="27"/>
      <c r="BI83" s="31"/>
      <c r="BM83" s="127"/>
    </row>
    <row r="84" spans="11:65" x14ac:dyDescent="0.25">
      <c r="K84" s="27"/>
      <c r="AB84" s="27"/>
      <c r="AH84" s="30"/>
      <c r="AQ84" s="16"/>
      <c r="AR84" s="27"/>
      <c r="AS84" s="31"/>
      <c r="AW84" s="127"/>
      <c r="AX84" s="30"/>
      <c r="BG84" s="16"/>
      <c r="BH84" s="27"/>
      <c r="BI84" s="31"/>
      <c r="BM84" s="127"/>
    </row>
    <row r="85" spans="11:65" x14ac:dyDescent="0.25">
      <c r="K85" s="27"/>
      <c r="AB85" s="27"/>
      <c r="AH85" s="2"/>
      <c r="AQ85" s="16"/>
      <c r="AR85" s="27"/>
      <c r="AS85" s="31"/>
      <c r="AW85" s="127"/>
      <c r="AX85" s="2"/>
      <c r="BG85" s="16"/>
      <c r="BH85" s="27"/>
      <c r="BI85" s="31"/>
      <c r="BM85" s="127"/>
    </row>
    <row r="86" spans="11:65" x14ac:dyDescent="0.25">
      <c r="K86" s="27"/>
      <c r="AB86" s="27"/>
      <c r="AH86" s="2"/>
      <c r="AQ86" s="16"/>
      <c r="AR86" s="27"/>
      <c r="AS86" s="31"/>
      <c r="AW86" s="127"/>
      <c r="AX86" s="2"/>
      <c r="BG86" s="16"/>
      <c r="BH86" s="27"/>
      <c r="BI86" s="31"/>
      <c r="BM86" s="127"/>
    </row>
    <row r="87" spans="11:65" x14ac:dyDescent="0.25">
      <c r="K87" s="27"/>
      <c r="AB87" s="27"/>
      <c r="AH87" s="2"/>
      <c r="AQ87" s="16"/>
      <c r="AR87" s="27"/>
      <c r="AS87" s="31"/>
      <c r="AW87" s="127"/>
      <c r="AX87" s="2"/>
      <c r="BG87" s="16"/>
      <c r="BH87" s="27"/>
      <c r="BI87" s="31"/>
      <c r="BM87" s="127"/>
    </row>
    <row r="88" spans="11:65" x14ac:dyDescent="0.25">
      <c r="K88" s="27"/>
      <c r="AB88" s="27"/>
      <c r="AH88" s="2"/>
      <c r="AQ88" s="16"/>
      <c r="AR88" s="27"/>
      <c r="AS88" s="31"/>
      <c r="AW88" s="127"/>
      <c r="AX88" s="2"/>
      <c r="BG88" s="16"/>
      <c r="BH88" s="27"/>
      <c r="BI88" s="31"/>
      <c r="BM88" s="127"/>
    </row>
    <row r="89" spans="11:65" x14ac:dyDescent="0.25">
      <c r="K89" s="27"/>
      <c r="AB89" s="27"/>
      <c r="AH89" s="30"/>
      <c r="AQ89" s="16"/>
      <c r="AR89" s="27"/>
      <c r="AS89" s="31"/>
      <c r="AW89" s="127"/>
      <c r="AX89" s="30"/>
      <c r="BG89" s="16"/>
      <c r="BH89" s="27"/>
      <c r="BI89" s="31"/>
      <c r="BM89" s="127"/>
    </row>
    <row r="90" spans="11:65" x14ac:dyDescent="0.25">
      <c r="K90" s="27"/>
      <c r="AB90" s="27"/>
      <c r="AH90" s="2"/>
      <c r="AQ90" s="16"/>
      <c r="AR90" s="27"/>
      <c r="AS90" s="31"/>
      <c r="AW90" s="127"/>
      <c r="AX90" s="2"/>
      <c r="BG90" s="16"/>
      <c r="BH90" s="27"/>
      <c r="BI90" s="31"/>
      <c r="BM90" s="127"/>
    </row>
    <row r="91" spans="11:65" x14ac:dyDescent="0.25">
      <c r="K91" s="27"/>
      <c r="AB91" s="27"/>
      <c r="AH91" s="2"/>
      <c r="AQ91" s="16"/>
      <c r="AR91" s="27"/>
      <c r="AS91" s="31"/>
      <c r="AW91" s="127"/>
      <c r="AX91" s="2"/>
      <c r="BG91" s="16"/>
      <c r="BH91" s="27"/>
      <c r="BI91" s="31"/>
      <c r="BM91" s="127"/>
    </row>
    <row r="92" spans="11:65" x14ac:dyDescent="0.25">
      <c r="K92" s="27"/>
      <c r="AB92" s="27"/>
      <c r="AH92" s="2"/>
      <c r="AQ92" s="16"/>
      <c r="AR92" s="27"/>
      <c r="AS92" s="31"/>
      <c r="AW92" s="127"/>
      <c r="AX92" s="2"/>
      <c r="BG92" s="16"/>
      <c r="BH92" s="27"/>
      <c r="BI92" s="31"/>
      <c r="BM92" s="127"/>
    </row>
    <row r="93" spans="11:65" x14ac:dyDescent="0.25">
      <c r="K93" s="27"/>
      <c r="AB93" s="27"/>
      <c r="AH93" s="2"/>
      <c r="AQ93" s="16"/>
      <c r="AR93" s="27"/>
      <c r="AS93" s="31"/>
      <c r="AW93" s="127"/>
      <c r="AX93" s="2"/>
      <c r="BG93" s="16"/>
      <c r="BH93" s="27"/>
      <c r="BI93" s="31"/>
      <c r="BM93" s="127"/>
    </row>
    <row r="94" spans="11:65" x14ac:dyDescent="0.25">
      <c r="K94" s="27"/>
      <c r="AB94" s="27"/>
      <c r="AH94" s="30"/>
      <c r="AQ94" s="16"/>
      <c r="AR94" s="27"/>
      <c r="AS94" s="31"/>
      <c r="AW94" s="127"/>
      <c r="AX94" s="30"/>
      <c r="BG94" s="16"/>
      <c r="BH94" s="27"/>
      <c r="BI94" s="31"/>
      <c r="BM94" s="127"/>
    </row>
    <row r="95" spans="11:65" x14ac:dyDescent="0.25">
      <c r="K95" s="27"/>
      <c r="AB95" s="27"/>
      <c r="AH95" s="2"/>
      <c r="AQ95" s="16"/>
      <c r="AR95" s="27"/>
      <c r="AS95" s="31"/>
      <c r="AW95" s="127"/>
      <c r="AX95" s="2"/>
      <c r="BG95" s="16"/>
      <c r="BH95" s="27"/>
      <c r="BI95" s="31"/>
      <c r="BM95" s="127"/>
    </row>
    <row r="96" spans="11:65" x14ac:dyDescent="0.25">
      <c r="K96" s="27"/>
      <c r="AB96" s="27"/>
      <c r="AH96" s="2"/>
      <c r="AQ96" s="16"/>
      <c r="AR96" s="27"/>
      <c r="AS96" s="31"/>
      <c r="AW96" s="127"/>
      <c r="AX96" s="2"/>
      <c r="BG96" s="16"/>
      <c r="BH96" s="27"/>
      <c r="BI96" s="31"/>
      <c r="BM96" s="127"/>
    </row>
    <row r="97" spans="11:65" x14ac:dyDescent="0.25">
      <c r="K97" s="27"/>
      <c r="AB97" s="27"/>
      <c r="AH97" s="2"/>
      <c r="AQ97" s="16"/>
      <c r="AR97" s="27"/>
      <c r="AS97" s="31"/>
      <c r="AW97" s="127"/>
      <c r="AX97" s="2"/>
      <c r="BG97" s="16"/>
      <c r="BH97" s="27"/>
      <c r="BI97" s="31"/>
      <c r="BM97" s="127"/>
    </row>
    <row r="98" spans="11:65" x14ac:dyDescent="0.25">
      <c r="K98" s="27"/>
      <c r="AB98" s="27"/>
      <c r="AH98" s="2"/>
      <c r="AQ98" s="16"/>
      <c r="AR98" s="27"/>
      <c r="AS98" s="31"/>
      <c r="AW98" s="127"/>
      <c r="AX98" s="2"/>
      <c r="BG98" s="16"/>
      <c r="BH98" s="27"/>
      <c r="BI98" s="31"/>
      <c r="BM98" s="127"/>
    </row>
    <row r="99" spans="11:65" x14ac:dyDescent="0.25">
      <c r="K99" s="27"/>
      <c r="AB99" s="27"/>
      <c r="AH99" s="30"/>
      <c r="AQ99" s="16"/>
      <c r="AR99" s="27"/>
      <c r="AS99" s="31"/>
      <c r="AW99" s="127"/>
      <c r="AX99" s="30"/>
      <c r="BG99" s="16"/>
      <c r="BH99" s="27"/>
      <c r="BI99" s="31"/>
      <c r="BM99" s="127"/>
    </row>
    <row r="100" spans="11:65" x14ac:dyDescent="0.25">
      <c r="K100" s="27"/>
      <c r="AB100" s="27"/>
      <c r="AH100" s="2"/>
      <c r="AQ100" s="16"/>
      <c r="AR100" s="27"/>
      <c r="AS100" s="31"/>
      <c r="AW100" s="127"/>
      <c r="AX100" s="2"/>
      <c r="BG100" s="16"/>
      <c r="BH100" s="27"/>
      <c r="BI100" s="31"/>
      <c r="BM100" s="127"/>
    </row>
    <row r="101" spans="11:65" x14ac:dyDescent="0.25">
      <c r="K101" s="27"/>
      <c r="AB101" s="27"/>
      <c r="AH101" s="2"/>
      <c r="AQ101" s="16"/>
      <c r="AR101" s="27"/>
      <c r="AS101" s="31"/>
      <c r="AW101" s="127"/>
      <c r="AX101" s="2"/>
      <c r="BG101" s="16"/>
      <c r="BH101" s="27"/>
      <c r="BI101" s="31"/>
      <c r="BM101" s="127"/>
    </row>
    <row r="102" spans="11:65" x14ac:dyDescent="0.25">
      <c r="K102" s="27"/>
      <c r="AB102" s="27"/>
      <c r="AH102" s="2"/>
      <c r="AQ102" s="16"/>
      <c r="AR102" s="27"/>
      <c r="AS102" s="31"/>
      <c r="AW102" s="127"/>
      <c r="AX102" s="2"/>
      <c r="BG102" s="16"/>
      <c r="BH102" s="27"/>
      <c r="BI102" s="31"/>
      <c r="BM102" s="127"/>
    </row>
    <row r="103" spans="11:65" x14ac:dyDescent="0.25">
      <c r="K103" s="27"/>
      <c r="AB103" s="27"/>
      <c r="AH103" s="2"/>
      <c r="AQ103" s="16"/>
      <c r="AR103" s="27"/>
      <c r="AS103" s="31"/>
      <c r="AW103" s="127"/>
      <c r="AX103" s="2"/>
      <c r="BG103" s="16"/>
      <c r="BH103" s="27"/>
      <c r="BI103" s="31"/>
      <c r="BM103" s="127"/>
    </row>
    <row r="104" spans="11:65" x14ac:dyDescent="0.25">
      <c r="K104" s="27"/>
      <c r="AB104" s="27"/>
      <c r="AH104" s="30"/>
      <c r="AQ104" s="16"/>
      <c r="AR104" s="27"/>
      <c r="AS104" s="31"/>
      <c r="AW104" s="127"/>
      <c r="AX104" s="30"/>
      <c r="BG104" s="16"/>
      <c r="BH104" s="27"/>
      <c r="BI104" s="31"/>
      <c r="BM104" s="127"/>
    </row>
    <row r="105" spans="11:65" x14ac:dyDescent="0.25">
      <c r="K105" s="27"/>
      <c r="AB105" s="27"/>
      <c r="AH105" s="2"/>
      <c r="AQ105" s="16"/>
      <c r="AR105" s="27"/>
      <c r="AS105" s="31"/>
      <c r="AW105" s="127"/>
      <c r="AX105" s="2"/>
      <c r="BG105" s="16"/>
      <c r="BH105" s="27"/>
      <c r="BI105" s="31"/>
      <c r="BM105" s="127"/>
    </row>
    <row r="106" spans="11:65" x14ac:dyDescent="0.25">
      <c r="K106" s="27"/>
      <c r="AB106" s="27"/>
      <c r="AH106" s="2"/>
      <c r="AQ106" s="16"/>
      <c r="AR106" s="27"/>
      <c r="AS106" s="31"/>
      <c r="AW106" s="127"/>
      <c r="AX106" s="2"/>
      <c r="BG106" s="16"/>
      <c r="BH106" s="27"/>
      <c r="BI106" s="31"/>
      <c r="BM106" s="127"/>
    </row>
    <row r="107" spans="11:65" x14ac:dyDescent="0.25">
      <c r="K107" s="27"/>
      <c r="AB107" s="27"/>
      <c r="AH107" s="2"/>
      <c r="AQ107" s="16"/>
      <c r="AR107" s="27"/>
      <c r="AS107" s="31"/>
      <c r="AW107" s="127"/>
      <c r="AX107" s="2"/>
      <c r="BG107" s="16"/>
      <c r="BH107" s="27"/>
      <c r="BI107" s="31"/>
      <c r="BM107" s="127"/>
    </row>
    <row r="108" spans="11:65" x14ac:dyDescent="0.25">
      <c r="K108" s="27"/>
      <c r="AB108" s="27"/>
      <c r="AH108" s="2"/>
      <c r="AQ108" s="16"/>
      <c r="AR108" s="27"/>
      <c r="AS108" s="31"/>
      <c r="AW108" s="127"/>
      <c r="AX108" s="2"/>
      <c r="BG108" s="16"/>
      <c r="BH108" s="27"/>
      <c r="BI108" s="31"/>
      <c r="BM108" s="127"/>
    </row>
    <row r="109" spans="11:65" x14ac:dyDescent="0.25">
      <c r="K109" s="27"/>
      <c r="AB109" s="27"/>
      <c r="AH109" s="30"/>
      <c r="AQ109" s="16"/>
      <c r="AR109" s="27"/>
      <c r="AS109" s="31"/>
      <c r="AW109" s="127"/>
      <c r="AX109" s="30"/>
      <c r="BG109" s="16"/>
      <c r="BH109" s="27"/>
      <c r="BI109" s="31"/>
      <c r="BM109" s="127"/>
    </row>
    <row r="110" spans="11:65" x14ac:dyDescent="0.25">
      <c r="K110" s="27"/>
      <c r="AB110" s="27"/>
      <c r="AH110" s="2"/>
      <c r="AQ110" s="16"/>
      <c r="AR110" s="27"/>
      <c r="AS110" s="31"/>
      <c r="AW110" s="127"/>
      <c r="AX110" s="2"/>
      <c r="BG110" s="16"/>
      <c r="BH110" s="27"/>
      <c r="BI110" s="31"/>
      <c r="BM110" s="127"/>
    </row>
    <row r="111" spans="11:65" x14ac:dyDescent="0.25">
      <c r="K111" s="27"/>
      <c r="AB111" s="27"/>
      <c r="AH111" s="2"/>
      <c r="AQ111" s="16"/>
      <c r="AR111" s="27"/>
      <c r="AS111" s="31"/>
      <c r="AW111" s="127"/>
      <c r="AX111" s="2"/>
      <c r="BG111" s="16"/>
      <c r="BH111" s="27"/>
      <c r="BI111" s="31"/>
      <c r="BM111" s="127"/>
    </row>
    <row r="112" spans="11:65" x14ac:dyDescent="0.25">
      <c r="K112" s="27"/>
      <c r="AB112" s="27"/>
      <c r="AH112" s="2"/>
      <c r="AQ112" s="16"/>
      <c r="AR112" s="27"/>
      <c r="AS112" s="31"/>
      <c r="AW112" s="127"/>
      <c r="AX112" s="2"/>
      <c r="BG112" s="16"/>
      <c r="BH112" s="27"/>
      <c r="BI112" s="31"/>
      <c r="BM112" s="127"/>
    </row>
    <row r="113" spans="11:65" x14ac:dyDescent="0.25">
      <c r="K113" s="27"/>
      <c r="AB113" s="27"/>
      <c r="AH113" s="2"/>
      <c r="AQ113" s="16"/>
      <c r="AR113" s="27"/>
      <c r="AS113" s="31"/>
      <c r="AW113" s="127"/>
      <c r="AX113" s="2"/>
      <c r="BG113" s="16"/>
      <c r="BH113" s="27"/>
      <c r="BI113" s="31"/>
      <c r="BM113" s="127"/>
    </row>
    <row r="114" spans="11:65" x14ac:dyDescent="0.25">
      <c r="K114" s="27"/>
      <c r="AB114" s="27"/>
      <c r="AH114" s="30"/>
      <c r="AQ114" s="16"/>
      <c r="AR114" s="27"/>
      <c r="AS114" s="31"/>
      <c r="AW114" s="127"/>
      <c r="AX114" s="30"/>
      <c r="BG114" s="16"/>
      <c r="BH114" s="27"/>
      <c r="BI114" s="31"/>
      <c r="BM114" s="127"/>
    </row>
    <row r="115" spans="11:65" x14ac:dyDescent="0.25">
      <c r="K115" s="27"/>
      <c r="AB115" s="27"/>
      <c r="AH115" s="2"/>
      <c r="AQ115" s="16"/>
      <c r="AR115" s="27"/>
      <c r="AS115" s="31"/>
      <c r="AW115" s="127"/>
      <c r="AX115" s="2"/>
      <c r="BG115" s="16"/>
      <c r="BH115" s="27"/>
      <c r="BI115" s="31"/>
      <c r="BM115" s="127"/>
    </row>
    <row r="116" spans="11:65" x14ac:dyDescent="0.25">
      <c r="K116" s="27"/>
      <c r="AB116" s="27"/>
      <c r="AH116" s="2"/>
      <c r="AQ116" s="16"/>
      <c r="AR116" s="27"/>
      <c r="AS116" s="31"/>
      <c r="AW116" s="127"/>
      <c r="AX116" s="2"/>
      <c r="BG116" s="16"/>
      <c r="BH116" s="27"/>
      <c r="BI116" s="31"/>
      <c r="BM116" s="127"/>
    </row>
    <row r="117" spans="11:65" x14ac:dyDescent="0.25">
      <c r="K117" s="27"/>
      <c r="AB117" s="27"/>
      <c r="AH117" s="2"/>
      <c r="AQ117" s="16"/>
      <c r="AR117" s="27"/>
      <c r="AS117" s="31"/>
      <c r="AW117" s="127"/>
      <c r="AX117" s="2"/>
      <c r="BG117" s="16"/>
      <c r="BH117" s="27"/>
      <c r="BI117" s="31"/>
      <c r="BM117" s="127"/>
    </row>
    <row r="118" spans="11:65" x14ac:dyDescent="0.25">
      <c r="K118" s="27"/>
      <c r="AB118" s="27"/>
      <c r="AH118" s="2"/>
      <c r="AQ118" s="16"/>
      <c r="AR118" s="27"/>
      <c r="AS118" s="31"/>
      <c r="AW118" s="127"/>
      <c r="AX118" s="2"/>
      <c r="BG118" s="16"/>
      <c r="BH118" s="27"/>
      <c r="BI118" s="31"/>
      <c r="BM118" s="127"/>
    </row>
    <row r="119" spans="11:65" x14ac:dyDescent="0.25">
      <c r="K119" s="27"/>
      <c r="AB119" s="27"/>
      <c r="AH119" s="30"/>
      <c r="AQ119" s="16"/>
      <c r="AR119" s="27"/>
      <c r="AS119" s="31"/>
      <c r="AW119" s="127"/>
      <c r="AX119" s="30"/>
      <c r="BG119" s="16"/>
      <c r="BH119" s="27"/>
      <c r="BI119" s="31"/>
      <c r="BM119" s="127"/>
    </row>
    <row r="120" spans="11:65" x14ac:dyDescent="0.25">
      <c r="K120" s="27"/>
      <c r="AB120" s="27"/>
      <c r="AH120" s="2"/>
      <c r="AQ120" s="16"/>
      <c r="AR120" s="27"/>
      <c r="AS120" s="31"/>
      <c r="AW120" s="127"/>
      <c r="AX120" s="2"/>
      <c r="BG120" s="16"/>
      <c r="BH120" s="27"/>
      <c r="BI120" s="31"/>
      <c r="BM120" s="127"/>
    </row>
    <row r="121" spans="11:65" x14ac:dyDescent="0.25">
      <c r="K121" s="27"/>
      <c r="AB121" s="27"/>
      <c r="AH121" s="2"/>
      <c r="AQ121" s="16"/>
      <c r="AR121" s="27"/>
      <c r="AS121" s="31"/>
      <c r="AW121" s="127"/>
      <c r="AX121" s="2"/>
      <c r="BG121" s="16"/>
      <c r="BH121" s="27"/>
      <c r="BI121" s="31"/>
      <c r="BM121" s="127"/>
    </row>
    <row r="122" spans="11:65" x14ac:dyDescent="0.25">
      <c r="K122" s="27"/>
      <c r="AB122" s="27"/>
      <c r="AH122" s="2"/>
      <c r="AQ122" s="16"/>
      <c r="AR122" s="27"/>
      <c r="AS122" s="31"/>
      <c r="AW122" s="127"/>
      <c r="AX122" s="2"/>
      <c r="BG122" s="16"/>
      <c r="BH122" s="27"/>
      <c r="BI122" s="31"/>
      <c r="BM122" s="127"/>
    </row>
    <row r="123" spans="11:65" x14ac:dyDescent="0.25">
      <c r="K123" s="27"/>
      <c r="AB123" s="27"/>
      <c r="AH123" s="2"/>
      <c r="AQ123" s="16"/>
      <c r="AR123" s="27"/>
      <c r="AS123" s="31"/>
      <c r="AW123" s="127"/>
      <c r="AX123" s="2"/>
      <c r="BG123" s="16"/>
      <c r="BH123" s="27"/>
      <c r="BI123" s="31"/>
      <c r="BM123" s="127"/>
    </row>
    <row r="127" spans="11:65" x14ac:dyDescent="0.25">
      <c r="X127" t="s">
        <v>242</v>
      </c>
    </row>
    <row r="129" spans="21:27" x14ac:dyDescent="0.25">
      <c r="U129">
        <v>12960</v>
      </c>
      <c r="W129">
        <v>13008</v>
      </c>
      <c r="X129">
        <v>13107</v>
      </c>
      <c r="Z129">
        <v>160</v>
      </c>
      <c r="AA129" s="16">
        <v>1</v>
      </c>
    </row>
    <row r="130" spans="21:27" x14ac:dyDescent="0.25">
      <c r="U130">
        <v>13056</v>
      </c>
      <c r="Z130">
        <v>64</v>
      </c>
      <c r="AA130" s="16">
        <v>2</v>
      </c>
    </row>
    <row r="131" spans="21:27" x14ac:dyDescent="0.25">
      <c r="U131">
        <v>13760</v>
      </c>
      <c r="W131">
        <v>13792</v>
      </c>
      <c r="X131">
        <v>13870</v>
      </c>
      <c r="Z131">
        <v>128</v>
      </c>
    </row>
    <row r="132" spans="21:27" x14ac:dyDescent="0.25">
      <c r="U132">
        <v>13824</v>
      </c>
      <c r="Z132">
        <v>192</v>
      </c>
    </row>
    <row r="133" spans="21:27" x14ac:dyDescent="0.25">
      <c r="U133">
        <v>14560</v>
      </c>
      <c r="W133">
        <v>14576</v>
      </c>
      <c r="X133">
        <v>14654</v>
      </c>
    </row>
    <row r="134" spans="21:27" x14ac:dyDescent="0.25">
      <c r="U134">
        <v>14592</v>
      </c>
    </row>
  </sheetData>
  <sortState xmlns:xlrd2="http://schemas.microsoft.com/office/spreadsheetml/2017/richdata2" ref="C4:O123">
    <sortCondition ref="F4:F123"/>
    <sortCondition ref="G4:G123"/>
    <sortCondition ref="E4:E123"/>
    <sortCondition ref="C4:C123"/>
  </sortState>
  <mergeCells count="59">
    <mergeCell ref="AI1:AW1"/>
    <mergeCell ref="AY1:BM1"/>
    <mergeCell ref="AD2:AF2"/>
    <mergeCell ref="M2:O2"/>
    <mergeCell ref="AT2:AV2"/>
    <mergeCell ref="BJ2:BL2"/>
    <mergeCell ref="P4:P8"/>
    <mergeCell ref="P9:P13"/>
    <mergeCell ref="AG4:AG8"/>
    <mergeCell ref="S1:AG1"/>
    <mergeCell ref="B1:P1"/>
    <mergeCell ref="AW19:AW23"/>
    <mergeCell ref="BM19:BM23"/>
    <mergeCell ref="AW4:AW8"/>
    <mergeCell ref="BM4:BM8"/>
    <mergeCell ref="AW9:AW13"/>
    <mergeCell ref="BM9:BM13"/>
    <mergeCell ref="AW14:AW18"/>
    <mergeCell ref="BM14:BM18"/>
    <mergeCell ref="AW34:AW38"/>
    <mergeCell ref="BM34:BM38"/>
    <mergeCell ref="AW39:AW43"/>
    <mergeCell ref="BM39:BM43"/>
    <mergeCell ref="AW24:AW28"/>
    <mergeCell ref="BM24:BM28"/>
    <mergeCell ref="AW29:AW33"/>
    <mergeCell ref="BM29:BM33"/>
    <mergeCell ref="AW54:AW58"/>
    <mergeCell ref="BM54:BM58"/>
    <mergeCell ref="AW59:AW63"/>
    <mergeCell ref="BM59:BM63"/>
    <mergeCell ref="AW44:AW48"/>
    <mergeCell ref="BM44:BM48"/>
    <mergeCell ref="AW49:AW53"/>
    <mergeCell ref="BM49:BM53"/>
    <mergeCell ref="AW74:AW78"/>
    <mergeCell ref="BM74:BM78"/>
    <mergeCell ref="AW79:AW83"/>
    <mergeCell ref="BM79:BM83"/>
    <mergeCell ref="AW64:AW68"/>
    <mergeCell ref="BM64:BM68"/>
    <mergeCell ref="AW69:AW73"/>
    <mergeCell ref="BM69:BM73"/>
    <mergeCell ref="AW94:AW98"/>
    <mergeCell ref="BM94:BM98"/>
    <mergeCell ref="AW99:AW103"/>
    <mergeCell ref="BM99:BM103"/>
    <mergeCell ref="AW84:AW88"/>
    <mergeCell ref="BM84:BM88"/>
    <mergeCell ref="AW89:AW93"/>
    <mergeCell ref="BM89:BM93"/>
    <mergeCell ref="AW114:AW118"/>
    <mergeCell ref="BM114:BM118"/>
    <mergeCell ref="AW119:AW123"/>
    <mergeCell ref="BM119:BM123"/>
    <mergeCell ref="AW104:AW108"/>
    <mergeCell ref="BM104:BM108"/>
    <mergeCell ref="AW109:AW113"/>
    <mergeCell ref="BM109:BM113"/>
  </mergeCells>
  <conditionalFormatting sqref="P14:P123 P4 P9">
    <cfRule type="colorScale" priority="4">
      <colorScale>
        <cfvo type="min"/>
        <cfvo type="percentile" val="50"/>
        <cfvo type="max"/>
        <color rgb="FFF8696B"/>
        <color rgb="FFFFEB84"/>
        <color rgb="FF63BE7B"/>
      </colorScale>
    </cfRule>
  </conditionalFormatting>
  <conditionalFormatting sqref="AG4">
    <cfRule type="colorScale" priority="1">
      <colorScale>
        <cfvo type="min"/>
        <cfvo type="percentile" val="50"/>
        <cfvo type="max"/>
        <color rgb="FFF8696B"/>
        <color rgb="FFFFEB84"/>
        <color rgb="FF63BE7B"/>
      </colorScale>
    </cfRule>
  </conditionalFormatting>
  <conditionalFormatting sqref="AH4:AH123 AG9 AG14 AG19 AG24 AG29 AG34 AG39 AG44 AG49 AG54 AG59 AG64 AG69 AG74 AG79 AG84 AG89 AG94 AG99 AG104 AG109 AG114 AG119">
    <cfRule type="colorScale" priority="5">
      <colorScale>
        <cfvo type="min"/>
        <cfvo type="percentile" val="50"/>
        <cfvo type="max"/>
        <color rgb="FFF8696B"/>
        <color rgb="FFFFEB84"/>
        <color rgb="FF63BE7B"/>
      </colorScale>
    </cfRule>
  </conditionalFormatting>
  <conditionalFormatting sqref="AW4:AX4 AX5:AX123 AW9 AW14 AW19 AW24 AW29 AW34 AW39 AW44 AW49 AW54 AW59 AW64 AW69 AW74 AW79 AW84 AW89 AW94 AW99 AW104 AW109 AW114 AW119">
    <cfRule type="colorScale" priority="3">
      <colorScale>
        <cfvo type="min"/>
        <cfvo type="percentile" val="50"/>
        <cfvo type="max"/>
        <color rgb="FFF8696B"/>
        <color rgb="FFFFEB84"/>
        <color rgb="FF63BE7B"/>
      </colorScale>
    </cfRule>
  </conditionalFormatting>
  <conditionalFormatting sqref="BM4:BM123">
    <cfRule type="colorScale" priority="2">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D8D5A-55B8-4CD5-B369-01EEFB4397F2}">
  <dimension ref="A1:BC349"/>
  <sheetViews>
    <sheetView zoomScale="85" zoomScaleNormal="85" workbookViewId="0">
      <selection activeCell="E5" sqref="E5"/>
    </sheetView>
  </sheetViews>
  <sheetFormatPr defaultRowHeight="15" x14ac:dyDescent="0.25"/>
  <cols>
    <col min="13" max="13" width="9.140625" style="16"/>
    <col min="14" max="14" width="9.140625" style="27"/>
    <col min="15" max="15" width="9.140625" style="31"/>
    <col min="28" max="28" width="9.140625" style="25"/>
    <col min="39" max="39" width="9.5703125" style="16" bestFit="1" customWidth="1"/>
    <col min="54" max="54" width="10.5703125" style="25" bestFit="1" customWidth="1"/>
  </cols>
  <sheetData>
    <row r="1" spans="1:55" s="5" customFormat="1" x14ac:dyDescent="0.25">
      <c r="A1" s="122" t="s">
        <v>241</v>
      </c>
      <c r="B1" s="122"/>
      <c r="C1" s="122"/>
      <c r="D1" s="110"/>
      <c r="E1" s="110"/>
      <c r="F1" s="124" t="s">
        <v>291</v>
      </c>
      <c r="G1" s="124"/>
      <c r="H1" s="124"/>
      <c r="I1" s="124"/>
      <c r="J1" s="124"/>
      <c r="K1" s="124"/>
      <c r="L1" s="124"/>
      <c r="M1" s="124"/>
      <c r="N1" s="124"/>
      <c r="O1" s="124"/>
      <c r="P1" s="124"/>
      <c r="Q1" s="124"/>
      <c r="R1" s="124"/>
      <c r="S1" s="124"/>
      <c r="T1" s="124"/>
      <c r="U1" s="124"/>
      <c r="V1" s="124"/>
      <c r="W1" s="124"/>
      <c r="X1" s="124"/>
      <c r="Y1" s="124"/>
      <c r="Z1" s="124"/>
      <c r="AA1" s="124"/>
      <c r="AB1" s="26"/>
      <c r="AF1" s="124" t="s">
        <v>292</v>
      </c>
      <c r="AG1" s="124"/>
      <c r="AH1" s="124"/>
      <c r="AI1" s="124"/>
      <c r="AJ1" s="124"/>
      <c r="AK1" s="124"/>
      <c r="AL1" s="124"/>
      <c r="AM1" s="124"/>
      <c r="AN1" s="124"/>
      <c r="AO1" s="124"/>
      <c r="AP1" s="124"/>
      <c r="AQ1" s="124"/>
      <c r="AR1" s="124"/>
      <c r="AS1" s="124"/>
      <c r="AT1" s="124"/>
      <c r="AU1" s="124"/>
      <c r="AV1" s="124"/>
      <c r="AW1" s="124"/>
      <c r="AX1" s="124"/>
      <c r="AY1" s="124"/>
      <c r="AZ1" s="124"/>
      <c r="BA1" s="124"/>
      <c r="BB1" s="26"/>
    </row>
    <row r="2" spans="1:55" s="5" customFormat="1" x14ac:dyDescent="0.25">
      <c r="A2" s="122"/>
      <c r="B2" s="122"/>
      <c r="C2" s="122"/>
      <c r="D2" s="110"/>
      <c r="E2" s="110"/>
      <c r="F2" s="13"/>
      <c r="G2" s="13"/>
      <c r="H2" s="13"/>
      <c r="I2" s="13"/>
      <c r="J2" s="13"/>
      <c r="K2" s="13"/>
      <c r="L2" s="13"/>
      <c r="M2" s="29"/>
      <c r="N2" s="41"/>
      <c r="O2" s="32"/>
      <c r="P2" s="125" t="s">
        <v>2</v>
      </c>
      <c r="Q2" s="125"/>
      <c r="R2" s="125"/>
      <c r="S2" s="125" t="s">
        <v>17</v>
      </c>
      <c r="T2" s="125"/>
      <c r="U2" s="125"/>
      <c r="V2" s="125" t="s">
        <v>18</v>
      </c>
      <c r="W2" s="125"/>
      <c r="X2" s="125"/>
      <c r="Y2" s="125" t="s">
        <v>19</v>
      </c>
      <c r="Z2" s="125"/>
      <c r="AA2" s="125"/>
      <c r="AB2" s="26"/>
      <c r="AF2" s="13"/>
      <c r="AG2" s="13"/>
      <c r="AH2" s="13"/>
      <c r="AI2" s="13"/>
      <c r="AJ2" s="13"/>
      <c r="AK2" s="13"/>
      <c r="AL2" s="13"/>
      <c r="AM2" s="29"/>
      <c r="AN2" s="41"/>
      <c r="AO2" s="32"/>
      <c r="AP2" s="125" t="s">
        <v>2</v>
      </c>
      <c r="AQ2" s="125"/>
      <c r="AR2" s="125"/>
      <c r="AS2" s="125" t="s">
        <v>17</v>
      </c>
      <c r="AT2" s="125"/>
      <c r="AU2" s="125"/>
      <c r="AV2" s="125" t="s">
        <v>18</v>
      </c>
      <c r="AW2" s="125"/>
      <c r="AX2" s="125"/>
      <c r="AY2" s="125" t="s">
        <v>19</v>
      </c>
      <c r="AZ2" s="125"/>
      <c r="BA2" s="125"/>
      <c r="BB2" s="26"/>
    </row>
    <row r="3" spans="1:55" s="5" customFormat="1" x14ac:dyDescent="0.25">
      <c r="A3" s="122"/>
      <c r="B3" s="122"/>
      <c r="C3" s="122"/>
      <c r="D3" s="110"/>
      <c r="E3" s="110"/>
      <c r="F3" s="102" t="s">
        <v>289</v>
      </c>
      <c r="G3" s="103" t="e">
        <f>MAX(AB5:AB499)</f>
        <v>#DIV/0!</v>
      </c>
      <c r="H3" s="104" t="e">
        <f>INDEX(H:H,MATCH(MAX($AB:$AB),$AB:$AB,0))</f>
        <v>#DIV/0!</v>
      </c>
      <c r="I3" s="104" t="e">
        <f>INDEX(I:I,MATCH(MAX($AB:$AB),$AB:$AB,0))</f>
        <v>#DIV/0!</v>
      </c>
      <c r="J3" s="104" t="e">
        <f>INDEX(J:J,MATCH(MAX($AB:$AB),$AB:$AB,0))</f>
        <v>#DIV/0!</v>
      </c>
      <c r="K3" s="104" t="e">
        <f>INDEX(K:K,MATCH(MAX($AB:$AB),$AB:$AB,0))</f>
        <v>#DIV/0!</v>
      </c>
      <c r="L3" s="13"/>
      <c r="M3" s="29"/>
      <c r="N3" s="41"/>
      <c r="O3" s="32"/>
      <c r="P3" s="42"/>
      <c r="Q3" s="42"/>
      <c r="R3" s="42"/>
      <c r="S3" s="42"/>
      <c r="T3" s="42"/>
      <c r="U3" s="42"/>
      <c r="V3" s="42"/>
      <c r="W3" s="42"/>
      <c r="X3" s="42"/>
      <c r="Y3" s="42"/>
      <c r="Z3" s="42"/>
      <c r="AA3" s="42"/>
      <c r="AF3" s="102" t="s">
        <v>289</v>
      </c>
      <c r="AG3" s="103">
        <f>MAX(BB5:BB498)</f>
        <v>10.039400000000001</v>
      </c>
      <c r="AH3" s="104">
        <f>INDEX(AH:AH,MATCH(MAX($BB:$BB),$BB:$BB,0))</f>
        <v>29056</v>
      </c>
      <c r="AI3" s="104">
        <f>INDEX(AI:AI,MATCH(MAX($BB:$BB),$BB:$BB,0))</f>
        <v>64</v>
      </c>
      <c r="AJ3" s="104">
        <f>INDEX(AJ:AJ,MATCH(MAX($BB:$BB),$BB:$BB,0))</f>
        <v>2</v>
      </c>
      <c r="AK3" s="104">
        <f>INDEX(AK:AK,MATCH(MAX($BB:$BB),$BB:$BB,0))</f>
        <v>8</v>
      </c>
      <c r="AL3" s="13"/>
      <c r="AM3" s="29"/>
      <c r="AN3" s="41"/>
      <c r="AO3" s="32"/>
      <c r="AP3" s="42"/>
      <c r="AQ3" s="42"/>
      <c r="AR3" s="42"/>
      <c r="AS3" s="42"/>
      <c r="AT3" s="42"/>
      <c r="AU3" s="42"/>
      <c r="AV3" s="42"/>
      <c r="AW3" s="42"/>
      <c r="AX3" s="42"/>
      <c r="AY3" s="42"/>
      <c r="AZ3" s="42"/>
      <c r="BA3" s="42"/>
      <c r="BB3" s="40"/>
    </row>
    <row r="4" spans="1:55" s="5" customFormat="1" x14ac:dyDescent="0.25">
      <c r="A4" s="46" t="s">
        <v>5</v>
      </c>
      <c r="B4" s="46" t="s">
        <v>6</v>
      </c>
      <c r="C4" s="46" t="s">
        <v>7</v>
      </c>
      <c r="F4" s="5" t="s">
        <v>20</v>
      </c>
      <c r="H4" s="5" t="s">
        <v>5</v>
      </c>
      <c r="I4" s="5" t="s">
        <v>6</v>
      </c>
      <c r="J4" s="5" t="s">
        <v>7</v>
      </c>
      <c r="K4" s="5" t="s">
        <v>8</v>
      </c>
      <c r="L4" s="5" t="s">
        <v>9</v>
      </c>
      <c r="M4" s="17" t="s">
        <v>10</v>
      </c>
      <c r="N4" s="43" t="s">
        <v>11</v>
      </c>
      <c r="O4" s="33" t="s">
        <v>9</v>
      </c>
      <c r="P4" s="42" t="s">
        <v>12</v>
      </c>
      <c r="Q4" s="42" t="s">
        <v>13</v>
      </c>
      <c r="R4" s="42" t="s">
        <v>14</v>
      </c>
      <c r="S4" s="42" t="s">
        <v>12</v>
      </c>
      <c r="T4" s="42" t="s">
        <v>13</v>
      </c>
      <c r="U4" s="42" t="s">
        <v>14</v>
      </c>
      <c r="V4" s="42" t="s">
        <v>12</v>
      </c>
      <c r="W4" s="42" t="s">
        <v>13</v>
      </c>
      <c r="X4" s="42" t="s">
        <v>14</v>
      </c>
      <c r="Y4" s="42" t="s">
        <v>12</v>
      </c>
      <c r="Z4" s="42" t="s">
        <v>13</v>
      </c>
      <c r="AA4" s="42" t="s">
        <v>14</v>
      </c>
      <c r="AB4" s="26"/>
      <c r="AF4" s="5" t="s">
        <v>20</v>
      </c>
      <c r="AH4" s="5" t="s">
        <v>5</v>
      </c>
      <c r="AI4" s="5" t="s">
        <v>6</v>
      </c>
      <c r="AJ4" s="5" t="s">
        <v>7</v>
      </c>
      <c r="AK4" s="5" t="s">
        <v>8</v>
      </c>
      <c r="AL4" s="5" t="s">
        <v>9</v>
      </c>
      <c r="AM4" s="17" t="s">
        <v>10</v>
      </c>
      <c r="AN4" s="43" t="s">
        <v>11</v>
      </c>
      <c r="AO4" s="33" t="s">
        <v>9</v>
      </c>
      <c r="AP4" s="42" t="s">
        <v>12</v>
      </c>
      <c r="AQ4" s="42" t="s">
        <v>13</v>
      </c>
      <c r="AR4" s="42" t="s">
        <v>14</v>
      </c>
      <c r="AS4" s="42" t="s">
        <v>12</v>
      </c>
      <c r="AT4" s="42" t="s">
        <v>13</v>
      </c>
      <c r="AU4" s="42" t="s">
        <v>14</v>
      </c>
      <c r="AV4" s="42" t="s">
        <v>12</v>
      </c>
      <c r="AW4" s="42" t="s">
        <v>13</v>
      </c>
      <c r="AX4" s="42" t="s">
        <v>14</v>
      </c>
      <c r="AY4" s="42" t="s">
        <v>12</v>
      </c>
      <c r="AZ4" s="42" t="s">
        <v>13</v>
      </c>
      <c r="BA4" s="42" t="s">
        <v>14</v>
      </c>
      <c r="BB4" s="26"/>
    </row>
    <row r="5" spans="1:55" x14ac:dyDescent="0.25">
      <c r="A5" s="47">
        <v>27520</v>
      </c>
      <c r="B5" s="47">
        <v>160</v>
      </c>
      <c r="C5" s="47">
        <v>1</v>
      </c>
      <c r="F5">
        <v>0</v>
      </c>
      <c r="G5" t="s">
        <v>16</v>
      </c>
      <c r="H5">
        <v>29040</v>
      </c>
      <c r="I5">
        <v>88</v>
      </c>
      <c r="J5">
        <v>4</v>
      </c>
      <c r="K5">
        <v>4</v>
      </c>
      <c r="L5">
        <v>1814.4</v>
      </c>
      <c r="M5" s="16">
        <v>8.9991000000000003</v>
      </c>
      <c r="N5" s="27">
        <v>45404</v>
      </c>
      <c r="O5" s="31">
        <v>0.72608796296296296</v>
      </c>
      <c r="P5">
        <v>0</v>
      </c>
      <c r="Q5">
        <v>0</v>
      </c>
      <c r="R5">
        <v>0</v>
      </c>
      <c r="S5">
        <v>0</v>
      </c>
      <c r="T5">
        <v>0</v>
      </c>
      <c r="U5">
        <v>0</v>
      </c>
      <c r="V5">
        <v>0</v>
      </c>
      <c r="W5">
        <v>0</v>
      </c>
      <c r="X5">
        <v>0</v>
      </c>
      <c r="Y5">
        <v>0</v>
      </c>
      <c r="Z5">
        <v>0</v>
      </c>
      <c r="AA5">
        <v>0</v>
      </c>
      <c r="AB5" s="123">
        <f>AVERAGE(M5:M9)</f>
        <v>8.9972999999999992</v>
      </c>
      <c r="AC5" s="16">
        <f>AVERAGE(M5:M94)</f>
        <v>8.9972999999999992</v>
      </c>
      <c r="AD5" s="16"/>
      <c r="AE5" s="16"/>
      <c r="AF5">
        <v>0</v>
      </c>
      <c r="AG5" t="s">
        <v>16</v>
      </c>
      <c r="AH5">
        <v>29056</v>
      </c>
      <c r="AI5">
        <v>64</v>
      </c>
      <c r="AJ5">
        <v>2</v>
      </c>
      <c r="AK5">
        <v>8</v>
      </c>
      <c r="AL5">
        <v>1629.04</v>
      </c>
      <c r="AM5" s="16">
        <v>10.039999999999999</v>
      </c>
      <c r="AN5" s="27">
        <v>45404</v>
      </c>
      <c r="AO5" s="28">
        <v>0.83248842592592598</v>
      </c>
      <c r="AP5">
        <v>0</v>
      </c>
      <c r="AQ5">
        <v>0</v>
      </c>
      <c r="AR5">
        <v>0</v>
      </c>
      <c r="AS5">
        <v>0</v>
      </c>
      <c r="AT5">
        <v>0</v>
      </c>
      <c r="AU5">
        <v>0</v>
      </c>
      <c r="AV5">
        <v>0</v>
      </c>
      <c r="AW5">
        <v>0</v>
      </c>
      <c r="AX5">
        <v>0</v>
      </c>
      <c r="AY5">
        <v>0</v>
      </c>
      <c r="AZ5">
        <v>0</v>
      </c>
      <c r="BA5">
        <v>0</v>
      </c>
      <c r="BB5" s="123">
        <f>AVERAGE(AM5:AM9)</f>
        <v>10.039400000000001</v>
      </c>
      <c r="BC5" s="16"/>
    </row>
    <row r="6" spans="1:55" x14ac:dyDescent="0.25">
      <c r="A6" s="47">
        <v>25984</v>
      </c>
      <c r="B6" s="47">
        <v>192</v>
      </c>
      <c r="C6" s="47">
        <v>2</v>
      </c>
      <c r="F6">
        <v>1</v>
      </c>
      <c r="G6" t="s">
        <v>16</v>
      </c>
      <c r="H6">
        <v>29040</v>
      </c>
      <c r="I6">
        <v>88</v>
      </c>
      <c r="J6">
        <v>4</v>
      </c>
      <c r="K6">
        <v>4</v>
      </c>
      <c r="L6">
        <v>1814.04</v>
      </c>
      <c r="M6" s="16">
        <v>9.0008999999999997</v>
      </c>
      <c r="N6" s="27">
        <v>45404</v>
      </c>
      <c r="O6" s="31">
        <v>0.74746527777777783</v>
      </c>
      <c r="P6">
        <v>0</v>
      </c>
      <c r="Q6">
        <v>0</v>
      </c>
      <c r="R6">
        <v>0</v>
      </c>
      <c r="S6">
        <v>0</v>
      </c>
      <c r="T6">
        <v>0</v>
      </c>
      <c r="U6">
        <v>0</v>
      </c>
      <c r="V6">
        <v>0</v>
      </c>
      <c r="W6">
        <v>0</v>
      </c>
      <c r="X6">
        <v>0</v>
      </c>
      <c r="Y6">
        <v>0</v>
      </c>
      <c r="Z6">
        <v>0</v>
      </c>
      <c r="AA6">
        <v>0</v>
      </c>
      <c r="AB6" s="123"/>
      <c r="AC6" s="16"/>
      <c r="AD6" s="16"/>
      <c r="AE6" s="16"/>
      <c r="AF6">
        <v>1</v>
      </c>
      <c r="AG6" t="s">
        <v>16</v>
      </c>
      <c r="AH6">
        <v>29056</v>
      </c>
      <c r="AI6">
        <v>64</v>
      </c>
      <c r="AJ6">
        <v>2</v>
      </c>
      <c r="AK6">
        <v>8</v>
      </c>
      <c r="AL6">
        <v>1629</v>
      </c>
      <c r="AM6" s="16">
        <v>10.039999999999999</v>
      </c>
      <c r="AN6" s="27">
        <v>45404</v>
      </c>
      <c r="AO6" s="28">
        <v>0.8530092592592593</v>
      </c>
      <c r="AP6">
        <v>0</v>
      </c>
      <c r="AQ6">
        <v>0</v>
      </c>
      <c r="AR6">
        <v>0</v>
      </c>
      <c r="AS6">
        <v>0</v>
      </c>
      <c r="AT6">
        <v>0</v>
      </c>
      <c r="AU6">
        <v>0</v>
      </c>
      <c r="AV6">
        <v>0</v>
      </c>
      <c r="AW6">
        <v>0</v>
      </c>
      <c r="AX6">
        <v>0</v>
      </c>
      <c r="AY6">
        <v>0</v>
      </c>
      <c r="AZ6">
        <v>0</v>
      </c>
      <c r="BA6">
        <v>0</v>
      </c>
      <c r="BB6" s="123"/>
      <c r="BC6" s="16"/>
    </row>
    <row r="7" spans="1:55" x14ac:dyDescent="0.25">
      <c r="A7" s="47">
        <v>29056</v>
      </c>
      <c r="B7" s="47">
        <v>128</v>
      </c>
      <c r="C7" s="47">
        <v>4</v>
      </c>
      <c r="F7">
        <v>2</v>
      </c>
      <c r="G7" t="s">
        <v>16</v>
      </c>
      <c r="H7">
        <v>29040</v>
      </c>
      <c r="I7">
        <v>88</v>
      </c>
      <c r="J7">
        <v>4</v>
      </c>
      <c r="K7">
        <v>4</v>
      </c>
      <c r="L7">
        <v>1814.96</v>
      </c>
      <c r="M7" s="16">
        <v>8.9962999999999997</v>
      </c>
      <c r="N7" s="27">
        <v>45404</v>
      </c>
      <c r="O7" s="31">
        <v>0.76884259259259258</v>
      </c>
      <c r="P7">
        <v>0</v>
      </c>
      <c r="Q7">
        <v>0</v>
      </c>
      <c r="R7">
        <v>0</v>
      </c>
      <c r="S7">
        <v>0</v>
      </c>
      <c r="T7">
        <v>0</v>
      </c>
      <c r="U7">
        <v>0</v>
      </c>
      <c r="V7">
        <v>0</v>
      </c>
      <c r="W7">
        <v>0</v>
      </c>
      <c r="X7">
        <v>0</v>
      </c>
      <c r="Y7">
        <v>0</v>
      </c>
      <c r="Z7">
        <v>0</v>
      </c>
      <c r="AA7">
        <v>0</v>
      </c>
      <c r="AB7" s="123"/>
      <c r="AC7" s="16"/>
      <c r="AD7" s="16"/>
      <c r="AE7" s="16"/>
      <c r="AF7">
        <v>2</v>
      </c>
      <c r="AG7" t="s">
        <v>16</v>
      </c>
      <c r="AH7">
        <v>29056</v>
      </c>
      <c r="AI7">
        <v>64</v>
      </c>
      <c r="AJ7">
        <v>2</v>
      </c>
      <c r="AK7">
        <v>8</v>
      </c>
      <c r="AL7">
        <v>1628.56</v>
      </c>
      <c r="AM7" s="16">
        <v>10.042999999999999</v>
      </c>
      <c r="AN7" s="27">
        <v>45404</v>
      </c>
      <c r="AO7" s="28">
        <v>0.87351851851851847</v>
      </c>
      <c r="AP7">
        <v>0</v>
      </c>
      <c r="AQ7">
        <v>0</v>
      </c>
      <c r="AR7">
        <v>0</v>
      </c>
      <c r="AS7">
        <v>0</v>
      </c>
      <c r="AT7">
        <v>0</v>
      </c>
      <c r="AU7">
        <v>0</v>
      </c>
      <c r="AV7">
        <v>0</v>
      </c>
      <c r="AW7">
        <v>0</v>
      </c>
      <c r="AX7">
        <v>0</v>
      </c>
      <c r="AY7">
        <v>0</v>
      </c>
      <c r="AZ7">
        <v>0</v>
      </c>
      <c r="BA7">
        <v>0</v>
      </c>
      <c r="BB7" s="123"/>
      <c r="BC7" s="16"/>
    </row>
    <row r="8" spans="1:55" x14ac:dyDescent="0.25">
      <c r="A8" s="47"/>
      <c r="B8" s="47">
        <v>96</v>
      </c>
      <c r="C8" s="47"/>
      <c r="F8">
        <v>3</v>
      </c>
      <c r="G8" t="s">
        <v>16</v>
      </c>
      <c r="H8">
        <v>29040</v>
      </c>
      <c r="I8">
        <v>88</v>
      </c>
      <c r="J8">
        <v>4</v>
      </c>
      <c r="K8">
        <v>4</v>
      </c>
      <c r="L8">
        <v>1815.16</v>
      </c>
      <c r="M8" s="16">
        <v>8.9954000000000001</v>
      </c>
      <c r="N8" s="27">
        <v>45404</v>
      </c>
      <c r="O8" s="31">
        <v>0.79023148148148148</v>
      </c>
      <c r="P8">
        <v>0</v>
      </c>
      <c r="Q8">
        <v>0</v>
      </c>
      <c r="R8">
        <v>0</v>
      </c>
      <c r="S8">
        <v>0</v>
      </c>
      <c r="T8">
        <v>0</v>
      </c>
      <c r="U8">
        <v>0</v>
      </c>
      <c r="V8">
        <v>0</v>
      </c>
      <c r="W8">
        <v>0</v>
      </c>
      <c r="X8">
        <v>0</v>
      </c>
      <c r="Y8">
        <v>0</v>
      </c>
      <c r="Z8">
        <v>0</v>
      </c>
      <c r="AA8">
        <v>0</v>
      </c>
      <c r="AB8" s="123"/>
      <c r="AC8" s="16"/>
      <c r="AD8" s="16"/>
      <c r="AE8" s="16"/>
      <c r="AF8">
        <v>3</v>
      </c>
      <c r="AG8" t="s">
        <v>16</v>
      </c>
      <c r="AH8">
        <v>29056</v>
      </c>
      <c r="AI8">
        <v>64</v>
      </c>
      <c r="AJ8">
        <v>2</v>
      </c>
      <c r="AK8">
        <v>8</v>
      </c>
      <c r="AL8">
        <v>1628.77</v>
      </c>
      <c r="AM8" s="16">
        <v>10.041</v>
      </c>
      <c r="AN8" s="27">
        <v>45404</v>
      </c>
      <c r="AO8" s="28">
        <v>0.8940393518518519</v>
      </c>
      <c r="AP8">
        <v>0</v>
      </c>
      <c r="AQ8">
        <v>0</v>
      </c>
      <c r="AR8">
        <v>0</v>
      </c>
      <c r="AS8">
        <v>0</v>
      </c>
      <c r="AT8">
        <v>0</v>
      </c>
      <c r="AU8">
        <v>0</v>
      </c>
      <c r="AV8">
        <v>0</v>
      </c>
      <c r="AW8">
        <v>0</v>
      </c>
      <c r="AX8">
        <v>0</v>
      </c>
      <c r="AY8">
        <v>0</v>
      </c>
      <c r="AZ8">
        <v>0</v>
      </c>
      <c r="BA8">
        <v>0</v>
      </c>
      <c r="BB8" s="123"/>
      <c r="BC8" s="16"/>
    </row>
    <row r="9" spans="1:55" x14ac:dyDescent="0.25">
      <c r="A9" s="47"/>
      <c r="B9" s="47">
        <v>224</v>
      </c>
      <c r="C9" s="47"/>
      <c r="F9">
        <v>4</v>
      </c>
      <c r="G9" t="s">
        <v>16</v>
      </c>
      <c r="H9">
        <v>29040</v>
      </c>
      <c r="I9">
        <v>88</v>
      </c>
      <c r="J9">
        <v>4</v>
      </c>
      <c r="K9">
        <v>4</v>
      </c>
      <c r="L9">
        <v>1815.28</v>
      </c>
      <c r="M9" s="16">
        <v>8.9947999999999997</v>
      </c>
      <c r="N9" s="27">
        <v>45404</v>
      </c>
      <c r="O9" s="31">
        <v>0.81162037037037038</v>
      </c>
      <c r="P9">
        <v>0</v>
      </c>
      <c r="Q9">
        <v>0</v>
      </c>
      <c r="R9">
        <v>0</v>
      </c>
      <c r="S9">
        <v>0</v>
      </c>
      <c r="T9">
        <v>0</v>
      </c>
      <c r="U9">
        <v>0</v>
      </c>
      <c r="V9">
        <v>0</v>
      </c>
      <c r="W9">
        <v>0</v>
      </c>
      <c r="X9">
        <v>0</v>
      </c>
      <c r="Y9">
        <v>0</v>
      </c>
      <c r="Z9">
        <v>0</v>
      </c>
      <c r="AA9">
        <v>0</v>
      </c>
      <c r="AB9" s="123"/>
      <c r="AC9" s="16"/>
      <c r="AD9" s="16"/>
      <c r="AE9" s="16"/>
      <c r="AF9">
        <v>4</v>
      </c>
      <c r="AG9" t="s">
        <v>16</v>
      </c>
      <c r="AH9">
        <v>29056</v>
      </c>
      <c r="AI9">
        <v>64</v>
      </c>
      <c r="AJ9">
        <v>2</v>
      </c>
      <c r="AK9">
        <v>8</v>
      </c>
      <c r="AL9">
        <v>1630.12</v>
      </c>
      <c r="AM9" s="16">
        <v>10.032999999999999</v>
      </c>
      <c r="AN9" s="27">
        <v>45404</v>
      </c>
      <c r="AO9" s="28">
        <v>0.91457175925925926</v>
      </c>
      <c r="AP9">
        <v>0</v>
      </c>
      <c r="AQ9">
        <v>0</v>
      </c>
      <c r="AR9">
        <v>0</v>
      </c>
      <c r="AS9">
        <v>0</v>
      </c>
      <c r="AT9">
        <v>0</v>
      </c>
      <c r="AU9">
        <v>0</v>
      </c>
      <c r="AV9">
        <v>0</v>
      </c>
      <c r="AW9">
        <v>0</v>
      </c>
      <c r="AX9">
        <v>0</v>
      </c>
      <c r="AY9">
        <v>0</v>
      </c>
      <c r="AZ9">
        <v>0</v>
      </c>
      <c r="BA9">
        <v>0</v>
      </c>
      <c r="BB9" s="123"/>
      <c r="BC9" s="16"/>
    </row>
    <row r="10" spans="1:55" x14ac:dyDescent="0.25">
      <c r="A10" s="47"/>
      <c r="B10" s="47">
        <v>256</v>
      </c>
      <c r="C10" s="47"/>
      <c r="AB10" s="123" t="e">
        <f>AVERAGE(M10:M14)</f>
        <v>#DIV/0!</v>
      </c>
      <c r="AC10" s="16"/>
      <c r="AD10" s="16"/>
      <c r="AE10" s="16"/>
      <c r="AN10" s="27"/>
      <c r="AO10" s="28"/>
      <c r="BC10" s="16"/>
    </row>
    <row r="11" spans="1:55" x14ac:dyDescent="0.25">
      <c r="A11" s="47"/>
      <c r="B11" s="48">
        <v>88</v>
      </c>
      <c r="C11" s="47"/>
      <c r="AB11" s="123"/>
      <c r="AC11" s="16"/>
      <c r="AD11" s="16"/>
      <c r="AE11" s="16"/>
      <c r="AN11" s="27"/>
      <c r="AO11" s="28"/>
      <c r="BC11" s="16"/>
    </row>
    <row r="12" spans="1:55" x14ac:dyDescent="0.25">
      <c r="A12" s="47"/>
      <c r="B12" s="48">
        <v>104</v>
      </c>
      <c r="C12" s="47"/>
      <c r="AB12" s="123"/>
      <c r="AC12" s="16"/>
      <c r="AD12" s="16"/>
      <c r="AE12" s="16"/>
      <c r="AN12" s="27"/>
      <c r="AO12" s="28"/>
      <c r="BC12" s="16"/>
    </row>
    <row r="13" spans="1:55" x14ac:dyDescent="0.25">
      <c r="A13" s="47"/>
      <c r="B13" s="48">
        <v>112</v>
      </c>
      <c r="C13" s="47"/>
      <c r="AB13" s="123"/>
      <c r="AC13" s="16"/>
      <c r="AD13" s="16"/>
      <c r="AE13" s="16"/>
      <c r="AN13" s="27"/>
      <c r="AO13" s="28"/>
      <c r="BC13" s="16"/>
    </row>
    <row r="14" spans="1:55" x14ac:dyDescent="0.25">
      <c r="A14" s="47"/>
      <c r="B14" s="48">
        <v>120</v>
      </c>
      <c r="C14" s="47"/>
      <c r="AB14" s="123"/>
      <c r="AC14" s="16"/>
      <c r="AD14" s="16"/>
      <c r="AE14" s="16"/>
      <c r="AN14" s="27"/>
      <c r="AO14" s="28"/>
      <c r="BC14" s="16"/>
    </row>
    <row r="15" spans="1:55" x14ac:dyDescent="0.25">
      <c r="AC15" s="16"/>
      <c r="AD15" s="16"/>
      <c r="AE15" s="16"/>
      <c r="AN15" s="27"/>
      <c r="AO15" s="28"/>
      <c r="BC15" s="16"/>
    </row>
    <row r="16" spans="1:55" x14ac:dyDescent="0.25">
      <c r="AC16" s="16"/>
      <c r="AD16" s="16"/>
      <c r="AE16" s="16"/>
      <c r="AN16" s="27"/>
      <c r="AO16" s="28"/>
      <c r="BC16" s="16"/>
    </row>
    <row r="17" spans="29:55" x14ac:dyDescent="0.25">
      <c r="AC17" s="16"/>
      <c r="AD17" s="16"/>
      <c r="AE17" s="16"/>
      <c r="AN17" s="27"/>
      <c r="AO17" s="28"/>
      <c r="BC17" s="16"/>
    </row>
    <row r="18" spans="29:55" x14ac:dyDescent="0.25">
      <c r="AC18" s="16"/>
      <c r="AD18" s="16"/>
      <c r="AE18" s="16"/>
      <c r="AN18" s="27"/>
      <c r="AO18" s="28"/>
      <c r="BC18" s="16"/>
    </row>
    <row r="19" spans="29:55" x14ac:dyDescent="0.25">
      <c r="AC19" s="16"/>
      <c r="AD19" s="16"/>
      <c r="AE19" s="16"/>
      <c r="AN19" s="27"/>
      <c r="AO19" s="28"/>
      <c r="BC19" s="16"/>
    </row>
    <row r="20" spans="29:55" x14ac:dyDescent="0.25">
      <c r="AC20" s="16"/>
      <c r="AD20" s="16"/>
      <c r="AE20" s="16"/>
      <c r="AN20" s="27"/>
      <c r="AO20" s="28"/>
      <c r="BC20" s="16"/>
    </row>
    <row r="21" spans="29:55" x14ac:dyDescent="0.25">
      <c r="AC21" s="16"/>
      <c r="AD21" s="16"/>
      <c r="AE21" s="16"/>
      <c r="AN21" s="27"/>
      <c r="AO21" s="28"/>
      <c r="BC21" s="16"/>
    </row>
    <row r="22" spans="29:55" x14ac:dyDescent="0.25">
      <c r="AC22" s="16"/>
      <c r="AD22" s="16"/>
      <c r="AE22" s="16"/>
      <c r="AN22" s="27"/>
      <c r="AO22" s="28"/>
      <c r="BC22" s="16"/>
    </row>
    <row r="23" spans="29:55" x14ac:dyDescent="0.25">
      <c r="AC23" s="16"/>
      <c r="AD23" s="16"/>
      <c r="AE23" s="16"/>
      <c r="AN23" s="27"/>
      <c r="AO23" s="28"/>
      <c r="BC23" s="16"/>
    </row>
    <row r="24" spans="29:55" x14ac:dyDescent="0.25">
      <c r="AC24" s="16"/>
      <c r="AD24" s="16"/>
      <c r="AE24" s="16"/>
      <c r="AN24" s="27"/>
      <c r="AO24" s="28"/>
      <c r="BC24" s="16"/>
    </row>
    <row r="25" spans="29:55" x14ac:dyDescent="0.25">
      <c r="AC25" s="16"/>
      <c r="AD25" s="16"/>
      <c r="AE25" s="16"/>
      <c r="AN25" s="27"/>
      <c r="AO25" s="28"/>
      <c r="BC25" s="16"/>
    </row>
    <row r="26" spans="29:55" x14ac:dyDescent="0.25">
      <c r="AC26" s="16"/>
      <c r="AD26" s="16"/>
      <c r="AE26" s="16"/>
      <c r="AN26" s="27"/>
      <c r="AO26" s="28"/>
      <c r="BC26" s="16"/>
    </row>
    <row r="27" spans="29:55" x14ac:dyDescent="0.25">
      <c r="AC27" s="16"/>
      <c r="AD27" s="16"/>
      <c r="AE27" s="16"/>
      <c r="AN27" s="27"/>
      <c r="AO27" s="28"/>
      <c r="BC27" s="16"/>
    </row>
    <row r="28" spans="29:55" x14ac:dyDescent="0.25">
      <c r="AC28" s="16"/>
      <c r="AD28" s="16"/>
      <c r="AE28" s="16"/>
      <c r="AN28" s="27"/>
      <c r="AO28" s="28"/>
      <c r="BC28" s="16"/>
    </row>
    <row r="29" spans="29:55" x14ac:dyDescent="0.25">
      <c r="AC29" s="16"/>
      <c r="AD29" s="16"/>
      <c r="AE29" s="16"/>
      <c r="AN29" s="27"/>
      <c r="AO29" s="28"/>
      <c r="BC29" s="16"/>
    </row>
    <row r="30" spans="29:55" x14ac:dyDescent="0.25">
      <c r="AC30" s="16"/>
      <c r="AD30" s="16"/>
      <c r="AE30" s="16"/>
      <c r="AN30" s="27"/>
      <c r="AO30" s="28"/>
      <c r="BC30" s="16"/>
    </row>
    <row r="31" spans="29:55" x14ac:dyDescent="0.25">
      <c r="AC31" s="16"/>
      <c r="AD31" s="16"/>
      <c r="AE31" s="16"/>
      <c r="AN31" s="27"/>
      <c r="AO31" s="28"/>
      <c r="BC31" s="16"/>
    </row>
    <row r="32" spans="29:55" x14ac:dyDescent="0.25">
      <c r="AC32" s="16"/>
      <c r="AD32" s="16"/>
      <c r="AE32" s="16"/>
      <c r="AN32" s="27"/>
      <c r="AO32" s="28"/>
      <c r="BC32" s="16"/>
    </row>
    <row r="33" spans="29:55" x14ac:dyDescent="0.25">
      <c r="AC33" s="16"/>
      <c r="AD33" s="16"/>
      <c r="AE33" s="16"/>
      <c r="AN33" s="27"/>
      <c r="AO33" s="28"/>
      <c r="BC33" s="16"/>
    </row>
    <row r="34" spans="29:55" x14ac:dyDescent="0.25">
      <c r="AC34" s="16"/>
      <c r="AD34" s="16"/>
      <c r="AE34" s="16"/>
      <c r="AN34" s="27"/>
      <c r="AO34" s="28"/>
      <c r="BC34" s="16"/>
    </row>
    <row r="35" spans="29:55" x14ac:dyDescent="0.25">
      <c r="AC35" s="16"/>
      <c r="AD35" s="16"/>
      <c r="AE35" s="16"/>
      <c r="AN35" s="27"/>
      <c r="AO35" s="28"/>
      <c r="BC35" s="16"/>
    </row>
    <row r="36" spans="29:55" x14ac:dyDescent="0.25">
      <c r="AC36" s="16"/>
      <c r="AD36" s="16"/>
      <c r="AE36" s="16"/>
      <c r="AN36" s="27"/>
      <c r="AO36" s="28"/>
      <c r="BC36" s="16"/>
    </row>
    <row r="37" spans="29:55" x14ac:dyDescent="0.25">
      <c r="AC37" s="16"/>
      <c r="AD37" s="16"/>
      <c r="AE37" s="16"/>
      <c r="AN37" s="27"/>
      <c r="AO37" s="28"/>
      <c r="BC37" s="16"/>
    </row>
    <row r="38" spans="29:55" x14ac:dyDescent="0.25">
      <c r="AC38" s="16"/>
      <c r="AD38" s="16"/>
      <c r="AE38" s="16"/>
      <c r="AN38" s="27"/>
      <c r="AO38" s="28"/>
      <c r="BC38" s="16"/>
    </row>
    <row r="39" spans="29:55" x14ac:dyDescent="0.25">
      <c r="AC39" s="16"/>
      <c r="AD39" s="16"/>
      <c r="AE39" s="16"/>
      <c r="AN39" s="27"/>
      <c r="AO39" s="28"/>
      <c r="BC39" s="16"/>
    </row>
    <row r="40" spans="29:55" x14ac:dyDescent="0.25">
      <c r="AC40" s="16"/>
      <c r="AD40" s="16"/>
      <c r="AE40" s="16"/>
      <c r="AN40" s="27"/>
      <c r="AO40" s="28"/>
      <c r="BC40" s="16"/>
    </row>
    <row r="41" spans="29:55" x14ac:dyDescent="0.25">
      <c r="AC41" s="16"/>
      <c r="AD41" s="16"/>
      <c r="AE41" s="16"/>
      <c r="AN41" s="27"/>
      <c r="AO41" s="28"/>
      <c r="BC41" s="16"/>
    </row>
    <row r="42" spans="29:55" x14ac:dyDescent="0.25">
      <c r="AC42" s="16"/>
      <c r="AD42" s="16"/>
      <c r="AE42" s="16"/>
      <c r="AN42" s="27"/>
      <c r="AO42" s="28"/>
      <c r="BC42" s="16"/>
    </row>
    <row r="43" spans="29:55" x14ac:dyDescent="0.25">
      <c r="AC43" s="16"/>
      <c r="AD43" s="16"/>
      <c r="AE43" s="16"/>
      <c r="AN43" s="27"/>
      <c r="AO43" s="28"/>
      <c r="BC43" s="16"/>
    </row>
    <row r="44" spans="29:55" x14ac:dyDescent="0.25">
      <c r="AC44" s="16"/>
      <c r="AD44" s="16"/>
      <c r="AE44" s="16"/>
      <c r="AN44" s="27"/>
      <c r="AO44" s="28"/>
      <c r="BC44" s="16"/>
    </row>
    <row r="45" spans="29:55" x14ac:dyDescent="0.25">
      <c r="AC45" s="16"/>
      <c r="AD45" s="16"/>
      <c r="AE45" s="16"/>
      <c r="AN45" s="27"/>
      <c r="AO45" s="28"/>
      <c r="BC45" s="16"/>
    </row>
    <row r="46" spans="29:55" x14ac:dyDescent="0.25">
      <c r="AC46" s="16"/>
      <c r="AD46" s="16"/>
      <c r="AE46" s="16"/>
      <c r="AN46" s="27"/>
      <c r="AO46" s="28"/>
      <c r="BC46" s="16"/>
    </row>
    <row r="47" spans="29:55" x14ac:dyDescent="0.25">
      <c r="AC47" s="16"/>
      <c r="AD47" s="16"/>
      <c r="AE47" s="16"/>
      <c r="AN47" s="27"/>
      <c r="AO47" s="28"/>
      <c r="BC47" s="16"/>
    </row>
    <row r="48" spans="29:55" x14ac:dyDescent="0.25">
      <c r="AC48" s="16"/>
      <c r="AD48" s="16"/>
      <c r="AE48" s="16"/>
      <c r="AN48" s="27"/>
      <c r="AO48" s="28"/>
      <c r="BC48" s="16"/>
    </row>
    <row r="49" spans="29:55" x14ac:dyDescent="0.25">
      <c r="AC49" s="16"/>
      <c r="AD49" s="16"/>
      <c r="AE49" s="16"/>
      <c r="AN49" s="27"/>
      <c r="AO49" s="28"/>
      <c r="BC49" s="16"/>
    </row>
    <row r="50" spans="29:55" x14ac:dyDescent="0.25">
      <c r="AC50" s="16"/>
      <c r="AD50" s="16"/>
      <c r="AE50" s="16"/>
      <c r="AN50" s="27"/>
      <c r="AO50" s="28"/>
      <c r="BC50" s="16"/>
    </row>
    <row r="51" spans="29:55" x14ac:dyDescent="0.25">
      <c r="AC51" s="16"/>
      <c r="AD51" s="16"/>
      <c r="AE51" s="16"/>
      <c r="AN51" s="27"/>
      <c r="AO51" s="28"/>
      <c r="BC51" s="16"/>
    </row>
    <row r="52" spans="29:55" x14ac:dyDescent="0.25">
      <c r="AC52" s="16"/>
      <c r="AD52" s="16"/>
      <c r="AE52" s="16"/>
      <c r="AN52" s="27"/>
      <c r="AO52" s="28"/>
      <c r="BC52" s="16"/>
    </row>
    <row r="53" spans="29:55" x14ac:dyDescent="0.25">
      <c r="AC53" s="16"/>
      <c r="AD53" s="16"/>
      <c r="AE53" s="16"/>
      <c r="AN53" s="27"/>
      <c r="AO53" s="28"/>
      <c r="BC53" s="16"/>
    </row>
    <row r="54" spans="29:55" x14ac:dyDescent="0.25">
      <c r="AC54" s="16"/>
      <c r="AD54" s="16"/>
      <c r="AE54" s="16"/>
      <c r="AN54" s="27"/>
      <c r="AO54" s="28"/>
      <c r="BC54" s="16"/>
    </row>
    <row r="55" spans="29:55" x14ac:dyDescent="0.25">
      <c r="AC55" s="16"/>
      <c r="AD55" s="16"/>
      <c r="AE55" s="16"/>
      <c r="AN55" s="27"/>
      <c r="AO55" s="28"/>
      <c r="BC55" s="16"/>
    </row>
    <row r="56" spans="29:55" x14ac:dyDescent="0.25">
      <c r="AC56" s="16"/>
      <c r="AD56" s="16"/>
      <c r="AE56" s="16"/>
      <c r="AN56" s="27"/>
      <c r="AO56" s="28"/>
      <c r="BC56" s="16"/>
    </row>
    <row r="57" spans="29:55" x14ac:dyDescent="0.25">
      <c r="AC57" s="16"/>
      <c r="AD57" s="16"/>
      <c r="AE57" s="16"/>
      <c r="AN57" s="27"/>
      <c r="AO57" s="28"/>
      <c r="BC57" s="16"/>
    </row>
    <row r="58" spans="29:55" x14ac:dyDescent="0.25">
      <c r="AC58" s="16"/>
      <c r="AD58" s="16"/>
      <c r="AE58" s="16"/>
      <c r="AN58" s="27"/>
      <c r="AO58" s="28"/>
      <c r="BC58" s="16"/>
    </row>
    <row r="59" spans="29:55" x14ac:dyDescent="0.25">
      <c r="AC59" s="16"/>
      <c r="AD59" s="16"/>
      <c r="AE59" s="16"/>
      <c r="AN59" s="27"/>
      <c r="AO59" s="28"/>
      <c r="BC59" s="16"/>
    </row>
    <row r="60" spans="29:55" x14ac:dyDescent="0.25">
      <c r="AC60" s="16"/>
      <c r="AD60" s="16"/>
      <c r="AE60" s="16"/>
      <c r="AN60" s="27"/>
      <c r="AO60" s="28"/>
      <c r="BC60" s="16"/>
    </row>
    <row r="61" spans="29:55" x14ac:dyDescent="0.25">
      <c r="AC61" s="16"/>
      <c r="AD61" s="16"/>
      <c r="AE61" s="16"/>
      <c r="AN61" s="27"/>
      <c r="AO61" s="28"/>
      <c r="BC61" s="16"/>
    </row>
    <row r="62" spans="29:55" x14ac:dyDescent="0.25">
      <c r="AC62" s="16"/>
      <c r="AD62" s="16"/>
      <c r="AE62" s="16"/>
      <c r="AN62" s="27"/>
      <c r="AO62" s="28"/>
      <c r="BC62" s="16"/>
    </row>
    <row r="63" spans="29:55" x14ac:dyDescent="0.25">
      <c r="AC63" s="16"/>
      <c r="AD63" s="16"/>
      <c r="AE63" s="16"/>
      <c r="AN63" s="27"/>
      <c r="AO63" s="28"/>
      <c r="BC63" s="16"/>
    </row>
    <row r="64" spans="29:55" x14ac:dyDescent="0.25">
      <c r="AC64" s="16"/>
      <c r="AD64" s="16"/>
      <c r="AE64" s="16"/>
      <c r="AN64" s="27"/>
      <c r="AO64" s="28"/>
      <c r="BC64" s="16"/>
    </row>
    <row r="65" spans="29:55" x14ac:dyDescent="0.25">
      <c r="AC65" s="16"/>
      <c r="AD65" s="16"/>
      <c r="AE65" s="16"/>
      <c r="AN65" s="27"/>
      <c r="AO65" s="28"/>
      <c r="BC65" s="16"/>
    </row>
    <row r="66" spans="29:55" x14ac:dyDescent="0.25">
      <c r="AC66" s="16"/>
      <c r="AD66" s="16"/>
      <c r="AE66" s="16"/>
      <c r="AN66" s="27"/>
      <c r="AO66" s="28"/>
      <c r="BC66" s="16"/>
    </row>
    <row r="67" spans="29:55" x14ac:dyDescent="0.25">
      <c r="AC67" s="16"/>
      <c r="AD67" s="16"/>
      <c r="AE67" s="16"/>
      <c r="AN67" s="27"/>
      <c r="AO67" s="28"/>
      <c r="BC67" s="16"/>
    </row>
    <row r="68" spans="29:55" x14ac:dyDescent="0.25">
      <c r="AC68" s="16"/>
      <c r="AD68" s="16"/>
      <c r="AE68" s="16"/>
      <c r="AN68" s="27"/>
      <c r="AO68" s="28"/>
      <c r="BC68" s="16"/>
    </row>
    <row r="69" spans="29:55" x14ac:dyDescent="0.25">
      <c r="AC69" s="16"/>
      <c r="AD69" s="16"/>
      <c r="AE69" s="16"/>
      <c r="AN69" s="27"/>
      <c r="AO69" s="28"/>
      <c r="BC69" s="16"/>
    </row>
    <row r="70" spans="29:55" x14ac:dyDescent="0.25">
      <c r="AC70" s="16"/>
      <c r="AD70" s="16"/>
      <c r="AE70" s="16"/>
      <c r="AN70" s="27"/>
      <c r="AO70" s="28"/>
      <c r="BC70" s="16"/>
    </row>
    <row r="71" spans="29:55" x14ac:dyDescent="0.25">
      <c r="AC71" s="16"/>
      <c r="AD71" s="16"/>
      <c r="AE71" s="16"/>
      <c r="AN71" s="27"/>
      <c r="AO71" s="28"/>
      <c r="BC71" s="16"/>
    </row>
    <row r="72" spans="29:55" x14ac:dyDescent="0.25">
      <c r="AC72" s="16"/>
      <c r="AD72" s="16"/>
      <c r="AE72" s="16"/>
      <c r="AN72" s="27"/>
      <c r="AO72" s="28"/>
      <c r="BC72" s="16"/>
    </row>
    <row r="73" spans="29:55" x14ac:dyDescent="0.25">
      <c r="AC73" s="16"/>
      <c r="AD73" s="16"/>
      <c r="AE73" s="16"/>
      <c r="AN73" s="27"/>
      <c r="AO73" s="28"/>
      <c r="BC73" s="16"/>
    </row>
    <row r="74" spans="29:55" x14ac:dyDescent="0.25">
      <c r="AC74" s="16"/>
      <c r="AD74" s="16"/>
      <c r="AE74" s="16"/>
      <c r="AN74" s="27"/>
      <c r="AO74" s="28"/>
      <c r="BC74" s="16"/>
    </row>
    <row r="75" spans="29:55" x14ac:dyDescent="0.25">
      <c r="AC75" s="16"/>
      <c r="AD75" s="16"/>
      <c r="AE75" s="16"/>
      <c r="AN75" s="27"/>
      <c r="AO75" s="28"/>
      <c r="BC75" s="16"/>
    </row>
    <row r="76" spans="29:55" x14ac:dyDescent="0.25">
      <c r="AC76" s="16"/>
      <c r="AD76" s="16"/>
      <c r="AE76" s="16"/>
      <c r="AN76" s="27"/>
      <c r="AO76" s="28"/>
      <c r="BC76" s="16"/>
    </row>
    <row r="77" spans="29:55" x14ac:dyDescent="0.25">
      <c r="AC77" s="16"/>
      <c r="AD77" s="16"/>
      <c r="AE77" s="16"/>
      <c r="AN77" s="27"/>
      <c r="AO77" s="28"/>
      <c r="BC77" s="16"/>
    </row>
    <row r="78" spans="29:55" x14ac:dyDescent="0.25">
      <c r="AC78" s="16"/>
      <c r="AD78" s="16"/>
      <c r="AE78" s="16"/>
      <c r="AN78" s="27"/>
      <c r="AO78" s="28"/>
      <c r="BC78" s="16"/>
    </row>
    <row r="79" spans="29:55" x14ac:dyDescent="0.25">
      <c r="AC79" s="16"/>
      <c r="AD79" s="16"/>
      <c r="AE79" s="16"/>
      <c r="AN79" s="27"/>
      <c r="AO79" s="28"/>
      <c r="BC79" s="16"/>
    </row>
    <row r="80" spans="29:55" x14ac:dyDescent="0.25">
      <c r="AC80" s="16"/>
      <c r="AD80" s="16"/>
      <c r="AE80" s="16"/>
      <c r="AN80" s="27"/>
      <c r="AO80" s="28"/>
      <c r="BC80" s="16"/>
    </row>
    <row r="81" spans="29:55" x14ac:dyDescent="0.25">
      <c r="AC81" s="16"/>
      <c r="AD81" s="16"/>
      <c r="AE81" s="16"/>
      <c r="AN81" s="27"/>
      <c r="AO81" s="28"/>
      <c r="BC81" s="16"/>
    </row>
    <row r="82" spans="29:55" x14ac:dyDescent="0.25">
      <c r="AC82" s="16"/>
      <c r="AD82" s="16"/>
      <c r="AE82" s="16"/>
      <c r="AN82" s="27"/>
      <c r="AO82" s="28"/>
      <c r="BC82" s="16"/>
    </row>
    <row r="83" spans="29:55" x14ac:dyDescent="0.25">
      <c r="AC83" s="16"/>
      <c r="AD83" s="16"/>
      <c r="AE83" s="16"/>
      <c r="AN83" s="27"/>
      <c r="AO83" s="28"/>
      <c r="BC83" s="16"/>
    </row>
    <row r="84" spans="29:55" x14ac:dyDescent="0.25">
      <c r="AC84" s="16"/>
      <c r="AD84" s="16"/>
      <c r="AE84" s="16"/>
      <c r="AN84" s="27"/>
      <c r="AO84" s="28"/>
      <c r="BC84" s="16"/>
    </row>
    <row r="85" spans="29:55" x14ac:dyDescent="0.25">
      <c r="AC85" s="16"/>
      <c r="AD85" s="16"/>
      <c r="AE85" s="16"/>
      <c r="AN85" s="27"/>
      <c r="AO85" s="28"/>
      <c r="BC85" s="16"/>
    </row>
    <row r="86" spans="29:55" x14ac:dyDescent="0.25">
      <c r="AC86" s="16"/>
      <c r="AD86" s="16"/>
      <c r="AE86" s="16"/>
      <c r="AN86" s="27"/>
      <c r="AO86" s="28"/>
      <c r="BC86" s="16"/>
    </row>
    <row r="87" spans="29:55" x14ac:dyDescent="0.25">
      <c r="AC87" s="16"/>
      <c r="AD87" s="16"/>
      <c r="AE87" s="16"/>
      <c r="AN87" s="27"/>
      <c r="AO87" s="28"/>
      <c r="BC87" s="16"/>
    </row>
    <row r="88" spans="29:55" x14ac:dyDescent="0.25">
      <c r="AC88" s="16"/>
      <c r="AD88" s="16"/>
      <c r="AE88" s="16"/>
      <c r="AN88" s="27"/>
      <c r="AO88" s="28"/>
      <c r="BC88" s="16"/>
    </row>
    <row r="89" spans="29:55" x14ac:dyDescent="0.25">
      <c r="AC89" s="16"/>
      <c r="AD89" s="16"/>
      <c r="AE89" s="16"/>
      <c r="AN89" s="27"/>
      <c r="AO89" s="28"/>
      <c r="BC89" s="16"/>
    </row>
    <row r="90" spans="29:55" x14ac:dyDescent="0.25">
      <c r="AC90" s="16"/>
      <c r="AD90" s="16"/>
      <c r="AE90" s="16"/>
      <c r="AN90" s="27"/>
      <c r="AO90" s="28"/>
      <c r="BC90" s="16"/>
    </row>
    <row r="91" spans="29:55" x14ac:dyDescent="0.25">
      <c r="AC91" s="16"/>
      <c r="AD91" s="16"/>
      <c r="AE91" s="16"/>
      <c r="AN91" s="27"/>
      <c r="AO91" s="28"/>
      <c r="BC91" s="16"/>
    </row>
    <row r="92" spans="29:55" x14ac:dyDescent="0.25">
      <c r="AC92" s="16"/>
      <c r="AD92" s="16"/>
      <c r="AE92" s="16"/>
      <c r="AN92" s="27"/>
      <c r="AO92" s="28"/>
      <c r="BC92" s="16"/>
    </row>
    <row r="93" spans="29:55" x14ac:dyDescent="0.25">
      <c r="AC93" s="16"/>
      <c r="AD93" s="16"/>
      <c r="AE93" s="16"/>
      <c r="AN93" s="27"/>
      <c r="AO93" s="28"/>
      <c r="BC93" s="16"/>
    </row>
    <row r="94" spans="29:55" x14ac:dyDescent="0.25">
      <c r="AC94" s="16"/>
      <c r="AD94" s="16"/>
      <c r="AE94" s="16"/>
      <c r="AN94" s="27"/>
      <c r="AO94" s="28"/>
      <c r="BC94" s="16"/>
    </row>
    <row r="95" spans="29:55" x14ac:dyDescent="0.25">
      <c r="AC95" s="16"/>
      <c r="AD95" s="16"/>
      <c r="AE95" s="16"/>
      <c r="AN95" s="27"/>
      <c r="AO95" s="28"/>
      <c r="BC95" s="16"/>
    </row>
    <row r="96" spans="29:55" x14ac:dyDescent="0.25">
      <c r="AC96" s="16"/>
      <c r="AD96" s="16"/>
      <c r="AE96" s="16"/>
      <c r="AN96" s="27"/>
      <c r="AO96" s="28"/>
      <c r="BC96" s="16"/>
    </row>
    <row r="97" spans="29:55" x14ac:dyDescent="0.25">
      <c r="AC97" s="16"/>
      <c r="AD97" s="16"/>
      <c r="AE97" s="16"/>
      <c r="AN97" s="27"/>
      <c r="AO97" s="28"/>
      <c r="BC97" s="16"/>
    </row>
    <row r="98" spans="29:55" x14ac:dyDescent="0.25">
      <c r="AC98" s="16"/>
      <c r="AD98" s="16"/>
      <c r="AE98" s="16"/>
      <c r="AN98" s="27"/>
      <c r="AO98" s="28"/>
      <c r="BC98" s="16"/>
    </row>
    <row r="99" spans="29:55" x14ac:dyDescent="0.25">
      <c r="AC99" s="16"/>
      <c r="AD99" s="16"/>
      <c r="AE99" s="16"/>
      <c r="AN99" s="27"/>
      <c r="AO99" s="28"/>
      <c r="BC99" s="16"/>
    </row>
    <row r="100" spans="29:55" x14ac:dyDescent="0.25">
      <c r="AC100" s="16"/>
      <c r="AD100" s="16"/>
      <c r="AE100" s="16"/>
      <c r="AN100" s="27"/>
      <c r="AO100" s="28"/>
      <c r="BC100" s="16"/>
    </row>
    <row r="101" spans="29:55" x14ac:dyDescent="0.25">
      <c r="AC101" s="16"/>
      <c r="AD101" s="16"/>
      <c r="AE101" s="16"/>
      <c r="AN101" s="27"/>
      <c r="AO101" s="28"/>
      <c r="BC101" s="16"/>
    </row>
    <row r="102" spans="29:55" x14ac:dyDescent="0.25">
      <c r="AC102" s="16"/>
      <c r="AD102" s="16"/>
      <c r="AE102" s="16"/>
      <c r="AN102" s="27"/>
      <c r="AO102" s="28"/>
      <c r="BC102" s="16"/>
    </row>
    <row r="103" spans="29:55" x14ac:dyDescent="0.25">
      <c r="AC103" s="16"/>
      <c r="AD103" s="16"/>
      <c r="AE103" s="16"/>
      <c r="AN103" s="27"/>
      <c r="AO103" s="28"/>
      <c r="BC103" s="16"/>
    </row>
    <row r="104" spans="29:55" x14ac:dyDescent="0.25">
      <c r="AC104" s="16"/>
      <c r="AD104" s="16"/>
      <c r="AE104" s="16"/>
      <c r="AN104" s="27"/>
      <c r="AO104" s="28"/>
      <c r="BC104" s="16"/>
    </row>
    <row r="105" spans="29:55" x14ac:dyDescent="0.25">
      <c r="AC105" s="16"/>
      <c r="AD105" s="16"/>
      <c r="AE105" s="16"/>
      <c r="AN105" s="27"/>
      <c r="AO105" s="28"/>
      <c r="BC105" s="16"/>
    </row>
    <row r="106" spans="29:55" x14ac:dyDescent="0.25">
      <c r="AC106" s="16"/>
      <c r="AD106" s="16"/>
      <c r="AE106" s="16"/>
      <c r="AN106" s="27"/>
      <c r="AO106" s="28"/>
      <c r="BC106" s="16"/>
    </row>
    <row r="107" spans="29:55" x14ac:dyDescent="0.25">
      <c r="AC107" s="16"/>
      <c r="AD107" s="16"/>
      <c r="AE107" s="16"/>
      <c r="AN107" s="27"/>
      <c r="AO107" s="28"/>
      <c r="BC107" s="16"/>
    </row>
    <row r="108" spans="29:55" x14ac:dyDescent="0.25">
      <c r="AC108" s="16"/>
      <c r="AD108" s="16"/>
      <c r="AE108" s="16"/>
      <c r="AN108" s="27"/>
      <c r="AO108" s="28"/>
      <c r="BC108" s="16"/>
    </row>
    <row r="109" spans="29:55" x14ac:dyDescent="0.25">
      <c r="AC109" s="16"/>
      <c r="AD109" s="16"/>
      <c r="AE109" s="16"/>
      <c r="AN109" s="27"/>
      <c r="AO109" s="28"/>
      <c r="BC109" s="16"/>
    </row>
    <row r="110" spans="29:55" x14ac:dyDescent="0.25">
      <c r="AC110" s="16"/>
      <c r="AD110" s="16"/>
      <c r="AE110" s="16"/>
      <c r="AN110" s="27"/>
      <c r="AO110" s="28"/>
      <c r="BC110" s="16"/>
    </row>
    <row r="111" spans="29:55" x14ac:dyDescent="0.25">
      <c r="AC111" s="16"/>
      <c r="AD111" s="16"/>
      <c r="AE111" s="16"/>
      <c r="AN111" s="27"/>
      <c r="AO111" s="28"/>
      <c r="BC111" s="16"/>
    </row>
    <row r="112" spans="29:55" x14ac:dyDescent="0.25">
      <c r="AC112" s="16"/>
      <c r="AD112" s="16"/>
      <c r="AE112" s="16"/>
      <c r="AN112" s="27"/>
      <c r="AO112" s="28"/>
      <c r="BC112" s="16"/>
    </row>
    <row r="113" spans="29:55" x14ac:dyDescent="0.25">
      <c r="AC113" s="16"/>
      <c r="AD113" s="16"/>
      <c r="AE113" s="16"/>
      <c r="AN113" s="27"/>
      <c r="AO113" s="28"/>
      <c r="BC113" s="16"/>
    </row>
    <row r="114" spans="29:55" x14ac:dyDescent="0.25">
      <c r="AC114" s="16"/>
      <c r="AD114" s="16"/>
      <c r="AE114" s="16"/>
      <c r="AN114" s="27"/>
      <c r="AO114" s="28"/>
      <c r="BC114" s="16"/>
    </row>
    <row r="115" spans="29:55" x14ac:dyDescent="0.25">
      <c r="AC115" s="16"/>
      <c r="AD115" s="16"/>
      <c r="AE115" s="16"/>
      <c r="AN115" s="27"/>
      <c r="AO115" s="28"/>
      <c r="BC115" s="16"/>
    </row>
    <row r="116" spans="29:55" x14ac:dyDescent="0.25">
      <c r="AC116" s="16"/>
      <c r="AD116" s="16"/>
      <c r="AE116" s="16"/>
      <c r="AN116" s="27"/>
      <c r="AO116" s="28"/>
      <c r="BC116" s="16"/>
    </row>
    <row r="117" spans="29:55" x14ac:dyDescent="0.25">
      <c r="AC117" s="16"/>
      <c r="AD117" s="16"/>
      <c r="AE117" s="16"/>
      <c r="AN117" s="27"/>
      <c r="AO117" s="28"/>
      <c r="BC117" s="16"/>
    </row>
    <row r="118" spans="29:55" x14ac:dyDescent="0.25">
      <c r="AC118" s="16"/>
      <c r="AD118" s="16"/>
      <c r="AE118" s="16"/>
      <c r="AN118" s="27"/>
      <c r="AO118" s="28"/>
      <c r="BC118" s="16"/>
    </row>
    <row r="119" spans="29:55" x14ac:dyDescent="0.25">
      <c r="AC119" s="16"/>
      <c r="AD119" s="16"/>
      <c r="AE119" s="16"/>
      <c r="AN119" s="27"/>
      <c r="AO119" s="28"/>
      <c r="BC119" s="16"/>
    </row>
    <row r="120" spans="29:55" x14ac:dyDescent="0.25">
      <c r="AC120" s="16"/>
      <c r="AD120" s="16"/>
      <c r="AE120" s="16"/>
      <c r="AN120" s="27"/>
      <c r="AO120" s="28"/>
      <c r="BC120" s="16"/>
    </row>
    <row r="121" spans="29:55" x14ac:dyDescent="0.25">
      <c r="AC121" s="16"/>
      <c r="AD121" s="16"/>
      <c r="AE121" s="16"/>
      <c r="AN121" s="27"/>
      <c r="AO121" s="28"/>
      <c r="BC121" s="16"/>
    </row>
    <row r="122" spans="29:55" x14ac:dyDescent="0.25">
      <c r="AC122" s="16"/>
      <c r="AD122" s="16"/>
      <c r="AE122" s="16"/>
      <c r="AN122" s="27"/>
      <c r="AO122" s="28"/>
      <c r="BC122" s="16"/>
    </row>
    <row r="123" spans="29:55" x14ac:dyDescent="0.25">
      <c r="AC123" s="16"/>
      <c r="AD123" s="16"/>
      <c r="AE123" s="16"/>
      <c r="AN123" s="27"/>
      <c r="AO123" s="28"/>
      <c r="BC123" s="16"/>
    </row>
    <row r="124" spans="29:55" x14ac:dyDescent="0.25">
      <c r="AC124" s="16"/>
      <c r="AD124" s="16"/>
      <c r="AE124" s="16"/>
      <c r="AN124" s="27"/>
      <c r="AO124" s="28"/>
      <c r="BC124" s="16"/>
    </row>
    <row r="125" spans="29:55" x14ac:dyDescent="0.25">
      <c r="AC125" s="16"/>
      <c r="AD125" s="16"/>
      <c r="AE125" s="16"/>
      <c r="AN125" s="27"/>
      <c r="AO125" s="28"/>
      <c r="BC125" s="16"/>
    </row>
    <row r="126" spans="29:55" x14ac:dyDescent="0.25">
      <c r="AC126" s="16"/>
      <c r="AD126" s="16"/>
      <c r="AE126" s="16"/>
      <c r="AN126" s="27"/>
      <c r="AO126" s="28"/>
      <c r="BC126" s="16"/>
    </row>
    <row r="127" spans="29:55" x14ac:dyDescent="0.25">
      <c r="AC127" s="16"/>
      <c r="AD127" s="16"/>
      <c r="AE127" s="16"/>
      <c r="AN127" s="27"/>
      <c r="AO127" s="28"/>
      <c r="BC127" s="16"/>
    </row>
    <row r="128" spans="29:55" x14ac:dyDescent="0.25">
      <c r="AC128" s="16"/>
      <c r="AD128" s="16"/>
      <c r="AE128" s="16"/>
      <c r="AN128" s="27"/>
      <c r="AO128" s="28"/>
      <c r="BC128" s="16"/>
    </row>
    <row r="129" spans="29:55" x14ac:dyDescent="0.25">
      <c r="AC129" s="16"/>
      <c r="AD129" s="16"/>
      <c r="AE129" s="16"/>
      <c r="AN129" s="27"/>
      <c r="AO129" s="28"/>
      <c r="BC129" s="16"/>
    </row>
    <row r="130" spans="29:55" x14ac:dyDescent="0.25">
      <c r="AC130" s="16"/>
      <c r="AD130" s="16"/>
      <c r="AE130" s="16"/>
      <c r="AN130" s="27"/>
      <c r="AO130" s="28"/>
      <c r="BC130" s="16"/>
    </row>
    <row r="131" spans="29:55" x14ac:dyDescent="0.25">
      <c r="AC131" s="16"/>
      <c r="AD131" s="16"/>
      <c r="AE131" s="16"/>
      <c r="AN131" s="27"/>
      <c r="AO131" s="28"/>
      <c r="BC131" s="16"/>
    </row>
    <row r="132" spans="29:55" x14ac:dyDescent="0.25">
      <c r="AC132" s="16"/>
      <c r="AD132" s="16"/>
      <c r="AE132" s="16"/>
      <c r="AN132" s="27"/>
      <c r="AO132" s="28"/>
      <c r="BC132" s="16"/>
    </row>
    <row r="133" spans="29:55" x14ac:dyDescent="0.25">
      <c r="AC133" s="16"/>
      <c r="AD133" s="16"/>
      <c r="AE133" s="16"/>
      <c r="AN133" s="27"/>
      <c r="AO133" s="28"/>
      <c r="BC133" s="16"/>
    </row>
    <row r="134" spans="29:55" x14ac:dyDescent="0.25">
      <c r="AC134" s="16"/>
      <c r="AD134" s="16"/>
      <c r="AE134" s="16"/>
      <c r="AN134" s="27"/>
      <c r="AO134" s="28"/>
      <c r="BC134" s="16"/>
    </row>
    <row r="135" spans="29:55" x14ac:dyDescent="0.25">
      <c r="AC135" s="16"/>
      <c r="AD135" s="16"/>
      <c r="AE135" s="16"/>
      <c r="AN135" s="27"/>
      <c r="AO135" s="28"/>
      <c r="BC135" s="16"/>
    </row>
    <row r="136" spans="29:55" x14ac:dyDescent="0.25">
      <c r="AC136" s="16"/>
      <c r="AD136" s="16"/>
      <c r="AE136" s="16"/>
      <c r="AN136" s="27"/>
      <c r="AO136" s="28"/>
      <c r="BC136" s="16"/>
    </row>
    <row r="137" spans="29:55" x14ac:dyDescent="0.25">
      <c r="AC137" s="16"/>
      <c r="AD137" s="16"/>
      <c r="AE137" s="16"/>
      <c r="AN137" s="27"/>
      <c r="AO137" s="28"/>
      <c r="BC137" s="16"/>
    </row>
    <row r="138" spans="29:55" x14ac:dyDescent="0.25">
      <c r="AC138" s="16"/>
      <c r="AD138" s="16"/>
      <c r="AE138" s="16"/>
      <c r="AN138" s="27"/>
      <c r="AO138" s="28"/>
      <c r="BC138" s="16"/>
    </row>
    <row r="139" spans="29:55" x14ac:dyDescent="0.25">
      <c r="AC139" s="16"/>
      <c r="AD139" s="16"/>
      <c r="AE139" s="16"/>
      <c r="AN139" s="27"/>
      <c r="AO139" s="28"/>
      <c r="BC139" s="16"/>
    </row>
    <row r="140" spans="29:55" x14ac:dyDescent="0.25">
      <c r="AC140" s="16"/>
      <c r="AD140" s="16"/>
      <c r="AE140" s="16"/>
      <c r="AN140" s="27"/>
      <c r="AO140" s="28"/>
      <c r="BC140" s="16"/>
    </row>
    <row r="141" spans="29:55" x14ac:dyDescent="0.25">
      <c r="AC141" s="16"/>
      <c r="AD141" s="16"/>
      <c r="AE141" s="16"/>
      <c r="AN141" s="27"/>
      <c r="AO141" s="28"/>
      <c r="BC141" s="16"/>
    </row>
    <row r="142" spans="29:55" x14ac:dyDescent="0.25">
      <c r="AC142" s="16"/>
      <c r="AD142" s="16"/>
      <c r="AE142" s="16"/>
      <c r="AN142" s="27"/>
      <c r="AO142" s="28"/>
      <c r="BC142" s="16"/>
    </row>
    <row r="143" spans="29:55" x14ac:dyDescent="0.25">
      <c r="AC143" s="16"/>
      <c r="AD143" s="16"/>
      <c r="AE143" s="16"/>
      <c r="AN143" s="27"/>
      <c r="AO143" s="28"/>
      <c r="BC143" s="16"/>
    </row>
    <row r="144" spans="29:55" x14ac:dyDescent="0.25">
      <c r="AC144" s="16"/>
      <c r="AD144" s="16"/>
      <c r="AE144" s="16"/>
      <c r="AN144" s="27"/>
      <c r="AO144" s="28"/>
      <c r="BC144" s="16"/>
    </row>
    <row r="145" spans="29:55" x14ac:dyDescent="0.25">
      <c r="AC145" s="16"/>
      <c r="AD145" s="16"/>
      <c r="AE145" s="16"/>
      <c r="AN145" s="27"/>
      <c r="AO145" s="28"/>
      <c r="BC145" s="16"/>
    </row>
    <row r="146" spans="29:55" x14ac:dyDescent="0.25">
      <c r="AC146" s="16"/>
      <c r="AD146" s="16"/>
      <c r="AE146" s="16"/>
      <c r="AN146" s="27"/>
      <c r="AO146" s="28"/>
      <c r="BC146" s="16"/>
    </row>
    <row r="147" spans="29:55" x14ac:dyDescent="0.25">
      <c r="AC147" s="16"/>
      <c r="AD147" s="16"/>
      <c r="AE147" s="16"/>
      <c r="AN147" s="27"/>
      <c r="AO147" s="28"/>
      <c r="BC147" s="16"/>
    </row>
    <row r="148" spans="29:55" x14ac:dyDescent="0.25">
      <c r="AC148" s="16"/>
      <c r="AD148" s="16"/>
      <c r="AE148" s="16"/>
      <c r="AN148" s="27"/>
      <c r="AO148" s="28"/>
      <c r="BC148" s="16"/>
    </row>
    <row r="149" spans="29:55" x14ac:dyDescent="0.25">
      <c r="AC149" s="16"/>
      <c r="AD149" s="16"/>
      <c r="AE149" s="16"/>
      <c r="AN149" s="27"/>
      <c r="AO149" s="28"/>
      <c r="BC149" s="16"/>
    </row>
    <row r="150" spans="29:55" x14ac:dyDescent="0.25">
      <c r="AC150" s="16"/>
      <c r="AD150" s="16"/>
      <c r="AE150" s="16"/>
      <c r="AN150" s="27"/>
      <c r="AO150" s="28"/>
      <c r="BC150" s="16"/>
    </row>
    <row r="151" spans="29:55" x14ac:dyDescent="0.25">
      <c r="AC151" s="16"/>
      <c r="AD151" s="16"/>
      <c r="AE151" s="16"/>
      <c r="AN151" s="27"/>
      <c r="AO151" s="28"/>
      <c r="BC151" s="16"/>
    </row>
    <row r="152" spans="29:55" x14ac:dyDescent="0.25">
      <c r="AC152" s="16"/>
      <c r="AD152" s="16"/>
      <c r="AE152" s="16"/>
      <c r="AN152" s="27"/>
      <c r="AO152" s="28"/>
      <c r="BC152" s="16"/>
    </row>
    <row r="153" spans="29:55" x14ac:dyDescent="0.25">
      <c r="AC153" s="16"/>
      <c r="AD153" s="16"/>
      <c r="AE153" s="16"/>
      <c r="AN153" s="27"/>
      <c r="AO153" s="28"/>
      <c r="BC153" s="16"/>
    </row>
    <row r="154" spans="29:55" x14ac:dyDescent="0.25">
      <c r="AC154" s="16"/>
      <c r="AD154" s="16"/>
      <c r="AE154" s="16"/>
      <c r="AN154" s="27"/>
      <c r="AO154" s="28"/>
      <c r="BC154" s="16"/>
    </row>
    <row r="155" spans="29:55" x14ac:dyDescent="0.25">
      <c r="AC155" s="16"/>
      <c r="AD155" s="16"/>
      <c r="AE155" s="16"/>
      <c r="AN155" s="27"/>
      <c r="AO155" s="28"/>
      <c r="BC155" s="16"/>
    </row>
    <row r="156" spans="29:55" x14ac:dyDescent="0.25">
      <c r="AC156" s="16"/>
      <c r="AD156" s="16"/>
      <c r="AE156" s="16"/>
      <c r="AN156" s="27"/>
      <c r="AO156" s="28"/>
      <c r="BC156" s="16"/>
    </row>
    <row r="157" spans="29:55" x14ac:dyDescent="0.25">
      <c r="AC157" s="16"/>
      <c r="AD157" s="16"/>
      <c r="AE157" s="16"/>
      <c r="AN157" s="27"/>
      <c r="AO157" s="28"/>
      <c r="BC157" s="16"/>
    </row>
    <row r="158" spans="29:55" x14ac:dyDescent="0.25">
      <c r="AC158" s="16"/>
      <c r="AD158" s="16"/>
      <c r="AE158" s="16"/>
      <c r="AN158" s="27"/>
      <c r="AO158" s="28"/>
      <c r="BC158" s="16"/>
    </row>
    <row r="159" spans="29:55" x14ac:dyDescent="0.25">
      <c r="AC159" s="16"/>
      <c r="AD159" s="16"/>
      <c r="AE159" s="16"/>
      <c r="AN159" s="27"/>
      <c r="AO159" s="28"/>
      <c r="BC159" s="16"/>
    </row>
    <row r="160" spans="29:55" x14ac:dyDescent="0.25">
      <c r="AC160" s="16"/>
      <c r="AD160" s="16"/>
      <c r="AE160" s="16"/>
      <c r="AN160" s="27"/>
      <c r="AO160" s="28"/>
      <c r="BC160" s="16"/>
    </row>
    <row r="161" spans="29:55" x14ac:dyDescent="0.25">
      <c r="AC161" s="16"/>
      <c r="AD161" s="16"/>
      <c r="AE161" s="16"/>
      <c r="AN161" s="27"/>
      <c r="AO161" s="28"/>
      <c r="BC161" s="16"/>
    </row>
    <row r="162" spans="29:55" x14ac:dyDescent="0.25">
      <c r="AC162" s="16"/>
      <c r="AD162" s="16"/>
      <c r="AE162" s="16"/>
      <c r="AN162" s="27"/>
      <c r="AO162" s="28"/>
      <c r="BC162" s="16"/>
    </row>
    <row r="163" spans="29:55" x14ac:dyDescent="0.25">
      <c r="AC163" s="16"/>
      <c r="AD163" s="16"/>
      <c r="AE163" s="16"/>
      <c r="AN163" s="27"/>
      <c r="AO163" s="28"/>
      <c r="BC163" s="16"/>
    </row>
    <row r="164" spans="29:55" x14ac:dyDescent="0.25">
      <c r="AC164" s="16"/>
      <c r="AD164" s="16"/>
      <c r="AE164" s="16"/>
      <c r="AN164" s="27"/>
      <c r="AO164" s="28"/>
      <c r="BC164" s="16"/>
    </row>
    <row r="165" spans="29:55" x14ac:dyDescent="0.25">
      <c r="AC165" s="16"/>
      <c r="AD165" s="16"/>
      <c r="AE165" s="16"/>
      <c r="AN165" s="27"/>
      <c r="AO165" s="28"/>
      <c r="BC165" s="16"/>
    </row>
    <row r="166" spans="29:55" x14ac:dyDescent="0.25">
      <c r="AC166" s="16"/>
      <c r="AD166" s="16"/>
      <c r="AE166" s="16"/>
      <c r="AN166" s="27"/>
      <c r="AO166" s="28"/>
      <c r="BC166" s="16"/>
    </row>
    <row r="167" spans="29:55" x14ac:dyDescent="0.25">
      <c r="AC167" s="16"/>
      <c r="AD167" s="16"/>
      <c r="AE167" s="16"/>
      <c r="AN167" s="27"/>
      <c r="AO167" s="28"/>
      <c r="BC167" s="16"/>
    </row>
    <row r="168" spans="29:55" x14ac:dyDescent="0.25">
      <c r="AC168" s="16"/>
      <c r="AD168" s="16"/>
      <c r="AE168" s="16"/>
      <c r="AN168" s="27"/>
      <c r="AO168" s="28"/>
      <c r="BC168" s="16"/>
    </row>
    <row r="169" spans="29:55" x14ac:dyDescent="0.25">
      <c r="AC169" s="16"/>
      <c r="AD169" s="16"/>
      <c r="AE169" s="16"/>
      <c r="AN169" s="27"/>
      <c r="AO169" s="28"/>
      <c r="BC169" s="16"/>
    </row>
    <row r="170" spans="29:55" x14ac:dyDescent="0.25">
      <c r="AC170" s="16"/>
      <c r="AD170" s="16"/>
      <c r="AE170" s="16"/>
      <c r="AN170" s="27"/>
      <c r="AO170" s="28"/>
      <c r="BC170" s="16"/>
    </row>
    <row r="171" spans="29:55" x14ac:dyDescent="0.25">
      <c r="AC171" s="16"/>
      <c r="AD171" s="16"/>
      <c r="AE171" s="16"/>
      <c r="AN171" s="27"/>
      <c r="AO171" s="28"/>
      <c r="BC171" s="16"/>
    </row>
    <row r="172" spans="29:55" x14ac:dyDescent="0.25">
      <c r="AC172" s="16"/>
      <c r="AD172" s="16"/>
      <c r="AE172" s="16"/>
      <c r="AN172" s="27"/>
      <c r="AO172" s="28"/>
      <c r="BC172" s="16"/>
    </row>
    <row r="173" spans="29:55" x14ac:dyDescent="0.25">
      <c r="AC173" s="16"/>
      <c r="AD173" s="16"/>
      <c r="AE173" s="16"/>
      <c r="AN173" s="27"/>
      <c r="AO173" s="28"/>
      <c r="BC173" s="16"/>
    </row>
    <row r="174" spans="29:55" x14ac:dyDescent="0.25">
      <c r="AC174" s="16"/>
      <c r="AD174" s="16"/>
      <c r="AE174" s="16"/>
      <c r="AN174" s="27"/>
      <c r="AO174" s="28"/>
      <c r="BC174" s="16"/>
    </row>
    <row r="175" spans="29:55" x14ac:dyDescent="0.25">
      <c r="AC175" s="16"/>
      <c r="AD175" s="16"/>
      <c r="AE175" s="16"/>
      <c r="AN175" s="27"/>
      <c r="AO175" s="28"/>
      <c r="BC175" s="16"/>
    </row>
    <row r="176" spans="29:55" x14ac:dyDescent="0.25">
      <c r="AC176" s="16"/>
      <c r="AD176" s="16"/>
      <c r="AE176" s="16"/>
      <c r="AN176" s="27"/>
      <c r="AO176" s="28"/>
      <c r="BC176" s="16"/>
    </row>
    <row r="177" spans="29:55" x14ac:dyDescent="0.25">
      <c r="AC177" s="16"/>
      <c r="AD177" s="16"/>
      <c r="AE177" s="16"/>
      <c r="AN177" s="27"/>
      <c r="AO177" s="28"/>
      <c r="BC177" s="16"/>
    </row>
    <row r="178" spans="29:55" x14ac:dyDescent="0.25">
      <c r="AC178" s="16"/>
      <c r="AD178" s="16"/>
      <c r="AE178" s="16"/>
      <c r="AN178" s="27"/>
      <c r="AO178" s="28"/>
      <c r="BC178" s="16"/>
    </row>
    <row r="179" spans="29:55" x14ac:dyDescent="0.25">
      <c r="AC179" s="16"/>
      <c r="AD179" s="16"/>
      <c r="AE179" s="16"/>
      <c r="AN179" s="27"/>
      <c r="AO179" s="28"/>
      <c r="BC179" s="16"/>
    </row>
    <row r="180" spans="29:55" x14ac:dyDescent="0.25">
      <c r="AC180" s="16"/>
      <c r="AD180" s="16"/>
      <c r="AE180" s="16"/>
      <c r="AN180" s="27"/>
      <c r="AO180" s="28"/>
      <c r="BC180" s="16"/>
    </row>
    <row r="181" spans="29:55" x14ac:dyDescent="0.25">
      <c r="AC181" s="16"/>
      <c r="AD181" s="16"/>
      <c r="AE181" s="16"/>
      <c r="AN181" s="27"/>
      <c r="AO181" s="28"/>
      <c r="BC181" s="16"/>
    </row>
    <row r="182" spans="29:55" x14ac:dyDescent="0.25">
      <c r="AC182" s="16"/>
      <c r="AD182" s="16"/>
      <c r="AE182" s="16"/>
      <c r="AN182" s="27"/>
      <c r="AO182" s="28"/>
      <c r="BC182" s="16"/>
    </row>
    <row r="183" spans="29:55" x14ac:dyDescent="0.25">
      <c r="AC183" s="16"/>
      <c r="AD183" s="16"/>
      <c r="AE183" s="16"/>
      <c r="AN183" s="27"/>
      <c r="AO183" s="28"/>
      <c r="BC183" s="16"/>
    </row>
    <row r="184" spans="29:55" x14ac:dyDescent="0.25">
      <c r="AC184" s="16"/>
      <c r="AD184" s="16"/>
      <c r="AE184" s="16"/>
      <c r="AN184" s="27"/>
      <c r="AO184" s="28"/>
      <c r="BC184" s="16"/>
    </row>
    <row r="185" spans="29:55" x14ac:dyDescent="0.25">
      <c r="AC185" s="16"/>
      <c r="AD185" s="16"/>
      <c r="AE185" s="16"/>
      <c r="AN185" s="27"/>
      <c r="AO185" s="28"/>
      <c r="BC185" s="16"/>
    </row>
    <row r="186" spans="29:55" x14ac:dyDescent="0.25">
      <c r="AC186" s="16"/>
      <c r="AD186" s="16"/>
      <c r="AE186" s="16"/>
      <c r="AN186" s="27"/>
      <c r="AO186" s="28"/>
      <c r="BC186" s="16"/>
    </row>
    <row r="187" spans="29:55" x14ac:dyDescent="0.25">
      <c r="AC187" s="16"/>
      <c r="AD187" s="16"/>
      <c r="AE187" s="16"/>
      <c r="AN187" s="27"/>
      <c r="AO187" s="28"/>
      <c r="BC187" s="16"/>
    </row>
    <row r="188" spans="29:55" x14ac:dyDescent="0.25">
      <c r="AC188" s="16"/>
      <c r="AD188" s="16"/>
      <c r="AE188" s="16"/>
      <c r="AN188" s="27"/>
      <c r="AO188" s="28"/>
      <c r="BC188" s="16"/>
    </row>
    <row r="189" spans="29:55" x14ac:dyDescent="0.25">
      <c r="AC189" s="16"/>
      <c r="AD189" s="16"/>
      <c r="AE189" s="16"/>
      <c r="AN189" s="27"/>
      <c r="AO189" s="28"/>
      <c r="BC189" s="16"/>
    </row>
    <row r="190" spans="29:55" x14ac:dyDescent="0.25">
      <c r="AC190" s="16"/>
      <c r="AD190" s="16"/>
      <c r="AE190" s="16"/>
      <c r="AN190" s="27"/>
      <c r="AO190" s="28"/>
      <c r="BC190" s="16"/>
    </row>
    <row r="191" spans="29:55" x14ac:dyDescent="0.25">
      <c r="AC191" s="16"/>
      <c r="AD191" s="16"/>
      <c r="AE191" s="16"/>
      <c r="AN191" s="27"/>
      <c r="AO191" s="28"/>
      <c r="BC191" s="16"/>
    </row>
    <row r="192" spans="29:55" x14ac:dyDescent="0.25">
      <c r="AC192" s="16"/>
      <c r="AD192" s="16"/>
      <c r="AE192" s="16"/>
      <c r="AN192" s="27"/>
      <c r="AO192" s="28"/>
      <c r="BC192" s="16"/>
    </row>
    <row r="193" spans="29:55" x14ac:dyDescent="0.25">
      <c r="AC193" s="16"/>
      <c r="AD193" s="16"/>
      <c r="AE193" s="16"/>
      <c r="AN193" s="27"/>
      <c r="AO193" s="28"/>
      <c r="BC193" s="16"/>
    </row>
    <row r="194" spans="29:55" x14ac:dyDescent="0.25">
      <c r="AC194" s="16"/>
      <c r="AD194" s="16"/>
      <c r="AE194" s="16"/>
      <c r="AN194" s="27"/>
      <c r="AO194" s="28"/>
      <c r="BC194" s="16"/>
    </row>
    <row r="195" spans="29:55" x14ac:dyDescent="0.25">
      <c r="AC195" s="16"/>
      <c r="AD195" s="16"/>
      <c r="AE195" s="16"/>
      <c r="AN195" s="27"/>
      <c r="AO195" s="28"/>
      <c r="BC195" s="16"/>
    </row>
    <row r="196" spans="29:55" x14ac:dyDescent="0.25">
      <c r="AC196" s="16"/>
      <c r="AD196" s="16"/>
      <c r="AE196" s="16"/>
      <c r="AN196" s="27"/>
      <c r="AO196" s="28"/>
      <c r="BC196" s="16"/>
    </row>
    <row r="197" spans="29:55" x14ac:dyDescent="0.25">
      <c r="AC197" s="16"/>
      <c r="AD197" s="16"/>
      <c r="AE197" s="16"/>
      <c r="AN197" s="27"/>
      <c r="AO197" s="28"/>
      <c r="BC197" s="16"/>
    </row>
    <row r="198" spans="29:55" x14ac:dyDescent="0.25">
      <c r="AC198" s="16"/>
      <c r="AD198" s="16"/>
      <c r="AE198" s="16"/>
      <c r="AN198" s="27"/>
      <c r="AO198" s="28"/>
      <c r="BC198" s="16"/>
    </row>
    <row r="199" spans="29:55" x14ac:dyDescent="0.25">
      <c r="AC199" s="16"/>
      <c r="AD199" s="16"/>
      <c r="AE199" s="16"/>
      <c r="AN199" s="27"/>
      <c r="AO199" s="28"/>
      <c r="BC199" s="16"/>
    </row>
    <row r="200" spans="29:55" x14ac:dyDescent="0.25">
      <c r="AC200" s="16"/>
      <c r="AD200" s="16"/>
      <c r="AE200" s="16"/>
      <c r="AN200" s="27"/>
      <c r="AO200" s="28"/>
      <c r="BC200" s="16"/>
    </row>
    <row r="201" spans="29:55" x14ac:dyDescent="0.25">
      <c r="AC201" s="16"/>
      <c r="AD201" s="16"/>
      <c r="AE201" s="16"/>
      <c r="AN201" s="27"/>
      <c r="AO201" s="28"/>
      <c r="BC201" s="16"/>
    </row>
    <row r="202" spans="29:55" x14ac:dyDescent="0.25">
      <c r="AC202" s="16"/>
      <c r="AD202" s="16"/>
      <c r="AE202" s="16"/>
      <c r="AN202" s="27"/>
      <c r="AO202" s="28"/>
      <c r="BC202" s="16"/>
    </row>
    <row r="203" spans="29:55" x14ac:dyDescent="0.25">
      <c r="AC203" s="16"/>
      <c r="AD203" s="16"/>
      <c r="AE203" s="16"/>
      <c r="AN203" s="27"/>
      <c r="AO203" s="28"/>
      <c r="BC203" s="16"/>
    </row>
    <row r="204" spans="29:55" x14ac:dyDescent="0.25">
      <c r="AC204" s="16"/>
      <c r="AD204" s="16"/>
      <c r="AE204" s="16"/>
      <c r="AN204" s="27"/>
      <c r="AO204" s="28"/>
      <c r="BC204" s="16"/>
    </row>
    <row r="205" spans="29:55" x14ac:dyDescent="0.25">
      <c r="AC205" s="16"/>
      <c r="AD205" s="16"/>
      <c r="AE205" s="16"/>
      <c r="AN205" s="27"/>
      <c r="AO205" s="28"/>
      <c r="BC205" s="16"/>
    </row>
    <row r="206" spans="29:55" x14ac:dyDescent="0.25">
      <c r="AC206" s="16"/>
      <c r="AD206" s="16"/>
      <c r="AE206" s="16"/>
      <c r="AN206" s="27"/>
      <c r="AO206" s="28"/>
      <c r="BC206" s="16"/>
    </row>
    <row r="207" spans="29:55" x14ac:dyDescent="0.25">
      <c r="AC207" s="16"/>
      <c r="AD207" s="16"/>
      <c r="AE207" s="16"/>
      <c r="AN207" s="27"/>
      <c r="AO207" s="28"/>
      <c r="BC207" s="16"/>
    </row>
    <row r="208" spans="29:55" x14ac:dyDescent="0.25">
      <c r="AC208" s="16"/>
      <c r="AD208" s="16"/>
      <c r="AE208" s="16"/>
      <c r="AN208" s="27"/>
      <c r="AO208" s="28"/>
      <c r="BC208" s="16"/>
    </row>
    <row r="209" spans="29:55" x14ac:dyDescent="0.25">
      <c r="AC209" s="16"/>
      <c r="AD209" s="16"/>
      <c r="AE209" s="16"/>
      <c r="AN209" s="27"/>
      <c r="AO209" s="28"/>
      <c r="BC209" s="16"/>
    </row>
    <row r="210" spans="29:55" x14ac:dyDescent="0.25">
      <c r="AC210" s="16"/>
      <c r="AD210" s="16"/>
      <c r="AE210" s="16"/>
      <c r="AN210" s="27"/>
      <c r="AO210" s="28"/>
      <c r="BC210" s="16"/>
    </row>
    <row r="211" spans="29:55" x14ac:dyDescent="0.25">
      <c r="AC211" s="16"/>
      <c r="AD211" s="16"/>
      <c r="AE211" s="16"/>
      <c r="AN211" s="27"/>
      <c r="AO211" s="28"/>
      <c r="BC211" s="16"/>
    </row>
    <row r="212" spans="29:55" x14ac:dyDescent="0.25">
      <c r="AC212" s="16"/>
      <c r="AD212" s="16"/>
      <c r="AE212" s="16"/>
      <c r="AN212" s="27"/>
      <c r="AO212" s="28"/>
      <c r="BC212" s="16"/>
    </row>
    <row r="213" spans="29:55" x14ac:dyDescent="0.25">
      <c r="AC213" s="16"/>
      <c r="AD213" s="16"/>
      <c r="AE213" s="16"/>
      <c r="AN213" s="27"/>
      <c r="AO213" s="28"/>
      <c r="BC213" s="16"/>
    </row>
    <row r="214" spans="29:55" x14ac:dyDescent="0.25">
      <c r="AC214" s="16"/>
      <c r="AD214" s="16"/>
      <c r="AE214" s="16"/>
      <c r="AN214" s="27"/>
      <c r="AO214" s="28"/>
      <c r="BC214" s="16"/>
    </row>
    <row r="215" spans="29:55" x14ac:dyDescent="0.25">
      <c r="AC215" s="16"/>
      <c r="AD215" s="16"/>
      <c r="AE215" s="16"/>
      <c r="AN215" s="27"/>
      <c r="AO215" s="28"/>
      <c r="BC215" s="16"/>
    </row>
    <row r="216" spans="29:55" x14ac:dyDescent="0.25">
      <c r="AC216" s="16"/>
      <c r="AD216" s="16"/>
      <c r="AE216" s="16"/>
      <c r="AN216" s="27"/>
      <c r="AO216" s="28"/>
      <c r="BC216" s="16"/>
    </row>
    <row r="217" spans="29:55" x14ac:dyDescent="0.25">
      <c r="AC217" s="16"/>
      <c r="AD217" s="16"/>
      <c r="AE217" s="16"/>
      <c r="AN217" s="27"/>
      <c r="AO217" s="28"/>
      <c r="BC217" s="16"/>
    </row>
    <row r="218" spans="29:55" x14ac:dyDescent="0.25">
      <c r="AC218" s="16"/>
      <c r="AD218" s="16"/>
      <c r="AE218" s="16"/>
      <c r="AN218" s="27"/>
      <c r="AO218" s="28"/>
      <c r="BC218" s="16"/>
    </row>
    <row r="219" spans="29:55" x14ac:dyDescent="0.25">
      <c r="AC219" s="16"/>
      <c r="AD219" s="16"/>
      <c r="AE219" s="16"/>
      <c r="AN219" s="27"/>
      <c r="AO219" s="28"/>
      <c r="BC219" s="16"/>
    </row>
    <row r="220" spans="29:55" x14ac:dyDescent="0.25">
      <c r="AC220" s="16"/>
      <c r="AD220" s="16"/>
      <c r="AE220" s="16"/>
      <c r="AN220" s="27"/>
      <c r="AO220" s="28"/>
      <c r="BC220" s="16"/>
    </row>
    <row r="221" spans="29:55" x14ac:dyDescent="0.25">
      <c r="AC221" s="16"/>
      <c r="AD221" s="16"/>
      <c r="AE221" s="16"/>
      <c r="AN221" s="27"/>
      <c r="AO221" s="28"/>
      <c r="BC221" s="16"/>
    </row>
    <row r="222" spans="29:55" x14ac:dyDescent="0.25">
      <c r="AC222" s="16"/>
      <c r="AD222" s="16"/>
      <c r="AE222" s="16"/>
      <c r="AN222" s="27"/>
      <c r="AO222" s="28"/>
      <c r="BC222" s="16"/>
    </row>
    <row r="223" spans="29:55" x14ac:dyDescent="0.25">
      <c r="AC223" s="16"/>
      <c r="AD223" s="16"/>
      <c r="AE223" s="16"/>
      <c r="AN223" s="27"/>
      <c r="AO223" s="28"/>
      <c r="BC223" s="16"/>
    </row>
    <row r="224" spans="29:55" x14ac:dyDescent="0.25">
      <c r="AC224" s="16"/>
      <c r="AD224" s="16"/>
      <c r="AE224" s="16"/>
      <c r="AN224" s="27"/>
      <c r="AO224" s="28"/>
      <c r="BC224" s="16"/>
    </row>
    <row r="225" spans="29:55" x14ac:dyDescent="0.25">
      <c r="AC225" s="16"/>
      <c r="AD225" s="16"/>
      <c r="AE225" s="16"/>
      <c r="AN225" s="27"/>
      <c r="AO225" s="28"/>
      <c r="BC225" s="16"/>
    </row>
    <row r="226" spans="29:55" x14ac:dyDescent="0.25">
      <c r="AC226" s="16"/>
      <c r="AD226" s="16"/>
      <c r="AE226" s="16"/>
      <c r="AN226" s="27"/>
      <c r="AO226" s="28"/>
      <c r="BC226" s="16"/>
    </row>
    <row r="227" spans="29:55" x14ac:dyDescent="0.25">
      <c r="AC227" s="16"/>
      <c r="AD227" s="16"/>
      <c r="AE227" s="16"/>
      <c r="AN227" s="27"/>
      <c r="AO227" s="28"/>
      <c r="BC227" s="16"/>
    </row>
    <row r="228" spans="29:55" x14ac:dyDescent="0.25">
      <c r="AC228" s="16"/>
      <c r="AD228" s="16"/>
      <c r="AE228" s="16"/>
      <c r="AN228" s="27"/>
      <c r="AO228" s="28"/>
      <c r="BC228" s="16"/>
    </row>
    <row r="229" spans="29:55" x14ac:dyDescent="0.25">
      <c r="AC229" s="16"/>
      <c r="AD229" s="16"/>
      <c r="AE229" s="16"/>
      <c r="AN229" s="27"/>
      <c r="AO229" s="28"/>
      <c r="BC229" s="16"/>
    </row>
    <row r="230" spans="29:55" x14ac:dyDescent="0.25">
      <c r="AC230" s="16"/>
      <c r="AD230" s="16"/>
      <c r="AE230" s="16"/>
      <c r="AN230" s="27"/>
      <c r="AO230" s="28"/>
      <c r="BC230" s="16"/>
    </row>
    <row r="231" spans="29:55" x14ac:dyDescent="0.25">
      <c r="AC231" s="16"/>
      <c r="AD231" s="16"/>
      <c r="AE231" s="16"/>
      <c r="AN231" s="27"/>
      <c r="AO231" s="28"/>
      <c r="BC231" s="16"/>
    </row>
    <row r="232" spans="29:55" x14ac:dyDescent="0.25">
      <c r="AC232" s="16"/>
      <c r="AD232" s="16"/>
      <c r="AE232" s="16"/>
      <c r="AN232" s="27"/>
      <c r="AO232" s="28"/>
      <c r="BC232" s="16"/>
    </row>
    <row r="233" spans="29:55" x14ac:dyDescent="0.25">
      <c r="AC233" s="16"/>
      <c r="AD233" s="16"/>
      <c r="AE233" s="16"/>
      <c r="AN233" s="27"/>
      <c r="AO233" s="28"/>
      <c r="BC233" s="16"/>
    </row>
    <row r="234" spans="29:55" x14ac:dyDescent="0.25">
      <c r="AC234" s="16"/>
      <c r="AD234" s="16"/>
      <c r="AE234" s="16"/>
      <c r="AN234" s="27"/>
      <c r="AO234" s="28"/>
      <c r="BC234" s="16"/>
    </row>
    <row r="235" spans="29:55" x14ac:dyDescent="0.25">
      <c r="AC235" s="16"/>
      <c r="AD235" s="16"/>
      <c r="AE235" s="16"/>
      <c r="AN235" s="27"/>
      <c r="AO235" s="28"/>
      <c r="BC235" s="16"/>
    </row>
    <row r="236" spans="29:55" x14ac:dyDescent="0.25">
      <c r="AC236" s="16"/>
      <c r="AD236" s="16"/>
      <c r="AE236" s="16"/>
      <c r="AN236" s="27"/>
      <c r="AO236" s="28"/>
      <c r="BC236" s="16"/>
    </row>
    <row r="237" spans="29:55" x14ac:dyDescent="0.25">
      <c r="AC237" s="16"/>
      <c r="AD237" s="16"/>
      <c r="AE237" s="16"/>
      <c r="AN237" s="27"/>
      <c r="AO237" s="28"/>
      <c r="BC237" s="16"/>
    </row>
    <row r="238" spans="29:55" x14ac:dyDescent="0.25">
      <c r="AC238" s="16"/>
      <c r="AD238" s="16"/>
      <c r="AE238" s="16"/>
      <c r="AN238" s="27"/>
      <c r="AO238" s="28"/>
      <c r="BC238" s="16"/>
    </row>
    <row r="239" spans="29:55" x14ac:dyDescent="0.25">
      <c r="AC239" s="16"/>
      <c r="AD239" s="16"/>
      <c r="AE239" s="16"/>
      <c r="AN239" s="27"/>
      <c r="AO239" s="28"/>
      <c r="BC239" s="16"/>
    </row>
    <row r="240" spans="29:55" x14ac:dyDescent="0.25">
      <c r="AC240" s="16"/>
      <c r="AD240" s="16"/>
      <c r="AE240" s="16"/>
      <c r="AN240" s="27"/>
      <c r="AO240" s="28"/>
      <c r="BC240" s="16"/>
    </row>
    <row r="241" spans="29:55" x14ac:dyDescent="0.25">
      <c r="AC241" s="16"/>
      <c r="AD241" s="16"/>
      <c r="AE241" s="16"/>
      <c r="AN241" s="27"/>
      <c r="AO241" s="28"/>
      <c r="BC241" s="16"/>
    </row>
    <row r="242" spans="29:55" x14ac:dyDescent="0.25">
      <c r="AC242" s="16"/>
      <c r="AD242" s="16"/>
      <c r="AE242" s="16"/>
      <c r="AN242" s="27"/>
      <c r="AO242" s="28"/>
      <c r="BC242" s="16"/>
    </row>
    <row r="243" spans="29:55" x14ac:dyDescent="0.25">
      <c r="AC243" s="16"/>
      <c r="AD243" s="16"/>
      <c r="AE243" s="16"/>
      <c r="AN243" s="27"/>
      <c r="AO243" s="28"/>
      <c r="BC243" s="16"/>
    </row>
    <row r="244" spans="29:55" x14ac:dyDescent="0.25">
      <c r="AC244" s="16"/>
      <c r="AD244" s="16"/>
      <c r="AE244" s="16"/>
      <c r="AN244" s="27"/>
      <c r="AO244" s="28"/>
      <c r="BC244" s="16"/>
    </row>
    <row r="245" spans="29:55" x14ac:dyDescent="0.25">
      <c r="AC245" s="16"/>
      <c r="AD245" s="16"/>
      <c r="AE245" s="16"/>
      <c r="AN245" s="27"/>
      <c r="AO245" s="28"/>
      <c r="BC245" s="16"/>
    </row>
    <row r="246" spans="29:55" x14ac:dyDescent="0.25">
      <c r="AC246" s="16"/>
      <c r="AD246" s="16"/>
      <c r="AE246" s="16"/>
      <c r="AN246" s="27"/>
      <c r="AO246" s="28"/>
      <c r="BC246" s="16"/>
    </row>
    <row r="247" spans="29:55" x14ac:dyDescent="0.25">
      <c r="AC247" s="16"/>
      <c r="AD247" s="16"/>
      <c r="AE247" s="16"/>
      <c r="AN247" s="27"/>
      <c r="AO247" s="28"/>
      <c r="BC247" s="16"/>
    </row>
    <row r="248" spans="29:55" x14ac:dyDescent="0.25">
      <c r="AC248" s="16"/>
      <c r="AD248" s="16"/>
      <c r="AE248" s="16"/>
      <c r="AN248" s="27"/>
      <c r="AO248" s="28"/>
      <c r="BC248" s="16"/>
    </row>
    <row r="249" spans="29:55" x14ac:dyDescent="0.25">
      <c r="AC249" s="16"/>
      <c r="AD249" s="16"/>
      <c r="AE249" s="16"/>
      <c r="AN249" s="27"/>
      <c r="AO249" s="28"/>
      <c r="BC249" s="16"/>
    </row>
    <row r="250" spans="29:55" x14ac:dyDescent="0.25">
      <c r="AC250" s="16"/>
      <c r="AD250" s="16"/>
      <c r="AE250" s="16"/>
      <c r="AN250" s="27"/>
      <c r="AO250" s="28"/>
      <c r="BC250" s="16"/>
    </row>
    <row r="251" spans="29:55" x14ac:dyDescent="0.25">
      <c r="AC251" s="16"/>
      <c r="AD251" s="16"/>
      <c r="AE251" s="16"/>
      <c r="AN251" s="27"/>
      <c r="AO251" s="28"/>
      <c r="BC251" s="16"/>
    </row>
    <row r="252" spans="29:55" x14ac:dyDescent="0.25">
      <c r="AC252" s="16"/>
      <c r="AD252" s="16"/>
      <c r="AE252" s="16"/>
      <c r="AN252" s="27"/>
      <c r="AO252" s="28"/>
      <c r="BC252" s="16"/>
    </row>
    <row r="253" spans="29:55" x14ac:dyDescent="0.25">
      <c r="AC253" s="16"/>
      <c r="AD253" s="16"/>
      <c r="AE253" s="16"/>
      <c r="AN253" s="27"/>
      <c r="AO253" s="28"/>
      <c r="BC253" s="16"/>
    </row>
    <row r="254" spans="29:55" x14ac:dyDescent="0.25">
      <c r="AC254" s="16"/>
      <c r="AD254" s="16"/>
      <c r="AE254" s="16"/>
      <c r="AN254" s="27"/>
      <c r="AO254" s="28"/>
      <c r="BC254" s="16"/>
    </row>
    <row r="255" spans="29:55" x14ac:dyDescent="0.25">
      <c r="AC255" s="16"/>
      <c r="AD255" s="16"/>
      <c r="AE255" s="16"/>
      <c r="AN255" s="27"/>
      <c r="AO255" s="28"/>
      <c r="BC255" s="16"/>
    </row>
    <row r="256" spans="29:55" x14ac:dyDescent="0.25">
      <c r="AC256" s="16"/>
      <c r="AD256" s="16"/>
      <c r="AE256" s="16"/>
      <c r="AN256" s="27"/>
      <c r="AO256" s="28"/>
      <c r="BC256" s="16"/>
    </row>
    <row r="257" spans="29:55" x14ac:dyDescent="0.25">
      <c r="AC257" s="16"/>
      <c r="AD257" s="16"/>
      <c r="AE257" s="16"/>
      <c r="AN257" s="27"/>
      <c r="AO257" s="28"/>
      <c r="BC257" s="16"/>
    </row>
    <row r="258" spans="29:55" x14ac:dyDescent="0.25">
      <c r="AC258" s="16"/>
      <c r="AD258" s="16"/>
      <c r="AE258" s="16"/>
      <c r="AN258" s="27"/>
      <c r="AO258" s="28"/>
      <c r="BC258" s="16"/>
    </row>
    <row r="259" spans="29:55" x14ac:dyDescent="0.25">
      <c r="AC259" s="16"/>
      <c r="AD259" s="16"/>
      <c r="AE259" s="16"/>
      <c r="AN259" s="27"/>
      <c r="AO259" s="28"/>
      <c r="BC259" s="16"/>
    </row>
    <row r="260" spans="29:55" x14ac:dyDescent="0.25">
      <c r="AC260" s="16"/>
      <c r="AD260" s="16"/>
      <c r="AE260" s="16"/>
      <c r="AN260" s="27"/>
      <c r="AO260" s="28"/>
      <c r="BC260" s="16"/>
    </row>
    <row r="261" spans="29:55" x14ac:dyDescent="0.25">
      <c r="AC261" s="16"/>
      <c r="AD261" s="16"/>
      <c r="AE261" s="16"/>
      <c r="AN261" s="27"/>
      <c r="AO261" s="28"/>
      <c r="BC261" s="16"/>
    </row>
    <row r="262" spans="29:55" x14ac:dyDescent="0.25">
      <c r="AC262" s="16"/>
      <c r="AD262" s="16"/>
      <c r="AE262" s="16"/>
      <c r="AN262" s="27"/>
      <c r="AO262" s="28"/>
      <c r="BC262" s="16"/>
    </row>
    <row r="263" spans="29:55" x14ac:dyDescent="0.25">
      <c r="AC263" s="16"/>
      <c r="AD263" s="16"/>
      <c r="AE263" s="16"/>
      <c r="AN263" s="27"/>
      <c r="AO263" s="28"/>
      <c r="BC263" s="16"/>
    </row>
    <row r="264" spans="29:55" x14ac:dyDescent="0.25">
      <c r="AC264" s="16"/>
      <c r="AD264" s="16"/>
      <c r="AE264" s="16"/>
      <c r="AN264" s="27"/>
      <c r="AO264" s="28"/>
      <c r="BC264" s="16"/>
    </row>
    <row r="265" spans="29:55" x14ac:dyDescent="0.25">
      <c r="AC265" s="16"/>
      <c r="AD265" s="16"/>
      <c r="AE265" s="16"/>
      <c r="AN265" s="27"/>
      <c r="AO265" s="28"/>
      <c r="BC265" s="16"/>
    </row>
    <row r="266" spans="29:55" x14ac:dyDescent="0.25">
      <c r="AC266" s="16"/>
      <c r="AD266" s="16"/>
      <c r="AE266" s="16"/>
      <c r="AN266" s="27"/>
      <c r="AO266" s="28"/>
      <c r="BC266" s="16"/>
    </row>
    <row r="267" spans="29:55" x14ac:dyDescent="0.25">
      <c r="AC267" s="16"/>
      <c r="AD267" s="16"/>
      <c r="AE267" s="16"/>
      <c r="AN267" s="27"/>
      <c r="AO267" s="28"/>
      <c r="BC267" s="16"/>
    </row>
    <row r="268" spans="29:55" x14ac:dyDescent="0.25">
      <c r="AC268" s="16"/>
      <c r="AD268" s="16"/>
      <c r="AE268" s="16"/>
      <c r="AN268" s="27"/>
      <c r="AO268" s="28"/>
      <c r="BC268" s="16"/>
    </row>
    <row r="269" spans="29:55" x14ac:dyDescent="0.25">
      <c r="AC269" s="16"/>
      <c r="AD269" s="16"/>
      <c r="AE269" s="16"/>
      <c r="AN269" s="27"/>
      <c r="AO269" s="28"/>
      <c r="BC269" s="16"/>
    </row>
    <row r="270" spans="29:55" x14ac:dyDescent="0.25">
      <c r="AC270" s="16"/>
      <c r="AD270" s="16"/>
      <c r="AE270" s="16"/>
      <c r="AN270" s="27"/>
      <c r="AO270" s="28"/>
      <c r="BC270" s="16"/>
    </row>
    <row r="271" spans="29:55" x14ac:dyDescent="0.25">
      <c r="AC271" s="16"/>
      <c r="AD271" s="16"/>
      <c r="AE271" s="16"/>
      <c r="AN271" s="27"/>
      <c r="AO271" s="28"/>
      <c r="BC271" s="16"/>
    </row>
    <row r="272" spans="29:55" x14ac:dyDescent="0.25">
      <c r="AC272" s="16"/>
      <c r="AD272" s="16"/>
      <c r="AE272" s="16"/>
      <c r="AN272" s="27"/>
      <c r="AO272" s="28"/>
      <c r="BC272" s="16"/>
    </row>
    <row r="273" spans="6:55" x14ac:dyDescent="0.25">
      <c r="AC273" s="16"/>
      <c r="AD273" s="16"/>
      <c r="AE273" s="16"/>
      <c r="AN273" s="27"/>
      <c r="AO273" s="28"/>
      <c r="BC273" s="16"/>
    </row>
    <row r="274" spans="6:55" x14ac:dyDescent="0.25">
      <c r="AC274" s="16"/>
      <c r="AD274" s="16"/>
      <c r="AE274" s="16"/>
      <c r="AN274" s="27"/>
      <c r="AO274" s="28"/>
      <c r="BC274" s="16"/>
    </row>
    <row r="275" spans="6:55" x14ac:dyDescent="0.25">
      <c r="F275" s="45"/>
      <c r="G275" s="45"/>
      <c r="H275" s="45"/>
      <c r="I275" s="45"/>
      <c r="J275" s="45"/>
      <c r="K275" s="45"/>
      <c r="L275" s="45"/>
      <c r="M275" s="105"/>
      <c r="N275" s="49"/>
      <c r="O275" s="106"/>
      <c r="P275" s="45"/>
      <c r="Q275" s="45"/>
      <c r="R275" s="45"/>
      <c r="S275" s="45"/>
      <c r="T275" s="45"/>
      <c r="U275" s="45"/>
      <c r="V275" s="45"/>
      <c r="W275" s="45"/>
      <c r="X275" s="45"/>
      <c r="Y275" s="45"/>
      <c r="Z275" s="45"/>
      <c r="AA275" s="45"/>
      <c r="AB275" s="121"/>
      <c r="AF275" s="45"/>
      <c r="AG275" s="45"/>
      <c r="AH275" s="45"/>
      <c r="AI275" s="45"/>
      <c r="AJ275" s="45"/>
      <c r="AK275" s="45"/>
      <c r="AL275" s="45"/>
      <c r="AM275" s="105"/>
      <c r="AN275" s="49"/>
      <c r="AO275" s="50"/>
      <c r="AP275" s="45"/>
      <c r="AQ275" s="45"/>
      <c r="AR275" s="45"/>
      <c r="AS275" s="45"/>
      <c r="AT275" s="45"/>
      <c r="AU275" s="45"/>
      <c r="AV275" s="45"/>
      <c r="AW275" s="45"/>
      <c r="AX275" s="45"/>
      <c r="AY275" s="45"/>
      <c r="AZ275" s="45"/>
      <c r="BA275" s="45"/>
    </row>
    <row r="276" spans="6:55" x14ac:dyDescent="0.25">
      <c r="F276" s="45"/>
      <c r="G276" s="45"/>
      <c r="H276" s="45"/>
      <c r="I276" s="45"/>
      <c r="J276" s="45"/>
      <c r="K276" s="45"/>
      <c r="L276" s="45"/>
      <c r="M276" s="105"/>
      <c r="N276" s="49"/>
      <c r="O276" s="106"/>
      <c r="P276" s="45"/>
      <c r="Q276" s="45"/>
      <c r="R276" s="45"/>
      <c r="S276" s="45"/>
      <c r="T276" s="45"/>
      <c r="U276" s="45"/>
      <c r="V276" s="45"/>
      <c r="W276" s="45"/>
      <c r="X276" s="45"/>
      <c r="Y276" s="45"/>
      <c r="Z276" s="45"/>
      <c r="AA276" s="45"/>
      <c r="AB276" s="121"/>
      <c r="AF276" s="45"/>
      <c r="AG276" s="45"/>
      <c r="AH276" s="45"/>
      <c r="AI276" s="45"/>
      <c r="AJ276" s="45"/>
      <c r="AK276" s="45"/>
      <c r="AL276" s="45"/>
      <c r="AM276" s="105"/>
      <c r="AN276" s="49"/>
      <c r="AO276" s="50"/>
      <c r="AP276" s="45"/>
      <c r="AQ276" s="45"/>
      <c r="AR276" s="45"/>
      <c r="AS276" s="45"/>
      <c r="AT276" s="45"/>
      <c r="AU276" s="45"/>
      <c r="AV276" s="45"/>
      <c r="AW276" s="45"/>
      <c r="AX276" s="45"/>
      <c r="AY276" s="45"/>
      <c r="AZ276" s="45"/>
      <c r="BA276" s="45"/>
    </row>
    <row r="277" spans="6:55" x14ac:dyDescent="0.25">
      <c r="F277" s="45"/>
      <c r="G277" s="45"/>
      <c r="H277" s="45"/>
      <c r="I277" s="45"/>
      <c r="J277" s="45"/>
      <c r="K277" s="45"/>
      <c r="L277" s="45"/>
      <c r="M277" s="105"/>
      <c r="N277" s="49"/>
      <c r="O277" s="106"/>
      <c r="P277" s="45"/>
      <c r="Q277" s="45"/>
      <c r="R277" s="45"/>
      <c r="S277" s="45"/>
      <c r="T277" s="45"/>
      <c r="U277" s="45"/>
      <c r="V277" s="45"/>
      <c r="W277" s="45"/>
      <c r="X277" s="45"/>
      <c r="Y277" s="45"/>
      <c r="Z277" s="45"/>
      <c r="AA277" s="45"/>
      <c r="AB277" s="121"/>
      <c r="AF277" s="45"/>
      <c r="AG277" s="45"/>
      <c r="AH277" s="45"/>
      <c r="AI277" s="45"/>
      <c r="AJ277" s="45"/>
      <c r="AK277" s="45"/>
      <c r="AL277" s="45"/>
      <c r="AM277" s="105"/>
      <c r="AN277" s="49"/>
      <c r="AO277" s="50"/>
      <c r="AP277" s="45"/>
      <c r="AQ277" s="45"/>
      <c r="AR277" s="45"/>
      <c r="AS277" s="45"/>
      <c r="AT277" s="45"/>
      <c r="AU277" s="45"/>
      <c r="AV277" s="45"/>
      <c r="AW277" s="45"/>
      <c r="AX277" s="45"/>
      <c r="AY277" s="45"/>
      <c r="AZ277" s="45"/>
      <c r="BA277" s="45"/>
    </row>
    <row r="278" spans="6:55" x14ac:dyDescent="0.25">
      <c r="F278" s="45"/>
      <c r="G278" s="45"/>
      <c r="H278" s="45"/>
      <c r="I278" s="45"/>
      <c r="J278" s="45"/>
      <c r="K278" s="45"/>
      <c r="L278" s="45"/>
      <c r="M278" s="105"/>
      <c r="N278" s="49"/>
      <c r="O278" s="106"/>
      <c r="P278" s="45"/>
      <c r="Q278" s="45"/>
      <c r="R278" s="45"/>
      <c r="S278" s="45"/>
      <c r="T278" s="45"/>
      <c r="U278" s="45"/>
      <c r="V278" s="45"/>
      <c r="W278" s="45"/>
      <c r="X278" s="45"/>
      <c r="Y278" s="45"/>
      <c r="Z278" s="45"/>
      <c r="AA278" s="45"/>
      <c r="AB278" s="121"/>
      <c r="AF278" s="45"/>
      <c r="AG278" s="45"/>
      <c r="AH278" s="45"/>
      <c r="AI278" s="45"/>
      <c r="AJ278" s="45"/>
      <c r="AK278" s="45"/>
      <c r="AL278" s="45"/>
      <c r="AM278" s="105"/>
      <c r="AN278" s="49"/>
      <c r="AO278" s="50"/>
      <c r="AP278" s="45"/>
      <c r="AQ278" s="45"/>
      <c r="AR278" s="45"/>
      <c r="AS278" s="45"/>
      <c r="AT278" s="45"/>
      <c r="AU278" s="45"/>
      <c r="AV278" s="45"/>
      <c r="AW278" s="45"/>
      <c r="AX278" s="45"/>
      <c r="AY278" s="45"/>
      <c r="AZ278" s="45"/>
      <c r="BA278" s="45"/>
    </row>
    <row r="279" spans="6:55" x14ac:dyDescent="0.25">
      <c r="F279" s="45"/>
      <c r="G279" s="45"/>
      <c r="H279" s="45"/>
      <c r="I279" s="45"/>
      <c r="J279" s="45"/>
      <c r="K279" s="45"/>
      <c r="L279" s="45"/>
      <c r="M279" s="105"/>
      <c r="N279" s="49"/>
      <c r="O279" s="106"/>
      <c r="P279" s="45"/>
      <c r="Q279" s="45"/>
      <c r="R279" s="45"/>
      <c r="S279" s="45"/>
      <c r="T279" s="45"/>
      <c r="U279" s="45"/>
      <c r="V279" s="45"/>
      <c r="W279" s="45"/>
      <c r="X279" s="45"/>
      <c r="Y279" s="45"/>
      <c r="Z279" s="45"/>
      <c r="AA279" s="45"/>
      <c r="AB279" s="121"/>
      <c r="AF279" s="45"/>
      <c r="AG279" s="45"/>
      <c r="AH279" s="45"/>
      <c r="AI279" s="45"/>
      <c r="AJ279" s="45"/>
      <c r="AK279" s="45"/>
      <c r="AL279" s="45"/>
      <c r="AM279" s="105"/>
      <c r="AN279" s="49"/>
      <c r="AO279" s="50"/>
      <c r="AP279" s="45"/>
      <c r="AQ279" s="45"/>
      <c r="AR279" s="45"/>
      <c r="AS279" s="45"/>
      <c r="AT279" s="45"/>
      <c r="AU279" s="45"/>
      <c r="AV279" s="45"/>
      <c r="AW279" s="45"/>
      <c r="AX279" s="45"/>
      <c r="AY279" s="45"/>
      <c r="AZ279" s="45"/>
      <c r="BA279" s="45"/>
    </row>
    <row r="280" spans="6:55" x14ac:dyDescent="0.25">
      <c r="F280" s="45"/>
      <c r="G280" s="45"/>
      <c r="H280" s="45"/>
      <c r="I280" s="45"/>
      <c r="J280" s="45"/>
      <c r="K280" s="45"/>
      <c r="L280" s="45"/>
      <c r="M280" s="105"/>
      <c r="N280" s="49"/>
      <c r="O280" s="106"/>
      <c r="P280" s="45"/>
      <c r="Q280" s="45"/>
      <c r="R280" s="45"/>
      <c r="S280" s="45"/>
      <c r="T280" s="45"/>
      <c r="U280" s="45"/>
      <c r="V280" s="45"/>
      <c r="W280" s="45"/>
      <c r="X280" s="45"/>
      <c r="Y280" s="45"/>
      <c r="Z280" s="45"/>
      <c r="AA280" s="45"/>
      <c r="AB280" s="121"/>
      <c r="AF280" s="45"/>
      <c r="AG280" s="45"/>
      <c r="AH280" s="45"/>
      <c r="AI280" s="45"/>
      <c r="AJ280" s="45"/>
      <c r="AK280" s="45"/>
      <c r="AL280" s="45"/>
      <c r="AM280" s="105"/>
      <c r="AN280" s="49"/>
      <c r="AO280" s="50"/>
      <c r="AP280" s="45"/>
      <c r="AQ280" s="45"/>
      <c r="AR280" s="45"/>
      <c r="AS280" s="45"/>
      <c r="AT280" s="45"/>
      <c r="AU280" s="45"/>
      <c r="AV280" s="45"/>
      <c r="AW280" s="45"/>
      <c r="AX280" s="45"/>
      <c r="AY280" s="45"/>
      <c r="AZ280" s="45"/>
      <c r="BA280" s="45"/>
    </row>
    <row r="281" spans="6:55" x14ac:dyDescent="0.25">
      <c r="F281" s="45"/>
      <c r="G281" s="45"/>
      <c r="H281" s="45"/>
      <c r="I281" s="45"/>
      <c r="J281" s="45"/>
      <c r="K281" s="45"/>
      <c r="L281" s="45"/>
      <c r="M281" s="105"/>
      <c r="N281" s="49"/>
      <c r="O281" s="106"/>
      <c r="P281" s="45"/>
      <c r="Q281" s="45"/>
      <c r="R281" s="45"/>
      <c r="S281" s="45"/>
      <c r="T281" s="45"/>
      <c r="U281" s="45"/>
      <c r="V281" s="45"/>
      <c r="W281" s="45"/>
      <c r="X281" s="45"/>
      <c r="Y281" s="45"/>
      <c r="Z281" s="45"/>
      <c r="AA281" s="45"/>
      <c r="AB281" s="121"/>
      <c r="AF281" s="45"/>
      <c r="AG281" s="45"/>
      <c r="AH281" s="45"/>
      <c r="AI281" s="45"/>
      <c r="AJ281" s="45"/>
      <c r="AK281" s="45"/>
      <c r="AL281" s="45"/>
      <c r="AM281" s="105"/>
      <c r="AN281" s="49"/>
      <c r="AO281" s="50"/>
      <c r="AP281" s="45"/>
      <c r="AQ281" s="45"/>
      <c r="AR281" s="45"/>
      <c r="AS281" s="45"/>
      <c r="AT281" s="45"/>
      <c r="AU281" s="45"/>
      <c r="AV281" s="45"/>
      <c r="AW281" s="45"/>
      <c r="AX281" s="45"/>
      <c r="AY281" s="45"/>
      <c r="AZ281" s="45"/>
      <c r="BA281" s="45"/>
    </row>
    <row r="282" spans="6:55" x14ac:dyDescent="0.25">
      <c r="F282" s="45"/>
      <c r="G282" s="45"/>
      <c r="H282" s="45"/>
      <c r="I282" s="45"/>
      <c r="J282" s="45"/>
      <c r="K282" s="45"/>
      <c r="L282" s="45"/>
      <c r="M282" s="105"/>
      <c r="N282" s="49"/>
      <c r="O282" s="106"/>
      <c r="P282" s="45"/>
      <c r="Q282" s="45"/>
      <c r="R282" s="45"/>
      <c r="S282" s="45"/>
      <c r="T282" s="45"/>
      <c r="U282" s="45"/>
      <c r="V282" s="45"/>
      <c r="W282" s="45"/>
      <c r="X282" s="45"/>
      <c r="Y282" s="45"/>
      <c r="Z282" s="45"/>
      <c r="AA282" s="45"/>
      <c r="AB282" s="121"/>
      <c r="AF282" s="45"/>
      <c r="AG282" s="45"/>
      <c r="AH282" s="45"/>
      <c r="AI282" s="45"/>
      <c r="AJ282" s="45"/>
      <c r="AK282" s="45"/>
      <c r="AL282" s="45"/>
      <c r="AM282" s="105"/>
      <c r="AN282" s="49"/>
      <c r="AO282" s="50"/>
      <c r="AP282" s="45"/>
      <c r="AQ282" s="45"/>
      <c r="AR282" s="45"/>
      <c r="AS282" s="45"/>
      <c r="AT282" s="45"/>
      <c r="AU282" s="45"/>
      <c r="AV282" s="45"/>
      <c r="AW282" s="45"/>
      <c r="AX282" s="45"/>
      <c r="AY282" s="45"/>
      <c r="AZ282" s="45"/>
      <c r="BA282" s="45"/>
    </row>
    <row r="283" spans="6:55" x14ac:dyDescent="0.25">
      <c r="F283" s="45"/>
      <c r="G283" s="45"/>
      <c r="H283" s="45"/>
      <c r="I283" s="45"/>
      <c r="J283" s="45"/>
      <c r="K283" s="45"/>
      <c r="L283" s="45"/>
      <c r="M283" s="105"/>
      <c r="N283" s="49"/>
      <c r="O283" s="106"/>
      <c r="P283" s="45"/>
      <c r="Q283" s="45"/>
      <c r="R283" s="45"/>
      <c r="S283" s="45"/>
      <c r="T283" s="45"/>
      <c r="U283" s="45"/>
      <c r="V283" s="45"/>
      <c r="W283" s="45"/>
      <c r="X283" s="45"/>
      <c r="Y283" s="45"/>
      <c r="Z283" s="45"/>
      <c r="AA283" s="45"/>
      <c r="AB283" s="121"/>
      <c r="AF283" s="45"/>
      <c r="AG283" s="45"/>
      <c r="AH283" s="45"/>
      <c r="AI283" s="45"/>
      <c r="AJ283" s="45"/>
      <c r="AK283" s="45"/>
      <c r="AL283" s="45"/>
      <c r="AM283" s="105"/>
      <c r="AN283" s="49"/>
      <c r="AO283" s="50"/>
      <c r="AP283" s="45"/>
      <c r="AQ283" s="45"/>
      <c r="AR283" s="45"/>
      <c r="AS283" s="45"/>
      <c r="AT283" s="45"/>
      <c r="AU283" s="45"/>
      <c r="AV283" s="45"/>
      <c r="AW283" s="45"/>
      <c r="AX283" s="45"/>
      <c r="AY283" s="45"/>
      <c r="AZ283" s="45"/>
      <c r="BA283" s="45"/>
    </row>
    <row r="284" spans="6:55" x14ac:dyDescent="0.25">
      <c r="F284" s="45"/>
      <c r="G284" s="45"/>
      <c r="H284" s="45"/>
      <c r="I284" s="45"/>
      <c r="J284" s="45"/>
      <c r="K284" s="45"/>
      <c r="L284" s="45"/>
      <c r="M284" s="105"/>
      <c r="N284" s="49"/>
      <c r="O284" s="106"/>
      <c r="P284" s="45"/>
      <c r="Q284" s="45"/>
      <c r="R284" s="45"/>
      <c r="S284" s="45"/>
      <c r="T284" s="45"/>
      <c r="U284" s="45"/>
      <c r="V284" s="45"/>
      <c r="W284" s="45"/>
      <c r="X284" s="45"/>
      <c r="Y284" s="45"/>
      <c r="Z284" s="45"/>
      <c r="AA284" s="45"/>
      <c r="AB284" s="121"/>
      <c r="AF284" s="45"/>
      <c r="AG284" s="45"/>
      <c r="AH284" s="45"/>
      <c r="AI284" s="45"/>
      <c r="AJ284" s="45"/>
      <c r="AK284" s="45"/>
      <c r="AL284" s="45"/>
      <c r="AM284" s="105"/>
      <c r="AN284" s="49"/>
      <c r="AO284" s="50"/>
      <c r="AP284" s="45"/>
      <c r="AQ284" s="45"/>
      <c r="AR284" s="45"/>
      <c r="AS284" s="45"/>
      <c r="AT284" s="45"/>
      <c r="AU284" s="45"/>
      <c r="AV284" s="45"/>
      <c r="AW284" s="45"/>
      <c r="AX284" s="45"/>
      <c r="AY284" s="45"/>
      <c r="AZ284" s="45"/>
      <c r="BA284" s="45"/>
    </row>
    <row r="285" spans="6:55" x14ac:dyDescent="0.25">
      <c r="F285" s="45"/>
      <c r="G285" s="45"/>
      <c r="H285" s="45"/>
      <c r="I285" s="45"/>
      <c r="J285" s="45"/>
      <c r="K285" s="45"/>
      <c r="L285" s="45"/>
      <c r="M285" s="105"/>
      <c r="N285" s="49"/>
      <c r="O285" s="106"/>
      <c r="P285" s="45"/>
      <c r="Q285" s="45"/>
      <c r="R285" s="45"/>
      <c r="S285" s="45"/>
      <c r="T285" s="45"/>
      <c r="U285" s="45"/>
      <c r="V285" s="45"/>
      <c r="W285" s="45"/>
      <c r="X285" s="45"/>
      <c r="Y285" s="45"/>
      <c r="Z285" s="45"/>
      <c r="AA285" s="45"/>
      <c r="AB285" s="121"/>
      <c r="AF285" s="45"/>
      <c r="AG285" s="45"/>
      <c r="AH285" s="45"/>
      <c r="AI285" s="45"/>
      <c r="AJ285" s="45"/>
      <c r="AK285" s="45"/>
      <c r="AL285" s="45"/>
      <c r="AM285" s="105"/>
      <c r="AN285" s="49"/>
      <c r="AO285" s="50"/>
      <c r="AP285" s="45"/>
      <c r="AQ285" s="45"/>
      <c r="AR285" s="45"/>
      <c r="AS285" s="45"/>
      <c r="AT285" s="45"/>
      <c r="AU285" s="45"/>
      <c r="AV285" s="45"/>
      <c r="AW285" s="45"/>
      <c r="AX285" s="45"/>
      <c r="AY285" s="45"/>
      <c r="AZ285" s="45"/>
      <c r="BA285" s="45"/>
    </row>
    <row r="286" spans="6:55" x14ac:dyDescent="0.25">
      <c r="F286" s="45"/>
      <c r="G286" s="45"/>
      <c r="H286" s="45"/>
      <c r="I286" s="45"/>
      <c r="J286" s="45"/>
      <c r="K286" s="45"/>
      <c r="L286" s="45"/>
      <c r="M286" s="105"/>
      <c r="N286" s="49"/>
      <c r="O286" s="106"/>
      <c r="P286" s="45"/>
      <c r="Q286" s="45"/>
      <c r="R286" s="45"/>
      <c r="S286" s="45"/>
      <c r="T286" s="45"/>
      <c r="U286" s="45"/>
      <c r="V286" s="45"/>
      <c r="W286" s="45"/>
      <c r="X286" s="45"/>
      <c r="Y286" s="45"/>
      <c r="Z286" s="45"/>
      <c r="AA286" s="45"/>
      <c r="AB286" s="121"/>
      <c r="AF286" s="45"/>
      <c r="AG286" s="45"/>
      <c r="AH286" s="45"/>
      <c r="AI286" s="45"/>
      <c r="AJ286" s="45"/>
      <c r="AK286" s="45"/>
      <c r="AL286" s="45"/>
      <c r="AM286" s="105"/>
      <c r="AN286" s="49"/>
      <c r="AO286" s="50"/>
      <c r="AP286" s="45"/>
      <c r="AQ286" s="45"/>
      <c r="AR286" s="45"/>
      <c r="AS286" s="45"/>
      <c r="AT286" s="45"/>
      <c r="AU286" s="45"/>
      <c r="AV286" s="45"/>
      <c r="AW286" s="45"/>
      <c r="AX286" s="45"/>
      <c r="AY286" s="45"/>
      <c r="AZ286" s="45"/>
      <c r="BA286" s="45"/>
    </row>
    <row r="287" spans="6:55" x14ac:dyDescent="0.25">
      <c r="F287" s="45"/>
      <c r="G287" s="45"/>
      <c r="H287" s="45"/>
      <c r="I287" s="45"/>
      <c r="J287" s="45"/>
      <c r="K287" s="45"/>
      <c r="L287" s="45"/>
      <c r="M287" s="105"/>
      <c r="N287" s="49"/>
      <c r="O287" s="106"/>
      <c r="P287" s="45"/>
      <c r="Q287" s="45"/>
      <c r="R287" s="45"/>
      <c r="S287" s="45"/>
      <c r="T287" s="45"/>
      <c r="U287" s="45"/>
      <c r="V287" s="45"/>
      <c r="W287" s="45"/>
      <c r="X287" s="45"/>
      <c r="Y287" s="45"/>
      <c r="Z287" s="45"/>
      <c r="AA287" s="45"/>
      <c r="AB287" s="121"/>
      <c r="AF287" s="45"/>
      <c r="AG287" s="45"/>
      <c r="AH287" s="45"/>
      <c r="AI287" s="45"/>
      <c r="AJ287" s="45"/>
      <c r="AK287" s="45"/>
      <c r="AL287" s="45"/>
      <c r="AM287" s="105"/>
      <c r="AN287" s="49"/>
      <c r="AO287" s="50"/>
      <c r="AP287" s="45"/>
      <c r="AQ287" s="45"/>
      <c r="AR287" s="45"/>
      <c r="AS287" s="45"/>
      <c r="AT287" s="45"/>
      <c r="AU287" s="45"/>
      <c r="AV287" s="45"/>
      <c r="AW287" s="45"/>
      <c r="AX287" s="45"/>
      <c r="AY287" s="45"/>
      <c r="AZ287" s="45"/>
      <c r="BA287" s="45"/>
    </row>
    <row r="288" spans="6:55" x14ac:dyDescent="0.25">
      <c r="F288" s="45"/>
      <c r="G288" s="45"/>
      <c r="H288" s="45"/>
      <c r="I288" s="45"/>
      <c r="J288" s="45"/>
      <c r="K288" s="45"/>
      <c r="L288" s="45"/>
      <c r="M288" s="105"/>
      <c r="N288" s="49"/>
      <c r="O288" s="106"/>
      <c r="P288" s="45"/>
      <c r="Q288" s="45"/>
      <c r="R288" s="45"/>
      <c r="S288" s="45"/>
      <c r="T288" s="45"/>
      <c r="U288" s="45"/>
      <c r="V288" s="45"/>
      <c r="W288" s="45"/>
      <c r="X288" s="45"/>
      <c r="Y288" s="45"/>
      <c r="Z288" s="45"/>
      <c r="AA288" s="45"/>
      <c r="AB288" s="121"/>
      <c r="AF288" s="45"/>
      <c r="AG288" s="45"/>
      <c r="AH288" s="45"/>
      <c r="AI288" s="45"/>
      <c r="AJ288" s="45"/>
      <c r="AK288" s="45"/>
      <c r="AL288" s="45"/>
      <c r="AM288" s="105"/>
      <c r="AN288" s="49"/>
      <c r="AO288" s="50"/>
      <c r="AP288" s="45"/>
      <c r="AQ288" s="45"/>
      <c r="AR288" s="45"/>
      <c r="AS288" s="45"/>
      <c r="AT288" s="45"/>
      <c r="AU288" s="45"/>
      <c r="AV288" s="45"/>
      <c r="AW288" s="45"/>
      <c r="AX288" s="45"/>
      <c r="AY288" s="45"/>
      <c r="AZ288" s="45"/>
      <c r="BA288" s="45"/>
    </row>
    <row r="289" spans="6:53" x14ac:dyDescent="0.25">
      <c r="F289" s="45"/>
      <c r="G289" s="45"/>
      <c r="H289" s="45"/>
      <c r="I289" s="45"/>
      <c r="J289" s="45"/>
      <c r="K289" s="45"/>
      <c r="L289" s="45"/>
      <c r="M289" s="105"/>
      <c r="N289" s="49"/>
      <c r="O289" s="106"/>
      <c r="P289" s="45"/>
      <c r="Q289" s="45"/>
      <c r="R289" s="45"/>
      <c r="S289" s="45"/>
      <c r="T289" s="45"/>
      <c r="U289" s="45"/>
      <c r="V289" s="45"/>
      <c r="W289" s="45"/>
      <c r="X289" s="45"/>
      <c r="Y289" s="45"/>
      <c r="Z289" s="45"/>
      <c r="AA289" s="45"/>
      <c r="AB289" s="121"/>
      <c r="AF289" s="45"/>
      <c r="AG289" s="45"/>
      <c r="AH289" s="45"/>
      <c r="AI289" s="45"/>
      <c r="AJ289" s="45"/>
      <c r="AK289" s="45"/>
      <c r="AL289" s="45"/>
      <c r="AM289" s="105"/>
      <c r="AN289" s="49"/>
      <c r="AO289" s="50"/>
      <c r="AP289" s="45"/>
      <c r="AQ289" s="45"/>
      <c r="AR289" s="45"/>
      <c r="AS289" s="45"/>
      <c r="AT289" s="45"/>
      <c r="AU289" s="45"/>
      <c r="AV289" s="45"/>
      <c r="AW289" s="45"/>
      <c r="AX289" s="45"/>
      <c r="AY289" s="45"/>
      <c r="AZ289" s="45"/>
      <c r="BA289" s="45"/>
    </row>
    <row r="290" spans="6:53" x14ac:dyDescent="0.25">
      <c r="F290" s="45"/>
      <c r="G290" s="45"/>
      <c r="H290" s="45"/>
      <c r="I290" s="45"/>
      <c r="J290" s="45"/>
      <c r="K290" s="45"/>
      <c r="L290" s="45"/>
      <c r="M290" s="105"/>
      <c r="N290" s="49"/>
      <c r="O290" s="106"/>
      <c r="P290" s="45"/>
      <c r="Q290" s="45"/>
      <c r="R290" s="45"/>
      <c r="S290" s="45"/>
      <c r="T290" s="45"/>
      <c r="U290" s="45"/>
      <c r="V290" s="45"/>
      <c r="W290" s="45"/>
      <c r="X290" s="45"/>
      <c r="Y290" s="45"/>
      <c r="Z290" s="45"/>
      <c r="AA290" s="45"/>
      <c r="AB290" s="121"/>
      <c r="AF290" s="45"/>
      <c r="AG290" s="45"/>
      <c r="AH290" s="45"/>
      <c r="AI290" s="45"/>
      <c r="AJ290" s="45"/>
      <c r="AK290" s="45"/>
      <c r="AL290" s="45"/>
      <c r="AM290" s="105"/>
      <c r="AN290" s="49"/>
      <c r="AO290" s="50"/>
      <c r="AP290" s="45"/>
      <c r="AQ290" s="45"/>
      <c r="AR290" s="45"/>
      <c r="AS290" s="45"/>
      <c r="AT290" s="45"/>
      <c r="AU290" s="45"/>
      <c r="AV290" s="45"/>
      <c r="AW290" s="45"/>
      <c r="AX290" s="45"/>
      <c r="AY290" s="45"/>
      <c r="AZ290" s="45"/>
      <c r="BA290" s="45"/>
    </row>
    <row r="291" spans="6:53" x14ac:dyDescent="0.25">
      <c r="F291" s="45"/>
      <c r="G291" s="45"/>
      <c r="H291" s="45"/>
      <c r="I291" s="45"/>
      <c r="J291" s="45"/>
      <c r="K291" s="45"/>
      <c r="L291" s="45"/>
      <c r="M291" s="105"/>
      <c r="N291" s="49"/>
      <c r="O291" s="106"/>
      <c r="P291" s="45"/>
      <c r="Q291" s="45"/>
      <c r="R291" s="45"/>
      <c r="S291" s="45"/>
      <c r="T291" s="45"/>
      <c r="U291" s="45"/>
      <c r="V291" s="45"/>
      <c r="W291" s="45"/>
      <c r="X291" s="45"/>
      <c r="Y291" s="45"/>
      <c r="Z291" s="45"/>
      <c r="AA291" s="45"/>
      <c r="AB291" s="121"/>
      <c r="AF291" s="45"/>
      <c r="AG291" s="45"/>
      <c r="AH291" s="45"/>
      <c r="AI291" s="45"/>
      <c r="AJ291" s="45"/>
      <c r="AK291" s="45"/>
      <c r="AL291" s="45"/>
      <c r="AM291" s="105"/>
      <c r="AN291" s="49"/>
      <c r="AO291" s="50"/>
      <c r="AP291" s="45"/>
      <c r="AQ291" s="45"/>
      <c r="AR291" s="45"/>
      <c r="AS291" s="45"/>
      <c r="AT291" s="45"/>
      <c r="AU291" s="45"/>
      <c r="AV291" s="45"/>
      <c r="AW291" s="45"/>
      <c r="AX291" s="45"/>
      <c r="AY291" s="45"/>
      <c r="AZ291" s="45"/>
      <c r="BA291" s="45"/>
    </row>
    <row r="292" spans="6:53" x14ac:dyDescent="0.25">
      <c r="F292" s="45"/>
      <c r="G292" s="45"/>
      <c r="H292" s="45"/>
      <c r="I292" s="45"/>
      <c r="J292" s="45"/>
      <c r="K292" s="45"/>
      <c r="L292" s="45"/>
      <c r="M292" s="105"/>
      <c r="N292" s="49"/>
      <c r="O292" s="106"/>
      <c r="P292" s="45"/>
      <c r="Q292" s="45"/>
      <c r="R292" s="45"/>
      <c r="S292" s="45"/>
      <c r="T292" s="45"/>
      <c r="U292" s="45"/>
      <c r="V292" s="45"/>
      <c r="W292" s="45"/>
      <c r="X292" s="45"/>
      <c r="Y292" s="45"/>
      <c r="Z292" s="45"/>
      <c r="AA292" s="45"/>
      <c r="AB292" s="121"/>
      <c r="AF292" s="45"/>
      <c r="AG292" s="45"/>
      <c r="AH292" s="45"/>
      <c r="AI292" s="45"/>
      <c r="AJ292" s="45"/>
      <c r="AK292" s="45"/>
      <c r="AL292" s="45"/>
      <c r="AM292" s="105"/>
      <c r="AN292" s="49"/>
      <c r="AO292" s="50"/>
      <c r="AP292" s="45"/>
      <c r="AQ292" s="45"/>
      <c r="AR292" s="45"/>
      <c r="AS292" s="45"/>
      <c r="AT292" s="45"/>
      <c r="AU292" s="45"/>
      <c r="AV292" s="45"/>
      <c r="AW292" s="45"/>
      <c r="AX292" s="45"/>
      <c r="AY292" s="45"/>
      <c r="AZ292" s="45"/>
      <c r="BA292" s="45"/>
    </row>
    <row r="293" spans="6:53" x14ac:dyDescent="0.25">
      <c r="F293" s="45"/>
      <c r="G293" s="45"/>
      <c r="H293" s="45"/>
      <c r="I293" s="45"/>
      <c r="J293" s="45"/>
      <c r="K293" s="45"/>
      <c r="L293" s="45"/>
      <c r="M293" s="105"/>
      <c r="N293" s="49"/>
      <c r="O293" s="106"/>
      <c r="P293" s="45"/>
      <c r="Q293" s="45"/>
      <c r="R293" s="45"/>
      <c r="S293" s="45"/>
      <c r="T293" s="45"/>
      <c r="U293" s="45"/>
      <c r="V293" s="45"/>
      <c r="W293" s="45"/>
      <c r="X293" s="45"/>
      <c r="Y293" s="45"/>
      <c r="Z293" s="45"/>
      <c r="AA293" s="45"/>
      <c r="AB293" s="121"/>
      <c r="AF293" s="45"/>
      <c r="AG293" s="45"/>
      <c r="AH293" s="45"/>
      <c r="AI293" s="45"/>
      <c r="AJ293" s="45"/>
      <c r="AK293" s="45"/>
      <c r="AL293" s="45"/>
      <c r="AM293" s="105"/>
      <c r="AN293" s="49"/>
      <c r="AO293" s="50"/>
      <c r="AP293" s="45"/>
      <c r="AQ293" s="45"/>
      <c r="AR293" s="45"/>
      <c r="AS293" s="45"/>
      <c r="AT293" s="45"/>
      <c r="AU293" s="45"/>
      <c r="AV293" s="45"/>
      <c r="AW293" s="45"/>
      <c r="AX293" s="45"/>
      <c r="AY293" s="45"/>
      <c r="AZ293" s="45"/>
      <c r="BA293" s="45"/>
    </row>
    <row r="294" spans="6:53" x14ac:dyDescent="0.25">
      <c r="F294" s="45"/>
      <c r="G294" s="45"/>
      <c r="H294" s="45"/>
      <c r="I294" s="45"/>
      <c r="J294" s="45"/>
      <c r="K294" s="45"/>
      <c r="L294" s="45"/>
      <c r="M294" s="105"/>
      <c r="N294" s="49"/>
      <c r="O294" s="106"/>
      <c r="P294" s="45"/>
      <c r="Q294" s="45"/>
      <c r="R294" s="45"/>
      <c r="S294" s="45"/>
      <c r="T294" s="45"/>
      <c r="U294" s="45"/>
      <c r="V294" s="45"/>
      <c r="W294" s="45"/>
      <c r="X294" s="45"/>
      <c r="Y294" s="45"/>
      <c r="Z294" s="45"/>
      <c r="AA294" s="45"/>
      <c r="AB294" s="121"/>
      <c r="AF294" s="45"/>
      <c r="AG294" s="45"/>
      <c r="AH294" s="45"/>
      <c r="AI294" s="45"/>
      <c r="AJ294" s="45"/>
      <c r="AK294" s="45"/>
      <c r="AL294" s="45"/>
      <c r="AM294" s="105"/>
      <c r="AN294" s="49"/>
      <c r="AO294" s="50"/>
      <c r="AP294" s="45"/>
      <c r="AQ294" s="45"/>
      <c r="AR294" s="45"/>
      <c r="AS294" s="45"/>
      <c r="AT294" s="45"/>
      <c r="AU294" s="45"/>
      <c r="AV294" s="45"/>
      <c r="AW294" s="45"/>
      <c r="AX294" s="45"/>
      <c r="AY294" s="45"/>
      <c r="AZ294" s="45"/>
      <c r="BA294" s="45"/>
    </row>
    <row r="295" spans="6:53" x14ac:dyDescent="0.25">
      <c r="F295" s="45"/>
      <c r="G295" s="45"/>
      <c r="H295" s="45"/>
      <c r="I295" s="45"/>
      <c r="J295" s="45"/>
      <c r="K295" s="45"/>
      <c r="L295" s="45"/>
      <c r="M295" s="105"/>
      <c r="N295" s="49"/>
      <c r="O295" s="106"/>
      <c r="P295" s="45"/>
      <c r="Q295" s="45"/>
      <c r="R295" s="45"/>
      <c r="S295" s="45"/>
      <c r="T295" s="45"/>
      <c r="U295" s="45"/>
      <c r="V295" s="45"/>
      <c r="W295" s="45"/>
      <c r="X295" s="45"/>
      <c r="Y295" s="45"/>
      <c r="Z295" s="45"/>
      <c r="AA295" s="45"/>
      <c r="AB295" s="121"/>
      <c r="AF295" s="45"/>
      <c r="AG295" s="45"/>
      <c r="AH295" s="45"/>
      <c r="AI295" s="45"/>
      <c r="AJ295" s="45"/>
      <c r="AK295" s="45"/>
      <c r="AL295" s="45"/>
      <c r="AM295" s="105"/>
      <c r="AN295" s="49"/>
      <c r="AO295" s="50"/>
      <c r="AP295" s="45"/>
      <c r="AQ295" s="45"/>
      <c r="AR295" s="45"/>
      <c r="AS295" s="45"/>
      <c r="AT295" s="45"/>
      <c r="AU295" s="45"/>
      <c r="AV295" s="45"/>
      <c r="AW295" s="45"/>
      <c r="AX295" s="45"/>
      <c r="AY295" s="45"/>
      <c r="AZ295" s="45"/>
      <c r="BA295" s="45"/>
    </row>
    <row r="296" spans="6:53" x14ac:dyDescent="0.25">
      <c r="F296" s="45"/>
      <c r="G296" s="45"/>
      <c r="H296" s="45"/>
      <c r="I296" s="45"/>
      <c r="J296" s="45"/>
      <c r="K296" s="45"/>
      <c r="L296" s="45"/>
      <c r="M296" s="105"/>
      <c r="N296" s="49"/>
      <c r="O296" s="106"/>
      <c r="P296" s="45"/>
      <c r="Q296" s="45"/>
      <c r="R296" s="45"/>
      <c r="S296" s="45"/>
      <c r="T296" s="45"/>
      <c r="U296" s="45"/>
      <c r="V296" s="45"/>
      <c r="W296" s="45"/>
      <c r="X296" s="45"/>
      <c r="Y296" s="45"/>
      <c r="Z296" s="45"/>
      <c r="AA296" s="45"/>
      <c r="AB296" s="121"/>
      <c r="AF296" s="45"/>
      <c r="AG296" s="45"/>
      <c r="AH296" s="45"/>
      <c r="AI296" s="45"/>
      <c r="AJ296" s="45"/>
      <c r="AK296" s="45"/>
      <c r="AL296" s="45"/>
      <c r="AM296" s="105"/>
      <c r="AN296" s="49"/>
      <c r="AO296" s="50"/>
      <c r="AP296" s="45"/>
      <c r="AQ296" s="45"/>
      <c r="AR296" s="45"/>
      <c r="AS296" s="45"/>
      <c r="AT296" s="45"/>
      <c r="AU296" s="45"/>
      <c r="AV296" s="45"/>
      <c r="AW296" s="45"/>
      <c r="AX296" s="45"/>
      <c r="AY296" s="45"/>
      <c r="AZ296" s="45"/>
      <c r="BA296" s="45"/>
    </row>
    <row r="297" spans="6:53" x14ac:dyDescent="0.25">
      <c r="F297" s="45"/>
      <c r="G297" s="45"/>
      <c r="H297" s="45"/>
      <c r="I297" s="45"/>
      <c r="J297" s="45"/>
      <c r="K297" s="45"/>
      <c r="L297" s="45"/>
      <c r="M297" s="105"/>
      <c r="N297" s="49"/>
      <c r="O297" s="106"/>
      <c r="P297" s="45"/>
      <c r="Q297" s="45"/>
      <c r="R297" s="45"/>
      <c r="S297" s="45"/>
      <c r="T297" s="45"/>
      <c r="U297" s="45"/>
      <c r="V297" s="45"/>
      <c r="W297" s="45"/>
      <c r="X297" s="45"/>
      <c r="Y297" s="45"/>
      <c r="Z297" s="45"/>
      <c r="AA297" s="45"/>
      <c r="AB297" s="121"/>
      <c r="AF297" s="45"/>
      <c r="AG297" s="45"/>
      <c r="AH297" s="45"/>
      <c r="AI297" s="45"/>
      <c r="AJ297" s="45"/>
      <c r="AK297" s="45"/>
      <c r="AL297" s="45"/>
      <c r="AM297" s="105"/>
      <c r="AN297" s="49"/>
      <c r="AO297" s="50"/>
      <c r="AP297" s="45"/>
      <c r="AQ297" s="45"/>
      <c r="AR297" s="45"/>
      <c r="AS297" s="45"/>
      <c r="AT297" s="45"/>
      <c r="AU297" s="45"/>
      <c r="AV297" s="45"/>
      <c r="AW297" s="45"/>
      <c r="AX297" s="45"/>
      <c r="AY297" s="45"/>
      <c r="AZ297" s="45"/>
      <c r="BA297" s="45"/>
    </row>
    <row r="298" spans="6:53" x14ac:dyDescent="0.25">
      <c r="F298" s="45"/>
      <c r="G298" s="45"/>
      <c r="H298" s="45"/>
      <c r="I298" s="45"/>
      <c r="J298" s="45"/>
      <c r="K298" s="45"/>
      <c r="L298" s="45"/>
      <c r="M298" s="105"/>
      <c r="N298" s="49"/>
      <c r="O298" s="106"/>
      <c r="P298" s="45"/>
      <c r="Q298" s="45"/>
      <c r="R298" s="45"/>
      <c r="S298" s="45"/>
      <c r="T298" s="45"/>
      <c r="U298" s="45"/>
      <c r="V298" s="45"/>
      <c r="W298" s="45"/>
      <c r="X298" s="45"/>
      <c r="Y298" s="45"/>
      <c r="Z298" s="45"/>
      <c r="AA298" s="45"/>
      <c r="AB298" s="121"/>
      <c r="AF298" s="45"/>
      <c r="AG298" s="45"/>
      <c r="AH298" s="45"/>
      <c r="AI298" s="45"/>
      <c r="AJ298" s="45"/>
      <c r="AK298" s="45"/>
      <c r="AL298" s="45"/>
      <c r="AM298" s="105"/>
      <c r="AN298" s="49"/>
      <c r="AO298" s="50"/>
      <c r="AP298" s="45"/>
      <c r="AQ298" s="45"/>
      <c r="AR298" s="45"/>
      <c r="AS298" s="45"/>
      <c r="AT298" s="45"/>
      <c r="AU298" s="45"/>
      <c r="AV298" s="45"/>
      <c r="AW298" s="45"/>
      <c r="AX298" s="45"/>
      <c r="AY298" s="45"/>
      <c r="AZ298" s="45"/>
      <c r="BA298" s="45"/>
    </row>
    <row r="299" spans="6:53" x14ac:dyDescent="0.25">
      <c r="F299" s="45"/>
      <c r="G299" s="45"/>
      <c r="H299" s="45"/>
      <c r="I299" s="45"/>
      <c r="J299" s="45"/>
      <c r="K299" s="45"/>
      <c r="L299" s="45"/>
      <c r="M299" s="105"/>
      <c r="N299" s="49"/>
      <c r="O299" s="106"/>
      <c r="P299" s="45"/>
      <c r="Q299" s="45"/>
      <c r="R299" s="45"/>
      <c r="S299" s="45"/>
      <c r="T299" s="45"/>
      <c r="U299" s="45"/>
      <c r="V299" s="45"/>
      <c r="W299" s="45"/>
      <c r="X299" s="45"/>
      <c r="Y299" s="45"/>
      <c r="Z299" s="45"/>
      <c r="AA299" s="45"/>
      <c r="AB299" s="121"/>
      <c r="AF299" s="45"/>
      <c r="AG299" s="45"/>
      <c r="AH299" s="45"/>
      <c r="AI299" s="45"/>
      <c r="AJ299" s="45"/>
      <c r="AK299" s="45"/>
      <c r="AL299" s="45"/>
      <c r="AM299" s="105"/>
      <c r="AN299" s="49"/>
      <c r="AO299" s="50"/>
      <c r="AP299" s="45"/>
      <c r="AQ299" s="45"/>
      <c r="AR299" s="45"/>
      <c r="AS299" s="45"/>
      <c r="AT299" s="45"/>
      <c r="AU299" s="45"/>
      <c r="AV299" s="45"/>
      <c r="AW299" s="45"/>
      <c r="AX299" s="45"/>
      <c r="AY299" s="45"/>
      <c r="AZ299" s="45"/>
      <c r="BA299" s="45"/>
    </row>
    <row r="300" spans="6:53" x14ac:dyDescent="0.25">
      <c r="F300" s="45"/>
      <c r="G300" s="45"/>
      <c r="H300" s="45"/>
      <c r="I300" s="45"/>
      <c r="J300" s="45"/>
      <c r="K300" s="45"/>
      <c r="L300" s="45"/>
      <c r="M300" s="105"/>
      <c r="N300" s="49"/>
      <c r="O300" s="106"/>
      <c r="P300" s="45"/>
      <c r="Q300" s="45"/>
      <c r="R300" s="45"/>
      <c r="S300" s="45"/>
      <c r="T300" s="45"/>
      <c r="U300" s="45"/>
      <c r="V300" s="45"/>
      <c r="W300" s="45"/>
      <c r="X300" s="45"/>
      <c r="Y300" s="45"/>
      <c r="Z300" s="45"/>
      <c r="AA300" s="45"/>
      <c r="AB300" s="121"/>
      <c r="AF300" s="45"/>
      <c r="AG300" s="45"/>
      <c r="AH300" s="45"/>
      <c r="AI300" s="45"/>
      <c r="AJ300" s="45"/>
      <c r="AK300" s="45"/>
      <c r="AL300" s="45"/>
      <c r="AM300" s="105"/>
      <c r="AN300" s="49"/>
      <c r="AO300" s="50"/>
      <c r="AP300" s="45"/>
      <c r="AQ300" s="45"/>
      <c r="AR300" s="45"/>
      <c r="AS300" s="45"/>
      <c r="AT300" s="45"/>
      <c r="AU300" s="45"/>
      <c r="AV300" s="45"/>
      <c r="AW300" s="45"/>
      <c r="AX300" s="45"/>
      <c r="AY300" s="45"/>
      <c r="AZ300" s="45"/>
      <c r="BA300" s="45"/>
    </row>
    <row r="301" spans="6:53" x14ac:dyDescent="0.25">
      <c r="F301" s="45"/>
      <c r="G301" s="45"/>
      <c r="H301" s="45"/>
      <c r="I301" s="45"/>
      <c r="J301" s="45"/>
      <c r="K301" s="45"/>
      <c r="L301" s="45"/>
      <c r="M301" s="105"/>
      <c r="N301" s="49"/>
      <c r="O301" s="106"/>
      <c r="P301" s="45"/>
      <c r="Q301" s="45"/>
      <c r="R301" s="45"/>
      <c r="S301" s="45"/>
      <c r="T301" s="45"/>
      <c r="U301" s="45"/>
      <c r="V301" s="45"/>
      <c r="W301" s="45"/>
      <c r="X301" s="45"/>
      <c r="Y301" s="45"/>
      <c r="Z301" s="45"/>
      <c r="AA301" s="45"/>
      <c r="AB301" s="121"/>
      <c r="AF301" s="45"/>
      <c r="AG301" s="45"/>
      <c r="AH301" s="45"/>
      <c r="AI301" s="45"/>
      <c r="AJ301" s="45"/>
      <c r="AK301" s="45"/>
      <c r="AL301" s="45"/>
      <c r="AM301" s="105"/>
      <c r="AN301" s="49"/>
      <c r="AO301" s="50"/>
      <c r="AP301" s="45"/>
      <c r="AQ301" s="45"/>
      <c r="AR301" s="45"/>
      <c r="AS301" s="45"/>
      <c r="AT301" s="45"/>
      <c r="AU301" s="45"/>
      <c r="AV301" s="45"/>
      <c r="AW301" s="45"/>
      <c r="AX301" s="45"/>
      <c r="AY301" s="45"/>
      <c r="AZ301" s="45"/>
      <c r="BA301" s="45"/>
    </row>
    <row r="302" spans="6:53" x14ac:dyDescent="0.25">
      <c r="F302" s="45"/>
      <c r="G302" s="45"/>
      <c r="H302" s="45"/>
      <c r="I302" s="45"/>
      <c r="J302" s="45"/>
      <c r="K302" s="45"/>
      <c r="L302" s="45"/>
      <c r="M302" s="105"/>
      <c r="N302" s="49"/>
      <c r="O302" s="106"/>
      <c r="P302" s="45"/>
      <c r="Q302" s="45"/>
      <c r="R302" s="45"/>
      <c r="S302" s="45"/>
      <c r="T302" s="45"/>
      <c r="U302" s="45"/>
      <c r="V302" s="45"/>
      <c r="W302" s="45"/>
      <c r="X302" s="45"/>
      <c r="Y302" s="45"/>
      <c r="Z302" s="45"/>
      <c r="AA302" s="45"/>
      <c r="AB302" s="121"/>
      <c r="AF302" s="45"/>
      <c r="AG302" s="45"/>
      <c r="AH302" s="45"/>
      <c r="AI302" s="45"/>
      <c r="AJ302" s="45"/>
      <c r="AK302" s="45"/>
      <c r="AL302" s="45"/>
      <c r="AM302" s="105"/>
      <c r="AN302" s="49"/>
      <c r="AO302" s="50"/>
      <c r="AP302" s="45"/>
      <c r="AQ302" s="45"/>
      <c r="AR302" s="45"/>
      <c r="AS302" s="45"/>
      <c r="AT302" s="45"/>
      <c r="AU302" s="45"/>
      <c r="AV302" s="45"/>
      <c r="AW302" s="45"/>
      <c r="AX302" s="45"/>
      <c r="AY302" s="45"/>
      <c r="AZ302" s="45"/>
      <c r="BA302" s="45"/>
    </row>
    <row r="303" spans="6:53" x14ac:dyDescent="0.25">
      <c r="F303" s="45"/>
      <c r="G303" s="45"/>
      <c r="H303" s="45"/>
      <c r="I303" s="45"/>
      <c r="J303" s="45"/>
      <c r="K303" s="45"/>
      <c r="L303" s="45"/>
      <c r="M303" s="105"/>
      <c r="N303" s="49"/>
      <c r="O303" s="106"/>
      <c r="P303" s="45"/>
      <c r="Q303" s="45"/>
      <c r="R303" s="45"/>
      <c r="S303" s="45"/>
      <c r="T303" s="45"/>
      <c r="U303" s="45"/>
      <c r="V303" s="45"/>
      <c r="W303" s="45"/>
      <c r="X303" s="45"/>
      <c r="Y303" s="45"/>
      <c r="Z303" s="45"/>
      <c r="AA303" s="45"/>
      <c r="AB303" s="121"/>
      <c r="AF303" s="45"/>
      <c r="AG303" s="45"/>
      <c r="AH303" s="45"/>
      <c r="AI303" s="45"/>
      <c r="AJ303" s="45"/>
      <c r="AK303" s="45"/>
      <c r="AL303" s="45"/>
      <c r="AM303" s="105"/>
      <c r="AN303" s="49"/>
      <c r="AO303" s="50"/>
      <c r="AP303" s="45"/>
      <c r="AQ303" s="45"/>
      <c r="AR303" s="45"/>
      <c r="AS303" s="45"/>
      <c r="AT303" s="45"/>
      <c r="AU303" s="45"/>
      <c r="AV303" s="45"/>
      <c r="AW303" s="45"/>
      <c r="AX303" s="45"/>
      <c r="AY303" s="45"/>
      <c r="AZ303" s="45"/>
      <c r="BA303" s="45"/>
    </row>
    <row r="304" spans="6:53" x14ac:dyDescent="0.25">
      <c r="F304" s="45"/>
      <c r="G304" s="45"/>
      <c r="H304" s="45"/>
      <c r="I304" s="45"/>
      <c r="J304" s="45"/>
      <c r="K304" s="45"/>
      <c r="L304" s="45"/>
      <c r="M304" s="105"/>
      <c r="N304" s="49"/>
      <c r="O304" s="106"/>
      <c r="P304" s="45"/>
      <c r="Q304" s="45"/>
      <c r="R304" s="45"/>
      <c r="S304" s="45"/>
      <c r="T304" s="45"/>
      <c r="U304" s="45"/>
      <c r="V304" s="45"/>
      <c r="W304" s="45"/>
      <c r="X304" s="45"/>
      <c r="Y304" s="45"/>
      <c r="Z304" s="45"/>
      <c r="AA304" s="45"/>
      <c r="AB304" s="121"/>
      <c r="AF304" s="45"/>
      <c r="AG304" s="45"/>
      <c r="AH304" s="45"/>
      <c r="AI304" s="45"/>
      <c r="AJ304" s="45"/>
      <c r="AK304" s="45"/>
      <c r="AL304" s="45"/>
      <c r="AM304" s="105"/>
      <c r="AN304" s="49"/>
      <c r="AO304" s="50"/>
      <c r="AP304" s="45"/>
      <c r="AQ304" s="45"/>
      <c r="AR304" s="45"/>
      <c r="AS304" s="45"/>
      <c r="AT304" s="45"/>
      <c r="AU304" s="45"/>
      <c r="AV304" s="45"/>
      <c r="AW304" s="45"/>
      <c r="AX304" s="45"/>
      <c r="AY304" s="45"/>
      <c r="AZ304" s="45"/>
      <c r="BA304" s="45"/>
    </row>
    <row r="305" spans="40:41" x14ac:dyDescent="0.25">
      <c r="AN305" s="27"/>
      <c r="AO305" s="28"/>
    </row>
    <row r="306" spans="40:41" x14ac:dyDescent="0.25">
      <c r="AN306" s="27"/>
      <c r="AO306" s="28"/>
    </row>
    <row r="307" spans="40:41" x14ac:dyDescent="0.25">
      <c r="AN307" s="27"/>
      <c r="AO307" s="28"/>
    </row>
    <row r="308" spans="40:41" x14ac:dyDescent="0.25">
      <c r="AN308" s="27"/>
      <c r="AO308" s="28"/>
    </row>
    <row r="309" spans="40:41" x14ac:dyDescent="0.25">
      <c r="AN309" s="27"/>
      <c r="AO309" s="28"/>
    </row>
    <row r="310" spans="40:41" x14ac:dyDescent="0.25">
      <c r="AN310" s="27"/>
      <c r="AO310" s="28"/>
    </row>
    <row r="311" spans="40:41" x14ac:dyDescent="0.25">
      <c r="AN311" s="27"/>
      <c r="AO311" s="28"/>
    </row>
    <row r="312" spans="40:41" x14ac:dyDescent="0.25">
      <c r="AN312" s="27"/>
      <c r="AO312" s="28"/>
    </row>
    <row r="313" spans="40:41" x14ac:dyDescent="0.25">
      <c r="AN313" s="27"/>
      <c r="AO313" s="28"/>
    </row>
    <row r="314" spans="40:41" x14ac:dyDescent="0.25">
      <c r="AN314" s="27"/>
      <c r="AO314" s="28"/>
    </row>
    <row r="315" spans="40:41" x14ac:dyDescent="0.25">
      <c r="AN315" s="27"/>
      <c r="AO315" s="28"/>
    </row>
    <row r="316" spans="40:41" x14ac:dyDescent="0.25">
      <c r="AN316" s="27"/>
      <c r="AO316" s="28"/>
    </row>
    <row r="317" spans="40:41" x14ac:dyDescent="0.25">
      <c r="AN317" s="27"/>
      <c r="AO317" s="28"/>
    </row>
    <row r="318" spans="40:41" x14ac:dyDescent="0.25">
      <c r="AN318" s="27"/>
      <c r="AO318" s="28"/>
    </row>
    <row r="319" spans="40:41" x14ac:dyDescent="0.25">
      <c r="AN319" s="27"/>
      <c r="AO319" s="28"/>
    </row>
    <row r="320" spans="40:41" x14ac:dyDescent="0.25">
      <c r="AN320" s="27"/>
      <c r="AO320" s="28"/>
    </row>
    <row r="321" spans="40:41" x14ac:dyDescent="0.25">
      <c r="AN321" s="27"/>
      <c r="AO321" s="28"/>
    </row>
    <row r="322" spans="40:41" x14ac:dyDescent="0.25">
      <c r="AN322" s="27"/>
      <c r="AO322" s="28"/>
    </row>
    <row r="323" spans="40:41" x14ac:dyDescent="0.25">
      <c r="AN323" s="27"/>
      <c r="AO323" s="28"/>
    </row>
    <row r="324" spans="40:41" x14ac:dyDescent="0.25">
      <c r="AN324" s="27"/>
      <c r="AO324" s="28"/>
    </row>
    <row r="325" spans="40:41" x14ac:dyDescent="0.25">
      <c r="AN325" s="27"/>
      <c r="AO325" s="28"/>
    </row>
    <row r="326" spans="40:41" x14ac:dyDescent="0.25">
      <c r="AN326" s="27"/>
      <c r="AO326" s="28"/>
    </row>
    <row r="327" spans="40:41" x14ac:dyDescent="0.25">
      <c r="AN327" s="27"/>
      <c r="AO327" s="28"/>
    </row>
    <row r="328" spans="40:41" x14ac:dyDescent="0.25">
      <c r="AN328" s="27"/>
      <c r="AO328" s="28"/>
    </row>
    <row r="329" spans="40:41" x14ac:dyDescent="0.25">
      <c r="AN329" s="27"/>
      <c r="AO329" s="28"/>
    </row>
    <row r="330" spans="40:41" x14ac:dyDescent="0.25">
      <c r="AN330" s="27"/>
      <c r="AO330" s="28"/>
    </row>
    <row r="331" spans="40:41" x14ac:dyDescent="0.25">
      <c r="AN331" s="27"/>
      <c r="AO331" s="28"/>
    </row>
    <row r="332" spans="40:41" x14ac:dyDescent="0.25">
      <c r="AN332" s="27"/>
      <c r="AO332" s="28"/>
    </row>
    <row r="333" spans="40:41" x14ac:dyDescent="0.25">
      <c r="AN333" s="27"/>
      <c r="AO333" s="28"/>
    </row>
    <row r="334" spans="40:41" x14ac:dyDescent="0.25">
      <c r="AN334" s="27"/>
      <c r="AO334" s="28"/>
    </row>
    <row r="335" spans="40:41" x14ac:dyDescent="0.25">
      <c r="AN335" s="27"/>
      <c r="AO335" s="28"/>
    </row>
    <row r="336" spans="40:41" x14ac:dyDescent="0.25">
      <c r="AN336" s="27"/>
      <c r="AO336" s="28"/>
    </row>
    <row r="337" spans="40:41" x14ac:dyDescent="0.25">
      <c r="AN337" s="27"/>
      <c r="AO337" s="28"/>
    </row>
    <row r="338" spans="40:41" x14ac:dyDescent="0.25">
      <c r="AN338" s="27"/>
      <c r="AO338" s="28"/>
    </row>
    <row r="339" spans="40:41" x14ac:dyDescent="0.25">
      <c r="AN339" s="27"/>
      <c r="AO339" s="28"/>
    </row>
    <row r="340" spans="40:41" x14ac:dyDescent="0.25">
      <c r="AN340" s="27"/>
      <c r="AO340" s="28"/>
    </row>
    <row r="341" spans="40:41" x14ac:dyDescent="0.25">
      <c r="AN341" s="27"/>
      <c r="AO341" s="28"/>
    </row>
    <row r="342" spans="40:41" x14ac:dyDescent="0.25">
      <c r="AN342" s="27"/>
      <c r="AO342" s="28"/>
    </row>
    <row r="343" spans="40:41" x14ac:dyDescent="0.25">
      <c r="AN343" s="27"/>
      <c r="AO343" s="28"/>
    </row>
    <row r="344" spans="40:41" x14ac:dyDescent="0.25">
      <c r="AN344" s="27"/>
      <c r="AO344" s="28"/>
    </row>
    <row r="345" spans="40:41" x14ac:dyDescent="0.25">
      <c r="AN345" s="27"/>
      <c r="AO345" s="28"/>
    </row>
    <row r="346" spans="40:41" x14ac:dyDescent="0.25">
      <c r="AN346" s="27"/>
      <c r="AO346" s="28"/>
    </row>
    <row r="347" spans="40:41" x14ac:dyDescent="0.25">
      <c r="AN347" s="27"/>
      <c r="AO347" s="28"/>
    </row>
    <row r="348" spans="40:41" x14ac:dyDescent="0.25">
      <c r="AN348" s="27"/>
      <c r="AO348" s="28"/>
    </row>
    <row r="349" spans="40:41" x14ac:dyDescent="0.25">
      <c r="AN349" s="27"/>
      <c r="AO349" s="28"/>
    </row>
  </sheetData>
  <mergeCells count="20">
    <mergeCell ref="BB5:BB9"/>
    <mergeCell ref="AB10:AB14"/>
    <mergeCell ref="AB275:AB279"/>
    <mergeCell ref="AB280:AB284"/>
    <mergeCell ref="A1:C3"/>
    <mergeCell ref="F1:AA1"/>
    <mergeCell ref="AF1:BA1"/>
    <mergeCell ref="P2:R2"/>
    <mergeCell ref="S2:U2"/>
    <mergeCell ref="V2:X2"/>
    <mergeCell ref="Y2:AA2"/>
    <mergeCell ref="AP2:AR2"/>
    <mergeCell ref="AS2:AU2"/>
    <mergeCell ref="AV2:AX2"/>
    <mergeCell ref="AB285:AB289"/>
    <mergeCell ref="AB290:AB294"/>
    <mergeCell ref="AB295:AB299"/>
    <mergeCell ref="AB300:AB304"/>
    <mergeCell ref="AY2:BA2"/>
    <mergeCell ref="AB5:AB9"/>
  </mergeCells>
  <conditionalFormatting sqref="AB15 AB5 AB20 AB25 AB30 AB35 AB40 AB45 AB50 AB55 AB60 AB65 AB70 AB75 AB80 AB85 AB90 AB95 AB100 AB105 AB110 AB115 AB120 AB125 AB130 AB135 AB140 AB145 AB150 AB155 AB160 AB165 AB170 AB175 AB180 AB185 AB190 AB195 AB200 AB205 AB210 AB215 AB220 AB225 AB230 AB235 AB240 AB245 AB250 AB255 AB260 AB265 AB270 AB10">
    <cfRule type="colorScale" priority="4">
      <colorScale>
        <cfvo type="min"/>
        <cfvo type="percentile" val="50"/>
        <cfvo type="max"/>
        <color rgb="FFF8696B"/>
        <color rgb="FFFFEB84"/>
        <color rgb="FF63BE7B"/>
      </colorScale>
    </cfRule>
  </conditionalFormatting>
  <conditionalFormatting sqref="AB15:AB304 AB5 AB10">
    <cfRule type="colorScale" priority="5">
      <colorScale>
        <cfvo type="min"/>
        <cfvo type="percentile" val="50"/>
        <cfvo type="max"/>
        <color rgb="FFF8696B"/>
        <color rgb="FFFFEB84"/>
        <color rgb="FF63BE7B"/>
      </colorScale>
    </cfRule>
  </conditionalFormatting>
  <conditionalFormatting sqref="AB280 AB275 AB285 AB290 AB295 AB300">
    <cfRule type="colorScale" priority="1">
      <colorScale>
        <cfvo type="min"/>
        <cfvo type="percentile" val="50"/>
        <cfvo type="max"/>
        <color rgb="FFF8696B"/>
        <color rgb="FFFFEB84"/>
        <color rgb="FF63BE7B"/>
      </colorScale>
    </cfRule>
  </conditionalFormatting>
  <conditionalFormatting sqref="AC5:AE5 AC95:AE95 AC185:AE185">
    <cfRule type="colorScale" priority="7">
      <colorScale>
        <cfvo type="min"/>
        <cfvo type="percentile" val="50"/>
        <cfvo type="max"/>
        <color rgb="FFF8696B"/>
        <color rgb="FFFFEB84"/>
        <color rgb="FF63BE7B"/>
      </colorScale>
    </cfRule>
  </conditionalFormatting>
  <conditionalFormatting sqref="BB5:BB349">
    <cfRule type="colorScale" priority="6">
      <colorScale>
        <cfvo type="min"/>
        <cfvo type="percentile" val="50"/>
        <cfvo type="max"/>
        <color rgb="FFF8696B"/>
        <color rgb="FFFFEB84"/>
        <color rgb="FF63BE7B"/>
      </colorScale>
    </cfRule>
  </conditionalFormatting>
  <conditionalFormatting sqref="BB10 BB5 BB15 BB20 BB25 BB30 BB35 BB40 BB45 BB50 BB55 BB60 BB65 BB70 BB75 BB80 BB85 BB90 BB95 BB100 BB105 BB110 BB115 BB120 BB125 BB130 BB135 BB140 BB145 BB150 BB155 BB160 BB165 BB170 BB175 BB180 BB185 BB190 BB195 BB200 BB205 BB210 BB215 BB220 BB225 BB230 BB235 BB240 BB245 BB250 BB255 BB260 BB265 BB270">
    <cfRule type="colorScale" priority="3">
      <colorScale>
        <cfvo type="min"/>
        <cfvo type="percentile" val="50"/>
        <cfvo type="max"/>
        <color rgb="FFF8696B"/>
        <color rgb="FFFFEB84"/>
        <color rgb="FF63BE7B"/>
      </colorScale>
    </cfRule>
  </conditionalFormatting>
  <conditionalFormatting sqref="BC95 BC5 BC185">
    <cfRule type="colorScale" priority="2">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F6843-6427-4186-B0BA-68F901077F35}">
  <dimension ref="A1:BA345"/>
  <sheetViews>
    <sheetView zoomScale="70" zoomScaleNormal="70" workbookViewId="0">
      <selection activeCell="AQ12" sqref="AQ12"/>
    </sheetView>
  </sheetViews>
  <sheetFormatPr defaultRowHeight="15" x14ac:dyDescent="0.25"/>
  <cols>
    <col min="13" max="13" width="9.140625" style="16"/>
    <col min="14" max="14" width="9.140625" style="27"/>
    <col min="15" max="15" width="9.140625" style="31"/>
    <col min="28" max="30" width="9.140625" style="25"/>
    <col min="53" max="53" width="9.140625" style="25"/>
  </cols>
  <sheetData>
    <row r="1" spans="1:53" s="5" customFormat="1" x14ac:dyDescent="0.25">
      <c r="A1" s="122" t="s">
        <v>241</v>
      </c>
      <c r="B1" s="122"/>
      <c r="C1" s="122"/>
      <c r="D1" s="110"/>
      <c r="E1" s="110"/>
      <c r="F1" s="124" t="s">
        <v>297</v>
      </c>
      <c r="G1" s="124"/>
      <c r="H1" s="124"/>
      <c r="I1" s="124"/>
      <c r="J1" s="124"/>
      <c r="K1" s="124"/>
      <c r="L1" s="124"/>
      <c r="M1" s="124"/>
      <c r="N1" s="124"/>
      <c r="O1" s="124"/>
      <c r="P1" s="124"/>
      <c r="Q1" s="124"/>
      <c r="R1" s="124"/>
      <c r="S1" s="124"/>
      <c r="T1" s="124"/>
      <c r="U1" s="124"/>
      <c r="V1" s="124"/>
      <c r="W1" s="124"/>
      <c r="X1" s="124"/>
      <c r="Y1" s="124"/>
      <c r="Z1" s="124"/>
      <c r="AA1" s="124"/>
      <c r="AB1" s="26"/>
      <c r="AC1" s="26"/>
      <c r="AD1" s="26"/>
      <c r="AE1" s="124" t="s">
        <v>298</v>
      </c>
      <c r="AF1" s="124"/>
      <c r="AG1" s="124"/>
      <c r="AH1" s="124"/>
      <c r="AI1" s="124"/>
      <c r="AJ1" s="124"/>
      <c r="AK1" s="124"/>
      <c r="AL1" s="124"/>
      <c r="AM1" s="124"/>
      <c r="AN1" s="124"/>
      <c r="AO1" s="124"/>
      <c r="AP1" s="124"/>
      <c r="AQ1" s="124"/>
      <c r="AR1" s="124"/>
      <c r="AS1" s="124"/>
      <c r="AT1" s="124"/>
      <c r="AU1" s="124"/>
      <c r="AV1" s="124"/>
      <c r="AW1" s="124"/>
      <c r="AX1" s="124"/>
      <c r="AY1" s="124"/>
      <c r="AZ1" s="124"/>
      <c r="BA1" s="26"/>
    </row>
    <row r="2" spans="1:53" s="5" customFormat="1" x14ac:dyDescent="0.25">
      <c r="A2" s="122"/>
      <c r="B2" s="122"/>
      <c r="C2" s="122"/>
      <c r="D2" s="110"/>
      <c r="E2" s="110"/>
      <c r="F2" s="13"/>
      <c r="G2" s="13"/>
      <c r="H2" s="13"/>
      <c r="I2" s="13"/>
      <c r="J2" s="13"/>
      <c r="K2" s="13"/>
      <c r="L2" s="13"/>
      <c r="M2" s="29"/>
      <c r="N2" s="41"/>
      <c r="O2" s="32"/>
      <c r="P2" s="125" t="s">
        <v>2</v>
      </c>
      <c r="Q2" s="125"/>
      <c r="R2" s="125"/>
      <c r="S2" s="125" t="s">
        <v>17</v>
      </c>
      <c r="T2" s="125"/>
      <c r="U2" s="125"/>
      <c r="V2" s="125" t="s">
        <v>18</v>
      </c>
      <c r="W2" s="125"/>
      <c r="X2" s="125"/>
      <c r="Y2" s="125" t="s">
        <v>19</v>
      </c>
      <c r="Z2" s="125"/>
      <c r="AA2" s="125"/>
      <c r="AB2" s="26"/>
      <c r="AC2" s="26"/>
      <c r="AD2" s="26"/>
      <c r="AE2" s="13"/>
      <c r="AF2" s="13"/>
      <c r="AG2" s="13"/>
      <c r="AH2" s="13"/>
      <c r="AI2" s="13"/>
      <c r="AJ2" s="13"/>
      <c r="AK2" s="13"/>
      <c r="AL2" s="29"/>
      <c r="AM2" s="41"/>
      <c r="AN2" s="32"/>
      <c r="AO2" s="125" t="s">
        <v>2</v>
      </c>
      <c r="AP2" s="125"/>
      <c r="AQ2" s="125"/>
      <c r="AR2" s="125" t="s">
        <v>17</v>
      </c>
      <c r="AS2" s="125"/>
      <c r="AT2" s="125"/>
      <c r="AU2" s="125" t="s">
        <v>18</v>
      </c>
      <c r="AV2" s="125"/>
      <c r="AW2" s="125"/>
      <c r="AX2" s="125" t="s">
        <v>19</v>
      </c>
      <c r="AY2" s="125"/>
      <c r="AZ2" s="125"/>
      <c r="BA2" s="26"/>
    </row>
    <row r="3" spans="1:53" s="5" customFormat="1" x14ac:dyDescent="0.25">
      <c r="A3" s="122"/>
      <c r="B3" s="122"/>
      <c r="C3" s="122"/>
      <c r="D3" s="110"/>
      <c r="E3" s="110"/>
      <c r="F3" s="102" t="s">
        <v>289</v>
      </c>
      <c r="G3" s="103">
        <f>MAX(AB5:AB500)</f>
        <v>8.8928399999999996</v>
      </c>
      <c r="H3" s="104">
        <f>INDEX(H:H,MATCH(MAX($AB:$AB),$AB:$AB,0))</f>
        <v>29040</v>
      </c>
      <c r="I3" s="104">
        <f t="shared" ref="I3:K3" si="0">INDEX(I:I,MATCH(MAX($AB:$AB),$AB:$AB,0))</f>
        <v>88</v>
      </c>
      <c r="J3" s="104">
        <f t="shared" si="0"/>
        <v>4</v>
      </c>
      <c r="K3" s="104">
        <f t="shared" si="0"/>
        <v>4</v>
      </c>
      <c r="L3" s="13"/>
      <c r="M3" s="29"/>
      <c r="N3" s="41"/>
      <c r="O3" s="32"/>
      <c r="P3" s="42"/>
      <c r="Q3" s="42"/>
      <c r="R3" s="42"/>
      <c r="S3" s="42"/>
      <c r="T3" s="42"/>
      <c r="U3" s="42"/>
      <c r="V3" s="42"/>
      <c r="W3" s="42"/>
      <c r="X3" s="42"/>
      <c r="Y3" s="42"/>
      <c r="Z3" s="42"/>
      <c r="AA3" s="42"/>
      <c r="AB3" s="40"/>
      <c r="AC3" s="40"/>
      <c r="AD3" s="40"/>
      <c r="AE3" s="102" t="s">
        <v>289</v>
      </c>
      <c r="AF3" s="103">
        <f>MAX(BA5:BA500)</f>
        <v>9.939820000000001</v>
      </c>
      <c r="AG3" s="104">
        <f>INDEX(AG:AG,MATCH(MAX($BA:$BA),$BA:$BA,0))</f>
        <v>29056</v>
      </c>
      <c r="AH3" s="104">
        <f t="shared" ref="AH3:AJ3" si="1">INDEX(AH:AH,MATCH(MAX($BA:$BA),$BA:$BA,0))</f>
        <v>64</v>
      </c>
      <c r="AI3" s="104">
        <f t="shared" si="1"/>
        <v>2</v>
      </c>
      <c r="AJ3" s="104">
        <f t="shared" si="1"/>
        <v>8</v>
      </c>
      <c r="AK3" s="13"/>
      <c r="AL3" s="29"/>
      <c r="AM3" s="41"/>
      <c r="AN3" s="32"/>
      <c r="AO3" s="42"/>
      <c r="AP3" s="42"/>
      <c r="AQ3" s="42"/>
      <c r="AR3" s="42"/>
      <c r="AS3" s="42"/>
      <c r="AT3" s="42"/>
      <c r="AU3" s="42"/>
      <c r="AV3" s="42"/>
      <c r="AW3" s="42"/>
      <c r="AX3" s="42"/>
      <c r="AY3" s="42"/>
      <c r="AZ3" s="42"/>
      <c r="BA3" s="40"/>
    </row>
    <row r="4" spans="1:53" s="5" customFormat="1" x14ac:dyDescent="0.25">
      <c r="A4" s="46" t="s">
        <v>5</v>
      </c>
      <c r="B4" s="46" t="s">
        <v>6</v>
      </c>
      <c r="C4" s="46" t="s">
        <v>7</v>
      </c>
      <c r="F4" s="5" t="s">
        <v>20</v>
      </c>
      <c r="H4" s="5" t="s">
        <v>5</v>
      </c>
      <c r="I4" s="5" t="s">
        <v>6</v>
      </c>
      <c r="J4" s="5" t="s">
        <v>7</v>
      </c>
      <c r="K4" s="5" t="s">
        <v>8</v>
      </c>
      <c r="L4" s="5" t="s">
        <v>9</v>
      </c>
      <c r="M4" s="17" t="s">
        <v>10</v>
      </c>
      <c r="N4" s="43" t="s">
        <v>11</v>
      </c>
      <c r="O4" s="33" t="s">
        <v>9</v>
      </c>
      <c r="P4" s="42" t="s">
        <v>12</v>
      </c>
      <c r="Q4" s="42" t="s">
        <v>13</v>
      </c>
      <c r="R4" s="42" t="s">
        <v>14</v>
      </c>
      <c r="S4" s="42" t="s">
        <v>12</v>
      </c>
      <c r="T4" s="42" t="s">
        <v>13</v>
      </c>
      <c r="U4" s="42" t="s">
        <v>14</v>
      </c>
      <c r="V4" s="42" t="s">
        <v>12</v>
      </c>
      <c r="W4" s="42" t="s">
        <v>13</v>
      </c>
      <c r="X4" s="42" t="s">
        <v>14</v>
      </c>
      <c r="Y4" s="42" t="s">
        <v>12</v>
      </c>
      <c r="Z4" s="42" t="s">
        <v>13</v>
      </c>
      <c r="AA4" s="42" t="s">
        <v>14</v>
      </c>
      <c r="AB4" s="26"/>
      <c r="AC4" s="26"/>
      <c r="AD4" s="26"/>
      <c r="AE4" s="5" t="s">
        <v>20</v>
      </c>
      <c r="AG4" s="5" t="s">
        <v>5</v>
      </c>
      <c r="AH4" s="5" t="s">
        <v>6</v>
      </c>
      <c r="AI4" s="5" t="s">
        <v>7</v>
      </c>
      <c r="AJ4" s="5" t="s">
        <v>8</v>
      </c>
      <c r="AK4" s="5" t="s">
        <v>9</v>
      </c>
      <c r="AL4" s="17" t="s">
        <v>10</v>
      </c>
      <c r="AM4" s="43" t="s">
        <v>11</v>
      </c>
      <c r="AN4" s="33" t="s">
        <v>9</v>
      </c>
      <c r="AO4" s="42" t="s">
        <v>12</v>
      </c>
      <c r="AP4" s="42" t="s">
        <v>13</v>
      </c>
      <c r="AQ4" s="42" t="s">
        <v>14</v>
      </c>
      <c r="AR4" s="42" t="s">
        <v>12</v>
      </c>
      <c r="AS4" s="42" t="s">
        <v>13</v>
      </c>
      <c r="AT4" s="42" t="s">
        <v>14</v>
      </c>
      <c r="AU4" s="42" t="s">
        <v>12</v>
      </c>
      <c r="AV4" s="42" t="s">
        <v>13</v>
      </c>
      <c r="AW4" s="42" t="s">
        <v>14</v>
      </c>
      <c r="AX4" s="42" t="s">
        <v>12</v>
      </c>
      <c r="AY4" s="42" t="s">
        <v>13</v>
      </c>
      <c r="AZ4" s="42" t="s">
        <v>14</v>
      </c>
      <c r="BA4" s="26"/>
    </row>
    <row r="5" spans="1:53" x14ac:dyDescent="0.25">
      <c r="A5" s="47">
        <v>27520</v>
      </c>
      <c r="B5" s="47">
        <v>160</v>
      </c>
      <c r="C5" s="47">
        <v>1</v>
      </c>
      <c r="F5">
        <v>0</v>
      </c>
      <c r="G5" t="s">
        <v>16</v>
      </c>
      <c r="H5">
        <v>29040</v>
      </c>
      <c r="I5">
        <v>88</v>
      </c>
      <c r="J5">
        <v>4</v>
      </c>
      <c r="K5">
        <v>4</v>
      </c>
      <c r="L5">
        <v>1835.8</v>
      </c>
      <c r="M5" s="16">
        <v>8.8941999999999997</v>
      </c>
      <c r="N5" s="27">
        <v>45404</v>
      </c>
      <c r="O5" s="31">
        <v>0.6840046296296296</v>
      </c>
      <c r="P5">
        <v>0</v>
      </c>
      <c r="Q5">
        <v>0</v>
      </c>
      <c r="R5">
        <v>0</v>
      </c>
      <c r="S5">
        <v>0</v>
      </c>
      <c r="T5">
        <v>0</v>
      </c>
      <c r="U5">
        <v>0</v>
      </c>
      <c r="V5">
        <v>0</v>
      </c>
      <c r="W5">
        <v>0</v>
      </c>
      <c r="X5">
        <v>0</v>
      </c>
      <c r="Y5">
        <v>0</v>
      </c>
      <c r="Z5">
        <v>0</v>
      </c>
      <c r="AA5">
        <v>0</v>
      </c>
      <c r="AB5" s="123">
        <f>AVERAGE(M5:M9)</f>
        <v>8.8928399999999996</v>
      </c>
      <c r="AC5" s="109"/>
      <c r="AD5" s="109"/>
      <c r="AE5">
        <v>0</v>
      </c>
      <c r="AF5" t="s">
        <v>16</v>
      </c>
      <c r="AG5">
        <v>29056</v>
      </c>
      <c r="AH5">
        <v>64</v>
      </c>
      <c r="AI5">
        <v>2</v>
      </c>
      <c r="AJ5">
        <v>8</v>
      </c>
      <c r="AK5">
        <v>1645.08</v>
      </c>
      <c r="AL5" s="1">
        <v>9.9417000000000009</v>
      </c>
      <c r="AM5" s="27">
        <v>45404</v>
      </c>
      <c r="AN5" s="28">
        <v>0.79158564814814814</v>
      </c>
      <c r="AO5">
        <v>0</v>
      </c>
      <c r="AP5">
        <v>0</v>
      </c>
      <c r="AQ5">
        <v>0</v>
      </c>
      <c r="AR5">
        <v>0</v>
      </c>
      <c r="AS5">
        <v>0</v>
      </c>
      <c r="AT5">
        <v>0</v>
      </c>
      <c r="AU5">
        <v>0</v>
      </c>
      <c r="AV5">
        <v>0</v>
      </c>
      <c r="AW5">
        <v>0</v>
      </c>
      <c r="AX5">
        <v>0</v>
      </c>
      <c r="AY5">
        <v>0</v>
      </c>
      <c r="AZ5">
        <v>0</v>
      </c>
      <c r="BA5" s="123">
        <f>AVERAGE(AL5:AL9)</f>
        <v>9.939820000000001</v>
      </c>
    </row>
    <row r="6" spans="1:53" x14ac:dyDescent="0.25">
      <c r="A6" s="47">
        <v>25984</v>
      </c>
      <c r="B6" s="47">
        <v>192</v>
      </c>
      <c r="C6" s="47">
        <v>2</v>
      </c>
      <c r="F6">
        <v>1</v>
      </c>
      <c r="G6" t="s">
        <v>16</v>
      </c>
      <c r="H6">
        <v>29040</v>
      </c>
      <c r="I6">
        <v>88</v>
      </c>
      <c r="J6">
        <v>4</v>
      </c>
      <c r="K6">
        <v>4</v>
      </c>
      <c r="L6">
        <v>1835.62</v>
      </c>
      <c r="M6" s="16">
        <v>8.8950999999999993</v>
      </c>
      <c r="N6" s="27">
        <v>45404</v>
      </c>
      <c r="O6" s="31">
        <v>0.70562499999999995</v>
      </c>
      <c r="P6">
        <v>0</v>
      </c>
      <c r="Q6">
        <v>0</v>
      </c>
      <c r="R6">
        <v>0</v>
      </c>
      <c r="S6">
        <v>0</v>
      </c>
      <c r="T6">
        <v>0</v>
      </c>
      <c r="U6">
        <v>0</v>
      </c>
      <c r="V6">
        <v>0</v>
      </c>
      <c r="W6">
        <v>0</v>
      </c>
      <c r="X6">
        <v>0</v>
      </c>
      <c r="Y6">
        <v>0</v>
      </c>
      <c r="Z6">
        <v>0</v>
      </c>
      <c r="AA6">
        <v>0</v>
      </c>
      <c r="AB6" s="123"/>
      <c r="AC6" s="109"/>
      <c r="AD6" s="109"/>
      <c r="AE6">
        <v>1</v>
      </c>
      <c r="AF6" t="s">
        <v>16</v>
      </c>
      <c r="AG6">
        <v>29056</v>
      </c>
      <c r="AH6">
        <v>64</v>
      </c>
      <c r="AI6">
        <v>2</v>
      </c>
      <c r="AJ6">
        <v>8</v>
      </c>
      <c r="AK6">
        <v>1644.35</v>
      </c>
      <c r="AL6" s="1">
        <v>9.9461999999999993</v>
      </c>
      <c r="AM6" s="27">
        <v>45404</v>
      </c>
      <c r="AN6" s="28">
        <v>0.81229166666666663</v>
      </c>
      <c r="AO6">
        <v>0</v>
      </c>
      <c r="AP6">
        <v>0</v>
      </c>
      <c r="AQ6">
        <v>0</v>
      </c>
      <c r="AR6">
        <v>0</v>
      </c>
      <c r="AS6">
        <v>0</v>
      </c>
      <c r="AT6">
        <v>0</v>
      </c>
      <c r="AU6">
        <v>0</v>
      </c>
      <c r="AV6">
        <v>0</v>
      </c>
      <c r="AW6">
        <v>0</v>
      </c>
      <c r="AX6">
        <v>0</v>
      </c>
      <c r="AY6">
        <v>0</v>
      </c>
      <c r="AZ6">
        <v>0</v>
      </c>
      <c r="BA6" s="123"/>
    </row>
    <row r="7" spans="1:53" x14ac:dyDescent="0.25">
      <c r="A7" s="47">
        <v>29056</v>
      </c>
      <c r="B7" s="47">
        <v>128</v>
      </c>
      <c r="C7" s="47">
        <v>4</v>
      </c>
      <c r="F7">
        <v>2</v>
      </c>
      <c r="G7" t="s">
        <v>16</v>
      </c>
      <c r="H7">
        <v>29040</v>
      </c>
      <c r="I7">
        <v>88</v>
      </c>
      <c r="J7">
        <v>4</v>
      </c>
      <c r="K7">
        <v>4</v>
      </c>
      <c r="L7">
        <v>1836.55</v>
      </c>
      <c r="M7" s="16">
        <v>8.8905999999999992</v>
      </c>
      <c r="N7" s="27">
        <v>45404</v>
      </c>
      <c r="O7" s="31">
        <v>0.72726851851851848</v>
      </c>
      <c r="P7">
        <v>0</v>
      </c>
      <c r="Q7">
        <v>0</v>
      </c>
      <c r="R7">
        <v>0</v>
      </c>
      <c r="S7">
        <v>0</v>
      </c>
      <c r="T7">
        <v>0</v>
      </c>
      <c r="U7">
        <v>0</v>
      </c>
      <c r="V7">
        <v>0</v>
      </c>
      <c r="W7">
        <v>0</v>
      </c>
      <c r="X7">
        <v>0</v>
      </c>
      <c r="Y7">
        <v>0</v>
      </c>
      <c r="Z7">
        <v>0</v>
      </c>
      <c r="AA7">
        <v>0</v>
      </c>
      <c r="AB7" s="123"/>
      <c r="AC7" s="109"/>
      <c r="AD7" s="109"/>
      <c r="AE7">
        <v>2</v>
      </c>
      <c r="AF7" t="s">
        <v>16</v>
      </c>
      <c r="AG7">
        <v>29056</v>
      </c>
      <c r="AH7">
        <v>64</v>
      </c>
      <c r="AI7">
        <v>2</v>
      </c>
      <c r="AJ7">
        <v>8</v>
      </c>
      <c r="AK7">
        <v>1645.56</v>
      </c>
      <c r="AL7" s="1">
        <v>9.9389000000000003</v>
      </c>
      <c r="AM7" s="27">
        <v>45404</v>
      </c>
      <c r="AN7" s="28">
        <v>0.83300925925925928</v>
      </c>
      <c r="AO7">
        <v>0</v>
      </c>
      <c r="AP7">
        <v>0</v>
      </c>
      <c r="AQ7">
        <v>0</v>
      </c>
      <c r="AR7">
        <v>0</v>
      </c>
      <c r="AS7">
        <v>0</v>
      </c>
      <c r="AT7">
        <v>0</v>
      </c>
      <c r="AU7">
        <v>0</v>
      </c>
      <c r="AV7">
        <v>0</v>
      </c>
      <c r="AW7">
        <v>0</v>
      </c>
      <c r="AX7">
        <v>0</v>
      </c>
      <c r="AY7">
        <v>0</v>
      </c>
      <c r="AZ7">
        <v>0</v>
      </c>
      <c r="BA7" s="123"/>
    </row>
    <row r="8" spans="1:53" x14ac:dyDescent="0.25">
      <c r="A8" s="47"/>
      <c r="B8" s="47">
        <v>96</v>
      </c>
      <c r="C8" s="47"/>
      <c r="F8">
        <v>3</v>
      </c>
      <c r="G8" t="s">
        <v>16</v>
      </c>
      <c r="H8">
        <v>29040</v>
      </c>
      <c r="I8">
        <v>88</v>
      </c>
      <c r="J8">
        <v>4</v>
      </c>
      <c r="K8">
        <v>4</v>
      </c>
      <c r="L8">
        <v>1836.6</v>
      </c>
      <c r="M8" s="16">
        <v>8.8902999999999999</v>
      </c>
      <c r="N8" s="27">
        <v>45404</v>
      </c>
      <c r="O8" s="31">
        <v>0.74890046296296298</v>
      </c>
      <c r="P8">
        <v>0</v>
      </c>
      <c r="Q8">
        <v>0</v>
      </c>
      <c r="R8">
        <v>0</v>
      </c>
      <c r="S8">
        <v>0</v>
      </c>
      <c r="T8">
        <v>0</v>
      </c>
      <c r="U8">
        <v>0</v>
      </c>
      <c r="V8">
        <v>0</v>
      </c>
      <c r="W8">
        <v>0</v>
      </c>
      <c r="X8">
        <v>0</v>
      </c>
      <c r="Y8">
        <v>0</v>
      </c>
      <c r="Z8">
        <v>0</v>
      </c>
      <c r="AA8">
        <v>0</v>
      </c>
      <c r="AB8" s="123"/>
      <c r="AC8" s="109"/>
      <c r="AD8" s="109"/>
      <c r="AE8">
        <v>3</v>
      </c>
      <c r="AF8" t="s">
        <v>16</v>
      </c>
      <c r="AG8">
        <v>29056</v>
      </c>
      <c r="AH8">
        <v>64</v>
      </c>
      <c r="AI8">
        <v>2</v>
      </c>
      <c r="AJ8">
        <v>8</v>
      </c>
      <c r="AK8">
        <v>1644.94</v>
      </c>
      <c r="AL8" s="1">
        <v>9.9426000000000005</v>
      </c>
      <c r="AM8" s="27">
        <v>45404</v>
      </c>
      <c r="AN8" s="28">
        <v>0.85372685185185182</v>
      </c>
      <c r="AO8">
        <v>0</v>
      </c>
      <c r="AP8">
        <v>0</v>
      </c>
      <c r="AQ8">
        <v>0</v>
      </c>
      <c r="AR8">
        <v>0</v>
      </c>
      <c r="AS8">
        <v>0</v>
      </c>
      <c r="AT8">
        <v>0</v>
      </c>
      <c r="AU8">
        <v>0</v>
      </c>
      <c r="AV8">
        <v>0</v>
      </c>
      <c r="AW8">
        <v>0</v>
      </c>
      <c r="AX8">
        <v>0</v>
      </c>
      <c r="AY8">
        <v>0</v>
      </c>
      <c r="AZ8">
        <v>0</v>
      </c>
      <c r="BA8" s="123"/>
    </row>
    <row r="9" spans="1:53" x14ac:dyDescent="0.25">
      <c r="A9" s="47"/>
      <c r="B9" s="47">
        <v>224</v>
      </c>
      <c r="C9" s="47"/>
      <c r="F9">
        <v>4</v>
      </c>
      <c r="G9" t="s">
        <v>16</v>
      </c>
      <c r="H9">
        <v>29040</v>
      </c>
      <c r="I9">
        <v>88</v>
      </c>
      <c r="J9">
        <v>4</v>
      </c>
      <c r="K9">
        <v>4</v>
      </c>
      <c r="L9">
        <v>1835.84</v>
      </c>
      <c r="M9" s="16">
        <v>8.8940000000000001</v>
      </c>
      <c r="N9" s="27">
        <v>45404</v>
      </c>
      <c r="O9" s="31">
        <v>0.77053240740740736</v>
      </c>
      <c r="P9">
        <v>0</v>
      </c>
      <c r="Q9">
        <v>0</v>
      </c>
      <c r="R9">
        <v>0</v>
      </c>
      <c r="S9">
        <v>0</v>
      </c>
      <c r="T9">
        <v>0</v>
      </c>
      <c r="U9">
        <v>0</v>
      </c>
      <c r="V9">
        <v>0</v>
      </c>
      <c r="W9">
        <v>0</v>
      </c>
      <c r="X9">
        <v>0</v>
      </c>
      <c r="Y9">
        <v>0</v>
      </c>
      <c r="Z9">
        <v>0</v>
      </c>
      <c r="AA9">
        <v>0</v>
      </c>
      <c r="AB9" s="123"/>
      <c r="AC9" s="109"/>
      <c r="AD9" s="109"/>
      <c r="AE9">
        <v>4</v>
      </c>
      <c r="AF9" t="s">
        <v>16</v>
      </c>
      <c r="AG9">
        <v>29056</v>
      </c>
      <c r="AH9">
        <v>64</v>
      </c>
      <c r="AI9">
        <v>2</v>
      </c>
      <c r="AJ9">
        <v>8</v>
      </c>
      <c r="AK9">
        <v>1647.08</v>
      </c>
      <c r="AL9" s="1">
        <v>9.9297000000000004</v>
      </c>
      <c r="AM9" s="27">
        <v>45404</v>
      </c>
      <c r="AN9" s="28">
        <v>0.87445601851851851</v>
      </c>
      <c r="AO9">
        <v>0</v>
      </c>
      <c r="AP9">
        <v>0</v>
      </c>
      <c r="AQ9">
        <v>0</v>
      </c>
      <c r="AR9">
        <v>0</v>
      </c>
      <c r="AS9">
        <v>0</v>
      </c>
      <c r="AT9">
        <v>0</v>
      </c>
      <c r="AU9">
        <v>0</v>
      </c>
      <c r="AV9">
        <v>0</v>
      </c>
      <c r="AW9">
        <v>0</v>
      </c>
      <c r="AX9">
        <v>0</v>
      </c>
      <c r="AY9">
        <v>0</v>
      </c>
      <c r="AZ9">
        <v>0</v>
      </c>
      <c r="BA9" s="123"/>
    </row>
    <row r="10" spans="1:53" x14ac:dyDescent="0.25">
      <c r="A10" s="47"/>
      <c r="B10" s="47">
        <v>256</v>
      </c>
      <c r="C10" s="47"/>
      <c r="AL10" s="1"/>
      <c r="AM10" s="27"/>
      <c r="AN10" s="28"/>
    </row>
    <row r="11" spans="1:53" x14ac:dyDescent="0.25">
      <c r="A11" s="47"/>
      <c r="B11" s="48">
        <v>88</v>
      </c>
      <c r="C11" s="47"/>
      <c r="AL11" s="1"/>
      <c r="AM11" s="27"/>
      <c r="AN11" s="28"/>
    </row>
    <row r="12" spans="1:53" x14ac:dyDescent="0.25">
      <c r="A12" s="47"/>
      <c r="B12" s="48">
        <v>104</v>
      </c>
      <c r="C12" s="47"/>
      <c r="AL12" s="1"/>
      <c r="AM12" s="27"/>
      <c r="AN12" s="28"/>
    </row>
    <row r="13" spans="1:53" x14ac:dyDescent="0.25">
      <c r="A13" s="47"/>
      <c r="B13" s="48">
        <v>112</v>
      </c>
      <c r="C13" s="47"/>
      <c r="AL13" s="1"/>
      <c r="AM13" s="27"/>
      <c r="AN13" s="28"/>
    </row>
    <row r="14" spans="1:53" x14ac:dyDescent="0.25">
      <c r="A14" s="47"/>
      <c r="B14" s="48">
        <v>120</v>
      </c>
      <c r="C14" s="47"/>
      <c r="AL14" s="1"/>
      <c r="AM14" s="27"/>
      <c r="AN14" s="28"/>
    </row>
    <row r="15" spans="1:53" x14ac:dyDescent="0.25">
      <c r="AL15" s="1"/>
      <c r="AM15" s="27"/>
      <c r="AN15" s="28"/>
    </row>
    <row r="16" spans="1:53" x14ac:dyDescent="0.25">
      <c r="AL16" s="1"/>
      <c r="AM16" s="27"/>
      <c r="AN16" s="28"/>
    </row>
    <row r="17" spans="38:40" x14ac:dyDescent="0.25">
      <c r="AL17" s="1"/>
      <c r="AM17" s="27"/>
      <c r="AN17" s="28"/>
    </row>
    <row r="18" spans="38:40" x14ac:dyDescent="0.25">
      <c r="AL18" s="1"/>
      <c r="AM18" s="27"/>
      <c r="AN18" s="28"/>
    </row>
    <row r="19" spans="38:40" x14ac:dyDescent="0.25">
      <c r="AL19" s="1"/>
      <c r="AM19" s="27"/>
      <c r="AN19" s="28"/>
    </row>
    <row r="20" spans="38:40" x14ac:dyDescent="0.25">
      <c r="AL20" s="1"/>
      <c r="AM20" s="27"/>
      <c r="AN20" s="28"/>
    </row>
    <row r="21" spans="38:40" x14ac:dyDescent="0.25">
      <c r="AL21" s="1"/>
      <c r="AM21" s="27"/>
      <c r="AN21" s="28"/>
    </row>
    <row r="22" spans="38:40" x14ac:dyDescent="0.25">
      <c r="AL22" s="1"/>
      <c r="AM22" s="27"/>
      <c r="AN22" s="28"/>
    </row>
    <row r="23" spans="38:40" x14ac:dyDescent="0.25">
      <c r="AL23" s="1"/>
      <c r="AM23" s="27"/>
      <c r="AN23" s="28"/>
    </row>
    <row r="24" spans="38:40" x14ac:dyDescent="0.25">
      <c r="AL24" s="1"/>
      <c r="AM24" s="27"/>
      <c r="AN24" s="28"/>
    </row>
    <row r="25" spans="38:40" x14ac:dyDescent="0.25">
      <c r="AL25" s="1"/>
      <c r="AM25" s="27"/>
      <c r="AN25" s="28"/>
    </row>
    <row r="26" spans="38:40" x14ac:dyDescent="0.25">
      <c r="AL26" s="1"/>
      <c r="AM26" s="27"/>
      <c r="AN26" s="28"/>
    </row>
    <row r="27" spans="38:40" x14ac:dyDescent="0.25">
      <c r="AL27" s="1"/>
      <c r="AM27" s="27"/>
      <c r="AN27" s="28"/>
    </row>
    <row r="28" spans="38:40" x14ac:dyDescent="0.25">
      <c r="AL28" s="1"/>
      <c r="AM28" s="27"/>
      <c r="AN28" s="28"/>
    </row>
    <row r="29" spans="38:40" x14ac:dyDescent="0.25">
      <c r="AL29" s="1"/>
      <c r="AM29" s="27"/>
      <c r="AN29" s="28"/>
    </row>
    <row r="30" spans="38:40" x14ac:dyDescent="0.25">
      <c r="AL30" s="1"/>
      <c r="AM30" s="27"/>
      <c r="AN30" s="28"/>
    </row>
    <row r="31" spans="38:40" x14ac:dyDescent="0.25">
      <c r="AL31" s="1"/>
      <c r="AM31" s="27"/>
      <c r="AN31" s="28"/>
    </row>
    <row r="32" spans="38:40" x14ac:dyDescent="0.25">
      <c r="AL32" s="1"/>
      <c r="AM32" s="27"/>
      <c r="AN32" s="28"/>
    </row>
    <row r="33" spans="38:40" x14ac:dyDescent="0.25">
      <c r="AL33" s="1"/>
      <c r="AM33" s="27"/>
      <c r="AN33" s="28"/>
    </row>
    <row r="34" spans="38:40" x14ac:dyDescent="0.25">
      <c r="AL34" s="1"/>
      <c r="AM34" s="27"/>
      <c r="AN34" s="28"/>
    </row>
    <row r="35" spans="38:40" x14ac:dyDescent="0.25">
      <c r="AL35" s="1"/>
      <c r="AM35" s="27"/>
      <c r="AN35" s="28"/>
    </row>
    <row r="36" spans="38:40" x14ac:dyDescent="0.25">
      <c r="AL36" s="1"/>
      <c r="AM36" s="27"/>
      <c r="AN36" s="28"/>
    </row>
    <row r="37" spans="38:40" x14ac:dyDescent="0.25">
      <c r="AL37" s="1"/>
      <c r="AM37" s="27"/>
      <c r="AN37" s="28"/>
    </row>
    <row r="38" spans="38:40" x14ac:dyDescent="0.25">
      <c r="AL38" s="1"/>
      <c r="AM38" s="27"/>
      <c r="AN38" s="28"/>
    </row>
    <row r="39" spans="38:40" x14ac:dyDescent="0.25">
      <c r="AL39" s="1"/>
      <c r="AM39" s="27"/>
      <c r="AN39" s="28"/>
    </row>
    <row r="40" spans="38:40" x14ac:dyDescent="0.25">
      <c r="AL40" s="1"/>
      <c r="AM40" s="27"/>
      <c r="AN40" s="28"/>
    </row>
    <row r="41" spans="38:40" x14ac:dyDescent="0.25">
      <c r="AL41" s="1"/>
      <c r="AM41" s="27"/>
      <c r="AN41" s="28"/>
    </row>
    <row r="42" spans="38:40" x14ac:dyDescent="0.25">
      <c r="AL42" s="1"/>
      <c r="AM42" s="27"/>
      <c r="AN42" s="28"/>
    </row>
    <row r="43" spans="38:40" x14ac:dyDescent="0.25">
      <c r="AL43" s="1"/>
      <c r="AM43" s="27"/>
      <c r="AN43" s="28"/>
    </row>
    <row r="44" spans="38:40" x14ac:dyDescent="0.25">
      <c r="AL44" s="1"/>
      <c r="AM44" s="27"/>
      <c r="AN44" s="28"/>
    </row>
    <row r="45" spans="38:40" x14ac:dyDescent="0.25">
      <c r="AL45" s="1"/>
      <c r="AM45" s="27"/>
      <c r="AN45" s="28"/>
    </row>
    <row r="46" spans="38:40" x14ac:dyDescent="0.25">
      <c r="AL46" s="1"/>
      <c r="AM46" s="27"/>
      <c r="AN46" s="28"/>
    </row>
    <row r="47" spans="38:40" x14ac:dyDescent="0.25">
      <c r="AL47" s="1"/>
      <c r="AM47" s="27"/>
      <c r="AN47" s="28"/>
    </row>
    <row r="48" spans="38:40" x14ac:dyDescent="0.25">
      <c r="AL48" s="1"/>
      <c r="AM48" s="27"/>
      <c r="AN48" s="28"/>
    </row>
    <row r="49" spans="38:40" x14ac:dyDescent="0.25">
      <c r="AL49" s="1"/>
      <c r="AM49" s="27"/>
      <c r="AN49" s="28"/>
    </row>
    <row r="50" spans="38:40" x14ac:dyDescent="0.25">
      <c r="AL50" s="1"/>
      <c r="AM50" s="27"/>
      <c r="AN50" s="28"/>
    </row>
    <row r="51" spans="38:40" x14ac:dyDescent="0.25">
      <c r="AL51" s="1"/>
      <c r="AM51" s="27"/>
      <c r="AN51" s="28"/>
    </row>
    <row r="52" spans="38:40" x14ac:dyDescent="0.25">
      <c r="AL52" s="1"/>
      <c r="AM52" s="27"/>
      <c r="AN52" s="28"/>
    </row>
    <row r="53" spans="38:40" x14ac:dyDescent="0.25">
      <c r="AL53" s="1"/>
      <c r="AM53" s="27"/>
      <c r="AN53" s="28"/>
    </row>
    <row r="54" spans="38:40" x14ac:dyDescent="0.25">
      <c r="AL54" s="1"/>
      <c r="AM54" s="27"/>
      <c r="AN54" s="28"/>
    </row>
    <row r="55" spans="38:40" x14ac:dyDescent="0.25">
      <c r="AL55" s="1"/>
      <c r="AM55" s="27"/>
      <c r="AN55" s="28"/>
    </row>
    <row r="56" spans="38:40" x14ac:dyDescent="0.25">
      <c r="AL56" s="1"/>
      <c r="AM56" s="27"/>
      <c r="AN56" s="28"/>
    </row>
    <row r="57" spans="38:40" x14ac:dyDescent="0.25">
      <c r="AL57" s="1"/>
      <c r="AM57" s="27"/>
      <c r="AN57" s="28"/>
    </row>
    <row r="58" spans="38:40" x14ac:dyDescent="0.25">
      <c r="AL58" s="1"/>
      <c r="AM58" s="27"/>
      <c r="AN58" s="28"/>
    </row>
    <row r="59" spans="38:40" x14ac:dyDescent="0.25">
      <c r="AL59" s="1"/>
      <c r="AM59" s="27"/>
      <c r="AN59" s="28"/>
    </row>
    <row r="60" spans="38:40" x14ac:dyDescent="0.25">
      <c r="AL60" s="1"/>
      <c r="AM60" s="27"/>
      <c r="AN60" s="28"/>
    </row>
    <row r="61" spans="38:40" x14ac:dyDescent="0.25">
      <c r="AL61" s="1"/>
      <c r="AM61" s="27"/>
      <c r="AN61" s="28"/>
    </row>
    <row r="62" spans="38:40" x14ac:dyDescent="0.25">
      <c r="AL62" s="1"/>
      <c r="AM62" s="27"/>
      <c r="AN62" s="28"/>
    </row>
    <row r="63" spans="38:40" x14ac:dyDescent="0.25">
      <c r="AL63" s="1"/>
      <c r="AM63" s="27"/>
      <c r="AN63" s="28"/>
    </row>
    <row r="64" spans="38:40" x14ac:dyDescent="0.25">
      <c r="AL64" s="1"/>
      <c r="AM64" s="27"/>
      <c r="AN64" s="28"/>
    </row>
    <row r="65" spans="38:40" x14ac:dyDescent="0.25">
      <c r="AL65" s="1"/>
      <c r="AM65" s="27"/>
      <c r="AN65" s="28"/>
    </row>
    <row r="66" spans="38:40" x14ac:dyDescent="0.25">
      <c r="AL66" s="1"/>
      <c r="AM66" s="27"/>
      <c r="AN66" s="28"/>
    </row>
    <row r="67" spans="38:40" x14ac:dyDescent="0.25">
      <c r="AL67" s="1"/>
      <c r="AM67" s="27"/>
      <c r="AN67" s="28"/>
    </row>
    <row r="68" spans="38:40" x14ac:dyDescent="0.25">
      <c r="AL68" s="1"/>
      <c r="AM68" s="27"/>
      <c r="AN68" s="28"/>
    </row>
    <row r="69" spans="38:40" x14ac:dyDescent="0.25">
      <c r="AL69" s="1"/>
      <c r="AM69" s="27"/>
      <c r="AN69" s="28"/>
    </row>
    <row r="70" spans="38:40" x14ac:dyDescent="0.25">
      <c r="AL70" s="1"/>
      <c r="AM70" s="27"/>
      <c r="AN70" s="28"/>
    </row>
    <row r="71" spans="38:40" x14ac:dyDescent="0.25">
      <c r="AL71" s="1"/>
      <c r="AM71" s="27"/>
      <c r="AN71" s="28"/>
    </row>
    <row r="72" spans="38:40" x14ac:dyDescent="0.25">
      <c r="AL72" s="1"/>
      <c r="AM72" s="27"/>
      <c r="AN72" s="28"/>
    </row>
    <row r="73" spans="38:40" x14ac:dyDescent="0.25">
      <c r="AL73" s="1"/>
      <c r="AM73" s="27"/>
      <c r="AN73" s="28"/>
    </row>
    <row r="74" spans="38:40" x14ac:dyDescent="0.25">
      <c r="AL74" s="1"/>
      <c r="AM74" s="27"/>
      <c r="AN74" s="28"/>
    </row>
    <row r="75" spans="38:40" x14ac:dyDescent="0.25">
      <c r="AL75" s="1"/>
      <c r="AM75" s="27"/>
      <c r="AN75" s="28"/>
    </row>
    <row r="76" spans="38:40" x14ac:dyDescent="0.25">
      <c r="AL76" s="1"/>
      <c r="AM76" s="27"/>
      <c r="AN76" s="28"/>
    </row>
    <row r="77" spans="38:40" x14ac:dyDescent="0.25">
      <c r="AL77" s="1"/>
      <c r="AM77" s="27"/>
      <c r="AN77" s="28"/>
    </row>
    <row r="78" spans="38:40" x14ac:dyDescent="0.25">
      <c r="AL78" s="1"/>
      <c r="AM78" s="27"/>
      <c r="AN78" s="28"/>
    </row>
    <row r="80" spans="38:40" x14ac:dyDescent="0.25">
      <c r="AL80" s="1"/>
      <c r="AM80" s="27"/>
      <c r="AN80" s="28"/>
    </row>
    <row r="81" spans="38:40" x14ac:dyDescent="0.25">
      <c r="AL81" s="1"/>
      <c r="AM81" s="27"/>
      <c r="AN81" s="28"/>
    </row>
    <row r="82" spans="38:40" x14ac:dyDescent="0.25">
      <c r="AL82" s="1"/>
      <c r="AM82" s="27"/>
      <c r="AN82" s="28"/>
    </row>
    <row r="83" spans="38:40" x14ac:dyDescent="0.25">
      <c r="AL83" s="1"/>
      <c r="AM83" s="27"/>
      <c r="AN83" s="28"/>
    </row>
    <row r="84" spans="38:40" x14ac:dyDescent="0.25">
      <c r="AL84" s="1"/>
      <c r="AM84" s="27"/>
      <c r="AN84" s="28"/>
    </row>
    <row r="85" spans="38:40" x14ac:dyDescent="0.25">
      <c r="AL85" s="1"/>
      <c r="AM85" s="27"/>
      <c r="AN85" s="28"/>
    </row>
    <row r="86" spans="38:40" x14ac:dyDescent="0.25">
      <c r="AL86" s="1"/>
      <c r="AM86" s="27"/>
      <c r="AN86" s="28"/>
    </row>
    <row r="87" spans="38:40" x14ac:dyDescent="0.25">
      <c r="AL87" s="1"/>
      <c r="AM87" s="27"/>
      <c r="AN87" s="28"/>
    </row>
    <row r="88" spans="38:40" x14ac:dyDescent="0.25">
      <c r="AL88" s="1"/>
      <c r="AM88" s="27"/>
      <c r="AN88" s="28"/>
    </row>
    <row r="89" spans="38:40" x14ac:dyDescent="0.25">
      <c r="AL89" s="1"/>
      <c r="AM89" s="27"/>
      <c r="AN89" s="28"/>
    </row>
    <row r="90" spans="38:40" x14ac:dyDescent="0.25">
      <c r="AL90" s="1"/>
      <c r="AM90" s="27"/>
      <c r="AN90" s="28"/>
    </row>
    <row r="91" spans="38:40" x14ac:dyDescent="0.25">
      <c r="AL91" s="1"/>
      <c r="AM91" s="27"/>
      <c r="AN91" s="28"/>
    </row>
    <row r="92" spans="38:40" x14ac:dyDescent="0.25">
      <c r="AL92" s="1"/>
      <c r="AM92" s="27"/>
      <c r="AN92" s="28"/>
    </row>
    <row r="93" spans="38:40" x14ac:dyDescent="0.25">
      <c r="AL93" s="1"/>
      <c r="AM93" s="27"/>
      <c r="AN93" s="28"/>
    </row>
    <row r="94" spans="38:40" x14ac:dyDescent="0.25">
      <c r="AL94" s="1"/>
      <c r="AM94" s="27"/>
      <c r="AN94" s="28"/>
    </row>
    <row r="95" spans="38:40" x14ac:dyDescent="0.25">
      <c r="AL95" s="1"/>
      <c r="AM95" s="27"/>
      <c r="AN95" s="28"/>
    </row>
    <row r="96" spans="38:40" x14ac:dyDescent="0.25">
      <c r="AL96" s="1"/>
      <c r="AM96" s="27"/>
      <c r="AN96" s="28"/>
    </row>
    <row r="97" spans="38:40" x14ac:dyDescent="0.25">
      <c r="AL97" s="1"/>
      <c r="AM97" s="27"/>
      <c r="AN97" s="28"/>
    </row>
    <row r="98" spans="38:40" x14ac:dyDescent="0.25">
      <c r="AL98" s="1"/>
      <c r="AM98" s="27"/>
      <c r="AN98" s="28"/>
    </row>
    <row r="99" spans="38:40" x14ac:dyDescent="0.25">
      <c r="AL99" s="1"/>
      <c r="AM99" s="27"/>
      <c r="AN99" s="28"/>
    </row>
    <row r="100" spans="38:40" x14ac:dyDescent="0.25">
      <c r="AL100" s="1"/>
      <c r="AM100" s="27"/>
      <c r="AN100" s="28"/>
    </row>
    <row r="101" spans="38:40" x14ac:dyDescent="0.25">
      <c r="AL101" s="1"/>
      <c r="AM101" s="27"/>
      <c r="AN101" s="28"/>
    </row>
    <row r="102" spans="38:40" x14ac:dyDescent="0.25">
      <c r="AL102" s="1"/>
      <c r="AM102" s="27"/>
      <c r="AN102" s="28"/>
    </row>
    <row r="103" spans="38:40" x14ac:dyDescent="0.25">
      <c r="AL103" s="1"/>
      <c r="AM103" s="27"/>
      <c r="AN103" s="28"/>
    </row>
    <row r="104" spans="38:40" x14ac:dyDescent="0.25">
      <c r="AL104" s="1"/>
      <c r="AM104" s="27"/>
      <c r="AN104" s="28"/>
    </row>
    <row r="105" spans="38:40" x14ac:dyDescent="0.25">
      <c r="AL105" s="1"/>
      <c r="AM105" s="27"/>
      <c r="AN105" s="28"/>
    </row>
    <row r="106" spans="38:40" x14ac:dyDescent="0.25">
      <c r="AL106" s="1"/>
      <c r="AM106" s="27"/>
      <c r="AN106" s="28"/>
    </row>
    <row r="107" spans="38:40" x14ac:dyDescent="0.25">
      <c r="AL107" s="1"/>
      <c r="AM107" s="27"/>
      <c r="AN107" s="28"/>
    </row>
    <row r="108" spans="38:40" x14ac:dyDescent="0.25">
      <c r="AL108" s="1"/>
      <c r="AM108" s="27"/>
      <c r="AN108" s="28"/>
    </row>
    <row r="109" spans="38:40" x14ac:dyDescent="0.25">
      <c r="AL109" s="1"/>
      <c r="AM109" s="27"/>
      <c r="AN109" s="28"/>
    </row>
    <row r="110" spans="38:40" x14ac:dyDescent="0.25">
      <c r="AL110" s="1"/>
      <c r="AM110" s="27"/>
      <c r="AN110" s="28"/>
    </row>
    <row r="111" spans="38:40" x14ac:dyDescent="0.25">
      <c r="AL111" s="1"/>
      <c r="AM111" s="27"/>
      <c r="AN111" s="28"/>
    </row>
    <row r="112" spans="38:40" x14ac:dyDescent="0.25">
      <c r="AL112" s="1"/>
      <c r="AM112" s="27"/>
      <c r="AN112" s="28"/>
    </row>
    <row r="113" spans="38:40" x14ac:dyDescent="0.25">
      <c r="AL113" s="1"/>
      <c r="AM113" s="27"/>
      <c r="AN113" s="28"/>
    </row>
    <row r="114" spans="38:40" x14ac:dyDescent="0.25">
      <c r="AL114" s="1"/>
      <c r="AM114" s="27"/>
      <c r="AN114" s="28"/>
    </row>
    <row r="115" spans="38:40" x14ac:dyDescent="0.25">
      <c r="AL115" s="1"/>
      <c r="AM115" s="27"/>
      <c r="AN115" s="28"/>
    </row>
    <row r="116" spans="38:40" x14ac:dyDescent="0.25">
      <c r="AL116" s="1"/>
      <c r="AM116" s="27"/>
      <c r="AN116" s="28"/>
    </row>
    <row r="117" spans="38:40" x14ac:dyDescent="0.25">
      <c r="AL117" s="1"/>
      <c r="AM117" s="27"/>
      <c r="AN117" s="28"/>
    </row>
    <row r="118" spans="38:40" x14ac:dyDescent="0.25">
      <c r="AL118" s="1"/>
      <c r="AM118" s="27"/>
      <c r="AN118" s="28"/>
    </row>
    <row r="119" spans="38:40" x14ac:dyDescent="0.25">
      <c r="AL119" s="1"/>
      <c r="AM119" s="27"/>
      <c r="AN119" s="28"/>
    </row>
    <row r="120" spans="38:40" x14ac:dyDescent="0.25">
      <c r="AL120" s="1"/>
      <c r="AM120" s="27"/>
      <c r="AN120" s="28"/>
    </row>
    <row r="121" spans="38:40" x14ac:dyDescent="0.25">
      <c r="AL121" s="1"/>
      <c r="AM121" s="27"/>
      <c r="AN121" s="28"/>
    </row>
    <row r="122" spans="38:40" x14ac:dyDescent="0.25">
      <c r="AL122" s="1"/>
      <c r="AM122" s="27"/>
      <c r="AN122" s="28"/>
    </row>
    <row r="123" spans="38:40" x14ac:dyDescent="0.25">
      <c r="AL123" s="1"/>
      <c r="AM123" s="27"/>
      <c r="AN123" s="28"/>
    </row>
    <row r="124" spans="38:40" x14ac:dyDescent="0.25">
      <c r="AL124" s="1"/>
      <c r="AM124" s="27"/>
      <c r="AN124" s="28"/>
    </row>
    <row r="125" spans="38:40" x14ac:dyDescent="0.25">
      <c r="AL125" s="1"/>
      <c r="AM125" s="27"/>
      <c r="AN125" s="28"/>
    </row>
    <row r="126" spans="38:40" x14ac:dyDescent="0.25">
      <c r="AL126" s="1"/>
      <c r="AM126" s="27"/>
      <c r="AN126" s="28"/>
    </row>
    <row r="127" spans="38:40" x14ac:dyDescent="0.25">
      <c r="AL127" s="1"/>
      <c r="AM127" s="27"/>
      <c r="AN127" s="28"/>
    </row>
    <row r="128" spans="38:40" x14ac:dyDescent="0.25">
      <c r="AL128" s="1"/>
      <c r="AM128" s="27"/>
      <c r="AN128" s="28"/>
    </row>
    <row r="129" spans="38:40" x14ac:dyDescent="0.25">
      <c r="AL129" s="1"/>
      <c r="AM129" s="27"/>
      <c r="AN129" s="28"/>
    </row>
    <row r="130" spans="38:40" x14ac:dyDescent="0.25">
      <c r="AL130" s="1"/>
      <c r="AM130" s="27"/>
      <c r="AN130" s="28"/>
    </row>
    <row r="131" spans="38:40" x14ac:dyDescent="0.25">
      <c r="AL131" s="1"/>
      <c r="AM131" s="27"/>
      <c r="AN131" s="28"/>
    </row>
    <row r="132" spans="38:40" x14ac:dyDescent="0.25">
      <c r="AL132" s="1"/>
      <c r="AM132" s="27"/>
      <c r="AN132" s="28"/>
    </row>
    <row r="133" spans="38:40" x14ac:dyDescent="0.25">
      <c r="AL133" s="1"/>
      <c r="AM133" s="27"/>
      <c r="AN133" s="28"/>
    </row>
    <row r="134" spans="38:40" x14ac:dyDescent="0.25">
      <c r="AL134" s="1"/>
      <c r="AM134" s="27"/>
      <c r="AN134" s="28"/>
    </row>
    <row r="135" spans="38:40" x14ac:dyDescent="0.25">
      <c r="AL135" s="1"/>
      <c r="AM135" s="27"/>
      <c r="AN135" s="28"/>
    </row>
    <row r="136" spans="38:40" x14ac:dyDescent="0.25">
      <c r="AL136" s="1"/>
      <c r="AM136" s="27"/>
      <c r="AN136" s="28"/>
    </row>
    <row r="137" spans="38:40" x14ac:dyDescent="0.25">
      <c r="AL137" s="1"/>
      <c r="AM137" s="27"/>
      <c r="AN137" s="28"/>
    </row>
    <row r="138" spans="38:40" x14ac:dyDescent="0.25">
      <c r="AL138" s="1"/>
      <c r="AM138" s="27"/>
      <c r="AN138" s="28"/>
    </row>
    <row r="139" spans="38:40" x14ac:dyDescent="0.25">
      <c r="AL139" s="1"/>
      <c r="AM139" s="27"/>
      <c r="AN139" s="28"/>
    </row>
    <row r="140" spans="38:40" x14ac:dyDescent="0.25">
      <c r="AL140" s="1"/>
      <c r="AM140" s="27"/>
      <c r="AN140" s="28"/>
    </row>
    <row r="141" spans="38:40" x14ac:dyDescent="0.25">
      <c r="AL141" s="1"/>
      <c r="AM141" s="27"/>
      <c r="AN141" s="28"/>
    </row>
    <row r="142" spans="38:40" x14ac:dyDescent="0.25">
      <c r="AL142" s="1"/>
      <c r="AM142" s="27"/>
      <c r="AN142" s="28"/>
    </row>
    <row r="143" spans="38:40" x14ac:dyDescent="0.25">
      <c r="AL143" s="1"/>
      <c r="AM143" s="27"/>
      <c r="AN143" s="28"/>
    </row>
    <row r="144" spans="38:40" x14ac:dyDescent="0.25">
      <c r="AL144" s="1"/>
      <c r="AM144" s="27"/>
      <c r="AN144" s="28"/>
    </row>
    <row r="145" spans="38:40" x14ac:dyDescent="0.25">
      <c r="AL145" s="1"/>
      <c r="AM145" s="27"/>
      <c r="AN145" s="28"/>
    </row>
    <row r="146" spans="38:40" x14ac:dyDescent="0.25">
      <c r="AL146" s="1"/>
      <c r="AM146" s="27"/>
      <c r="AN146" s="28"/>
    </row>
    <row r="147" spans="38:40" x14ac:dyDescent="0.25">
      <c r="AL147" s="1"/>
      <c r="AM147" s="27"/>
      <c r="AN147" s="28"/>
    </row>
    <row r="148" spans="38:40" x14ac:dyDescent="0.25">
      <c r="AL148" s="1"/>
      <c r="AM148" s="27"/>
      <c r="AN148" s="28"/>
    </row>
    <row r="149" spans="38:40" x14ac:dyDescent="0.25">
      <c r="AL149" s="1"/>
      <c r="AM149" s="27"/>
      <c r="AN149" s="28"/>
    </row>
    <row r="150" spans="38:40" x14ac:dyDescent="0.25">
      <c r="AL150" s="1"/>
      <c r="AM150" s="27"/>
      <c r="AN150" s="28"/>
    </row>
    <row r="151" spans="38:40" x14ac:dyDescent="0.25">
      <c r="AL151" s="1"/>
      <c r="AM151" s="27"/>
      <c r="AN151" s="28"/>
    </row>
    <row r="152" spans="38:40" x14ac:dyDescent="0.25">
      <c r="AL152" s="1"/>
      <c r="AM152" s="27"/>
      <c r="AN152" s="28"/>
    </row>
    <row r="153" spans="38:40" x14ac:dyDescent="0.25">
      <c r="AL153" s="1"/>
      <c r="AM153" s="27"/>
      <c r="AN153" s="28"/>
    </row>
    <row r="154" spans="38:40" x14ac:dyDescent="0.25">
      <c r="AL154" s="1"/>
      <c r="AM154" s="27"/>
      <c r="AN154" s="28"/>
    </row>
    <row r="155" spans="38:40" x14ac:dyDescent="0.25">
      <c r="AL155" s="1"/>
      <c r="AM155" s="27"/>
      <c r="AN155" s="28"/>
    </row>
    <row r="156" spans="38:40" x14ac:dyDescent="0.25">
      <c r="AL156" s="1"/>
      <c r="AM156" s="27"/>
      <c r="AN156" s="28"/>
    </row>
    <row r="157" spans="38:40" x14ac:dyDescent="0.25">
      <c r="AL157" s="1"/>
      <c r="AM157" s="27"/>
      <c r="AN157" s="28"/>
    </row>
    <row r="158" spans="38:40" x14ac:dyDescent="0.25">
      <c r="AL158" s="1"/>
      <c r="AM158" s="27"/>
      <c r="AN158" s="28"/>
    </row>
    <row r="159" spans="38:40" x14ac:dyDescent="0.25">
      <c r="AL159" s="1"/>
      <c r="AM159" s="27"/>
      <c r="AN159" s="28"/>
    </row>
    <row r="160" spans="38:40" x14ac:dyDescent="0.25">
      <c r="AL160" s="1"/>
      <c r="AM160" s="27"/>
      <c r="AN160" s="28"/>
    </row>
    <row r="161" spans="38:40" x14ac:dyDescent="0.25">
      <c r="AL161" s="1"/>
      <c r="AM161" s="27"/>
      <c r="AN161" s="28"/>
    </row>
    <row r="162" spans="38:40" x14ac:dyDescent="0.25">
      <c r="AL162" s="1"/>
      <c r="AM162" s="27"/>
      <c r="AN162" s="28"/>
    </row>
    <row r="163" spans="38:40" x14ac:dyDescent="0.25">
      <c r="AL163" s="1"/>
      <c r="AM163" s="27"/>
      <c r="AN163" s="28"/>
    </row>
    <row r="164" spans="38:40" x14ac:dyDescent="0.25">
      <c r="AL164" s="1"/>
      <c r="AM164" s="27"/>
      <c r="AN164" s="28"/>
    </row>
    <row r="165" spans="38:40" x14ac:dyDescent="0.25">
      <c r="AL165" s="1"/>
      <c r="AM165" s="27"/>
      <c r="AN165" s="28"/>
    </row>
    <row r="166" spans="38:40" x14ac:dyDescent="0.25">
      <c r="AL166" s="1"/>
      <c r="AM166" s="27"/>
      <c r="AN166" s="28"/>
    </row>
    <row r="167" spans="38:40" x14ac:dyDescent="0.25">
      <c r="AL167" s="1"/>
      <c r="AM167" s="27"/>
      <c r="AN167" s="28"/>
    </row>
    <row r="168" spans="38:40" x14ac:dyDescent="0.25">
      <c r="AL168" s="1"/>
      <c r="AM168" s="27"/>
      <c r="AN168" s="28"/>
    </row>
    <row r="169" spans="38:40" x14ac:dyDescent="0.25">
      <c r="AL169" s="1"/>
      <c r="AM169" s="27"/>
      <c r="AN169" s="28"/>
    </row>
    <row r="170" spans="38:40" x14ac:dyDescent="0.25">
      <c r="AL170" s="1"/>
      <c r="AM170" s="27"/>
      <c r="AN170" s="28"/>
    </row>
    <row r="171" spans="38:40" x14ac:dyDescent="0.25">
      <c r="AL171" s="1"/>
      <c r="AM171" s="27"/>
      <c r="AN171" s="28"/>
    </row>
    <row r="172" spans="38:40" x14ac:dyDescent="0.25">
      <c r="AL172" s="1"/>
      <c r="AM172" s="27"/>
      <c r="AN172" s="28"/>
    </row>
    <row r="173" spans="38:40" x14ac:dyDescent="0.25">
      <c r="AL173" s="1"/>
      <c r="AM173" s="27"/>
      <c r="AN173" s="28"/>
    </row>
    <row r="174" spans="38:40" x14ac:dyDescent="0.25">
      <c r="AL174" s="1"/>
      <c r="AM174" s="27"/>
      <c r="AN174" s="28"/>
    </row>
    <row r="175" spans="38:40" x14ac:dyDescent="0.25">
      <c r="AL175" s="1"/>
      <c r="AM175" s="27"/>
      <c r="AN175" s="28"/>
    </row>
    <row r="176" spans="38:40" x14ac:dyDescent="0.25">
      <c r="AL176" s="1"/>
      <c r="AM176" s="27"/>
      <c r="AN176" s="28"/>
    </row>
    <row r="177" spans="38:40" x14ac:dyDescent="0.25">
      <c r="AL177" s="1"/>
      <c r="AM177" s="27"/>
      <c r="AN177" s="28"/>
    </row>
    <row r="178" spans="38:40" x14ac:dyDescent="0.25">
      <c r="AL178" s="1"/>
      <c r="AM178" s="27"/>
      <c r="AN178" s="28"/>
    </row>
    <row r="179" spans="38:40" x14ac:dyDescent="0.25">
      <c r="AL179" s="1"/>
      <c r="AM179" s="27"/>
      <c r="AN179" s="28"/>
    </row>
    <row r="180" spans="38:40" x14ac:dyDescent="0.25">
      <c r="AL180" s="1"/>
      <c r="AM180" s="27"/>
      <c r="AN180" s="28"/>
    </row>
    <row r="181" spans="38:40" x14ac:dyDescent="0.25">
      <c r="AL181" s="1"/>
      <c r="AM181" s="27"/>
      <c r="AN181" s="28"/>
    </row>
    <row r="182" spans="38:40" x14ac:dyDescent="0.25">
      <c r="AL182" s="1"/>
      <c r="AM182" s="27"/>
      <c r="AN182" s="28"/>
    </row>
    <row r="183" spans="38:40" x14ac:dyDescent="0.25">
      <c r="AL183" s="1"/>
      <c r="AM183" s="27"/>
      <c r="AN183" s="28"/>
    </row>
    <row r="184" spans="38:40" x14ac:dyDescent="0.25">
      <c r="AL184" s="1"/>
      <c r="AM184" s="27"/>
      <c r="AN184" s="28"/>
    </row>
    <row r="185" spans="38:40" x14ac:dyDescent="0.25">
      <c r="AL185" s="1"/>
      <c r="AM185" s="27"/>
      <c r="AN185" s="28"/>
    </row>
    <row r="186" spans="38:40" x14ac:dyDescent="0.25">
      <c r="AL186" s="1"/>
      <c r="AM186" s="27"/>
      <c r="AN186" s="28"/>
    </row>
    <row r="187" spans="38:40" x14ac:dyDescent="0.25">
      <c r="AL187" s="1"/>
      <c r="AM187" s="27"/>
      <c r="AN187" s="28"/>
    </row>
    <row r="188" spans="38:40" x14ac:dyDescent="0.25">
      <c r="AL188" s="1"/>
      <c r="AM188" s="27"/>
      <c r="AN188" s="28"/>
    </row>
    <row r="189" spans="38:40" x14ac:dyDescent="0.25">
      <c r="AL189" s="1"/>
      <c r="AM189" s="27"/>
      <c r="AN189" s="28"/>
    </row>
    <row r="190" spans="38:40" x14ac:dyDescent="0.25">
      <c r="AL190" s="1"/>
      <c r="AM190" s="27"/>
      <c r="AN190" s="28"/>
    </row>
    <row r="191" spans="38:40" x14ac:dyDescent="0.25">
      <c r="AL191" s="1"/>
      <c r="AM191" s="27"/>
      <c r="AN191" s="28"/>
    </row>
    <row r="192" spans="38:40" x14ac:dyDescent="0.25">
      <c r="AL192" s="1"/>
      <c r="AM192" s="27"/>
      <c r="AN192" s="28"/>
    </row>
    <row r="193" spans="38:40" x14ac:dyDescent="0.25">
      <c r="AL193" s="1"/>
      <c r="AM193" s="27"/>
      <c r="AN193" s="28"/>
    </row>
    <row r="194" spans="38:40" x14ac:dyDescent="0.25">
      <c r="AL194" s="1"/>
      <c r="AM194" s="27"/>
      <c r="AN194" s="28"/>
    </row>
    <row r="195" spans="38:40" x14ac:dyDescent="0.25">
      <c r="AL195" s="1"/>
      <c r="AM195" s="27"/>
      <c r="AN195" s="28"/>
    </row>
    <row r="196" spans="38:40" x14ac:dyDescent="0.25">
      <c r="AL196" s="1"/>
      <c r="AM196" s="27"/>
      <c r="AN196" s="28"/>
    </row>
    <row r="197" spans="38:40" x14ac:dyDescent="0.25">
      <c r="AL197" s="1"/>
      <c r="AM197" s="27"/>
      <c r="AN197" s="28"/>
    </row>
    <row r="198" spans="38:40" x14ac:dyDescent="0.25">
      <c r="AL198" s="1"/>
      <c r="AM198" s="27"/>
      <c r="AN198" s="28"/>
    </row>
    <row r="199" spans="38:40" x14ac:dyDescent="0.25">
      <c r="AL199" s="1"/>
      <c r="AM199" s="27"/>
      <c r="AN199" s="28"/>
    </row>
    <row r="200" spans="38:40" x14ac:dyDescent="0.25">
      <c r="AL200" s="1"/>
      <c r="AM200" s="27"/>
      <c r="AN200" s="28"/>
    </row>
    <row r="201" spans="38:40" x14ac:dyDescent="0.25">
      <c r="AL201" s="1"/>
      <c r="AM201" s="27"/>
      <c r="AN201" s="28"/>
    </row>
    <row r="202" spans="38:40" x14ac:dyDescent="0.25">
      <c r="AL202" s="1"/>
      <c r="AM202" s="27"/>
      <c r="AN202" s="28"/>
    </row>
    <row r="203" spans="38:40" x14ac:dyDescent="0.25">
      <c r="AL203" s="1"/>
      <c r="AM203" s="27"/>
      <c r="AN203" s="28"/>
    </row>
    <row r="204" spans="38:40" x14ac:dyDescent="0.25">
      <c r="AL204" s="1"/>
      <c r="AM204" s="27"/>
      <c r="AN204" s="28"/>
    </row>
    <row r="205" spans="38:40" x14ac:dyDescent="0.25">
      <c r="AL205" s="1"/>
      <c r="AM205" s="27"/>
      <c r="AN205" s="28"/>
    </row>
    <row r="206" spans="38:40" x14ac:dyDescent="0.25">
      <c r="AL206" s="1"/>
      <c r="AM206" s="27"/>
      <c r="AN206" s="28"/>
    </row>
    <row r="207" spans="38:40" x14ac:dyDescent="0.25">
      <c r="AL207" s="1"/>
      <c r="AM207" s="27"/>
      <c r="AN207" s="28"/>
    </row>
    <row r="208" spans="38:40" x14ac:dyDescent="0.25">
      <c r="AL208" s="1"/>
      <c r="AM208" s="27"/>
      <c r="AN208" s="28"/>
    </row>
    <row r="209" spans="38:40" x14ac:dyDescent="0.25">
      <c r="AL209" s="1"/>
      <c r="AM209" s="27"/>
      <c r="AN209" s="28"/>
    </row>
    <row r="210" spans="38:40" x14ac:dyDescent="0.25">
      <c r="AL210" s="1"/>
      <c r="AM210" s="27"/>
      <c r="AN210" s="28"/>
    </row>
    <row r="211" spans="38:40" x14ac:dyDescent="0.25">
      <c r="AL211" s="1"/>
      <c r="AM211" s="27"/>
      <c r="AN211" s="28"/>
    </row>
    <row r="212" spans="38:40" x14ac:dyDescent="0.25">
      <c r="AL212" s="1"/>
      <c r="AM212" s="27"/>
      <c r="AN212" s="28"/>
    </row>
    <row r="213" spans="38:40" x14ac:dyDescent="0.25">
      <c r="AL213" s="1"/>
      <c r="AM213" s="27"/>
      <c r="AN213" s="28"/>
    </row>
    <row r="214" spans="38:40" x14ac:dyDescent="0.25">
      <c r="AL214" s="1"/>
      <c r="AM214" s="27"/>
      <c r="AN214" s="28"/>
    </row>
    <row r="215" spans="38:40" x14ac:dyDescent="0.25">
      <c r="AL215" s="1"/>
      <c r="AM215" s="27"/>
      <c r="AN215" s="28"/>
    </row>
    <row r="216" spans="38:40" x14ac:dyDescent="0.25">
      <c r="AL216" s="1"/>
      <c r="AM216" s="27"/>
      <c r="AN216" s="28"/>
    </row>
    <row r="217" spans="38:40" x14ac:dyDescent="0.25">
      <c r="AL217" s="1"/>
      <c r="AM217" s="27"/>
      <c r="AN217" s="28"/>
    </row>
    <row r="218" spans="38:40" x14ac:dyDescent="0.25">
      <c r="AL218" s="1"/>
      <c r="AM218" s="27"/>
      <c r="AN218" s="28"/>
    </row>
    <row r="219" spans="38:40" x14ac:dyDescent="0.25">
      <c r="AL219" s="1"/>
      <c r="AM219" s="27"/>
      <c r="AN219" s="28"/>
    </row>
    <row r="220" spans="38:40" x14ac:dyDescent="0.25">
      <c r="AL220" s="1"/>
      <c r="AM220" s="27"/>
      <c r="AN220" s="28"/>
    </row>
    <row r="221" spans="38:40" x14ac:dyDescent="0.25">
      <c r="AL221" s="1"/>
      <c r="AM221" s="27"/>
      <c r="AN221" s="28"/>
    </row>
    <row r="222" spans="38:40" x14ac:dyDescent="0.25">
      <c r="AL222" s="1"/>
      <c r="AM222" s="27"/>
      <c r="AN222" s="28"/>
    </row>
    <row r="223" spans="38:40" x14ac:dyDescent="0.25">
      <c r="AL223" s="1"/>
      <c r="AM223" s="27"/>
      <c r="AN223" s="28"/>
    </row>
    <row r="224" spans="38:40" x14ac:dyDescent="0.25">
      <c r="AL224" s="1"/>
      <c r="AM224" s="27"/>
      <c r="AN224" s="28"/>
    </row>
    <row r="225" spans="38:40" x14ac:dyDescent="0.25">
      <c r="AL225" s="1"/>
      <c r="AM225" s="27"/>
      <c r="AN225" s="28"/>
    </row>
    <row r="226" spans="38:40" x14ac:dyDescent="0.25">
      <c r="AL226" s="1"/>
      <c r="AM226" s="27"/>
      <c r="AN226" s="28"/>
    </row>
    <row r="227" spans="38:40" x14ac:dyDescent="0.25">
      <c r="AL227" s="1"/>
      <c r="AM227" s="27"/>
      <c r="AN227" s="28"/>
    </row>
    <row r="228" spans="38:40" x14ac:dyDescent="0.25">
      <c r="AL228" s="1"/>
      <c r="AM228" s="27"/>
      <c r="AN228" s="28"/>
    </row>
    <row r="229" spans="38:40" x14ac:dyDescent="0.25">
      <c r="AL229" s="1"/>
      <c r="AM229" s="27"/>
      <c r="AN229" s="28"/>
    </row>
    <row r="230" spans="38:40" x14ac:dyDescent="0.25">
      <c r="AL230" s="1"/>
      <c r="AM230" s="27"/>
      <c r="AN230" s="28"/>
    </row>
    <row r="231" spans="38:40" x14ac:dyDescent="0.25">
      <c r="AL231" s="1"/>
      <c r="AM231" s="27"/>
      <c r="AN231" s="28"/>
    </row>
    <row r="232" spans="38:40" x14ac:dyDescent="0.25">
      <c r="AL232" s="1"/>
      <c r="AM232" s="27"/>
      <c r="AN232" s="28"/>
    </row>
    <row r="233" spans="38:40" x14ac:dyDescent="0.25">
      <c r="AL233" s="1"/>
      <c r="AM233" s="27"/>
      <c r="AN233" s="28"/>
    </row>
    <row r="234" spans="38:40" x14ac:dyDescent="0.25">
      <c r="AL234" s="1"/>
      <c r="AM234" s="27"/>
      <c r="AN234" s="28"/>
    </row>
    <row r="235" spans="38:40" x14ac:dyDescent="0.25">
      <c r="AL235" s="1"/>
      <c r="AM235" s="27"/>
      <c r="AN235" s="28"/>
    </row>
    <row r="236" spans="38:40" x14ac:dyDescent="0.25">
      <c r="AL236" s="1"/>
      <c r="AM236" s="27"/>
      <c r="AN236" s="28"/>
    </row>
    <row r="237" spans="38:40" x14ac:dyDescent="0.25">
      <c r="AL237" s="1"/>
      <c r="AM237" s="27"/>
      <c r="AN237" s="28"/>
    </row>
    <row r="238" spans="38:40" x14ac:dyDescent="0.25">
      <c r="AL238" s="1"/>
      <c r="AM238" s="27"/>
      <c r="AN238" s="28"/>
    </row>
    <row r="239" spans="38:40" x14ac:dyDescent="0.25">
      <c r="AL239" s="1"/>
      <c r="AM239" s="27"/>
      <c r="AN239" s="28"/>
    </row>
    <row r="240" spans="38:40" x14ac:dyDescent="0.25">
      <c r="AL240" s="1"/>
      <c r="AM240" s="27"/>
      <c r="AN240" s="28"/>
    </row>
    <row r="241" spans="38:40" x14ac:dyDescent="0.25">
      <c r="AL241" s="1"/>
      <c r="AM241" s="27"/>
      <c r="AN241" s="28"/>
    </row>
    <row r="242" spans="38:40" x14ac:dyDescent="0.25">
      <c r="AL242" s="1"/>
      <c r="AM242" s="27"/>
      <c r="AN242" s="28"/>
    </row>
    <row r="243" spans="38:40" x14ac:dyDescent="0.25">
      <c r="AL243" s="1"/>
      <c r="AM243" s="27"/>
      <c r="AN243" s="28"/>
    </row>
    <row r="244" spans="38:40" x14ac:dyDescent="0.25">
      <c r="AL244" s="1"/>
      <c r="AM244" s="27"/>
      <c r="AN244" s="28"/>
    </row>
    <row r="245" spans="38:40" x14ac:dyDescent="0.25">
      <c r="AL245" s="1"/>
      <c r="AM245" s="27"/>
      <c r="AN245" s="28"/>
    </row>
    <row r="246" spans="38:40" x14ac:dyDescent="0.25">
      <c r="AL246" s="1"/>
      <c r="AM246" s="27"/>
      <c r="AN246" s="28"/>
    </row>
    <row r="247" spans="38:40" x14ac:dyDescent="0.25">
      <c r="AL247" s="1"/>
      <c r="AM247" s="27"/>
      <c r="AN247" s="28"/>
    </row>
    <row r="248" spans="38:40" x14ac:dyDescent="0.25">
      <c r="AL248" s="1"/>
      <c r="AM248" s="27"/>
      <c r="AN248" s="28"/>
    </row>
    <row r="249" spans="38:40" x14ac:dyDescent="0.25">
      <c r="AL249" s="1"/>
      <c r="AM249" s="27"/>
      <c r="AN249" s="28"/>
    </row>
    <row r="250" spans="38:40" x14ac:dyDescent="0.25">
      <c r="AL250" s="1"/>
      <c r="AM250" s="27"/>
      <c r="AN250" s="28"/>
    </row>
    <row r="251" spans="38:40" x14ac:dyDescent="0.25">
      <c r="AL251" s="1"/>
      <c r="AM251" s="27"/>
      <c r="AN251" s="28"/>
    </row>
    <row r="252" spans="38:40" x14ac:dyDescent="0.25">
      <c r="AL252" s="1"/>
      <c r="AM252" s="27"/>
      <c r="AN252" s="28"/>
    </row>
    <row r="253" spans="38:40" x14ac:dyDescent="0.25">
      <c r="AL253" s="1"/>
      <c r="AM253" s="27"/>
      <c r="AN253" s="28"/>
    </row>
    <row r="254" spans="38:40" x14ac:dyDescent="0.25">
      <c r="AL254" s="1"/>
      <c r="AM254" s="27"/>
      <c r="AN254" s="28"/>
    </row>
    <row r="255" spans="38:40" x14ac:dyDescent="0.25">
      <c r="AL255" s="1"/>
      <c r="AM255" s="27"/>
      <c r="AN255" s="28"/>
    </row>
    <row r="256" spans="38:40" x14ac:dyDescent="0.25">
      <c r="AL256" s="1"/>
      <c r="AM256" s="27"/>
      <c r="AN256" s="28"/>
    </row>
    <row r="257" spans="38:40" x14ac:dyDescent="0.25">
      <c r="AL257" s="1"/>
      <c r="AM257" s="27"/>
      <c r="AN257" s="28"/>
    </row>
    <row r="258" spans="38:40" x14ac:dyDescent="0.25">
      <c r="AL258" s="1"/>
      <c r="AM258" s="27"/>
      <c r="AN258" s="28"/>
    </row>
    <row r="259" spans="38:40" x14ac:dyDescent="0.25">
      <c r="AL259" s="1"/>
      <c r="AM259" s="27"/>
      <c r="AN259" s="28"/>
    </row>
    <row r="260" spans="38:40" x14ac:dyDescent="0.25">
      <c r="AL260" s="1"/>
      <c r="AM260" s="27"/>
      <c r="AN260" s="28"/>
    </row>
    <row r="261" spans="38:40" x14ac:dyDescent="0.25">
      <c r="AL261" s="1"/>
      <c r="AM261" s="27"/>
      <c r="AN261" s="28"/>
    </row>
    <row r="262" spans="38:40" x14ac:dyDescent="0.25">
      <c r="AL262" s="1"/>
      <c r="AM262" s="27"/>
      <c r="AN262" s="28"/>
    </row>
    <row r="263" spans="38:40" x14ac:dyDescent="0.25">
      <c r="AL263" s="1"/>
      <c r="AM263" s="27"/>
      <c r="AN263" s="28"/>
    </row>
    <row r="264" spans="38:40" x14ac:dyDescent="0.25">
      <c r="AL264" s="1"/>
      <c r="AM264" s="27"/>
      <c r="AN264" s="28"/>
    </row>
    <row r="265" spans="38:40" x14ac:dyDescent="0.25">
      <c r="AL265" s="1"/>
      <c r="AM265" s="27"/>
      <c r="AN265" s="28"/>
    </row>
    <row r="266" spans="38:40" x14ac:dyDescent="0.25">
      <c r="AL266" s="1"/>
      <c r="AM266" s="27"/>
      <c r="AN266" s="28"/>
    </row>
    <row r="267" spans="38:40" x14ac:dyDescent="0.25">
      <c r="AL267" s="1"/>
      <c r="AM267" s="27"/>
      <c r="AN267" s="28"/>
    </row>
    <row r="268" spans="38:40" x14ac:dyDescent="0.25">
      <c r="AL268" s="1"/>
      <c r="AM268" s="27"/>
      <c r="AN268" s="28"/>
    </row>
    <row r="269" spans="38:40" x14ac:dyDescent="0.25">
      <c r="AL269" s="1"/>
      <c r="AM269" s="27"/>
      <c r="AN269" s="28"/>
    </row>
    <row r="270" spans="38:40" x14ac:dyDescent="0.25">
      <c r="AL270" s="1"/>
      <c r="AM270" s="27"/>
      <c r="AN270" s="28"/>
    </row>
    <row r="271" spans="38:40" x14ac:dyDescent="0.25">
      <c r="AL271" s="1"/>
      <c r="AM271" s="27"/>
      <c r="AN271" s="28"/>
    </row>
    <row r="272" spans="38:40" x14ac:dyDescent="0.25">
      <c r="AL272" s="1"/>
      <c r="AM272" s="27"/>
      <c r="AN272" s="28"/>
    </row>
    <row r="273" spans="38:40" x14ac:dyDescent="0.25">
      <c r="AL273" s="1"/>
      <c r="AM273" s="27"/>
      <c r="AN273" s="28"/>
    </row>
    <row r="274" spans="38:40" x14ac:dyDescent="0.25">
      <c r="AL274" s="1"/>
      <c r="AM274" s="27"/>
      <c r="AN274" s="28"/>
    </row>
    <row r="313" spans="38:40" x14ac:dyDescent="0.25">
      <c r="AL313" s="1"/>
      <c r="AM313" s="27"/>
      <c r="AN313" s="28"/>
    </row>
    <row r="314" spans="38:40" x14ac:dyDescent="0.25">
      <c r="AL314" s="1"/>
      <c r="AM314" s="27"/>
      <c r="AN314" s="28"/>
    </row>
    <row r="315" spans="38:40" x14ac:dyDescent="0.25">
      <c r="AL315" s="1"/>
      <c r="AM315" s="27"/>
      <c r="AN315" s="28"/>
    </row>
    <row r="316" spans="38:40" x14ac:dyDescent="0.25">
      <c r="AL316" s="1"/>
      <c r="AM316" s="27"/>
      <c r="AN316" s="28"/>
    </row>
    <row r="317" spans="38:40" x14ac:dyDescent="0.25">
      <c r="AL317" s="1"/>
      <c r="AM317" s="27"/>
      <c r="AN317" s="28"/>
    </row>
    <row r="318" spans="38:40" x14ac:dyDescent="0.25">
      <c r="AL318" s="1"/>
      <c r="AM318" s="27"/>
      <c r="AN318" s="28"/>
    </row>
    <row r="319" spans="38:40" x14ac:dyDescent="0.25">
      <c r="AL319" s="1"/>
      <c r="AM319" s="27"/>
      <c r="AN319" s="28"/>
    </row>
    <row r="320" spans="38:40" x14ac:dyDescent="0.25">
      <c r="AL320" s="1"/>
      <c r="AM320" s="27"/>
      <c r="AN320" s="28"/>
    </row>
    <row r="321" spans="38:40" x14ac:dyDescent="0.25">
      <c r="AL321" s="1"/>
      <c r="AM321" s="27"/>
      <c r="AN321" s="28"/>
    </row>
    <row r="322" spans="38:40" x14ac:dyDescent="0.25">
      <c r="AL322" s="1"/>
      <c r="AM322" s="27"/>
      <c r="AN322" s="28"/>
    </row>
    <row r="323" spans="38:40" x14ac:dyDescent="0.25">
      <c r="AL323" s="1"/>
      <c r="AM323" s="27"/>
      <c r="AN323" s="28"/>
    </row>
    <row r="324" spans="38:40" x14ac:dyDescent="0.25">
      <c r="AL324" s="1"/>
      <c r="AM324" s="27"/>
      <c r="AN324" s="28"/>
    </row>
    <row r="325" spans="38:40" x14ac:dyDescent="0.25">
      <c r="AL325" s="1"/>
      <c r="AM325" s="27"/>
      <c r="AN325" s="28"/>
    </row>
    <row r="326" spans="38:40" x14ac:dyDescent="0.25">
      <c r="AL326" s="1"/>
      <c r="AM326" s="27"/>
      <c r="AN326" s="28"/>
    </row>
    <row r="327" spans="38:40" x14ac:dyDescent="0.25">
      <c r="AL327" s="1"/>
      <c r="AM327" s="27"/>
      <c r="AN327" s="28"/>
    </row>
    <row r="328" spans="38:40" x14ac:dyDescent="0.25">
      <c r="AL328" s="1"/>
      <c r="AM328" s="27"/>
      <c r="AN328" s="28"/>
    </row>
    <row r="329" spans="38:40" x14ac:dyDescent="0.25">
      <c r="AL329" s="1"/>
      <c r="AM329" s="27"/>
      <c r="AN329" s="28"/>
    </row>
    <row r="330" spans="38:40" x14ac:dyDescent="0.25">
      <c r="AL330" s="1"/>
      <c r="AM330" s="27"/>
      <c r="AN330" s="28"/>
    </row>
    <row r="331" spans="38:40" x14ac:dyDescent="0.25">
      <c r="AL331" s="1"/>
      <c r="AM331" s="27"/>
      <c r="AN331" s="28"/>
    </row>
    <row r="332" spans="38:40" x14ac:dyDescent="0.25">
      <c r="AL332" s="1"/>
      <c r="AM332" s="27"/>
      <c r="AN332" s="28"/>
    </row>
    <row r="333" spans="38:40" x14ac:dyDescent="0.25">
      <c r="AL333" s="1"/>
      <c r="AM333" s="27"/>
      <c r="AN333" s="28"/>
    </row>
    <row r="334" spans="38:40" x14ac:dyDescent="0.25">
      <c r="AL334" s="1"/>
      <c r="AM334" s="27"/>
      <c r="AN334" s="28"/>
    </row>
    <row r="335" spans="38:40" x14ac:dyDescent="0.25">
      <c r="AL335" s="1"/>
      <c r="AM335" s="27"/>
      <c r="AN335" s="28"/>
    </row>
    <row r="336" spans="38:40" x14ac:dyDescent="0.25">
      <c r="AL336" s="1"/>
      <c r="AM336" s="27"/>
      <c r="AN336" s="28"/>
    </row>
    <row r="337" spans="38:40" x14ac:dyDescent="0.25">
      <c r="AL337" s="1"/>
      <c r="AM337" s="27"/>
      <c r="AN337" s="28"/>
    </row>
    <row r="338" spans="38:40" x14ac:dyDescent="0.25">
      <c r="AL338" s="1"/>
      <c r="AM338" s="27"/>
      <c r="AN338" s="28"/>
    </row>
    <row r="339" spans="38:40" x14ac:dyDescent="0.25">
      <c r="AL339" s="1"/>
      <c r="AM339" s="27"/>
      <c r="AN339" s="28"/>
    </row>
    <row r="340" spans="38:40" x14ac:dyDescent="0.25">
      <c r="AL340" s="1"/>
      <c r="AM340" s="27"/>
      <c r="AN340" s="28"/>
    </row>
    <row r="341" spans="38:40" x14ac:dyDescent="0.25">
      <c r="AL341" s="1"/>
      <c r="AM341" s="27"/>
      <c r="AN341" s="28"/>
    </row>
    <row r="342" spans="38:40" x14ac:dyDescent="0.25">
      <c r="AL342" s="1"/>
      <c r="AM342" s="27"/>
      <c r="AN342" s="28"/>
    </row>
    <row r="343" spans="38:40" x14ac:dyDescent="0.25">
      <c r="AL343" s="1"/>
      <c r="AM343" s="27"/>
      <c r="AN343" s="28"/>
    </row>
    <row r="344" spans="38:40" x14ac:dyDescent="0.25">
      <c r="AL344" s="1"/>
      <c r="AM344" s="27"/>
      <c r="AN344" s="28"/>
    </row>
    <row r="345" spans="38:40" x14ac:dyDescent="0.25">
      <c r="AL345" s="1"/>
      <c r="AM345" s="27"/>
      <c r="AN345" s="28"/>
    </row>
  </sheetData>
  <mergeCells count="13">
    <mergeCell ref="AX2:AZ2"/>
    <mergeCell ref="AB5:AB9"/>
    <mergeCell ref="BA5:BA9"/>
    <mergeCell ref="A1:C3"/>
    <mergeCell ref="F1:AA1"/>
    <mergeCell ref="AE1:AZ1"/>
    <mergeCell ref="P2:R2"/>
    <mergeCell ref="S2:U2"/>
    <mergeCell ref="V2:X2"/>
    <mergeCell ref="Y2:AA2"/>
    <mergeCell ref="AO2:AQ2"/>
    <mergeCell ref="AR2:AT2"/>
    <mergeCell ref="AU2:AW2"/>
  </mergeCells>
  <conditionalFormatting sqref="AB5:AD5 AB10:AD10 AB15:AD15 AB20:AD20 AB25:AD25 AB30:AD30 AB35:AD35 AB40:AD40 AB45:AD45 AB50:AD50 AB55:AD55 AB60:AD60 AB65:AD65 AB70:AD70 AB75:AD75 AB80:AD80 AB85:AD85 AB90:AD90 AB95:AD95 AB100:AD100 AB105:AD105 AB110:AD110 AB115:AD115 AB120:AD120 AB125:AD125 AB130:AD130 AB135:AD135 AB140:AD140 AB145:AD145 AB150:AD150 AB155:AD155 AB160:AD160 AB165:AD165 AB170:AD170 AB175:AD175 AB180:AD180 AB185:AD185 AB190:AD190 AB195:AD195 AB200:AD200 AB205:AD205 AB210:AD210 AB215:AD215 AB220:AD220 AB225:AD225 AB230:AD230 AB235:AD235 AB240:AD240 AB245:AD245 AB250:AD250 AB255:AD255 AB260:AD260 AB265:AD265 AB270:AD270">
    <cfRule type="colorScale" priority="2">
      <colorScale>
        <cfvo type="min"/>
        <cfvo type="percentile" val="50"/>
        <cfvo type="max"/>
        <color rgb="FFF8696B"/>
        <color rgb="FFFFEB84"/>
        <color rgb="FF63BE7B"/>
      </colorScale>
    </cfRule>
  </conditionalFormatting>
  <conditionalFormatting sqref="BA10 BA5 BA15 BA20 BA25 BA30 BA35 BA40 BA45 BA50 BA55 BA60 BA65 BA70 BA75 BA80 BA85 BA90 BA95 BA100 BA105 BA110 BA115 BA120 BA125 BA130 BA135 BA140 BA145 BA150 BA155 BA160 BA165 BA170 BA175 BA180 BA185 BA190 BA195 BA200 BA205 BA210 BA215 BA220 BA225 BA230 BA235 BA240 BA245 BA250 BA255 BA260 BA265 BA270">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02795-FB56-4A2A-981C-B95ED0B44479}">
  <dimension ref="C1:AH183"/>
  <sheetViews>
    <sheetView zoomScale="85" zoomScaleNormal="85" workbookViewId="0">
      <selection activeCell="Q9" sqref="Q9:Q13"/>
    </sheetView>
  </sheetViews>
  <sheetFormatPr defaultRowHeight="15" x14ac:dyDescent="0.25"/>
  <cols>
    <col min="3" max="3" width="11.85546875" bestFit="1" customWidth="1"/>
    <col min="11" max="11" width="9.140625" style="16"/>
    <col min="13" max="13" width="9.140625" style="31"/>
    <col min="14" max="16" width="15.28515625" customWidth="1"/>
    <col min="17" max="17" width="15.7109375" style="25" bestFit="1" customWidth="1"/>
    <col min="18" max="18" width="15.7109375" style="16" customWidth="1"/>
    <col min="19" max="19" width="11.85546875" bestFit="1" customWidth="1"/>
    <col min="27" max="27" width="9.140625" style="16"/>
    <col min="29" max="29" width="9.140625" style="31"/>
    <col min="30" max="32" width="15" customWidth="1"/>
    <col min="33" max="33" width="15.7109375" style="25" bestFit="1" customWidth="1"/>
  </cols>
  <sheetData>
    <row r="1" spans="3:34" s="36" customFormat="1" ht="15.75" x14ac:dyDescent="0.25">
      <c r="C1" s="126" t="s">
        <v>299</v>
      </c>
      <c r="D1" s="126"/>
      <c r="E1" s="126"/>
      <c r="F1" s="126"/>
      <c r="G1" s="126"/>
      <c r="H1" s="126"/>
      <c r="I1" s="126"/>
      <c r="J1" s="126"/>
      <c r="K1" s="126"/>
      <c r="L1" s="126"/>
      <c r="M1" s="126"/>
      <c r="N1" s="126"/>
      <c r="O1" s="126"/>
      <c r="P1" s="126"/>
      <c r="Q1" s="126"/>
      <c r="R1" s="35"/>
      <c r="S1" s="126" t="s">
        <v>300</v>
      </c>
      <c r="T1" s="126"/>
      <c r="U1" s="126"/>
      <c r="V1" s="126"/>
      <c r="W1" s="126"/>
      <c r="X1" s="126"/>
      <c r="Y1" s="126"/>
      <c r="Z1" s="126"/>
      <c r="AA1" s="126"/>
      <c r="AB1" s="126"/>
      <c r="AC1" s="126"/>
      <c r="AD1" s="126"/>
      <c r="AE1" s="126"/>
      <c r="AF1" s="126"/>
      <c r="AG1" s="126"/>
    </row>
    <row r="2" spans="3:34" s="36" customFormat="1" ht="15.75" x14ac:dyDescent="0.25">
      <c r="D2" s="102" t="s">
        <v>289</v>
      </c>
      <c r="E2" s="103">
        <f>MAX(Q4:Q499)</f>
        <v>2.3355599999999996</v>
      </c>
      <c r="F2" s="104">
        <f>INDEX(F:F,MATCH(MAX($Q:$Q),$Q:$Q,0))</f>
        <v>14560</v>
      </c>
      <c r="G2" s="104">
        <f t="shared" ref="G2:I2" si="0">INDEX(G:G,MATCH(MAX($Q:$Q),$Q:$Q,0))</f>
        <v>112</v>
      </c>
      <c r="H2" s="104">
        <f t="shared" si="0"/>
        <v>2</v>
      </c>
      <c r="I2" s="104">
        <f t="shared" si="0"/>
        <v>2</v>
      </c>
      <c r="K2" s="35"/>
      <c r="M2" s="37"/>
      <c r="N2" s="126" t="s">
        <v>1</v>
      </c>
      <c r="O2" s="126"/>
      <c r="P2" s="126"/>
      <c r="Q2" s="107"/>
      <c r="R2" s="35"/>
      <c r="T2" s="102" t="s">
        <v>289</v>
      </c>
      <c r="U2" s="103">
        <f>MAX(AG4:AG498)</f>
        <v>2.5904799999999999</v>
      </c>
      <c r="V2" s="104">
        <f>INDEX(V:V,MATCH(MAX($AG:$AG),$AG:$AG,0))</f>
        <v>14640</v>
      </c>
      <c r="W2" s="104">
        <f>INDEX(W:W,MATCH(MAX($AG:$AG),$AG:$AG,0))</f>
        <v>80</v>
      </c>
      <c r="X2" s="104">
        <f>INDEX(X:X,MATCH(MAX($AG:$AG),$AG:$AG,0))</f>
        <v>1</v>
      </c>
      <c r="Y2" s="104">
        <f>INDEX(Y:Y,MATCH(MAX($AG:$AG),$AG:$AG,0))</f>
        <v>4</v>
      </c>
      <c r="AA2" s="35"/>
      <c r="AC2" s="37"/>
      <c r="AD2" s="126" t="s">
        <v>2</v>
      </c>
      <c r="AE2" s="126"/>
      <c r="AF2" s="126"/>
      <c r="AG2" s="107"/>
    </row>
    <row r="3" spans="3:34" s="36" customFormat="1" ht="15" customHeight="1" x14ac:dyDescent="0.25">
      <c r="C3" s="34" t="s">
        <v>0</v>
      </c>
      <c r="D3" s="34" t="s">
        <v>3</v>
      </c>
      <c r="E3" s="34" t="s">
        <v>4</v>
      </c>
      <c r="F3" s="34" t="s">
        <v>5</v>
      </c>
      <c r="G3" s="34" t="s">
        <v>6</v>
      </c>
      <c r="H3" s="34" t="s">
        <v>7</v>
      </c>
      <c r="I3" s="34" t="s">
        <v>8</v>
      </c>
      <c r="J3" s="34" t="s">
        <v>9</v>
      </c>
      <c r="K3" s="38" t="s">
        <v>10</v>
      </c>
      <c r="L3" s="34" t="s">
        <v>11</v>
      </c>
      <c r="M3" s="39" t="s">
        <v>9</v>
      </c>
      <c r="N3" s="34" t="s">
        <v>12</v>
      </c>
      <c r="O3" s="34" t="s">
        <v>13</v>
      </c>
      <c r="P3" s="34" t="s">
        <v>14</v>
      </c>
      <c r="Q3" s="108" t="s">
        <v>15</v>
      </c>
      <c r="R3" s="38"/>
      <c r="S3" s="34" t="s">
        <v>0</v>
      </c>
      <c r="T3" s="34" t="s">
        <v>3</v>
      </c>
      <c r="U3" s="34" t="s">
        <v>4</v>
      </c>
      <c r="V3" s="34" t="s">
        <v>5</v>
      </c>
      <c r="W3" s="34" t="s">
        <v>6</v>
      </c>
      <c r="X3" s="34" t="s">
        <v>7</v>
      </c>
      <c r="Y3" s="34" t="s">
        <v>8</v>
      </c>
      <c r="Z3" s="34" t="s">
        <v>9</v>
      </c>
      <c r="AA3" s="38" t="s">
        <v>10</v>
      </c>
      <c r="AB3" s="34" t="s">
        <v>11</v>
      </c>
      <c r="AC3" s="39" t="s">
        <v>9</v>
      </c>
      <c r="AD3" s="34" t="s">
        <v>12</v>
      </c>
      <c r="AE3" s="34" t="s">
        <v>13</v>
      </c>
      <c r="AF3" s="34" t="s">
        <v>14</v>
      </c>
      <c r="AG3" s="108" t="s">
        <v>15</v>
      </c>
    </row>
    <row r="4" spans="3:34" x14ac:dyDescent="0.25">
      <c r="C4" t="s">
        <v>257</v>
      </c>
      <c r="D4">
        <v>0</v>
      </c>
      <c r="E4" t="s">
        <v>16</v>
      </c>
      <c r="F4">
        <v>14560</v>
      </c>
      <c r="G4">
        <v>112</v>
      </c>
      <c r="H4">
        <v>2</v>
      </c>
      <c r="I4">
        <v>2</v>
      </c>
      <c r="J4">
        <v>881.02</v>
      </c>
      <c r="K4" s="16">
        <v>2.3359999999999999</v>
      </c>
      <c r="L4" s="27">
        <v>45404</v>
      </c>
      <c r="M4" s="31">
        <v>0.92581018518518521</v>
      </c>
      <c r="N4">
        <v>0</v>
      </c>
      <c r="O4">
        <v>0</v>
      </c>
      <c r="P4">
        <v>0</v>
      </c>
      <c r="Q4" s="123">
        <f>AVERAGE(K4:K8)</f>
        <v>2.3355599999999996</v>
      </c>
      <c r="S4" s="16" t="s">
        <v>290</v>
      </c>
      <c r="T4">
        <v>0</v>
      </c>
      <c r="U4" t="s">
        <v>16</v>
      </c>
      <c r="V4">
        <v>14640</v>
      </c>
      <c r="W4">
        <v>80</v>
      </c>
      <c r="X4">
        <v>1</v>
      </c>
      <c r="Y4">
        <v>4</v>
      </c>
      <c r="Z4">
        <v>810.55</v>
      </c>
      <c r="AA4" s="16">
        <v>2.5811999999999999</v>
      </c>
      <c r="AB4" s="27">
        <v>45404</v>
      </c>
      <c r="AC4" s="31">
        <v>0.97931712962962958</v>
      </c>
      <c r="AD4">
        <v>0</v>
      </c>
      <c r="AE4">
        <v>0</v>
      </c>
      <c r="AF4">
        <v>0</v>
      </c>
      <c r="AG4" s="123">
        <f>AVERAGE(AA4:AA8)</f>
        <v>2.5904799999999999</v>
      </c>
      <c r="AH4" s="16"/>
    </row>
    <row r="5" spans="3:34" x14ac:dyDescent="0.25">
      <c r="C5" t="s">
        <v>257</v>
      </c>
      <c r="D5">
        <v>1</v>
      </c>
      <c r="E5" t="s">
        <v>16</v>
      </c>
      <c r="F5">
        <v>14560</v>
      </c>
      <c r="G5">
        <v>112</v>
      </c>
      <c r="H5">
        <v>2</v>
      </c>
      <c r="I5">
        <v>2</v>
      </c>
      <c r="J5">
        <v>881.43</v>
      </c>
      <c r="K5" s="16">
        <v>2.3349000000000002</v>
      </c>
      <c r="L5" s="27">
        <v>45404</v>
      </c>
      <c r="M5" s="31">
        <v>0.93635416666666671</v>
      </c>
      <c r="N5">
        <v>0</v>
      </c>
      <c r="O5">
        <v>0</v>
      </c>
      <c r="P5">
        <v>0</v>
      </c>
      <c r="Q5" s="123"/>
      <c r="S5" s="16" t="s">
        <v>290</v>
      </c>
      <c r="T5">
        <v>1</v>
      </c>
      <c r="U5" t="s">
        <v>16</v>
      </c>
      <c r="V5">
        <v>14640</v>
      </c>
      <c r="W5">
        <v>80</v>
      </c>
      <c r="X5">
        <v>1</v>
      </c>
      <c r="Y5">
        <v>4</v>
      </c>
      <c r="Z5">
        <v>807.21</v>
      </c>
      <c r="AA5" s="16">
        <v>2.5918000000000001</v>
      </c>
      <c r="AB5" s="27">
        <v>45404</v>
      </c>
      <c r="AC5" s="31">
        <v>0.99030092592592589</v>
      </c>
      <c r="AD5">
        <v>0</v>
      </c>
      <c r="AE5">
        <v>0</v>
      </c>
      <c r="AF5">
        <v>0</v>
      </c>
      <c r="AG5" s="123"/>
      <c r="AH5" s="16"/>
    </row>
    <row r="6" spans="3:34" x14ac:dyDescent="0.25">
      <c r="C6" t="s">
        <v>257</v>
      </c>
      <c r="D6">
        <v>2</v>
      </c>
      <c r="E6" t="s">
        <v>16</v>
      </c>
      <c r="F6">
        <v>14560</v>
      </c>
      <c r="G6">
        <v>112</v>
      </c>
      <c r="H6">
        <v>2</v>
      </c>
      <c r="I6">
        <v>2</v>
      </c>
      <c r="J6">
        <v>881.2</v>
      </c>
      <c r="K6" s="16">
        <v>2.3355000000000001</v>
      </c>
      <c r="L6" s="27">
        <v>45404</v>
      </c>
      <c r="M6" s="31">
        <v>0.94687500000000002</v>
      </c>
      <c r="N6">
        <v>0</v>
      </c>
      <c r="O6">
        <v>0</v>
      </c>
      <c r="P6">
        <v>0</v>
      </c>
      <c r="Q6" s="123"/>
      <c r="S6" s="16" t="s">
        <v>290</v>
      </c>
      <c r="T6">
        <v>2</v>
      </c>
      <c r="U6" t="s">
        <v>16</v>
      </c>
      <c r="V6">
        <v>14640</v>
      </c>
      <c r="W6">
        <v>80</v>
      </c>
      <c r="X6">
        <v>1</v>
      </c>
      <c r="Y6">
        <v>4</v>
      </c>
      <c r="Z6">
        <v>808.21</v>
      </c>
      <c r="AA6" s="16">
        <v>2.5886999999999998</v>
      </c>
      <c r="AB6" s="27">
        <v>45405</v>
      </c>
      <c r="AC6" s="31">
        <v>1.2962962962962963E-3</v>
      </c>
      <c r="AD6">
        <v>0</v>
      </c>
      <c r="AE6">
        <v>0</v>
      </c>
      <c r="AF6">
        <v>0</v>
      </c>
      <c r="AG6" s="123"/>
      <c r="AH6" s="16"/>
    </row>
    <row r="7" spans="3:34" x14ac:dyDescent="0.25">
      <c r="C7" t="s">
        <v>257</v>
      </c>
      <c r="D7">
        <v>3</v>
      </c>
      <c r="E7" t="s">
        <v>16</v>
      </c>
      <c r="F7">
        <v>14560</v>
      </c>
      <c r="G7">
        <v>112</v>
      </c>
      <c r="H7">
        <v>2</v>
      </c>
      <c r="I7">
        <v>2</v>
      </c>
      <c r="J7">
        <v>881.11</v>
      </c>
      <c r="K7" s="16">
        <v>2.3357999999999999</v>
      </c>
      <c r="L7" s="27">
        <v>45404</v>
      </c>
      <c r="M7" s="31">
        <v>0.95740740740740737</v>
      </c>
      <c r="N7">
        <v>0</v>
      </c>
      <c r="O7">
        <v>0</v>
      </c>
      <c r="P7">
        <v>0</v>
      </c>
      <c r="Q7" s="123"/>
      <c r="S7" s="16" t="s">
        <v>290</v>
      </c>
      <c r="T7">
        <v>3</v>
      </c>
      <c r="U7" t="s">
        <v>16</v>
      </c>
      <c r="V7">
        <v>14640</v>
      </c>
      <c r="W7">
        <v>80</v>
      </c>
      <c r="X7">
        <v>1</v>
      </c>
      <c r="Y7">
        <v>4</v>
      </c>
      <c r="Z7">
        <v>806.05</v>
      </c>
      <c r="AA7" s="16">
        <v>2.5956000000000001</v>
      </c>
      <c r="AB7" s="27">
        <v>45405</v>
      </c>
      <c r="AC7" s="31">
        <v>1.2268518518518519E-2</v>
      </c>
      <c r="AD7">
        <v>0</v>
      </c>
      <c r="AE7">
        <v>0</v>
      </c>
      <c r="AF7">
        <v>0</v>
      </c>
      <c r="AG7" s="123"/>
      <c r="AH7" s="16"/>
    </row>
    <row r="8" spans="3:34" x14ac:dyDescent="0.25">
      <c r="C8" t="s">
        <v>257</v>
      </c>
      <c r="D8">
        <v>4</v>
      </c>
      <c r="E8" t="s">
        <v>16</v>
      </c>
      <c r="F8">
        <v>14560</v>
      </c>
      <c r="G8">
        <v>112</v>
      </c>
      <c r="H8">
        <v>2</v>
      </c>
      <c r="I8">
        <v>2</v>
      </c>
      <c r="J8">
        <v>881.19</v>
      </c>
      <c r="K8" s="16">
        <v>2.3355999999999999</v>
      </c>
      <c r="L8" s="27">
        <v>45404</v>
      </c>
      <c r="M8" s="31">
        <v>0.96793981481481484</v>
      </c>
      <c r="N8">
        <v>0</v>
      </c>
      <c r="O8">
        <v>0</v>
      </c>
      <c r="P8">
        <v>0</v>
      </c>
      <c r="Q8" s="123"/>
      <c r="S8" s="16" t="s">
        <v>290</v>
      </c>
      <c r="T8">
        <v>4</v>
      </c>
      <c r="U8" t="s">
        <v>16</v>
      </c>
      <c r="V8">
        <v>14640</v>
      </c>
      <c r="W8">
        <v>80</v>
      </c>
      <c r="X8">
        <v>1</v>
      </c>
      <c r="Y8">
        <v>4</v>
      </c>
      <c r="Z8">
        <v>806.19</v>
      </c>
      <c r="AA8" s="16">
        <v>2.5951</v>
      </c>
      <c r="AB8" s="27">
        <v>45405</v>
      </c>
      <c r="AC8" s="31">
        <v>2.3240740740740742E-2</v>
      </c>
      <c r="AD8">
        <v>0</v>
      </c>
      <c r="AE8">
        <v>0</v>
      </c>
      <c r="AF8">
        <v>0</v>
      </c>
      <c r="AG8" s="123"/>
      <c r="AH8" s="16"/>
    </row>
    <row r="9" spans="3:34" x14ac:dyDescent="0.25">
      <c r="L9" s="27"/>
      <c r="AB9" s="27"/>
      <c r="AH9" s="16"/>
    </row>
    <row r="10" spans="3:34" x14ac:dyDescent="0.25">
      <c r="L10" s="27"/>
      <c r="AB10" s="27"/>
      <c r="AH10" s="16"/>
    </row>
    <row r="11" spans="3:34" x14ac:dyDescent="0.25">
      <c r="L11" s="27"/>
      <c r="AB11" s="27"/>
      <c r="AH11" s="16"/>
    </row>
    <row r="12" spans="3:34" x14ac:dyDescent="0.25">
      <c r="L12" s="27"/>
      <c r="AB12" s="27"/>
      <c r="AH12" s="16"/>
    </row>
    <row r="13" spans="3:34" x14ac:dyDescent="0.25">
      <c r="L13" s="27"/>
      <c r="AB13" s="27"/>
      <c r="AH13" s="16"/>
    </row>
    <row r="14" spans="3:34" x14ac:dyDescent="0.25">
      <c r="L14" s="27"/>
      <c r="AB14" s="27"/>
      <c r="AH14" s="16"/>
    </row>
    <row r="15" spans="3:34" x14ac:dyDescent="0.25">
      <c r="L15" s="27"/>
      <c r="AB15" s="27"/>
      <c r="AH15" s="16"/>
    </row>
    <row r="16" spans="3:34" x14ac:dyDescent="0.25">
      <c r="L16" s="27"/>
      <c r="AB16" s="27"/>
      <c r="AH16" s="16"/>
    </row>
    <row r="17" spans="12:34" x14ac:dyDescent="0.25">
      <c r="L17" s="27"/>
      <c r="AB17" s="27"/>
      <c r="AH17" s="16"/>
    </row>
    <row r="18" spans="12:34" x14ac:dyDescent="0.25">
      <c r="L18" s="27"/>
      <c r="AB18" s="27"/>
      <c r="AH18" s="16"/>
    </row>
    <row r="19" spans="12:34" x14ac:dyDescent="0.25">
      <c r="L19" s="27"/>
      <c r="AB19" s="27"/>
      <c r="AH19" s="16"/>
    </row>
    <row r="20" spans="12:34" x14ac:dyDescent="0.25">
      <c r="L20" s="27"/>
      <c r="AB20" s="27"/>
      <c r="AH20" s="16"/>
    </row>
    <row r="21" spans="12:34" x14ac:dyDescent="0.25">
      <c r="L21" s="27"/>
      <c r="AB21" s="27"/>
      <c r="AH21" s="16"/>
    </row>
    <row r="22" spans="12:34" x14ac:dyDescent="0.25">
      <c r="L22" s="27"/>
      <c r="AB22" s="27"/>
      <c r="AH22" s="16"/>
    </row>
    <row r="23" spans="12:34" x14ac:dyDescent="0.25">
      <c r="L23" s="27"/>
      <c r="AB23" s="27"/>
      <c r="AH23" s="16"/>
    </row>
    <row r="24" spans="12:34" x14ac:dyDescent="0.25">
      <c r="L24" s="27"/>
      <c r="AB24" s="27"/>
      <c r="AH24" s="16"/>
    </row>
    <row r="25" spans="12:34" x14ac:dyDescent="0.25">
      <c r="L25" s="27"/>
      <c r="AB25" s="27"/>
      <c r="AH25" s="16"/>
    </row>
    <row r="26" spans="12:34" x14ac:dyDescent="0.25">
      <c r="L26" s="27"/>
      <c r="AB26" s="27"/>
      <c r="AH26" s="16"/>
    </row>
    <row r="27" spans="12:34" x14ac:dyDescent="0.25">
      <c r="L27" s="27"/>
      <c r="AB27" s="27"/>
      <c r="AH27" s="16"/>
    </row>
    <row r="28" spans="12:34" x14ac:dyDescent="0.25">
      <c r="L28" s="27"/>
      <c r="AB28" s="27"/>
      <c r="AH28" s="16"/>
    </row>
    <row r="29" spans="12:34" x14ac:dyDescent="0.25">
      <c r="L29" s="27"/>
      <c r="AB29" s="27"/>
      <c r="AH29" s="16"/>
    </row>
    <row r="30" spans="12:34" x14ac:dyDescent="0.25">
      <c r="L30" s="27"/>
      <c r="AB30" s="27"/>
      <c r="AH30" s="16"/>
    </row>
    <row r="31" spans="12:34" x14ac:dyDescent="0.25">
      <c r="L31" s="27"/>
      <c r="AB31" s="27"/>
      <c r="AH31" s="16"/>
    </row>
    <row r="32" spans="12:34" x14ac:dyDescent="0.25">
      <c r="L32" s="27"/>
      <c r="AB32" s="27"/>
      <c r="AH32" s="16"/>
    </row>
    <row r="33" spans="12:34" x14ac:dyDescent="0.25">
      <c r="L33" s="27"/>
      <c r="AB33" s="27"/>
      <c r="AH33" s="16"/>
    </row>
    <row r="34" spans="12:34" x14ac:dyDescent="0.25">
      <c r="L34" s="27"/>
      <c r="AB34" s="27"/>
      <c r="AH34" s="16"/>
    </row>
    <row r="35" spans="12:34" x14ac:dyDescent="0.25">
      <c r="L35" s="27"/>
      <c r="AB35" s="27"/>
      <c r="AH35" s="16"/>
    </row>
    <row r="36" spans="12:34" x14ac:dyDescent="0.25">
      <c r="L36" s="27"/>
      <c r="AB36" s="27"/>
      <c r="AH36" s="16"/>
    </row>
    <row r="37" spans="12:34" x14ac:dyDescent="0.25">
      <c r="L37" s="27"/>
      <c r="AB37" s="27"/>
      <c r="AH37" s="16"/>
    </row>
    <row r="38" spans="12:34" x14ac:dyDescent="0.25">
      <c r="L38" s="27"/>
      <c r="AB38" s="27"/>
      <c r="AH38" s="16"/>
    </row>
    <row r="39" spans="12:34" x14ac:dyDescent="0.25">
      <c r="L39" s="27"/>
      <c r="AB39" s="27"/>
      <c r="AH39" s="16"/>
    </row>
    <row r="40" spans="12:34" x14ac:dyDescent="0.25">
      <c r="L40" s="27"/>
      <c r="AB40" s="27"/>
      <c r="AH40" s="16"/>
    </row>
    <row r="41" spans="12:34" x14ac:dyDescent="0.25">
      <c r="L41" s="27"/>
      <c r="AB41" s="27"/>
      <c r="AH41" s="16"/>
    </row>
    <row r="42" spans="12:34" x14ac:dyDescent="0.25">
      <c r="L42" s="27"/>
      <c r="AB42" s="27"/>
      <c r="AH42" s="16"/>
    </row>
    <row r="43" spans="12:34" x14ac:dyDescent="0.25">
      <c r="L43" s="27"/>
      <c r="AB43" s="27"/>
      <c r="AH43" s="16"/>
    </row>
    <row r="44" spans="12:34" x14ac:dyDescent="0.25">
      <c r="L44" s="27"/>
      <c r="AB44" s="27"/>
      <c r="AH44" s="16"/>
    </row>
    <row r="45" spans="12:34" x14ac:dyDescent="0.25">
      <c r="L45" s="27"/>
      <c r="AB45" s="27"/>
      <c r="AH45" s="16"/>
    </row>
    <row r="46" spans="12:34" x14ac:dyDescent="0.25">
      <c r="L46" s="27"/>
      <c r="AB46" s="27"/>
      <c r="AH46" s="16"/>
    </row>
    <row r="47" spans="12:34" x14ac:dyDescent="0.25">
      <c r="L47" s="27"/>
      <c r="AB47" s="27"/>
      <c r="AH47" s="16"/>
    </row>
    <row r="48" spans="12:34" x14ac:dyDescent="0.25">
      <c r="L48" s="27"/>
      <c r="AB48" s="27"/>
      <c r="AH48" s="16"/>
    </row>
    <row r="49" spans="12:34" x14ac:dyDescent="0.25">
      <c r="L49" s="27"/>
      <c r="AB49" s="27"/>
      <c r="AH49" s="16"/>
    </row>
    <row r="50" spans="12:34" x14ac:dyDescent="0.25">
      <c r="L50" s="27"/>
      <c r="AB50" s="27"/>
      <c r="AH50" s="16"/>
    </row>
    <row r="51" spans="12:34" x14ac:dyDescent="0.25">
      <c r="L51" s="27"/>
      <c r="AB51" s="27"/>
      <c r="AH51" s="16"/>
    </row>
    <row r="52" spans="12:34" x14ac:dyDescent="0.25">
      <c r="L52" s="27"/>
      <c r="AB52" s="27"/>
      <c r="AH52" s="16"/>
    </row>
    <row r="53" spans="12:34" x14ac:dyDescent="0.25">
      <c r="L53" s="27"/>
      <c r="AB53" s="27"/>
      <c r="AH53" s="16"/>
    </row>
    <row r="54" spans="12:34" x14ac:dyDescent="0.25">
      <c r="L54" s="27"/>
      <c r="AB54" s="27"/>
      <c r="AH54" s="16"/>
    </row>
    <row r="55" spans="12:34" x14ac:dyDescent="0.25">
      <c r="L55" s="27"/>
      <c r="AB55" s="27"/>
      <c r="AH55" s="16"/>
    </row>
    <row r="56" spans="12:34" x14ac:dyDescent="0.25">
      <c r="L56" s="27"/>
      <c r="AB56" s="27"/>
      <c r="AH56" s="16"/>
    </row>
    <row r="57" spans="12:34" x14ac:dyDescent="0.25">
      <c r="L57" s="27"/>
      <c r="AB57" s="27"/>
      <c r="AH57" s="16"/>
    </row>
    <row r="58" spans="12:34" x14ac:dyDescent="0.25">
      <c r="L58" s="27"/>
      <c r="AB58" s="27"/>
      <c r="AH58" s="16"/>
    </row>
    <row r="59" spans="12:34" x14ac:dyDescent="0.25">
      <c r="L59" s="27"/>
      <c r="AB59" s="27"/>
      <c r="AH59" s="16"/>
    </row>
    <row r="60" spans="12:34" x14ac:dyDescent="0.25">
      <c r="L60" s="27"/>
      <c r="AB60" s="27"/>
      <c r="AH60" s="16"/>
    </row>
    <row r="61" spans="12:34" x14ac:dyDescent="0.25">
      <c r="L61" s="27"/>
      <c r="AB61" s="27"/>
      <c r="AH61" s="16"/>
    </row>
    <row r="62" spans="12:34" x14ac:dyDescent="0.25">
      <c r="L62" s="27"/>
      <c r="AB62" s="27"/>
      <c r="AH62" s="16"/>
    </row>
    <row r="63" spans="12:34" x14ac:dyDescent="0.25">
      <c r="L63" s="27"/>
      <c r="AB63" s="27"/>
      <c r="AH63" s="16"/>
    </row>
    <row r="64" spans="12:34" x14ac:dyDescent="0.25">
      <c r="L64" s="27"/>
      <c r="AB64" s="27"/>
      <c r="AH64" s="16"/>
    </row>
    <row r="65" spans="12:34" x14ac:dyDescent="0.25">
      <c r="L65" s="27"/>
      <c r="AB65" s="27"/>
      <c r="AH65" s="16"/>
    </row>
    <row r="66" spans="12:34" x14ac:dyDescent="0.25">
      <c r="L66" s="27"/>
      <c r="AB66" s="27"/>
      <c r="AH66" s="16"/>
    </row>
    <row r="67" spans="12:34" x14ac:dyDescent="0.25">
      <c r="L67" s="27"/>
      <c r="AB67" s="27"/>
      <c r="AH67" s="16"/>
    </row>
    <row r="68" spans="12:34" x14ac:dyDescent="0.25">
      <c r="L68" s="27"/>
      <c r="AB68" s="27"/>
      <c r="AH68" s="16"/>
    </row>
    <row r="69" spans="12:34" x14ac:dyDescent="0.25">
      <c r="L69" s="27"/>
      <c r="AB69" s="27"/>
      <c r="AH69" s="16"/>
    </row>
    <row r="70" spans="12:34" x14ac:dyDescent="0.25">
      <c r="L70" s="27"/>
      <c r="AB70" s="27"/>
      <c r="AH70" s="16"/>
    </row>
    <row r="71" spans="12:34" x14ac:dyDescent="0.25">
      <c r="L71" s="27"/>
      <c r="AB71" s="27"/>
      <c r="AH71" s="16"/>
    </row>
    <row r="72" spans="12:34" x14ac:dyDescent="0.25">
      <c r="L72" s="27"/>
      <c r="AB72" s="27"/>
      <c r="AH72" s="16"/>
    </row>
    <row r="73" spans="12:34" x14ac:dyDescent="0.25">
      <c r="L73" s="27"/>
      <c r="AB73" s="27"/>
      <c r="AH73" s="16"/>
    </row>
    <row r="74" spans="12:34" x14ac:dyDescent="0.25">
      <c r="L74" s="27"/>
      <c r="AB74" s="27"/>
      <c r="AH74" s="16"/>
    </row>
    <row r="75" spans="12:34" x14ac:dyDescent="0.25">
      <c r="L75" s="27"/>
      <c r="AB75" s="27"/>
      <c r="AH75" s="16"/>
    </row>
    <row r="76" spans="12:34" x14ac:dyDescent="0.25">
      <c r="L76" s="27"/>
      <c r="AB76" s="27"/>
      <c r="AH76" s="16"/>
    </row>
    <row r="77" spans="12:34" x14ac:dyDescent="0.25">
      <c r="L77" s="27"/>
      <c r="AB77" s="27"/>
      <c r="AH77" s="16"/>
    </row>
    <row r="78" spans="12:34" x14ac:dyDescent="0.25">
      <c r="L78" s="27"/>
      <c r="AB78" s="27"/>
      <c r="AH78" s="16"/>
    </row>
    <row r="79" spans="12:34" x14ac:dyDescent="0.25">
      <c r="L79" s="27"/>
      <c r="AB79" s="27"/>
      <c r="AH79" s="16"/>
    </row>
    <row r="80" spans="12:34" x14ac:dyDescent="0.25">
      <c r="L80" s="27"/>
      <c r="AB80" s="27"/>
      <c r="AH80" s="16"/>
    </row>
    <row r="81" spans="12:34" x14ac:dyDescent="0.25">
      <c r="L81" s="27"/>
      <c r="AB81" s="27"/>
      <c r="AH81" s="16"/>
    </row>
    <row r="82" spans="12:34" x14ac:dyDescent="0.25">
      <c r="L82" s="27"/>
      <c r="AB82" s="27"/>
      <c r="AH82" s="16"/>
    </row>
    <row r="83" spans="12:34" x14ac:dyDescent="0.25">
      <c r="L83" s="27"/>
      <c r="AB83" s="27"/>
      <c r="AH83" s="16"/>
    </row>
    <row r="84" spans="12:34" x14ac:dyDescent="0.25">
      <c r="L84" s="27"/>
      <c r="AB84" s="27"/>
      <c r="AH84" s="16"/>
    </row>
    <row r="85" spans="12:34" x14ac:dyDescent="0.25">
      <c r="L85" s="27"/>
      <c r="AB85" s="27"/>
      <c r="AH85" s="16"/>
    </row>
    <row r="86" spans="12:34" x14ac:dyDescent="0.25">
      <c r="L86" s="27"/>
      <c r="AB86" s="27"/>
      <c r="AH86" s="16"/>
    </row>
    <row r="87" spans="12:34" x14ac:dyDescent="0.25">
      <c r="L87" s="27"/>
      <c r="AB87" s="27"/>
      <c r="AH87" s="16"/>
    </row>
    <row r="88" spans="12:34" x14ac:dyDescent="0.25">
      <c r="L88" s="27"/>
      <c r="AB88" s="27"/>
      <c r="AH88" s="16"/>
    </row>
    <row r="89" spans="12:34" x14ac:dyDescent="0.25">
      <c r="L89" s="27"/>
      <c r="AB89" s="27"/>
      <c r="AH89" s="16"/>
    </row>
    <row r="90" spans="12:34" x14ac:dyDescent="0.25">
      <c r="L90" s="27"/>
      <c r="AB90" s="27"/>
      <c r="AH90" s="16"/>
    </row>
    <row r="91" spans="12:34" x14ac:dyDescent="0.25">
      <c r="L91" s="27"/>
      <c r="AB91" s="27"/>
      <c r="AH91" s="16"/>
    </row>
    <row r="92" spans="12:34" x14ac:dyDescent="0.25">
      <c r="L92" s="27"/>
      <c r="AB92" s="27"/>
      <c r="AH92" s="16"/>
    </row>
    <row r="93" spans="12:34" x14ac:dyDescent="0.25">
      <c r="L93" s="27"/>
      <c r="AB93" s="27"/>
      <c r="AH93" s="16"/>
    </row>
    <row r="94" spans="12:34" x14ac:dyDescent="0.25">
      <c r="L94" s="27"/>
      <c r="AB94" s="27"/>
      <c r="AH94" s="16"/>
    </row>
    <row r="95" spans="12:34" x14ac:dyDescent="0.25">
      <c r="L95" s="27"/>
      <c r="AB95" s="27"/>
      <c r="AH95" s="16"/>
    </row>
    <row r="96" spans="12:34" x14ac:dyDescent="0.25">
      <c r="L96" s="27"/>
      <c r="AB96" s="27"/>
      <c r="AH96" s="16"/>
    </row>
    <row r="97" spans="12:34" x14ac:dyDescent="0.25">
      <c r="L97" s="27"/>
      <c r="AB97" s="27"/>
      <c r="AH97" s="16"/>
    </row>
    <row r="98" spans="12:34" x14ac:dyDescent="0.25">
      <c r="L98" s="27"/>
      <c r="AB98" s="27"/>
      <c r="AH98" s="16"/>
    </row>
    <row r="99" spans="12:34" x14ac:dyDescent="0.25">
      <c r="L99" s="27"/>
      <c r="AB99" s="27"/>
      <c r="AH99" s="16"/>
    </row>
    <row r="100" spans="12:34" x14ac:dyDescent="0.25">
      <c r="L100" s="27"/>
      <c r="AB100" s="27"/>
      <c r="AH100" s="16"/>
    </row>
    <row r="101" spans="12:34" x14ac:dyDescent="0.25">
      <c r="L101" s="27"/>
      <c r="AB101" s="27"/>
      <c r="AH101" s="16"/>
    </row>
    <row r="102" spans="12:34" x14ac:dyDescent="0.25">
      <c r="L102" s="27"/>
      <c r="AB102" s="27"/>
      <c r="AH102" s="16"/>
    </row>
    <row r="103" spans="12:34" x14ac:dyDescent="0.25">
      <c r="L103" s="27"/>
      <c r="AB103" s="27"/>
      <c r="AH103" s="16"/>
    </row>
    <row r="104" spans="12:34" x14ac:dyDescent="0.25">
      <c r="L104" s="27"/>
      <c r="AB104" s="27"/>
      <c r="AH104" s="16"/>
    </row>
    <row r="105" spans="12:34" x14ac:dyDescent="0.25">
      <c r="L105" s="27"/>
      <c r="AB105" s="27"/>
      <c r="AH105" s="16"/>
    </row>
    <row r="106" spans="12:34" x14ac:dyDescent="0.25">
      <c r="L106" s="27"/>
      <c r="AB106" s="27"/>
      <c r="AH106" s="16"/>
    </row>
    <row r="107" spans="12:34" x14ac:dyDescent="0.25">
      <c r="L107" s="27"/>
      <c r="AB107" s="27"/>
      <c r="AH107" s="16"/>
    </row>
    <row r="108" spans="12:34" x14ac:dyDescent="0.25">
      <c r="L108" s="27"/>
      <c r="AB108" s="27"/>
      <c r="AH108" s="16"/>
    </row>
    <row r="109" spans="12:34" x14ac:dyDescent="0.25">
      <c r="L109" s="27"/>
      <c r="AB109" s="27"/>
      <c r="AH109" s="16"/>
    </row>
    <row r="110" spans="12:34" x14ac:dyDescent="0.25">
      <c r="L110" s="27"/>
      <c r="AB110" s="27"/>
      <c r="AH110" s="16"/>
    </row>
    <row r="111" spans="12:34" x14ac:dyDescent="0.25">
      <c r="L111" s="27"/>
      <c r="AB111" s="27"/>
      <c r="AH111" s="16"/>
    </row>
    <row r="112" spans="12:34" x14ac:dyDescent="0.25">
      <c r="L112" s="27"/>
      <c r="AB112" s="27"/>
      <c r="AH112" s="16"/>
    </row>
    <row r="113" spans="12:34" x14ac:dyDescent="0.25">
      <c r="L113" s="27"/>
      <c r="AB113" s="27"/>
      <c r="AH113" s="16"/>
    </row>
    <row r="114" spans="12:34" x14ac:dyDescent="0.25">
      <c r="L114" s="27"/>
      <c r="AB114" s="27"/>
      <c r="AH114" s="16"/>
    </row>
    <row r="115" spans="12:34" x14ac:dyDescent="0.25">
      <c r="L115" s="27"/>
      <c r="AB115" s="27"/>
      <c r="AH115" s="16"/>
    </row>
    <row r="116" spans="12:34" x14ac:dyDescent="0.25">
      <c r="L116" s="27"/>
      <c r="AB116" s="27"/>
      <c r="AH116" s="16"/>
    </row>
    <row r="117" spans="12:34" x14ac:dyDescent="0.25">
      <c r="L117" s="27"/>
      <c r="AB117" s="27"/>
      <c r="AH117" s="16"/>
    </row>
    <row r="118" spans="12:34" x14ac:dyDescent="0.25">
      <c r="L118" s="27"/>
      <c r="AB118" s="27"/>
      <c r="AH118" s="16"/>
    </row>
    <row r="119" spans="12:34" x14ac:dyDescent="0.25">
      <c r="L119" s="27"/>
      <c r="AB119" s="27"/>
      <c r="AH119" s="16"/>
    </row>
    <row r="120" spans="12:34" x14ac:dyDescent="0.25">
      <c r="L120" s="27"/>
      <c r="AB120" s="27"/>
      <c r="AH120" s="16"/>
    </row>
    <row r="121" spans="12:34" x14ac:dyDescent="0.25">
      <c r="L121" s="27"/>
      <c r="AB121" s="27"/>
      <c r="AH121" s="16"/>
    </row>
    <row r="122" spans="12:34" x14ac:dyDescent="0.25">
      <c r="L122" s="27"/>
      <c r="AB122" s="27"/>
      <c r="AH122" s="16"/>
    </row>
    <row r="123" spans="12:34" x14ac:dyDescent="0.25">
      <c r="L123" s="27"/>
      <c r="AB123" s="27"/>
      <c r="AH123" s="16"/>
    </row>
    <row r="124" spans="12:34" x14ac:dyDescent="0.25">
      <c r="T124" s="45"/>
      <c r="U124" s="45"/>
      <c r="V124" s="45"/>
      <c r="W124" s="45"/>
      <c r="X124" s="45"/>
      <c r="Y124" s="45"/>
      <c r="Z124" s="45"/>
      <c r="AA124" s="105"/>
      <c r="AB124" s="49"/>
      <c r="AC124" s="106"/>
      <c r="AD124" s="45"/>
      <c r="AE124" s="45"/>
      <c r="AF124" s="45"/>
      <c r="AG124" s="111"/>
      <c r="AH124" s="45"/>
    </row>
    <row r="125" spans="12:34" x14ac:dyDescent="0.25">
      <c r="T125" s="45"/>
      <c r="U125" s="45"/>
      <c r="V125" s="45"/>
      <c r="W125" s="45"/>
      <c r="X125" s="45"/>
      <c r="Y125" s="45"/>
      <c r="Z125" s="45"/>
      <c r="AA125" s="105"/>
      <c r="AB125" s="49"/>
      <c r="AC125" s="106"/>
      <c r="AD125" s="45"/>
      <c r="AE125" s="45"/>
      <c r="AF125" s="45"/>
      <c r="AG125" s="111"/>
      <c r="AH125" s="45"/>
    </row>
    <row r="126" spans="12:34" x14ac:dyDescent="0.25">
      <c r="T126" s="45"/>
      <c r="U126" s="45"/>
      <c r="V126" s="45"/>
      <c r="W126" s="45"/>
      <c r="X126" s="45"/>
      <c r="Y126" s="45"/>
      <c r="Z126" s="45"/>
      <c r="AA126" s="105"/>
      <c r="AB126" s="49"/>
      <c r="AC126" s="106"/>
      <c r="AD126" s="45"/>
      <c r="AE126" s="45"/>
      <c r="AF126" s="45"/>
      <c r="AG126" s="111"/>
      <c r="AH126" s="45"/>
    </row>
    <row r="127" spans="12:34" x14ac:dyDescent="0.25">
      <c r="T127" s="45"/>
      <c r="U127" s="45"/>
      <c r="V127" s="45"/>
      <c r="W127" s="45"/>
      <c r="X127" s="45"/>
      <c r="Y127" s="45"/>
      <c r="Z127" s="45"/>
      <c r="AA127" s="105"/>
      <c r="AB127" s="49"/>
      <c r="AC127" s="106"/>
      <c r="AD127" s="45"/>
      <c r="AE127" s="45"/>
      <c r="AF127" s="45"/>
      <c r="AG127" s="111"/>
      <c r="AH127" s="45"/>
    </row>
    <row r="128" spans="12:34" x14ac:dyDescent="0.25">
      <c r="T128" s="45"/>
      <c r="U128" s="45"/>
      <c r="V128" s="45"/>
      <c r="W128" s="45"/>
      <c r="X128" s="45"/>
      <c r="Y128" s="45"/>
      <c r="Z128" s="45"/>
      <c r="AA128" s="105"/>
      <c r="AB128" s="49"/>
      <c r="AC128" s="106"/>
      <c r="AD128" s="45"/>
      <c r="AE128" s="45"/>
      <c r="AF128" s="45"/>
      <c r="AG128" s="111"/>
      <c r="AH128" s="45"/>
    </row>
    <row r="129" spans="20:34" x14ac:dyDescent="0.25">
      <c r="T129" s="45"/>
      <c r="U129" s="45"/>
      <c r="V129" s="45"/>
      <c r="W129" s="45"/>
      <c r="X129" s="45"/>
      <c r="Y129" s="45"/>
      <c r="Z129" s="45"/>
      <c r="AA129" s="105"/>
      <c r="AB129" s="49"/>
      <c r="AC129" s="106"/>
      <c r="AD129" s="45"/>
      <c r="AE129" s="45"/>
      <c r="AF129" s="45"/>
      <c r="AG129" s="111"/>
      <c r="AH129" s="45"/>
    </row>
    <row r="130" spans="20:34" x14ac:dyDescent="0.25">
      <c r="T130" s="45"/>
      <c r="U130" s="45"/>
      <c r="V130" s="45"/>
      <c r="W130" s="45"/>
      <c r="X130" s="45"/>
      <c r="Y130" s="45"/>
      <c r="Z130" s="45"/>
      <c r="AA130" s="105"/>
      <c r="AB130" s="49"/>
      <c r="AC130" s="106"/>
      <c r="AD130" s="45"/>
      <c r="AE130" s="45"/>
      <c r="AF130" s="45"/>
      <c r="AG130" s="111"/>
      <c r="AH130" s="45"/>
    </row>
    <row r="131" spans="20:34" x14ac:dyDescent="0.25">
      <c r="T131" s="45"/>
      <c r="U131" s="45"/>
      <c r="V131" s="45"/>
      <c r="W131" s="45"/>
      <c r="X131" s="45"/>
      <c r="Y131" s="45"/>
      <c r="Z131" s="45"/>
      <c r="AA131" s="105"/>
      <c r="AB131" s="49"/>
      <c r="AC131" s="106"/>
      <c r="AD131" s="45"/>
      <c r="AE131" s="45"/>
      <c r="AF131" s="45"/>
      <c r="AG131" s="111"/>
      <c r="AH131" s="45"/>
    </row>
    <row r="132" spans="20:34" x14ac:dyDescent="0.25">
      <c r="T132" s="45"/>
      <c r="U132" s="45"/>
      <c r="V132" s="45"/>
      <c r="W132" s="45"/>
      <c r="X132" s="45"/>
      <c r="Y132" s="45"/>
      <c r="Z132" s="45"/>
      <c r="AA132" s="105"/>
      <c r="AB132" s="49"/>
      <c r="AC132" s="106"/>
      <c r="AD132" s="45"/>
      <c r="AE132" s="45"/>
      <c r="AF132" s="45"/>
      <c r="AG132" s="111"/>
      <c r="AH132" s="45"/>
    </row>
    <row r="133" spans="20:34" x14ac:dyDescent="0.25">
      <c r="T133" s="45"/>
      <c r="U133" s="45"/>
      <c r="V133" s="45"/>
      <c r="W133" s="45"/>
      <c r="X133" s="45"/>
      <c r="Y133" s="45"/>
      <c r="Z133" s="45"/>
      <c r="AA133" s="105"/>
      <c r="AB133" s="49"/>
      <c r="AC133" s="106"/>
      <c r="AD133" s="45"/>
      <c r="AE133" s="45"/>
      <c r="AF133" s="45"/>
      <c r="AG133" s="111"/>
      <c r="AH133" s="45"/>
    </row>
    <row r="134" spans="20:34" x14ac:dyDescent="0.25">
      <c r="T134" s="45"/>
      <c r="U134" s="45"/>
      <c r="V134" s="45"/>
      <c r="W134" s="45"/>
      <c r="X134" s="45"/>
      <c r="Y134" s="45"/>
      <c r="Z134" s="45"/>
      <c r="AA134" s="105"/>
      <c r="AB134" s="49"/>
      <c r="AC134" s="106"/>
      <c r="AD134" s="45"/>
      <c r="AE134" s="45"/>
      <c r="AF134" s="45"/>
      <c r="AG134" s="111"/>
      <c r="AH134" s="45"/>
    </row>
    <row r="135" spans="20:34" x14ac:dyDescent="0.25">
      <c r="T135" s="45"/>
      <c r="U135" s="45"/>
      <c r="V135" s="45"/>
      <c r="W135" s="45"/>
      <c r="X135" s="45"/>
      <c r="Y135" s="45"/>
      <c r="Z135" s="45"/>
      <c r="AA135" s="105"/>
      <c r="AB135" s="49"/>
      <c r="AC135" s="106"/>
      <c r="AD135" s="45"/>
      <c r="AE135" s="45"/>
      <c r="AF135" s="45"/>
      <c r="AG135" s="111"/>
      <c r="AH135" s="45"/>
    </row>
    <row r="136" spans="20:34" x14ac:dyDescent="0.25">
      <c r="T136" s="45"/>
      <c r="U136" s="45"/>
      <c r="V136" s="45"/>
      <c r="W136" s="45"/>
      <c r="X136" s="45"/>
      <c r="Y136" s="45"/>
      <c r="Z136" s="45"/>
      <c r="AA136" s="105"/>
      <c r="AB136" s="49"/>
      <c r="AC136" s="106"/>
      <c r="AD136" s="45"/>
      <c r="AE136" s="45"/>
      <c r="AF136" s="45"/>
      <c r="AG136" s="111"/>
      <c r="AH136" s="45"/>
    </row>
    <row r="137" spans="20:34" x14ac:dyDescent="0.25">
      <c r="T137" s="45"/>
      <c r="U137" s="45"/>
      <c r="V137" s="45"/>
      <c r="W137" s="45"/>
      <c r="X137" s="45"/>
      <c r="Y137" s="45"/>
      <c r="Z137" s="45"/>
      <c r="AA137" s="105"/>
      <c r="AB137" s="49"/>
      <c r="AC137" s="106"/>
      <c r="AD137" s="45"/>
      <c r="AE137" s="45"/>
      <c r="AF137" s="45"/>
      <c r="AG137" s="111"/>
      <c r="AH137" s="45"/>
    </row>
    <row r="138" spans="20:34" x14ac:dyDescent="0.25">
      <c r="T138" s="45"/>
      <c r="U138" s="45"/>
      <c r="V138" s="45"/>
      <c r="W138" s="45"/>
      <c r="X138" s="45"/>
      <c r="Y138" s="45"/>
      <c r="Z138" s="45"/>
      <c r="AA138" s="105"/>
      <c r="AB138" s="49"/>
      <c r="AC138" s="106"/>
      <c r="AD138" s="45"/>
      <c r="AE138" s="45"/>
      <c r="AF138" s="45"/>
      <c r="AG138" s="111"/>
      <c r="AH138" s="45"/>
    </row>
    <row r="139" spans="20:34" x14ac:dyDescent="0.25">
      <c r="T139" s="45"/>
      <c r="U139" s="45"/>
      <c r="V139" s="45"/>
      <c r="W139" s="45"/>
      <c r="X139" s="45"/>
      <c r="Y139" s="45"/>
      <c r="Z139" s="45"/>
      <c r="AA139" s="105"/>
      <c r="AB139" s="49"/>
      <c r="AC139" s="106"/>
      <c r="AD139" s="45"/>
      <c r="AE139" s="45"/>
      <c r="AF139" s="45"/>
      <c r="AG139" s="111"/>
      <c r="AH139" s="45"/>
    </row>
    <row r="140" spans="20:34" x14ac:dyDescent="0.25">
      <c r="T140" s="45"/>
      <c r="U140" s="45"/>
      <c r="V140" s="45"/>
      <c r="W140" s="45"/>
      <c r="X140" s="45"/>
      <c r="Y140" s="45"/>
      <c r="Z140" s="45"/>
      <c r="AA140" s="105"/>
      <c r="AB140" s="49"/>
      <c r="AC140" s="106"/>
      <c r="AD140" s="45"/>
      <c r="AE140" s="45"/>
      <c r="AF140" s="45"/>
      <c r="AG140" s="111"/>
      <c r="AH140" s="45"/>
    </row>
    <row r="141" spans="20:34" x14ac:dyDescent="0.25">
      <c r="T141" s="45"/>
      <c r="U141" s="45"/>
      <c r="V141" s="45"/>
      <c r="W141" s="45"/>
      <c r="X141" s="45"/>
      <c r="Y141" s="45"/>
      <c r="Z141" s="45"/>
      <c r="AA141" s="105"/>
      <c r="AB141" s="49"/>
      <c r="AC141" s="106"/>
      <c r="AD141" s="45"/>
      <c r="AE141" s="45"/>
      <c r="AF141" s="45"/>
      <c r="AG141" s="111"/>
      <c r="AH141" s="45"/>
    </row>
    <row r="142" spans="20:34" x14ac:dyDescent="0.25">
      <c r="T142" s="45"/>
      <c r="U142" s="45"/>
      <c r="V142" s="45"/>
      <c r="W142" s="45"/>
      <c r="X142" s="45"/>
      <c r="Y142" s="45"/>
      <c r="Z142" s="45"/>
      <c r="AA142" s="105"/>
      <c r="AB142" s="49"/>
      <c r="AC142" s="106"/>
      <c r="AD142" s="45"/>
      <c r="AE142" s="45"/>
      <c r="AF142" s="45"/>
      <c r="AG142" s="111"/>
      <c r="AH142" s="45"/>
    </row>
    <row r="143" spans="20:34" x14ac:dyDescent="0.25">
      <c r="T143" s="45"/>
      <c r="U143" s="45"/>
      <c r="V143" s="45"/>
      <c r="W143" s="45"/>
      <c r="X143" s="45"/>
      <c r="Y143" s="45"/>
      <c r="Z143" s="45"/>
      <c r="AA143" s="105"/>
      <c r="AB143" s="49"/>
      <c r="AC143" s="106"/>
      <c r="AD143" s="45"/>
      <c r="AE143" s="45"/>
      <c r="AF143" s="45"/>
      <c r="AG143" s="111"/>
      <c r="AH143" s="45"/>
    </row>
    <row r="144" spans="20:34" x14ac:dyDescent="0.25">
      <c r="T144" s="45"/>
      <c r="U144" s="45"/>
      <c r="V144" s="45"/>
      <c r="W144" s="45"/>
      <c r="X144" s="45"/>
      <c r="Y144" s="45"/>
      <c r="Z144" s="45"/>
      <c r="AA144" s="105"/>
      <c r="AB144" s="49"/>
      <c r="AC144" s="106"/>
      <c r="AD144" s="45"/>
      <c r="AE144" s="45"/>
      <c r="AF144" s="45"/>
      <c r="AG144" s="111"/>
      <c r="AH144" s="45"/>
    </row>
    <row r="145" spans="20:34" x14ac:dyDescent="0.25">
      <c r="T145" s="45"/>
      <c r="U145" s="45"/>
      <c r="V145" s="45"/>
      <c r="W145" s="45"/>
      <c r="X145" s="45"/>
      <c r="Y145" s="45"/>
      <c r="Z145" s="45"/>
      <c r="AA145" s="105"/>
      <c r="AB145" s="49"/>
      <c r="AC145" s="106"/>
      <c r="AD145" s="45"/>
      <c r="AE145" s="45"/>
      <c r="AF145" s="45"/>
      <c r="AG145" s="111"/>
      <c r="AH145" s="45"/>
    </row>
    <row r="146" spans="20:34" x14ac:dyDescent="0.25">
      <c r="T146" s="45"/>
      <c r="U146" s="45"/>
      <c r="V146" s="45"/>
      <c r="W146" s="45"/>
      <c r="X146" s="45"/>
      <c r="Y146" s="45"/>
      <c r="Z146" s="45"/>
      <c r="AA146" s="105"/>
      <c r="AB146" s="49"/>
      <c r="AC146" s="106"/>
      <c r="AD146" s="45"/>
      <c r="AE146" s="45"/>
      <c r="AF146" s="45"/>
      <c r="AG146" s="111"/>
      <c r="AH146" s="45"/>
    </row>
    <row r="147" spans="20:34" x14ac:dyDescent="0.25">
      <c r="T147" s="45"/>
      <c r="U147" s="45"/>
      <c r="V147" s="45"/>
      <c r="W147" s="45"/>
      <c r="X147" s="45"/>
      <c r="Y147" s="45"/>
      <c r="Z147" s="45"/>
      <c r="AA147" s="105"/>
      <c r="AB147" s="49"/>
      <c r="AC147" s="106"/>
      <c r="AD147" s="45"/>
      <c r="AE147" s="45"/>
      <c r="AF147" s="45"/>
      <c r="AG147" s="111"/>
      <c r="AH147" s="45"/>
    </row>
    <row r="148" spans="20:34" x14ac:dyDescent="0.25">
      <c r="T148" s="45"/>
      <c r="U148" s="45"/>
      <c r="V148" s="45"/>
      <c r="W148" s="45"/>
      <c r="X148" s="45"/>
      <c r="Y148" s="45"/>
      <c r="Z148" s="45"/>
      <c r="AA148" s="105"/>
      <c r="AB148" s="49"/>
      <c r="AC148" s="106"/>
      <c r="AD148" s="45"/>
      <c r="AE148" s="45"/>
      <c r="AF148" s="45"/>
      <c r="AG148" s="111"/>
      <c r="AH148" s="45"/>
    </row>
    <row r="149" spans="20:34" x14ac:dyDescent="0.25">
      <c r="T149" s="45"/>
      <c r="U149" s="45"/>
      <c r="V149" s="45"/>
      <c r="W149" s="45"/>
      <c r="X149" s="45"/>
      <c r="Y149" s="45"/>
      <c r="Z149" s="45"/>
      <c r="AA149" s="105"/>
      <c r="AB149" s="49"/>
      <c r="AC149" s="106"/>
      <c r="AD149" s="45"/>
      <c r="AE149" s="45"/>
      <c r="AF149" s="45"/>
      <c r="AG149" s="111"/>
      <c r="AH149" s="45"/>
    </row>
    <row r="150" spans="20:34" x14ac:dyDescent="0.25">
      <c r="T150" s="45"/>
      <c r="U150" s="45"/>
      <c r="V150" s="45"/>
      <c r="W150" s="45"/>
      <c r="X150" s="45"/>
      <c r="Y150" s="45"/>
      <c r="Z150" s="45"/>
      <c r="AA150" s="105"/>
      <c r="AB150" s="49"/>
      <c r="AC150" s="106"/>
      <c r="AD150" s="45"/>
      <c r="AE150" s="45"/>
      <c r="AF150" s="45"/>
      <c r="AG150" s="111"/>
      <c r="AH150" s="45"/>
    </row>
    <row r="151" spans="20:34" x14ac:dyDescent="0.25">
      <c r="T151" s="45"/>
      <c r="U151" s="45"/>
      <c r="V151" s="45"/>
      <c r="W151" s="45"/>
      <c r="X151" s="45"/>
      <c r="Y151" s="45"/>
      <c r="Z151" s="45"/>
      <c r="AA151" s="105"/>
      <c r="AB151" s="49"/>
      <c r="AC151" s="106"/>
      <c r="AD151" s="45"/>
      <c r="AE151" s="45"/>
      <c r="AF151" s="45"/>
      <c r="AG151" s="111"/>
      <c r="AH151" s="45"/>
    </row>
    <row r="152" spans="20:34" x14ac:dyDescent="0.25">
      <c r="T152" s="45"/>
      <c r="U152" s="45"/>
      <c r="V152" s="45"/>
      <c r="W152" s="45"/>
      <c r="X152" s="45"/>
      <c r="Y152" s="45"/>
      <c r="Z152" s="45"/>
      <c r="AA152" s="105"/>
      <c r="AB152" s="49"/>
      <c r="AC152" s="106"/>
      <c r="AD152" s="45"/>
      <c r="AE152" s="45"/>
      <c r="AF152" s="45"/>
      <c r="AG152" s="111"/>
      <c r="AH152" s="45"/>
    </row>
    <row r="153" spans="20:34" x14ac:dyDescent="0.25">
      <c r="T153" s="45"/>
      <c r="U153" s="45"/>
      <c r="V153" s="45"/>
      <c r="W153" s="45"/>
      <c r="X153" s="45"/>
      <c r="Y153" s="45"/>
      <c r="Z153" s="45"/>
      <c r="AA153" s="105"/>
      <c r="AB153" s="49"/>
      <c r="AC153" s="106"/>
      <c r="AD153" s="45"/>
      <c r="AE153" s="45"/>
      <c r="AF153" s="45"/>
      <c r="AG153" s="111"/>
      <c r="AH153" s="45"/>
    </row>
    <row r="154" spans="20:34" x14ac:dyDescent="0.25">
      <c r="T154" s="45"/>
      <c r="U154" s="45"/>
      <c r="V154" s="45"/>
      <c r="W154" s="45"/>
      <c r="X154" s="45"/>
      <c r="Y154" s="45"/>
      <c r="Z154" s="45"/>
      <c r="AA154" s="105"/>
      <c r="AB154" s="49"/>
      <c r="AC154" s="106"/>
      <c r="AD154" s="45"/>
      <c r="AE154" s="45"/>
      <c r="AF154" s="45"/>
      <c r="AG154" s="111"/>
      <c r="AH154" s="45"/>
    </row>
    <row r="155" spans="20:34" x14ac:dyDescent="0.25">
      <c r="T155" s="45"/>
      <c r="U155" s="45"/>
      <c r="V155" s="45"/>
      <c r="W155" s="45"/>
      <c r="X155" s="45"/>
      <c r="Y155" s="45"/>
      <c r="Z155" s="45"/>
      <c r="AA155" s="105"/>
      <c r="AB155" s="49"/>
      <c r="AC155" s="106"/>
      <c r="AD155" s="45"/>
      <c r="AE155" s="45"/>
      <c r="AF155" s="45"/>
      <c r="AG155" s="111"/>
      <c r="AH155" s="45"/>
    </row>
    <row r="156" spans="20:34" x14ac:dyDescent="0.25">
      <c r="T156" s="45"/>
      <c r="U156" s="45"/>
      <c r="V156" s="45"/>
      <c r="W156" s="45"/>
      <c r="X156" s="45"/>
      <c r="Y156" s="45"/>
      <c r="Z156" s="45"/>
      <c r="AA156" s="105"/>
      <c r="AB156" s="49"/>
      <c r="AC156" s="106"/>
      <c r="AD156" s="45"/>
      <c r="AE156" s="45"/>
      <c r="AF156" s="45"/>
      <c r="AG156" s="111"/>
      <c r="AH156" s="45"/>
    </row>
    <row r="157" spans="20:34" x14ac:dyDescent="0.25">
      <c r="T157" s="45"/>
      <c r="U157" s="45"/>
      <c r="V157" s="45"/>
      <c r="W157" s="45"/>
      <c r="X157" s="45"/>
      <c r="Y157" s="45"/>
      <c r="Z157" s="45"/>
      <c r="AA157" s="105"/>
      <c r="AB157" s="49"/>
      <c r="AC157" s="106"/>
      <c r="AD157" s="45"/>
      <c r="AE157" s="45"/>
      <c r="AF157" s="45"/>
      <c r="AG157" s="111"/>
      <c r="AH157" s="45"/>
    </row>
    <row r="158" spans="20:34" x14ac:dyDescent="0.25">
      <c r="T158" s="45"/>
      <c r="U158" s="45"/>
      <c r="V158" s="45"/>
      <c r="W158" s="45"/>
      <c r="X158" s="45"/>
      <c r="Y158" s="45"/>
      <c r="Z158" s="45"/>
      <c r="AA158" s="105"/>
      <c r="AB158" s="49"/>
      <c r="AC158" s="106"/>
      <c r="AD158" s="45"/>
      <c r="AE158" s="45"/>
      <c r="AF158" s="45"/>
      <c r="AG158" s="111"/>
      <c r="AH158" s="45"/>
    </row>
    <row r="159" spans="20:34" x14ac:dyDescent="0.25">
      <c r="T159" s="45"/>
      <c r="U159" s="45"/>
      <c r="V159" s="45"/>
      <c r="W159" s="45"/>
      <c r="X159" s="45"/>
      <c r="Y159" s="45"/>
      <c r="Z159" s="45"/>
      <c r="AA159" s="105"/>
      <c r="AB159" s="49"/>
      <c r="AC159" s="106"/>
      <c r="AD159" s="45"/>
      <c r="AE159" s="45"/>
      <c r="AF159" s="45"/>
      <c r="AG159" s="111"/>
      <c r="AH159" s="45"/>
    </row>
    <row r="160" spans="20:34" x14ac:dyDescent="0.25">
      <c r="T160" s="45"/>
      <c r="U160" s="45"/>
      <c r="V160" s="45"/>
      <c r="W160" s="45"/>
      <c r="X160" s="45"/>
      <c r="Y160" s="45"/>
      <c r="Z160" s="45"/>
      <c r="AA160" s="105"/>
      <c r="AB160" s="49"/>
      <c r="AC160" s="106"/>
      <c r="AD160" s="45"/>
      <c r="AE160" s="45"/>
      <c r="AF160" s="45"/>
      <c r="AG160" s="111"/>
      <c r="AH160" s="45"/>
    </row>
    <row r="161" spans="20:34" x14ac:dyDescent="0.25">
      <c r="T161" s="45"/>
      <c r="U161" s="45"/>
      <c r="V161" s="45"/>
      <c r="W161" s="45"/>
      <c r="X161" s="45"/>
      <c r="Y161" s="45"/>
      <c r="Z161" s="45"/>
      <c r="AA161" s="105"/>
      <c r="AB161" s="49"/>
      <c r="AC161" s="106"/>
      <c r="AD161" s="45"/>
      <c r="AE161" s="45"/>
      <c r="AF161" s="45"/>
      <c r="AG161" s="111"/>
      <c r="AH161" s="45"/>
    </row>
    <row r="162" spans="20:34" x14ac:dyDescent="0.25">
      <c r="T162" s="45"/>
      <c r="U162" s="45"/>
      <c r="V162" s="45"/>
      <c r="W162" s="45"/>
      <c r="X162" s="45"/>
      <c r="Y162" s="45"/>
      <c r="Z162" s="45"/>
      <c r="AA162" s="105"/>
      <c r="AB162" s="49"/>
      <c r="AC162" s="106"/>
      <c r="AD162" s="45"/>
      <c r="AE162" s="45"/>
      <c r="AF162" s="45"/>
      <c r="AG162" s="111"/>
      <c r="AH162" s="45"/>
    </row>
    <row r="163" spans="20:34" x14ac:dyDescent="0.25">
      <c r="T163" s="45"/>
      <c r="U163" s="45"/>
      <c r="V163" s="45"/>
      <c r="W163" s="45"/>
      <c r="X163" s="45"/>
      <c r="Y163" s="45"/>
      <c r="Z163" s="45"/>
      <c r="AA163" s="105"/>
      <c r="AB163" s="49"/>
      <c r="AC163" s="106"/>
      <c r="AD163" s="45"/>
      <c r="AE163" s="45"/>
      <c r="AF163" s="45"/>
      <c r="AG163" s="111"/>
      <c r="AH163" s="45"/>
    </row>
    <row r="164" spans="20:34" x14ac:dyDescent="0.25">
      <c r="T164" s="45"/>
      <c r="U164" s="45"/>
      <c r="V164" s="45"/>
      <c r="W164" s="45"/>
      <c r="X164" s="45"/>
      <c r="Y164" s="45"/>
      <c r="Z164" s="45"/>
      <c r="AA164" s="105"/>
      <c r="AB164" s="49"/>
      <c r="AC164" s="106"/>
      <c r="AD164" s="45"/>
      <c r="AE164" s="45"/>
      <c r="AF164" s="45"/>
      <c r="AG164" s="111"/>
      <c r="AH164" s="45"/>
    </row>
    <row r="165" spans="20:34" x14ac:dyDescent="0.25">
      <c r="T165" s="45"/>
      <c r="U165" s="45"/>
      <c r="V165" s="45"/>
      <c r="W165" s="45"/>
      <c r="X165" s="45"/>
      <c r="Y165" s="45"/>
      <c r="Z165" s="45"/>
      <c r="AA165" s="105"/>
      <c r="AB165" s="49"/>
      <c r="AC165" s="106"/>
      <c r="AD165" s="45"/>
      <c r="AE165" s="45"/>
      <c r="AF165" s="45"/>
      <c r="AG165" s="111"/>
      <c r="AH165" s="45"/>
    </row>
    <row r="166" spans="20:34" x14ac:dyDescent="0.25">
      <c r="T166" s="45"/>
      <c r="U166" s="45"/>
      <c r="V166" s="45"/>
      <c r="W166" s="45"/>
      <c r="X166" s="45"/>
      <c r="Y166" s="45"/>
      <c r="Z166" s="45"/>
      <c r="AA166" s="105"/>
      <c r="AB166" s="49"/>
      <c r="AC166" s="106"/>
      <c r="AD166" s="45"/>
      <c r="AE166" s="45"/>
      <c r="AF166" s="45"/>
      <c r="AG166" s="111"/>
      <c r="AH166" s="45"/>
    </row>
    <row r="167" spans="20:34" x14ac:dyDescent="0.25">
      <c r="T167" s="45"/>
      <c r="U167" s="45"/>
      <c r="V167" s="45"/>
      <c r="W167" s="45"/>
      <c r="X167" s="45"/>
      <c r="Y167" s="45"/>
      <c r="Z167" s="45"/>
      <c r="AA167" s="105"/>
      <c r="AB167" s="49"/>
      <c r="AC167" s="106"/>
      <c r="AD167" s="45"/>
      <c r="AE167" s="45"/>
      <c r="AF167" s="45"/>
      <c r="AG167" s="111"/>
      <c r="AH167" s="45"/>
    </row>
    <row r="168" spans="20:34" x14ac:dyDescent="0.25">
      <c r="T168" s="45"/>
      <c r="U168" s="45"/>
      <c r="V168" s="45"/>
      <c r="W168" s="45"/>
      <c r="X168" s="45"/>
      <c r="Y168" s="45"/>
      <c r="Z168" s="45"/>
      <c r="AA168" s="105"/>
      <c r="AB168" s="49"/>
      <c r="AC168" s="106"/>
      <c r="AD168" s="45"/>
      <c r="AE168" s="45"/>
      <c r="AF168" s="45"/>
      <c r="AG168" s="111"/>
      <c r="AH168" s="45"/>
    </row>
    <row r="169" spans="20:34" x14ac:dyDescent="0.25">
      <c r="T169" s="45"/>
      <c r="U169" s="45"/>
      <c r="V169" s="45"/>
      <c r="W169" s="45"/>
      <c r="X169" s="45"/>
      <c r="Y169" s="45"/>
      <c r="Z169" s="45"/>
      <c r="AA169" s="105"/>
      <c r="AB169" s="49"/>
      <c r="AC169" s="106"/>
      <c r="AD169" s="45"/>
      <c r="AE169" s="45"/>
      <c r="AF169" s="45"/>
      <c r="AG169" s="111"/>
      <c r="AH169" s="45"/>
    </row>
    <row r="170" spans="20:34" x14ac:dyDescent="0.25">
      <c r="T170" s="45"/>
      <c r="U170" s="45"/>
      <c r="V170" s="45"/>
      <c r="W170" s="45"/>
      <c r="X170" s="45"/>
      <c r="Y170" s="45"/>
      <c r="Z170" s="45"/>
      <c r="AA170" s="105"/>
      <c r="AB170" s="49"/>
      <c r="AC170" s="106"/>
      <c r="AD170" s="45"/>
      <c r="AE170" s="45"/>
      <c r="AF170" s="45"/>
      <c r="AG170" s="111"/>
      <c r="AH170" s="45"/>
    </row>
    <row r="171" spans="20:34" x14ac:dyDescent="0.25">
      <c r="T171" s="45"/>
      <c r="U171" s="45"/>
      <c r="V171" s="45"/>
      <c r="W171" s="45"/>
      <c r="X171" s="45"/>
      <c r="Y171" s="45"/>
      <c r="Z171" s="45"/>
      <c r="AA171" s="105"/>
      <c r="AB171" s="49"/>
      <c r="AC171" s="106"/>
      <c r="AD171" s="45"/>
      <c r="AE171" s="45"/>
      <c r="AF171" s="45"/>
      <c r="AG171" s="111"/>
      <c r="AH171" s="45"/>
    </row>
    <row r="172" spans="20:34" x14ac:dyDescent="0.25">
      <c r="T172" s="45"/>
      <c r="U172" s="45"/>
      <c r="V172" s="45"/>
      <c r="W172" s="45"/>
      <c r="X172" s="45"/>
      <c r="Y172" s="45"/>
      <c r="Z172" s="45"/>
      <c r="AA172" s="105"/>
      <c r="AB172" s="49"/>
      <c r="AC172" s="106"/>
      <c r="AD172" s="45"/>
      <c r="AE172" s="45"/>
      <c r="AF172" s="45"/>
      <c r="AG172" s="111"/>
      <c r="AH172" s="45"/>
    </row>
    <row r="173" spans="20:34" x14ac:dyDescent="0.25">
      <c r="T173" s="45"/>
      <c r="U173" s="45"/>
      <c r="V173" s="45"/>
      <c r="W173" s="45"/>
      <c r="X173" s="45"/>
      <c r="Y173" s="45"/>
      <c r="Z173" s="45"/>
      <c r="AA173" s="105"/>
      <c r="AB173" s="49"/>
      <c r="AC173" s="106"/>
      <c r="AD173" s="45"/>
      <c r="AE173" s="45"/>
      <c r="AF173" s="45"/>
      <c r="AG173" s="111"/>
      <c r="AH173" s="45"/>
    </row>
    <row r="174" spans="20:34" x14ac:dyDescent="0.25">
      <c r="T174" s="45"/>
      <c r="U174" s="45"/>
      <c r="V174" s="45"/>
      <c r="W174" s="45"/>
      <c r="X174" s="45"/>
      <c r="Y174" s="45"/>
      <c r="Z174" s="45"/>
      <c r="AA174" s="105"/>
      <c r="AB174" s="49"/>
      <c r="AC174" s="106"/>
      <c r="AD174" s="45"/>
      <c r="AE174" s="45"/>
      <c r="AF174" s="45"/>
      <c r="AG174" s="111"/>
      <c r="AH174" s="45"/>
    </row>
    <row r="175" spans="20:34" x14ac:dyDescent="0.25">
      <c r="T175" s="45"/>
      <c r="U175" s="45"/>
      <c r="V175" s="45"/>
      <c r="W175" s="45"/>
      <c r="X175" s="45"/>
      <c r="Y175" s="45"/>
      <c r="Z175" s="45"/>
      <c r="AA175" s="105"/>
      <c r="AB175" s="49"/>
      <c r="AC175" s="106"/>
      <c r="AD175" s="45"/>
      <c r="AE175" s="45"/>
      <c r="AF175" s="45"/>
      <c r="AG175" s="111"/>
      <c r="AH175" s="45"/>
    </row>
    <row r="176" spans="20:34" x14ac:dyDescent="0.25">
      <c r="T176" s="45"/>
      <c r="U176" s="45"/>
      <c r="V176" s="45"/>
      <c r="W176" s="45"/>
      <c r="X176" s="45"/>
      <c r="Y176" s="45"/>
      <c r="Z176" s="45"/>
      <c r="AA176" s="105"/>
      <c r="AB176" s="49"/>
      <c r="AC176" s="106"/>
      <c r="AD176" s="45"/>
      <c r="AE176" s="45"/>
      <c r="AF176" s="45"/>
      <c r="AG176" s="111"/>
      <c r="AH176" s="45"/>
    </row>
    <row r="177" spans="20:34" x14ac:dyDescent="0.25">
      <c r="T177" s="45"/>
      <c r="U177" s="45"/>
      <c r="V177" s="45"/>
      <c r="W177" s="45"/>
      <c r="X177" s="45"/>
      <c r="Y177" s="45"/>
      <c r="Z177" s="45"/>
      <c r="AA177" s="105"/>
      <c r="AB177" s="49"/>
      <c r="AC177" s="106"/>
      <c r="AD177" s="45"/>
      <c r="AE177" s="45"/>
      <c r="AF177" s="45"/>
      <c r="AG177" s="111"/>
      <c r="AH177" s="45"/>
    </row>
    <row r="178" spans="20:34" x14ac:dyDescent="0.25">
      <c r="T178" s="45"/>
      <c r="U178" s="45"/>
      <c r="V178" s="45"/>
      <c r="W178" s="45"/>
      <c r="X178" s="45"/>
      <c r="Y178" s="45"/>
      <c r="Z178" s="45"/>
      <c r="AA178" s="105"/>
      <c r="AB178" s="49"/>
      <c r="AC178" s="106"/>
      <c r="AD178" s="45"/>
      <c r="AE178" s="45"/>
      <c r="AF178" s="45"/>
      <c r="AG178" s="111"/>
      <c r="AH178" s="45"/>
    </row>
    <row r="179" spans="20:34" x14ac:dyDescent="0.25">
      <c r="T179" s="45"/>
      <c r="U179" s="45"/>
      <c r="V179" s="45"/>
      <c r="W179" s="45"/>
      <c r="X179" s="45"/>
      <c r="Y179" s="45"/>
      <c r="Z179" s="45"/>
      <c r="AA179" s="105"/>
      <c r="AB179" s="49"/>
      <c r="AC179" s="106"/>
      <c r="AD179" s="45"/>
      <c r="AE179" s="45"/>
      <c r="AF179" s="45"/>
      <c r="AG179" s="111"/>
      <c r="AH179" s="45"/>
    </row>
    <row r="180" spans="20:34" x14ac:dyDescent="0.25">
      <c r="T180" s="45"/>
      <c r="U180" s="45"/>
      <c r="V180" s="45"/>
      <c r="W180" s="45"/>
      <c r="X180" s="45"/>
      <c r="Y180" s="45"/>
      <c r="Z180" s="45"/>
      <c r="AA180" s="105"/>
      <c r="AB180" s="49"/>
      <c r="AC180" s="106"/>
      <c r="AD180" s="45"/>
      <c r="AE180" s="45"/>
      <c r="AF180" s="45"/>
      <c r="AG180" s="111"/>
      <c r="AH180" s="45"/>
    </row>
    <row r="181" spans="20:34" x14ac:dyDescent="0.25">
      <c r="T181" s="45"/>
      <c r="U181" s="45"/>
      <c r="V181" s="45"/>
      <c r="W181" s="45"/>
      <c r="X181" s="45"/>
      <c r="Y181" s="45"/>
      <c r="Z181" s="45"/>
      <c r="AA181" s="105"/>
      <c r="AB181" s="49"/>
      <c r="AC181" s="106"/>
      <c r="AD181" s="45"/>
      <c r="AE181" s="45"/>
      <c r="AF181" s="45"/>
      <c r="AG181" s="111"/>
      <c r="AH181" s="45"/>
    </row>
    <row r="182" spans="20:34" x14ac:dyDescent="0.25">
      <c r="T182" s="45"/>
      <c r="U182" s="45"/>
      <c r="V182" s="45"/>
      <c r="W182" s="45"/>
      <c r="X182" s="45"/>
      <c r="Y182" s="45"/>
      <c r="Z182" s="45"/>
      <c r="AA182" s="105"/>
      <c r="AB182" s="49"/>
      <c r="AC182" s="106"/>
      <c r="AD182" s="45"/>
      <c r="AE182" s="45"/>
      <c r="AF182" s="45"/>
      <c r="AG182" s="111"/>
      <c r="AH182" s="45"/>
    </row>
    <row r="183" spans="20:34" x14ac:dyDescent="0.25">
      <c r="T183" s="45"/>
      <c r="U183" s="45"/>
      <c r="V183" s="45"/>
      <c r="W183" s="45"/>
      <c r="X183" s="45"/>
      <c r="Y183" s="45"/>
      <c r="Z183" s="45"/>
      <c r="AA183" s="105"/>
      <c r="AB183" s="49"/>
      <c r="AC183" s="106"/>
      <c r="AD183" s="45"/>
      <c r="AE183" s="45"/>
      <c r="AF183" s="45"/>
      <c r="AG183" s="111"/>
      <c r="AH183" s="45"/>
    </row>
  </sheetData>
  <mergeCells count="6">
    <mergeCell ref="C1:Q1"/>
    <mergeCell ref="S1:AG1"/>
    <mergeCell ref="N2:P2"/>
    <mergeCell ref="AD2:AF2"/>
    <mergeCell ref="Q4:Q8"/>
    <mergeCell ref="AG4:AG8"/>
  </mergeCells>
  <conditionalFormatting sqref="S4 Q4 Q9 Q14 Q19 Q24 Q29 Q39 Q44 Q49 Q54 Q59 Q69 Q74 Q79 Q84 Q89 Q99 Q104 Q109 Q114 Q119 Q34 Q94 Q64:R64 R124">
    <cfRule type="colorScale" priority="52">
      <colorScale>
        <cfvo type="min"/>
        <cfvo type="percentile" val="50"/>
        <cfvo type="max"/>
        <color rgb="FFF8696B"/>
        <color rgb="FFFFEB84"/>
        <color rgb="FF63BE7B"/>
      </colorScale>
    </cfRule>
  </conditionalFormatting>
  <conditionalFormatting sqref="AG4:AG123">
    <cfRule type="colorScale" priority="3">
      <colorScale>
        <cfvo type="min"/>
        <cfvo type="percentile" val="50"/>
        <cfvo type="max"/>
        <color rgb="FFF8696B"/>
        <color rgb="FFFFEB84"/>
        <color rgb="FF63BE7B"/>
      </colorScale>
    </cfRule>
  </conditionalFormatting>
  <conditionalFormatting sqref="AG124:AG183">
    <cfRule type="colorScale" priority="1">
      <colorScale>
        <cfvo type="min"/>
        <cfvo type="percentile" val="50"/>
        <cfvo type="max"/>
        <color rgb="FFF8696B"/>
        <color rgb="FFFFEB84"/>
        <color rgb="FF63BE7B"/>
      </colorScale>
    </cfRule>
  </conditionalFormatting>
  <conditionalFormatting sqref="AH64 AH4">
    <cfRule type="colorScale" priority="2">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8CFE4-6662-478C-ABFE-B5F70DE6322F}">
  <dimension ref="C1:AH183"/>
  <sheetViews>
    <sheetView zoomScale="85" zoomScaleNormal="85" workbookViewId="0">
      <selection activeCell="N14" sqref="N14"/>
    </sheetView>
  </sheetViews>
  <sheetFormatPr defaultRowHeight="15" x14ac:dyDescent="0.25"/>
  <cols>
    <col min="3" max="3" width="11.85546875" bestFit="1" customWidth="1"/>
    <col min="11" max="11" width="9.140625" style="16"/>
    <col min="13" max="13" width="9.140625" style="31"/>
    <col min="14" max="16" width="15.28515625" customWidth="1"/>
    <col min="17" max="17" width="15.7109375" style="25" bestFit="1" customWidth="1"/>
    <col min="18" max="18" width="15.7109375" style="16" customWidth="1"/>
    <col min="19" max="19" width="11.85546875" bestFit="1" customWidth="1"/>
    <col min="27" max="27" width="9.140625" style="16"/>
    <col min="29" max="29" width="9.140625" style="31"/>
    <col min="30" max="32" width="15" customWidth="1"/>
    <col min="33" max="33" width="15.7109375" style="25" bestFit="1" customWidth="1"/>
  </cols>
  <sheetData>
    <row r="1" spans="3:34" s="36" customFormat="1" ht="15.75" x14ac:dyDescent="0.25">
      <c r="C1" s="126" t="s">
        <v>299</v>
      </c>
      <c r="D1" s="126"/>
      <c r="E1" s="126"/>
      <c r="F1" s="126"/>
      <c r="G1" s="126"/>
      <c r="H1" s="126"/>
      <c r="I1" s="126"/>
      <c r="J1" s="126"/>
      <c r="K1" s="126"/>
      <c r="L1" s="126"/>
      <c r="M1" s="126"/>
      <c r="N1" s="126"/>
      <c r="O1" s="126"/>
      <c r="P1" s="126"/>
      <c r="Q1" s="126"/>
      <c r="R1" s="35"/>
      <c r="S1" s="126" t="s">
        <v>300</v>
      </c>
      <c r="T1" s="126"/>
      <c r="U1" s="126"/>
      <c r="V1" s="126"/>
      <c r="W1" s="126"/>
      <c r="X1" s="126"/>
      <c r="Y1" s="126"/>
      <c r="Z1" s="126"/>
      <c r="AA1" s="126"/>
      <c r="AB1" s="126"/>
      <c r="AC1" s="126"/>
      <c r="AD1" s="126"/>
      <c r="AE1" s="126"/>
      <c r="AF1" s="126"/>
      <c r="AG1" s="126"/>
    </row>
    <row r="2" spans="3:34" s="36" customFormat="1" ht="15.75" x14ac:dyDescent="0.25">
      <c r="D2" s="102" t="s">
        <v>289</v>
      </c>
      <c r="E2" s="103">
        <f>MAX(Q4:Q499)</f>
        <v>2.3085599999999999</v>
      </c>
      <c r="F2" s="104">
        <f>INDEX(F:F,MATCH(MAX($Q:$Q),$Q:$Q,0))</f>
        <v>14560</v>
      </c>
      <c r="G2" s="104">
        <f t="shared" ref="G2:I2" si="0">INDEX(G:G,MATCH(MAX($Q:$Q),$Q:$Q,0))</f>
        <v>112</v>
      </c>
      <c r="H2" s="104">
        <f t="shared" si="0"/>
        <v>2</v>
      </c>
      <c r="I2" s="104">
        <f t="shared" si="0"/>
        <v>2</v>
      </c>
      <c r="K2" s="35"/>
      <c r="M2" s="37"/>
      <c r="N2" s="126" t="s">
        <v>1</v>
      </c>
      <c r="O2" s="126"/>
      <c r="P2" s="126"/>
      <c r="Q2" s="107"/>
      <c r="R2" s="35"/>
      <c r="T2" s="102" t="s">
        <v>289</v>
      </c>
      <c r="U2" s="103">
        <f>MAX(AG4:AG498)</f>
        <v>2.5701800000000001</v>
      </c>
      <c r="V2" s="104">
        <f>INDEX(V:V,MATCH(MAX($AG:$AG),$AG:$AG,0))</f>
        <v>14640</v>
      </c>
      <c r="W2" s="104">
        <f>INDEX(W:W,MATCH(MAX($AG:$AG),$AG:$AG,0))</f>
        <v>80</v>
      </c>
      <c r="X2" s="104">
        <f>INDEX(X:X,MATCH(MAX($AG:$AG),$AG:$AG,0))</f>
        <v>1</v>
      </c>
      <c r="Y2" s="104">
        <f>INDEX(Y:Y,MATCH(MAX($AG:$AG),$AG:$AG,0))</f>
        <v>4</v>
      </c>
      <c r="AA2" s="35"/>
      <c r="AC2" s="37"/>
      <c r="AD2" s="126" t="s">
        <v>2</v>
      </c>
      <c r="AE2" s="126"/>
      <c r="AF2" s="126"/>
      <c r="AG2" s="107"/>
    </row>
    <row r="3" spans="3:34" s="36" customFormat="1" ht="15" customHeight="1" x14ac:dyDescent="0.25">
      <c r="C3" s="34" t="s">
        <v>0</v>
      </c>
      <c r="D3" s="34" t="s">
        <v>3</v>
      </c>
      <c r="E3" s="34" t="s">
        <v>4</v>
      </c>
      <c r="F3" s="34" t="s">
        <v>5</v>
      </c>
      <c r="G3" s="34" t="s">
        <v>6</v>
      </c>
      <c r="H3" s="34" t="s">
        <v>7</v>
      </c>
      <c r="I3" s="34" t="s">
        <v>8</v>
      </c>
      <c r="J3" s="34" t="s">
        <v>9</v>
      </c>
      <c r="K3" s="38" t="s">
        <v>10</v>
      </c>
      <c r="L3" s="34" t="s">
        <v>11</v>
      </c>
      <c r="M3" s="39" t="s">
        <v>9</v>
      </c>
      <c r="N3" s="34" t="s">
        <v>12</v>
      </c>
      <c r="O3" s="34" t="s">
        <v>13</v>
      </c>
      <c r="P3" s="34" t="s">
        <v>14</v>
      </c>
      <c r="Q3" s="108" t="s">
        <v>15</v>
      </c>
      <c r="R3" s="38"/>
      <c r="S3" s="34" t="s">
        <v>0</v>
      </c>
      <c r="T3" s="34" t="s">
        <v>3</v>
      </c>
      <c r="U3" s="34" t="s">
        <v>4</v>
      </c>
      <c r="V3" s="34" t="s">
        <v>5</v>
      </c>
      <c r="W3" s="34" t="s">
        <v>6</v>
      </c>
      <c r="X3" s="34" t="s">
        <v>7</v>
      </c>
      <c r="Y3" s="34" t="s">
        <v>8</v>
      </c>
      <c r="Z3" s="34" t="s">
        <v>9</v>
      </c>
      <c r="AA3" s="38" t="s">
        <v>10</v>
      </c>
      <c r="AB3" s="34" t="s">
        <v>11</v>
      </c>
      <c r="AC3" s="39" t="s">
        <v>9</v>
      </c>
      <c r="AD3" s="34" t="s">
        <v>12</v>
      </c>
      <c r="AE3" s="34" t="s">
        <v>13</v>
      </c>
      <c r="AF3" s="34" t="s">
        <v>14</v>
      </c>
      <c r="AG3" s="108" t="s">
        <v>15</v>
      </c>
    </row>
    <row r="4" spans="3:34" x14ac:dyDescent="0.25">
      <c r="C4" t="s">
        <v>257</v>
      </c>
      <c r="D4">
        <v>0</v>
      </c>
      <c r="E4" t="s">
        <v>16</v>
      </c>
      <c r="F4">
        <v>14560</v>
      </c>
      <c r="G4">
        <v>112</v>
      </c>
      <c r="H4">
        <v>2</v>
      </c>
      <c r="I4">
        <v>2</v>
      </c>
      <c r="J4">
        <v>891.46</v>
      </c>
      <c r="K4" s="16">
        <v>2.3087</v>
      </c>
      <c r="L4" s="27">
        <v>45404</v>
      </c>
      <c r="M4" s="31">
        <v>0.88582175925925921</v>
      </c>
      <c r="N4">
        <v>0</v>
      </c>
      <c r="O4">
        <v>0</v>
      </c>
      <c r="P4">
        <v>0</v>
      </c>
      <c r="Q4" s="123">
        <f>AVERAGE(K4:K8)</f>
        <v>2.3085599999999999</v>
      </c>
      <c r="S4" s="16" t="s">
        <v>290</v>
      </c>
      <c r="T4">
        <v>0</v>
      </c>
      <c r="U4" t="s">
        <v>16</v>
      </c>
      <c r="V4">
        <v>14640</v>
      </c>
      <c r="W4">
        <v>80</v>
      </c>
      <c r="X4">
        <v>1</v>
      </c>
      <c r="Y4">
        <v>4</v>
      </c>
      <c r="Z4">
        <v>812.86</v>
      </c>
      <c r="AA4" s="16">
        <v>2.5739000000000001</v>
      </c>
      <c r="AB4" s="27">
        <v>45404</v>
      </c>
      <c r="AC4" s="31">
        <v>0.93983796296296296</v>
      </c>
      <c r="AD4">
        <v>0</v>
      </c>
      <c r="AE4">
        <v>0</v>
      </c>
      <c r="AF4">
        <v>0</v>
      </c>
      <c r="AG4" s="123">
        <f>AVERAGE(AA4:AA8)</f>
        <v>2.5701800000000001</v>
      </c>
      <c r="AH4" s="16"/>
    </row>
    <row r="5" spans="3:34" x14ac:dyDescent="0.25">
      <c r="C5" t="s">
        <v>257</v>
      </c>
      <c r="D5">
        <v>1</v>
      </c>
      <c r="E5" t="s">
        <v>16</v>
      </c>
      <c r="F5">
        <v>14560</v>
      </c>
      <c r="G5">
        <v>112</v>
      </c>
      <c r="H5">
        <v>2</v>
      </c>
      <c r="I5">
        <v>2</v>
      </c>
      <c r="J5">
        <v>891.21</v>
      </c>
      <c r="K5" s="16">
        <v>2.3092999999999999</v>
      </c>
      <c r="L5" s="27">
        <v>45404</v>
      </c>
      <c r="M5" s="31">
        <v>0.8964699074074074</v>
      </c>
      <c r="N5">
        <v>0</v>
      </c>
      <c r="O5">
        <v>0</v>
      </c>
      <c r="P5">
        <v>0</v>
      </c>
      <c r="Q5" s="123"/>
      <c r="S5" s="16" t="s">
        <v>290</v>
      </c>
      <c r="T5">
        <v>1</v>
      </c>
      <c r="U5" t="s">
        <v>16</v>
      </c>
      <c r="V5">
        <v>14640</v>
      </c>
      <c r="W5">
        <v>80</v>
      </c>
      <c r="X5">
        <v>1</v>
      </c>
      <c r="Y5">
        <v>4</v>
      </c>
      <c r="Z5">
        <v>816.18</v>
      </c>
      <c r="AA5" s="16">
        <v>2.5634000000000001</v>
      </c>
      <c r="AB5" s="27">
        <v>45404</v>
      </c>
      <c r="AC5" s="31">
        <v>0.95093749999999999</v>
      </c>
      <c r="AD5">
        <v>0</v>
      </c>
      <c r="AE5">
        <v>0</v>
      </c>
      <c r="AF5">
        <v>0</v>
      </c>
      <c r="AG5" s="123"/>
      <c r="AH5" s="16"/>
    </row>
    <row r="6" spans="3:34" x14ac:dyDescent="0.25">
      <c r="C6" t="s">
        <v>257</v>
      </c>
      <c r="D6">
        <v>2</v>
      </c>
      <c r="E6" t="s">
        <v>16</v>
      </c>
      <c r="F6">
        <v>14560</v>
      </c>
      <c r="G6">
        <v>112</v>
      </c>
      <c r="H6">
        <v>2</v>
      </c>
      <c r="I6">
        <v>2</v>
      </c>
      <c r="J6">
        <v>891.54</v>
      </c>
      <c r="K6" s="16">
        <v>2.3083999999999998</v>
      </c>
      <c r="L6" s="27">
        <v>45404</v>
      </c>
      <c r="M6" s="31">
        <v>0.90712962962962962</v>
      </c>
      <c r="N6">
        <v>0</v>
      </c>
      <c r="O6">
        <v>0</v>
      </c>
      <c r="P6">
        <v>0</v>
      </c>
      <c r="Q6" s="123"/>
      <c r="S6" s="16" t="s">
        <v>290</v>
      </c>
      <c r="T6">
        <v>2</v>
      </c>
      <c r="U6" t="s">
        <v>16</v>
      </c>
      <c r="V6">
        <v>14640</v>
      </c>
      <c r="W6">
        <v>80</v>
      </c>
      <c r="X6">
        <v>1</v>
      </c>
      <c r="Y6">
        <v>4</v>
      </c>
      <c r="Z6">
        <v>814.06</v>
      </c>
      <c r="AA6" s="16">
        <v>2.5701000000000001</v>
      </c>
      <c r="AB6" s="27">
        <v>45404</v>
      </c>
      <c r="AC6" s="31">
        <v>0.96201388888888884</v>
      </c>
      <c r="AD6">
        <v>0</v>
      </c>
      <c r="AE6">
        <v>0</v>
      </c>
      <c r="AF6">
        <v>0</v>
      </c>
      <c r="AG6" s="123"/>
      <c r="AH6" s="16"/>
    </row>
    <row r="7" spans="3:34" x14ac:dyDescent="0.25">
      <c r="C7" t="s">
        <v>257</v>
      </c>
      <c r="D7">
        <v>3</v>
      </c>
      <c r="E7" t="s">
        <v>16</v>
      </c>
      <c r="F7">
        <v>14560</v>
      </c>
      <c r="G7">
        <v>112</v>
      </c>
      <c r="H7">
        <v>2</v>
      </c>
      <c r="I7">
        <v>2</v>
      </c>
      <c r="J7">
        <v>891.53</v>
      </c>
      <c r="K7" s="16">
        <v>2.3085</v>
      </c>
      <c r="L7" s="27">
        <v>45404</v>
      </c>
      <c r="M7" s="31">
        <v>0.9177777777777778</v>
      </c>
      <c r="N7">
        <v>0</v>
      </c>
      <c r="O7">
        <v>0</v>
      </c>
      <c r="P7">
        <v>0</v>
      </c>
      <c r="Q7" s="123"/>
      <c r="S7" s="16" t="s">
        <v>290</v>
      </c>
      <c r="T7">
        <v>3</v>
      </c>
      <c r="U7" t="s">
        <v>16</v>
      </c>
      <c r="V7">
        <v>14640</v>
      </c>
      <c r="W7">
        <v>80</v>
      </c>
      <c r="X7">
        <v>1</v>
      </c>
      <c r="Y7">
        <v>4</v>
      </c>
      <c r="Z7">
        <v>813.87</v>
      </c>
      <c r="AA7" s="16">
        <v>2.5706000000000002</v>
      </c>
      <c r="AB7" s="27">
        <v>45404</v>
      </c>
      <c r="AC7" s="31">
        <v>0.97307870370370375</v>
      </c>
      <c r="AD7">
        <v>0</v>
      </c>
      <c r="AE7">
        <v>0</v>
      </c>
      <c r="AF7">
        <v>0</v>
      </c>
      <c r="AG7" s="123"/>
      <c r="AH7" s="16"/>
    </row>
    <row r="8" spans="3:34" x14ac:dyDescent="0.25">
      <c r="C8" t="s">
        <v>257</v>
      </c>
      <c r="D8">
        <v>4</v>
      </c>
      <c r="E8" t="s">
        <v>16</v>
      </c>
      <c r="F8">
        <v>14560</v>
      </c>
      <c r="G8">
        <v>112</v>
      </c>
      <c r="H8">
        <v>2</v>
      </c>
      <c r="I8">
        <v>2</v>
      </c>
      <c r="J8">
        <v>891.74</v>
      </c>
      <c r="K8" s="16">
        <v>2.3079000000000001</v>
      </c>
      <c r="L8" s="27">
        <v>45404</v>
      </c>
      <c r="M8" s="31">
        <v>0.92843750000000003</v>
      </c>
      <c r="N8">
        <v>0</v>
      </c>
      <c r="O8">
        <v>0</v>
      </c>
      <c r="P8">
        <v>0</v>
      </c>
      <c r="Q8" s="123"/>
      <c r="S8" s="16" t="s">
        <v>290</v>
      </c>
      <c r="T8">
        <v>4</v>
      </c>
      <c r="U8" t="s">
        <v>16</v>
      </c>
      <c r="V8">
        <v>14640</v>
      </c>
      <c r="W8">
        <v>80</v>
      </c>
      <c r="X8">
        <v>1</v>
      </c>
      <c r="Y8">
        <v>4</v>
      </c>
      <c r="Z8">
        <v>813.16</v>
      </c>
      <c r="AA8" s="16">
        <v>2.5729000000000002</v>
      </c>
      <c r="AB8" s="27">
        <v>45404</v>
      </c>
      <c r="AC8" s="31">
        <v>0.98414351851851856</v>
      </c>
      <c r="AD8">
        <v>0</v>
      </c>
      <c r="AE8">
        <v>0</v>
      </c>
      <c r="AF8">
        <v>0</v>
      </c>
      <c r="AG8" s="123"/>
      <c r="AH8" s="16"/>
    </row>
    <row r="9" spans="3:34" x14ac:dyDescent="0.25">
      <c r="L9" s="27"/>
      <c r="AB9" s="27"/>
      <c r="AH9" s="16"/>
    </row>
    <row r="10" spans="3:34" x14ac:dyDescent="0.25">
      <c r="L10" s="27"/>
      <c r="AB10" s="27"/>
      <c r="AH10" s="16"/>
    </row>
    <row r="11" spans="3:34" x14ac:dyDescent="0.25">
      <c r="L11" s="27"/>
      <c r="AB11" s="27"/>
      <c r="AH11" s="16"/>
    </row>
    <row r="12" spans="3:34" x14ac:dyDescent="0.25">
      <c r="L12" s="27"/>
      <c r="AB12" s="27"/>
      <c r="AH12" s="16"/>
    </row>
    <row r="13" spans="3:34" x14ac:dyDescent="0.25">
      <c r="L13" s="27"/>
      <c r="AB13" s="27"/>
      <c r="AH13" s="16"/>
    </row>
    <row r="14" spans="3:34" x14ac:dyDescent="0.25">
      <c r="L14" s="27"/>
      <c r="AB14" s="27"/>
      <c r="AH14" s="16"/>
    </row>
    <row r="15" spans="3:34" x14ac:dyDescent="0.25">
      <c r="L15" s="27"/>
      <c r="AB15" s="27"/>
      <c r="AH15" s="16"/>
    </row>
    <row r="16" spans="3:34" x14ac:dyDescent="0.25">
      <c r="L16" s="27"/>
      <c r="AB16" s="27"/>
      <c r="AH16" s="16"/>
    </row>
    <row r="17" spans="12:34" x14ac:dyDescent="0.25">
      <c r="L17" s="27"/>
      <c r="AB17" s="27"/>
      <c r="AH17" s="16"/>
    </row>
    <row r="18" spans="12:34" x14ac:dyDescent="0.25">
      <c r="L18" s="27"/>
      <c r="AB18" s="27"/>
      <c r="AH18" s="16"/>
    </row>
    <row r="19" spans="12:34" x14ac:dyDescent="0.25">
      <c r="L19" s="27"/>
      <c r="AB19" s="27"/>
      <c r="AH19" s="16"/>
    </row>
    <row r="20" spans="12:34" x14ac:dyDescent="0.25">
      <c r="L20" s="27"/>
      <c r="AB20" s="27"/>
      <c r="AH20" s="16"/>
    </row>
    <row r="21" spans="12:34" x14ac:dyDescent="0.25">
      <c r="L21" s="27"/>
      <c r="AB21" s="27"/>
      <c r="AH21" s="16"/>
    </row>
    <row r="22" spans="12:34" x14ac:dyDescent="0.25">
      <c r="L22" s="27"/>
      <c r="AB22" s="27"/>
      <c r="AH22" s="16"/>
    </row>
    <row r="23" spans="12:34" x14ac:dyDescent="0.25">
      <c r="L23" s="27"/>
      <c r="AB23" s="27"/>
      <c r="AH23" s="16"/>
    </row>
    <row r="24" spans="12:34" x14ac:dyDescent="0.25">
      <c r="L24" s="27"/>
      <c r="AB24" s="27"/>
      <c r="AH24" s="16"/>
    </row>
    <row r="25" spans="12:34" x14ac:dyDescent="0.25">
      <c r="L25" s="27"/>
      <c r="AB25" s="27"/>
      <c r="AH25" s="16"/>
    </row>
    <row r="26" spans="12:34" x14ac:dyDescent="0.25">
      <c r="L26" s="27"/>
      <c r="AB26" s="27"/>
      <c r="AH26" s="16"/>
    </row>
    <row r="27" spans="12:34" x14ac:dyDescent="0.25">
      <c r="L27" s="27"/>
      <c r="AB27" s="27"/>
      <c r="AH27" s="16"/>
    </row>
    <row r="28" spans="12:34" x14ac:dyDescent="0.25">
      <c r="L28" s="27"/>
      <c r="AB28" s="27"/>
      <c r="AH28" s="16"/>
    </row>
    <row r="29" spans="12:34" x14ac:dyDescent="0.25">
      <c r="L29" s="27"/>
      <c r="AB29" s="27"/>
      <c r="AH29" s="16"/>
    </row>
    <row r="30" spans="12:34" x14ac:dyDescent="0.25">
      <c r="L30" s="27"/>
      <c r="AB30" s="27"/>
      <c r="AH30" s="16"/>
    </row>
    <row r="31" spans="12:34" x14ac:dyDescent="0.25">
      <c r="L31" s="27"/>
      <c r="AB31" s="27"/>
      <c r="AH31" s="16"/>
    </row>
    <row r="32" spans="12:34" x14ac:dyDescent="0.25">
      <c r="L32" s="27"/>
      <c r="AB32" s="27"/>
      <c r="AH32" s="16"/>
    </row>
    <row r="33" spans="12:34" x14ac:dyDescent="0.25">
      <c r="L33" s="27"/>
      <c r="AB33" s="27"/>
      <c r="AH33" s="16"/>
    </row>
    <row r="34" spans="12:34" x14ac:dyDescent="0.25">
      <c r="L34" s="27"/>
      <c r="AB34" s="27"/>
      <c r="AH34" s="16"/>
    </row>
    <row r="35" spans="12:34" x14ac:dyDescent="0.25">
      <c r="L35" s="27"/>
      <c r="AB35" s="27"/>
      <c r="AH35" s="16"/>
    </row>
    <row r="36" spans="12:34" x14ac:dyDescent="0.25">
      <c r="L36" s="27"/>
      <c r="AB36" s="27"/>
      <c r="AH36" s="16"/>
    </row>
    <row r="37" spans="12:34" x14ac:dyDescent="0.25">
      <c r="L37" s="27"/>
      <c r="AB37" s="27"/>
      <c r="AH37" s="16"/>
    </row>
    <row r="38" spans="12:34" x14ac:dyDescent="0.25">
      <c r="L38" s="27"/>
      <c r="AB38" s="27"/>
      <c r="AH38" s="16"/>
    </row>
    <row r="39" spans="12:34" x14ac:dyDescent="0.25">
      <c r="L39" s="27"/>
      <c r="AB39" s="27"/>
      <c r="AH39" s="16"/>
    </row>
    <row r="40" spans="12:34" x14ac:dyDescent="0.25">
      <c r="L40" s="27"/>
      <c r="AB40" s="27"/>
      <c r="AH40" s="16"/>
    </row>
    <row r="41" spans="12:34" x14ac:dyDescent="0.25">
      <c r="L41" s="27"/>
      <c r="AB41" s="27"/>
      <c r="AH41" s="16"/>
    </row>
    <row r="42" spans="12:34" x14ac:dyDescent="0.25">
      <c r="L42" s="27"/>
      <c r="AB42" s="27"/>
      <c r="AH42" s="16"/>
    </row>
    <row r="43" spans="12:34" x14ac:dyDescent="0.25">
      <c r="L43" s="27"/>
      <c r="AB43" s="27"/>
      <c r="AH43" s="16"/>
    </row>
    <row r="44" spans="12:34" x14ac:dyDescent="0.25">
      <c r="L44" s="27"/>
      <c r="AB44" s="27"/>
      <c r="AH44" s="16"/>
    </row>
    <row r="45" spans="12:34" x14ac:dyDescent="0.25">
      <c r="L45" s="27"/>
      <c r="AB45" s="27"/>
      <c r="AH45" s="16"/>
    </row>
    <row r="46" spans="12:34" x14ac:dyDescent="0.25">
      <c r="L46" s="27"/>
      <c r="AB46" s="27"/>
      <c r="AH46" s="16"/>
    </row>
    <row r="47" spans="12:34" x14ac:dyDescent="0.25">
      <c r="L47" s="27"/>
      <c r="AB47" s="27"/>
      <c r="AH47" s="16"/>
    </row>
    <row r="48" spans="12:34" x14ac:dyDescent="0.25">
      <c r="L48" s="27"/>
      <c r="AB48" s="27"/>
      <c r="AH48" s="16"/>
    </row>
    <row r="49" spans="12:34" x14ac:dyDescent="0.25">
      <c r="L49" s="27"/>
      <c r="AB49" s="27"/>
      <c r="AH49" s="16"/>
    </row>
    <row r="50" spans="12:34" x14ac:dyDescent="0.25">
      <c r="L50" s="27"/>
      <c r="AB50" s="27"/>
      <c r="AH50" s="16"/>
    </row>
    <row r="51" spans="12:34" x14ac:dyDescent="0.25">
      <c r="L51" s="27"/>
      <c r="AB51" s="27"/>
      <c r="AH51" s="16"/>
    </row>
    <row r="52" spans="12:34" x14ac:dyDescent="0.25">
      <c r="L52" s="27"/>
      <c r="AB52" s="27"/>
      <c r="AH52" s="16"/>
    </row>
    <row r="53" spans="12:34" x14ac:dyDescent="0.25">
      <c r="L53" s="27"/>
      <c r="AB53" s="27"/>
      <c r="AH53" s="16"/>
    </row>
    <row r="54" spans="12:34" x14ac:dyDescent="0.25">
      <c r="L54" s="27"/>
      <c r="AB54" s="27"/>
      <c r="AH54" s="16"/>
    </row>
    <row r="55" spans="12:34" x14ac:dyDescent="0.25">
      <c r="L55" s="27"/>
      <c r="AB55" s="27"/>
      <c r="AH55" s="16"/>
    </row>
    <row r="56" spans="12:34" x14ac:dyDescent="0.25">
      <c r="L56" s="27"/>
      <c r="AB56" s="27"/>
      <c r="AH56" s="16"/>
    </row>
    <row r="57" spans="12:34" x14ac:dyDescent="0.25">
      <c r="L57" s="27"/>
      <c r="AB57" s="27"/>
      <c r="AH57" s="16"/>
    </row>
    <row r="58" spans="12:34" x14ac:dyDescent="0.25">
      <c r="L58" s="27"/>
      <c r="AB58" s="27"/>
      <c r="AH58" s="16"/>
    </row>
    <row r="59" spans="12:34" x14ac:dyDescent="0.25">
      <c r="L59" s="27"/>
      <c r="AB59" s="27"/>
      <c r="AH59" s="16"/>
    </row>
    <row r="60" spans="12:34" x14ac:dyDescent="0.25">
      <c r="L60" s="27"/>
      <c r="AB60" s="27"/>
      <c r="AH60" s="16"/>
    </row>
    <row r="61" spans="12:34" x14ac:dyDescent="0.25">
      <c r="L61" s="27"/>
      <c r="AB61" s="27"/>
      <c r="AH61" s="16"/>
    </row>
    <row r="62" spans="12:34" x14ac:dyDescent="0.25">
      <c r="L62" s="27"/>
      <c r="AB62" s="27"/>
      <c r="AH62" s="16"/>
    </row>
    <row r="63" spans="12:34" x14ac:dyDescent="0.25">
      <c r="L63" s="27"/>
      <c r="AB63" s="27"/>
      <c r="AH63" s="16"/>
    </row>
    <row r="64" spans="12:34" x14ac:dyDescent="0.25">
      <c r="L64" s="27"/>
      <c r="AB64" s="27"/>
      <c r="AH64" s="16"/>
    </row>
    <row r="65" spans="12:34" x14ac:dyDescent="0.25">
      <c r="L65" s="27"/>
      <c r="AB65" s="27"/>
      <c r="AH65" s="16"/>
    </row>
    <row r="66" spans="12:34" x14ac:dyDescent="0.25">
      <c r="L66" s="27"/>
      <c r="AB66" s="27"/>
      <c r="AH66" s="16"/>
    </row>
    <row r="67" spans="12:34" x14ac:dyDescent="0.25">
      <c r="L67" s="27"/>
      <c r="AB67" s="27"/>
      <c r="AH67" s="16"/>
    </row>
    <row r="68" spans="12:34" x14ac:dyDescent="0.25">
      <c r="L68" s="27"/>
      <c r="AB68" s="27"/>
      <c r="AH68" s="16"/>
    </row>
    <row r="69" spans="12:34" x14ac:dyDescent="0.25">
      <c r="L69" s="27"/>
      <c r="AB69" s="27"/>
      <c r="AH69" s="16"/>
    </row>
    <row r="70" spans="12:34" x14ac:dyDescent="0.25">
      <c r="L70" s="27"/>
      <c r="AB70" s="27"/>
      <c r="AH70" s="16"/>
    </row>
    <row r="71" spans="12:34" x14ac:dyDescent="0.25">
      <c r="L71" s="27"/>
      <c r="AB71" s="27"/>
      <c r="AH71" s="16"/>
    </row>
    <row r="72" spans="12:34" x14ac:dyDescent="0.25">
      <c r="L72" s="27"/>
      <c r="AB72" s="27"/>
      <c r="AH72" s="16"/>
    </row>
    <row r="73" spans="12:34" x14ac:dyDescent="0.25">
      <c r="L73" s="27"/>
      <c r="AB73" s="27"/>
      <c r="AH73" s="16"/>
    </row>
    <row r="74" spans="12:34" x14ac:dyDescent="0.25">
      <c r="L74" s="27"/>
      <c r="AB74" s="27"/>
      <c r="AH74" s="16"/>
    </row>
    <row r="75" spans="12:34" x14ac:dyDescent="0.25">
      <c r="L75" s="27"/>
      <c r="AB75" s="27"/>
      <c r="AH75" s="16"/>
    </row>
    <row r="76" spans="12:34" x14ac:dyDescent="0.25">
      <c r="L76" s="27"/>
      <c r="AB76" s="27"/>
      <c r="AH76" s="16"/>
    </row>
    <row r="77" spans="12:34" x14ac:dyDescent="0.25">
      <c r="L77" s="27"/>
      <c r="AB77" s="27"/>
      <c r="AH77" s="16"/>
    </row>
    <row r="78" spans="12:34" x14ac:dyDescent="0.25">
      <c r="L78" s="27"/>
      <c r="AB78" s="27"/>
      <c r="AH78" s="16"/>
    </row>
    <row r="79" spans="12:34" x14ac:dyDescent="0.25">
      <c r="L79" s="27"/>
      <c r="AB79" s="27"/>
      <c r="AH79" s="16"/>
    </row>
    <row r="80" spans="12:34" x14ac:dyDescent="0.25">
      <c r="L80" s="27"/>
      <c r="AB80" s="27"/>
      <c r="AH80" s="16"/>
    </row>
    <row r="81" spans="12:34" x14ac:dyDescent="0.25">
      <c r="L81" s="27"/>
      <c r="AB81" s="27"/>
      <c r="AH81" s="16"/>
    </row>
    <row r="82" spans="12:34" x14ac:dyDescent="0.25">
      <c r="L82" s="27"/>
      <c r="AB82" s="27"/>
      <c r="AH82" s="16"/>
    </row>
    <row r="83" spans="12:34" x14ac:dyDescent="0.25">
      <c r="L83" s="27"/>
      <c r="AB83" s="27"/>
      <c r="AH83" s="16"/>
    </row>
    <row r="84" spans="12:34" x14ac:dyDescent="0.25">
      <c r="L84" s="27"/>
      <c r="AB84" s="27"/>
      <c r="AH84" s="16"/>
    </row>
    <row r="85" spans="12:34" x14ac:dyDescent="0.25">
      <c r="L85" s="27"/>
      <c r="AB85" s="27"/>
      <c r="AH85" s="16"/>
    </row>
    <row r="86" spans="12:34" x14ac:dyDescent="0.25">
      <c r="L86" s="27"/>
      <c r="AB86" s="27"/>
      <c r="AH86" s="16"/>
    </row>
    <row r="87" spans="12:34" x14ac:dyDescent="0.25">
      <c r="L87" s="27"/>
      <c r="AB87" s="27"/>
      <c r="AH87" s="16"/>
    </row>
    <row r="88" spans="12:34" x14ac:dyDescent="0.25">
      <c r="L88" s="27"/>
      <c r="AB88" s="27"/>
      <c r="AH88" s="16"/>
    </row>
    <row r="89" spans="12:34" x14ac:dyDescent="0.25">
      <c r="L89" s="27"/>
      <c r="AB89" s="27"/>
      <c r="AH89" s="16"/>
    </row>
    <row r="90" spans="12:34" x14ac:dyDescent="0.25">
      <c r="L90" s="27"/>
      <c r="AB90" s="27"/>
      <c r="AH90" s="16"/>
    </row>
    <row r="91" spans="12:34" x14ac:dyDescent="0.25">
      <c r="L91" s="27"/>
      <c r="AB91" s="27"/>
      <c r="AH91" s="16"/>
    </row>
    <row r="92" spans="12:34" x14ac:dyDescent="0.25">
      <c r="L92" s="27"/>
      <c r="AB92" s="27"/>
      <c r="AH92" s="16"/>
    </row>
    <row r="93" spans="12:34" x14ac:dyDescent="0.25">
      <c r="L93" s="27"/>
      <c r="AB93" s="27"/>
      <c r="AH93" s="16"/>
    </row>
    <row r="94" spans="12:34" x14ac:dyDescent="0.25">
      <c r="L94" s="27"/>
      <c r="AB94" s="27"/>
      <c r="AH94" s="16"/>
    </row>
    <row r="95" spans="12:34" x14ac:dyDescent="0.25">
      <c r="L95" s="27"/>
      <c r="AB95" s="27"/>
      <c r="AH95" s="16"/>
    </row>
    <row r="96" spans="12:34" x14ac:dyDescent="0.25">
      <c r="L96" s="27"/>
      <c r="AB96" s="27"/>
      <c r="AH96" s="16"/>
    </row>
    <row r="97" spans="12:34" x14ac:dyDescent="0.25">
      <c r="L97" s="27"/>
      <c r="AB97" s="27"/>
      <c r="AH97" s="16"/>
    </row>
    <row r="98" spans="12:34" x14ac:dyDescent="0.25">
      <c r="L98" s="27"/>
      <c r="AB98" s="27"/>
      <c r="AH98" s="16"/>
    </row>
    <row r="99" spans="12:34" x14ac:dyDescent="0.25">
      <c r="L99" s="27"/>
      <c r="AB99" s="27"/>
      <c r="AH99" s="16"/>
    </row>
    <row r="100" spans="12:34" x14ac:dyDescent="0.25">
      <c r="L100" s="27"/>
      <c r="AB100" s="27"/>
      <c r="AH100" s="16"/>
    </row>
    <row r="101" spans="12:34" x14ac:dyDescent="0.25">
      <c r="L101" s="27"/>
      <c r="AB101" s="27"/>
      <c r="AH101" s="16"/>
    </row>
    <row r="102" spans="12:34" x14ac:dyDescent="0.25">
      <c r="L102" s="27"/>
      <c r="AB102" s="27"/>
      <c r="AH102" s="16"/>
    </row>
    <row r="103" spans="12:34" x14ac:dyDescent="0.25">
      <c r="L103" s="27"/>
      <c r="AB103" s="27"/>
      <c r="AH103" s="16"/>
    </row>
    <row r="104" spans="12:34" x14ac:dyDescent="0.25">
      <c r="L104" s="27"/>
      <c r="AB104" s="27"/>
      <c r="AH104" s="16"/>
    </row>
    <row r="105" spans="12:34" x14ac:dyDescent="0.25">
      <c r="L105" s="27"/>
      <c r="AB105" s="27"/>
      <c r="AH105" s="16"/>
    </row>
    <row r="106" spans="12:34" x14ac:dyDescent="0.25">
      <c r="L106" s="27"/>
      <c r="AB106" s="27"/>
      <c r="AH106" s="16"/>
    </row>
    <row r="107" spans="12:34" x14ac:dyDescent="0.25">
      <c r="L107" s="27"/>
      <c r="AB107" s="27"/>
      <c r="AH107" s="16"/>
    </row>
    <row r="108" spans="12:34" x14ac:dyDescent="0.25">
      <c r="L108" s="27"/>
      <c r="AB108" s="27"/>
      <c r="AH108" s="16"/>
    </row>
    <row r="109" spans="12:34" x14ac:dyDescent="0.25">
      <c r="L109" s="27"/>
      <c r="AB109" s="27"/>
      <c r="AH109" s="16"/>
    </row>
    <row r="110" spans="12:34" x14ac:dyDescent="0.25">
      <c r="L110" s="27"/>
      <c r="AB110" s="27"/>
      <c r="AH110" s="16"/>
    </row>
    <row r="111" spans="12:34" x14ac:dyDescent="0.25">
      <c r="L111" s="27"/>
      <c r="AB111" s="27"/>
      <c r="AH111" s="16"/>
    </row>
    <row r="112" spans="12:34" x14ac:dyDescent="0.25">
      <c r="L112" s="27"/>
      <c r="AB112" s="27"/>
      <c r="AH112" s="16"/>
    </row>
    <row r="113" spans="12:34" x14ac:dyDescent="0.25">
      <c r="L113" s="27"/>
      <c r="AB113" s="27"/>
      <c r="AH113" s="16"/>
    </row>
    <row r="114" spans="12:34" x14ac:dyDescent="0.25">
      <c r="L114" s="27"/>
      <c r="AB114" s="27"/>
      <c r="AH114" s="16"/>
    </row>
    <row r="115" spans="12:34" x14ac:dyDescent="0.25">
      <c r="L115" s="27"/>
      <c r="AB115" s="27"/>
      <c r="AH115" s="16"/>
    </row>
    <row r="116" spans="12:34" x14ac:dyDescent="0.25">
      <c r="L116" s="27"/>
      <c r="AB116" s="27"/>
      <c r="AH116" s="16"/>
    </row>
    <row r="117" spans="12:34" x14ac:dyDescent="0.25">
      <c r="L117" s="27"/>
      <c r="AB117" s="27"/>
      <c r="AH117" s="16"/>
    </row>
    <row r="118" spans="12:34" x14ac:dyDescent="0.25">
      <c r="L118" s="27"/>
      <c r="AB118" s="27"/>
      <c r="AH118" s="16"/>
    </row>
    <row r="119" spans="12:34" x14ac:dyDescent="0.25">
      <c r="L119" s="27"/>
      <c r="AB119" s="27"/>
      <c r="AH119" s="16"/>
    </row>
    <row r="120" spans="12:34" x14ac:dyDescent="0.25">
      <c r="L120" s="27"/>
      <c r="AB120" s="27"/>
      <c r="AH120" s="16"/>
    </row>
    <row r="121" spans="12:34" x14ac:dyDescent="0.25">
      <c r="L121" s="27"/>
      <c r="AB121" s="27"/>
      <c r="AH121" s="16"/>
    </row>
    <row r="122" spans="12:34" x14ac:dyDescent="0.25">
      <c r="L122" s="27"/>
      <c r="AB122" s="27"/>
      <c r="AH122" s="16"/>
    </row>
    <row r="123" spans="12:34" x14ac:dyDescent="0.25">
      <c r="L123" s="27"/>
      <c r="AB123" s="27"/>
      <c r="AH123" s="16"/>
    </row>
    <row r="124" spans="12:34" x14ac:dyDescent="0.25">
      <c r="T124" s="45"/>
      <c r="U124" s="45"/>
      <c r="V124" s="45"/>
      <c r="W124" s="45"/>
      <c r="X124" s="45"/>
      <c r="Y124" s="45"/>
      <c r="Z124" s="45"/>
      <c r="AA124" s="105"/>
      <c r="AB124" s="49"/>
      <c r="AC124" s="106"/>
      <c r="AD124" s="45"/>
      <c r="AE124" s="45"/>
      <c r="AF124" s="45"/>
      <c r="AG124" s="111"/>
      <c r="AH124" s="45"/>
    </row>
    <row r="125" spans="12:34" x14ac:dyDescent="0.25">
      <c r="T125" s="45"/>
      <c r="U125" s="45"/>
      <c r="V125" s="45"/>
      <c r="W125" s="45"/>
      <c r="X125" s="45"/>
      <c r="Y125" s="45"/>
      <c r="Z125" s="45"/>
      <c r="AA125" s="105"/>
      <c r="AB125" s="49"/>
      <c r="AC125" s="106"/>
      <c r="AD125" s="45"/>
      <c r="AE125" s="45"/>
      <c r="AF125" s="45"/>
      <c r="AG125" s="111"/>
      <c r="AH125" s="45"/>
    </row>
    <row r="126" spans="12:34" x14ac:dyDescent="0.25">
      <c r="T126" s="45"/>
      <c r="U126" s="45"/>
      <c r="V126" s="45"/>
      <c r="W126" s="45"/>
      <c r="X126" s="45"/>
      <c r="Y126" s="45"/>
      <c r="Z126" s="45"/>
      <c r="AA126" s="105"/>
      <c r="AB126" s="49"/>
      <c r="AC126" s="106"/>
      <c r="AD126" s="45"/>
      <c r="AE126" s="45"/>
      <c r="AF126" s="45"/>
      <c r="AG126" s="111"/>
      <c r="AH126" s="45"/>
    </row>
    <row r="127" spans="12:34" x14ac:dyDescent="0.25">
      <c r="T127" s="45"/>
      <c r="U127" s="45"/>
      <c r="V127" s="45"/>
      <c r="W127" s="45"/>
      <c r="X127" s="45"/>
      <c r="Y127" s="45"/>
      <c r="Z127" s="45"/>
      <c r="AA127" s="105"/>
      <c r="AB127" s="49"/>
      <c r="AC127" s="106"/>
      <c r="AD127" s="45"/>
      <c r="AE127" s="45"/>
      <c r="AF127" s="45"/>
      <c r="AG127" s="111"/>
      <c r="AH127" s="45"/>
    </row>
    <row r="128" spans="12:34" x14ac:dyDescent="0.25">
      <c r="T128" s="45"/>
      <c r="U128" s="45"/>
      <c r="V128" s="45"/>
      <c r="W128" s="45"/>
      <c r="X128" s="45"/>
      <c r="Y128" s="45"/>
      <c r="Z128" s="45"/>
      <c r="AA128" s="105"/>
      <c r="AB128" s="49"/>
      <c r="AC128" s="106"/>
      <c r="AD128" s="45"/>
      <c r="AE128" s="45"/>
      <c r="AF128" s="45"/>
      <c r="AG128" s="111"/>
      <c r="AH128" s="45"/>
    </row>
    <row r="129" spans="20:34" x14ac:dyDescent="0.25">
      <c r="T129" s="45"/>
      <c r="U129" s="45"/>
      <c r="V129" s="45"/>
      <c r="W129" s="45"/>
      <c r="X129" s="45"/>
      <c r="Y129" s="45"/>
      <c r="Z129" s="45"/>
      <c r="AA129" s="105"/>
      <c r="AB129" s="49"/>
      <c r="AC129" s="106"/>
      <c r="AD129" s="45"/>
      <c r="AE129" s="45"/>
      <c r="AF129" s="45"/>
      <c r="AG129" s="111"/>
      <c r="AH129" s="45"/>
    </row>
    <row r="130" spans="20:34" x14ac:dyDescent="0.25">
      <c r="T130" s="45"/>
      <c r="U130" s="45"/>
      <c r="V130" s="45"/>
      <c r="W130" s="45"/>
      <c r="X130" s="45"/>
      <c r="Y130" s="45"/>
      <c r="Z130" s="45"/>
      <c r="AA130" s="105"/>
      <c r="AB130" s="49"/>
      <c r="AC130" s="106"/>
      <c r="AD130" s="45"/>
      <c r="AE130" s="45"/>
      <c r="AF130" s="45"/>
      <c r="AG130" s="111"/>
      <c r="AH130" s="45"/>
    </row>
    <row r="131" spans="20:34" x14ac:dyDescent="0.25">
      <c r="T131" s="45"/>
      <c r="U131" s="45"/>
      <c r="V131" s="45"/>
      <c r="W131" s="45"/>
      <c r="X131" s="45"/>
      <c r="Y131" s="45"/>
      <c r="Z131" s="45"/>
      <c r="AA131" s="105"/>
      <c r="AB131" s="49"/>
      <c r="AC131" s="106"/>
      <c r="AD131" s="45"/>
      <c r="AE131" s="45"/>
      <c r="AF131" s="45"/>
      <c r="AG131" s="111"/>
      <c r="AH131" s="45"/>
    </row>
    <row r="132" spans="20:34" x14ac:dyDescent="0.25">
      <c r="T132" s="45"/>
      <c r="U132" s="45"/>
      <c r="V132" s="45"/>
      <c r="W132" s="45"/>
      <c r="X132" s="45"/>
      <c r="Y132" s="45"/>
      <c r="Z132" s="45"/>
      <c r="AA132" s="105"/>
      <c r="AB132" s="49"/>
      <c r="AC132" s="106"/>
      <c r="AD132" s="45"/>
      <c r="AE132" s="45"/>
      <c r="AF132" s="45"/>
      <c r="AG132" s="111"/>
      <c r="AH132" s="45"/>
    </row>
    <row r="133" spans="20:34" x14ac:dyDescent="0.25">
      <c r="T133" s="45"/>
      <c r="U133" s="45"/>
      <c r="V133" s="45"/>
      <c r="W133" s="45"/>
      <c r="X133" s="45"/>
      <c r="Y133" s="45"/>
      <c r="Z133" s="45"/>
      <c r="AA133" s="105"/>
      <c r="AB133" s="49"/>
      <c r="AC133" s="106"/>
      <c r="AD133" s="45"/>
      <c r="AE133" s="45"/>
      <c r="AF133" s="45"/>
      <c r="AG133" s="111"/>
      <c r="AH133" s="45"/>
    </row>
    <row r="134" spans="20:34" x14ac:dyDescent="0.25">
      <c r="T134" s="45"/>
      <c r="U134" s="45"/>
      <c r="V134" s="45"/>
      <c r="W134" s="45"/>
      <c r="X134" s="45"/>
      <c r="Y134" s="45"/>
      <c r="Z134" s="45"/>
      <c r="AA134" s="105"/>
      <c r="AB134" s="49"/>
      <c r="AC134" s="106"/>
      <c r="AD134" s="45"/>
      <c r="AE134" s="45"/>
      <c r="AF134" s="45"/>
      <c r="AG134" s="111"/>
      <c r="AH134" s="45"/>
    </row>
    <row r="135" spans="20:34" x14ac:dyDescent="0.25">
      <c r="T135" s="45"/>
      <c r="U135" s="45"/>
      <c r="V135" s="45"/>
      <c r="W135" s="45"/>
      <c r="X135" s="45"/>
      <c r="Y135" s="45"/>
      <c r="Z135" s="45"/>
      <c r="AA135" s="105"/>
      <c r="AB135" s="49"/>
      <c r="AC135" s="106"/>
      <c r="AD135" s="45"/>
      <c r="AE135" s="45"/>
      <c r="AF135" s="45"/>
      <c r="AG135" s="111"/>
      <c r="AH135" s="45"/>
    </row>
    <row r="136" spans="20:34" x14ac:dyDescent="0.25">
      <c r="T136" s="45"/>
      <c r="U136" s="45"/>
      <c r="V136" s="45"/>
      <c r="W136" s="45"/>
      <c r="X136" s="45"/>
      <c r="Y136" s="45"/>
      <c r="Z136" s="45"/>
      <c r="AA136" s="105"/>
      <c r="AB136" s="49"/>
      <c r="AC136" s="106"/>
      <c r="AD136" s="45"/>
      <c r="AE136" s="45"/>
      <c r="AF136" s="45"/>
      <c r="AG136" s="111"/>
      <c r="AH136" s="45"/>
    </row>
    <row r="137" spans="20:34" x14ac:dyDescent="0.25">
      <c r="T137" s="45"/>
      <c r="U137" s="45"/>
      <c r="V137" s="45"/>
      <c r="W137" s="45"/>
      <c r="X137" s="45"/>
      <c r="Y137" s="45"/>
      <c r="Z137" s="45"/>
      <c r="AA137" s="105"/>
      <c r="AB137" s="49"/>
      <c r="AC137" s="106"/>
      <c r="AD137" s="45"/>
      <c r="AE137" s="45"/>
      <c r="AF137" s="45"/>
      <c r="AG137" s="111"/>
      <c r="AH137" s="45"/>
    </row>
    <row r="138" spans="20:34" x14ac:dyDescent="0.25">
      <c r="T138" s="45"/>
      <c r="U138" s="45"/>
      <c r="V138" s="45"/>
      <c r="W138" s="45"/>
      <c r="X138" s="45"/>
      <c r="Y138" s="45"/>
      <c r="Z138" s="45"/>
      <c r="AA138" s="105"/>
      <c r="AB138" s="49"/>
      <c r="AC138" s="106"/>
      <c r="AD138" s="45"/>
      <c r="AE138" s="45"/>
      <c r="AF138" s="45"/>
      <c r="AG138" s="111"/>
      <c r="AH138" s="45"/>
    </row>
    <row r="139" spans="20:34" x14ac:dyDescent="0.25">
      <c r="T139" s="45"/>
      <c r="U139" s="45"/>
      <c r="V139" s="45"/>
      <c r="W139" s="45"/>
      <c r="X139" s="45"/>
      <c r="Y139" s="45"/>
      <c r="Z139" s="45"/>
      <c r="AA139" s="105"/>
      <c r="AB139" s="49"/>
      <c r="AC139" s="106"/>
      <c r="AD139" s="45"/>
      <c r="AE139" s="45"/>
      <c r="AF139" s="45"/>
      <c r="AG139" s="111"/>
      <c r="AH139" s="45"/>
    </row>
    <row r="140" spans="20:34" x14ac:dyDescent="0.25">
      <c r="T140" s="45"/>
      <c r="U140" s="45"/>
      <c r="V140" s="45"/>
      <c r="W140" s="45"/>
      <c r="X140" s="45"/>
      <c r="Y140" s="45"/>
      <c r="Z140" s="45"/>
      <c r="AA140" s="105"/>
      <c r="AB140" s="49"/>
      <c r="AC140" s="106"/>
      <c r="AD140" s="45"/>
      <c r="AE140" s="45"/>
      <c r="AF140" s="45"/>
      <c r="AG140" s="111"/>
      <c r="AH140" s="45"/>
    </row>
    <row r="141" spans="20:34" x14ac:dyDescent="0.25">
      <c r="T141" s="45"/>
      <c r="U141" s="45"/>
      <c r="V141" s="45"/>
      <c r="W141" s="45"/>
      <c r="X141" s="45"/>
      <c r="Y141" s="45"/>
      <c r="Z141" s="45"/>
      <c r="AA141" s="105"/>
      <c r="AB141" s="49"/>
      <c r="AC141" s="106"/>
      <c r="AD141" s="45"/>
      <c r="AE141" s="45"/>
      <c r="AF141" s="45"/>
      <c r="AG141" s="111"/>
      <c r="AH141" s="45"/>
    </row>
    <row r="142" spans="20:34" x14ac:dyDescent="0.25">
      <c r="T142" s="45"/>
      <c r="U142" s="45"/>
      <c r="V142" s="45"/>
      <c r="W142" s="45"/>
      <c r="X142" s="45"/>
      <c r="Y142" s="45"/>
      <c r="Z142" s="45"/>
      <c r="AA142" s="105"/>
      <c r="AB142" s="49"/>
      <c r="AC142" s="106"/>
      <c r="AD142" s="45"/>
      <c r="AE142" s="45"/>
      <c r="AF142" s="45"/>
      <c r="AG142" s="111"/>
      <c r="AH142" s="45"/>
    </row>
    <row r="143" spans="20:34" x14ac:dyDescent="0.25">
      <c r="T143" s="45"/>
      <c r="U143" s="45"/>
      <c r="V143" s="45"/>
      <c r="W143" s="45"/>
      <c r="X143" s="45"/>
      <c r="Y143" s="45"/>
      <c r="Z143" s="45"/>
      <c r="AA143" s="105"/>
      <c r="AB143" s="49"/>
      <c r="AC143" s="106"/>
      <c r="AD143" s="45"/>
      <c r="AE143" s="45"/>
      <c r="AF143" s="45"/>
      <c r="AG143" s="111"/>
      <c r="AH143" s="45"/>
    </row>
    <row r="144" spans="20:34" x14ac:dyDescent="0.25">
      <c r="T144" s="45"/>
      <c r="U144" s="45"/>
      <c r="V144" s="45"/>
      <c r="W144" s="45"/>
      <c r="X144" s="45"/>
      <c r="Y144" s="45"/>
      <c r="Z144" s="45"/>
      <c r="AA144" s="105"/>
      <c r="AB144" s="49"/>
      <c r="AC144" s="106"/>
      <c r="AD144" s="45"/>
      <c r="AE144" s="45"/>
      <c r="AF144" s="45"/>
      <c r="AG144" s="111"/>
      <c r="AH144" s="45"/>
    </row>
    <row r="145" spans="20:34" x14ac:dyDescent="0.25">
      <c r="T145" s="45"/>
      <c r="U145" s="45"/>
      <c r="V145" s="45"/>
      <c r="W145" s="45"/>
      <c r="X145" s="45"/>
      <c r="Y145" s="45"/>
      <c r="Z145" s="45"/>
      <c r="AA145" s="105"/>
      <c r="AB145" s="49"/>
      <c r="AC145" s="106"/>
      <c r="AD145" s="45"/>
      <c r="AE145" s="45"/>
      <c r="AF145" s="45"/>
      <c r="AG145" s="111"/>
      <c r="AH145" s="45"/>
    </row>
    <row r="146" spans="20:34" x14ac:dyDescent="0.25">
      <c r="T146" s="45"/>
      <c r="U146" s="45"/>
      <c r="V146" s="45"/>
      <c r="W146" s="45"/>
      <c r="X146" s="45"/>
      <c r="Y146" s="45"/>
      <c r="Z146" s="45"/>
      <c r="AA146" s="105"/>
      <c r="AB146" s="49"/>
      <c r="AC146" s="106"/>
      <c r="AD146" s="45"/>
      <c r="AE146" s="45"/>
      <c r="AF146" s="45"/>
      <c r="AG146" s="111"/>
      <c r="AH146" s="45"/>
    </row>
    <row r="147" spans="20:34" x14ac:dyDescent="0.25">
      <c r="T147" s="45"/>
      <c r="U147" s="45"/>
      <c r="V147" s="45"/>
      <c r="W147" s="45"/>
      <c r="X147" s="45"/>
      <c r="Y147" s="45"/>
      <c r="Z147" s="45"/>
      <c r="AA147" s="105"/>
      <c r="AB147" s="49"/>
      <c r="AC147" s="106"/>
      <c r="AD147" s="45"/>
      <c r="AE147" s="45"/>
      <c r="AF147" s="45"/>
      <c r="AG147" s="111"/>
      <c r="AH147" s="45"/>
    </row>
    <row r="148" spans="20:34" x14ac:dyDescent="0.25">
      <c r="T148" s="45"/>
      <c r="U148" s="45"/>
      <c r="V148" s="45"/>
      <c r="W148" s="45"/>
      <c r="X148" s="45"/>
      <c r="Y148" s="45"/>
      <c r="Z148" s="45"/>
      <c r="AA148" s="105"/>
      <c r="AB148" s="49"/>
      <c r="AC148" s="106"/>
      <c r="AD148" s="45"/>
      <c r="AE148" s="45"/>
      <c r="AF148" s="45"/>
      <c r="AG148" s="111"/>
      <c r="AH148" s="45"/>
    </row>
    <row r="149" spans="20:34" x14ac:dyDescent="0.25">
      <c r="T149" s="45"/>
      <c r="U149" s="45"/>
      <c r="V149" s="45"/>
      <c r="W149" s="45"/>
      <c r="X149" s="45"/>
      <c r="Y149" s="45"/>
      <c r="Z149" s="45"/>
      <c r="AA149" s="105"/>
      <c r="AB149" s="49"/>
      <c r="AC149" s="106"/>
      <c r="AD149" s="45"/>
      <c r="AE149" s="45"/>
      <c r="AF149" s="45"/>
      <c r="AG149" s="111"/>
      <c r="AH149" s="45"/>
    </row>
    <row r="150" spans="20:34" x14ac:dyDescent="0.25">
      <c r="T150" s="45"/>
      <c r="U150" s="45"/>
      <c r="V150" s="45"/>
      <c r="W150" s="45"/>
      <c r="X150" s="45"/>
      <c r="Y150" s="45"/>
      <c r="Z150" s="45"/>
      <c r="AA150" s="105"/>
      <c r="AB150" s="49"/>
      <c r="AC150" s="106"/>
      <c r="AD150" s="45"/>
      <c r="AE150" s="45"/>
      <c r="AF150" s="45"/>
      <c r="AG150" s="111"/>
      <c r="AH150" s="45"/>
    </row>
    <row r="151" spans="20:34" x14ac:dyDescent="0.25">
      <c r="T151" s="45"/>
      <c r="U151" s="45"/>
      <c r="V151" s="45"/>
      <c r="W151" s="45"/>
      <c r="X151" s="45"/>
      <c r="Y151" s="45"/>
      <c r="Z151" s="45"/>
      <c r="AA151" s="105"/>
      <c r="AB151" s="49"/>
      <c r="AC151" s="106"/>
      <c r="AD151" s="45"/>
      <c r="AE151" s="45"/>
      <c r="AF151" s="45"/>
      <c r="AG151" s="111"/>
      <c r="AH151" s="45"/>
    </row>
    <row r="152" spans="20:34" x14ac:dyDescent="0.25">
      <c r="T152" s="45"/>
      <c r="U152" s="45"/>
      <c r="V152" s="45"/>
      <c r="W152" s="45"/>
      <c r="X152" s="45"/>
      <c r="Y152" s="45"/>
      <c r="Z152" s="45"/>
      <c r="AA152" s="105"/>
      <c r="AB152" s="49"/>
      <c r="AC152" s="106"/>
      <c r="AD152" s="45"/>
      <c r="AE152" s="45"/>
      <c r="AF152" s="45"/>
      <c r="AG152" s="111"/>
      <c r="AH152" s="45"/>
    </row>
    <row r="153" spans="20:34" x14ac:dyDescent="0.25">
      <c r="T153" s="45"/>
      <c r="U153" s="45"/>
      <c r="V153" s="45"/>
      <c r="W153" s="45"/>
      <c r="X153" s="45"/>
      <c r="Y153" s="45"/>
      <c r="Z153" s="45"/>
      <c r="AA153" s="105"/>
      <c r="AB153" s="49"/>
      <c r="AC153" s="106"/>
      <c r="AD153" s="45"/>
      <c r="AE153" s="45"/>
      <c r="AF153" s="45"/>
      <c r="AG153" s="111"/>
      <c r="AH153" s="45"/>
    </row>
    <row r="154" spans="20:34" x14ac:dyDescent="0.25">
      <c r="T154" s="45"/>
      <c r="U154" s="45"/>
      <c r="V154" s="45"/>
      <c r="W154" s="45"/>
      <c r="X154" s="45"/>
      <c r="Y154" s="45"/>
      <c r="Z154" s="45"/>
      <c r="AA154" s="105"/>
      <c r="AB154" s="49"/>
      <c r="AC154" s="106"/>
      <c r="AD154" s="45"/>
      <c r="AE154" s="45"/>
      <c r="AF154" s="45"/>
      <c r="AG154" s="111"/>
      <c r="AH154" s="45"/>
    </row>
    <row r="155" spans="20:34" x14ac:dyDescent="0.25">
      <c r="T155" s="45"/>
      <c r="U155" s="45"/>
      <c r="V155" s="45"/>
      <c r="W155" s="45"/>
      <c r="X155" s="45"/>
      <c r="Y155" s="45"/>
      <c r="Z155" s="45"/>
      <c r="AA155" s="105"/>
      <c r="AB155" s="49"/>
      <c r="AC155" s="106"/>
      <c r="AD155" s="45"/>
      <c r="AE155" s="45"/>
      <c r="AF155" s="45"/>
      <c r="AG155" s="111"/>
      <c r="AH155" s="45"/>
    </row>
    <row r="156" spans="20:34" x14ac:dyDescent="0.25">
      <c r="T156" s="45"/>
      <c r="U156" s="45"/>
      <c r="V156" s="45"/>
      <c r="W156" s="45"/>
      <c r="X156" s="45"/>
      <c r="Y156" s="45"/>
      <c r="Z156" s="45"/>
      <c r="AA156" s="105"/>
      <c r="AB156" s="49"/>
      <c r="AC156" s="106"/>
      <c r="AD156" s="45"/>
      <c r="AE156" s="45"/>
      <c r="AF156" s="45"/>
      <c r="AG156" s="111"/>
      <c r="AH156" s="45"/>
    </row>
    <row r="157" spans="20:34" x14ac:dyDescent="0.25">
      <c r="T157" s="45"/>
      <c r="U157" s="45"/>
      <c r="V157" s="45"/>
      <c r="W157" s="45"/>
      <c r="X157" s="45"/>
      <c r="Y157" s="45"/>
      <c r="Z157" s="45"/>
      <c r="AA157" s="105"/>
      <c r="AB157" s="49"/>
      <c r="AC157" s="106"/>
      <c r="AD157" s="45"/>
      <c r="AE157" s="45"/>
      <c r="AF157" s="45"/>
      <c r="AG157" s="111"/>
      <c r="AH157" s="45"/>
    </row>
    <row r="158" spans="20:34" x14ac:dyDescent="0.25">
      <c r="T158" s="45"/>
      <c r="U158" s="45"/>
      <c r="V158" s="45"/>
      <c r="W158" s="45"/>
      <c r="X158" s="45"/>
      <c r="Y158" s="45"/>
      <c r="Z158" s="45"/>
      <c r="AA158" s="105"/>
      <c r="AB158" s="49"/>
      <c r="AC158" s="106"/>
      <c r="AD158" s="45"/>
      <c r="AE158" s="45"/>
      <c r="AF158" s="45"/>
      <c r="AG158" s="111"/>
      <c r="AH158" s="45"/>
    </row>
    <row r="159" spans="20:34" x14ac:dyDescent="0.25">
      <c r="T159" s="45"/>
      <c r="U159" s="45"/>
      <c r="V159" s="45"/>
      <c r="W159" s="45"/>
      <c r="X159" s="45"/>
      <c r="Y159" s="45"/>
      <c r="Z159" s="45"/>
      <c r="AA159" s="105"/>
      <c r="AB159" s="49"/>
      <c r="AC159" s="106"/>
      <c r="AD159" s="45"/>
      <c r="AE159" s="45"/>
      <c r="AF159" s="45"/>
      <c r="AG159" s="111"/>
      <c r="AH159" s="45"/>
    </row>
    <row r="160" spans="20:34" x14ac:dyDescent="0.25">
      <c r="T160" s="45"/>
      <c r="U160" s="45"/>
      <c r="V160" s="45"/>
      <c r="W160" s="45"/>
      <c r="X160" s="45"/>
      <c r="Y160" s="45"/>
      <c r="Z160" s="45"/>
      <c r="AA160" s="105"/>
      <c r="AB160" s="49"/>
      <c r="AC160" s="106"/>
      <c r="AD160" s="45"/>
      <c r="AE160" s="45"/>
      <c r="AF160" s="45"/>
      <c r="AG160" s="111"/>
      <c r="AH160" s="45"/>
    </row>
    <row r="161" spans="20:34" x14ac:dyDescent="0.25">
      <c r="T161" s="45"/>
      <c r="U161" s="45"/>
      <c r="V161" s="45"/>
      <c r="W161" s="45"/>
      <c r="X161" s="45"/>
      <c r="Y161" s="45"/>
      <c r="Z161" s="45"/>
      <c r="AA161" s="105"/>
      <c r="AB161" s="49"/>
      <c r="AC161" s="106"/>
      <c r="AD161" s="45"/>
      <c r="AE161" s="45"/>
      <c r="AF161" s="45"/>
      <c r="AG161" s="111"/>
      <c r="AH161" s="45"/>
    </row>
    <row r="162" spans="20:34" x14ac:dyDescent="0.25">
      <c r="T162" s="45"/>
      <c r="U162" s="45"/>
      <c r="V162" s="45"/>
      <c r="W162" s="45"/>
      <c r="X162" s="45"/>
      <c r="Y162" s="45"/>
      <c r="Z162" s="45"/>
      <c r="AA162" s="105"/>
      <c r="AB162" s="49"/>
      <c r="AC162" s="106"/>
      <c r="AD162" s="45"/>
      <c r="AE162" s="45"/>
      <c r="AF162" s="45"/>
      <c r="AG162" s="111"/>
      <c r="AH162" s="45"/>
    </row>
    <row r="163" spans="20:34" x14ac:dyDescent="0.25">
      <c r="T163" s="45"/>
      <c r="U163" s="45"/>
      <c r="V163" s="45"/>
      <c r="W163" s="45"/>
      <c r="X163" s="45"/>
      <c r="Y163" s="45"/>
      <c r="Z163" s="45"/>
      <c r="AA163" s="105"/>
      <c r="AB163" s="49"/>
      <c r="AC163" s="106"/>
      <c r="AD163" s="45"/>
      <c r="AE163" s="45"/>
      <c r="AF163" s="45"/>
      <c r="AG163" s="111"/>
      <c r="AH163" s="45"/>
    </row>
    <row r="164" spans="20:34" x14ac:dyDescent="0.25">
      <c r="T164" s="45"/>
      <c r="U164" s="45"/>
      <c r="V164" s="45"/>
      <c r="W164" s="45"/>
      <c r="X164" s="45"/>
      <c r="Y164" s="45"/>
      <c r="Z164" s="45"/>
      <c r="AA164" s="105"/>
      <c r="AB164" s="49"/>
      <c r="AC164" s="106"/>
      <c r="AD164" s="45"/>
      <c r="AE164" s="45"/>
      <c r="AF164" s="45"/>
      <c r="AG164" s="111"/>
      <c r="AH164" s="45"/>
    </row>
    <row r="165" spans="20:34" x14ac:dyDescent="0.25">
      <c r="T165" s="45"/>
      <c r="U165" s="45"/>
      <c r="V165" s="45"/>
      <c r="W165" s="45"/>
      <c r="X165" s="45"/>
      <c r="Y165" s="45"/>
      <c r="Z165" s="45"/>
      <c r="AA165" s="105"/>
      <c r="AB165" s="49"/>
      <c r="AC165" s="106"/>
      <c r="AD165" s="45"/>
      <c r="AE165" s="45"/>
      <c r="AF165" s="45"/>
      <c r="AG165" s="111"/>
      <c r="AH165" s="45"/>
    </row>
    <row r="166" spans="20:34" x14ac:dyDescent="0.25">
      <c r="T166" s="45"/>
      <c r="U166" s="45"/>
      <c r="V166" s="45"/>
      <c r="W166" s="45"/>
      <c r="X166" s="45"/>
      <c r="Y166" s="45"/>
      <c r="Z166" s="45"/>
      <c r="AA166" s="105"/>
      <c r="AB166" s="49"/>
      <c r="AC166" s="106"/>
      <c r="AD166" s="45"/>
      <c r="AE166" s="45"/>
      <c r="AF166" s="45"/>
      <c r="AG166" s="111"/>
      <c r="AH166" s="45"/>
    </row>
    <row r="167" spans="20:34" x14ac:dyDescent="0.25">
      <c r="T167" s="45"/>
      <c r="U167" s="45"/>
      <c r="V167" s="45"/>
      <c r="W167" s="45"/>
      <c r="X167" s="45"/>
      <c r="Y167" s="45"/>
      <c r="Z167" s="45"/>
      <c r="AA167" s="105"/>
      <c r="AB167" s="49"/>
      <c r="AC167" s="106"/>
      <c r="AD167" s="45"/>
      <c r="AE167" s="45"/>
      <c r="AF167" s="45"/>
      <c r="AG167" s="111"/>
      <c r="AH167" s="45"/>
    </row>
    <row r="168" spans="20:34" x14ac:dyDescent="0.25">
      <c r="T168" s="45"/>
      <c r="U168" s="45"/>
      <c r="V168" s="45"/>
      <c r="W168" s="45"/>
      <c r="X168" s="45"/>
      <c r="Y168" s="45"/>
      <c r="Z168" s="45"/>
      <c r="AA168" s="105"/>
      <c r="AB168" s="49"/>
      <c r="AC168" s="106"/>
      <c r="AD168" s="45"/>
      <c r="AE168" s="45"/>
      <c r="AF168" s="45"/>
      <c r="AG168" s="111"/>
      <c r="AH168" s="45"/>
    </row>
    <row r="169" spans="20:34" x14ac:dyDescent="0.25">
      <c r="T169" s="45"/>
      <c r="U169" s="45"/>
      <c r="V169" s="45"/>
      <c r="W169" s="45"/>
      <c r="X169" s="45"/>
      <c r="Y169" s="45"/>
      <c r="Z169" s="45"/>
      <c r="AA169" s="105"/>
      <c r="AB169" s="49"/>
      <c r="AC169" s="106"/>
      <c r="AD169" s="45"/>
      <c r="AE169" s="45"/>
      <c r="AF169" s="45"/>
      <c r="AG169" s="111"/>
      <c r="AH169" s="45"/>
    </row>
    <row r="170" spans="20:34" x14ac:dyDescent="0.25">
      <c r="T170" s="45"/>
      <c r="U170" s="45"/>
      <c r="V170" s="45"/>
      <c r="W170" s="45"/>
      <c r="X170" s="45"/>
      <c r="Y170" s="45"/>
      <c r="Z170" s="45"/>
      <c r="AA170" s="105"/>
      <c r="AB170" s="49"/>
      <c r="AC170" s="106"/>
      <c r="AD170" s="45"/>
      <c r="AE170" s="45"/>
      <c r="AF170" s="45"/>
      <c r="AG170" s="111"/>
      <c r="AH170" s="45"/>
    </row>
    <row r="171" spans="20:34" x14ac:dyDescent="0.25">
      <c r="T171" s="45"/>
      <c r="U171" s="45"/>
      <c r="V171" s="45"/>
      <c r="W171" s="45"/>
      <c r="X171" s="45"/>
      <c r="Y171" s="45"/>
      <c r="Z171" s="45"/>
      <c r="AA171" s="105"/>
      <c r="AB171" s="49"/>
      <c r="AC171" s="106"/>
      <c r="AD171" s="45"/>
      <c r="AE171" s="45"/>
      <c r="AF171" s="45"/>
      <c r="AG171" s="111"/>
      <c r="AH171" s="45"/>
    </row>
    <row r="172" spans="20:34" x14ac:dyDescent="0.25">
      <c r="T172" s="45"/>
      <c r="U172" s="45"/>
      <c r="V172" s="45"/>
      <c r="W172" s="45"/>
      <c r="X172" s="45"/>
      <c r="Y172" s="45"/>
      <c r="Z172" s="45"/>
      <c r="AA172" s="105"/>
      <c r="AB172" s="49"/>
      <c r="AC172" s="106"/>
      <c r="AD172" s="45"/>
      <c r="AE172" s="45"/>
      <c r="AF172" s="45"/>
      <c r="AG172" s="111"/>
      <c r="AH172" s="45"/>
    </row>
    <row r="173" spans="20:34" x14ac:dyDescent="0.25">
      <c r="T173" s="45"/>
      <c r="U173" s="45"/>
      <c r="V173" s="45"/>
      <c r="W173" s="45"/>
      <c r="X173" s="45"/>
      <c r="Y173" s="45"/>
      <c r="Z173" s="45"/>
      <c r="AA173" s="105"/>
      <c r="AB173" s="49"/>
      <c r="AC173" s="106"/>
      <c r="AD173" s="45"/>
      <c r="AE173" s="45"/>
      <c r="AF173" s="45"/>
      <c r="AG173" s="111"/>
      <c r="AH173" s="45"/>
    </row>
    <row r="174" spans="20:34" x14ac:dyDescent="0.25">
      <c r="T174" s="45"/>
      <c r="U174" s="45"/>
      <c r="V174" s="45"/>
      <c r="W174" s="45"/>
      <c r="X174" s="45"/>
      <c r="Y174" s="45"/>
      <c r="Z174" s="45"/>
      <c r="AA174" s="105"/>
      <c r="AB174" s="49"/>
      <c r="AC174" s="106"/>
      <c r="AD174" s="45"/>
      <c r="AE174" s="45"/>
      <c r="AF174" s="45"/>
      <c r="AG174" s="111"/>
      <c r="AH174" s="45"/>
    </row>
    <row r="175" spans="20:34" x14ac:dyDescent="0.25">
      <c r="T175" s="45"/>
      <c r="U175" s="45"/>
      <c r="V175" s="45"/>
      <c r="W175" s="45"/>
      <c r="X175" s="45"/>
      <c r="Y175" s="45"/>
      <c r="Z175" s="45"/>
      <c r="AA175" s="105"/>
      <c r="AB175" s="49"/>
      <c r="AC175" s="106"/>
      <c r="AD175" s="45"/>
      <c r="AE175" s="45"/>
      <c r="AF175" s="45"/>
      <c r="AG175" s="111"/>
      <c r="AH175" s="45"/>
    </row>
    <row r="176" spans="20:34" x14ac:dyDescent="0.25">
      <c r="T176" s="45"/>
      <c r="U176" s="45"/>
      <c r="V176" s="45"/>
      <c r="W176" s="45"/>
      <c r="X176" s="45"/>
      <c r="Y176" s="45"/>
      <c r="Z176" s="45"/>
      <c r="AA176" s="105"/>
      <c r="AB176" s="49"/>
      <c r="AC176" s="106"/>
      <c r="AD176" s="45"/>
      <c r="AE176" s="45"/>
      <c r="AF176" s="45"/>
      <c r="AG176" s="111"/>
      <c r="AH176" s="45"/>
    </row>
    <row r="177" spans="20:34" x14ac:dyDescent="0.25">
      <c r="T177" s="45"/>
      <c r="U177" s="45"/>
      <c r="V177" s="45"/>
      <c r="W177" s="45"/>
      <c r="X177" s="45"/>
      <c r="Y177" s="45"/>
      <c r="Z177" s="45"/>
      <c r="AA177" s="105"/>
      <c r="AB177" s="49"/>
      <c r="AC177" s="106"/>
      <c r="AD177" s="45"/>
      <c r="AE177" s="45"/>
      <c r="AF177" s="45"/>
      <c r="AG177" s="111"/>
      <c r="AH177" s="45"/>
    </row>
    <row r="178" spans="20:34" x14ac:dyDescent="0.25">
      <c r="T178" s="45"/>
      <c r="U178" s="45"/>
      <c r="V178" s="45"/>
      <c r="W178" s="45"/>
      <c r="X178" s="45"/>
      <c r="Y178" s="45"/>
      <c r="Z178" s="45"/>
      <c r="AA178" s="105"/>
      <c r="AB178" s="49"/>
      <c r="AC178" s="106"/>
      <c r="AD178" s="45"/>
      <c r="AE178" s="45"/>
      <c r="AF178" s="45"/>
      <c r="AG178" s="111"/>
      <c r="AH178" s="45"/>
    </row>
    <row r="179" spans="20:34" x14ac:dyDescent="0.25">
      <c r="T179" s="45"/>
      <c r="U179" s="45"/>
      <c r="V179" s="45"/>
      <c r="W179" s="45"/>
      <c r="X179" s="45"/>
      <c r="Y179" s="45"/>
      <c r="Z179" s="45"/>
      <c r="AA179" s="105"/>
      <c r="AB179" s="49"/>
      <c r="AC179" s="106"/>
      <c r="AD179" s="45"/>
      <c r="AE179" s="45"/>
      <c r="AF179" s="45"/>
      <c r="AG179" s="111"/>
      <c r="AH179" s="45"/>
    </row>
    <row r="180" spans="20:34" x14ac:dyDescent="0.25">
      <c r="T180" s="45"/>
      <c r="U180" s="45"/>
      <c r="V180" s="45"/>
      <c r="W180" s="45"/>
      <c r="X180" s="45"/>
      <c r="Y180" s="45"/>
      <c r="Z180" s="45"/>
      <c r="AA180" s="105"/>
      <c r="AB180" s="49"/>
      <c r="AC180" s="106"/>
      <c r="AD180" s="45"/>
      <c r="AE180" s="45"/>
      <c r="AF180" s="45"/>
      <c r="AG180" s="111"/>
      <c r="AH180" s="45"/>
    </row>
    <row r="181" spans="20:34" x14ac:dyDescent="0.25">
      <c r="T181" s="45"/>
      <c r="U181" s="45"/>
      <c r="V181" s="45"/>
      <c r="W181" s="45"/>
      <c r="X181" s="45"/>
      <c r="Y181" s="45"/>
      <c r="Z181" s="45"/>
      <c r="AA181" s="105"/>
      <c r="AB181" s="49"/>
      <c r="AC181" s="106"/>
      <c r="AD181" s="45"/>
      <c r="AE181" s="45"/>
      <c r="AF181" s="45"/>
      <c r="AG181" s="111"/>
      <c r="AH181" s="45"/>
    </row>
    <row r="182" spans="20:34" x14ac:dyDescent="0.25">
      <c r="T182" s="45"/>
      <c r="U182" s="45"/>
      <c r="V182" s="45"/>
      <c r="W182" s="45"/>
      <c r="X182" s="45"/>
      <c r="Y182" s="45"/>
      <c r="Z182" s="45"/>
      <c r="AA182" s="105"/>
      <c r="AB182" s="49"/>
      <c r="AC182" s="106"/>
      <c r="AD182" s="45"/>
      <c r="AE182" s="45"/>
      <c r="AF182" s="45"/>
      <c r="AG182" s="111"/>
      <c r="AH182" s="45"/>
    </row>
    <row r="183" spans="20:34" x14ac:dyDescent="0.25">
      <c r="T183" s="45"/>
      <c r="U183" s="45"/>
      <c r="V183" s="45"/>
      <c r="W183" s="45"/>
      <c r="X183" s="45"/>
      <c r="Y183" s="45"/>
      <c r="Z183" s="45"/>
      <c r="AA183" s="105"/>
      <c r="AB183" s="49"/>
      <c r="AC183" s="106"/>
      <c r="AD183" s="45"/>
      <c r="AE183" s="45"/>
      <c r="AF183" s="45"/>
      <c r="AG183" s="111"/>
      <c r="AH183" s="45"/>
    </row>
  </sheetData>
  <mergeCells count="6">
    <mergeCell ref="C1:Q1"/>
    <mergeCell ref="S1:AG1"/>
    <mergeCell ref="N2:P2"/>
    <mergeCell ref="AD2:AF2"/>
    <mergeCell ref="Q4:Q8"/>
    <mergeCell ref="AG4:AG8"/>
  </mergeCells>
  <conditionalFormatting sqref="Q9 Q4 Q14 Q19 Q24 Q29 Q39 Q44 Q49 Q54 Q59 Q69 Q74 Q79 Q84 Q89 Q99 Q104 Q109 Q114 Q119 Q34 Q94 Q64:R64 R124">
    <cfRule type="colorScale" priority="53">
      <colorScale>
        <cfvo type="min"/>
        <cfvo type="percentile" val="50"/>
        <cfvo type="max"/>
        <color rgb="FFF8696B"/>
        <color rgb="FFFFEB84"/>
        <color rgb="FF63BE7B"/>
      </colorScale>
    </cfRule>
  </conditionalFormatting>
  <conditionalFormatting sqref="AG4:AG123">
    <cfRule type="colorScale" priority="3">
      <colorScale>
        <cfvo type="min"/>
        <cfvo type="percentile" val="50"/>
        <cfvo type="max"/>
        <color rgb="FFF8696B"/>
        <color rgb="FFFFEB84"/>
        <color rgb="FF63BE7B"/>
      </colorScale>
    </cfRule>
  </conditionalFormatting>
  <conditionalFormatting sqref="AG124:AG183">
    <cfRule type="colorScale" priority="1">
      <colorScale>
        <cfvo type="min"/>
        <cfvo type="percentile" val="50"/>
        <cfvo type="max"/>
        <color rgb="FFF8696B"/>
        <color rgb="FFFFEB84"/>
        <color rgb="FF63BE7B"/>
      </colorScale>
    </cfRule>
  </conditionalFormatting>
  <conditionalFormatting sqref="AH64 AH4">
    <cfRule type="colorScale" priority="2">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Arch details</vt:lpstr>
      <vt:lpstr>HPL_Builds</vt:lpstr>
      <vt:lpstr>ATLAS builds</vt:lpstr>
      <vt:lpstr>4 node, 933, big</vt:lpstr>
      <vt:lpstr>4 node, 825, big</vt:lpstr>
      <vt:lpstr>1 node, 933, big</vt:lpstr>
      <vt:lpstr>1 node, 825, big</vt:lpstr>
      <vt:lpstr>4 node, 933, small</vt:lpstr>
      <vt:lpstr>4 node, 825, small</vt:lpstr>
      <vt:lpstr>1 node, 933, small</vt:lpstr>
      <vt:lpstr>1 node, 825, small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Zdravko Krpić</dc:creator>
  <cp:keywords/>
  <dc:description/>
  <cp:lastModifiedBy>Zdravko Krpić</cp:lastModifiedBy>
  <cp:revision/>
  <dcterms:created xsi:type="dcterms:W3CDTF">2022-06-10T13:31:47Z</dcterms:created>
  <dcterms:modified xsi:type="dcterms:W3CDTF">2024-04-30T11:55:17Z</dcterms:modified>
  <cp:category/>
  <cp:contentStatus/>
</cp:coreProperties>
</file>