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etfoshr-my.sharepoint.com/personal/krpic_etfos_hr/Documents/Istraživanje/1. SBCC/Results/"/>
    </mc:Choice>
  </mc:AlternateContent>
  <xr:revisionPtr revIDLastSave="1037" documentId="13_ncr:1_{227F4E63-8658-4F16-B574-743EE3CBE194}" xr6:coauthVersionLast="47" xr6:coauthVersionMax="47" xr10:uidLastSave="{A0051558-6523-4D43-8079-71642DE3AA99}"/>
  <bookViews>
    <workbookView xWindow="-105" yWindow="0" windowWidth="38610" windowHeight="20985" activeTab="6" xr2:uid="{A2AD9453-B2DD-442A-8FF6-DE56922957DD}"/>
  </bookViews>
  <sheets>
    <sheet name="Arch details" sheetId="6" r:id="rId1"/>
    <sheet name="ATLAS builds" sheetId="9" r:id="rId2"/>
    <sheet name="HPL 4 nodes, builds" sheetId="12" r:id="rId3"/>
    <sheet name="1 node, params, RAW" sheetId="14" r:id="rId4"/>
    <sheet name="4 nodes, params, RAW" sheetId="13" r:id="rId5"/>
    <sheet name="1 node, params" sheetId="15" r:id="rId6"/>
    <sheet name="4 nodes, params" sheetId="16" r:id="rId7"/>
    <sheet name="Scalability analysis" sheetId="1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16" l="1"/>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4" i="16"/>
  <c r="AG5" i="15"/>
  <c r="AG6" i="15"/>
  <c r="AG7" i="15"/>
  <c r="AG8" i="15"/>
  <c r="AG9" i="15"/>
  <c r="AG10" i="15"/>
  <c r="AG11" i="15"/>
  <c r="AG12" i="15"/>
  <c r="AG13" i="15"/>
  <c r="AG14" i="15"/>
  <c r="AG15" i="15"/>
  <c r="AG16" i="15"/>
  <c r="AG17" i="15"/>
  <c r="AG18" i="15"/>
  <c r="AG19" i="15"/>
  <c r="AG20" i="15"/>
  <c r="AG21" i="15"/>
  <c r="AG22" i="15"/>
  <c r="AG23" i="15"/>
  <c r="AG24" i="15"/>
  <c r="AG25" i="15"/>
  <c r="AG26" i="15"/>
  <c r="AG27" i="15"/>
  <c r="AG28" i="15"/>
  <c r="AG29" i="15"/>
  <c r="AG30" i="15"/>
  <c r="AG31" i="15"/>
  <c r="AG32" i="15"/>
  <c r="AG33" i="15"/>
  <c r="AG34" i="15"/>
  <c r="AG35" i="15"/>
  <c r="AG36" i="15"/>
  <c r="AG37" i="15"/>
  <c r="AG38" i="15"/>
  <c r="AG39" i="15"/>
  <c r="AG40" i="15"/>
  <c r="AG41" i="15"/>
  <c r="AG42" i="15"/>
  <c r="AG43" i="15"/>
  <c r="AG44" i="15"/>
  <c r="AG45" i="15"/>
  <c r="AG46" i="15"/>
  <c r="AG47" i="15"/>
  <c r="AG48" i="15"/>
  <c r="AG49" i="15"/>
  <c r="AG50" i="15"/>
  <c r="AG51" i="15"/>
  <c r="AG4" i="15"/>
  <c r="Z5" i="15"/>
  <c r="Z6" i="15"/>
  <c r="Z7" i="15"/>
  <c r="Z8" i="15"/>
  <c r="Z9" i="15"/>
  <c r="Z10" i="15"/>
  <c r="Z11" i="15"/>
  <c r="Z12" i="15"/>
  <c r="Z13" i="15"/>
  <c r="Z14" i="15"/>
  <c r="Z15" i="15"/>
  <c r="Z16" i="15"/>
  <c r="Z17" i="15"/>
  <c r="Z18" i="15"/>
  <c r="Z19" i="15"/>
  <c r="Z20" i="15"/>
  <c r="Z21" i="15"/>
  <c r="Z22" i="15"/>
  <c r="Z23" i="15"/>
  <c r="Z24" i="15"/>
  <c r="Z25" i="15"/>
  <c r="Z26" i="15"/>
  <c r="Z27" i="15"/>
  <c r="Z28" i="15"/>
  <c r="Z29" i="15"/>
  <c r="Z30" i="15"/>
  <c r="Z31" i="15"/>
  <c r="Z32" i="15"/>
  <c r="Z33" i="15"/>
  <c r="Z34" i="15"/>
  <c r="Z35" i="15"/>
  <c r="Z36" i="15"/>
  <c r="Z37" i="15"/>
  <c r="Z38" i="15"/>
  <c r="Z39" i="15"/>
  <c r="Z40" i="15"/>
  <c r="Z41" i="15"/>
  <c r="Z42" i="15"/>
  <c r="Z43" i="15"/>
  <c r="Z44" i="15"/>
  <c r="Z45" i="15"/>
  <c r="Z46" i="15"/>
  <c r="Z47" i="15"/>
  <c r="Z48" i="15"/>
  <c r="Z49" i="15"/>
  <c r="Z50" i="15"/>
  <c r="Z51" i="15"/>
  <c r="Z4" i="15"/>
  <c r="BA4" i="17"/>
  <c r="BA5" i="17"/>
  <c r="BA6" i="17"/>
  <c r="BA7" i="17"/>
  <c r="BA8" i="17"/>
  <c r="BA9" i="17"/>
  <c r="BA10" i="17"/>
  <c r="BA11" i="17"/>
  <c r="BA12" i="17"/>
  <c r="BA13" i="17"/>
  <c r="BA14" i="17"/>
  <c r="BA15" i="17"/>
  <c r="BA16" i="17"/>
  <c r="BA17" i="17"/>
  <c r="BA18" i="17"/>
  <c r="BA19" i="17"/>
  <c r="BA20" i="17"/>
  <c r="BA21" i="17"/>
  <c r="BA22" i="17"/>
  <c r="BA23" i="17"/>
  <c r="BA24" i="17"/>
  <c r="BA25" i="17"/>
  <c r="BA26" i="17"/>
  <c r="BA3" i="17"/>
  <c r="AY4" i="17"/>
  <c r="AY5" i="17"/>
  <c r="AY6" i="17"/>
  <c r="AY7" i="17"/>
  <c r="AY8" i="17"/>
  <c r="AY9" i="17"/>
  <c r="AY10" i="17"/>
  <c r="AY11" i="17"/>
  <c r="AY12" i="17"/>
  <c r="AY13" i="17"/>
  <c r="AY14" i="17"/>
  <c r="AY15" i="17"/>
  <c r="AY16" i="17"/>
  <c r="AY17" i="17"/>
  <c r="AY18" i="17"/>
  <c r="AY19" i="17"/>
  <c r="AY20" i="17"/>
  <c r="AY21" i="17"/>
  <c r="AY22" i="17"/>
  <c r="AY23" i="17"/>
  <c r="AY24" i="17"/>
  <c r="AY25" i="17"/>
  <c r="AY26" i="17"/>
  <c r="AY3" i="17"/>
  <c r="H3" i="9"/>
  <c r="H4" i="9"/>
  <c r="H5" i="9"/>
  <c r="H6" i="9"/>
  <c r="H7" i="9"/>
  <c r="H8" i="9"/>
  <c r="H9" i="9"/>
  <c r="H10" i="9"/>
  <c r="H11" i="9"/>
  <c r="H12" i="9"/>
  <c r="H13" i="9"/>
  <c r="H14" i="9"/>
  <c r="H15" i="9"/>
  <c r="H16" i="9"/>
  <c r="H17" i="9"/>
  <c r="H18" i="9"/>
  <c r="H19" i="9"/>
  <c r="H20" i="9"/>
  <c r="H21" i="9"/>
  <c r="H22" i="9"/>
  <c r="H23" i="9"/>
  <c r="H24" i="9"/>
  <c r="H25" i="9"/>
  <c r="H2" i="9"/>
  <c r="L3" i="9"/>
  <c r="L4" i="9"/>
  <c r="L5" i="9"/>
  <c r="L6" i="9"/>
  <c r="L7" i="9"/>
  <c r="L8" i="9"/>
  <c r="L9" i="9"/>
  <c r="L10" i="9"/>
  <c r="L11" i="9"/>
  <c r="L12" i="9"/>
  <c r="L13" i="9"/>
  <c r="L14" i="9"/>
  <c r="L15" i="9"/>
  <c r="L16" i="9"/>
  <c r="L17" i="9"/>
  <c r="L18" i="9"/>
  <c r="L19" i="9"/>
  <c r="L20" i="9"/>
  <c r="L21" i="9"/>
  <c r="L22" i="9"/>
  <c r="L23" i="9"/>
  <c r="L24" i="9"/>
  <c r="L25" i="9"/>
  <c r="L2" i="9"/>
  <c r="X182" i="12"/>
  <c r="X183" i="12" s="1"/>
  <c r="X184" i="12" s="1"/>
  <c r="X185" i="12" s="1"/>
  <c r="X186" i="12" s="1"/>
  <c r="X187" i="12"/>
  <c r="X188" i="12" s="1"/>
  <c r="X189" i="12" s="1"/>
  <c r="X190" i="12" s="1"/>
  <c r="X191" i="12" s="1"/>
  <c r="X192" i="12"/>
  <c r="X193" i="12" s="1"/>
  <c r="X194" i="12" s="1"/>
  <c r="X195" i="12" s="1"/>
  <c r="X196" i="12" s="1"/>
  <c r="X197" i="12"/>
  <c r="X198" i="12" s="1"/>
  <c r="X199" i="12" s="1"/>
  <c r="X200" i="12" s="1"/>
  <c r="X201" i="12" s="1"/>
  <c r="X207" i="12"/>
  <c r="X208" i="12" s="1"/>
  <c r="X209" i="12" s="1"/>
  <c r="X210" i="12" s="1"/>
  <c r="X211" i="12" s="1"/>
  <c r="X212" i="12"/>
  <c r="X213" i="12" s="1"/>
  <c r="X214" i="12" s="1"/>
  <c r="X215" i="12" s="1"/>
  <c r="X216" i="12" s="1"/>
  <c r="X202" i="12"/>
  <c r="X203" i="12" s="1"/>
  <c r="X204" i="12" s="1"/>
  <c r="X205" i="12" s="1"/>
  <c r="X206" i="12" s="1"/>
  <c r="X217" i="12"/>
  <c r="X218" i="12" s="1"/>
  <c r="X219" i="12" s="1"/>
  <c r="X220" i="12" s="1"/>
  <c r="X221" i="12" s="1"/>
  <c r="X222" i="12"/>
  <c r="X223" i="12" s="1"/>
  <c r="X224" i="12" s="1"/>
  <c r="X225" i="12" s="1"/>
  <c r="X226" i="12" s="1"/>
  <c r="X227" i="12"/>
  <c r="X228" i="12"/>
  <c r="X229" i="12" s="1"/>
  <c r="X230" i="12" s="1"/>
  <c r="X231" i="12" s="1"/>
  <c r="X177" i="12"/>
  <c r="X178" i="12" s="1"/>
  <c r="X179" i="12" s="1"/>
  <c r="X180" i="12" s="1"/>
  <c r="X181" i="12" s="1"/>
  <c r="X151" i="12"/>
  <c r="X152" i="12" s="1"/>
  <c r="X153" i="12" s="1"/>
  <c r="X154" i="12" s="1"/>
  <c r="X155" i="12" s="1"/>
  <c r="X156" i="12"/>
  <c r="X157" i="12" s="1"/>
  <c r="X158" i="12" s="1"/>
  <c r="X159" i="12" s="1"/>
  <c r="X160" i="12" s="1"/>
  <c r="X161" i="12"/>
  <c r="X162" i="12" s="1"/>
  <c r="X163" i="12" s="1"/>
  <c r="X164" i="12" s="1"/>
  <c r="X165" i="12" s="1"/>
  <c r="X136" i="12"/>
  <c r="X137" i="12" s="1"/>
  <c r="X138" i="12" s="1"/>
  <c r="X139" i="12" s="1"/>
  <c r="X140" i="12" s="1"/>
  <c r="X141" i="12"/>
  <c r="X142" i="12" s="1"/>
  <c r="X143" i="12" s="1"/>
  <c r="X144" i="12" s="1"/>
  <c r="X145" i="12" s="1"/>
  <c r="X131" i="12"/>
  <c r="X132" i="12" s="1"/>
  <c r="X133" i="12" s="1"/>
  <c r="X134" i="12" s="1"/>
  <c r="X135" i="12" s="1"/>
  <c r="X111" i="12"/>
  <c r="X112" i="12" s="1"/>
  <c r="X113" i="12" s="1"/>
  <c r="X114" i="12" s="1"/>
  <c r="X115" i="12" s="1"/>
  <c r="X101" i="12"/>
  <c r="X102" i="12" s="1"/>
  <c r="X103" i="12" s="1"/>
  <c r="X104" i="12" s="1"/>
  <c r="X105" i="12" s="1"/>
  <c r="X121" i="12"/>
  <c r="X122" i="12" s="1"/>
  <c r="X123" i="12" s="1"/>
  <c r="X124" i="12" s="1"/>
  <c r="X125" i="12" s="1"/>
  <c r="X116" i="12"/>
  <c r="X117" i="12" s="1"/>
  <c r="X118" i="12" s="1"/>
  <c r="X119" i="12" s="1"/>
  <c r="X120" i="12" s="1"/>
  <c r="X96" i="12"/>
  <c r="X97" i="12" s="1"/>
  <c r="X98" i="12" s="1"/>
  <c r="X99" i="12" s="1"/>
  <c r="X100" i="12" s="1"/>
  <c r="X81" i="12"/>
  <c r="X82" i="12" s="1"/>
  <c r="X83" i="12" s="1"/>
  <c r="X84" i="12" s="1"/>
  <c r="X85" i="12" s="1"/>
  <c r="X106" i="12"/>
  <c r="X107" i="12" s="1"/>
  <c r="X108" i="12" s="1"/>
  <c r="X109" i="12" s="1"/>
  <c r="X110" i="12" s="1"/>
  <c r="X91" i="12"/>
  <c r="X92" i="12" s="1"/>
  <c r="X93" i="12" s="1"/>
  <c r="X94" i="12" s="1"/>
  <c r="X95" i="12" s="1"/>
  <c r="X71" i="12"/>
  <c r="X72" i="12" s="1"/>
  <c r="X73" i="12" s="1"/>
  <c r="X74" i="12" s="1"/>
  <c r="X75" i="12" s="1"/>
  <c r="X86" i="12"/>
  <c r="X87" i="12" s="1"/>
  <c r="X88" i="12" s="1"/>
  <c r="X89" i="12" s="1"/>
  <c r="X90" i="12" s="1"/>
  <c r="X76" i="12"/>
  <c r="X77" i="12" s="1"/>
  <c r="X78" i="12" s="1"/>
  <c r="X79" i="12" s="1"/>
  <c r="X80" i="12" s="1"/>
  <c r="X66" i="12"/>
  <c r="X67" i="12"/>
  <c r="X68" i="12" s="1"/>
  <c r="X69" i="12" s="1"/>
  <c r="X70" i="12" s="1"/>
  <c r="X126" i="12"/>
  <c r="X127" i="12" s="1"/>
  <c r="X128" i="12" s="1"/>
  <c r="X129" i="12" s="1"/>
  <c r="X130" i="12" s="1"/>
  <c r="X146" i="12"/>
  <c r="X147" i="12" s="1"/>
  <c r="X148" i="12" s="1"/>
  <c r="X149" i="12" s="1"/>
  <c r="X150" i="12" s="1"/>
  <c r="X34" i="12"/>
  <c r="X35" i="12" s="1"/>
  <c r="X36" i="12" s="1"/>
  <c r="X37" i="12" s="1"/>
  <c r="X38" i="12" s="1"/>
  <c r="X39" i="12"/>
  <c r="X40" i="12" s="1"/>
  <c r="X41" i="12" s="1"/>
  <c r="X42" i="12" s="1"/>
  <c r="X43" i="12" s="1"/>
  <c r="X54" i="12"/>
  <c r="X55" i="12" s="1"/>
  <c r="X56" i="12" s="1"/>
  <c r="X57" i="12" s="1"/>
  <c r="X58" i="12" s="1"/>
  <c r="X44" i="12"/>
  <c r="X45" i="12" s="1"/>
  <c r="X46" i="12" s="1"/>
  <c r="X47" i="12" s="1"/>
  <c r="X48" i="12" s="1"/>
  <c r="X9" i="12"/>
  <c r="X10" i="12" s="1"/>
  <c r="X11" i="12" s="1"/>
  <c r="X12" i="12" s="1"/>
  <c r="X13" i="12" s="1"/>
  <c r="X24" i="12"/>
  <c r="X25" i="12" s="1"/>
  <c r="X26" i="12" s="1"/>
  <c r="X27" i="12" s="1"/>
  <c r="X28" i="12" s="1"/>
  <c r="X29" i="12"/>
  <c r="X30" i="12" s="1"/>
  <c r="X31" i="12" s="1"/>
  <c r="X32" i="12" s="1"/>
  <c r="X33" i="12" s="1"/>
  <c r="X14" i="12"/>
  <c r="X15" i="12" s="1"/>
  <c r="X16" i="12" s="1"/>
  <c r="X17" i="12" s="1"/>
  <c r="X18" i="12" s="1"/>
  <c r="X19" i="12"/>
  <c r="X20" i="12" s="1"/>
  <c r="X21" i="12" s="1"/>
  <c r="X22" i="12" s="1"/>
  <c r="X23" i="12" s="1"/>
  <c r="X4" i="12"/>
  <c r="X5" i="12" s="1"/>
  <c r="X6" i="12" s="1"/>
  <c r="X7" i="12" s="1"/>
  <c r="X8" i="12" s="1"/>
  <c r="X59" i="12"/>
  <c r="X60" i="12" s="1"/>
  <c r="X61" i="12" s="1"/>
  <c r="X62" i="12" s="1"/>
  <c r="X63" i="12" s="1"/>
  <c r="X172" i="12"/>
  <c r="X173" i="12" s="1"/>
  <c r="X174" i="12" s="1"/>
  <c r="X175" i="12" s="1"/>
  <c r="X176" i="12" s="1"/>
  <c r="X371" i="13"/>
  <c r="X372" i="13" s="1"/>
  <c r="X373" i="13" s="1"/>
  <c r="X374" i="13" s="1"/>
  <c r="X375" i="13" s="1"/>
  <c r="X376" i="13"/>
  <c r="X377" i="13"/>
  <c r="X378" i="13"/>
  <c r="X379" i="13" s="1"/>
  <c r="X380" i="13" s="1"/>
  <c r="X366" i="13"/>
  <c r="X367" i="13" s="1"/>
  <c r="X368" i="13" s="1"/>
  <c r="X369" i="13" s="1"/>
  <c r="X370" i="13" s="1"/>
  <c r="X29" i="13"/>
  <c r="X30" i="13" s="1"/>
  <c r="X31" i="13" s="1"/>
  <c r="X32" i="13" s="1"/>
  <c r="X33" i="13" s="1"/>
  <c r="X4" i="13"/>
  <c r="X5" i="13" s="1"/>
  <c r="X6" i="13" s="1"/>
  <c r="X7" i="13" s="1"/>
  <c r="X8" i="13" s="1"/>
  <c r="AW14" i="13"/>
  <c r="AW15" i="13" s="1"/>
  <c r="AW16" i="13" s="1"/>
  <c r="AW17" i="13" s="1"/>
  <c r="AW18" i="13" s="1"/>
  <c r="AW4" i="13"/>
  <c r="AW5" i="13" s="1"/>
  <c r="AW6" i="13" s="1"/>
  <c r="AW7" i="13" s="1"/>
  <c r="AW8" i="13" s="1"/>
  <c r="AW9" i="13"/>
  <c r="AW10" i="13" s="1"/>
  <c r="AW11" i="13" s="1"/>
  <c r="AW12" i="13" s="1"/>
  <c r="AW13" i="13" s="1"/>
  <c r="G4" i="16" a="1"/>
  <c r="G4" i="16" s="1"/>
  <c r="S4" i="15" a="1"/>
  <c r="S4" i="15" s="1"/>
  <c r="M4" i="15" a="1"/>
  <c r="M4" i="15" s="1"/>
  <c r="G4" i="15" a="1"/>
  <c r="G4" i="15" s="1"/>
  <c r="A4" i="15" a="1"/>
  <c r="A4" i="15" s="1"/>
  <c r="O245" i="14"/>
  <c r="O246" i="14" s="1"/>
  <c r="O247" i="14" s="1"/>
  <c r="O248" i="14" s="1"/>
  <c r="O249" i="14" s="1"/>
  <c r="AP1" i="14"/>
  <c r="AQ1" i="14"/>
  <c r="AR1" i="14"/>
  <c r="AO1" i="14"/>
  <c r="BG1" i="14"/>
  <c r="BH1" i="14"/>
  <c r="BI1" i="14"/>
  <c r="BF1" i="14"/>
  <c r="BN9" i="14"/>
  <c r="BN10" i="14"/>
  <c r="BN11" i="14" s="1"/>
  <c r="BN12" i="14" s="1"/>
  <c r="BN13" i="14" s="1"/>
  <c r="BN14" i="14"/>
  <c r="BN15" i="14" s="1"/>
  <c r="BN16" i="14" s="1"/>
  <c r="BN17" i="14" s="1"/>
  <c r="BN18" i="14" s="1"/>
  <c r="BN19" i="14"/>
  <c r="BN20" i="14"/>
  <c r="BN21" i="14" s="1"/>
  <c r="BN22" i="14" s="1"/>
  <c r="BN23" i="14" s="1"/>
  <c r="BN24" i="14"/>
  <c r="BN25" i="14" s="1"/>
  <c r="BN26" i="14" s="1"/>
  <c r="BN27" i="14" s="1"/>
  <c r="BN28" i="14" s="1"/>
  <c r="BN29" i="14"/>
  <c r="BN30" i="14"/>
  <c r="BN31" i="14"/>
  <c r="BN32" i="14"/>
  <c r="BN33" i="14" s="1"/>
  <c r="BN34" i="14"/>
  <c r="BN35" i="14" s="1"/>
  <c r="BN36" i="14" s="1"/>
  <c r="BN37" i="14" s="1"/>
  <c r="BN38" i="14" s="1"/>
  <c r="BN39" i="14"/>
  <c r="BN40" i="14"/>
  <c r="BN41" i="14" s="1"/>
  <c r="BN42" i="14" s="1"/>
  <c r="BN43" i="14" s="1"/>
  <c r="BN44" i="14"/>
  <c r="BN45" i="14" s="1"/>
  <c r="BN46" i="14" s="1"/>
  <c r="BN47" i="14" s="1"/>
  <c r="BN48" i="14" s="1"/>
  <c r="BN49" i="14"/>
  <c r="BN50" i="14"/>
  <c r="BN51" i="14" s="1"/>
  <c r="BN52" i="14" s="1"/>
  <c r="BN53" i="14" s="1"/>
  <c r="BN54" i="14"/>
  <c r="BN55" i="14"/>
  <c r="BN56" i="14"/>
  <c r="BN57" i="14" s="1"/>
  <c r="BN58" i="14" s="1"/>
  <c r="BN59" i="14"/>
  <c r="BN60" i="14"/>
  <c r="BN61" i="14"/>
  <c r="BN62" i="14"/>
  <c r="BN63" i="14" s="1"/>
  <c r="BN64" i="14"/>
  <c r="BN65" i="14" s="1"/>
  <c r="BN66" i="14" s="1"/>
  <c r="BN67" i="14" s="1"/>
  <c r="BN68" i="14" s="1"/>
  <c r="BN69" i="14"/>
  <c r="BN70" i="14"/>
  <c r="BN71" i="14" s="1"/>
  <c r="BN72" i="14" s="1"/>
  <c r="BN73" i="14" s="1"/>
  <c r="BN74" i="14"/>
  <c r="BN75" i="14" s="1"/>
  <c r="BN76" i="14" s="1"/>
  <c r="BN77" i="14" s="1"/>
  <c r="BN78" i="14" s="1"/>
  <c r="BN79" i="14"/>
  <c r="BN80" i="14"/>
  <c r="BN81" i="14" s="1"/>
  <c r="BN82" i="14" s="1"/>
  <c r="BN83" i="14" s="1"/>
  <c r="BN84" i="14"/>
  <c r="BN85" i="14"/>
  <c r="BN86" i="14"/>
  <c r="BN87" i="14" s="1"/>
  <c r="BN88" i="14" s="1"/>
  <c r="BN89" i="14"/>
  <c r="BN90" i="14"/>
  <c r="BN91" i="14"/>
  <c r="BN92" i="14"/>
  <c r="BN93" i="14" s="1"/>
  <c r="BN94" i="14"/>
  <c r="BN95" i="14" s="1"/>
  <c r="BN96" i="14" s="1"/>
  <c r="BN97" i="14" s="1"/>
  <c r="BN98" i="14" s="1"/>
  <c r="BN99" i="14"/>
  <c r="BN100" i="14"/>
  <c r="BN101" i="14" s="1"/>
  <c r="BN102" i="14" s="1"/>
  <c r="BN103" i="14" s="1"/>
  <c r="BN104" i="14"/>
  <c r="BN105" i="14" s="1"/>
  <c r="BN106" i="14" s="1"/>
  <c r="BN107" i="14" s="1"/>
  <c r="BN108" i="14" s="1"/>
  <c r="BN109" i="14"/>
  <c r="BN110" i="14"/>
  <c r="BN111" i="14" s="1"/>
  <c r="BN112" i="14" s="1"/>
  <c r="BN113" i="14" s="1"/>
  <c r="BN114" i="14"/>
  <c r="BN115" i="14"/>
  <c r="BN116" i="14"/>
  <c r="BN117" i="14" s="1"/>
  <c r="BN118" i="14" s="1"/>
  <c r="BN119" i="14"/>
  <c r="BN120" i="14"/>
  <c r="BN121" i="14"/>
  <c r="BN122" i="14"/>
  <c r="BN123" i="14" s="1"/>
  <c r="BN124" i="14"/>
  <c r="BN125" i="14" s="1"/>
  <c r="BN126" i="14" s="1"/>
  <c r="BN127" i="14" s="1"/>
  <c r="BN128" i="14" s="1"/>
  <c r="BN129" i="14"/>
  <c r="BN130" i="14"/>
  <c r="BN131" i="14"/>
  <c r="BN132" i="14"/>
  <c r="BN133" i="14"/>
  <c r="BN134" i="14"/>
  <c r="BN135" i="14" s="1"/>
  <c r="BN136" i="14" s="1"/>
  <c r="BN137" i="14" s="1"/>
  <c r="BN138" i="14" s="1"/>
  <c r="BN139" i="14"/>
  <c r="BN140" i="14"/>
  <c r="BN141" i="14" s="1"/>
  <c r="BN142" i="14" s="1"/>
  <c r="BN143" i="14" s="1"/>
  <c r="BN144" i="14"/>
  <c r="BN145" i="14"/>
  <c r="BN146" i="14"/>
  <c r="BN147" i="14" s="1"/>
  <c r="BN148" i="14" s="1"/>
  <c r="BN149" i="14"/>
  <c r="BN150" i="14"/>
  <c r="BN151" i="14"/>
  <c r="BN152" i="14"/>
  <c r="BN153" i="14" s="1"/>
  <c r="BN154" i="14"/>
  <c r="BN155" i="14" s="1"/>
  <c r="BN156" i="14" s="1"/>
  <c r="BN157" i="14" s="1"/>
  <c r="BN158" i="14" s="1"/>
  <c r="BN159" i="14"/>
  <c r="BN160" i="14"/>
  <c r="BN161" i="14" s="1"/>
  <c r="BN162" i="14" s="1"/>
  <c r="BN163" i="14" s="1"/>
  <c r="BN164" i="14"/>
  <c r="BN165" i="14" s="1"/>
  <c r="BN166" i="14" s="1"/>
  <c r="BN167" i="14" s="1"/>
  <c r="BN168" i="14" s="1"/>
  <c r="BN169" i="14"/>
  <c r="BN170" i="14"/>
  <c r="BN171" i="14" s="1"/>
  <c r="BN172" i="14" s="1"/>
  <c r="BN173" i="14" s="1"/>
  <c r="BN174" i="14"/>
  <c r="BN175" i="14"/>
  <c r="BN176" i="14"/>
  <c r="BN177" i="14" s="1"/>
  <c r="BN178" i="14" s="1"/>
  <c r="BN179" i="14"/>
  <c r="BN180" i="14"/>
  <c r="BN181" i="14"/>
  <c r="BN182" i="14"/>
  <c r="BN183" i="14" s="1"/>
  <c r="BN184" i="14"/>
  <c r="BN185" i="14" s="1"/>
  <c r="BN186" i="14" s="1"/>
  <c r="BN187" i="14" s="1"/>
  <c r="BN188" i="14" s="1"/>
  <c r="BN189" i="14"/>
  <c r="BN190" i="14"/>
  <c r="BN191" i="14" s="1"/>
  <c r="BN192" i="14" s="1"/>
  <c r="BN193" i="14" s="1"/>
  <c r="BN194" i="14"/>
  <c r="BN195" i="14" s="1"/>
  <c r="BN196" i="14" s="1"/>
  <c r="BN197" i="14" s="1"/>
  <c r="BN198" i="14" s="1"/>
  <c r="BN199" i="14"/>
  <c r="BN200" i="14"/>
  <c r="BN201" i="14" s="1"/>
  <c r="BN202" i="14" s="1"/>
  <c r="BN203" i="14" s="1"/>
  <c r="BN204" i="14"/>
  <c r="BN205" i="14"/>
  <c r="BN206" i="14"/>
  <c r="BN207" i="14" s="1"/>
  <c r="BN208" i="14" s="1"/>
  <c r="BN209" i="14"/>
  <c r="BN210" i="14"/>
  <c r="BN211" i="14"/>
  <c r="BN212" i="14"/>
  <c r="BN213" i="14" s="1"/>
  <c r="BN214" i="14"/>
  <c r="BN215" i="14" s="1"/>
  <c r="BN216" i="14" s="1"/>
  <c r="BN217" i="14" s="1"/>
  <c r="BN218" i="14" s="1"/>
  <c r="BN219" i="14"/>
  <c r="BN220" i="14"/>
  <c r="BN221" i="14" s="1"/>
  <c r="BN222" i="14" s="1"/>
  <c r="BN223" i="14" s="1"/>
  <c r="BN224" i="14"/>
  <c r="BN225" i="14" s="1"/>
  <c r="BN226" i="14" s="1"/>
  <c r="BN227" i="14" s="1"/>
  <c r="BN228" i="14" s="1"/>
  <c r="BN229" i="14"/>
  <c r="BN230" i="14"/>
  <c r="BN231" i="14" s="1"/>
  <c r="BN232" i="14" s="1"/>
  <c r="BN233" i="14" s="1"/>
  <c r="BN234" i="14"/>
  <c r="BN235" i="14"/>
  <c r="BN236" i="14"/>
  <c r="BN237" i="14" s="1"/>
  <c r="BN238" i="14" s="1"/>
  <c r="BN239" i="14"/>
  <c r="BN240" i="14"/>
  <c r="BN241" i="14"/>
  <c r="BN242" i="14"/>
  <c r="BN243" i="14" s="1"/>
  <c r="BN4" i="14"/>
  <c r="BN5" i="14" s="1"/>
  <c r="BC2" i="14"/>
  <c r="AW9" i="14"/>
  <c r="AW10" i="14" s="1"/>
  <c r="AW11" i="14" s="1"/>
  <c r="AW12" i="14" s="1"/>
  <c r="AW13" i="14" s="1"/>
  <c r="AW14" i="14"/>
  <c r="AW15" i="14" s="1"/>
  <c r="AW16" i="14" s="1"/>
  <c r="AW17" i="14" s="1"/>
  <c r="AW18" i="14" s="1"/>
  <c r="AW19" i="14"/>
  <c r="AW20" i="14"/>
  <c r="AW21" i="14" s="1"/>
  <c r="AW22" i="14" s="1"/>
  <c r="AW23" i="14" s="1"/>
  <c r="AW24" i="14"/>
  <c r="AW25" i="14"/>
  <c r="AW26" i="14" s="1"/>
  <c r="AW27" i="14" s="1"/>
  <c r="AW28" i="14" s="1"/>
  <c r="AW29" i="14"/>
  <c r="AW30" i="14"/>
  <c r="AW31" i="14"/>
  <c r="AW32" i="14"/>
  <c r="AW33" i="14" s="1"/>
  <c r="AW34" i="14"/>
  <c r="AW35" i="14" s="1"/>
  <c r="AW36" i="14" s="1"/>
  <c r="AW37" i="14" s="1"/>
  <c r="AW38" i="14" s="1"/>
  <c r="AW39" i="14"/>
  <c r="AW40" i="14"/>
  <c r="AW41" i="14"/>
  <c r="AW42" i="14"/>
  <c r="AW43" i="14"/>
  <c r="AW44" i="14"/>
  <c r="AW45" i="14" s="1"/>
  <c r="AW46" i="14" s="1"/>
  <c r="AW47" i="14" s="1"/>
  <c r="AW48" i="14" s="1"/>
  <c r="AW49" i="14"/>
  <c r="AW50" i="14" s="1"/>
  <c r="AW51" i="14" s="1"/>
  <c r="AW52" i="14" s="1"/>
  <c r="AW53" i="14" s="1"/>
  <c r="AW54" i="14"/>
  <c r="AW55" i="14"/>
  <c r="AW56" i="14"/>
  <c r="AW57" i="14" s="1"/>
  <c r="AW58" i="14" s="1"/>
  <c r="AW59" i="14"/>
  <c r="AW60" i="14"/>
  <c r="AW61" i="14"/>
  <c r="AW62" i="14" s="1"/>
  <c r="AW63" i="14" s="1"/>
  <c r="AW64" i="14"/>
  <c r="AW65" i="14"/>
  <c r="AW66" i="14"/>
  <c r="AW67" i="14"/>
  <c r="AW68" i="14"/>
  <c r="AW69" i="14"/>
  <c r="AW70" i="14" s="1"/>
  <c r="AW71" i="14" s="1"/>
  <c r="AW72" i="14" s="1"/>
  <c r="AW73" i="14" s="1"/>
  <c r="AW74" i="14"/>
  <c r="AW75" i="14" s="1"/>
  <c r="AW76" i="14" s="1"/>
  <c r="AW77" i="14" s="1"/>
  <c r="AW78" i="14" s="1"/>
  <c r="AW79" i="14"/>
  <c r="AW80" i="14"/>
  <c r="AW81" i="14" s="1"/>
  <c r="AW82" i="14" s="1"/>
  <c r="AW83" i="14" s="1"/>
  <c r="AW84" i="14"/>
  <c r="AW85" i="14"/>
  <c r="AW86" i="14" s="1"/>
  <c r="AW87" i="14" s="1"/>
  <c r="AW88" i="14" s="1"/>
  <c r="AW89" i="14"/>
  <c r="AW90" i="14"/>
  <c r="AW91" i="14"/>
  <c r="AW92" i="14"/>
  <c r="AW93" i="14" s="1"/>
  <c r="AW94" i="14"/>
  <c r="AW95" i="14"/>
  <c r="AW96" i="14"/>
  <c r="AW97" i="14"/>
  <c r="AW98" i="14" s="1"/>
  <c r="AW99" i="14"/>
  <c r="AW100" i="14"/>
  <c r="AW101" i="14"/>
  <c r="AW102" i="14"/>
  <c r="AW103" i="14"/>
  <c r="AW104" i="14"/>
  <c r="AW105" i="14" s="1"/>
  <c r="AW106" i="14" s="1"/>
  <c r="AW107" i="14" s="1"/>
  <c r="AW108" i="14" s="1"/>
  <c r="AW109" i="14"/>
  <c r="AW110" i="14" s="1"/>
  <c r="AW111" i="14" s="1"/>
  <c r="AW112" i="14" s="1"/>
  <c r="AW113" i="14" s="1"/>
  <c r="AW114" i="14"/>
  <c r="AW115" i="14"/>
  <c r="AW116" i="14"/>
  <c r="AW117" i="14" s="1"/>
  <c r="AW118" i="14" s="1"/>
  <c r="AW119" i="14"/>
  <c r="AW120" i="14"/>
  <c r="AW121" i="14"/>
  <c r="AW122" i="14" s="1"/>
  <c r="AW123" i="14" s="1"/>
  <c r="AW124" i="14"/>
  <c r="AW125" i="14"/>
  <c r="AW126" i="14"/>
  <c r="AW127" i="14"/>
  <c r="AW128" i="14"/>
  <c r="AW129" i="14"/>
  <c r="AW130" i="14" s="1"/>
  <c r="AW131" i="14" s="1"/>
  <c r="AW132" i="14" s="1"/>
  <c r="AW133" i="14" s="1"/>
  <c r="AW134" i="14"/>
  <c r="AW135" i="14" s="1"/>
  <c r="AW136" i="14" s="1"/>
  <c r="AW137" i="14" s="1"/>
  <c r="AW138" i="14" s="1"/>
  <c r="AW139" i="14"/>
  <c r="AW140" i="14"/>
  <c r="AW141" i="14" s="1"/>
  <c r="AW142" i="14" s="1"/>
  <c r="AW143" i="14" s="1"/>
  <c r="AW144" i="14"/>
  <c r="AW145" i="14"/>
  <c r="AW146" i="14" s="1"/>
  <c r="AW147" i="14" s="1"/>
  <c r="AW148" i="14" s="1"/>
  <c r="AW149" i="14"/>
  <c r="AW150" i="14"/>
  <c r="AW151" i="14"/>
  <c r="AW152" i="14"/>
  <c r="AW153" i="14" s="1"/>
  <c r="AW154" i="14"/>
  <c r="AW155" i="14"/>
  <c r="AW156" i="14"/>
  <c r="AW157" i="14"/>
  <c r="AW158" i="14" s="1"/>
  <c r="AW159" i="14"/>
  <c r="AW160" i="14"/>
  <c r="AW161" i="14"/>
  <c r="AW162" i="14"/>
  <c r="AW163" i="14"/>
  <c r="AW164" i="14"/>
  <c r="AW165" i="14" s="1"/>
  <c r="AW166" i="14" s="1"/>
  <c r="AW167" i="14" s="1"/>
  <c r="AW168" i="14" s="1"/>
  <c r="AW169" i="14"/>
  <c r="AW170" i="14" s="1"/>
  <c r="AW171" i="14" s="1"/>
  <c r="AW172" i="14" s="1"/>
  <c r="AW173" i="14" s="1"/>
  <c r="AW174" i="14"/>
  <c r="AW175" i="14"/>
  <c r="AW176" i="14"/>
  <c r="AW177" i="14" s="1"/>
  <c r="AW178" i="14" s="1"/>
  <c r="AW179" i="14"/>
  <c r="AW180" i="14"/>
  <c r="AW181" i="14"/>
  <c r="AW182" i="14" s="1"/>
  <c r="AW183" i="14" s="1"/>
  <c r="AW184" i="14"/>
  <c r="AW185" i="14"/>
  <c r="AW186" i="14"/>
  <c r="AW187" i="14"/>
  <c r="AW188" i="14"/>
  <c r="AW189" i="14"/>
  <c r="AW190" i="14" s="1"/>
  <c r="AW191" i="14" s="1"/>
  <c r="AW192" i="14" s="1"/>
  <c r="AW193" i="14" s="1"/>
  <c r="AW194" i="14"/>
  <c r="AW195" i="14" s="1"/>
  <c r="AW196" i="14" s="1"/>
  <c r="AW197" i="14" s="1"/>
  <c r="AW198" i="14" s="1"/>
  <c r="AW199" i="14"/>
  <c r="AW200" i="14"/>
  <c r="AW201" i="14" s="1"/>
  <c r="AW202" i="14" s="1"/>
  <c r="AW203" i="14" s="1"/>
  <c r="AW204" i="14"/>
  <c r="AW205" i="14"/>
  <c r="AW206" i="14" s="1"/>
  <c r="AW207" i="14" s="1"/>
  <c r="AW208" i="14" s="1"/>
  <c r="AW209" i="14"/>
  <c r="AW210" i="14"/>
  <c r="AW211" i="14"/>
  <c r="AW212" i="14"/>
  <c r="AW213" i="14" s="1"/>
  <c r="AW214" i="14"/>
  <c r="AW215" i="14"/>
  <c r="AW216" i="14"/>
  <c r="AW217" i="14"/>
  <c r="AW218" i="14" s="1"/>
  <c r="AW219" i="14"/>
  <c r="AW220" i="14"/>
  <c r="AW221" i="14"/>
  <c r="AW222" i="14"/>
  <c r="AW223" i="14"/>
  <c r="AW224" i="14"/>
  <c r="AW225" i="14" s="1"/>
  <c r="AW226" i="14" s="1"/>
  <c r="AW227" i="14" s="1"/>
  <c r="AW228" i="14" s="1"/>
  <c r="AW229" i="14"/>
  <c r="AW230" i="14" s="1"/>
  <c r="AW231" i="14" s="1"/>
  <c r="AW232" i="14" s="1"/>
  <c r="AW233" i="14" s="1"/>
  <c r="AW234" i="14"/>
  <c r="AW235" i="14"/>
  <c r="AW236" i="14"/>
  <c r="AW237" i="14" s="1"/>
  <c r="AW238" i="14" s="1"/>
  <c r="AW239" i="14"/>
  <c r="AW240" i="14"/>
  <c r="AW241" i="14"/>
  <c r="AW242" i="14" s="1"/>
  <c r="AW243" i="14" s="1"/>
  <c r="AW4" i="14"/>
  <c r="AW5" i="14" s="1"/>
  <c r="AL2" i="14"/>
  <c r="Y1" i="14"/>
  <c r="Z1" i="14"/>
  <c r="AA1" i="14"/>
  <c r="X1" i="14"/>
  <c r="AF183" i="14"/>
  <c r="AF108" i="14"/>
  <c r="AF33" i="14"/>
  <c r="AF193" i="14"/>
  <c r="AF118" i="14"/>
  <c r="AF43" i="14"/>
  <c r="AF203" i="14"/>
  <c r="AF128" i="14"/>
  <c r="AF53" i="14"/>
  <c r="AF227" i="14"/>
  <c r="AF152" i="14"/>
  <c r="AF77" i="14"/>
  <c r="AF237" i="14"/>
  <c r="AF162" i="14"/>
  <c r="AF87" i="14"/>
  <c r="AF12" i="14"/>
  <c r="AF172" i="14"/>
  <c r="AF97" i="14"/>
  <c r="AF22" i="14"/>
  <c r="AF196" i="14"/>
  <c r="AF121" i="14"/>
  <c r="AF46" i="14"/>
  <c r="AF206" i="14"/>
  <c r="AF131" i="14"/>
  <c r="AF56" i="14"/>
  <c r="AF216" i="14"/>
  <c r="AF141" i="14"/>
  <c r="AF66" i="14"/>
  <c r="AF240" i="14"/>
  <c r="AF165" i="14"/>
  <c r="AF90" i="14"/>
  <c r="AF15" i="14"/>
  <c r="AF175" i="14"/>
  <c r="AF100" i="14"/>
  <c r="AF25" i="14"/>
  <c r="AF185" i="14"/>
  <c r="AF110" i="14"/>
  <c r="AF35" i="14"/>
  <c r="AF209" i="14"/>
  <c r="AF134" i="14"/>
  <c r="AF59" i="14"/>
  <c r="AF219" i="14"/>
  <c r="AF144" i="14"/>
  <c r="AF69" i="14"/>
  <c r="AF229" i="14"/>
  <c r="AF184" i="14"/>
  <c r="AF154" i="14"/>
  <c r="AF79" i="14"/>
  <c r="AF4" i="14"/>
  <c r="O14" i="14"/>
  <c r="O15" i="14" s="1"/>
  <c r="O16" i="14" s="1"/>
  <c r="O17" i="14" s="1"/>
  <c r="O18" i="14" s="1"/>
  <c r="O19" i="14"/>
  <c r="O20" i="14"/>
  <c r="O21" i="14" s="1"/>
  <c r="O22" i="14" s="1"/>
  <c r="O23" i="14" s="1"/>
  <c r="O24" i="14"/>
  <c r="O25" i="14"/>
  <c r="O26" i="14" s="1"/>
  <c r="O27" i="14" s="1"/>
  <c r="O28" i="14" s="1"/>
  <c r="O29" i="14"/>
  <c r="O30" i="14" s="1"/>
  <c r="O31" i="14" s="1"/>
  <c r="O32" i="14" s="1"/>
  <c r="O33" i="14" s="1"/>
  <c r="O34" i="14"/>
  <c r="O35" i="14" s="1"/>
  <c r="O36" i="14" s="1"/>
  <c r="O37" i="14" s="1"/>
  <c r="O38" i="14" s="1"/>
  <c r="O39" i="14"/>
  <c r="O40" i="14"/>
  <c r="O41" i="14"/>
  <c r="O42" i="14" s="1"/>
  <c r="O43" i="14" s="1"/>
  <c r="O44" i="14"/>
  <c r="O45" i="14" s="1"/>
  <c r="O46" i="14" s="1"/>
  <c r="O47" i="14" s="1"/>
  <c r="O48" i="14" s="1"/>
  <c r="O49" i="14"/>
  <c r="O50" i="14" s="1"/>
  <c r="O51" i="14" s="1"/>
  <c r="O52" i="14" s="1"/>
  <c r="O53" i="14" s="1"/>
  <c r="O54" i="14"/>
  <c r="O55" i="14" s="1"/>
  <c r="O56" i="14" s="1"/>
  <c r="O57" i="14" s="1"/>
  <c r="O58" i="14" s="1"/>
  <c r="O59" i="14"/>
  <c r="O60" i="14"/>
  <c r="O61" i="14"/>
  <c r="O62" i="14" s="1"/>
  <c r="O63" i="14" s="1"/>
  <c r="O64" i="14"/>
  <c r="O65" i="14"/>
  <c r="O66" i="14" s="1"/>
  <c r="O67" i="14" s="1"/>
  <c r="O68" i="14" s="1"/>
  <c r="O69" i="14"/>
  <c r="O70" i="14"/>
  <c r="O71" i="14" s="1"/>
  <c r="O72" i="14" s="1"/>
  <c r="O73" i="14" s="1"/>
  <c r="O74" i="14"/>
  <c r="O75" i="14"/>
  <c r="O76" i="14"/>
  <c r="O77" i="14" s="1"/>
  <c r="O78" i="14" s="1"/>
  <c r="O79" i="14"/>
  <c r="O80" i="14"/>
  <c r="O81" i="14" s="1"/>
  <c r="O82" i="14" s="1"/>
  <c r="O83" i="14" s="1"/>
  <c r="O84" i="14"/>
  <c r="O85" i="14"/>
  <c r="O86" i="14" s="1"/>
  <c r="O87" i="14" s="1"/>
  <c r="O88" i="14" s="1"/>
  <c r="O89" i="14"/>
  <c r="O90" i="14" s="1"/>
  <c r="O91" i="14" s="1"/>
  <c r="O92" i="14" s="1"/>
  <c r="O93" i="14" s="1"/>
  <c r="O94" i="14"/>
  <c r="O95" i="14" s="1"/>
  <c r="O96" i="14" s="1"/>
  <c r="O97" i="14" s="1"/>
  <c r="O98" i="14" s="1"/>
  <c r="O99" i="14"/>
  <c r="O100" i="14"/>
  <c r="O101" i="14"/>
  <c r="O102" i="14" s="1"/>
  <c r="O103" i="14" s="1"/>
  <c r="O104" i="14"/>
  <c r="O105" i="14" s="1"/>
  <c r="O106" i="14" s="1"/>
  <c r="O107" i="14" s="1"/>
  <c r="O108" i="14" s="1"/>
  <c r="O109" i="14"/>
  <c r="O110" i="14" s="1"/>
  <c r="O111" i="14" s="1"/>
  <c r="O112" i="14" s="1"/>
  <c r="O113" i="14" s="1"/>
  <c r="O114" i="14"/>
  <c r="O115" i="14" s="1"/>
  <c r="O116" i="14" s="1"/>
  <c r="O117" i="14" s="1"/>
  <c r="O118" i="14" s="1"/>
  <c r="O119" i="14"/>
  <c r="O120" i="14"/>
  <c r="O121" i="14"/>
  <c r="O122" i="14" s="1"/>
  <c r="O123" i="14" s="1"/>
  <c r="O124" i="14"/>
  <c r="O125" i="14"/>
  <c r="O126" i="14" s="1"/>
  <c r="O127" i="14" s="1"/>
  <c r="O128" i="14" s="1"/>
  <c r="O129" i="14"/>
  <c r="O130" i="14"/>
  <c r="O131" i="14" s="1"/>
  <c r="O132" i="14" s="1"/>
  <c r="O133" i="14" s="1"/>
  <c r="O134" i="14"/>
  <c r="O135" i="14"/>
  <c r="O136" i="14"/>
  <c r="O137" i="14"/>
  <c r="O138" i="14" s="1"/>
  <c r="O139" i="14"/>
  <c r="O140" i="14"/>
  <c r="O141" i="14" s="1"/>
  <c r="O142" i="14" s="1"/>
  <c r="O143" i="14" s="1"/>
  <c r="O144" i="14"/>
  <c r="O145" i="14"/>
  <c r="O146" i="14" s="1"/>
  <c r="O147" i="14" s="1"/>
  <c r="O148" i="14" s="1"/>
  <c r="O149" i="14"/>
  <c r="O150" i="14" s="1"/>
  <c r="O151" i="14" s="1"/>
  <c r="O152" i="14" s="1"/>
  <c r="O153" i="14" s="1"/>
  <c r="O154" i="14"/>
  <c r="O155" i="14" s="1"/>
  <c r="O156" i="14" s="1"/>
  <c r="O157" i="14" s="1"/>
  <c r="O158" i="14" s="1"/>
  <c r="O159" i="14"/>
  <c r="O160" i="14"/>
  <c r="O161" i="14"/>
  <c r="O162" i="14" s="1"/>
  <c r="O163" i="14" s="1"/>
  <c r="O164" i="14"/>
  <c r="O165" i="14" s="1"/>
  <c r="O166" i="14" s="1"/>
  <c r="O167" i="14" s="1"/>
  <c r="O168" i="14" s="1"/>
  <c r="O169" i="14"/>
  <c r="O170" i="14" s="1"/>
  <c r="O171" i="14" s="1"/>
  <c r="O172" i="14" s="1"/>
  <c r="O173" i="14" s="1"/>
  <c r="O174" i="14"/>
  <c r="O175" i="14" s="1"/>
  <c r="O176" i="14" s="1"/>
  <c r="O177" i="14" s="1"/>
  <c r="O178" i="14" s="1"/>
  <c r="O179" i="14"/>
  <c r="O180" i="14"/>
  <c r="O181" i="14"/>
  <c r="O182" i="14" s="1"/>
  <c r="O183" i="14" s="1"/>
  <c r="O184" i="14"/>
  <c r="O185" i="14"/>
  <c r="O186" i="14" s="1"/>
  <c r="O187" i="14" s="1"/>
  <c r="O188" i="14" s="1"/>
  <c r="O189" i="14"/>
  <c r="O190" i="14"/>
  <c r="O191" i="14" s="1"/>
  <c r="O192" i="14" s="1"/>
  <c r="O193" i="14" s="1"/>
  <c r="O194" i="14"/>
  <c r="O195" i="14"/>
  <c r="O196" i="14"/>
  <c r="O197" i="14"/>
  <c r="O198" i="14" s="1"/>
  <c r="O199" i="14"/>
  <c r="O200" i="14"/>
  <c r="O201" i="14" s="1"/>
  <c r="O202" i="14" s="1"/>
  <c r="O203" i="14" s="1"/>
  <c r="O204" i="14"/>
  <c r="O205" i="14"/>
  <c r="O206" i="14" s="1"/>
  <c r="O207" i="14" s="1"/>
  <c r="O208" i="14" s="1"/>
  <c r="O209" i="14"/>
  <c r="O210" i="14" s="1"/>
  <c r="O211" i="14" s="1"/>
  <c r="O212" i="14" s="1"/>
  <c r="O213" i="14" s="1"/>
  <c r="O214" i="14"/>
  <c r="O215" i="14" s="1"/>
  <c r="O216" i="14" s="1"/>
  <c r="O217" i="14" s="1"/>
  <c r="O218" i="14" s="1"/>
  <c r="O219" i="14"/>
  <c r="O220" i="14"/>
  <c r="O221" i="14"/>
  <c r="O222" i="14" s="1"/>
  <c r="O223" i="14" s="1"/>
  <c r="O224" i="14"/>
  <c r="O225" i="14" s="1"/>
  <c r="O226" i="14" s="1"/>
  <c r="O227" i="14" s="1"/>
  <c r="O228" i="14" s="1"/>
  <c r="O229" i="14"/>
  <c r="O230" i="14" s="1"/>
  <c r="O231" i="14" s="1"/>
  <c r="O232" i="14" s="1"/>
  <c r="O233" i="14" s="1"/>
  <c r="O234" i="14"/>
  <c r="O235" i="14" s="1"/>
  <c r="O236" i="14" s="1"/>
  <c r="O237" i="14" s="1"/>
  <c r="O238" i="14" s="1"/>
  <c r="O239" i="14"/>
  <c r="O240" i="14"/>
  <c r="O241" i="14"/>
  <c r="O242" i="14" s="1"/>
  <c r="O243" i="14" s="1"/>
  <c r="O9" i="14"/>
  <c r="O6" i="14"/>
  <c r="O7" i="14"/>
  <c r="O8" i="14"/>
  <c r="O5" i="14"/>
  <c r="U2" i="14"/>
  <c r="X224" i="13"/>
  <c r="X225" i="13" s="1"/>
  <c r="X226" i="13" s="1"/>
  <c r="X227" i="13" s="1"/>
  <c r="X228" i="13" s="1"/>
  <c r="X144" i="13"/>
  <c r="X145" i="13" s="1"/>
  <c r="X146" i="13" s="1"/>
  <c r="X147" i="13" s="1"/>
  <c r="X148" i="13" s="1"/>
  <c r="X129" i="13"/>
  <c r="X130" i="13" s="1"/>
  <c r="X131" i="13" s="1"/>
  <c r="X132" i="13" s="1"/>
  <c r="X133" i="13" s="1"/>
  <c r="X104" i="13"/>
  <c r="X105" i="13" s="1"/>
  <c r="X106" i="13" s="1"/>
  <c r="X107" i="13" s="1"/>
  <c r="X108" i="13" s="1"/>
  <c r="X314" i="13"/>
  <c r="X315" i="13" s="1"/>
  <c r="X316" i="13" s="1"/>
  <c r="X317" i="13" s="1"/>
  <c r="X318" i="13" s="1"/>
  <c r="X309" i="13"/>
  <c r="X310" i="13" s="1"/>
  <c r="X311" i="13" s="1"/>
  <c r="X312" i="13" s="1"/>
  <c r="X313" i="13" s="1"/>
  <c r="X304" i="13"/>
  <c r="X305" i="13" s="1"/>
  <c r="X306" i="13" s="1"/>
  <c r="X307" i="13" s="1"/>
  <c r="X308" i="13" s="1"/>
  <c r="X154" i="13"/>
  <c r="X155" i="13" s="1"/>
  <c r="X156" i="13" s="1"/>
  <c r="X157" i="13" s="1"/>
  <c r="X158" i="13" s="1"/>
  <c r="X119" i="13"/>
  <c r="X120" i="13" s="1"/>
  <c r="X121" i="13" s="1"/>
  <c r="X122" i="13" s="1"/>
  <c r="X123" i="13" s="1"/>
  <c r="X159" i="13"/>
  <c r="X160" i="13" s="1"/>
  <c r="X161" i="13" s="1"/>
  <c r="X162" i="13" s="1"/>
  <c r="X163" i="13" s="1"/>
  <c r="X79" i="13"/>
  <c r="X80" i="13" s="1"/>
  <c r="X81" i="13" s="1"/>
  <c r="X82" i="13" s="1"/>
  <c r="X83" i="13" s="1"/>
  <c r="X54" i="13"/>
  <c r="X55" i="13" s="1"/>
  <c r="X56" i="13" s="1"/>
  <c r="X57" i="13" s="1"/>
  <c r="X58" i="13" s="1"/>
  <c r="X9" i="13"/>
  <c r="X10" i="13" s="1"/>
  <c r="X11" i="13" s="1"/>
  <c r="X12" i="13" s="1"/>
  <c r="X13" i="13" s="1"/>
  <c r="X294" i="13"/>
  <c r="X295" i="13" s="1"/>
  <c r="X296" i="13" s="1"/>
  <c r="X297" i="13" s="1"/>
  <c r="X298" i="13" s="1"/>
  <c r="X269" i="13"/>
  <c r="X270" i="13" s="1"/>
  <c r="X271" i="13" s="1"/>
  <c r="X272" i="13" s="1"/>
  <c r="X273" i="13" s="1"/>
  <c r="X214" i="13"/>
  <c r="X215" i="13" s="1"/>
  <c r="X216" i="13" s="1"/>
  <c r="X217" i="13" s="1"/>
  <c r="X218" i="13" s="1"/>
  <c r="X174" i="13"/>
  <c r="X175" i="13" s="1"/>
  <c r="X176" i="13" s="1"/>
  <c r="X177" i="13" s="1"/>
  <c r="X178" i="13" s="1"/>
  <c r="X124" i="13"/>
  <c r="X125" i="13" s="1"/>
  <c r="X126" i="13" s="1"/>
  <c r="X127" i="13" s="1"/>
  <c r="X128" i="13" s="1"/>
  <c r="X134" i="13"/>
  <c r="X135" i="13"/>
  <c r="X136" i="13" s="1"/>
  <c r="X137" i="13" s="1"/>
  <c r="X138" i="13" s="1"/>
  <c r="X69" i="13"/>
  <c r="X70" i="13" s="1"/>
  <c r="X71" i="13" s="1"/>
  <c r="X72" i="13" s="1"/>
  <c r="X73" i="13" s="1"/>
  <c r="X84" i="13"/>
  <c r="X85" i="13" s="1"/>
  <c r="X86" i="13" s="1"/>
  <c r="X87" i="13" s="1"/>
  <c r="X88" i="13" s="1"/>
  <c r="X254" i="13"/>
  <c r="X255" i="13" s="1"/>
  <c r="X256" i="13" s="1"/>
  <c r="X257" i="13" s="1"/>
  <c r="X258" i="13" s="1"/>
  <c r="X234" i="13"/>
  <c r="X235" i="13" s="1"/>
  <c r="X236" i="13" s="1"/>
  <c r="X237" i="13" s="1"/>
  <c r="X238" i="13" s="1"/>
  <c r="X184" i="13"/>
  <c r="X185" i="13" s="1"/>
  <c r="X186" i="13" s="1"/>
  <c r="X187" i="13" s="1"/>
  <c r="X188" i="13" s="1"/>
  <c r="X194" i="13"/>
  <c r="X195" i="13" s="1"/>
  <c r="X196" i="13" s="1"/>
  <c r="X197" i="13" s="1"/>
  <c r="X198" i="13" s="1"/>
  <c r="X164" i="13"/>
  <c r="X165" i="13" s="1"/>
  <c r="X166" i="13" s="1"/>
  <c r="X167" i="13" s="1"/>
  <c r="X168" i="13" s="1"/>
  <c r="X334" i="13"/>
  <c r="X335" i="13" s="1"/>
  <c r="X336" i="13" s="1"/>
  <c r="X337" i="13" s="1"/>
  <c r="X338" i="13" s="1"/>
  <c r="X89" i="13"/>
  <c r="X90" i="13" s="1"/>
  <c r="X91" i="13" s="1"/>
  <c r="X92" i="13" s="1"/>
  <c r="X93" i="13" s="1"/>
  <c r="X64" i="13"/>
  <c r="X65" i="13" s="1"/>
  <c r="X66" i="13" s="1"/>
  <c r="X67" i="13" s="1"/>
  <c r="X68" i="13" s="1"/>
  <c r="X34" i="13"/>
  <c r="X35" i="13" s="1"/>
  <c r="X36" i="13" s="1"/>
  <c r="X37" i="13" s="1"/>
  <c r="X38" i="13" s="1"/>
  <c r="X259" i="13"/>
  <c r="X260" i="13" s="1"/>
  <c r="X261" i="13" s="1"/>
  <c r="X262" i="13" s="1"/>
  <c r="X263" i="13" s="1"/>
  <c r="X219" i="13"/>
  <c r="X220" i="13" s="1"/>
  <c r="X221" i="13" s="1"/>
  <c r="X222" i="13" s="1"/>
  <c r="X223" i="13" s="1"/>
  <c r="X169" i="13"/>
  <c r="X170" i="13" s="1"/>
  <c r="X171" i="13" s="1"/>
  <c r="X172" i="13" s="1"/>
  <c r="X173" i="13" s="1"/>
  <c r="X179" i="13"/>
  <c r="X180" i="13" s="1"/>
  <c r="X181" i="13" s="1"/>
  <c r="X182" i="13" s="1"/>
  <c r="X183" i="13" s="1"/>
  <c r="X109" i="13"/>
  <c r="X110" i="13" s="1"/>
  <c r="X111" i="13" s="1"/>
  <c r="X112" i="13" s="1"/>
  <c r="X113" i="13" s="1"/>
  <c r="X344" i="13"/>
  <c r="X345" i="13" s="1"/>
  <c r="X346" i="13" s="1"/>
  <c r="X347" i="13" s="1"/>
  <c r="X348" i="13" s="1"/>
  <c r="X39" i="13"/>
  <c r="X40" i="13" s="1"/>
  <c r="X41" i="13" s="1"/>
  <c r="X42" i="13" s="1"/>
  <c r="X43" i="13" s="1"/>
  <c r="X14" i="13"/>
  <c r="X15" i="13" s="1"/>
  <c r="X16" i="13" s="1"/>
  <c r="X17" i="13" s="1"/>
  <c r="X18" i="13" s="1"/>
  <c r="X264" i="13"/>
  <c r="X265" i="13" s="1"/>
  <c r="X266" i="13" s="1"/>
  <c r="X267" i="13" s="1"/>
  <c r="X268" i="13" s="1"/>
  <c r="X209" i="13"/>
  <c r="X210" i="13" s="1"/>
  <c r="X211" i="13" s="1"/>
  <c r="X212" i="13" s="1"/>
  <c r="X213" i="13" s="1"/>
  <c r="X199" i="13"/>
  <c r="X200" i="13" s="1"/>
  <c r="X201" i="13" s="1"/>
  <c r="X202" i="13" s="1"/>
  <c r="X203" i="13" s="1"/>
  <c r="X149" i="13"/>
  <c r="X150" i="13" s="1"/>
  <c r="X151" i="13" s="1"/>
  <c r="X152" i="13" s="1"/>
  <c r="X153" i="13" s="1"/>
  <c r="X114" i="13"/>
  <c r="X115" i="13"/>
  <c r="X116" i="13" s="1"/>
  <c r="X117" i="13" s="1"/>
  <c r="X118" i="13" s="1"/>
  <c r="X349" i="13"/>
  <c r="X350" i="13" s="1"/>
  <c r="X351" i="13" s="1"/>
  <c r="X352" i="13" s="1"/>
  <c r="X353" i="13" s="1"/>
  <c r="X49" i="13"/>
  <c r="X50" i="13" s="1"/>
  <c r="X51" i="13" s="1"/>
  <c r="X52" i="13" s="1"/>
  <c r="X53" i="13" s="1"/>
  <c r="X44" i="13"/>
  <c r="X45" i="13" s="1"/>
  <c r="X46" i="13" s="1"/>
  <c r="X47" i="13" s="1"/>
  <c r="X48" i="13" s="1"/>
  <c r="X24" i="13"/>
  <c r="X25" i="13" s="1"/>
  <c r="X26" i="13" s="1"/>
  <c r="X27" i="13" s="1"/>
  <c r="X28" i="13" s="1"/>
  <c r="X274" i="13"/>
  <c r="X275" i="13" s="1"/>
  <c r="X276" i="13" s="1"/>
  <c r="X277" i="13" s="1"/>
  <c r="X278" i="13" s="1"/>
  <c r="X249" i="13"/>
  <c r="X250" i="13" s="1"/>
  <c r="X251" i="13" s="1"/>
  <c r="X252" i="13" s="1"/>
  <c r="X253" i="13" s="1"/>
  <c r="X319" i="13"/>
  <c r="X320" i="13" s="1"/>
  <c r="X321" i="13" s="1"/>
  <c r="X322" i="13" s="1"/>
  <c r="X323" i="13" s="1"/>
  <c r="X139" i="13"/>
  <c r="X140" i="13" s="1"/>
  <c r="X141" i="13" s="1"/>
  <c r="X142" i="13" s="1"/>
  <c r="X143" i="13" s="1"/>
  <c r="X99" i="13"/>
  <c r="X100" i="13" s="1"/>
  <c r="X101" i="13" s="1"/>
  <c r="X102" i="13" s="1"/>
  <c r="X103" i="13" s="1"/>
  <c r="X354" i="13"/>
  <c r="X355" i="13" s="1"/>
  <c r="X356" i="13" s="1"/>
  <c r="X357" i="13" s="1"/>
  <c r="X358" i="13" s="1"/>
  <c r="X59" i="13"/>
  <c r="X60" i="13" s="1"/>
  <c r="X61" i="13" s="1"/>
  <c r="X62" i="13" s="1"/>
  <c r="X63" i="13" s="1"/>
  <c r="X19" i="13"/>
  <c r="X20" i="13" s="1"/>
  <c r="X21" i="13" s="1"/>
  <c r="X22" i="13" s="1"/>
  <c r="X23" i="13" s="1"/>
  <c r="X204" i="13"/>
  <c r="X205" i="13" s="1"/>
  <c r="X206" i="13" s="1"/>
  <c r="X207" i="13" s="1"/>
  <c r="X208" i="13" s="1"/>
  <c r="X289" i="13"/>
  <c r="X290" i="13" s="1"/>
  <c r="X291" i="13" s="1"/>
  <c r="X292" i="13" s="1"/>
  <c r="X293" i="13" s="1"/>
  <c r="X239" i="13"/>
  <c r="X240" i="13" s="1"/>
  <c r="X241" i="13" s="1"/>
  <c r="X242" i="13" s="1"/>
  <c r="X243" i="13" s="1"/>
  <c r="X229" i="13"/>
  <c r="X230" i="13" s="1"/>
  <c r="X231" i="13" s="1"/>
  <c r="X232" i="13" s="1"/>
  <c r="X233" i="13" s="1"/>
  <c r="X189" i="13"/>
  <c r="X190" i="13" s="1"/>
  <c r="X191" i="13" s="1"/>
  <c r="X192" i="13" s="1"/>
  <c r="X193" i="13" s="1"/>
  <c r="X329" i="13"/>
  <c r="X330" i="13" s="1"/>
  <c r="X331" i="13" s="1"/>
  <c r="X332" i="13" s="1"/>
  <c r="X333" i="13" s="1"/>
  <c r="X359" i="13"/>
  <c r="X360" i="13" s="1"/>
  <c r="X361" i="13" s="1"/>
  <c r="X362" i="13" s="1"/>
  <c r="X363" i="13" s="1"/>
  <c r="X94" i="13"/>
  <c r="X95" i="13" s="1"/>
  <c r="X96" i="13" s="1"/>
  <c r="X97" i="13" s="1"/>
  <c r="X98" i="13" s="1"/>
  <c r="X74" i="13"/>
  <c r="X75" i="13" s="1"/>
  <c r="X76" i="13" s="1"/>
  <c r="X77" i="13" s="1"/>
  <c r="X78" i="13" s="1"/>
  <c r="X324" i="13"/>
  <c r="X325" i="13" s="1"/>
  <c r="X326" i="13" s="1"/>
  <c r="X327" i="13" s="1"/>
  <c r="X328" i="13" s="1"/>
  <c r="X299" i="13"/>
  <c r="X300" i="13" s="1"/>
  <c r="X301" i="13" s="1"/>
  <c r="X302" i="13" s="1"/>
  <c r="X303" i="13" s="1"/>
  <c r="X279" i="13"/>
  <c r="X280" i="13" s="1"/>
  <c r="X281" i="13" s="1"/>
  <c r="X282" i="13" s="1"/>
  <c r="X283" i="13" s="1"/>
  <c r="X339" i="13"/>
  <c r="X340" i="13" s="1"/>
  <c r="X341" i="13" s="1"/>
  <c r="X342" i="13" s="1"/>
  <c r="X343" i="13" s="1"/>
  <c r="X244" i="13"/>
  <c r="X245" i="13" s="1"/>
  <c r="X246" i="13" s="1"/>
  <c r="X247" i="13" s="1"/>
  <c r="X248" i="13" s="1"/>
  <c r="AW184" i="13"/>
  <c r="AW185" i="13" s="1"/>
  <c r="AW186" i="13" s="1"/>
  <c r="AW187" i="13" s="1"/>
  <c r="AW188" i="13" s="1"/>
  <c r="AW114" i="13"/>
  <c r="AW115" i="13" s="1"/>
  <c r="AW116" i="13" s="1"/>
  <c r="AW117" i="13" s="1"/>
  <c r="AW118" i="13" s="1"/>
  <c r="AW104" i="13"/>
  <c r="AW105" i="13" s="1"/>
  <c r="AW106" i="13" s="1"/>
  <c r="AW107" i="13" s="1"/>
  <c r="AW108" i="13" s="1"/>
  <c r="AW99" i="13"/>
  <c r="AW100" i="13" s="1"/>
  <c r="AW101" i="13" s="1"/>
  <c r="AW102" i="13" s="1"/>
  <c r="AW103" i="13" s="1"/>
  <c r="AW314" i="13"/>
  <c r="AW315" i="13" s="1"/>
  <c r="AW316" i="13" s="1"/>
  <c r="AW317" i="13" s="1"/>
  <c r="AW318" i="13" s="1"/>
  <c r="AW294" i="13"/>
  <c r="AW295" i="13" s="1"/>
  <c r="AW296" i="13" s="1"/>
  <c r="AW297" i="13" s="1"/>
  <c r="AW298" i="13" s="1"/>
  <c r="AW259" i="13"/>
  <c r="AW260" i="13"/>
  <c r="AW261" i="13" s="1"/>
  <c r="AW262" i="13" s="1"/>
  <c r="AW263" i="13" s="1"/>
  <c r="AW174" i="13"/>
  <c r="AW175" i="13" s="1"/>
  <c r="AW176" i="13" s="1"/>
  <c r="AW177" i="13" s="1"/>
  <c r="AW178" i="13" s="1"/>
  <c r="AW119" i="13"/>
  <c r="AW120" i="13" s="1"/>
  <c r="AW121" i="13" s="1"/>
  <c r="AW122" i="13" s="1"/>
  <c r="AW123" i="13" s="1"/>
  <c r="AW109" i="13"/>
  <c r="AW110" i="13" s="1"/>
  <c r="AW111" i="13" s="1"/>
  <c r="AW112" i="13" s="1"/>
  <c r="AW113" i="13" s="1"/>
  <c r="AW59" i="13"/>
  <c r="AW60" i="13" s="1"/>
  <c r="AW61" i="13" s="1"/>
  <c r="AW62" i="13" s="1"/>
  <c r="AW63" i="13" s="1"/>
  <c r="AW34" i="13"/>
  <c r="AW35" i="13" s="1"/>
  <c r="AW36" i="13" s="1"/>
  <c r="AW37" i="13" s="1"/>
  <c r="AW38" i="13" s="1"/>
  <c r="AW249" i="13"/>
  <c r="AW250" i="13" s="1"/>
  <c r="AW251" i="13" s="1"/>
  <c r="AW252" i="13" s="1"/>
  <c r="AW253" i="13" s="1"/>
  <c r="AW179" i="13"/>
  <c r="AW180" i="13" s="1"/>
  <c r="AW181" i="13" s="1"/>
  <c r="AW182" i="13" s="1"/>
  <c r="AW183" i="13" s="1"/>
  <c r="AW124" i="13"/>
  <c r="AW125" i="13" s="1"/>
  <c r="AW126" i="13" s="1"/>
  <c r="AW127" i="13" s="1"/>
  <c r="AW128" i="13" s="1"/>
  <c r="AW199" i="13"/>
  <c r="AW200" i="13" s="1"/>
  <c r="AW201" i="13" s="1"/>
  <c r="AW202" i="13" s="1"/>
  <c r="AW203" i="13" s="1"/>
  <c r="AW144" i="13"/>
  <c r="AW145" i="13" s="1"/>
  <c r="AW146" i="13" s="1"/>
  <c r="AW147" i="13" s="1"/>
  <c r="AW148" i="13" s="1"/>
  <c r="AW324" i="13"/>
  <c r="AW325" i="13" s="1"/>
  <c r="AW326" i="13" s="1"/>
  <c r="AW327" i="13" s="1"/>
  <c r="AW328" i="13" s="1"/>
  <c r="AW49" i="13"/>
  <c r="AW50" i="13" s="1"/>
  <c r="AW51" i="13" s="1"/>
  <c r="AW52" i="13" s="1"/>
  <c r="AW53" i="13" s="1"/>
  <c r="AW19" i="13"/>
  <c r="AW20" i="13" s="1"/>
  <c r="AW21" i="13" s="1"/>
  <c r="AW22" i="13" s="1"/>
  <c r="AW23" i="13" s="1"/>
  <c r="AW244" i="13"/>
  <c r="AW245" i="13" s="1"/>
  <c r="AW246" i="13" s="1"/>
  <c r="AW247" i="13" s="1"/>
  <c r="AW248" i="13" s="1"/>
  <c r="AW169" i="13"/>
  <c r="AW170" i="13" s="1"/>
  <c r="AW171" i="13" s="1"/>
  <c r="AW172" i="13" s="1"/>
  <c r="AW173" i="13" s="1"/>
  <c r="AW129" i="13"/>
  <c r="AW130" i="13" s="1"/>
  <c r="AW131" i="13" s="1"/>
  <c r="AW132" i="13" s="1"/>
  <c r="AW133" i="13" s="1"/>
  <c r="AW219" i="13"/>
  <c r="AW220" i="13" s="1"/>
  <c r="AW221" i="13" s="1"/>
  <c r="AW222" i="13" s="1"/>
  <c r="AW223" i="13" s="1"/>
  <c r="AW149" i="13"/>
  <c r="AW150" i="13" s="1"/>
  <c r="AW151" i="13" s="1"/>
  <c r="AW152" i="13" s="1"/>
  <c r="AW153" i="13" s="1"/>
  <c r="AW339" i="13"/>
  <c r="AW340" i="13" s="1"/>
  <c r="AW341" i="13" s="1"/>
  <c r="AW342" i="13" s="1"/>
  <c r="AW343" i="13" s="1"/>
  <c r="AW79" i="13"/>
  <c r="AW80" i="13" s="1"/>
  <c r="AW81" i="13" s="1"/>
  <c r="AW82" i="13" s="1"/>
  <c r="AW83" i="13" s="1"/>
  <c r="AW44" i="13"/>
  <c r="AW45" i="13" s="1"/>
  <c r="AW46" i="13" s="1"/>
  <c r="AW47" i="13" s="1"/>
  <c r="AW48" i="13" s="1"/>
  <c r="AW24" i="13"/>
  <c r="AW25" i="13" s="1"/>
  <c r="AW26" i="13" s="1"/>
  <c r="AW27" i="13" s="1"/>
  <c r="AW28" i="13" s="1"/>
  <c r="AW279" i="13"/>
  <c r="AW280" i="13" s="1"/>
  <c r="AW281" i="13" s="1"/>
  <c r="AW282" i="13" s="1"/>
  <c r="AW283" i="13" s="1"/>
  <c r="AW194" i="13"/>
  <c r="AW195" i="13" s="1"/>
  <c r="AW196" i="13" s="1"/>
  <c r="AW197" i="13" s="1"/>
  <c r="AW198" i="13" s="1"/>
  <c r="AW134" i="13"/>
  <c r="AW135" i="13" s="1"/>
  <c r="AW136" i="13" s="1"/>
  <c r="AW137" i="13" s="1"/>
  <c r="AW138" i="13" s="1"/>
  <c r="AW224" i="13"/>
  <c r="AW225" i="13" s="1"/>
  <c r="AW226" i="13" s="1"/>
  <c r="AW227" i="13" s="1"/>
  <c r="AW228" i="13" s="1"/>
  <c r="AW159" i="13"/>
  <c r="AW160" i="13" s="1"/>
  <c r="AW161" i="13" s="1"/>
  <c r="AW162" i="13" s="1"/>
  <c r="AW163" i="13" s="1"/>
  <c r="AW349" i="13"/>
  <c r="AW350" i="13" s="1"/>
  <c r="AW351" i="13" s="1"/>
  <c r="AW352" i="13" s="1"/>
  <c r="AW353" i="13" s="1"/>
  <c r="AW84" i="13"/>
  <c r="AW85" i="13" s="1"/>
  <c r="AW86" i="13" s="1"/>
  <c r="AW87" i="13" s="1"/>
  <c r="AW88" i="13" s="1"/>
  <c r="AW29" i="13"/>
  <c r="AW30" i="13" s="1"/>
  <c r="AW31" i="13" s="1"/>
  <c r="AW32" i="13" s="1"/>
  <c r="AW33" i="13" s="1"/>
  <c r="AW274" i="13"/>
  <c r="AW275" i="13" s="1"/>
  <c r="AW276" i="13" s="1"/>
  <c r="AW277" i="13" s="1"/>
  <c r="AW278" i="13" s="1"/>
  <c r="AW189" i="13"/>
  <c r="AW190" i="13"/>
  <c r="AW191" i="13" s="1"/>
  <c r="AW192" i="13" s="1"/>
  <c r="AW193" i="13" s="1"/>
  <c r="AW139" i="13"/>
  <c r="AW140" i="13" s="1"/>
  <c r="AW141" i="13" s="1"/>
  <c r="AW142" i="13" s="1"/>
  <c r="AW143" i="13" s="1"/>
  <c r="AW229" i="13"/>
  <c r="AW230" i="13" s="1"/>
  <c r="AW231" i="13" s="1"/>
  <c r="AW232" i="13" s="1"/>
  <c r="AW233" i="13" s="1"/>
  <c r="AW164" i="13"/>
  <c r="AW165" i="13" s="1"/>
  <c r="AW166" i="13" s="1"/>
  <c r="AW167" i="13" s="1"/>
  <c r="AW168" i="13" s="1"/>
  <c r="AW354" i="13"/>
  <c r="AW355" i="13" s="1"/>
  <c r="AW356" i="13" s="1"/>
  <c r="AW357" i="13" s="1"/>
  <c r="AW358" i="13" s="1"/>
  <c r="AW64" i="13"/>
  <c r="AW65" i="13" s="1"/>
  <c r="AW66" i="13" s="1"/>
  <c r="AW67" i="13" s="1"/>
  <c r="AW68" i="13" s="1"/>
  <c r="AW39" i="13"/>
  <c r="AW40" i="13" s="1"/>
  <c r="AW41" i="13" s="1"/>
  <c r="AW42" i="13" s="1"/>
  <c r="AW43" i="13" s="1"/>
  <c r="AW154" i="13"/>
  <c r="AW155" i="13" s="1"/>
  <c r="AW156" i="13" s="1"/>
  <c r="AW157" i="13" s="1"/>
  <c r="AW158" i="13" s="1"/>
  <c r="AW284" i="13"/>
  <c r="AW285" i="13" s="1"/>
  <c r="AW286" i="13" s="1"/>
  <c r="AW287" i="13" s="1"/>
  <c r="AW288" i="13" s="1"/>
  <c r="AW214" i="13"/>
  <c r="AW215" i="13" s="1"/>
  <c r="AW216" i="13" s="1"/>
  <c r="AW217" i="13" s="1"/>
  <c r="AW218" i="13" s="1"/>
  <c r="AW319" i="13"/>
  <c r="AW320" i="13" s="1"/>
  <c r="AW321" i="13" s="1"/>
  <c r="AW322" i="13" s="1"/>
  <c r="AW323" i="13" s="1"/>
  <c r="AW269" i="13"/>
  <c r="AW270" i="13" s="1"/>
  <c r="AW271" i="13" s="1"/>
  <c r="AW272" i="13" s="1"/>
  <c r="AW273" i="13" s="1"/>
  <c r="AW204" i="13"/>
  <c r="AW205" i="13" s="1"/>
  <c r="AW206" i="13" s="1"/>
  <c r="AW207" i="13" s="1"/>
  <c r="AW208" i="13" s="1"/>
  <c r="AW344" i="13"/>
  <c r="AW345" i="13" s="1"/>
  <c r="AW346" i="13" s="1"/>
  <c r="AW347" i="13" s="1"/>
  <c r="AW348" i="13" s="1"/>
  <c r="AW89" i="13"/>
  <c r="AW90" i="13" s="1"/>
  <c r="AW91" i="13" s="1"/>
  <c r="AW92" i="13" s="1"/>
  <c r="AW93" i="13" s="1"/>
  <c r="AW54" i="13"/>
  <c r="AW55" i="13" s="1"/>
  <c r="AW56" i="13" s="1"/>
  <c r="AW57" i="13" s="1"/>
  <c r="AW58" i="13" s="1"/>
  <c r="AW69" i="13"/>
  <c r="AW70" i="13" s="1"/>
  <c r="AW71" i="13" s="1"/>
  <c r="AW72" i="13" s="1"/>
  <c r="AW73" i="13" s="1"/>
  <c r="AW299" i="13"/>
  <c r="AW300" i="13" s="1"/>
  <c r="AW301" i="13" s="1"/>
  <c r="AW302" i="13" s="1"/>
  <c r="AW303" i="13" s="1"/>
  <c r="AW234" i="13"/>
  <c r="AW235" i="13" s="1"/>
  <c r="AW236" i="13" s="1"/>
  <c r="AW237" i="13" s="1"/>
  <c r="AW238" i="13" s="1"/>
  <c r="AW209" i="13"/>
  <c r="AW210" i="13" s="1"/>
  <c r="AW211" i="13" s="1"/>
  <c r="AW212" i="13" s="1"/>
  <c r="AW213" i="13" s="1"/>
  <c r="AW289" i="13"/>
  <c r="AW290" i="13" s="1"/>
  <c r="AW291" i="13" s="1"/>
  <c r="AW292" i="13" s="1"/>
  <c r="AW293" i="13" s="1"/>
  <c r="AW329" i="13"/>
  <c r="AW330" i="13" s="1"/>
  <c r="AW331" i="13" s="1"/>
  <c r="AW332" i="13" s="1"/>
  <c r="AW333" i="13" s="1"/>
  <c r="AW359" i="13"/>
  <c r="AW360" i="13" s="1"/>
  <c r="AW361" i="13" s="1"/>
  <c r="AW362" i="13" s="1"/>
  <c r="AW363" i="13" s="1"/>
  <c r="AW94" i="13"/>
  <c r="AW95" i="13"/>
  <c r="AW96" i="13" s="1"/>
  <c r="AW97" i="13" s="1"/>
  <c r="AW98" i="13" s="1"/>
  <c r="AW74" i="13"/>
  <c r="AW75" i="13" s="1"/>
  <c r="AW76" i="13" s="1"/>
  <c r="AW77" i="13" s="1"/>
  <c r="AW78" i="13" s="1"/>
  <c r="AW334" i="13"/>
  <c r="AW335" i="13" s="1"/>
  <c r="AW336" i="13" s="1"/>
  <c r="AW337" i="13" s="1"/>
  <c r="AW338" i="13" s="1"/>
  <c r="AW309" i="13"/>
  <c r="AW310" i="13" s="1"/>
  <c r="AW311" i="13" s="1"/>
  <c r="AW312" i="13" s="1"/>
  <c r="AW313" i="13" s="1"/>
  <c r="AW264" i="13"/>
  <c r="AW265" i="13" s="1"/>
  <c r="AW266" i="13" s="1"/>
  <c r="AW267" i="13" s="1"/>
  <c r="AW268" i="13" s="1"/>
  <c r="AW239" i="13"/>
  <c r="AW240" i="13" s="1"/>
  <c r="AW241" i="13" s="1"/>
  <c r="AW242" i="13" s="1"/>
  <c r="AW243" i="13" s="1"/>
  <c r="AW254" i="13"/>
  <c r="AW255" i="13" s="1"/>
  <c r="AW256" i="13" s="1"/>
  <c r="AW257" i="13" s="1"/>
  <c r="AW258" i="13" s="1"/>
  <c r="AW304" i="13"/>
  <c r="AW305" i="13" s="1"/>
  <c r="AW306" i="13" s="1"/>
  <c r="AW307" i="13" s="1"/>
  <c r="AW308" i="13" s="1"/>
  <c r="AC2" i="13"/>
  <c r="D2" i="13"/>
  <c r="X284" i="13"/>
  <c r="X285" i="13" s="1"/>
  <c r="X286" i="13" s="1"/>
  <c r="X287" i="13" s="1"/>
  <c r="X288" i="13" s="1"/>
  <c r="D2" i="14"/>
  <c r="O4" i="14"/>
  <c r="N2" i="15" l="1"/>
  <c r="A4" i="16" a="1"/>
  <c r="A4" i="16" s="1"/>
  <c r="G2" i="16"/>
  <c r="H2" i="16"/>
  <c r="I2" i="16"/>
  <c r="J2" i="16"/>
  <c r="K2" i="16"/>
  <c r="O2" i="15"/>
  <c r="Q2" i="15"/>
  <c r="S2" i="15"/>
  <c r="P2" i="15"/>
  <c r="T2" i="15"/>
  <c r="U2" i="15"/>
  <c r="V2" i="15"/>
  <c r="W2" i="15"/>
  <c r="M2" i="15"/>
  <c r="G2" i="15"/>
  <c r="H2" i="15"/>
  <c r="I2" i="15"/>
  <c r="J2" i="15"/>
  <c r="K2" i="15"/>
  <c r="A2" i="15"/>
  <c r="B2" i="15"/>
  <c r="C2" i="15"/>
  <c r="D2" i="15"/>
  <c r="E2" i="15"/>
  <c r="AF1" i="13"/>
  <c r="AI1" i="13"/>
  <c r="AH1" i="13"/>
  <c r="AG1" i="13"/>
  <c r="BN6" i="14"/>
  <c r="BN7" i="14" s="1"/>
  <c r="BN8" i="14" s="1"/>
  <c r="BE1" i="14"/>
  <c r="AW6" i="14"/>
  <c r="AW7" i="14" s="1"/>
  <c r="AW8" i="14" s="1"/>
  <c r="AN1" i="14"/>
  <c r="O10" i="14"/>
  <c r="AE1" i="13"/>
  <c r="H1" i="13"/>
  <c r="G1" i="13"/>
  <c r="J1" i="13"/>
  <c r="I1" i="13"/>
  <c r="E2" i="16" l="1"/>
  <c r="D2" i="16"/>
  <c r="A2" i="16"/>
  <c r="C2" i="16"/>
  <c r="B2" i="16"/>
  <c r="O11" i="14"/>
  <c r="BV376" i="13"/>
  <c r="BV380" i="13"/>
  <c r="BV372" i="13"/>
  <c r="BV362" i="13"/>
  <c r="BV367" i="13"/>
  <c r="BV358" i="13"/>
  <c r="BV349" i="13"/>
  <c r="BV353" i="13"/>
  <c r="BV345" i="13"/>
  <c r="BV313" i="13"/>
  <c r="BV315" i="13"/>
  <c r="BV317" i="13"/>
  <c r="BV319" i="13"/>
  <c r="BV321" i="13"/>
  <c r="BV323" i="13"/>
  <c r="BV325" i="13"/>
  <c r="BV327" i="13"/>
  <c r="BV329" i="13"/>
  <c r="BV331" i="13"/>
  <c r="BV333" i="13"/>
  <c r="BV335" i="13"/>
  <c r="BV217" i="13"/>
  <c r="BV219" i="13"/>
  <c r="BV221" i="13"/>
  <c r="BV223" i="13"/>
  <c r="BV225" i="13"/>
  <c r="BV227" i="13"/>
  <c r="BV229" i="13"/>
  <c r="BV231" i="13"/>
  <c r="BV233" i="13"/>
  <c r="BV235" i="13"/>
  <c r="BV237" i="13"/>
  <c r="BV239" i="13"/>
  <c r="BV241" i="13"/>
  <c r="BV243" i="13"/>
  <c r="BV245" i="13"/>
  <c r="BV247" i="13"/>
  <c r="BV249" i="13"/>
  <c r="BV251" i="13"/>
  <c r="BV253" i="13"/>
  <c r="BV255" i="13"/>
  <c r="BV257" i="13"/>
  <c r="BV259" i="13"/>
  <c r="BV261" i="13"/>
  <c r="BV263" i="13"/>
  <c r="BV265" i="13"/>
  <c r="BV267" i="13"/>
  <c r="BV269" i="13"/>
  <c r="BV271" i="13"/>
  <c r="BV273" i="13"/>
  <c r="BV275" i="13"/>
  <c r="BV277" i="13"/>
  <c r="BV279" i="13"/>
  <c r="BV281" i="13"/>
  <c r="BV283" i="13"/>
  <c r="BV285" i="13"/>
  <c r="BV287" i="13"/>
  <c r="BV289" i="13"/>
  <c r="BV291" i="13"/>
  <c r="BV293" i="13"/>
  <c r="BV295" i="13"/>
  <c r="BV297" i="13"/>
  <c r="BV299" i="13"/>
  <c r="BV301" i="13"/>
  <c r="BV303" i="13"/>
  <c r="BV305" i="13"/>
  <c r="BV307" i="13"/>
  <c r="BV309" i="13"/>
  <c r="BV311" i="13"/>
  <c r="BV203" i="13"/>
  <c r="BV205" i="13"/>
  <c r="BV207" i="13"/>
  <c r="BV209" i="13"/>
  <c r="BV211" i="13"/>
  <c r="BV213" i="13"/>
  <c r="BV215" i="13"/>
  <c r="BV201" i="13"/>
  <c r="O12" i="14" l="1"/>
  <c r="O13" i="14" s="1"/>
  <c r="G1" i="14"/>
  <c r="F1" i="14"/>
  <c r="I1" i="14"/>
  <c r="H1" i="14"/>
  <c r="J1" i="14"/>
  <c r="F1" i="13"/>
  <c r="D2" i="12"/>
  <c r="BH1" i="13" l="1"/>
  <c r="BB2" i="13" l="1"/>
  <c r="BD1" i="13"/>
  <c r="BE1" i="13"/>
  <c r="BF1" i="13"/>
  <c r="BG1" i="13"/>
  <c r="X49" i="12" l="1"/>
  <c r="X50" i="12" s="1"/>
  <c r="X51" i="12" s="1"/>
  <c r="X52" i="12" s="1"/>
  <c r="X53" i="12" s="1"/>
  <c r="F1" i="12" l="1"/>
  <c r="J1" i="12"/>
  <c r="I1" i="12"/>
  <c r="H1" i="12"/>
  <c r="B1" i="12"/>
  <c r="G1" i="12"/>
  <c r="F14" i="6"/>
  <c r="G14" i="6" s="1"/>
  <c r="O14" i="6" s="1"/>
  <c r="H14" i="6"/>
  <c r="I14" i="6" s="1"/>
  <c r="H13" i="6"/>
  <c r="I13" i="6" s="1"/>
  <c r="F13" i="6"/>
  <c r="G13" i="6" s="1"/>
  <c r="O13" i="6" s="1"/>
  <c r="M13" i="6" l="1"/>
  <c r="N13" i="6" s="1"/>
  <c r="P13" i="6" s="1"/>
  <c r="Q13" i="6" s="1"/>
  <c r="M14" i="6"/>
  <c r="N14" i="6" s="1"/>
  <c r="P14" i="6" s="1"/>
  <c r="Q14" i="6" s="1"/>
  <c r="AF155" i="14"/>
  <c r="AF156" i="14"/>
  <c r="AF157" i="14"/>
  <c r="AF158" i="14"/>
  <c r="AF159" i="14"/>
  <c r="AF160" i="14"/>
  <c r="AF161" i="14"/>
  <c r="AF176" i="14"/>
  <c r="AF145" i="14"/>
  <c r="AF146" i="14"/>
  <c r="AF111" i="14"/>
  <c r="AF112" i="14"/>
  <c r="AF113" i="14"/>
  <c r="AF114" i="14"/>
  <c r="AF115" i="14"/>
  <c r="AF116" i="14"/>
  <c r="AF117" i="14"/>
  <c r="AF132" i="14"/>
  <c r="AF101" i="14"/>
  <c r="AF102" i="14"/>
  <c r="AF13" i="14"/>
  <c r="AF14" i="14"/>
  <c r="AF26" i="14"/>
  <c r="AF27" i="14"/>
  <c r="AF28" i="14"/>
  <c r="AF29" i="14"/>
  <c r="AF230" i="14"/>
  <c r="AF231" i="14"/>
  <c r="AF232" i="14"/>
  <c r="AF233" i="14"/>
  <c r="AF234" i="14"/>
  <c r="AF186" i="14"/>
  <c r="AF187" i="14"/>
  <c r="AF188" i="14"/>
  <c r="AF189" i="14"/>
  <c r="AF190" i="14"/>
  <c r="AF191" i="14"/>
  <c r="AF192" i="14"/>
  <c r="AF207" i="14"/>
  <c r="AF177" i="14"/>
  <c r="AF60" i="14"/>
  <c r="AF61" i="14"/>
  <c r="AF62" i="14"/>
  <c r="AF63" i="14"/>
  <c r="AF64" i="14"/>
  <c r="AF65" i="14"/>
  <c r="AF80" i="14"/>
  <c r="AF47" i="14"/>
  <c r="AF48" i="14"/>
  <c r="AF49" i="14"/>
  <c r="AF50" i="14"/>
  <c r="AF103" i="14"/>
  <c r="AF104" i="14"/>
  <c r="AF105" i="14"/>
  <c r="AF106" i="14"/>
  <c r="AF107" i="14"/>
  <c r="AF122" i="14"/>
  <c r="AF91" i="14"/>
  <c r="AF92" i="14"/>
  <c r="AF163" i="14"/>
  <c r="AF164" i="14"/>
  <c r="AF178" i="14"/>
  <c r="AF179" i="14"/>
  <c r="AF147" i="14"/>
  <c r="AF148" i="14"/>
  <c r="AF149" i="14"/>
  <c r="AF93" i="14"/>
  <c r="AF94" i="14"/>
  <c r="AF95" i="14"/>
  <c r="AF96" i="14"/>
  <c r="AF81" i="14"/>
  <c r="AF78" i="14"/>
  <c r="AF123" i="14"/>
  <c r="AF124" i="14"/>
  <c r="AF125" i="14"/>
  <c r="AF126" i="14"/>
  <c r="AF127" i="14"/>
  <c r="AF142" i="14"/>
  <c r="AF36" i="14"/>
  <c r="AF37" i="14"/>
  <c r="AF38" i="14"/>
  <c r="AF39" i="14"/>
  <c r="AF40" i="14"/>
  <c r="AF41" i="14"/>
  <c r="AF42" i="14"/>
  <c r="AF57" i="14"/>
  <c r="AF119" i="14"/>
  <c r="AF120" i="14"/>
  <c r="AF135" i="14"/>
  <c r="AF166" i="14"/>
  <c r="AF167" i="14"/>
  <c r="AF168" i="14"/>
  <c r="AF169" i="14"/>
  <c r="AF170" i="14"/>
  <c r="AF171" i="14"/>
  <c r="AF70" i="14"/>
  <c r="AF71" i="14"/>
  <c r="AF72" i="14"/>
  <c r="AF73" i="14"/>
  <c r="AF58" i="14"/>
  <c r="AF217" i="14"/>
  <c r="AF218" i="14"/>
  <c r="AF136" i="14"/>
  <c r="AF137" i="14"/>
  <c r="AF138" i="14"/>
  <c r="AF153" i="14"/>
  <c r="AF34" i="14"/>
  <c r="AF16" i="14"/>
  <c r="AF17" i="14"/>
  <c r="AF18" i="14"/>
  <c r="AF19" i="14"/>
  <c r="AF5" i="14"/>
  <c r="AF6" i="14"/>
  <c r="AF7" i="14"/>
  <c r="AF8" i="14"/>
  <c r="AF9" i="14"/>
  <c r="AF10" i="14"/>
  <c r="AF11" i="14"/>
  <c r="AF194" i="14"/>
  <c r="AF195" i="14"/>
  <c r="AF210" i="14"/>
  <c r="AF180" i="14"/>
  <c r="AF173" i="14"/>
  <c r="AF174" i="14"/>
  <c r="AF238" i="14"/>
  <c r="AF239" i="14"/>
  <c r="AF220" i="14"/>
  <c r="AF221" i="14"/>
  <c r="AF222" i="14"/>
  <c r="AF223" i="14"/>
  <c r="AF224" i="14"/>
  <c r="AF51" i="14"/>
  <c r="AF52" i="14"/>
  <c r="AF67" i="14"/>
  <c r="AF197" i="14"/>
  <c r="AF198" i="14"/>
  <c r="AF199" i="14"/>
  <c r="AF211" i="14"/>
  <c r="AF212" i="14"/>
  <c r="AF213" i="14"/>
  <c r="AF214" i="14"/>
  <c r="AF215" i="14"/>
  <c r="AF200" i="14"/>
  <c r="AF208" i="14"/>
  <c r="AF98" i="14"/>
  <c r="AF99" i="14"/>
  <c r="AF82" i="14"/>
  <c r="AF83" i="14"/>
  <c r="AF84" i="14"/>
  <c r="AF20" i="14"/>
  <c r="AF21" i="14"/>
  <c r="AF23" i="14"/>
  <c r="AF24" i="14"/>
  <c r="AF30" i="14"/>
  <c r="AF31" i="14"/>
  <c r="AF32" i="14"/>
  <c r="AF44" i="14"/>
  <c r="AF45" i="14"/>
  <c r="AF54" i="14"/>
  <c r="AF55" i="14"/>
  <c r="AF68" i="14"/>
  <c r="AF74" i="14"/>
  <c r="AF75" i="14"/>
  <c r="AF76" i="14"/>
  <c r="AF85" i="14"/>
  <c r="AF86" i="14"/>
  <c r="AF88" i="14"/>
  <c r="AF89" i="14"/>
  <c r="AF109" i="14"/>
  <c r="AF129" i="14"/>
  <c r="AF130" i="14"/>
  <c r="AF133" i="14"/>
  <c r="AF139" i="14"/>
  <c r="AF140" i="14"/>
  <c r="AF143" i="14"/>
  <c r="AF150" i="14"/>
  <c r="AF151" i="14"/>
  <c r="AF181" i="14"/>
  <c r="AF182" i="14"/>
  <c r="AF201" i="14"/>
  <c r="AF202" i="14"/>
  <c r="AF204" i="14"/>
  <c r="AF205" i="14"/>
  <c r="AF225" i="14"/>
  <c r="AF226" i="14"/>
  <c r="AF228" i="14"/>
  <c r="AF235" i="14"/>
  <c r="AF236" i="14"/>
  <c r="AF241" i="14"/>
  <c r="AF242" i="14"/>
  <c r="AF243" i="14"/>
  <c r="W1"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<sst xmlns="http://schemas.openxmlformats.org/spreadsheetml/2006/main" count="4799" uniqueCount="190">
  <si>
    <t>Cubieboard2</t>
  </si>
  <si>
    <t>N</t>
  </si>
  <si>
    <t>NB</t>
  </si>
  <si>
    <t>P</t>
  </si>
  <si>
    <t>Q</t>
  </si>
  <si>
    <t>Time</t>
  </si>
  <si>
    <t>GFLOPS</t>
  </si>
  <si>
    <t>WR00L2L2</t>
  </si>
  <si>
    <t>SBC</t>
  </si>
  <si>
    <t>Cores</t>
  </si>
  <si>
    <t>march</t>
  </si>
  <si>
    <t>mcpu</t>
  </si>
  <si>
    <t>mtune</t>
  </si>
  <si>
    <t>fpu</t>
  </si>
  <si>
    <t>mfloat-abi</t>
  </si>
  <si>
    <t>ostalo</t>
  </si>
  <si>
    <t>ostalo (Thumb)</t>
  </si>
  <si>
    <t>Rpi 1B</t>
  </si>
  <si>
    <t>armv6</t>
  </si>
  <si>
    <t>arm1176jzf-s</t>
  </si>
  <si>
    <t>vfpv2 (alias is vfp)</t>
  </si>
  <si>
    <t>hard</t>
  </si>
  <si>
    <t>Thumb</t>
  </si>
  <si>
    <t>16KB L1 and no L2</t>
  </si>
  <si>
    <t>armv7-a</t>
  </si>
  <si>
    <t>cortex-a7</t>
  </si>
  <si>
    <t>neon-vfpv4</t>
  </si>
  <si>
    <t>-funsafe-math-optimizations</t>
  </si>
  <si>
    <t>Thumb-2</t>
  </si>
  <si>
    <t>OdroidU3</t>
  </si>
  <si>
    <t>cortex-a9</t>
  </si>
  <si>
    <t>neon-vfpv3 (alias is neon)</t>
  </si>
  <si>
    <t>Thumb or Thumb-2</t>
  </si>
  <si>
    <t>1MB L2 cache total? From paper…</t>
  </si>
  <si>
    <t>OdroidMC1</t>
  </si>
  <si>
    <t>LITTLE</t>
  </si>
  <si>
    <t>2 sockets, 2,5MB L2 cache per socket</t>
  </si>
  <si>
    <t>Big</t>
  </si>
  <si>
    <t>cortex-a15</t>
  </si>
  <si>
    <t>Flags used for flagsearching - mandatory</t>
  </si>
  <si>
    <t>NOTE</t>
  </si>
  <si>
    <t>HPL Runs (fixed parameters)</t>
  </si>
  <si>
    <t>Node</t>
  </si>
  <si>
    <t>Total memory of a node (kB)</t>
  </si>
  <si>
    <t>N, alpha</t>
  </si>
  <si>
    <t>N, alpha (NB round)</t>
  </si>
  <si>
    <t>N, beta</t>
  </si>
  <si>
    <t>N, beta (NB round)</t>
  </si>
  <si>
    <t>Ns difference</t>
  </si>
  <si>
    <t>Half of the Ns difference</t>
  </si>
  <si>
    <t>N1</t>
  </si>
  <si>
    <t>N2</t>
  </si>
  <si>
    <t>N3</t>
  </si>
  <si>
    <t>Number of nodes</t>
  </si>
  <si>
    <t>Percentage of mem</t>
  </si>
  <si>
    <t>atlarch</t>
  </si>
  <si>
    <t>Flags used for flagsearching - optional</t>
  </si>
  <si>
    <t>Machine originally
built on</t>
  </si>
  <si>
    <t>Flagsearched (d)</t>
  </si>
  <si>
    <t>Flagsearched (s)
No need! HPL uses only double precision! See ATLAS install manual</t>
  </si>
  <si>
    <t>Flagsearched (Td)</t>
  </si>
  <si>
    <t>Kernel</t>
  </si>
  <si>
    <t>TODO</t>
  </si>
  <si>
    <t>Done</t>
  </si>
  <si>
    <t>https://gist.github.com/fm4dd/c663217935dc17f0fc73c9c81b0aa845</t>
  </si>
  <si>
    <t>atlarch-cpu</t>
  </si>
  <si>
    <t>Raspberry Pi 3 B</t>
  </si>
  <si>
    <t>Rpi 3B</t>
  </si>
  <si>
    <t>armv8.1-a</t>
  </si>
  <si>
    <t>cortex-a53</t>
  </si>
  <si>
    <t>neon-fp-armv8</t>
  </si>
  <si>
    <t>-mneon-for-64bits</t>
  </si>
  <si>
    <t>generic</t>
  </si>
  <si>
    <t># ARM64 cortex-a53 defaults (untested)</t>
  </si>
  <si>
    <t>#</t>
  </si>
  <si>
    <t>MACH=ARM64a53 OS=ALL LVL=1000 COMPS=f77</t>
  </si>
  <si>
    <t xml:space="preserve">   'gfortran' '-march=native -O2'</t>
  </si>
  <si>
    <t>MACH=ARM64a53 OS=ALL LVL=1000 COMPS=xcc</t>
  </si>
  <si>
    <t xml:space="preserve">   'gcc' '-march=native -O2'</t>
  </si>
  <si>
    <t>MACH=ARM64a53 OS=ALL LVL=1000 COMPS=icc</t>
  </si>
  <si>
    <t xml:space="preserve">   'gcc' '-mcpu=cortex-a53 -mtune=cortex-a53 -O2'</t>
  </si>
  <si>
    <t>MACH=ARM64a53 OS=ALL LVL=1000 COMPS=skc,gcc,dkc</t>
  </si>
  <si>
    <t xml:space="preserve">   'gcc' ' -mcpu=cortex-a53 -mtune=cortex-a53 -O3  -ftree-vect-loop-version -ftree-vectorize'</t>
  </si>
  <si>
    <t>MACH=ARM64a53 OS=ALL LVL=1000 COMPS=smc</t>
  </si>
  <si>
    <t xml:space="preserve">   'gcc' '-O2 -mcpu=cortex-a53 -mtune=cortex-a53'</t>
  </si>
  <si>
    <t>MACH=ARM64a53 OS=ALL LVL=1000 COMPS=dmc</t>
  </si>
  <si>
    <t xml:space="preserve">   'gcc' '-O1 -mcpu=cortex-a53 -mtune=cortex-a53 -fexpensive-optimizations'</t>
  </si>
  <si>
    <t xml:space="preserve">   'gfortran' '-O2 -mcpu=cortex-a53'</t>
  </si>
  <si>
    <t>atlarch-gene</t>
  </si>
  <si>
    <t>recommended</t>
  </si>
  <si>
    <t>-mtune=cortex-a53
-march=armv8-a+crc
-march=armv8-a
-march=armv8.1-a
-mfpu=crypto-neon-fp-armv8</t>
  </si>
  <si>
    <t>atlarch-gene-cpu</t>
  </si>
  <si>
    <t>raspi11</t>
  </si>
  <si>
    <t>noarch</t>
  </si>
  <si>
    <r>
      <t xml:space="preserve">Preporučeni flagovi nisu radili: -mcpu=cortex-a53 -mfloat-abi=hard -mfpu=neon-fp-armv8 -mneon-for-64bits
Zapravo nisu radila posljednja 3 iz nekog razloga (kao da ih arhitektura ne prepoznaje)
</t>
    </r>
    <r>
      <rPr>
        <b/>
        <sz val="11"/>
        <color theme="1"/>
        <rFont val="Calibri"/>
        <family val="2"/>
        <scheme val="minor"/>
      </rPr>
      <t>Zato što koristimo 64-bitni OS, koji te opcije podrazumijeva</t>
    </r>
    <r>
      <rPr>
        <sz val="11"/>
        <color theme="1"/>
        <rFont val="Calibri"/>
        <family val="2"/>
        <charset val="238"/>
        <scheme val="minor"/>
      </rPr>
      <t xml:space="preserve">
Ni s novim flagovima nije radio build ATLASa</t>
    </r>
  </si>
  <si>
    <t>HPL</t>
  </si>
  <si>
    <t>RUN</t>
  </si>
  <si>
    <t>Date</t>
  </si>
  <si>
    <t>1100MHz</t>
  </si>
  <si>
    <t>1000MHz</t>
  </si>
  <si>
    <t>raspi11 throttling time [1/100s]</t>
  </si>
  <si>
    <t>raspi12 throttling time [1/100s]</t>
  </si>
  <si>
    <t>raspi13 throttling time [1/100s]</t>
  </si>
  <si>
    <t>raspi14 throttling time [1/100s]</t>
  </si>
  <si>
    <t>Build</t>
  </si>
  <si>
    <t>Average GFLOPs</t>
  </si>
  <si>
    <t>generic-flags</t>
  </si>
  <si>
    <t>atlarch-flags</t>
  </si>
  <si>
    <t>atlarch-gene-flags</t>
  </si>
  <si>
    <t>atlarch-gene-cpu-flags</t>
  </si>
  <si>
    <t>atlarch-cpu-flags</t>
  </si>
  <si>
    <t>noarch-flags</t>
  </si>
  <si>
    <t>Max avg. GFLOPS (and params):</t>
  </si>
  <si>
    <t>Average GFLOP/s</t>
  </si>
  <si>
    <t>MAX GFLOPS:</t>
  </si>
  <si>
    <t>above,</t>
  </si>
  <si>
    <t>below:</t>
  </si>
  <si>
    <t>900MHz</t>
  </si>
  <si>
    <t>ATLAS</t>
  </si>
  <si>
    <t>Failed build</t>
  </si>
  <si>
    <t>raspi12</t>
  </si>
  <si>
    <t>raspi14</t>
  </si>
  <si>
    <t>raspi13</t>
  </si>
  <si>
    <t>Failed build, repeated, failed again</t>
  </si>
  <si>
    <t>Raspberry Pi 3B</t>
  </si>
  <si>
    <t>archdef</t>
  </si>
  <si>
    <t>Running</t>
  </si>
  <si>
    <t>Failed</t>
  </si>
  <si>
    <t>Config ne prolazi zbog -mabi=lp64</t>
  </si>
  <si>
    <t>atlarch-cpu-crypto</t>
  </si>
  <si>
    <t>atlarch-gene-cpu-crypto</t>
  </si>
  <si>
    <t>archdef-flags</t>
  </si>
  <si>
    <t>atlarch-gene-cpu-crypto-flags</t>
  </si>
  <si>
    <t>atlarch-cpu-crypto-flags</t>
  </si>
  <si>
    <t>OLD</t>
  </si>
  <si>
    <t>OLD, this is actually archdef flags (but the name generic caused issues)</t>
  </si>
  <si>
    <t>Starting point the same as generic-flags, newer and prefered</t>
  </si>
  <si>
    <t>?</t>
  </si>
  <si>
    <t>Bez inicijalnih flagova u flagsearch</t>
  </si>
  <si>
    <t>atlarch-gene-cpu-crypto-flags-2</t>
  </si>
  <si>
    <t>atlarch-gene-cpu-flags-2</t>
  </si>
  <si>
    <t>atlarch-cpu-flags-2</t>
  </si>
  <si>
    <t>atlarch-cpu-crypto-flags-2</t>
  </si>
  <si>
    <t>-mcpu=cortex-a53
-mtune=cortex-a53
-march=armv8-a+crc
-march=armv8-a
-march=armv8.1-a
-mfpu=crypto-neon-fp-armv8
-mfpu=neon-fp-armv8
-mneon-for-64bits
-mfloat-abi=hard</t>
  </si>
  <si>
    <t>second flagsearch from the originals, without initial flags, only with -pipe</t>
  </si>
  <si>
    <t>NA</t>
  </si>
  <si>
    <t>ATLAS (noarch-flags)</t>
  </si>
  <si>
    <t>ATLAS (noarch-flags/atlarch-gene-cpu-flags) - stara mjerenja</t>
  </si>
  <si>
    <t>OpenBLAS</t>
  </si>
  <si>
    <t>linux_OpenBLAS</t>
  </si>
  <si>
    <t>ATLAS, OMP flags, over_voltage=2</t>
  </si>
  <si>
    <t>OpenBLAS, over_voltage=2</t>
  </si>
  <si>
    <t>OpenBLAS, OMP flags, over_voltage=2</t>
  </si>
  <si>
    <t>ATLAS - no OMP modifications</t>
  </si>
  <si>
    <t>32/64 build (or none)</t>
  </si>
  <si>
    <t>Other ATLAS config flags</t>
  </si>
  <si>
    <t>Compiler flag addendum type</t>
  </si>
  <si>
    <t>Compiler flags used for building</t>
  </si>
  <si>
    <t>ARM64xgene1</t>
  </si>
  <si>
    <t>ARM64a53</t>
  </si>
  <si>
    <t>-Fa alg</t>
  </si>
  <si>
    <t>Initial ATLAS config flags</t>
  </si>
  <si>
    <t>-Si archdef 1</t>
  </si>
  <si>
    <t>-Si archdef 0</t>
  </si>
  <si>
    <t xml:space="preserve"> </t>
  </si>
  <si>
    <t>-mcpu=cortex-a53 -mtune=cortex-a53 -mfpu=crypto-neon-fp-armv8 -mneon-for-64bits -mfloat-abi=hard</t>
  </si>
  <si>
    <t>-mcpu=cortex-a53 -mtune=cortex-a53 -mfpu=neon-fp-armv8 -mneon-for-64bits -mfloat-abi=hard</t>
  </si>
  <si>
    <t>-O2 -mcpu=cortex-a53 -mtune=cortex-a53 -mfpu=crypto-neon-fp-armv8 -mneon-for-64bits -mfloat-abi=hard -fno-expensive-optimizations</t>
  </si>
  <si>
    <t>-O2 -mcpu=cortex-a53 -mtune=cortex-a53 -mfpu=neon-fp-armv8 -mneon-for-64bits -mfloat-abi=hard -fno-schedule-insns -fno-expensive-optimizations</t>
  </si>
  <si>
    <t>-Os -mcpu=cortex-a53 -mtune=cortex-a53 -mfpu=neon-fp-armv8 -mneon-for-64bits -mfloat-abi=hard -fno-tree-ter</t>
  </si>
  <si>
    <t>-O1 -mcpu=cortex-a53 -mtune=cortex-a53 -mfpu=crypto-neon-fp-armv8 -mneon-for-64bits -mfloat-abi=hard -fschedule-insns -frename-registers</t>
  </si>
  <si>
    <t>-O1 -fno-schedule-insns -fschedule-insns2 -fexpensive-optimizations -fselective-scheduling2</t>
  </si>
  <si>
    <t>-mcpu=cortex-a53 -mfloat-abi=hard -mfpu=neon-fp-armv8 -mneon-for-64bits</t>
  </si>
  <si>
    <t>-O1 -fschedule-insns2 -fexpensive-optimizations -mcpu=cortex-A53</t>
  </si>
  <si>
    <t>-D c -DWALL</t>
  </si>
  <si>
    <t/>
  </si>
  <si>
    <t>-b 64</t>
  </si>
  <si>
    <t>-O1 -fno-schedule-insns -mcpu=cortex-A53 -mfpu=crypto-neon-fp-armv8 -fschedule-insns -frename-registers</t>
  </si>
  <si>
    <t>-O2 -fno-schedule-insns -mcpu=cortex-A53 -mfpu=crypto-neon-fp-armv8 -fselective-scheduling2 -frename-registers</t>
  </si>
  <si>
    <t>-O1 -fno-schedule-insns -mcpu=cortex-A53 -mfpu=crypto-neon-fp-armv8 -fschedule-insns2</t>
  </si>
  <si>
    <t>-O1 -fno-schedule-insns -mcpu=cortex-A53 -mfpu=crypto-neon-fp-armv8 -fschedule-insns2 -fmodulo-sched -fmodulo-sched-allow-regmoves -funroll-all-loops</t>
  </si>
  <si>
    <t>-Os -fno-schedule-insns -mcpu=cortex-A53 -mfpu=crypto-neon-fp-armv8 -fschedule-insns -fno-schedule-insns -fno-tree-ter</t>
  </si>
  <si>
    <t>Some of the results above were a bit off, so when doing experimental analysis we redid them, but they showed the same - obviously it exhausts memory, and then performance varies a lot depending on the swap usage.</t>
  </si>
  <si>
    <t>All flags</t>
  </si>
  <si>
    <t>N (rounded)</t>
  </si>
  <si>
    <t>ATLAS speedup</t>
  </si>
  <si>
    <t>OpenBLAS speedup</t>
  </si>
  <si>
    <t>N(beta)</t>
  </si>
  <si>
    <t>N(mid)</t>
  </si>
  <si>
    <t>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</si>
</sst>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F400]h:mm:ss\ AM/PM"/>
    <numFmt numFmtId="166" formatCode="0.00000"/>
    <numFmt numFmtId="167" formatCode="0.000"/>
  </numFmts>
  <fonts count="16" x14ac:knownFonts="1">
    <font>
      <sz val="11"/>
      <color theme="1"/>
      <name val="Calibri"/>
      <family val="2"/>
      <charset val="238"/>
      <scheme val="minor"/>
    </font>
    <font>
      <b/>
      <sz val="11"/>
      <color theme="1"/>
      <name val="Calibri"/>
      <family val="2"/>
      <scheme val="minor"/>
    </font>
    <font>
      <b/>
      <sz val="11"/>
      <color rgb="FFC00000"/>
      <name val="Calibri"/>
      <family val="2"/>
      <scheme val="minor"/>
    </font>
    <font>
      <b/>
      <sz val="11"/>
      <name val="Calibri"/>
      <family val="2"/>
      <scheme val="minor"/>
    </font>
    <font>
      <sz val="8"/>
      <name val="Calibri"/>
      <family val="2"/>
      <charset val="238"/>
      <scheme val="minor"/>
    </font>
    <font>
      <u/>
      <sz val="11"/>
      <color theme="10"/>
      <name val="Calibri"/>
      <family val="2"/>
      <charset val="238"/>
      <scheme val="minor"/>
    </font>
    <font>
      <sz val="11"/>
      <name val="Calibri"/>
      <family val="2"/>
      <charset val="238"/>
      <scheme val="minor"/>
    </font>
    <font>
      <sz val="11"/>
      <color rgb="FF9C0006"/>
      <name val="Calibri"/>
      <family val="2"/>
      <charset val="238"/>
      <scheme val="minor"/>
    </font>
    <font>
      <b/>
      <sz val="10"/>
      <color theme="1"/>
      <name val="Calibri"/>
      <family val="2"/>
      <scheme val="minor"/>
    </font>
    <font>
      <sz val="11"/>
      <color rgb="FF9C5700"/>
      <name val="Calibri"/>
      <family val="2"/>
      <charset val="238"/>
      <scheme val="minor"/>
    </font>
    <font>
      <b/>
      <sz val="11"/>
      <color rgb="FFFF0000"/>
      <name val="Calibri"/>
      <family val="2"/>
      <scheme val="minor"/>
    </font>
    <font>
      <sz val="11"/>
      <color theme="1"/>
      <name val="Calibri"/>
      <family val="2"/>
      <scheme val="minor"/>
    </font>
    <font>
      <sz val="11"/>
      <color rgb="FF006100"/>
      <name val="Calibri"/>
      <family val="2"/>
      <charset val="238"/>
      <scheme val="minor"/>
    </font>
    <font>
      <sz val="11"/>
      <color theme="1"/>
      <name val="Calibri"/>
      <family val="2"/>
      <charset val="238"/>
      <scheme val="minor"/>
    </font>
    <font>
      <sz val="11"/>
      <color theme="0"/>
      <name val="Calibri"/>
      <family val="2"/>
      <charset val="238"/>
      <scheme val="minor"/>
    </font>
    <font>
      <b/>
      <sz val="11"/>
      <color theme="0"/>
      <name val="Calibri"/>
      <family val="2"/>
      <charset val="238"/>
      <scheme val="minor"/>
    </font>
  </fonts>
  <fills count="9">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
      <patternFill patternType="solid">
        <fgColor theme="4" tint="0.59999389629810485"/>
        <bgColor indexed="65"/>
      </patternFill>
    </fill>
    <fill>
      <patternFill patternType="solid">
        <fgColor theme="5"/>
      </patternFill>
    </fill>
    <fill>
      <patternFill patternType="solid">
        <fgColor theme="4"/>
        <bgColor theme="4"/>
      </patternFill>
    </fill>
    <fill>
      <patternFill patternType="solid">
        <fgColor theme="4" tint="0.7999816888943144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theme="4" tint="0.39997558519241921"/>
      </top>
      <bottom/>
      <diagonal/>
    </border>
  </borders>
  <cellStyleXfs count="7">
    <xf numFmtId="0" fontId="0" fillId="0" borderId="0"/>
    <xf numFmtId="0" fontId="5" fillId="0" borderId="0" applyNumberFormat="0" applyFill="0" applyBorder="0" applyAlignment="0" applyProtection="0"/>
    <xf numFmtId="0" fontId="7" fillId="2" borderId="0" applyNumberFormat="0" applyBorder="0" applyAlignment="0" applyProtection="0"/>
    <xf numFmtId="0" fontId="9" fillId="3" borderId="0" applyNumberFormat="0" applyBorder="0" applyAlignment="0" applyProtection="0"/>
    <xf numFmtId="0" fontId="12" fillId="4" borderId="0" applyNumberFormat="0" applyBorder="0" applyAlignment="0" applyProtection="0"/>
    <xf numFmtId="0" fontId="13" fillId="5" borderId="0" applyNumberFormat="0" applyBorder="0" applyAlignment="0" applyProtection="0"/>
    <xf numFmtId="0" fontId="14" fillId="6" borderId="0" applyNumberFormat="0" applyBorder="0" applyAlignment="0" applyProtection="0"/>
  </cellStyleXfs>
  <cellXfs count="116">
    <xf numFmtId="0" fontId="0" fillId="0" borderId="0" xfId="0"/>
    <xf numFmtId="0" fontId="0" fillId="0" borderId="0" xfId="0" applyAlignment="1">
      <alignment horizontal="center"/>
    </xf>
    <xf numFmtId="0" fontId="0" fillId="0" borderId="0" xfId="0" applyAlignment="1">
      <alignment wrapText="1"/>
    </xf>
    <xf numFmtId="49" fontId="0" fillId="0" borderId="0" xfId="0" applyNumberFormat="1"/>
    <xf numFmtId="0" fontId="1" fillId="0" borderId="0" xfId="0" applyFont="1"/>
    <xf numFmtId="0" fontId="1" fillId="0" borderId="0" xfId="0" applyFont="1" applyAlignment="1">
      <alignment horizontal="left" vertical="center"/>
    </xf>
    <xf numFmtId="49" fontId="0" fillId="0" borderId="0" xfId="0" applyNumberFormat="1" applyAlignment="1">
      <alignment wrapText="1"/>
    </xf>
    <xf numFmtId="0" fontId="0" fillId="0" borderId="0" xfId="0" applyAlignment="1">
      <alignment vertical="center"/>
    </xf>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5" fillId="0" borderId="0" xfId="1" applyAlignment="1">
      <alignment wrapText="1"/>
    </xf>
    <xf numFmtId="49" fontId="6" fillId="0" borderId="0" xfId="0" applyNumberFormat="1" applyFont="1" applyAlignment="1">
      <alignment wrapText="1"/>
    </xf>
    <xf numFmtId="0" fontId="6" fillId="0" borderId="0" xfId="0" quotePrefix="1" applyFont="1" applyAlignment="1">
      <alignment wrapText="1"/>
    </xf>
    <xf numFmtId="49" fontId="6" fillId="0" borderId="0" xfId="0" applyNumberFormat="1" applyFont="1"/>
    <xf numFmtId="14" fontId="0" fillId="0" borderId="0" xfId="0" applyNumberFormat="1"/>
    <xf numFmtId="0" fontId="0" fillId="0" borderId="0" xfId="0" applyAlignment="1">
      <alignment horizontal="center" vertical="center"/>
    </xf>
    <xf numFmtId="21" fontId="0" fillId="0" borderId="0" xfId="0" applyNumberFormat="1"/>
    <xf numFmtId="0" fontId="0" fillId="0" borderId="0" xfId="0" quotePrefix="1"/>
    <xf numFmtId="1" fontId="0" fillId="0" borderId="0" xfId="0" applyNumberFormat="1"/>
    <xf numFmtId="0" fontId="0" fillId="0" borderId="0" xfId="0" applyAlignment="1">
      <alignment horizontal="left" vertical="center"/>
    </xf>
    <xf numFmtId="0" fontId="0" fillId="0" borderId="0" xfId="0" applyAlignment="1">
      <alignment horizontal="left" vertical="center" wrapText="1"/>
    </xf>
    <xf numFmtId="164" fontId="0" fillId="0" borderId="0" xfId="0" applyNumberFormat="1"/>
    <xf numFmtId="165" fontId="0" fillId="0" borderId="0" xfId="0" applyNumberFormat="1" applyAlignment="1">
      <alignment horizontal="center"/>
    </xf>
    <xf numFmtId="165" fontId="0" fillId="0" borderId="0" xfId="0" applyNumberFormat="1"/>
    <xf numFmtId="1" fontId="0" fillId="0" borderId="0" xfId="0" applyNumberFormat="1" applyAlignment="1">
      <alignment horizontal="right" wrapText="1"/>
    </xf>
    <xf numFmtId="1" fontId="0" fillId="0" borderId="0" xfId="0" applyNumberFormat="1" applyAlignment="1">
      <alignment horizontal="right"/>
    </xf>
    <xf numFmtId="0" fontId="1" fillId="0" borderId="1" xfId="0" applyFont="1" applyBorder="1" applyAlignment="1">
      <alignment horizontal="left" vertical="center"/>
    </xf>
    <xf numFmtId="166" fontId="10" fillId="0" borderId="1" xfId="0" applyNumberFormat="1" applyFont="1" applyBorder="1"/>
    <xf numFmtId="1" fontId="1" fillId="0" borderId="1" xfId="0" applyNumberFormat="1" applyFont="1" applyBorder="1"/>
    <xf numFmtId="165" fontId="0" fillId="0" borderId="1" xfId="0" applyNumberFormat="1" applyBorder="1"/>
    <xf numFmtId="0" fontId="1" fillId="0" borderId="1" xfId="0" applyFont="1" applyBorder="1" applyAlignment="1">
      <alignment horizontal="center"/>
    </xf>
    <xf numFmtId="164" fontId="3" fillId="0" borderId="1" xfId="0" applyNumberFormat="1" applyFont="1" applyBorder="1"/>
    <xf numFmtId="0" fontId="0" fillId="0" borderId="1" xfId="0" applyBorder="1"/>
    <xf numFmtId="2" fontId="0" fillId="0" borderId="1" xfId="0" applyNumberFormat="1" applyBorder="1"/>
    <xf numFmtId="0" fontId="1" fillId="0" borderId="1" xfId="0" applyFont="1" applyBorder="1"/>
    <xf numFmtId="2" fontId="1" fillId="0" borderId="1" xfId="0" applyNumberFormat="1" applyFont="1" applyBorder="1"/>
    <xf numFmtId="164" fontId="1" fillId="0" borderId="1" xfId="0" applyNumberFormat="1" applyFont="1" applyBorder="1"/>
    <xf numFmtId="165" fontId="1" fillId="0" borderId="1" xfId="0" applyNumberFormat="1" applyFont="1" applyBorder="1"/>
    <xf numFmtId="0" fontId="11" fillId="0" borderId="0" xfId="0" applyFont="1" applyAlignment="1">
      <alignment horizontal="right"/>
    </xf>
    <xf numFmtId="49" fontId="11" fillId="0" borderId="0" xfId="0" applyNumberFormat="1" applyFont="1" applyAlignment="1">
      <alignment horizontal="right"/>
    </xf>
    <xf numFmtId="14" fontId="11" fillId="0" borderId="0" xfId="0" applyNumberFormat="1" applyFont="1"/>
    <xf numFmtId="21" fontId="11" fillId="0" borderId="0" xfId="0" applyNumberFormat="1" applyFont="1"/>
    <xf numFmtId="0" fontId="11" fillId="0" borderId="0" xfId="0" applyFont="1"/>
    <xf numFmtId="0" fontId="0" fillId="0" borderId="0" xfId="0" applyAlignment="1">
      <alignment horizontal="right"/>
    </xf>
    <xf numFmtId="49" fontId="0" fillId="0" borderId="0" xfId="0" applyNumberFormat="1" applyAlignment="1">
      <alignment horizontal="right"/>
    </xf>
    <xf numFmtId="2" fontId="0" fillId="0" borderId="0" xfId="0" applyNumberFormat="1" applyAlignment="1">
      <alignment horizontal="right"/>
    </xf>
    <xf numFmtId="1" fontId="0" fillId="0" borderId="1" xfId="0" applyNumberFormat="1" applyBorder="1"/>
    <xf numFmtId="0" fontId="8" fillId="0" borderId="1" xfId="0" applyFont="1" applyBorder="1" applyAlignment="1">
      <alignment horizontal="left" vertical="center"/>
    </xf>
    <xf numFmtId="0" fontId="0" fillId="0" borderId="0" xfId="0" applyAlignment="1">
      <alignment horizontal="center" vertical="center" wrapText="1"/>
    </xf>
    <xf numFmtId="0" fontId="9" fillId="3" borderId="0" xfId="3" applyBorder="1" applyAlignment="1">
      <alignment vertical="center"/>
    </xf>
    <xf numFmtId="0" fontId="12" fillId="4" borderId="0" xfId="4" applyBorder="1" applyAlignment="1">
      <alignment vertical="center"/>
    </xf>
    <xf numFmtId="0" fontId="7" fillId="2" borderId="0" xfId="2" applyBorder="1" applyAlignment="1">
      <alignment vertical="center"/>
    </xf>
    <xf numFmtId="0" fontId="13" fillId="5" borderId="0" xfId="5" applyBorder="1" applyAlignment="1">
      <alignment vertical="center"/>
    </xf>
    <xf numFmtId="0" fontId="0" fillId="0" borderId="0" xfId="0" quotePrefix="1" applyAlignment="1">
      <alignment wrapText="1"/>
    </xf>
    <xf numFmtId="0" fontId="14" fillId="6" borderId="0" xfId="6" applyAlignment="1">
      <alignment wrapText="1"/>
    </xf>
    <xf numFmtId="49" fontId="6" fillId="0" borderId="0" xfId="0" quotePrefix="1" applyNumberFormat="1" applyFont="1" applyAlignment="1">
      <alignment wrapText="1"/>
    </xf>
    <xf numFmtId="49" fontId="0" fillId="0" borderId="0" xfId="0" quotePrefix="1" applyNumberFormat="1" applyAlignment="1">
      <alignment wrapText="1"/>
    </xf>
    <xf numFmtId="0" fontId="6" fillId="0" borderId="0" xfId="0" quotePrefix="1" applyFont="1" applyAlignment="1">
      <alignment vertical="center" wrapText="1"/>
    </xf>
    <xf numFmtId="167" fontId="0" fillId="0" borderId="0" xfId="0" applyNumberFormat="1"/>
    <xf numFmtId="167" fontId="0" fillId="0" borderId="0" xfId="0" quotePrefix="1" applyNumberFormat="1"/>
    <xf numFmtId="164" fontId="0" fillId="0" borderId="0" xfId="0" quotePrefix="1" applyNumberFormat="1"/>
    <xf numFmtId="164" fontId="0" fillId="0" borderId="1" xfId="0" applyNumberFormat="1" applyBorder="1"/>
    <xf numFmtId="1" fontId="8" fillId="0" borderId="1" xfId="0" applyNumberFormat="1" applyFont="1" applyBorder="1" applyAlignment="1">
      <alignment horizontal="left" vertical="center"/>
    </xf>
    <xf numFmtId="14" fontId="0" fillId="0" borderId="1" xfId="0" applyNumberFormat="1" applyBorder="1"/>
    <xf numFmtId="14" fontId="1" fillId="0" borderId="1" xfId="0" applyNumberFormat="1" applyFont="1" applyBorder="1"/>
    <xf numFmtId="1" fontId="0" fillId="0" borderId="0" xfId="0" applyNumberFormat="1" applyAlignment="1">
      <alignment horizontal="right" vertical="center"/>
    </xf>
    <xf numFmtId="1" fontId="0" fillId="0" borderId="0" xfId="0" applyNumberFormat="1" applyAlignment="1">
      <alignment horizontal="right" vertical="center" wrapText="1"/>
    </xf>
    <xf numFmtId="1" fontId="0" fillId="0" borderId="0" xfId="0" quotePrefix="1" applyNumberFormat="1" applyAlignment="1">
      <alignment horizontal="right" vertical="center"/>
    </xf>
    <xf numFmtId="0" fontId="0" fillId="0" borderId="0" xfId="0" applyAlignment="1">
      <alignment horizontal="right" vertical="center" wrapText="1"/>
    </xf>
    <xf numFmtId="165" fontId="0" fillId="0" borderId="0" xfId="0" applyNumberFormat="1" applyAlignment="1">
      <alignment horizontal="right" vertical="center"/>
    </xf>
    <xf numFmtId="164" fontId="11" fillId="0" borderId="0" xfId="0" quotePrefix="1" applyNumberFormat="1" applyFont="1" applyAlignment="1">
      <alignment horizontal="right"/>
    </xf>
    <xf numFmtId="164" fontId="0" fillId="0" borderId="0" xfId="0" quotePrefix="1" applyNumberFormat="1" applyAlignment="1">
      <alignment horizontal="right"/>
    </xf>
    <xf numFmtId="49" fontId="1" fillId="0" borderId="0" xfId="0" applyNumberFormat="1" applyFont="1" applyAlignment="1">
      <alignment vertical="center"/>
    </xf>
    <xf numFmtId="49" fontId="1" fillId="0" borderId="2" xfId="0" applyNumberFormat="1" applyFont="1" applyBorder="1" applyAlignment="1">
      <alignment vertical="center"/>
    </xf>
    <xf numFmtId="167" fontId="0" fillId="0" borderId="1" xfId="0" applyNumberFormat="1" applyBorder="1"/>
    <xf numFmtId="167" fontId="1" fillId="0" borderId="1" xfId="0" applyNumberFormat="1" applyFont="1" applyBorder="1"/>
    <xf numFmtId="11" fontId="0" fillId="0" borderId="0" xfId="0" applyNumberFormat="1"/>
    <xf numFmtId="2" fontId="0" fillId="0" borderId="0" xfId="0" applyNumberFormat="1"/>
    <xf numFmtId="164" fontId="0" fillId="0" borderId="0" xfId="0" applyNumberFormat="1" applyAlignment="1">
      <alignment vertical="center"/>
    </xf>
    <xf numFmtId="164" fontId="10" fillId="0" borderId="1" xfId="0" applyNumberFormat="1" applyFont="1" applyBorder="1"/>
    <xf numFmtId="164" fontId="0" fillId="0" borderId="2" xfId="0" applyNumberFormat="1" applyBorder="1" applyAlignment="1">
      <alignment vertical="center"/>
    </xf>
    <xf numFmtId="0" fontId="8" fillId="0" borderId="3" xfId="0" applyFont="1" applyBorder="1" applyAlignment="1">
      <alignment horizontal="left" vertical="center"/>
    </xf>
    <xf numFmtId="0" fontId="1" fillId="0" borderId="0" xfId="0" applyFont="1" applyAlignment="1">
      <alignment horizontal="left" vertical="center" wrapText="1"/>
    </xf>
    <xf numFmtId="167" fontId="0" fillId="0" borderId="0" xfId="0" applyNumberFormat="1" applyAlignment="1">
      <alignment vertical="center"/>
    </xf>
    <xf numFmtId="166" fontId="0" fillId="0" borderId="0" xfId="0" applyNumberFormat="1" applyAlignment="1">
      <alignment vertical="center"/>
    </xf>
    <xf numFmtId="166" fontId="0" fillId="0" borderId="0" xfId="0" applyNumberFormat="1" applyAlignment="1">
      <alignment horizontal="right"/>
    </xf>
    <xf numFmtId="166" fontId="0" fillId="0" borderId="0" xfId="0" applyNumberFormat="1" applyAlignment="1">
      <alignment vertical="center" wrapText="1"/>
    </xf>
    <xf numFmtId="166" fontId="0" fillId="0" borderId="0" xfId="0" applyNumberFormat="1" applyAlignment="1">
      <alignment horizontal="right" wrapText="1"/>
    </xf>
    <xf numFmtId="0" fontId="1" fillId="0" borderId="6" xfId="0" applyFont="1" applyBorder="1"/>
    <xf numFmtId="0" fontId="0" fillId="8" borderId="7" xfId="0" applyFill="1" applyBorder="1"/>
    <xf numFmtId="0" fontId="0" fillId="0" borderId="7" xfId="0" applyBorder="1"/>
    <xf numFmtId="0" fontId="15" fillId="7" borderId="0" xfId="0" applyFont="1" applyFill="1"/>
    <xf numFmtId="0" fontId="1" fillId="0" borderId="0" xfId="0" applyFont="1" applyAlignment="1">
      <alignment horizontal="lef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6" fillId="0" borderId="0" xfId="0" quotePrefix="1" applyFont="1" applyAlignment="1">
      <alignment horizontal="center" vertical="center" wrapText="1"/>
    </xf>
    <xf numFmtId="49" fontId="0" fillId="0" borderId="0" xfId="0" applyNumberFormat="1" applyAlignment="1">
      <alignment horizontal="center" vertical="center" wrapText="1"/>
    </xf>
    <xf numFmtId="1" fontId="0" fillId="0" borderId="1" xfId="0" applyNumberFormat="1" applyBorder="1" applyAlignment="1">
      <alignment horizontal="center"/>
    </xf>
    <xf numFmtId="0" fontId="1" fillId="0" borderId="1" xfId="0" applyFont="1" applyBorder="1" applyAlignment="1">
      <alignment horizontal="left"/>
    </xf>
    <xf numFmtId="166" fontId="1" fillId="0" borderId="1" xfId="0" applyNumberFormat="1" applyFont="1" applyBorder="1" applyAlignment="1">
      <alignment horizontal="center" vertical="center" wrapText="1"/>
    </xf>
    <xf numFmtId="165" fontId="0" fillId="0" borderId="1" xfId="0" applyNumberFormat="1" applyBorder="1" applyAlignment="1">
      <alignment horizontal="center" vertical="center"/>
    </xf>
    <xf numFmtId="0" fontId="8" fillId="0" borderId="1" xfId="0" applyFont="1" applyBorder="1" applyAlignment="1">
      <alignment horizontal="left" vertical="center"/>
    </xf>
    <xf numFmtId="0" fontId="1" fillId="0" borderId="1" xfId="0" applyFont="1" applyBorder="1" applyAlignment="1">
      <alignment horizontal="left" vertic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vertical="center" wrapText="1"/>
    </xf>
    <xf numFmtId="0" fontId="8" fillId="0" borderId="1" xfId="0" applyFont="1" applyBorder="1" applyAlignment="1">
      <alignment horizontal="center"/>
    </xf>
    <xf numFmtId="0" fontId="8" fillId="0" borderId="3" xfId="0" applyFont="1" applyBorder="1" applyAlignment="1">
      <alignment horizontal="center"/>
    </xf>
    <xf numFmtId="167" fontId="0" fillId="0" borderId="0" xfId="0" applyNumberFormat="1" applyAlignment="1">
      <alignment horizontal="center" vertical="center"/>
    </xf>
    <xf numFmtId="164" fontId="0" fillId="0" borderId="0" xfId="0" applyNumberFormat="1" applyAlignment="1">
      <alignment horizontal="center"/>
    </xf>
    <xf numFmtId="0" fontId="1" fillId="0" borderId="1" xfId="0" applyFont="1" applyBorder="1" applyAlignment="1">
      <alignment horizontal="center"/>
    </xf>
    <xf numFmtId="0" fontId="0" fillId="0" borderId="0" xfId="0" applyAlignment="1">
      <alignment horizontal="center"/>
    </xf>
  </cellXfs>
  <cellStyles count="7">
    <cellStyle name="40% - Isticanje1" xfId="5" builtinId="31"/>
    <cellStyle name="Dobro" xfId="4" builtinId="26"/>
    <cellStyle name="Hiperveza" xfId="1" builtinId="8"/>
    <cellStyle name="Isticanje2" xfId="6" builtinId="33"/>
    <cellStyle name="Loše" xfId="2" builtinId="27"/>
    <cellStyle name="Neutralno" xfId="3" builtinId="28"/>
    <cellStyle name="Normalno" xfId="0" builtinId="0"/>
  </cellStyles>
  <dxfs count="16">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0"/>
        <name val="Calibri"/>
        <family val="2"/>
        <charset val="238"/>
        <scheme val="minor"/>
      </font>
      <fill>
        <patternFill patternType="solid">
          <fgColor theme="4"/>
          <bgColor theme="4"/>
        </patternFill>
      </fill>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charset val="238"/>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0"/>
        <name val="Calibri"/>
        <family val="2"/>
        <charset val="238"/>
        <scheme val="minor"/>
      </font>
      <fill>
        <patternFill patternType="solid">
          <fgColor theme="4"/>
          <bgColor theme="4"/>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r-H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ATLAS - N(beta)</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'Scalability analysis'!$AX$3:$AX$10</c:f>
              <c:numCache>
                <c:formatCode>General</c:formatCode>
                <c:ptCount val="8"/>
                <c:pt idx="0">
                  <c:v>32</c:v>
                </c:pt>
                <c:pt idx="1">
                  <c:v>64</c:v>
                </c:pt>
                <c:pt idx="2">
                  <c:v>96</c:v>
                </c:pt>
                <c:pt idx="3">
                  <c:v>128</c:v>
                </c:pt>
                <c:pt idx="4">
                  <c:v>160</c:v>
                </c:pt>
                <c:pt idx="5">
                  <c:v>192</c:v>
                </c:pt>
                <c:pt idx="6">
                  <c:v>224</c:v>
                </c:pt>
                <c:pt idx="7">
                  <c:v>256</c:v>
                </c:pt>
              </c:numCache>
            </c:numRef>
          </c:xVal>
          <c:yVal>
            <c:numRef>
              <c:f>'Scalability analysis'!$AY$3:$AY$10</c:f>
              <c:numCache>
                <c:formatCode>General</c:formatCode>
                <c:ptCount val="8"/>
                <c:pt idx="0">
                  <c:v>2.6275325858516831</c:v>
                </c:pt>
                <c:pt idx="1">
                  <c:v>2.5654670700529119</c:v>
                </c:pt>
                <c:pt idx="2">
                  <c:v>2.6970921627126829</c:v>
                </c:pt>
                <c:pt idx="3">
                  <c:v>2.601591861809772</c:v>
                </c:pt>
                <c:pt idx="4">
                  <c:v>2.4117769889329708</c:v>
                </c:pt>
                <c:pt idx="5">
                  <c:v>2.427847891066091</c:v>
                </c:pt>
                <c:pt idx="6">
                  <c:v>1.9147051400004884</c:v>
                </c:pt>
                <c:pt idx="7">
                  <c:v>0.64789274743951764</c:v>
                </c:pt>
              </c:numCache>
            </c:numRef>
          </c:yVal>
          <c:smooth val="0"/>
          <c:extLst>
            <c:ext xmlns:c16="http://schemas.microsoft.com/office/drawing/2014/chart" uri="{C3380CC4-5D6E-409C-BE32-E72D297353CC}">
              <c16:uniqueId val="{00000000-66B2-40AD-A664-340A821A49AB}"/>
            </c:ext>
          </c:extLst>
        </c:ser>
        <c:ser>
          <c:idx val="1"/>
          <c:order val="1"/>
          <c:tx>
            <c:v>ATLAS - N(mid)</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'Scalability analysis'!$AX$11:$AX$18</c:f>
              <c:numCache>
                <c:formatCode>General</c:formatCode>
                <c:ptCount val="8"/>
                <c:pt idx="0">
                  <c:v>32</c:v>
                </c:pt>
                <c:pt idx="1">
                  <c:v>64</c:v>
                </c:pt>
                <c:pt idx="2">
                  <c:v>96</c:v>
                </c:pt>
                <c:pt idx="3">
                  <c:v>128</c:v>
                </c:pt>
                <c:pt idx="4">
                  <c:v>160</c:v>
                </c:pt>
                <c:pt idx="5">
                  <c:v>192</c:v>
                </c:pt>
                <c:pt idx="6">
                  <c:v>224</c:v>
                </c:pt>
                <c:pt idx="7">
                  <c:v>256</c:v>
                </c:pt>
              </c:numCache>
            </c:numRef>
          </c:xVal>
          <c:yVal>
            <c:numRef>
              <c:f>'Scalability analysis'!$AY$11:$AY$18</c:f>
              <c:numCache>
                <c:formatCode>General</c:formatCode>
                <c:ptCount val="8"/>
                <c:pt idx="0">
                  <c:v>2.6253458945132895</c:v>
                </c:pt>
                <c:pt idx="1">
                  <c:v>2.4608283629802856</c:v>
                </c:pt>
                <c:pt idx="2">
                  <c:v>2.5585905781803171</c:v>
                </c:pt>
                <c:pt idx="3">
                  <c:v>2.5077835736006562</c:v>
                </c:pt>
                <c:pt idx="4">
                  <c:v>2.3991127210565946</c:v>
                </c:pt>
                <c:pt idx="5">
                  <c:v>2.3240758270432229</c:v>
                </c:pt>
                <c:pt idx="6">
                  <c:v>2.4235841288363105</c:v>
                </c:pt>
                <c:pt idx="7">
                  <c:v>2.4484583993555638</c:v>
                </c:pt>
              </c:numCache>
            </c:numRef>
          </c:yVal>
          <c:smooth val="0"/>
          <c:extLst>
            <c:ext xmlns:c16="http://schemas.microsoft.com/office/drawing/2014/chart" uri="{C3380CC4-5D6E-409C-BE32-E72D297353CC}">
              <c16:uniqueId val="{00000001-66B2-40AD-A664-340A821A49AB}"/>
            </c:ext>
          </c:extLst>
        </c:ser>
        <c:ser>
          <c:idx val="2"/>
          <c:order val="2"/>
          <c:tx>
            <c:v>ATLAS - N(alpha)</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'Scalability analysis'!$AX$19:$AX$26</c:f>
              <c:numCache>
                <c:formatCode>General</c:formatCode>
                <c:ptCount val="8"/>
                <c:pt idx="0">
                  <c:v>32</c:v>
                </c:pt>
                <c:pt idx="1">
                  <c:v>64</c:v>
                </c:pt>
                <c:pt idx="2">
                  <c:v>96</c:v>
                </c:pt>
                <c:pt idx="3">
                  <c:v>128</c:v>
                </c:pt>
                <c:pt idx="4">
                  <c:v>160</c:v>
                </c:pt>
                <c:pt idx="5">
                  <c:v>192</c:v>
                </c:pt>
                <c:pt idx="6">
                  <c:v>224</c:v>
                </c:pt>
                <c:pt idx="7">
                  <c:v>256</c:v>
                </c:pt>
              </c:numCache>
            </c:numRef>
          </c:xVal>
          <c:yVal>
            <c:numRef>
              <c:f>'Scalability analysis'!$AY$19:$AY$26</c:f>
              <c:numCache>
                <c:formatCode>General</c:formatCode>
                <c:ptCount val="8"/>
                <c:pt idx="0">
                  <c:v>2.6068127487955808</c:v>
                </c:pt>
                <c:pt idx="1">
                  <c:v>2.5037720375346058</c:v>
                </c:pt>
                <c:pt idx="2">
                  <c:v>2.4272935065390882</c:v>
                </c:pt>
                <c:pt idx="3">
                  <c:v>2.2856999653327428</c:v>
                </c:pt>
                <c:pt idx="4">
                  <c:v>2.3290598290598297</c:v>
                </c:pt>
                <c:pt idx="5">
                  <c:v>2.3184373636685405</c:v>
                </c:pt>
                <c:pt idx="6">
                  <c:v>2.3216475540235977</c:v>
                </c:pt>
                <c:pt idx="7">
                  <c:v>2.2444187708828567</c:v>
                </c:pt>
              </c:numCache>
            </c:numRef>
          </c:yVal>
          <c:smooth val="0"/>
          <c:extLst>
            <c:ext xmlns:c16="http://schemas.microsoft.com/office/drawing/2014/chart" uri="{C3380CC4-5D6E-409C-BE32-E72D297353CC}">
              <c16:uniqueId val="{00000002-66B2-40AD-A664-340A821A49AB}"/>
            </c:ext>
          </c:extLst>
        </c:ser>
        <c:ser>
          <c:idx val="3"/>
          <c:order val="3"/>
          <c:tx>
            <c:v>OpenBLAS - N(beta)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'Scalability analysis'!$AX$3:$AX$10</c:f>
              <c:numCache>
                <c:formatCode>General</c:formatCode>
                <c:ptCount val="8"/>
                <c:pt idx="0">
                  <c:v>32</c:v>
                </c:pt>
                <c:pt idx="1">
                  <c:v>64</c:v>
                </c:pt>
                <c:pt idx="2">
                  <c:v>96</c:v>
                </c:pt>
                <c:pt idx="3">
                  <c:v>128</c:v>
                </c:pt>
                <c:pt idx="4">
                  <c:v>160</c:v>
                </c:pt>
                <c:pt idx="5">
                  <c:v>192</c:v>
                </c:pt>
                <c:pt idx="6">
                  <c:v>224</c:v>
                </c:pt>
                <c:pt idx="7">
                  <c:v>256</c:v>
                </c:pt>
              </c:numCache>
            </c:numRef>
          </c:xVal>
          <c:yVal>
            <c:numRef>
              <c:f>'Scalability analysis'!$BA$3:$BA$10</c:f>
              <c:numCache>
                <c:formatCode>General</c:formatCode>
                <c:ptCount val="8"/>
                <c:pt idx="0">
                  <c:v>2.2638822434624704</c:v>
                </c:pt>
                <c:pt idx="1">
                  <c:v>2.0776457912949793</c:v>
                </c:pt>
                <c:pt idx="2">
                  <c:v>2.0548612957546748</c:v>
                </c:pt>
                <c:pt idx="3">
                  <c:v>2.0892956655615689</c:v>
                </c:pt>
                <c:pt idx="4">
                  <c:v>2.0623408770534346</c:v>
                </c:pt>
                <c:pt idx="5">
                  <c:v>1.6816139288038854</c:v>
                </c:pt>
                <c:pt idx="6">
                  <c:v>1.9926079911572232</c:v>
                </c:pt>
                <c:pt idx="7">
                  <c:v>0.47032136914040656</c:v>
                </c:pt>
              </c:numCache>
            </c:numRef>
          </c:yVal>
          <c:smooth val="0"/>
          <c:extLst>
            <c:ext xmlns:c16="http://schemas.microsoft.com/office/drawing/2014/chart" uri="{C3380CC4-5D6E-409C-BE32-E72D297353CC}">
              <c16:uniqueId val="{00000003-66B2-40AD-A664-340A821A49AB}"/>
            </c:ext>
          </c:extLst>
        </c:ser>
        <c:ser>
          <c:idx val="4"/>
          <c:order val="4"/>
          <c:tx>
            <c:v>OpenBLAS - N(mid)</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'Scalability analysis'!$AX$11:$AX$18</c:f>
              <c:numCache>
                <c:formatCode>General</c:formatCode>
                <c:ptCount val="8"/>
                <c:pt idx="0">
                  <c:v>32</c:v>
                </c:pt>
                <c:pt idx="1">
                  <c:v>64</c:v>
                </c:pt>
                <c:pt idx="2">
                  <c:v>96</c:v>
                </c:pt>
                <c:pt idx="3">
                  <c:v>128</c:v>
                </c:pt>
                <c:pt idx="4">
                  <c:v>160</c:v>
                </c:pt>
                <c:pt idx="5">
                  <c:v>192</c:v>
                </c:pt>
                <c:pt idx="6">
                  <c:v>224</c:v>
                </c:pt>
                <c:pt idx="7">
                  <c:v>256</c:v>
                </c:pt>
              </c:numCache>
            </c:numRef>
          </c:xVal>
          <c:yVal>
            <c:numRef>
              <c:f>'Scalability analysis'!$BA$11:$BA$18</c:f>
              <c:numCache>
                <c:formatCode>General</c:formatCode>
                <c:ptCount val="8"/>
                <c:pt idx="0">
                  <c:v>2.2019539574391449</c:v>
                </c:pt>
                <c:pt idx="1">
                  <c:v>2.0234154132347726</c:v>
                </c:pt>
                <c:pt idx="2">
                  <c:v>1.9995224393437894</c:v>
                </c:pt>
                <c:pt idx="3">
                  <c:v>2.0658307908866824</c:v>
                </c:pt>
                <c:pt idx="4">
                  <c:v>2.0527509064235887</c:v>
                </c:pt>
                <c:pt idx="5">
                  <c:v>2.0516357375769561</c:v>
                </c:pt>
                <c:pt idx="6">
                  <c:v>2.0000358715859612</c:v>
                </c:pt>
                <c:pt idx="7">
                  <c:v>2.1122583809647741</c:v>
                </c:pt>
              </c:numCache>
            </c:numRef>
          </c:yVal>
          <c:smooth val="0"/>
          <c:extLst>
            <c:ext xmlns:c16="http://schemas.microsoft.com/office/drawing/2014/chart" uri="{C3380CC4-5D6E-409C-BE32-E72D297353CC}">
              <c16:uniqueId val="{00000004-66B2-40AD-A664-340A821A49AB}"/>
            </c:ext>
          </c:extLst>
        </c:ser>
        <c:ser>
          <c:idx val="5"/>
          <c:order val="5"/>
          <c:tx>
            <c:v>OpenBLAS - N(alpha)</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'Scalability analysis'!$AX$19:$AX$26</c:f>
              <c:numCache>
                <c:formatCode>General</c:formatCode>
                <c:ptCount val="8"/>
                <c:pt idx="0">
                  <c:v>32</c:v>
                </c:pt>
                <c:pt idx="1">
                  <c:v>64</c:v>
                </c:pt>
                <c:pt idx="2">
                  <c:v>96</c:v>
                </c:pt>
                <c:pt idx="3">
                  <c:v>128</c:v>
                </c:pt>
                <c:pt idx="4">
                  <c:v>160</c:v>
                </c:pt>
                <c:pt idx="5">
                  <c:v>192</c:v>
                </c:pt>
                <c:pt idx="6">
                  <c:v>224</c:v>
                </c:pt>
                <c:pt idx="7">
                  <c:v>256</c:v>
                </c:pt>
              </c:numCache>
            </c:numRef>
          </c:xVal>
          <c:yVal>
            <c:numRef>
              <c:f>'Scalability analysis'!$BA$19:$BA$26</c:f>
              <c:numCache>
                <c:formatCode>General</c:formatCode>
                <c:ptCount val="8"/>
                <c:pt idx="0">
                  <c:v>2.165487868334329</c:v>
                </c:pt>
                <c:pt idx="1">
                  <c:v>1.9706478672692378</c:v>
                </c:pt>
                <c:pt idx="2">
                  <c:v>1.9247332927892438</c:v>
                </c:pt>
                <c:pt idx="3">
                  <c:v>2.017215785779146</c:v>
                </c:pt>
                <c:pt idx="4">
                  <c:v>1.9831858350998266</c:v>
                </c:pt>
                <c:pt idx="5">
                  <c:v>2.000721946544429</c:v>
                </c:pt>
                <c:pt idx="6">
                  <c:v>1.9653179649481463</c:v>
                </c:pt>
                <c:pt idx="7">
                  <c:v>2.0660821424583182</c:v>
                </c:pt>
              </c:numCache>
            </c:numRef>
          </c:yVal>
          <c:smooth val="0"/>
          <c:extLst>
            <c:ext xmlns:c16="http://schemas.microsoft.com/office/drawing/2014/chart" uri="{C3380CC4-5D6E-409C-BE32-E72D297353CC}">
              <c16:uniqueId val="{00000005-66B2-40AD-A664-340A821A49AB}"/>
            </c:ext>
          </c:extLst>
        </c:ser>
        <c:dLbls>
          <c:showLegendKey val="0"/>
          <c:showVal val="0"/>
          <c:showCatName val="0"/>
          <c:showSerName val="0"/>
          <c:showPercent val="0"/>
          <c:showBubbleSize val="0"/>
        </c:dLbls>
        <c:axId val="1335141951"/>
        <c:axId val="1335143871"/>
      </c:scatterChart>
      <c:valAx>
        <c:axId val="1335141951"/>
        <c:scaling>
          <c:orientation val="minMax"/>
          <c:max val="26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335143871"/>
        <c:crosses val="autoZero"/>
        <c:crossBetween val="midCat"/>
        <c:majorUnit val="32"/>
      </c:valAx>
      <c:valAx>
        <c:axId val="1335143871"/>
        <c:scaling>
          <c:orientation val="minMax"/>
          <c:max val="4"/>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crossAx val="13351419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r-Latn-R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r-Latn-R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28</xdr:col>
      <xdr:colOff>0</xdr:colOff>
      <xdr:row>32</xdr:row>
      <xdr:rowOff>0</xdr:rowOff>
    </xdr:from>
    <xdr:to>
      <xdr:col>39</xdr:col>
      <xdr:colOff>57150</xdr:colOff>
      <xdr:row>54</xdr:row>
      <xdr:rowOff>128588</xdr:rowOff>
    </xdr:to>
    <xdr:graphicFrame macro="">
      <xdr:nvGraphicFramePr>
        <xdr:cNvPr id="2" name="Chart 1">
          <a:extLst>
            <a:ext uri="{FF2B5EF4-FFF2-40B4-BE49-F238E27FC236}">
              <a16:creationId xmlns:a16="http://schemas.microsoft.com/office/drawing/2014/main" id="{E0D44D11-163B-40E3-A21F-54E613719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4A7DC4-8461-4CD3-9FF0-92548C72DC14}" name="Table1" displayName="Table1" ref="A2:E74" totalsRowShown="0">
  <autoFilter ref="A2:E74" xr:uid="{234A7DC4-8461-4CD3-9FF0-92548C72DC14}"/>
  <sortState xmlns:xlrd2="http://schemas.microsoft.com/office/spreadsheetml/2017/richdata2" ref="A3:E74">
    <sortCondition ref="C3:C74"/>
    <sortCondition descending="1" ref="A3:A74"/>
    <sortCondition ref="B3:B74"/>
  </sortState>
  <tableColumns count="5">
    <tableColumn id="1" xr3:uid="{BE992DB6-2A50-4B7E-A709-53189CF4AFAA}" name="N (rounded)"/>
    <tableColumn id="2" xr3:uid="{3032DA4A-4E5B-4698-BBD7-AE793CD9F2E5}" name="NB"/>
    <tableColumn id="3" xr3:uid="{9EC02C14-1B30-4096-9ADF-42341096EFDD}" name="P"/>
    <tableColumn id="4" xr3:uid="{5BE3013E-8E36-45D8-BA14-968241AF3778}" name="Q"/>
    <tableColumn id="5" xr3:uid="{82C83E51-C6E8-4745-9704-7D1A4FD40399}" name="Average GFLOP/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82ACAB-4190-44E0-A645-CE59F29D3CEE}" name="Table2" displayName="Table2" ref="G2:K74" totalsRowShown="0">
  <autoFilter ref="G2:K74" xr:uid="{D682ACAB-4190-44E0-A645-CE59F29D3CEE}"/>
  <sortState xmlns:xlrd2="http://schemas.microsoft.com/office/spreadsheetml/2017/richdata2" ref="G3:K74">
    <sortCondition ref="I3:I74"/>
    <sortCondition descending="1" ref="G3:G74"/>
    <sortCondition ref="H3:H74"/>
  </sortState>
  <tableColumns count="5">
    <tableColumn id="1" xr3:uid="{9F0565A0-FA10-486C-A9EC-BE89FE480B46}" name="N (rounded)"/>
    <tableColumn id="2" xr3:uid="{0C73F825-8709-4C9E-9D76-56C5247DCBBA}" name="NB"/>
    <tableColumn id="3" xr3:uid="{0ECBCF30-8157-4D0D-B3C7-3567442A2EFC}" name="P"/>
    <tableColumn id="4" xr3:uid="{5606B535-CA67-4F0E-82A1-BEF2DBC06F02}" name="Q"/>
    <tableColumn id="5" xr3:uid="{E47C8ADC-AF4D-4ACA-A92D-2561B5259D28}" name="Average GFLOP/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ABC544-0A78-49B6-B360-4D1302E8B83F}" name="Table5" displayName="Table5" ref="S2:W50" totalsRowShown="0" headerRowDxfId="15" dataDxfId="14" tableBorderDxfId="13">
  <autoFilter ref="S2:W50" xr:uid="{F0ABC544-0A78-49B6-B360-4D1302E8B83F}"/>
  <sortState xmlns:xlrd2="http://schemas.microsoft.com/office/spreadsheetml/2017/richdata2" ref="S3:W50">
    <sortCondition ref="U3:U50"/>
    <sortCondition descending="1" ref="S3:S50"/>
    <sortCondition ref="T3:T50"/>
  </sortState>
  <tableColumns count="5">
    <tableColumn id="1" xr3:uid="{C8CB9678-4351-495F-B872-E6F7A7DE62F1}" name="N (rounded)" dataDxfId="12"/>
    <tableColumn id="2" xr3:uid="{07A7568E-0AD8-4BB9-8754-6463FA0573FF}" name="NB" dataDxfId="11"/>
    <tableColumn id="3" xr3:uid="{7500BDD5-6A9F-4402-ABDC-A4508A90C0FE}" name="P" dataDxfId="10"/>
    <tableColumn id="4" xr3:uid="{7E73C376-6555-4A96-BC88-DEEAE7843C20}" name="Q" dataDxfId="9"/>
    <tableColumn id="5" xr3:uid="{C3219026-EA85-4A27-8413-63E18CDB4A0A}" name="Average GFLOP/s"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636E8E-ED89-4415-969B-DD298C985EA5}" name="Table6" displayName="Table6" ref="M2:Q50" totalsRowShown="0" headerRowDxfId="7" dataDxfId="6" tableBorderDxfId="5">
  <autoFilter ref="M2:Q50" xr:uid="{92636E8E-ED89-4415-969B-DD298C985EA5}"/>
  <sortState xmlns:xlrd2="http://schemas.microsoft.com/office/spreadsheetml/2017/richdata2" ref="M3:Q50">
    <sortCondition ref="O3:O50"/>
    <sortCondition descending="1" ref="M3:M50"/>
    <sortCondition ref="N3:N50"/>
  </sortState>
  <tableColumns count="5">
    <tableColumn id="1" xr3:uid="{0A2A6CF0-23DE-4E91-B8A1-A28413DA21BE}" name="N (rounded)" dataDxfId="4"/>
    <tableColumn id="2" xr3:uid="{3B7F3C7C-4FDA-4619-87FB-EA7D21389B19}" name="NB" dataDxfId="3"/>
    <tableColumn id="3" xr3:uid="{A7A9CF8B-00DC-4788-8E87-95CAD52A7086}" name="P" dataDxfId="2"/>
    <tableColumn id="4" xr3:uid="{CB9096F9-16C2-48E4-B505-3E7799585A8D}" name="Q" dataDxfId="1"/>
    <tableColumn id="5" xr3:uid="{5A3FE21D-2E7C-4626-AC87-AE61C43DC3C6}" name="Average GFLOP/s" dataDxfId="0"/>
  </tableColumns>
  <tableStyleInfo name="TableStyleMedium2" showFirstColumn="0" showLastColumn="0" showRowStripes="1" showColumnStripes="0"/>
</table>
</file>

<file path=xl/theme/theme1.xml><?xml version="1.0" encoding="utf-8"?>
<a:theme xmlns:a="http://schemas.openxmlformats.org/drawingml/2006/main" name="Tema sustav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st.github.com/fm4dd/c663217935dc17f0fc73c9c81b0aa84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A4B5-93CF-4B8A-8DFF-B002923152E4}">
  <dimension ref="A1:Q34"/>
  <sheetViews>
    <sheetView workbookViewId="0">
      <selection activeCell="O13" sqref="O13:Q13"/>
    </sheetView>
  </sheetViews>
  <sheetFormatPr defaultRowHeight="15" x14ac:dyDescent="0.25"/>
  <cols>
    <col min="1" max="1" width="12.28515625" bestFit="1" customWidth="1"/>
    <col min="2" max="2" width="6.28515625" bestFit="1" customWidth="1"/>
    <col min="3" max="3" width="10.5703125" bestFit="1" customWidth="1"/>
    <col min="4" max="4" width="15.140625" bestFit="1" customWidth="1"/>
    <col min="5" max="5" width="12.140625" bestFit="1" customWidth="1"/>
    <col min="6" max="6" width="24.28515625" bestFit="1" customWidth="1"/>
    <col min="7" max="7" width="10.28515625" bestFit="1" customWidth="1"/>
    <col min="10" max="10" width="27.140625" bestFit="1" customWidth="1"/>
    <col min="11" max="11" width="18" bestFit="1" customWidth="1"/>
    <col min="12" max="12" width="31.140625" bestFit="1" customWidth="1"/>
  </cols>
  <sheetData>
    <row r="1" spans="1:17" x14ac:dyDescent="0.25">
      <c r="A1" s="5" t="s">
        <v>8</v>
      </c>
      <c r="B1" s="4" t="s">
        <v>9</v>
      </c>
      <c r="C1" s="4" t="s">
        <v>10</v>
      </c>
      <c r="D1" s="4" t="s">
        <v>11</v>
      </c>
      <c r="E1" s="4" t="s">
        <v>12</v>
      </c>
      <c r="F1" s="4" t="s">
        <v>13</v>
      </c>
      <c r="G1" s="4" t="s">
        <v>14</v>
      </c>
      <c r="H1" s="4"/>
      <c r="I1" s="4"/>
      <c r="J1" s="4" t="s">
        <v>15</v>
      </c>
      <c r="K1" t="s">
        <v>16</v>
      </c>
    </row>
    <row r="2" spans="1:17" x14ac:dyDescent="0.25">
      <c r="A2" s="5" t="s">
        <v>17</v>
      </c>
      <c r="C2" t="s">
        <v>18</v>
      </c>
      <c r="D2" t="s">
        <v>19</v>
      </c>
      <c r="E2" t="s">
        <v>19</v>
      </c>
      <c r="F2" t="s">
        <v>20</v>
      </c>
      <c r="G2" t="s">
        <v>21</v>
      </c>
      <c r="K2" t="s">
        <v>22</v>
      </c>
      <c r="L2" t="s">
        <v>23</v>
      </c>
    </row>
    <row r="3" spans="1:17" x14ac:dyDescent="0.25">
      <c r="A3" s="5" t="s">
        <v>0</v>
      </c>
      <c r="C3" t="s">
        <v>24</v>
      </c>
      <c r="D3" t="s">
        <v>25</v>
      </c>
      <c r="E3" t="s">
        <v>25</v>
      </c>
      <c r="F3" t="s">
        <v>26</v>
      </c>
      <c r="G3" t="s">
        <v>21</v>
      </c>
      <c r="J3" t="s">
        <v>27</v>
      </c>
      <c r="K3" t="s">
        <v>28</v>
      </c>
    </row>
    <row r="4" spans="1:17" x14ac:dyDescent="0.25">
      <c r="A4" s="5" t="s">
        <v>29</v>
      </c>
      <c r="C4" t="s">
        <v>24</v>
      </c>
      <c r="D4" t="s">
        <v>30</v>
      </c>
      <c r="E4" t="s">
        <v>30</v>
      </c>
      <c r="F4" t="s">
        <v>31</v>
      </c>
      <c r="G4" t="s">
        <v>21</v>
      </c>
      <c r="J4" t="s">
        <v>27</v>
      </c>
      <c r="K4" t="s">
        <v>32</v>
      </c>
      <c r="L4" t="s">
        <v>33</v>
      </c>
    </row>
    <row r="5" spans="1:17" x14ac:dyDescent="0.25">
      <c r="A5" s="94" t="s">
        <v>34</v>
      </c>
      <c r="B5" s="1" t="s">
        <v>35</v>
      </c>
      <c r="C5" t="s">
        <v>24</v>
      </c>
      <c r="D5" t="s">
        <v>25</v>
      </c>
      <c r="E5" t="s">
        <v>25</v>
      </c>
      <c r="F5" t="s">
        <v>26</v>
      </c>
      <c r="G5" t="s">
        <v>21</v>
      </c>
      <c r="J5" t="s">
        <v>27</v>
      </c>
      <c r="K5" t="s">
        <v>28</v>
      </c>
      <c r="L5" s="95" t="s">
        <v>36</v>
      </c>
    </row>
    <row r="6" spans="1:17" x14ac:dyDescent="0.25">
      <c r="A6" s="94"/>
      <c r="B6" s="1" t="s">
        <v>37</v>
      </c>
      <c r="C6" t="s">
        <v>24</v>
      </c>
      <c r="D6" t="s">
        <v>38</v>
      </c>
      <c r="E6" t="s">
        <v>38</v>
      </c>
      <c r="F6" t="s">
        <v>26</v>
      </c>
      <c r="G6" t="s">
        <v>21</v>
      </c>
      <c r="J6" t="s">
        <v>27</v>
      </c>
      <c r="K6" t="s">
        <v>28</v>
      </c>
      <c r="L6" s="95"/>
    </row>
    <row r="7" spans="1:17" x14ac:dyDescent="0.25">
      <c r="A7" s="5" t="s">
        <v>67</v>
      </c>
      <c r="C7" t="s">
        <v>68</v>
      </c>
      <c r="D7" t="s">
        <v>69</v>
      </c>
      <c r="E7" t="s">
        <v>69</v>
      </c>
      <c r="F7" t="s">
        <v>70</v>
      </c>
      <c r="G7" t="s">
        <v>21</v>
      </c>
      <c r="J7" t="s">
        <v>71</v>
      </c>
    </row>
    <row r="12" spans="1:17" ht="60" x14ac:dyDescent="0.25">
      <c r="A12" s="96" t="s">
        <v>41</v>
      </c>
      <c r="B12" s="96"/>
      <c r="C12" s="9" t="s">
        <v>53</v>
      </c>
      <c r="D12" s="9" t="s">
        <v>42</v>
      </c>
      <c r="E12" s="9" t="s">
        <v>43</v>
      </c>
      <c r="F12" s="9" t="s">
        <v>44</v>
      </c>
      <c r="G12" s="9" t="s">
        <v>45</v>
      </c>
      <c r="H12" s="9" t="s">
        <v>46</v>
      </c>
      <c r="I12" s="9" t="s">
        <v>47</v>
      </c>
      <c r="J12" s="9" t="s">
        <v>2</v>
      </c>
      <c r="K12" s="9" t="s">
        <v>3</v>
      </c>
      <c r="L12" s="9" t="s">
        <v>4</v>
      </c>
      <c r="M12" s="9" t="s">
        <v>48</v>
      </c>
      <c r="N12" s="9" t="s">
        <v>49</v>
      </c>
      <c r="O12" s="9" t="s">
        <v>50</v>
      </c>
      <c r="P12" s="9" t="s">
        <v>51</v>
      </c>
      <c r="Q12" s="9" t="s">
        <v>52</v>
      </c>
    </row>
    <row r="13" spans="1:17" x14ac:dyDescent="0.25">
      <c r="A13" t="s">
        <v>53</v>
      </c>
      <c r="B13">
        <v>4</v>
      </c>
      <c r="C13">
        <v>1</v>
      </c>
      <c r="D13" t="s">
        <v>66</v>
      </c>
      <c r="E13">
        <v>931432</v>
      </c>
      <c r="F13">
        <f>$B$14*SQRT(($C13*$E13*1024)/8)</f>
        <v>8735.1536586370366</v>
      </c>
      <c r="G13">
        <f>_xlfn.CEILING.MATH(F13/J13)*J13</f>
        <v>8768</v>
      </c>
      <c r="H13">
        <f>SQRT($B$14*($C13*$E13*1024)/8)</f>
        <v>9766.1986873092028</v>
      </c>
      <c r="I13">
        <f>_xlfn.CEILING.MATH(H13/J13)*J13</f>
        <v>9792</v>
      </c>
      <c r="J13">
        <v>64</v>
      </c>
      <c r="K13">
        <v>2</v>
      </c>
      <c r="L13">
        <v>2</v>
      </c>
      <c r="M13">
        <f>I13-G13</f>
        <v>1024</v>
      </c>
      <c r="N13">
        <f>M13/2</f>
        <v>512</v>
      </c>
      <c r="O13">
        <f>G13</f>
        <v>8768</v>
      </c>
      <c r="P13">
        <f>_xlfn.CEILING.MATH((O13+N13)/J13)*J13</f>
        <v>9280</v>
      </c>
      <c r="Q13">
        <f>_xlfn.CEILING.MATH((P13+N13)/J13)*J13</f>
        <v>9792</v>
      </c>
    </row>
    <row r="14" spans="1:17" x14ac:dyDescent="0.25">
      <c r="A14" t="s">
        <v>54</v>
      </c>
      <c r="B14">
        <v>0.8</v>
      </c>
      <c r="C14">
        <v>4</v>
      </c>
      <c r="D14" t="s">
        <v>66</v>
      </c>
      <c r="E14">
        <v>931432</v>
      </c>
      <c r="F14">
        <f>$B$14*SQRT(($B$13*$E14*1024)/8)</f>
        <v>17470.307317274073</v>
      </c>
      <c r="G14">
        <f>_xlfn.CEILING.MATH(F14/J14)*J14</f>
        <v>17536</v>
      </c>
      <c r="H14">
        <f>SQRT($B$14*($B$13*$E14*1024)/8)</f>
        <v>19532.397374618406</v>
      </c>
      <c r="I14">
        <f>_xlfn.CEILING.MATH(H14/J14)*J14</f>
        <v>19584</v>
      </c>
      <c r="J14">
        <v>128</v>
      </c>
      <c r="K14">
        <v>2</v>
      </c>
      <c r="L14">
        <v>8</v>
      </c>
      <c r="M14">
        <f>I14-G14</f>
        <v>2048</v>
      </c>
      <c r="N14">
        <f>M14/2</f>
        <v>1024</v>
      </c>
      <c r="O14">
        <f>G14</f>
        <v>17536</v>
      </c>
      <c r="P14">
        <f>_xlfn.CEILING.MATH((O14+N14)/J14)*J14</f>
        <v>18560</v>
      </c>
      <c r="Q14">
        <f>_xlfn.CEILING.MATH((P14+N14)/J14)*J14</f>
        <v>19584</v>
      </c>
    </row>
    <row r="19" spans="1:1" x14ac:dyDescent="0.25">
      <c r="A19" t="s">
        <v>73</v>
      </c>
    </row>
    <row r="20" spans="1:1" x14ac:dyDescent="0.25">
      <c r="A20" t="s">
        <v>74</v>
      </c>
    </row>
    <row r="21" spans="1:1" x14ac:dyDescent="0.25">
      <c r="A21" t="s">
        <v>75</v>
      </c>
    </row>
    <row r="22" spans="1:1" x14ac:dyDescent="0.25">
      <c r="A22" t="s">
        <v>76</v>
      </c>
    </row>
    <row r="23" spans="1:1" x14ac:dyDescent="0.25">
      <c r="A23" t="s">
        <v>77</v>
      </c>
    </row>
    <row r="24" spans="1:1" x14ac:dyDescent="0.25">
      <c r="A24" t="s">
        <v>78</v>
      </c>
    </row>
    <row r="25" spans="1:1" x14ac:dyDescent="0.25">
      <c r="A25" t="s">
        <v>79</v>
      </c>
    </row>
    <row r="26" spans="1:1" x14ac:dyDescent="0.25">
      <c r="A26" t="s">
        <v>80</v>
      </c>
    </row>
    <row r="27" spans="1:1" x14ac:dyDescent="0.25">
      <c r="A27" t="s">
        <v>81</v>
      </c>
    </row>
    <row r="28" spans="1:1" x14ac:dyDescent="0.25">
      <c r="A28" t="s">
        <v>82</v>
      </c>
    </row>
    <row r="29" spans="1:1" x14ac:dyDescent="0.25">
      <c r="A29" t="s">
        <v>83</v>
      </c>
    </row>
    <row r="30" spans="1:1" x14ac:dyDescent="0.25">
      <c r="A30" t="s">
        <v>84</v>
      </c>
    </row>
    <row r="31" spans="1:1" x14ac:dyDescent="0.25">
      <c r="A31" t="s">
        <v>85</v>
      </c>
    </row>
    <row r="32" spans="1:1" x14ac:dyDescent="0.25">
      <c r="A32" t="s">
        <v>86</v>
      </c>
    </row>
    <row r="33" spans="1:1" x14ac:dyDescent="0.25">
      <c r="A33" t="s">
        <v>75</v>
      </c>
    </row>
    <row r="34" spans="1:1" x14ac:dyDescent="0.25">
      <c r="A34" t="s">
        <v>87</v>
      </c>
    </row>
  </sheetData>
  <mergeCells count="3">
    <mergeCell ref="A5:A6"/>
    <mergeCell ref="L5:L6"/>
    <mergeCell ref="A12:B12"/>
  </mergeCells>
  <phoneticPr fontId="4"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42C3B-9CE2-42F1-979D-DD3786550C7D}">
  <dimension ref="A1:R25"/>
  <sheetViews>
    <sheetView zoomScale="85" zoomScaleNormal="85" workbookViewId="0">
      <selection activeCell="L2" activeCellId="2" sqref="B2:B25 H2:H25 L2:L25"/>
    </sheetView>
  </sheetViews>
  <sheetFormatPr defaultRowHeight="15" x14ac:dyDescent="0.25"/>
  <cols>
    <col min="2" max="2" width="32.28515625" bestFit="1" customWidth="1"/>
    <col min="3" max="3" width="13.5703125" customWidth="1"/>
    <col min="4" max="4" width="8.28515625" customWidth="1"/>
    <col min="5" max="5" width="14.85546875" customWidth="1"/>
    <col min="6" max="6" width="10.42578125" customWidth="1"/>
    <col min="7" max="7" width="48.85546875" style="6" customWidth="1"/>
    <col min="8" max="8" width="43" style="6" customWidth="1"/>
    <col min="9" max="9" width="34.140625" style="6" bestFit="1" customWidth="1"/>
    <col min="10" max="10" width="35.140625" style="3" bestFit="1" customWidth="1"/>
    <col min="11" max="11" width="17.5703125" style="17" bestFit="1" customWidth="1"/>
    <col min="12" max="12" width="27.5703125" style="2" customWidth="1"/>
    <col min="13" max="13" width="15.7109375" bestFit="1" customWidth="1"/>
    <col min="14" max="14" width="15.42578125" bestFit="1" customWidth="1"/>
    <col min="15" max="15" width="16.7109375" bestFit="1" customWidth="1"/>
    <col min="16" max="16" width="16.42578125" bestFit="1" customWidth="1"/>
    <col min="17" max="17" width="16.42578125" customWidth="1"/>
    <col min="18" max="18" width="79.140625" style="2" customWidth="1"/>
  </cols>
  <sheetData>
    <row r="1" spans="1:18" s="10" customFormat="1" ht="105" x14ac:dyDescent="0.25">
      <c r="A1" s="97" t="s">
        <v>124</v>
      </c>
      <c r="B1" s="97"/>
      <c r="C1" s="84" t="s">
        <v>161</v>
      </c>
      <c r="D1" s="84" t="s">
        <v>154</v>
      </c>
      <c r="E1" s="84" t="s">
        <v>155</v>
      </c>
      <c r="F1" s="84" t="s">
        <v>156</v>
      </c>
      <c r="G1" s="8" t="s">
        <v>157</v>
      </c>
      <c r="H1" s="8" t="s">
        <v>183</v>
      </c>
      <c r="I1" s="8" t="s">
        <v>39</v>
      </c>
      <c r="J1" s="8" t="s">
        <v>56</v>
      </c>
      <c r="K1" s="9" t="s">
        <v>57</v>
      </c>
      <c r="L1" s="9" t="s">
        <v>95</v>
      </c>
      <c r="M1" s="9" t="s">
        <v>58</v>
      </c>
      <c r="N1" s="11" t="s">
        <v>59</v>
      </c>
      <c r="O1" s="9" t="s">
        <v>60</v>
      </c>
      <c r="P1" s="9" t="s">
        <v>61</v>
      </c>
      <c r="Q1" s="9"/>
      <c r="R1" s="10" t="s">
        <v>40</v>
      </c>
    </row>
    <row r="2" spans="1:18" s="7" customFormat="1" x14ac:dyDescent="0.25">
      <c r="A2" s="17">
        <v>1</v>
      </c>
      <c r="B2" t="s">
        <v>125</v>
      </c>
      <c r="C2" t="s">
        <v>174</v>
      </c>
      <c r="D2" t="s">
        <v>175</v>
      </c>
      <c r="E2" t="s">
        <v>162</v>
      </c>
      <c r="F2"/>
      <c r="G2" s="14" t="s">
        <v>164</v>
      </c>
      <c r="H2" s="14" t="str">
        <f>_xlfn.TEXTJOIN(" ",TRUE,C2:G2)</f>
        <v xml:space="preserve">-D c -DWALL -Si archdef 1  </v>
      </c>
      <c r="I2" s="98" t="s">
        <v>143</v>
      </c>
      <c r="J2" s="17"/>
      <c r="K2" s="50" t="s">
        <v>92</v>
      </c>
      <c r="L2">
        <f>VLOOKUP(B2,'HPL 4 nodes, builds'!$A$4:$X$165,24,FALSE)</f>
        <v>10.208220000000001</v>
      </c>
      <c r="M2"/>
      <c r="N2"/>
      <c r="O2"/>
      <c r="P2"/>
      <c r="Q2" s="12"/>
      <c r="R2" s="51" t="s">
        <v>126</v>
      </c>
    </row>
    <row r="3" spans="1:18" s="7" customFormat="1" x14ac:dyDescent="0.25">
      <c r="A3" s="17">
        <v>2</v>
      </c>
      <c r="B3" t="s">
        <v>55</v>
      </c>
      <c r="C3" t="s">
        <v>174</v>
      </c>
      <c r="D3" t="s">
        <v>176</v>
      </c>
      <c r="E3" t="s">
        <v>159</v>
      </c>
      <c r="F3"/>
      <c r="G3" s="14" t="s">
        <v>164</v>
      </c>
      <c r="H3" s="14" t="str">
        <f t="shared" ref="H3:H25" si="0">_xlfn.TEXTJOIN(" ",TRUE,C3:G3)</f>
        <v xml:space="preserve">-D c -DWALL -b 64 ARM64a53  </v>
      </c>
      <c r="I3" s="98"/>
      <c r="J3" s="17"/>
      <c r="K3" s="50" t="s">
        <v>92</v>
      </c>
      <c r="L3">
        <f>VLOOKUP(B3,'HPL 4 nodes, builds'!$A$4:$X$165,24,FALSE)</f>
        <v>8.1640200000000007</v>
      </c>
      <c r="M3"/>
      <c r="N3"/>
      <c r="O3"/>
      <c r="P3"/>
      <c r="Q3" s="2"/>
      <c r="R3" s="52" t="s">
        <v>63</v>
      </c>
    </row>
    <row r="4" spans="1:18" s="7" customFormat="1" x14ac:dyDescent="0.25">
      <c r="A4" s="17">
        <v>3</v>
      </c>
      <c r="B4" t="s">
        <v>88</v>
      </c>
      <c r="C4" t="s">
        <v>174</v>
      </c>
      <c r="D4" t="s">
        <v>176</v>
      </c>
      <c r="E4" t="s">
        <v>158</v>
      </c>
      <c r="F4"/>
      <c r="G4" s="14"/>
      <c r="H4" s="14" t="str">
        <f t="shared" si="0"/>
        <v>-D c -DWALL -b 64 ARM64xgene1</v>
      </c>
      <c r="I4" s="98"/>
      <c r="J4" s="17"/>
      <c r="K4" s="50" t="s">
        <v>122</v>
      </c>
      <c r="L4">
        <f>VLOOKUP(B4,'HPL 4 nodes, builds'!$A$4:$X$165,24,FALSE)</f>
        <v>9.5002800000000001</v>
      </c>
      <c r="M4"/>
      <c r="N4"/>
      <c r="O4"/>
      <c r="P4"/>
      <c r="Q4" s="2"/>
      <c r="R4" s="53" t="s">
        <v>127</v>
      </c>
    </row>
    <row r="5" spans="1:18" s="7" customFormat="1" ht="60" x14ac:dyDescent="0.25">
      <c r="A5" s="17">
        <v>4</v>
      </c>
      <c r="B5" t="s">
        <v>130</v>
      </c>
      <c r="C5" t="s">
        <v>174</v>
      </c>
      <c r="D5" t="s">
        <v>176</v>
      </c>
      <c r="E5" t="s">
        <v>158</v>
      </c>
      <c r="F5" s="19" t="s">
        <v>160</v>
      </c>
      <c r="G5" s="14" t="s">
        <v>165</v>
      </c>
      <c r="H5" s="14" t="str">
        <f t="shared" si="0"/>
        <v>-D c -DWALL -b 64 ARM64xgene1 -Fa alg -mcpu=cortex-a53 -mtune=cortex-a53 -mfpu=crypto-neon-fp-armv8 -mneon-for-64bits -mfloat-abi=hard</v>
      </c>
      <c r="I5" s="98"/>
      <c r="J5" s="17"/>
      <c r="K5" s="50" t="s">
        <v>122</v>
      </c>
      <c r="L5">
        <f>VLOOKUP(B5,'HPL 4 nodes, builds'!$A$4:$X$165,24,FALSE)</f>
        <v>10.031000000000001</v>
      </c>
      <c r="M5"/>
      <c r="N5"/>
      <c r="O5"/>
      <c r="P5"/>
      <c r="Q5" s="2"/>
      <c r="R5" s="53"/>
    </row>
    <row r="6" spans="1:18" s="7" customFormat="1" ht="60" x14ac:dyDescent="0.25">
      <c r="A6" s="17">
        <v>5</v>
      </c>
      <c r="B6" t="s">
        <v>91</v>
      </c>
      <c r="C6" t="s">
        <v>174</v>
      </c>
      <c r="D6" t="s">
        <v>176</v>
      </c>
      <c r="E6" t="s">
        <v>158</v>
      </c>
      <c r="F6" s="19" t="s">
        <v>160</v>
      </c>
      <c r="G6" s="14" t="s">
        <v>166</v>
      </c>
      <c r="H6" s="14" t="str">
        <f t="shared" si="0"/>
        <v>-D c -DWALL -b 64 ARM64xgene1 -Fa alg -mcpu=cortex-a53 -mtune=cortex-a53 -mfpu=neon-fp-armv8 -mneon-for-64bits -mfloat-abi=hard</v>
      </c>
      <c r="I6" s="98"/>
      <c r="J6" s="17"/>
      <c r="K6" s="50" t="s">
        <v>121</v>
      </c>
      <c r="L6">
        <f>VLOOKUP(B6,'HPL 4 nodes, builds'!$A$4:$X$165,24,FALSE)</f>
        <v>9.1414600000000004</v>
      </c>
      <c r="M6"/>
      <c r="N6"/>
      <c r="O6"/>
      <c r="P6"/>
      <c r="Q6" s="2" t="s">
        <v>128</v>
      </c>
      <c r="R6" s="54" t="s">
        <v>62</v>
      </c>
    </row>
    <row r="7" spans="1:18" s="7" customFormat="1" ht="60" x14ac:dyDescent="0.25">
      <c r="A7" s="17">
        <v>6</v>
      </c>
      <c r="B7" t="s">
        <v>65</v>
      </c>
      <c r="C7" t="s">
        <v>174</v>
      </c>
      <c r="D7" t="s">
        <v>176</v>
      </c>
      <c r="E7" t="s">
        <v>159</v>
      </c>
      <c r="F7" s="19" t="s">
        <v>160</v>
      </c>
      <c r="G7" s="14" t="s">
        <v>166</v>
      </c>
      <c r="H7" s="14" t="str">
        <f t="shared" si="0"/>
        <v>-D c -DWALL -b 64 ARM64a53 -Fa alg -mcpu=cortex-a53 -mtune=cortex-a53 -mfpu=neon-fp-armv8 -mneon-for-64bits -mfloat-abi=hard</v>
      </c>
      <c r="I7" s="98"/>
      <c r="J7" s="17"/>
      <c r="K7" s="50" t="s">
        <v>122</v>
      </c>
      <c r="L7">
        <f>VLOOKUP(B7,'HPL 4 nodes, builds'!$A$4:$X$165,24,FALSE)</f>
        <v>8.1805199999999996</v>
      </c>
      <c r="M7"/>
      <c r="N7"/>
      <c r="O7"/>
      <c r="P7"/>
      <c r="Q7" s="2"/>
    </row>
    <row r="8" spans="1:18" ht="60" x14ac:dyDescent="0.25">
      <c r="A8" s="17">
        <v>7</v>
      </c>
      <c r="B8" t="s">
        <v>129</v>
      </c>
      <c r="C8" t="s">
        <v>174</v>
      </c>
      <c r="D8" t="s">
        <v>176</v>
      </c>
      <c r="E8" t="s">
        <v>159</v>
      </c>
      <c r="F8" s="19" t="s">
        <v>160</v>
      </c>
      <c r="G8" s="14" t="s">
        <v>165</v>
      </c>
      <c r="H8" s="14" t="str">
        <f t="shared" si="0"/>
        <v>-D c -DWALL -b 64 ARM64a53 -Fa alg -mcpu=cortex-a53 -mtune=cortex-a53 -mfpu=crypto-neon-fp-armv8 -mneon-for-64bits -mfloat-abi=hard</v>
      </c>
      <c r="I8" s="98"/>
      <c r="J8" s="15"/>
      <c r="K8" s="17" t="s">
        <v>121</v>
      </c>
      <c r="L8">
        <f>VLOOKUP(B8,'HPL 4 nodes, builds'!$A$4:$X$165,24,FALSE)</f>
        <v>10.293760000000001</v>
      </c>
    </row>
    <row r="9" spans="1:18" ht="75" x14ac:dyDescent="0.25">
      <c r="A9" s="17">
        <v>8</v>
      </c>
      <c r="B9" t="s">
        <v>131</v>
      </c>
      <c r="C9" t="s">
        <v>174</v>
      </c>
      <c r="D9" t="s">
        <v>176</v>
      </c>
      <c r="F9" s="19" t="s">
        <v>160</v>
      </c>
      <c r="G9" s="57" t="s">
        <v>177</v>
      </c>
      <c r="H9" s="14" t="str">
        <f t="shared" si="0"/>
        <v>-D c -DWALL -b 64 -Fa alg -O1 -fno-schedule-insns -mcpu=cortex-A53 -mfpu=crypto-neon-fp-armv8 -fschedule-insns -frename-registers</v>
      </c>
      <c r="I9" s="15"/>
      <c r="J9" s="17"/>
      <c r="K9" s="50" t="s">
        <v>92</v>
      </c>
      <c r="L9">
        <f>VLOOKUP(B9,'HPL 4 nodes, builds'!$A$4:$X$165,24,FALSE)</f>
        <v>10.690000000000001</v>
      </c>
      <c r="Q9" s="56" t="s">
        <v>136</v>
      </c>
      <c r="R9"/>
    </row>
    <row r="10" spans="1:18" x14ac:dyDescent="0.25">
      <c r="A10" s="17">
        <v>9</v>
      </c>
      <c r="B10" t="s">
        <v>107</v>
      </c>
      <c r="C10" t="s">
        <v>174</v>
      </c>
      <c r="D10" t="s">
        <v>176</v>
      </c>
      <c r="F10" s="19" t="s">
        <v>160</v>
      </c>
      <c r="G10" s="13" t="s">
        <v>178</v>
      </c>
      <c r="H10" s="14" t="str">
        <f t="shared" si="0"/>
        <v>-D c -DWALL -b 64 -Fa alg -O2 -fno-schedule-insns -mcpu=cortex-A53 -mfpu=crypto-neon-fp-armv8 -fselective-scheduling2 -frename-registers</v>
      </c>
      <c r="I10" s="15"/>
      <c r="J10" s="17"/>
      <c r="K10" s="50" t="s">
        <v>120</v>
      </c>
      <c r="L10">
        <f>VLOOKUP(B10,'HPL 4 nodes, builds'!$A$4:$X$165,24,FALSE)</f>
        <v>10.700199999999999</v>
      </c>
      <c r="Q10" s="2"/>
      <c r="R10"/>
    </row>
    <row r="11" spans="1:18" x14ac:dyDescent="0.25">
      <c r="A11" s="17">
        <v>10</v>
      </c>
      <c r="B11" t="s">
        <v>108</v>
      </c>
      <c r="C11" t="s">
        <v>174</v>
      </c>
      <c r="D11" t="s">
        <v>176</v>
      </c>
      <c r="F11" s="19" t="s">
        <v>160</v>
      </c>
      <c r="G11" s="13" t="s">
        <v>179</v>
      </c>
      <c r="H11" s="14" t="str">
        <f t="shared" si="0"/>
        <v>-D c -DWALL -b 64 -Fa alg -O1 -fno-schedule-insns -mcpu=cortex-A53 -mfpu=crypto-neon-fp-armv8 -fschedule-insns2</v>
      </c>
      <c r="I11" s="15"/>
      <c r="J11" s="17"/>
      <c r="K11" s="50" t="s">
        <v>121</v>
      </c>
      <c r="L11">
        <f>VLOOKUP(B11,'HPL 4 nodes, builds'!$A$4:$X$165,24,FALSE)</f>
        <v>10.616000000000001</v>
      </c>
      <c r="Q11" s="2" t="s">
        <v>119</v>
      </c>
      <c r="R11"/>
    </row>
    <row r="12" spans="1:18" ht="30" x14ac:dyDescent="0.25">
      <c r="A12" s="17">
        <v>11</v>
      </c>
      <c r="B12" t="s">
        <v>132</v>
      </c>
      <c r="C12" t="s">
        <v>174</v>
      </c>
      <c r="D12" t="s">
        <v>176</v>
      </c>
      <c r="F12" s="19" t="s">
        <v>160</v>
      </c>
      <c r="G12" s="13" t="s">
        <v>167</v>
      </c>
      <c r="H12" s="14" t="str">
        <f t="shared" si="0"/>
        <v>-D c -DWALL -b 64 -Fa alg -O2 -mcpu=cortex-a53 -mtune=cortex-a53 -mfpu=crypto-neon-fp-armv8 -mneon-for-64bits -mfloat-abi=hard -fno-expensive-optimizations</v>
      </c>
      <c r="I12" s="15"/>
      <c r="J12" s="17"/>
      <c r="K12" s="50" t="s">
        <v>121</v>
      </c>
      <c r="L12">
        <f>VLOOKUP(B12,'HPL 4 nodes, builds'!$A$4:$X$165,24,FALSE)</f>
        <v>10.6896</v>
      </c>
      <c r="Q12" s="2"/>
      <c r="R12"/>
    </row>
    <row r="13" spans="1:18" ht="30" x14ac:dyDescent="0.25">
      <c r="A13" s="17">
        <v>12</v>
      </c>
      <c r="B13" t="s">
        <v>109</v>
      </c>
      <c r="C13" t="s">
        <v>174</v>
      </c>
      <c r="D13" t="s">
        <v>176</v>
      </c>
      <c r="F13" s="19" t="s">
        <v>160</v>
      </c>
      <c r="G13" s="14" t="s">
        <v>168</v>
      </c>
      <c r="H13" s="14" t="str">
        <f t="shared" si="0"/>
        <v>-D c -DWALL -b 64 -Fa alg -O2 -mcpu=cortex-a53 -mtune=cortex-a53 -mfpu=neon-fp-armv8 -mneon-for-64bits -mfloat-abi=hard -fno-schedule-insns -fno-expensive-optimizations</v>
      </c>
      <c r="I13" s="15"/>
      <c r="J13" s="17"/>
      <c r="K13" s="50" t="s">
        <v>92</v>
      </c>
      <c r="L13">
        <f>VLOOKUP(B13,'HPL 4 nodes, builds'!$A$4:$X$165,24,FALSE)</f>
        <v>10.7128</v>
      </c>
      <c r="Q13" s="2"/>
      <c r="R13"/>
    </row>
    <row r="14" spans="1:18" x14ac:dyDescent="0.25">
      <c r="A14" s="17">
        <v>13</v>
      </c>
      <c r="B14" t="s">
        <v>110</v>
      </c>
      <c r="C14" t="s">
        <v>174</v>
      </c>
      <c r="D14" t="s">
        <v>176</v>
      </c>
      <c r="F14" s="19" t="s">
        <v>160</v>
      </c>
      <c r="G14" s="14" t="s">
        <v>169</v>
      </c>
      <c r="H14" s="14" t="str">
        <f t="shared" si="0"/>
        <v>-D c -DWALL -b 64 -Fa alg -Os -mcpu=cortex-a53 -mtune=cortex-a53 -mfpu=neon-fp-armv8 -mneon-for-64bits -mfloat-abi=hard -fno-tree-ter</v>
      </c>
      <c r="I14" s="15"/>
      <c r="J14" s="17"/>
      <c r="K14" s="50" t="s">
        <v>120</v>
      </c>
      <c r="L14">
        <f>VLOOKUP(B14,'HPL 4 nodes, builds'!$A$4:$X$165,24,FALSE)</f>
        <v>10.706799999999999</v>
      </c>
      <c r="Q14" s="2"/>
      <c r="R14"/>
    </row>
    <row r="15" spans="1:18" ht="30" x14ac:dyDescent="0.25">
      <c r="A15" s="17">
        <v>14</v>
      </c>
      <c r="B15" t="s">
        <v>133</v>
      </c>
      <c r="C15" t="s">
        <v>174</v>
      </c>
      <c r="D15" t="s">
        <v>176</v>
      </c>
      <c r="F15" s="19" t="s">
        <v>160</v>
      </c>
      <c r="G15" s="58" t="s">
        <v>170</v>
      </c>
      <c r="H15" s="14" t="str">
        <f t="shared" si="0"/>
        <v>-D c -DWALL -b 64 -Fa alg -O1 -mcpu=cortex-a53 -mtune=cortex-a53 -mfpu=crypto-neon-fp-armv8 -mneon-for-64bits -mfloat-abi=hard -fschedule-insns -frename-registers</v>
      </c>
      <c r="I15"/>
      <c r="J15" s="15"/>
      <c r="K15" s="17" t="s">
        <v>122</v>
      </c>
      <c r="L15">
        <f>VLOOKUP(B15,'HPL 4 nodes, builds'!$A$4:$X$165,24,FALSE)</f>
        <v>10.733000000000001</v>
      </c>
    </row>
    <row r="16" spans="1:18" x14ac:dyDescent="0.25">
      <c r="A16" s="17">
        <v>15</v>
      </c>
      <c r="B16" t="s">
        <v>111</v>
      </c>
      <c r="C16" t="s">
        <v>174</v>
      </c>
      <c r="D16" t="s">
        <v>176</v>
      </c>
      <c r="F16" s="19" t="s">
        <v>160</v>
      </c>
      <c r="G16" s="14" t="s">
        <v>173</v>
      </c>
      <c r="H16" s="14" t="str">
        <f t="shared" si="0"/>
        <v>-D c -DWALL -b 64 -Fa alg -O1 -fschedule-insns2 -fexpensive-optimizations -mcpu=cortex-A53</v>
      </c>
      <c r="I16" s="15"/>
      <c r="J16" s="17"/>
      <c r="K16" s="50" t="s">
        <v>92</v>
      </c>
      <c r="L16">
        <f>VLOOKUP(B16,'HPL 4 nodes, builds'!$A$4:$X$165,24,FALSE)</f>
        <v>10.7302</v>
      </c>
      <c r="Q16" s="2" t="s">
        <v>134</v>
      </c>
      <c r="R16"/>
    </row>
    <row r="17" spans="1:18" ht="75" x14ac:dyDescent="0.25">
      <c r="A17" s="17">
        <v>16</v>
      </c>
      <c r="B17" t="s">
        <v>106</v>
      </c>
      <c r="C17" t="s">
        <v>174</v>
      </c>
      <c r="D17" t="s">
        <v>176</v>
      </c>
      <c r="F17" s="19" t="s">
        <v>160</v>
      </c>
      <c r="G17" s="13" t="s">
        <v>171</v>
      </c>
      <c r="H17" s="14" t="str">
        <f t="shared" si="0"/>
        <v>-D c -DWALL -b 64 -Fa alg -O1 -fno-schedule-insns -fschedule-insns2 -fexpensive-optimizations -fselective-scheduling2</v>
      </c>
      <c r="I17" s="15"/>
      <c r="J17" s="17"/>
      <c r="K17" s="50" t="s">
        <v>121</v>
      </c>
      <c r="L17">
        <f>VLOOKUP(B17,'HPL 4 nodes, builds'!$A$4:$X$165,24,FALSE)</f>
        <v>10.714000000000002</v>
      </c>
      <c r="Q17" s="56" t="s">
        <v>135</v>
      </c>
      <c r="R17"/>
    </row>
    <row r="18" spans="1:18" ht="45" x14ac:dyDescent="0.25">
      <c r="A18" s="17" t="s">
        <v>137</v>
      </c>
      <c r="B18" t="s">
        <v>93</v>
      </c>
      <c r="C18" t="s">
        <v>174</v>
      </c>
      <c r="D18" t="s">
        <v>175</v>
      </c>
      <c r="E18" t="s">
        <v>163</v>
      </c>
      <c r="G18" s="13" t="s">
        <v>164</v>
      </c>
      <c r="H18" s="14" t="str">
        <f t="shared" si="0"/>
        <v xml:space="preserve">-D c -DWALL -Si archdef 0  </v>
      </c>
      <c r="I18" s="59"/>
      <c r="J18" s="17"/>
      <c r="K18" s="50" t="s">
        <v>120</v>
      </c>
      <c r="L18">
        <f>VLOOKUP(B18,'HPL 4 nodes, builds'!$A$4:$X$165,24,FALSE)</f>
        <v>8.4756400000000003</v>
      </c>
      <c r="Q18" s="2" t="s">
        <v>123</v>
      </c>
      <c r="R18"/>
    </row>
    <row r="19" spans="1:18" ht="75" x14ac:dyDescent="0.25">
      <c r="A19" s="17" t="s">
        <v>137</v>
      </c>
      <c r="B19" t="s">
        <v>89</v>
      </c>
      <c r="C19" t="s">
        <v>174</v>
      </c>
      <c r="D19" t="s">
        <v>176</v>
      </c>
      <c r="F19" s="19" t="s">
        <v>160</v>
      </c>
      <c r="G19" s="55" t="s">
        <v>172</v>
      </c>
      <c r="H19" s="14" t="str">
        <f t="shared" si="0"/>
        <v>-D c -DWALL -b 64 -Fa alg -mcpu=cortex-a53 -mfloat-abi=hard -mfpu=neon-fp-armv8 -mneon-for-64bits</v>
      </c>
      <c r="I19" s="55" t="s">
        <v>90</v>
      </c>
      <c r="J19"/>
      <c r="K19" s="17" t="s">
        <v>120</v>
      </c>
      <c r="L19" t="e">
        <f>VLOOKUP(B19,'HPL 4 nodes, builds'!$A$4:$X$165,24,FALSE)</f>
        <v>#N/A</v>
      </c>
      <c r="Q19" s="12" t="s">
        <v>64</v>
      </c>
      <c r="R19" s="2" t="s">
        <v>94</v>
      </c>
    </row>
    <row r="20" spans="1:18" x14ac:dyDescent="0.25">
      <c r="A20" s="17"/>
      <c r="C20" t="s">
        <v>175</v>
      </c>
      <c r="D20" t="s">
        <v>175</v>
      </c>
      <c r="H20" s="14" t="str">
        <f t="shared" si="0"/>
        <v/>
      </c>
      <c r="I20"/>
      <c r="L20" t="e">
        <f>VLOOKUP(B20,'HPL 4 nodes, builds'!$A$4:$X$165,24,FALSE)</f>
        <v>#N/A</v>
      </c>
    </row>
    <row r="21" spans="1:18" x14ac:dyDescent="0.25">
      <c r="A21" s="17"/>
      <c r="B21" t="s">
        <v>138</v>
      </c>
      <c r="C21" t="s">
        <v>175</v>
      </c>
      <c r="D21" t="s">
        <v>175</v>
      </c>
      <c r="H21" s="14" t="str">
        <f t="shared" si="0"/>
        <v/>
      </c>
      <c r="L21" t="e">
        <f>VLOOKUP(B21,'HPL 4 nodes, builds'!$A$4:$X$165,24,FALSE)</f>
        <v>#N/A</v>
      </c>
    </row>
    <row r="22" spans="1:18" ht="75" x14ac:dyDescent="0.25">
      <c r="A22" s="17">
        <v>17</v>
      </c>
      <c r="B22" t="s">
        <v>139</v>
      </c>
      <c r="C22" t="s">
        <v>174</v>
      </c>
      <c r="D22" t="s">
        <v>176</v>
      </c>
      <c r="F22" s="19" t="s">
        <v>160</v>
      </c>
      <c r="G22" s="6" t="s">
        <v>180</v>
      </c>
      <c r="H22" s="14" t="str">
        <f t="shared" si="0"/>
        <v>-D c -DWALL -b 64 -Fa alg -O1 -fno-schedule-insns -mcpu=cortex-A53 -mfpu=crypto-neon-fp-armv8 -fschedule-insns2 -fmodulo-sched -fmodulo-sched-allow-regmoves -funroll-all-loops</v>
      </c>
      <c r="I22" s="99" t="s">
        <v>144</v>
      </c>
      <c r="K22" s="17" t="s">
        <v>92</v>
      </c>
      <c r="L22">
        <f>VLOOKUP(B22,'HPL 4 nodes, builds'!$A$4:$X$165,24,FALSE)</f>
        <v>10.897200000000002</v>
      </c>
    </row>
    <row r="23" spans="1:18" ht="45" x14ac:dyDescent="0.25">
      <c r="A23" s="17">
        <v>18</v>
      </c>
      <c r="B23" t="s">
        <v>140</v>
      </c>
      <c r="C23" t="s">
        <v>174</v>
      </c>
      <c r="D23" t="s">
        <v>176</v>
      </c>
      <c r="F23" s="19" t="s">
        <v>160</v>
      </c>
      <c r="G23" s="6" t="s">
        <v>179</v>
      </c>
      <c r="H23" s="14" t="str">
        <f t="shared" si="0"/>
        <v>-D c -DWALL -b 64 -Fa alg -O1 -fno-schedule-insns -mcpu=cortex-A53 -mfpu=crypto-neon-fp-armv8 -fschedule-insns2</v>
      </c>
      <c r="I23" s="99"/>
      <c r="K23" s="17" t="s">
        <v>120</v>
      </c>
      <c r="L23">
        <f>VLOOKUP(B23,'HPL 4 nodes, builds'!$A$4:$X$165,24,FALSE)</f>
        <v>10.947800000000001</v>
      </c>
    </row>
    <row r="24" spans="1:18" ht="60" x14ac:dyDescent="0.25">
      <c r="A24" s="17">
        <v>19</v>
      </c>
      <c r="B24" t="s">
        <v>141</v>
      </c>
      <c r="C24" t="s">
        <v>174</v>
      </c>
      <c r="D24" t="s">
        <v>176</v>
      </c>
      <c r="F24" s="19" t="s">
        <v>160</v>
      </c>
      <c r="G24" s="58" t="s">
        <v>181</v>
      </c>
      <c r="H24" s="14" t="str">
        <f t="shared" si="0"/>
        <v>-D c -DWALL -b 64 -Fa alg -Os -fno-schedule-insns -mcpu=cortex-A53 -mfpu=crypto-neon-fp-armv8 -fschedule-insns -fno-schedule-insns -fno-tree-ter</v>
      </c>
      <c r="I24" s="99"/>
      <c r="K24" s="17" t="s">
        <v>122</v>
      </c>
      <c r="L24">
        <f>VLOOKUP(B24,'HPL 4 nodes, builds'!$A$4:$X$165,24,FALSE)</f>
        <v>11.058199999999999</v>
      </c>
    </row>
    <row r="25" spans="1:18" ht="45" x14ac:dyDescent="0.25">
      <c r="A25" s="17">
        <v>20</v>
      </c>
      <c r="B25" t="s">
        <v>142</v>
      </c>
      <c r="C25" t="s">
        <v>174</v>
      </c>
      <c r="D25" t="s">
        <v>176</v>
      </c>
      <c r="F25" s="19" t="s">
        <v>160</v>
      </c>
      <c r="G25" s="58" t="s">
        <v>177</v>
      </c>
      <c r="H25" s="14" t="str">
        <f t="shared" si="0"/>
        <v>-D c -DWALL -b 64 -Fa alg -O1 -fno-schedule-insns -mcpu=cortex-A53 -mfpu=crypto-neon-fp-armv8 -fschedule-insns -frename-registers</v>
      </c>
      <c r="I25" s="99"/>
      <c r="K25" s="17" t="s">
        <v>121</v>
      </c>
      <c r="L25">
        <f>VLOOKUP(B25,'HPL 4 nodes, builds'!$A$4:$X$165,24,FALSE)</f>
        <v>10.578800000000001</v>
      </c>
    </row>
  </sheetData>
  <mergeCells count="3">
    <mergeCell ref="A1:B1"/>
    <mergeCell ref="I2:I8"/>
    <mergeCell ref="I22:I25"/>
  </mergeCells>
  <conditionalFormatting sqref="L2:L25">
    <cfRule type="colorScale" priority="2">
      <colorScale>
        <cfvo type="min"/>
        <cfvo type="percentile" val="50"/>
        <cfvo type="max"/>
        <color rgb="FFF8696B"/>
        <color rgb="FFFFEB84"/>
        <color rgb="FF63BE7B"/>
      </colorScale>
    </cfRule>
  </conditionalFormatting>
  <hyperlinks>
    <hyperlink ref="Q19" r:id="rId1" xr:uid="{F96B6958-4F6C-431E-A149-4840CBE26AC8}"/>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1260-EAAF-4A97-9410-92857D597ED2}">
  <dimension ref="A1:AB231"/>
  <sheetViews>
    <sheetView zoomScale="85" zoomScaleNormal="85" workbookViewId="0">
      <selection activeCell="X5" sqref="X5"/>
    </sheetView>
  </sheetViews>
  <sheetFormatPr defaultRowHeight="15" x14ac:dyDescent="0.25"/>
  <cols>
    <col min="1" max="1" width="26.140625" bestFit="1" customWidth="1"/>
    <col min="4" max="4" width="12.7109375" bestFit="1" customWidth="1"/>
    <col min="9" max="9" width="9.7109375" style="60" bestFit="1" customWidth="1"/>
    <col min="10" max="10" width="9.140625" style="16"/>
    <col min="11" max="12" width="9.140625" style="25"/>
    <col min="13" max="23" width="9.140625" style="20"/>
    <col min="24" max="24" width="9.140625" style="89"/>
  </cols>
  <sheetData>
    <row r="1" spans="1:28" s="21" customFormat="1" x14ac:dyDescent="0.25">
      <c r="A1" s="28" t="s">
        <v>112</v>
      </c>
      <c r="B1" s="100" t="str">
        <f>INDEX(A:A,MATCH(MAX($X:$X),$X:$X,0))</f>
        <v>noarch-flags</v>
      </c>
      <c r="C1" s="100"/>
      <c r="D1" s="100"/>
      <c r="E1" s="100"/>
      <c r="F1" s="29">
        <f>MAX(X:X)</f>
        <v>11.905600000000002</v>
      </c>
      <c r="G1" s="48">
        <f>INDEX(D:D,MATCH(MAX($X:$X),$X:$X,0))</f>
        <v>19520</v>
      </c>
      <c r="H1" s="48">
        <f>INDEX(E:E,MATCH(MAX($X:$X),$X:$X,0))</f>
        <v>160</v>
      </c>
      <c r="I1" s="76">
        <f>INDEX(F:F,MATCH(MAX($X:$X),$X:$X,0))</f>
        <v>2</v>
      </c>
      <c r="J1" s="48">
        <f>INDEX(G:G,MATCH(MAX($X:$X),$X:$X,0))</f>
        <v>8</v>
      </c>
      <c r="K1" s="31"/>
      <c r="L1" s="103" t="s">
        <v>118</v>
      </c>
      <c r="M1" s="103"/>
      <c r="N1" s="103"/>
      <c r="O1" s="103"/>
      <c r="P1" s="103"/>
      <c r="Q1" s="103"/>
      <c r="R1" s="103"/>
      <c r="S1" s="103"/>
      <c r="T1" s="103"/>
      <c r="U1" s="103"/>
      <c r="V1" s="103"/>
      <c r="W1" s="103"/>
      <c r="X1" s="102" t="s">
        <v>105</v>
      </c>
      <c r="Y1" s="22"/>
    </row>
    <row r="2" spans="1:28" s="21" customFormat="1" x14ac:dyDescent="0.25">
      <c r="A2" s="101" t="s">
        <v>114</v>
      </c>
      <c r="B2" s="101"/>
      <c r="C2" s="101"/>
      <c r="D2" s="33">
        <f>MAX(I4:I841)</f>
        <v>12.12</v>
      </c>
      <c r="E2" s="34"/>
      <c r="F2" s="34"/>
      <c r="G2" s="34"/>
      <c r="H2" s="35"/>
      <c r="I2" s="76"/>
      <c r="J2" s="65"/>
      <c r="K2" s="31"/>
      <c r="L2" s="104" t="s">
        <v>100</v>
      </c>
      <c r="M2" s="104"/>
      <c r="N2" s="104"/>
      <c r="O2" s="104" t="s">
        <v>101</v>
      </c>
      <c r="P2" s="104"/>
      <c r="Q2" s="104"/>
      <c r="R2" s="104" t="s">
        <v>102</v>
      </c>
      <c r="S2" s="104"/>
      <c r="T2" s="104"/>
      <c r="U2" s="104" t="s">
        <v>103</v>
      </c>
      <c r="V2" s="104"/>
      <c r="W2" s="104"/>
      <c r="X2" s="102"/>
    </row>
    <row r="3" spans="1:28" s="21" customFormat="1" x14ac:dyDescent="0.25">
      <c r="A3" s="32" t="s">
        <v>104</v>
      </c>
      <c r="B3" s="36" t="s">
        <v>96</v>
      </c>
      <c r="C3" s="36"/>
      <c r="D3" s="36" t="s">
        <v>1</v>
      </c>
      <c r="E3" s="36" t="s">
        <v>2</v>
      </c>
      <c r="F3" s="36" t="s">
        <v>3</v>
      </c>
      <c r="G3" s="36" t="s">
        <v>4</v>
      </c>
      <c r="H3" s="37" t="s">
        <v>5</v>
      </c>
      <c r="I3" s="77" t="s">
        <v>6</v>
      </c>
      <c r="J3" s="66" t="s">
        <v>97</v>
      </c>
      <c r="K3" s="39" t="s">
        <v>5</v>
      </c>
      <c r="L3" s="49" t="s">
        <v>117</v>
      </c>
      <c r="M3" s="49" t="s">
        <v>99</v>
      </c>
      <c r="N3" s="49" t="s">
        <v>98</v>
      </c>
      <c r="O3" s="49" t="s">
        <v>117</v>
      </c>
      <c r="P3" s="49" t="s">
        <v>99</v>
      </c>
      <c r="Q3" s="49" t="s">
        <v>98</v>
      </c>
      <c r="R3" s="49" t="s">
        <v>117</v>
      </c>
      <c r="S3" s="49" t="s">
        <v>99</v>
      </c>
      <c r="T3" s="49" t="s">
        <v>98</v>
      </c>
      <c r="U3" s="49" t="s">
        <v>117</v>
      </c>
      <c r="V3" s="49" t="s">
        <v>99</v>
      </c>
      <c r="W3" s="64" t="s">
        <v>98</v>
      </c>
      <c r="X3" s="102"/>
    </row>
    <row r="4" spans="1:28" x14ac:dyDescent="0.25">
      <c r="A4" t="s">
        <v>111</v>
      </c>
      <c r="B4">
        <v>0</v>
      </c>
      <c r="C4" t="s">
        <v>7</v>
      </c>
      <c r="D4">
        <v>17536</v>
      </c>
      <c r="E4">
        <v>128</v>
      </c>
      <c r="F4">
        <v>2</v>
      </c>
      <c r="G4">
        <v>8</v>
      </c>
      <c r="H4">
        <v>334.9</v>
      </c>
      <c r="I4" s="60">
        <v>10.736000000000001</v>
      </c>
      <c r="J4" s="16">
        <v>45472</v>
      </c>
      <c r="K4" s="25">
        <v>0.18898148148148147</v>
      </c>
      <c r="L4" s="67">
        <v>0</v>
      </c>
      <c r="M4" s="67">
        <v>0</v>
      </c>
      <c r="N4" s="67">
        <v>0</v>
      </c>
      <c r="O4" s="67">
        <v>0</v>
      </c>
      <c r="P4" s="67">
        <v>0</v>
      </c>
      <c r="Q4" s="67">
        <v>0</v>
      </c>
      <c r="R4" s="67">
        <v>0</v>
      </c>
      <c r="S4" s="67">
        <v>0</v>
      </c>
      <c r="T4" s="67">
        <v>0</v>
      </c>
      <c r="U4" s="67">
        <v>0</v>
      </c>
      <c r="V4" s="70">
        <v>0</v>
      </c>
      <c r="W4" s="67">
        <v>0</v>
      </c>
      <c r="X4" s="86">
        <f>AVERAGE(I4:I8)</f>
        <v>10.7302</v>
      </c>
    </row>
    <row r="5" spans="1:28" x14ac:dyDescent="0.25">
      <c r="A5" t="s">
        <v>111</v>
      </c>
      <c r="B5">
        <v>1</v>
      </c>
      <c r="C5" t="s">
        <v>7</v>
      </c>
      <c r="D5">
        <v>17536</v>
      </c>
      <c r="E5">
        <v>128</v>
      </c>
      <c r="F5">
        <v>2</v>
      </c>
      <c r="G5">
        <v>8</v>
      </c>
      <c r="H5">
        <v>334.4</v>
      </c>
      <c r="I5" s="60">
        <v>10.752000000000001</v>
      </c>
      <c r="J5" s="16">
        <v>45472</v>
      </c>
      <c r="K5" s="25">
        <v>0.19315972222222222</v>
      </c>
      <c r="L5" s="67">
        <v>0</v>
      </c>
      <c r="M5" s="67">
        <v>0</v>
      </c>
      <c r="N5" s="67">
        <v>0</v>
      </c>
      <c r="O5" s="67">
        <v>0</v>
      </c>
      <c r="P5" s="67">
        <v>0</v>
      </c>
      <c r="Q5" s="67">
        <v>0</v>
      </c>
      <c r="R5" s="67">
        <v>0</v>
      </c>
      <c r="S5" s="67">
        <v>0</v>
      </c>
      <c r="T5" s="67">
        <v>0</v>
      </c>
      <c r="U5" s="67">
        <v>0</v>
      </c>
      <c r="V5" s="70">
        <v>0</v>
      </c>
      <c r="W5" s="67">
        <v>0</v>
      </c>
      <c r="X5" s="86">
        <f>X4</f>
        <v>10.7302</v>
      </c>
    </row>
    <row r="6" spans="1:28" x14ac:dyDescent="0.25">
      <c r="A6" t="s">
        <v>111</v>
      </c>
      <c r="B6">
        <v>2</v>
      </c>
      <c r="C6" t="s">
        <v>7</v>
      </c>
      <c r="D6">
        <v>17536</v>
      </c>
      <c r="E6">
        <v>128</v>
      </c>
      <c r="F6">
        <v>2</v>
      </c>
      <c r="G6">
        <v>8</v>
      </c>
      <c r="H6">
        <v>336.49</v>
      </c>
      <c r="I6" s="60">
        <v>10.685</v>
      </c>
      <c r="J6" s="16">
        <v>45472</v>
      </c>
      <c r="K6" s="25">
        <v>0.19734953703703703</v>
      </c>
      <c r="L6" s="67">
        <v>0</v>
      </c>
      <c r="M6" s="67">
        <v>0</v>
      </c>
      <c r="N6" s="67">
        <v>0</v>
      </c>
      <c r="O6" s="67">
        <v>0</v>
      </c>
      <c r="P6" s="67">
        <v>0</v>
      </c>
      <c r="Q6" s="67">
        <v>0</v>
      </c>
      <c r="R6" s="67">
        <v>0</v>
      </c>
      <c r="S6" s="67">
        <v>0</v>
      </c>
      <c r="T6" s="67">
        <v>0</v>
      </c>
      <c r="U6" s="67">
        <v>0</v>
      </c>
      <c r="V6" s="70">
        <v>0</v>
      </c>
      <c r="W6" s="67">
        <v>0</v>
      </c>
      <c r="X6" s="86">
        <f>X5</f>
        <v>10.7302</v>
      </c>
      <c r="Z6" s="19"/>
      <c r="AA6" s="16"/>
      <c r="AB6" s="18"/>
    </row>
    <row r="7" spans="1:28" x14ac:dyDescent="0.25">
      <c r="A7" t="s">
        <v>111</v>
      </c>
      <c r="B7">
        <v>3</v>
      </c>
      <c r="C7" t="s">
        <v>7</v>
      </c>
      <c r="D7">
        <v>17536</v>
      </c>
      <c r="E7">
        <v>128</v>
      </c>
      <c r="F7">
        <v>2</v>
      </c>
      <c r="G7">
        <v>8</v>
      </c>
      <c r="H7">
        <v>333.89</v>
      </c>
      <c r="I7" s="60">
        <v>10.768000000000001</v>
      </c>
      <c r="J7" s="16">
        <v>45472</v>
      </c>
      <c r="K7" s="25">
        <v>0.20150462962962962</v>
      </c>
      <c r="L7" s="67">
        <v>0</v>
      </c>
      <c r="M7" s="67">
        <v>0</v>
      </c>
      <c r="N7" s="67">
        <v>0</v>
      </c>
      <c r="O7" s="67">
        <v>0</v>
      </c>
      <c r="P7" s="67">
        <v>0</v>
      </c>
      <c r="Q7" s="67">
        <v>0</v>
      </c>
      <c r="R7" s="67">
        <v>0</v>
      </c>
      <c r="S7" s="67">
        <v>0</v>
      </c>
      <c r="T7" s="67">
        <v>0</v>
      </c>
      <c r="U7" s="67">
        <v>0</v>
      </c>
      <c r="V7" s="70">
        <v>0</v>
      </c>
      <c r="W7" s="67">
        <v>0</v>
      </c>
      <c r="X7" s="86">
        <f>X6</f>
        <v>10.7302</v>
      </c>
    </row>
    <row r="8" spans="1:28" x14ac:dyDescent="0.25">
      <c r="A8" t="s">
        <v>111</v>
      </c>
      <c r="B8">
        <v>4</v>
      </c>
      <c r="C8" t="s">
        <v>7</v>
      </c>
      <c r="D8">
        <v>17536</v>
      </c>
      <c r="E8">
        <v>128</v>
      </c>
      <c r="F8">
        <v>2</v>
      </c>
      <c r="G8">
        <v>8</v>
      </c>
      <c r="H8">
        <v>335.7</v>
      </c>
      <c r="I8" s="60">
        <v>10.71</v>
      </c>
      <c r="J8" s="16">
        <v>45472</v>
      </c>
      <c r="K8" s="25">
        <v>0.20569444444444446</v>
      </c>
      <c r="L8" s="67">
        <v>0</v>
      </c>
      <c r="M8" s="67">
        <v>0</v>
      </c>
      <c r="N8" s="67">
        <v>0</v>
      </c>
      <c r="O8" s="67">
        <v>0</v>
      </c>
      <c r="P8" s="67">
        <v>0</v>
      </c>
      <c r="Q8" s="67">
        <v>0</v>
      </c>
      <c r="R8" s="67">
        <v>0</v>
      </c>
      <c r="S8" s="67">
        <v>0</v>
      </c>
      <c r="T8" s="67">
        <v>0</v>
      </c>
      <c r="U8" s="67">
        <v>0</v>
      </c>
      <c r="V8" s="70">
        <v>0</v>
      </c>
      <c r="W8" s="67">
        <v>0</v>
      </c>
      <c r="X8" s="86">
        <f>X7</f>
        <v>10.7302</v>
      </c>
    </row>
    <row r="9" spans="1:28" x14ac:dyDescent="0.25">
      <c r="A9" t="s">
        <v>106</v>
      </c>
      <c r="B9">
        <v>0</v>
      </c>
      <c r="C9" t="s">
        <v>7</v>
      </c>
      <c r="D9">
        <v>17536</v>
      </c>
      <c r="E9">
        <v>128</v>
      </c>
      <c r="F9">
        <v>2</v>
      </c>
      <c r="G9">
        <v>8</v>
      </c>
      <c r="H9">
        <v>336.07</v>
      </c>
      <c r="I9" s="60">
        <v>10.699</v>
      </c>
      <c r="J9" s="16">
        <v>45472</v>
      </c>
      <c r="K9" s="25">
        <v>8.4097222222222226E-2</v>
      </c>
      <c r="L9" s="67">
        <v>0</v>
      </c>
      <c r="M9" s="67">
        <v>0</v>
      </c>
      <c r="N9" s="67">
        <v>0</v>
      </c>
      <c r="O9" s="67">
        <v>0</v>
      </c>
      <c r="P9" s="67">
        <v>0</v>
      </c>
      <c r="Q9" s="67">
        <v>0</v>
      </c>
      <c r="R9" s="67">
        <v>0</v>
      </c>
      <c r="S9" s="67">
        <v>0</v>
      </c>
      <c r="T9" s="67">
        <v>0</v>
      </c>
      <c r="U9" s="67">
        <v>0</v>
      </c>
      <c r="V9" s="70">
        <v>0</v>
      </c>
      <c r="W9" s="67">
        <v>0</v>
      </c>
      <c r="X9" s="86">
        <f>AVERAGE(I9:I13)</f>
        <v>10.714000000000002</v>
      </c>
    </row>
    <row r="10" spans="1:28" x14ac:dyDescent="0.25">
      <c r="A10" t="s">
        <v>106</v>
      </c>
      <c r="B10">
        <v>1</v>
      </c>
      <c r="C10" t="s">
        <v>7</v>
      </c>
      <c r="D10">
        <v>17536</v>
      </c>
      <c r="E10">
        <v>128</v>
      </c>
      <c r="F10">
        <v>2</v>
      </c>
      <c r="G10">
        <v>8</v>
      </c>
      <c r="H10">
        <v>334.7</v>
      </c>
      <c r="I10" s="60">
        <v>10.742000000000001</v>
      </c>
      <c r="J10" s="16">
        <v>45472</v>
      </c>
      <c r="K10" s="25">
        <v>8.8275462962962958E-2</v>
      </c>
      <c r="L10" s="67">
        <v>0</v>
      </c>
      <c r="M10" s="67">
        <v>0</v>
      </c>
      <c r="N10" s="67">
        <v>0</v>
      </c>
      <c r="O10" s="67">
        <v>0</v>
      </c>
      <c r="P10" s="67">
        <v>0</v>
      </c>
      <c r="Q10" s="67">
        <v>0</v>
      </c>
      <c r="R10" s="67">
        <v>0</v>
      </c>
      <c r="S10" s="67">
        <v>0</v>
      </c>
      <c r="T10" s="67">
        <v>0</v>
      </c>
      <c r="U10" s="67">
        <v>0</v>
      </c>
      <c r="V10" s="70">
        <v>0</v>
      </c>
      <c r="W10" s="67">
        <v>0</v>
      </c>
      <c r="X10" s="86">
        <f>X9</f>
        <v>10.714000000000002</v>
      </c>
    </row>
    <row r="11" spans="1:28" x14ac:dyDescent="0.25">
      <c r="A11" t="s">
        <v>106</v>
      </c>
      <c r="B11">
        <v>2</v>
      </c>
      <c r="C11" t="s">
        <v>7</v>
      </c>
      <c r="D11">
        <v>17536</v>
      </c>
      <c r="E11">
        <v>128</v>
      </c>
      <c r="F11">
        <v>2</v>
      </c>
      <c r="G11">
        <v>8</v>
      </c>
      <c r="H11">
        <v>336.68</v>
      </c>
      <c r="I11" s="60">
        <v>10.679</v>
      </c>
      <c r="J11" s="16">
        <v>45472</v>
      </c>
      <c r="K11" s="25">
        <v>9.2476851851851852E-2</v>
      </c>
      <c r="L11" s="67">
        <v>0</v>
      </c>
      <c r="M11" s="67">
        <v>0</v>
      </c>
      <c r="N11" s="67">
        <v>0</v>
      </c>
      <c r="O11" s="67">
        <v>0</v>
      </c>
      <c r="P11" s="67">
        <v>0</v>
      </c>
      <c r="Q11" s="67">
        <v>0</v>
      </c>
      <c r="R11" s="67">
        <v>0</v>
      </c>
      <c r="S11" s="67">
        <v>0</v>
      </c>
      <c r="T11" s="67">
        <v>0</v>
      </c>
      <c r="U11" s="67">
        <v>0</v>
      </c>
      <c r="V11" s="70">
        <v>0</v>
      </c>
      <c r="W11" s="67">
        <v>0</v>
      </c>
      <c r="X11" s="86">
        <f>X10</f>
        <v>10.714000000000002</v>
      </c>
    </row>
    <row r="12" spans="1:28" x14ac:dyDescent="0.25">
      <c r="A12" t="s">
        <v>106</v>
      </c>
      <c r="B12">
        <v>3</v>
      </c>
      <c r="C12" t="s">
        <v>7</v>
      </c>
      <c r="D12">
        <v>17536</v>
      </c>
      <c r="E12">
        <v>128</v>
      </c>
      <c r="F12">
        <v>2</v>
      </c>
      <c r="G12">
        <v>8</v>
      </c>
      <c r="H12">
        <v>335.76</v>
      </c>
      <c r="I12" s="60">
        <v>10.708</v>
      </c>
      <c r="J12" s="16">
        <v>45472</v>
      </c>
      <c r="K12" s="25">
        <v>9.6666666666666665E-2</v>
      </c>
      <c r="L12" s="67">
        <v>0</v>
      </c>
      <c r="M12" s="67">
        <v>0</v>
      </c>
      <c r="N12" s="67">
        <v>0</v>
      </c>
      <c r="O12" s="67">
        <v>0</v>
      </c>
      <c r="P12" s="67">
        <v>0</v>
      </c>
      <c r="Q12" s="67">
        <v>0</v>
      </c>
      <c r="R12" s="67">
        <v>0</v>
      </c>
      <c r="S12" s="67">
        <v>0</v>
      </c>
      <c r="T12" s="67">
        <v>0</v>
      </c>
      <c r="U12" s="67">
        <v>0</v>
      </c>
      <c r="V12" s="70">
        <v>0</v>
      </c>
      <c r="W12" s="67">
        <v>0</v>
      </c>
      <c r="X12" s="86">
        <f>X11</f>
        <v>10.714000000000002</v>
      </c>
    </row>
    <row r="13" spans="1:28" x14ac:dyDescent="0.25">
      <c r="A13" t="s">
        <v>106</v>
      </c>
      <c r="B13">
        <v>4</v>
      </c>
      <c r="C13" t="s">
        <v>7</v>
      </c>
      <c r="D13">
        <v>17536</v>
      </c>
      <c r="E13">
        <v>128</v>
      </c>
      <c r="F13">
        <v>2</v>
      </c>
      <c r="G13">
        <v>8</v>
      </c>
      <c r="H13">
        <v>334.71</v>
      </c>
      <c r="I13" s="60">
        <v>10.742000000000001</v>
      </c>
      <c r="J13" s="16">
        <v>45472</v>
      </c>
      <c r="K13" s="25">
        <v>0.10084490740740741</v>
      </c>
      <c r="L13" s="67">
        <v>0</v>
      </c>
      <c r="M13" s="67">
        <v>0</v>
      </c>
      <c r="N13" s="67">
        <v>0</v>
      </c>
      <c r="O13" s="67">
        <v>0</v>
      </c>
      <c r="P13" s="67">
        <v>0</v>
      </c>
      <c r="Q13" s="67">
        <v>0</v>
      </c>
      <c r="R13" s="67">
        <v>0</v>
      </c>
      <c r="S13" s="67">
        <v>0</v>
      </c>
      <c r="T13" s="67">
        <v>0</v>
      </c>
      <c r="U13" s="67">
        <v>0</v>
      </c>
      <c r="V13" s="70">
        <v>0</v>
      </c>
      <c r="W13" s="67">
        <v>0</v>
      </c>
      <c r="X13" s="86">
        <f>X12</f>
        <v>10.714000000000002</v>
      </c>
    </row>
    <row r="14" spans="1:28" x14ac:dyDescent="0.25">
      <c r="A14" t="s">
        <v>109</v>
      </c>
      <c r="B14">
        <v>0</v>
      </c>
      <c r="C14" t="s">
        <v>7</v>
      </c>
      <c r="D14">
        <v>17536</v>
      </c>
      <c r="E14">
        <v>128</v>
      </c>
      <c r="F14">
        <v>2</v>
      </c>
      <c r="G14">
        <v>8</v>
      </c>
      <c r="H14">
        <v>333.55</v>
      </c>
      <c r="I14" s="60">
        <v>10.78</v>
      </c>
      <c r="J14" s="16">
        <v>45472</v>
      </c>
      <c r="K14" s="25">
        <v>0.14725694444444445</v>
      </c>
      <c r="L14" s="67">
        <v>0</v>
      </c>
      <c r="M14" s="67">
        <v>0</v>
      </c>
      <c r="N14" s="67">
        <v>0</v>
      </c>
      <c r="O14" s="67">
        <v>0</v>
      </c>
      <c r="P14" s="67">
        <v>0</v>
      </c>
      <c r="Q14" s="67">
        <v>0</v>
      </c>
      <c r="R14" s="67">
        <v>0</v>
      </c>
      <c r="S14" s="67">
        <v>0</v>
      </c>
      <c r="T14" s="67">
        <v>0</v>
      </c>
      <c r="U14" s="67">
        <v>0</v>
      </c>
      <c r="V14" s="70">
        <v>0</v>
      </c>
      <c r="W14" s="67">
        <v>0</v>
      </c>
      <c r="X14" s="86">
        <f>AVERAGE(I14:I18)</f>
        <v>10.7128</v>
      </c>
    </row>
    <row r="15" spans="1:28" x14ac:dyDescent="0.25">
      <c r="A15" t="s">
        <v>109</v>
      </c>
      <c r="B15">
        <v>1</v>
      </c>
      <c r="C15" t="s">
        <v>7</v>
      </c>
      <c r="D15">
        <v>17536</v>
      </c>
      <c r="E15">
        <v>128</v>
      </c>
      <c r="F15">
        <v>2</v>
      </c>
      <c r="G15">
        <v>8</v>
      </c>
      <c r="H15">
        <v>335.17</v>
      </c>
      <c r="I15" s="60">
        <v>10.727</v>
      </c>
      <c r="J15" s="16">
        <v>45472</v>
      </c>
      <c r="K15" s="25">
        <v>0.15140046296296297</v>
      </c>
      <c r="L15" s="67">
        <v>0</v>
      </c>
      <c r="M15" s="67">
        <v>0</v>
      </c>
      <c r="N15" s="67">
        <v>0</v>
      </c>
      <c r="O15" s="67">
        <v>0</v>
      </c>
      <c r="P15" s="67">
        <v>0</v>
      </c>
      <c r="Q15" s="67">
        <v>0</v>
      </c>
      <c r="R15" s="67">
        <v>0</v>
      </c>
      <c r="S15" s="67">
        <v>0</v>
      </c>
      <c r="T15" s="67">
        <v>0</v>
      </c>
      <c r="U15" s="67">
        <v>0</v>
      </c>
      <c r="V15" s="70">
        <v>0</v>
      </c>
      <c r="W15" s="67">
        <v>0</v>
      </c>
      <c r="X15" s="86">
        <f>X14</f>
        <v>10.7128</v>
      </c>
    </row>
    <row r="16" spans="1:28" x14ac:dyDescent="0.25">
      <c r="A16" t="s">
        <v>109</v>
      </c>
      <c r="B16">
        <v>2</v>
      </c>
      <c r="C16" t="s">
        <v>7</v>
      </c>
      <c r="D16">
        <v>17536</v>
      </c>
      <c r="E16">
        <v>128</v>
      </c>
      <c r="F16">
        <v>2</v>
      </c>
      <c r="G16">
        <v>8</v>
      </c>
      <c r="H16">
        <v>336.64</v>
      </c>
      <c r="I16" s="60">
        <v>10.68</v>
      </c>
      <c r="J16" s="16">
        <v>45472</v>
      </c>
      <c r="K16" s="25">
        <v>0.15556712962962962</v>
      </c>
      <c r="L16" s="67">
        <v>0</v>
      </c>
      <c r="M16" s="67">
        <v>0</v>
      </c>
      <c r="N16" s="67">
        <v>0</v>
      </c>
      <c r="O16" s="67">
        <v>0</v>
      </c>
      <c r="P16" s="67">
        <v>0</v>
      </c>
      <c r="Q16" s="67">
        <v>0</v>
      </c>
      <c r="R16" s="67">
        <v>0</v>
      </c>
      <c r="S16" s="67">
        <v>0</v>
      </c>
      <c r="T16" s="67">
        <v>0</v>
      </c>
      <c r="U16" s="67">
        <v>0</v>
      </c>
      <c r="V16" s="70">
        <v>0</v>
      </c>
      <c r="W16" s="67">
        <v>0</v>
      </c>
      <c r="X16" s="86">
        <f>X15</f>
        <v>10.7128</v>
      </c>
    </row>
    <row r="17" spans="1:24" x14ac:dyDescent="0.25">
      <c r="A17" t="s">
        <v>109</v>
      </c>
      <c r="B17">
        <v>3</v>
      </c>
      <c r="C17" t="s">
        <v>7</v>
      </c>
      <c r="D17">
        <v>17536</v>
      </c>
      <c r="E17">
        <v>128</v>
      </c>
      <c r="F17">
        <v>2</v>
      </c>
      <c r="G17">
        <v>8</v>
      </c>
      <c r="H17">
        <v>336.58</v>
      </c>
      <c r="I17" s="60">
        <v>10.682</v>
      </c>
      <c r="J17" s="16">
        <v>45472</v>
      </c>
      <c r="K17" s="25">
        <v>0.15972222222222221</v>
      </c>
      <c r="L17" s="67">
        <v>0</v>
      </c>
      <c r="M17" s="67">
        <v>0</v>
      </c>
      <c r="N17" s="67">
        <v>0</v>
      </c>
      <c r="O17" s="67">
        <v>0</v>
      </c>
      <c r="P17" s="67">
        <v>0</v>
      </c>
      <c r="Q17" s="67">
        <v>0</v>
      </c>
      <c r="R17" s="67">
        <v>0</v>
      </c>
      <c r="S17" s="67">
        <v>0</v>
      </c>
      <c r="T17" s="67">
        <v>0</v>
      </c>
      <c r="U17" s="67">
        <v>0</v>
      </c>
      <c r="V17" s="70">
        <v>0</v>
      </c>
      <c r="W17" s="67">
        <v>0</v>
      </c>
      <c r="X17" s="86">
        <f>X16</f>
        <v>10.7128</v>
      </c>
    </row>
    <row r="18" spans="1:24" x14ac:dyDescent="0.25">
      <c r="A18" t="s">
        <v>109</v>
      </c>
      <c r="B18">
        <v>4</v>
      </c>
      <c r="C18" t="s">
        <v>7</v>
      </c>
      <c r="D18">
        <v>17536</v>
      </c>
      <c r="E18">
        <v>128</v>
      </c>
      <c r="F18">
        <v>2</v>
      </c>
      <c r="G18">
        <v>8</v>
      </c>
      <c r="H18">
        <v>336.19</v>
      </c>
      <c r="I18" s="60">
        <v>10.695</v>
      </c>
      <c r="J18" s="16">
        <v>45472</v>
      </c>
      <c r="K18" s="25">
        <v>0.16387731481481482</v>
      </c>
      <c r="L18" s="67">
        <v>0</v>
      </c>
      <c r="M18" s="67">
        <v>0</v>
      </c>
      <c r="N18" s="67">
        <v>0</v>
      </c>
      <c r="O18" s="67">
        <v>0</v>
      </c>
      <c r="P18" s="67">
        <v>0</v>
      </c>
      <c r="Q18" s="67">
        <v>0</v>
      </c>
      <c r="R18" s="67">
        <v>0</v>
      </c>
      <c r="S18" s="67">
        <v>0</v>
      </c>
      <c r="T18" s="67">
        <v>0</v>
      </c>
      <c r="U18" s="67">
        <v>0</v>
      </c>
      <c r="V18" s="70">
        <v>0</v>
      </c>
      <c r="W18" s="67">
        <v>0</v>
      </c>
      <c r="X18" s="86">
        <f>X17</f>
        <v>10.7128</v>
      </c>
    </row>
    <row r="19" spans="1:24" x14ac:dyDescent="0.25">
      <c r="A19" t="s">
        <v>110</v>
      </c>
      <c r="B19">
        <v>0</v>
      </c>
      <c r="C19" t="s">
        <v>7</v>
      </c>
      <c r="D19">
        <v>17536</v>
      </c>
      <c r="E19">
        <v>128</v>
      </c>
      <c r="F19">
        <v>2</v>
      </c>
      <c r="G19">
        <v>8</v>
      </c>
      <c r="H19">
        <v>335.03</v>
      </c>
      <c r="I19" s="60">
        <v>10.731999999999999</v>
      </c>
      <c r="J19" s="16">
        <v>45472</v>
      </c>
      <c r="K19" s="25">
        <v>0.16805555555555557</v>
      </c>
      <c r="L19" s="67">
        <v>0</v>
      </c>
      <c r="M19" s="67">
        <v>0</v>
      </c>
      <c r="N19" s="67">
        <v>0</v>
      </c>
      <c r="O19" s="67">
        <v>0</v>
      </c>
      <c r="P19" s="67">
        <v>0</v>
      </c>
      <c r="Q19" s="67">
        <v>0</v>
      </c>
      <c r="R19" s="67">
        <v>0</v>
      </c>
      <c r="S19" s="67">
        <v>0</v>
      </c>
      <c r="T19" s="67">
        <v>0</v>
      </c>
      <c r="U19" s="67">
        <v>0</v>
      </c>
      <c r="V19" s="70">
        <v>0</v>
      </c>
      <c r="W19" s="67">
        <v>0</v>
      </c>
      <c r="X19" s="86">
        <f>AVERAGE(I19:I23)</f>
        <v>10.706799999999999</v>
      </c>
    </row>
    <row r="20" spans="1:24" x14ac:dyDescent="0.25">
      <c r="A20" t="s">
        <v>110</v>
      </c>
      <c r="B20">
        <v>1</v>
      </c>
      <c r="C20" t="s">
        <v>7</v>
      </c>
      <c r="D20">
        <v>17536</v>
      </c>
      <c r="E20">
        <v>128</v>
      </c>
      <c r="F20">
        <v>2</v>
      </c>
      <c r="G20">
        <v>8</v>
      </c>
      <c r="H20">
        <v>334.99</v>
      </c>
      <c r="I20" s="60">
        <v>10.733000000000001</v>
      </c>
      <c r="J20" s="16">
        <v>45472</v>
      </c>
      <c r="K20" s="25">
        <v>0.17223379629629629</v>
      </c>
      <c r="L20" s="67">
        <v>0</v>
      </c>
      <c r="M20" s="67">
        <v>0</v>
      </c>
      <c r="N20" s="67">
        <v>0</v>
      </c>
      <c r="O20" s="67">
        <v>0</v>
      </c>
      <c r="P20" s="67">
        <v>0</v>
      </c>
      <c r="Q20" s="67">
        <v>0</v>
      </c>
      <c r="R20" s="67">
        <v>0</v>
      </c>
      <c r="S20" s="67">
        <v>0</v>
      </c>
      <c r="T20" s="67">
        <v>0</v>
      </c>
      <c r="U20" s="67">
        <v>0</v>
      </c>
      <c r="V20" s="70">
        <v>0</v>
      </c>
      <c r="W20" s="67">
        <v>0</v>
      </c>
      <c r="X20" s="86">
        <f>X19</f>
        <v>10.706799999999999</v>
      </c>
    </row>
    <row r="21" spans="1:24" x14ac:dyDescent="0.25">
      <c r="A21" t="s">
        <v>110</v>
      </c>
      <c r="B21">
        <v>2</v>
      </c>
      <c r="C21" t="s">
        <v>7</v>
      </c>
      <c r="D21">
        <v>17536</v>
      </c>
      <c r="E21">
        <v>128</v>
      </c>
      <c r="F21">
        <v>2</v>
      </c>
      <c r="G21">
        <v>8</v>
      </c>
      <c r="H21">
        <v>336.22</v>
      </c>
      <c r="I21" s="60">
        <v>10.694000000000001</v>
      </c>
      <c r="J21" s="16">
        <v>45472</v>
      </c>
      <c r="K21" s="25">
        <v>0.1764236111111111</v>
      </c>
      <c r="L21" s="67">
        <v>0</v>
      </c>
      <c r="M21" s="67">
        <v>0</v>
      </c>
      <c r="N21" s="67">
        <v>0</v>
      </c>
      <c r="O21" s="67">
        <v>0</v>
      </c>
      <c r="P21" s="67">
        <v>0</v>
      </c>
      <c r="Q21" s="67">
        <v>0</v>
      </c>
      <c r="R21" s="67">
        <v>0</v>
      </c>
      <c r="S21" s="67">
        <v>0</v>
      </c>
      <c r="T21" s="67">
        <v>0</v>
      </c>
      <c r="U21" s="67">
        <v>0</v>
      </c>
      <c r="V21" s="70">
        <v>0</v>
      </c>
      <c r="W21" s="67">
        <v>0</v>
      </c>
      <c r="X21" s="86">
        <f>X20</f>
        <v>10.706799999999999</v>
      </c>
    </row>
    <row r="22" spans="1:24" x14ac:dyDescent="0.25">
      <c r="A22" t="s">
        <v>110</v>
      </c>
      <c r="B22">
        <v>3</v>
      </c>
      <c r="C22" t="s">
        <v>7</v>
      </c>
      <c r="D22">
        <v>17536</v>
      </c>
      <c r="E22">
        <v>128</v>
      </c>
      <c r="F22">
        <v>2</v>
      </c>
      <c r="G22">
        <v>8</v>
      </c>
      <c r="H22">
        <v>336.09</v>
      </c>
      <c r="I22" s="60">
        <v>10.698</v>
      </c>
      <c r="J22" s="16">
        <v>45472</v>
      </c>
      <c r="K22" s="25">
        <v>0.18061342592592591</v>
      </c>
      <c r="L22" s="67">
        <v>0</v>
      </c>
      <c r="M22" s="67">
        <v>0</v>
      </c>
      <c r="N22" s="67">
        <v>0</v>
      </c>
      <c r="O22" s="67">
        <v>0</v>
      </c>
      <c r="P22" s="67">
        <v>0</v>
      </c>
      <c r="Q22" s="67">
        <v>0</v>
      </c>
      <c r="R22" s="67">
        <v>0</v>
      </c>
      <c r="S22" s="67">
        <v>0</v>
      </c>
      <c r="T22" s="67">
        <v>0</v>
      </c>
      <c r="U22" s="67">
        <v>0</v>
      </c>
      <c r="V22" s="70">
        <v>0</v>
      </c>
      <c r="W22" s="67">
        <v>0</v>
      </c>
      <c r="X22" s="86">
        <f>X21</f>
        <v>10.706799999999999</v>
      </c>
    </row>
    <row r="23" spans="1:24" x14ac:dyDescent="0.25">
      <c r="A23" t="s">
        <v>110</v>
      </c>
      <c r="B23">
        <v>4</v>
      </c>
      <c r="C23" t="s">
        <v>7</v>
      </c>
      <c r="D23">
        <v>17536</v>
      </c>
      <c r="E23">
        <v>128</v>
      </c>
      <c r="F23">
        <v>2</v>
      </c>
      <c r="G23">
        <v>8</v>
      </c>
      <c r="H23">
        <v>336.75</v>
      </c>
      <c r="I23" s="60">
        <v>10.677</v>
      </c>
      <c r="J23" s="16">
        <v>45472</v>
      </c>
      <c r="K23" s="25">
        <v>0.18480324074074075</v>
      </c>
      <c r="L23" s="67">
        <v>0</v>
      </c>
      <c r="M23" s="67">
        <v>0</v>
      </c>
      <c r="N23" s="67">
        <v>0</v>
      </c>
      <c r="O23" s="67">
        <v>0</v>
      </c>
      <c r="P23" s="67">
        <v>0</v>
      </c>
      <c r="Q23" s="67">
        <v>0</v>
      </c>
      <c r="R23" s="67">
        <v>0</v>
      </c>
      <c r="S23" s="67">
        <v>0</v>
      </c>
      <c r="T23" s="67">
        <v>0</v>
      </c>
      <c r="U23" s="67">
        <v>0</v>
      </c>
      <c r="V23" s="70">
        <v>0</v>
      </c>
      <c r="W23" s="67">
        <v>0</v>
      </c>
      <c r="X23" s="86">
        <f>X22</f>
        <v>10.706799999999999</v>
      </c>
    </row>
    <row r="24" spans="1:24" x14ac:dyDescent="0.25">
      <c r="A24" t="s">
        <v>107</v>
      </c>
      <c r="B24">
        <v>0</v>
      </c>
      <c r="C24" t="s">
        <v>7</v>
      </c>
      <c r="D24">
        <v>17536</v>
      </c>
      <c r="E24">
        <v>128</v>
      </c>
      <c r="F24">
        <v>2</v>
      </c>
      <c r="G24">
        <v>8</v>
      </c>
      <c r="H24">
        <v>335.25</v>
      </c>
      <c r="I24" s="60">
        <v>10.725</v>
      </c>
      <c r="J24" s="16">
        <v>45472</v>
      </c>
      <c r="K24" s="25">
        <v>0.10503472222222222</v>
      </c>
      <c r="L24" s="67">
        <v>0</v>
      </c>
      <c r="M24" s="67">
        <v>0</v>
      </c>
      <c r="N24" s="67">
        <v>0</v>
      </c>
      <c r="O24" s="67">
        <v>0</v>
      </c>
      <c r="P24" s="67">
        <v>0</v>
      </c>
      <c r="Q24" s="67">
        <v>0</v>
      </c>
      <c r="R24" s="67">
        <v>0</v>
      </c>
      <c r="S24" s="67">
        <v>0</v>
      </c>
      <c r="T24" s="67">
        <v>0</v>
      </c>
      <c r="U24" s="67">
        <v>0</v>
      </c>
      <c r="V24" s="70">
        <v>0</v>
      </c>
      <c r="W24" s="67">
        <v>0</v>
      </c>
      <c r="X24" s="86">
        <f>AVERAGE(I24:I28)</f>
        <v>10.700199999999999</v>
      </c>
    </row>
    <row r="25" spans="1:24" x14ac:dyDescent="0.25">
      <c r="A25" t="s">
        <v>107</v>
      </c>
      <c r="B25">
        <v>1</v>
      </c>
      <c r="C25" t="s">
        <v>7</v>
      </c>
      <c r="D25">
        <v>17536</v>
      </c>
      <c r="E25">
        <v>128</v>
      </c>
      <c r="F25">
        <v>2</v>
      </c>
      <c r="G25">
        <v>8</v>
      </c>
      <c r="H25">
        <v>335.64</v>
      </c>
      <c r="I25" s="60">
        <v>10.712</v>
      </c>
      <c r="J25" s="16">
        <v>45472</v>
      </c>
      <c r="K25" s="25">
        <v>0.10922453703703704</v>
      </c>
      <c r="L25" s="67">
        <v>0</v>
      </c>
      <c r="M25" s="67">
        <v>0</v>
      </c>
      <c r="N25" s="67">
        <v>0</v>
      </c>
      <c r="O25" s="67">
        <v>0</v>
      </c>
      <c r="P25" s="67">
        <v>0</v>
      </c>
      <c r="Q25" s="67">
        <v>0</v>
      </c>
      <c r="R25" s="67">
        <v>0</v>
      </c>
      <c r="S25" s="67">
        <v>0</v>
      </c>
      <c r="T25" s="67">
        <v>0</v>
      </c>
      <c r="U25" s="67">
        <v>0</v>
      </c>
      <c r="V25" s="70">
        <v>0</v>
      </c>
      <c r="W25" s="67">
        <v>0</v>
      </c>
      <c r="X25" s="86">
        <f>X24</f>
        <v>10.700199999999999</v>
      </c>
    </row>
    <row r="26" spans="1:24" x14ac:dyDescent="0.25">
      <c r="A26" t="s">
        <v>107</v>
      </c>
      <c r="B26">
        <v>2</v>
      </c>
      <c r="C26" t="s">
        <v>7</v>
      </c>
      <c r="D26">
        <v>17536</v>
      </c>
      <c r="E26">
        <v>128</v>
      </c>
      <c r="F26">
        <v>2</v>
      </c>
      <c r="G26">
        <v>8</v>
      </c>
      <c r="H26">
        <v>335.92</v>
      </c>
      <c r="I26" s="60">
        <v>10.702999999999999</v>
      </c>
      <c r="J26" s="16">
        <v>45472</v>
      </c>
      <c r="K26" s="25">
        <v>0.11342592592592593</v>
      </c>
      <c r="L26" s="67">
        <v>0</v>
      </c>
      <c r="M26" s="67">
        <v>0</v>
      </c>
      <c r="N26" s="67">
        <v>0</v>
      </c>
      <c r="O26" s="67">
        <v>0</v>
      </c>
      <c r="P26" s="67">
        <v>0</v>
      </c>
      <c r="Q26" s="67">
        <v>0</v>
      </c>
      <c r="R26" s="67">
        <v>0</v>
      </c>
      <c r="S26" s="67">
        <v>0</v>
      </c>
      <c r="T26" s="67">
        <v>0</v>
      </c>
      <c r="U26" s="67">
        <v>0</v>
      </c>
      <c r="V26" s="70">
        <v>0</v>
      </c>
      <c r="W26" s="67">
        <v>0</v>
      </c>
      <c r="X26" s="86">
        <f>X25</f>
        <v>10.700199999999999</v>
      </c>
    </row>
    <row r="27" spans="1:24" x14ac:dyDescent="0.25">
      <c r="A27" t="s">
        <v>107</v>
      </c>
      <c r="B27">
        <v>3</v>
      </c>
      <c r="C27" t="s">
        <v>7</v>
      </c>
      <c r="D27">
        <v>17536</v>
      </c>
      <c r="E27">
        <v>128</v>
      </c>
      <c r="F27">
        <v>2</v>
      </c>
      <c r="G27">
        <v>8</v>
      </c>
      <c r="H27">
        <v>337.38</v>
      </c>
      <c r="I27" s="60">
        <v>10.657</v>
      </c>
      <c r="J27" s="16">
        <v>45472</v>
      </c>
      <c r="K27" s="25">
        <v>0.11762731481481481</v>
      </c>
      <c r="L27" s="67">
        <v>0</v>
      </c>
      <c r="M27" s="67">
        <v>0</v>
      </c>
      <c r="N27" s="67">
        <v>0</v>
      </c>
      <c r="O27" s="67">
        <v>0</v>
      </c>
      <c r="P27" s="67">
        <v>0</v>
      </c>
      <c r="Q27" s="67">
        <v>0</v>
      </c>
      <c r="R27" s="67">
        <v>0</v>
      </c>
      <c r="S27" s="67">
        <v>0</v>
      </c>
      <c r="T27" s="67">
        <v>0</v>
      </c>
      <c r="U27" s="67">
        <v>0</v>
      </c>
      <c r="V27" s="70">
        <v>0</v>
      </c>
      <c r="W27" s="67">
        <v>0</v>
      </c>
      <c r="X27" s="86">
        <f>X26</f>
        <v>10.700199999999999</v>
      </c>
    </row>
    <row r="28" spans="1:24" x14ac:dyDescent="0.25">
      <c r="A28" t="s">
        <v>107</v>
      </c>
      <c r="B28">
        <v>4</v>
      </c>
      <c r="C28" t="s">
        <v>7</v>
      </c>
      <c r="D28">
        <v>17536</v>
      </c>
      <c r="E28">
        <v>128</v>
      </c>
      <c r="F28">
        <v>2</v>
      </c>
      <c r="G28">
        <v>8</v>
      </c>
      <c r="H28">
        <v>335.89</v>
      </c>
      <c r="I28" s="60">
        <v>10.704000000000001</v>
      </c>
      <c r="J28" s="16">
        <v>45472</v>
      </c>
      <c r="K28" s="25">
        <v>0.1218287037037037</v>
      </c>
      <c r="L28" s="67">
        <v>0</v>
      </c>
      <c r="M28" s="67">
        <v>0</v>
      </c>
      <c r="N28" s="67">
        <v>0</v>
      </c>
      <c r="O28" s="67">
        <v>0</v>
      </c>
      <c r="P28" s="67">
        <v>0</v>
      </c>
      <c r="Q28" s="67">
        <v>0</v>
      </c>
      <c r="R28" s="67">
        <v>0</v>
      </c>
      <c r="S28" s="67">
        <v>0</v>
      </c>
      <c r="T28" s="67">
        <v>0</v>
      </c>
      <c r="U28" s="67">
        <v>0</v>
      </c>
      <c r="V28" s="70">
        <v>0</v>
      </c>
      <c r="W28" s="67">
        <v>0</v>
      </c>
      <c r="X28" s="86">
        <f>X27</f>
        <v>10.700199999999999</v>
      </c>
    </row>
    <row r="29" spans="1:24" x14ac:dyDescent="0.25">
      <c r="A29" t="s">
        <v>108</v>
      </c>
      <c r="B29">
        <v>0</v>
      </c>
      <c r="C29" t="s">
        <v>7</v>
      </c>
      <c r="D29">
        <v>17536</v>
      </c>
      <c r="E29">
        <v>128</v>
      </c>
      <c r="F29">
        <v>2</v>
      </c>
      <c r="G29">
        <v>8</v>
      </c>
      <c r="H29">
        <v>337.68</v>
      </c>
      <c r="I29" s="60">
        <v>10.648</v>
      </c>
      <c r="J29" s="16">
        <v>45472</v>
      </c>
      <c r="K29" s="25">
        <v>0.12607638888888889</v>
      </c>
      <c r="L29" s="67">
        <v>0</v>
      </c>
      <c r="M29" s="67">
        <v>0</v>
      </c>
      <c r="N29" s="67">
        <v>0</v>
      </c>
      <c r="O29" s="67">
        <v>0</v>
      </c>
      <c r="P29" s="67">
        <v>0</v>
      </c>
      <c r="Q29" s="67">
        <v>0</v>
      </c>
      <c r="R29" s="67">
        <v>0</v>
      </c>
      <c r="S29" s="67">
        <v>0</v>
      </c>
      <c r="T29" s="67">
        <v>0</v>
      </c>
      <c r="U29" s="67">
        <v>0</v>
      </c>
      <c r="V29" s="70">
        <v>0</v>
      </c>
      <c r="W29" s="67">
        <v>0</v>
      </c>
      <c r="X29" s="86">
        <f>AVERAGE(I29:I33)</f>
        <v>10.616000000000001</v>
      </c>
    </row>
    <row r="30" spans="1:24" x14ac:dyDescent="0.25">
      <c r="A30" t="s">
        <v>108</v>
      </c>
      <c r="B30">
        <v>1</v>
      </c>
      <c r="C30" t="s">
        <v>7</v>
      </c>
      <c r="D30">
        <v>17536</v>
      </c>
      <c r="E30">
        <v>128</v>
      </c>
      <c r="F30">
        <v>2</v>
      </c>
      <c r="G30">
        <v>8</v>
      </c>
      <c r="H30">
        <v>339.68</v>
      </c>
      <c r="I30" s="60">
        <v>10.585000000000001</v>
      </c>
      <c r="J30" s="16">
        <v>45472</v>
      </c>
      <c r="K30" s="25">
        <v>0.13034722222222223</v>
      </c>
      <c r="L30" s="67">
        <v>0</v>
      </c>
      <c r="M30" s="67">
        <v>0</v>
      </c>
      <c r="N30" s="67">
        <v>0</v>
      </c>
      <c r="O30" s="67">
        <v>0</v>
      </c>
      <c r="P30" s="67">
        <v>0</v>
      </c>
      <c r="Q30" s="67">
        <v>0</v>
      </c>
      <c r="R30" s="67">
        <v>0</v>
      </c>
      <c r="S30" s="67">
        <v>0</v>
      </c>
      <c r="T30" s="67">
        <v>0</v>
      </c>
      <c r="U30" s="67">
        <v>0</v>
      </c>
      <c r="V30" s="70">
        <v>0</v>
      </c>
      <c r="W30" s="67">
        <v>0</v>
      </c>
      <c r="X30" s="86">
        <f>X29</f>
        <v>10.616000000000001</v>
      </c>
    </row>
    <row r="31" spans="1:24" x14ac:dyDescent="0.25">
      <c r="A31" t="s">
        <v>108</v>
      </c>
      <c r="B31">
        <v>2</v>
      </c>
      <c r="C31" t="s">
        <v>7</v>
      </c>
      <c r="D31">
        <v>17536</v>
      </c>
      <c r="E31">
        <v>128</v>
      </c>
      <c r="F31">
        <v>2</v>
      </c>
      <c r="G31">
        <v>8</v>
      </c>
      <c r="H31">
        <v>337.85</v>
      </c>
      <c r="I31" s="60">
        <v>10.641999999999999</v>
      </c>
      <c r="J31" s="16">
        <v>45472</v>
      </c>
      <c r="K31" s="25">
        <v>0.13460648148148149</v>
      </c>
      <c r="L31" s="67">
        <v>0</v>
      </c>
      <c r="M31" s="67">
        <v>0</v>
      </c>
      <c r="N31" s="67">
        <v>0</v>
      </c>
      <c r="O31" s="67">
        <v>0</v>
      </c>
      <c r="P31" s="67">
        <v>0</v>
      </c>
      <c r="Q31" s="67">
        <v>0</v>
      </c>
      <c r="R31" s="67">
        <v>0</v>
      </c>
      <c r="S31" s="67">
        <v>0</v>
      </c>
      <c r="T31" s="67">
        <v>0</v>
      </c>
      <c r="U31" s="67">
        <v>0</v>
      </c>
      <c r="V31" s="70">
        <v>0</v>
      </c>
      <c r="W31" s="67">
        <v>0</v>
      </c>
      <c r="X31" s="86">
        <f>X30</f>
        <v>10.616000000000001</v>
      </c>
    </row>
    <row r="32" spans="1:24" x14ac:dyDescent="0.25">
      <c r="A32" t="s">
        <v>108</v>
      </c>
      <c r="B32">
        <v>3</v>
      </c>
      <c r="C32" t="s">
        <v>7</v>
      </c>
      <c r="D32">
        <v>17536</v>
      </c>
      <c r="E32">
        <v>128</v>
      </c>
      <c r="F32">
        <v>2</v>
      </c>
      <c r="G32">
        <v>8</v>
      </c>
      <c r="H32">
        <v>339.33</v>
      </c>
      <c r="I32" s="60">
        <v>10.596</v>
      </c>
      <c r="J32" s="16">
        <v>45472</v>
      </c>
      <c r="K32" s="25">
        <v>0.13886574074074073</v>
      </c>
      <c r="L32" s="67">
        <v>0</v>
      </c>
      <c r="M32" s="67">
        <v>0</v>
      </c>
      <c r="N32" s="67">
        <v>0</v>
      </c>
      <c r="O32" s="67">
        <v>0</v>
      </c>
      <c r="P32" s="67">
        <v>0</v>
      </c>
      <c r="Q32" s="67">
        <v>0</v>
      </c>
      <c r="R32" s="67">
        <v>0</v>
      </c>
      <c r="S32" s="67">
        <v>0</v>
      </c>
      <c r="T32" s="67">
        <v>0</v>
      </c>
      <c r="U32" s="67">
        <v>0</v>
      </c>
      <c r="V32" s="70">
        <v>0</v>
      </c>
      <c r="W32" s="67">
        <v>0</v>
      </c>
      <c r="X32" s="86">
        <f>X31</f>
        <v>10.616000000000001</v>
      </c>
    </row>
    <row r="33" spans="1:24" x14ac:dyDescent="0.25">
      <c r="A33" t="s">
        <v>108</v>
      </c>
      <c r="B33">
        <v>4</v>
      </c>
      <c r="C33" t="s">
        <v>7</v>
      </c>
      <c r="D33">
        <v>17536</v>
      </c>
      <c r="E33">
        <v>128</v>
      </c>
      <c r="F33">
        <v>2</v>
      </c>
      <c r="G33">
        <v>8</v>
      </c>
      <c r="H33">
        <v>338.92</v>
      </c>
      <c r="I33" s="60">
        <v>10.609</v>
      </c>
      <c r="J33" s="16">
        <v>45472</v>
      </c>
      <c r="K33" s="25">
        <v>0.143125</v>
      </c>
      <c r="L33" s="67">
        <v>0</v>
      </c>
      <c r="M33" s="67">
        <v>0</v>
      </c>
      <c r="N33" s="67">
        <v>0</v>
      </c>
      <c r="O33" s="67">
        <v>0</v>
      </c>
      <c r="P33" s="67">
        <v>0</v>
      </c>
      <c r="Q33" s="67">
        <v>0</v>
      </c>
      <c r="R33" s="67">
        <v>0</v>
      </c>
      <c r="S33" s="67">
        <v>0</v>
      </c>
      <c r="T33" s="67">
        <v>0</v>
      </c>
      <c r="U33" s="67">
        <v>0</v>
      </c>
      <c r="V33" s="70">
        <v>0</v>
      </c>
      <c r="W33" s="67">
        <v>0</v>
      </c>
      <c r="X33" s="86">
        <f>X32</f>
        <v>10.616000000000001</v>
      </c>
    </row>
    <row r="34" spans="1:24" x14ac:dyDescent="0.25">
      <c r="A34" t="s">
        <v>88</v>
      </c>
      <c r="B34">
        <v>0</v>
      </c>
      <c r="C34" t="s">
        <v>7</v>
      </c>
      <c r="D34">
        <v>17536</v>
      </c>
      <c r="E34">
        <v>128</v>
      </c>
      <c r="F34">
        <v>2</v>
      </c>
      <c r="G34">
        <v>8</v>
      </c>
      <c r="H34" s="19">
        <v>380.01</v>
      </c>
      <c r="I34" s="60">
        <v>9.4616000000000007</v>
      </c>
      <c r="J34" s="16">
        <v>45471</v>
      </c>
      <c r="K34" s="24">
        <v>0.96464120370370365</v>
      </c>
      <c r="L34" s="67">
        <v>0</v>
      </c>
      <c r="M34" s="67">
        <v>0</v>
      </c>
      <c r="N34" s="67">
        <v>0</v>
      </c>
      <c r="O34" s="67">
        <v>0</v>
      </c>
      <c r="P34" s="67">
        <v>0</v>
      </c>
      <c r="Q34" s="67">
        <v>0</v>
      </c>
      <c r="R34" s="67">
        <v>0</v>
      </c>
      <c r="S34" s="67">
        <v>0</v>
      </c>
      <c r="T34" s="67">
        <v>0</v>
      </c>
      <c r="U34" s="67">
        <v>0</v>
      </c>
      <c r="V34" s="69">
        <v>0</v>
      </c>
      <c r="W34" s="68">
        <v>0</v>
      </c>
      <c r="X34" s="86">
        <f>AVERAGE(I34:I38)</f>
        <v>9.5002800000000001</v>
      </c>
    </row>
    <row r="35" spans="1:24" x14ac:dyDescent="0.25">
      <c r="A35" t="s">
        <v>88</v>
      </c>
      <c r="B35">
        <v>1</v>
      </c>
      <c r="C35" t="s">
        <v>7</v>
      </c>
      <c r="D35">
        <v>17536</v>
      </c>
      <c r="E35">
        <v>128</v>
      </c>
      <c r="F35">
        <v>2</v>
      </c>
      <c r="G35">
        <v>8</v>
      </c>
      <c r="H35" s="19">
        <v>377.97</v>
      </c>
      <c r="I35" s="60">
        <v>9.5126000000000008</v>
      </c>
      <c r="J35" s="16">
        <v>45471</v>
      </c>
      <c r="K35" s="24">
        <v>0.9703356481481481</v>
      </c>
      <c r="L35" s="67">
        <v>0</v>
      </c>
      <c r="M35" s="67">
        <v>0</v>
      </c>
      <c r="N35" s="67">
        <v>0</v>
      </c>
      <c r="O35" s="67">
        <v>0</v>
      </c>
      <c r="P35" s="67">
        <v>0</v>
      </c>
      <c r="Q35" s="67">
        <v>0</v>
      </c>
      <c r="R35" s="67">
        <v>0</v>
      </c>
      <c r="S35" s="67">
        <v>0</v>
      </c>
      <c r="T35" s="67">
        <v>0</v>
      </c>
      <c r="U35" s="67">
        <v>0</v>
      </c>
      <c r="V35" s="69">
        <v>0</v>
      </c>
      <c r="W35" s="68">
        <v>0</v>
      </c>
      <c r="X35" s="86">
        <f>X34</f>
        <v>9.5002800000000001</v>
      </c>
    </row>
    <row r="36" spans="1:24" x14ac:dyDescent="0.25">
      <c r="A36" t="s">
        <v>88</v>
      </c>
      <c r="B36">
        <v>2</v>
      </c>
      <c r="C36" t="s">
        <v>7</v>
      </c>
      <c r="D36">
        <v>17536</v>
      </c>
      <c r="E36">
        <v>128</v>
      </c>
      <c r="F36">
        <v>2</v>
      </c>
      <c r="G36">
        <v>8</v>
      </c>
      <c r="H36" s="19">
        <v>377.58</v>
      </c>
      <c r="I36" s="60">
        <v>9.5223999999999993</v>
      </c>
      <c r="J36" s="16">
        <v>45471</v>
      </c>
      <c r="K36" s="24">
        <v>0.97601851851851851</v>
      </c>
      <c r="L36" s="67">
        <v>0</v>
      </c>
      <c r="M36" s="67">
        <v>0</v>
      </c>
      <c r="N36" s="67">
        <v>0</v>
      </c>
      <c r="O36" s="67">
        <v>0</v>
      </c>
      <c r="P36" s="67">
        <v>0</v>
      </c>
      <c r="Q36" s="67">
        <v>0</v>
      </c>
      <c r="R36" s="67">
        <v>0</v>
      </c>
      <c r="S36" s="67">
        <v>0</v>
      </c>
      <c r="T36" s="67">
        <v>0</v>
      </c>
      <c r="U36" s="67">
        <v>0</v>
      </c>
      <c r="V36" s="69">
        <v>0</v>
      </c>
      <c r="W36" s="68">
        <v>0</v>
      </c>
      <c r="X36" s="86">
        <f>X35</f>
        <v>9.5002800000000001</v>
      </c>
    </row>
    <row r="37" spans="1:24" x14ac:dyDescent="0.25">
      <c r="A37" t="s">
        <v>88</v>
      </c>
      <c r="B37">
        <v>3</v>
      </c>
      <c r="C37" t="s">
        <v>7</v>
      </c>
      <c r="D37">
        <v>17536</v>
      </c>
      <c r="E37">
        <v>128</v>
      </c>
      <c r="F37">
        <v>2</v>
      </c>
      <c r="G37">
        <v>8</v>
      </c>
      <c r="H37" s="19">
        <v>377.7</v>
      </c>
      <c r="I37" s="60">
        <v>9.5192999999999994</v>
      </c>
      <c r="J37" s="16">
        <v>45471</v>
      </c>
      <c r="K37" s="24">
        <v>0.98170138888888892</v>
      </c>
      <c r="L37" s="67">
        <v>0</v>
      </c>
      <c r="M37" s="67">
        <v>0</v>
      </c>
      <c r="N37" s="67">
        <v>0</v>
      </c>
      <c r="O37" s="67">
        <v>0</v>
      </c>
      <c r="P37" s="67">
        <v>0</v>
      </c>
      <c r="Q37" s="67">
        <v>0</v>
      </c>
      <c r="R37" s="67">
        <v>0</v>
      </c>
      <c r="S37" s="67">
        <v>0</v>
      </c>
      <c r="T37" s="67">
        <v>0</v>
      </c>
      <c r="U37" s="67">
        <v>0</v>
      </c>
      <c r="V37" s="69">
        <v>0</v>
      </c>
      <c r="W37" s="68">
        <v>0</v>
      </c>
      <c r="X37" s="86">
        <f>X36</f>
        <v>9.5002800000000001</v>
      </c>
    </row>
    <row r="38" spans="1:24" x14ac:dyDescent="0.25">
      <c r="A38" t="s">
        <v>88</v>
      </c>
      <c r="B38">
        <v>4</v>
      </c>
      <c r="C38" t="s">
        <v>7</v>
      </c>
      <c r="D38">
        <v>17536</v>
      </c>
      <c r="E38">
        <v>128</v>
      </c>
      <c r="F38">
        <v>2</v>
      </c>
      <c r="G38">
        <v>8</v>
      </c>
      <c r="H38" s="19">
        <v>379.05</v>
      </c>
      <c r="I38" s="60">
        <v>9.4855</v>
      </c>
      <c r="J38" s="16">
        <v>45471</v>
      </c>
      <c r="K38" s="24">
        <v>0.9874074074074074</v>
      </c>
      <c r="L38" s="67">
        <v>0</v>
      </c>
      <c r="M38" s="67">
        <v>0</v>
      </c>
      <c r="N38" s="67">
        <v>0</v>
      </c>
      <c r="O38" s="67">
        <v>0</v>
      </c>
      <c r="P38" s="67">
        <v>0</v>
      </c>
      <c r="Q38" s="67">
        <v>0</v>
      </c>
      <c r="R38" s="67">
        <v>0</v>
      </c>
      <c r="S38" s="67">
        <v>0</v>
      </c>
      <c r="T38" s="67">
        <v>0</v>
      </c>
      <c r="U38" s="67">
        <v>0</v>
      </c>
      <c r="V38" s="69">
        <v>0</v>
      </c>
      <c r="W38" s="68">
        <v>0</v>
      </c>
      <c r="X38" s="86">
        <f>X37</f>
        <v>9.5002800000000001</v>
      </c>
    </row>
    <row r="39" spans="1:24" x14ac:dyDescent="0.25">
      <c r="A39" t="s">
        <v>91</v>
      </c>
      <c r="B39">
        <v>0</v>
      </c>
      <c r="C39" t="s">
        <v>7</v>
      </c>
      <c r="D39">
        <v>17536</v>
      </c>
      <c r="E39">
        <v>128</v>
      </c>
      <c r="F39">
        <v>2</v>
      </c>
      <c r="G39">
        <v>8</v>
      </c>
      <c r="H39" s="19">
        <v>391.55</v>
      </c>
      <c r="I39" s="60">
        <v>9.1826000000000008</v>
      </c>
      <c r="J39" s="16">
        <v>45471</v>
      </c>
      <c r="K39" s="24">
        <v>0.99324074074074076</v>
      </c>
      <c r="L39" s="67">
        <v>0</v>
      </c>
      <c r="M39" s="67">
        <v>0</v>
      </c>
      <c r="N39" s="67">
        <v>0</v>
      </c>
      <c r="O39" s="67">
        <v>0</v>
      </c>
      <c r="P39" s="67">
        <v>0</v>
      </c>
      <c r="Q39" s="67">
        <v>0</v>
      </c>
      <c r="R39" s="67">
        <v>0</v>
      </c>
      <c r="S39" s="67">
        <v>0</v>
      </c>
      <c r="T39" s="67">
        <v>0</v>
      </c>
      <c r="U39" s="67">
        <v>0</v>
      </c>
      <c r="V39" s="69">
        <v>0</v>
      </c>
      <c r="W39" s="68">
        <v>0</v>
      </c>
      <c r="X39" s="86">
        <f>AVERAGE(I39:I43)</f>
        <v>9.1414600000000004</v>
      </c>
    </row>
    <row r="40" spans="1:24" x14ac:dyDescent="0.25">
      <c r="A40" t="s">
        <v>91</v>
      </c>
      <c r="B40">
        <v>1</v>
      </c>
      <c r="C40" t="s">
        <v>7</v>
      </c>
      <c r="D40">
        <v>17536</v>
      </c>
      <c r="E40">
        <v>128</v>
      </c>
      <c r="F40">
        <v>2</v>
      </c>
      <c r="G40">
        <v>8</v>
      </c>
      <c r="H40" s="19">
        <v>394.34</v>
      </c>
      <c r="I40" s="60">
        <v>9.1175999999999995</v>
      </c>
      <c r="J40" s="16">
        <v>45471</v>
      </c>
      <c r="K40" s="24">
        <v>0.99910879629629634</v>
      </c>
      <c r="L40" s="67">
        <v>0</v>
      </c>
      <c r="M40" s="67">
        <v>0</v>
      </c>
      <c r="N40" s="67">
        <v>0</v>
      </c>
      <c r="O40" s="67">
        <v>0</v>
      </c>
      <c r="P40" s="67">
        <v>0</v>
      </c>
      <c r="Q40" s="67">
        <v>0</v>
      </c>
      <c r="R40" s="67">
        <v>0</v>
      </c>
      <c r="S40" s="67">
        <v>0</v>
      </c>
      <c r="T40" s="67">
        <v>0</v>
      </c>
      <c r="U40" s="67">
        <v>0</v>
      </c>
      <c r="V40" s="69">
        <v>0</v>
      </c>
      <c r="W40" s="68">
        <v>0</v>
      </c>
      <c r="X40" s="86">
        <f>X39</f>
        <v>9.1414600000000004</v>
      </c>
    </row>
    <row r="41" spans="1:24" x14ac:dyDescent="0.25">
      <c r="A41" t="s">
        <v>91</v>
      </c>
      <c r="B41">
        <v>2</v>
      </c>
      <c r="C41" t="s">
        <v>7</v>
      </c>
      <c r="D41">
        <v>17536</v>
      </c>
      <c r="E41">
        <v>128</v>
      </c>
      <c r="F41">
        <v>2</v>
      </c>
      <c r="G41">
        <v>8</v>
      </c>
      <c r="H41" s="19">
        <v>394.81</v>
      </c>
      <c r="I41" s="60">
        <v>9.1067</v>
      </c>
      <c r="J41" s="16">
        <v>45472</v>
      </c>
      <c r="K41" s="24">
        <v>5.0000000000000001E-3</v>
      </c>
      <c r="L41" s="67">
        <v>0</v>
      </c>
      <c r="M41" s="67">
        <v>0</v>
      </c>
      <c r="N41" s="67">
        <v>0</v>
      </c>
      <c r="O41" s="67">
        <v>0</v>
      </c>
      <c r="P41" s="67">
        <v>0</v>
      </c>
      <c r="Q41" s="67">
        <v>0</v>
      </c>
      <c r="R41" s="67">
        <v>0</v>
      </c>
      <c r="S41" s="67">
        <v>0</v>
      </c>
      <c r="T41" s="67">
        <v>0</v>
      </c>
      <c r="U41" s="67">
        <v>0</v>
      </c>
      <c r="V41" s="69">
        <v>0</v>
      </c>
      <c r="W41" s="68">
        <v>0</v>
      </c>
      <c r="X41" s="86">
        <f>X40</f>
        <v>9.1414600000000004</v>
      </c>
    </row>
    <row r="42" spans="1:24" x14ac:dyDescent="0.25">
      <c r="A42" t="s">
        <v>91</v>
      </c>
      <c r="B42">
        <v>3</v>
      </c>
      <c r="C42" t="s">
        <v>7</v>
      </c>
      <c r="D42">
        <v>17536</v>
      </c>
      <c r="E42">
        <v>128</v>
      </c>
      <c r="F42">
        <v>2</v>
      </c>
      <c r="G42">
        <v>8</v>
      </c>
      <c r="H42" s="19">
        <v>392.44</v>
      </c>
      <c r="I42" s="60">
        <v>9.1616999999999997</v>
      </c>
      <c r="J42" s="16">
        <v>45472</v>
      </c>
      <c r="K42" s="24">
        <v>1.0856481481481481E-2</v>
      </c>
      <c r="L42" s="67">
        <v>0</v>
      </c>
      <c r="M42" s="67">
        <v>0</v>
      </c>
      <c r="N42" s="67">
        <v>0</v>
      </c>
      <c r="O42" s="67">
        <v>0</v>
      </c>
      <c r="P42" s="67">
        <v>0</v>
      </c>
      <c r="Q42" s="67">
        <v>0</v>
      </c>
      <c r="R42" s="67">
        <v>0</v>
      </c>
      <c r="S42" s="67">
        <v>0</v>
      </c>
      <c r="T42" s="67">
        <v>0</v>
      </c>
      <c r="U42" s="67">
        <v>0</v>
      </c>
      <c r="V42" s="69">
        <v>0</v>
      </c>
      <c r="W42" s="68">
        <v>0</v>
      </c>
      <c r="X42" s="86">
        <f>X41</f>
        <v>9.1414600000000004</v>
      </c>
    </row>
    <row r="43" spans="1:24" x14ac:dyDescent="0.25">
      <c r="A43" t="s">
        <v>91</v>
      </c>
      <c r="B43">
        <v>4</v>
      </c>
      <c r="C43" t="s">
        <v>7</v>
      </c>
      <c r="D43">
        <v>17536</v>
      </c>
      <c r="E43">
        <v>128</v>
      </c>
      <c r="F43">
        <v>2</v>
      </c>
      <c r="G43">
        <v>8</v>
      </c>
      <c r="H43" s="19">
        <v>393.43</v>
      </c>
      <c r="I43" s="60">
        <v>9.1387</v>
      </c>
      <c r="J43" s="16">
        <v>45472</v>
      </c>
      <c r="K43" s="24">
        <v>1.6724537037037038E-2</v>
      </c>
      <c r="L43" s="67">
        <v>0</v>
      </c>
      <c r="M43" s="67">
        <v>0</v>
      </c>
      <c r="N43" s="67">
        <v>0</v>
      </c>
      <c r="O43" s="67">
        <v>0</v>
      </c>
      <c r="P43" s="67">
        <v>0</v>
      </c>
      <c r="Q43" s="67">
        <v>0</v>
      </c>
      <c r="R43" s="67">
        <v>0</v>
      </c>
      <c r="S43" s="67">
        <v>0</v>
      </c>
      <c r="T43" s="67">
        <v>0</v>
      </c>
      <c r="U43" s="67">
        <v>0</v>
      </c>
      <c r="V43" s="69">
        <v>0</v>
      </c>
      <c r="W43" s="68">
        <v>0</v>
      </c>
      <c r="X43" s="86">
        <f>X42</f>
        <v>9.1414600000000004</v>
      </c>
    </row>
    <row r="44" spans="1:24" x14ac:dyDescent="0.25">
      <c r="A44" t="s">
        <v>93</v>
      </c>
      <c r="B44">
        <v>0</v>
      </c>
      <c r="C44" t="s">
        <v>7</v>
      </c>
      <c r="D44">
        <v>17536</v>
      </c>
      <c r="E44">
        <v>128</v>
      </c>
      <c r="F44">
        <v>2</v>
      </c>
      <c r="G44">
        <v>8</v>
      </c>
      <c r="H44">
        <v>425.04</v>
      </c>
      <c r="I44" s="60">
        <v>8.4591999999999992</v>
      </c>
      <c r="J44" s="16">
        <v>45472</v>
      </c>
      <c r="K44" s="25">
        <v>5.4988425925925927E-2</v>
      </c>
      <c r="L44" s="67">
        <v>0</v>
      </c>
      <c r="M44" s="67">
        <v>0</v>
      </c>
      <c r="N44" s="67">
        <v>0</v>
      </c>
      <c r="O44" s="67">
        <v>0</v>
      </c>
      <c r="P44" s="67">
        <v>0</v>
      </c>
      <c r="Q44" s="67">
        <v>0</v>
      </c>
      <c r="R44" s="67">
        <v>0</v>
      </c>
      <c r="S44" s="67">
        <v>0</v>
      </c>
      <c r="T44" s="67">
        <v>0</v>
      </c>
      <c r="U44" s="69">
        <v>0</v>
      </c>
      <c r="V44" s="69">
        <v>0</v>
      </c>
      <c r="W44" s="67">
        <v>0</v>
      </c>
      <c r="X44" s="86">
        <f>AVERAGE(I44:I48)</f>
        <v>8.4756400000000003</v>
      </c>
    </row>
    <row r="45" spans="1:24" x14ac:dyDescent="0.25">
      <c r="A45" t="s">
        <v>93</v>
      </c>
      <c r="B45">
        <v>1</v>
      </c>
      <c r="C45" t="s">
        <v>7</v>
      </c>
      <c r="D45">
        <v>17536</v>
      </c>
      <c r="E45">
        <v>128</v>
      </c>
      <c r="F45">
        <v>2</v>
      </c>
      <c r="G45">
        <v>8</v>
      </c>
      <c r="H45">
        <v>423.18</v>
      </c>
      <c r="I45" s="60">
        <v>8.4962</v>
      </c>
      <c r="J45" s="16">
        <v>45472</v>
      </c>
      <c r="K45" s="25">
        <v>6.1203703703703705E-2</v>
      </c>
      <c r="L45" s="67">
        <v>0</v>
      </c>
      <c r="M45" s="67">
        <v>0</v>
      </c>
      <c r="N45" s="67">
        <v>0</v>
      </c>
      <c r="O45" s="67">
        <v>0</v>
      </c>
      <c r="P45" s="67">
        <v>0</v>
      </c>
      <c r="Q45" s="67">
        <v>0</v>
      </c>
      <c r="R45" s="67">
        <v>0</v>
      </c>
      <c r="S45" s="67">
        <v>0</v>
      </c>
      <c r="T45" s="67">
        <v>0</v>
      </c>
      <c r="U45" s="69">
        <v>0</v>
      </c>
      <c r="V45" s="69">
        <v>0</v>
      </c>
      <c r="W45" s="67">
        <v>0</v>
      </c>
      <c r="X45" s="86">
        <f>X44</f>
        <v>8.4756400000000003</v>
      </c>
    </row>
    <row r="46" spans="1:24" x14ac:dyDescent="0.25">
      <c r="A46" t="s">
        <v>93</v>
      </c>
      <c r="B46">
        <v>2</v>
      </c>
      <c r="C46" t="s">
        <v>7</v>
      </c>
      <c r="D46">
        <v>17536</v>
      </c>
      <c r="E46">
        <v>128</v>
      </c>
      <c r="F46">
        <v>2</v>
      </c>
      <c r="G46">
        <v>8</v>
      </c>
      <c r="H46">
        <v>423.86</v>
      </c>
      <c r="I46" s="60">
        <v>8.4825999999999997</v>
      </c>
      <c r="J46" s="16">
        <v>45472</v>
      </c>
      <c r="K46" s="25">
        <v>6.7430555555555549E-2</v>
      </c>
      <c r="L46" s="67">
        <v>0</v>
      </c>
      <c r="M46" s="67">
        <v>0</v>
      </c>
      <c r="N46" s="67">
        <v>0</v>
      </c>
      <c r="O46" s="67">
        <v>0</v>
      </c>
      <c r="P46" s="67">
        <v>0</v>
      </c>
      <c r="Q46" s="67">
        <v>0</v>
      </c>
      <c r="R46" s="67">
        <v>0</v>
      </c>
      <c r="S46" s="67">
        <v>0</v>
      </c>
      <c r="T46" s="67">
        <v>0</v>
      </c>
      <c r="U46" s="67">
        <v>0</v>
      </c>
      <c r="V46" s="70">
        <v>0</v>
      </c>
      <c r="W46" s="67">
        <v>0</v>
      </c>
      <c r="X46" s="86">
        <f>X45</f>
        <v>8.4756400000000003</v>
      </c>
    </row>
    <row r="47" spans="1:24" x14ac:dyDescent="0.25">
      <c r="A47" t="s">
        <v>93</v>
      </c>
      <c r="B47">
        <v>3</v>
      </c>
      <c r="C47" t="s">
        <v>7</v>
      </c>
      <c r="D47">
        <v>17536</v>
      </c>
      <c r="E47">
        <v>128</v>
      </c>
      <c r="F47">
        <v>2</v>
      </c>
      <c r="G47">
        <v>8</v>
      </c>
      <c r="H47">
        <v>424.34</v>
      </c>
      <c r="I47" s="60">
        <v>8.4731000000000005</v>
      </c>
      <c r="J47" s="16">
        <v>45472</v>
      </c>
      <c r="K47" s="25">
        <v>7.3668981481481488E-2</v>
      </c>
      <c r="L47" s="67">
        <v>0</v>
      </c>
      <c r="M47" s="67">
        <v>0</v>
      </c>
      <c r="N47" s="67">
        <v>0</v>
      </c>
      <c r="O47" s="67">
        <v>0</v>
      </c>
      <c r="P47" s="67">
        <v>0</v>
      </c>
      <c r="Q47" s="67">
        <v>0</v>
      </c>
      <c r="R47" s="67">
        <v>0</v>
      </c>
      <c r="S47" s="67">
        <v>0</v>
      </c>
      <c r="T47" s="67">
        <v>0</v>
      </c>
      <c r="U47" s="67">
        <v>0</v>
      </c>
      <c r="V47" s="70">
        <v>0</v>
      </c>
      <c r="W47" s="67">
        <v>0</v>
      </c>
      <c r="X47" s="86">
        <f>X46</f>
        <v>8.4756400000000003</v>
      </c>
    </row>
    <row r="48" spans="1:24" x14ac:dyDescent="0.25">
      <c r="A48" t="s">
        <v>93</v>
      </c>
      <c r="B48">
        <v>4</v>
      </c>
      <c r="C48" t="s">
        <v>7</v>
      </c>
      <c r="D48">
        <v>17536</v>
      </c>
      <c r="E48">
        <v>128</v>
      </c>
      <c r="F48">
        <v>2</v>
      </c>
      <c r="G48">
        <v>8</v>
      </c>
      <c r="H48">
        <v>424.64</v>
      </c>
      <c r="I48" s="60">
        <v>8.4671000000000003</v>
      </c>
      <c r="J48" s="16">
        <v>45472</v>
      </c>
      <c r="K48" s="25">
        <v>7.9907407407407413E-2</v>
      </c>
      <c r="L48" s="67">
        <v>0</v>
      </c>
      <c r="M48" s="67">
        <v>0</v>
      </c>
      <c r="N48" s="67">
        <v>0</v>
      </c>
      <c r="O48" s="67">
        <v>0</v>
      </c>
      <c r="P48" s="67">
        <v>0</v>
      </c>
      <c r="Q48" s="67">
        <v>0</v>
      </c>
      <c r="R48" s="67">
        <v>0</v>
      </c>
      <c r="S48" s="67">
        <v>0</v>
      </c>
      <c r="T48" s="67">
        <v>0</v>
      </c>
      <c r="U48" s="67">
        <v>0</v>
      </c>
      <c r="V48" s="70">
        <v>0</v>
      </c>
      <c r="W48" s="67">
        <v>0</v>
      </c>
      <c r="X48" s="86">
        <f>X47</f>
        <v>8.4756400000000003</v>
      </c>
    </row>
    <row r="49" spans="1:24" x14ac:dyDescent="0.25">
      <c r="A49" t="s">
        <v>72</v>
      </c>
      <c r="B49">
        <v>0</v>
      </c>
      <c r="C49" t="s">
        <v>7</v>
      </c>
      <c r="D49">
        <v>17536</v>
      </c>
      <c r="E49">
        <v>128</v>
      </c>
      <c r="F49">
        <v>2</v>
      </c>
      <c r="G49">
        <v>8</v>
      </c>
      <c r="H49" s="19">
        <v>425.89</v>
      </c>
      <c r="I49" s="60">
        <v>8.4422999999999995</v>
      </c>
      <c r="J49" s="16">
        <v>45471</v>
      </c>
      <c r="K49" s="24">
        <v>0.90194444444444444</v>
      </c>
      <c r="L49" s="67">
        <v>0</v>
      </c>
      <c r="M49" s="67">
        <v>0</v>
      </c>
      <c r="N49" s="67">
        <v>0</v>
      </c>
      <c r="O49" s="67">
        <v>0</v>
      </c>
      <c r="P49" s="67">
        <v>0</v>
      </c>
      <c r="Q49" s="67">
        <v>0</v>
      </c>
      <c r="R49" s="67">
        <v>0</v>
      </c>
      <c r="S49" s="67">
        <v>0</v>
      </c>
      <c r="T49" s="67">
        <v>0</v>
      </c>
      <c r="U49" s="67">
        <v>0</v>
      </c>
      <c r="V49" s="67">
        <v>0</v>
      </c>
      <c r="W49" s="68">
        <v>0</v>
      </c>
      <c r="X49" s="86">
        <f>AVERAGE(I49:I53)</f>
        <v>8.4608399999999993</v>
      </c>
    </row>
    <row r="50" spans="1:24" x14ac:dyDescent="0.25">
      <c r="A50" t="s">
        <v>72</v>
      </c>
      <c r="B50">
        <v>1</v>
      </c>
      <c r="C50" t="s">
        <v>7</v>
      </c>
      <c r="D50">
        <v>17536</v>
      </c>
      <c r="E50">
        <v>128</v>
      </c>
      <c r="F50">
        <v>2</v>
      </c>
      <c r="G50">
        <v>8</v>
      </c>
      <c r="H50" s="19">
        <v>424.39</v>
      </c>
      <c r="I50" s="60">
        <v>8.4720999999999993</v>
      </c>
      <c r="J50" s="16">
        <v>45471</v>
      </c>
      <c r="K50" s="24">
        <v>0.90818287037037038</v>
      </c>
      <c r="L50" s="67">
        <v>0</v>
      </c>
      <c r="M50" s="67">
        <v>0</v>
      </c>
      <c r="N50" s="67">
        <v>0</v>
      </c>
      <c r="O50" s="67">
        <v>0</v>
      </c>
      <c r="P50" s="67">
        <v>0</v>
      </c>
      <c r="Q50" s="67">
        <v>0</v>
      </c>
      <c r="R50" s="67">
        <v>0</v>
      </c>
      <c r="S50" s="67">
        <v>0</v>
      </c>
      <c r="T50" s="67">
        <v>0</v>
      </c>
      <c r="U50" s="67">
        <v>0</v>
      </c>
      <c r="V50" s="67">
        <v>0</v>
      </c>
      <c r="W50" s="68">
        <v>0</v>
      </c>
      <c r="X50" s="86">
        <f>X49</f>
        <v>8.4608399999999993</v>
      </c>
    </row>
    <row r="51" spans="1:24" x14ac:dyDescent="0.25">
      <c r="A51" t="s">
        <v>72</v>
      </c>
      <c r="B51">
        <v>2</v>
      </c>
      <c r="C51" t="s">
        <v>7</v>
      </c>
      <c r="D51">
        <v>17536</v>
      </c>
      <c r="E51">
        <v>128</v>
      </c>
      <c r="F51">
        <v>2</v>
      </c>
      <c r="G51">
        <v>8</v>
      </c>
      <c r="H51" s="19">
        <v>425.14</v>
      </c>
      <c r="I51" s="60">
        <v>8.4571000000000005</v>
      </c>
      <c r="J51" s="16">
        <v>45471</v>
      </c>
      <c r="K51" s="24">
        <v>0.91440972222222228</v>
      </c>
      <c r="L51" s="67">
        <v>0</v>
      </c>
      <c r="M51" s="67">
        <v>0</v>
      </c>
      <c r="N51" s="67">
        <v>0</v>
      </c>
      <c r="O51" s="67">
        <v>0</v>
      </c>
      <c r="P51" s="67">
        <v>0</v>
      </c>
      <c r="Q51" s="67">
        <v>0</v>
      </c>
      <c r="R51" s="67">
        <v>0</v>
      </c>
      <c r="S51" s="67">
        <v>0</v>
      </c>
      <c r="T51" s="67">
        <v>0</v>
      </c>
      <c r="U51" s="67">
        <v>0</v>
      </c>
      <c r="V51" s="67">
        <v>0</v>
      </c>
      <c r="W51" s="68">
        <v>0</v>
      </c>
      <c r="X51" s="86">
        <f>X50</f>
        <v>8.4608399999999993</v>
      </c>
    </row>
    <row r="52" spans="1:24" x14ac:dyDescent="0.25">
      <c r="A52" t="s">
        <v>72</v>
      </c>
      <c r="B52">
        <v>3</v>
      </c>
      <c r="C52" t="s">
        <v>7</v>
      </c>
      <c r="D52">
        <v>17536</v>
      </c>
      <c r="E52">
        <v>128</v>
      </c>
      <c r="F52">
        <v>2</v>
      </c>
      <c r="G52">
        <v>8</v>
      </c>
      <c r="H52" s="19">
        <v>424.06</v>
      </c>
      <c r="I52" s="60">
        <v>8.4786000000000001</v>
      </c>
      <c r="J52" s="16">
        <v>45471</v>
      </c>
      <c r="K52" s="24">
        <v>0.92062500000000003</v>
      </c>
      <c r="L52" s="67">
        <v>0</v>
      </c>
      <c r="M52" s="67">
        <v>0</v>
      </c>
      <c r="N52" s="67">
        <v>0</v>
      </c>
      <c r="O52" s="67">
        <v>0</v>
      </c>
      <c r="P52" s="67">
        <v>0</v>
      </c>
      <c r="Q52" s="67">
        <v>0</v>
      </c>
      <c r="R52" s="67">
        <v>0</v>
      </c>
      <c r="S52" s="67">
        <v>0</v>
      </c>
      <c r="T52" s="67">
        <v>0</v>
      </c>
      <c r="U52" s="67">
        <v>0</v>
      </c>
      <c r="V52" s="69">
        <v>0</v>
      </c>
      <c r="W52" s="68">
        <v>0</v>
      </c>
      <c r="X52" s="86">
        <f>X51</f>
        <v>8.4608399999999993</v>
      </c>
    </row>
    <row r="53" spans="1:24" x14ac:dyDescent="0.25">
      <c r="A53" t="s">
        <v>72</v>
      </c>
      <c r="B53">
        <v>4</v>
      </c>
      <c r="C53" t="s">
        <v>7</v>
      </c>
      <c r="D53">
        <v>17536</v>
      </c>
      <c r="E53">
        <v>128</v>
      </c>
      <c r="F53">
        <v>2</v>
      </c>
      <c r="G53">
        <v>8</v>
      </c>
      <c r="H53" s="19">
        <v>425.29</v>
      </c>
      <c r="I53" s="60">
        <v>8.4541000000000004</v>
      </c>
      <c r="J53" s="16">
        <v>45471</v>
      </c>
      <c r="K53" s="24">
        <v>0.92686342592592597</v>
      </c>
      <c r="L53" s="67">
        <v>0</v>
      </c>
      <c r="M53" s="67">
        <v>0</v>
      </c>
      <c r="N53" s="67">
        <v>0</v>
      </c>
      <c r="O53" s="67">
        <v>0</v>
      </c>
      <c r="P53" s="67">
        <v>0</v>
      </c>
      <c r="Q53" s="67">
        <v>0</v>
      </c>
      <c r="R53" s="67">
        <v>0</v>
      </c>
      <c r="S53" s="67">
        <v>0</v>
      </c>
      <c r="T53" s="67">
        <v>0</v>
      </c>
      <c r="U53" s="67">
        <v>0</v>
      </c>
      <c r="V53" s="69">
        <v>0</v>
      </c>
      <c r="W53" s="68">
        <v>0</v>
      </c>
      <c r="X53" s="86">
        <f>X52</f>
        <v>8.4608399999999993</v>
      </c>
    </row>
    <row r="54" spans="1:24" x14ac:dyDescent="0.25">
      <c r="A54" t="s">
        <v>65</v>
      </c>
      <c r="B54">
        <v>0</v>
      </c>
      <c r="C54" t="s">
        <v>7</v>
      </c>
      <c r="D54">
        <v>17536</v>
      </c>
      <c r="E54">
        <v>128</v>
      </c>
      <c r="F54">
        <v>2</v>
      </c>
      <c r="G54">
        <v>8</v>
      </c>
      <c r="H54" s="19">
        <v>439</v>
      </c>
      <c r="I54" s="60">
        <v>8.1900999999999993</v>
      </c>
      <c r="J54" s="16">
        <v>45472</v>
      </c>
      <c r="K54" s="24">
        <v>2.3125E-2</v>
      </c>
      <c r="L54" s="67">
        <v>0</v>
      </c>
      <c r="M54" s="67">
        <v>0</v>
      </c>
      <c r="N54" s="67">
        <v>0</v>
      </c>
      <c r="O54" s="67">
        <v>0</v>
      </c>
      <c r="P54" s="67">
        <v>0</v>
      </c>
      <c r="Q54" s="67">
        <v>0</v>
      </c>
      <c r="R54" s="67">
        <v>0</v>
      </c>
      <c r="S54" s="67">
        <v>0</v>
      </c>
      <c r="T54" s="67">
        <v>0</v>
      </c>
      <c r="U54" s="67">
        <v>0</v>
      </c>
      <c r="V54" s="69">
        <v>0</v>
      </c>
      <c r="W54" s="68">
        <v>0</v>
      </c>
      <c r="X54" s="86">
        <f>AVERAGE(I54:I58)</f>
        <v>8.1805199999999996</v>
      </c>
    </row>
    <row r="55" spans="1:24" x14ac:dyDescent="0.25">
      <c r="A55" t="s">
        <v>65</v>
      </c>
      <c r="B55">
        <v>1</v>
      </c>
      <c r="C55" t="s">
        <v>7</v>
      </c>
      <c r="D55">
        <v>17536</v>
      </c>
      <c r="E55">
        <v>128</v>
      </c>
      <c r="F55">
        <v>2</v>
      </c>
      <c r="G55">
        <v>8</v>
      </c>
      <c r="H55" s="19">
        <v>439.67</v>
      </c>
      <c r="I55" s="60">
        <v>8.1776</v>
      </c>
      <c r="J55" s="16">
        <v>45472</v>
      </c>
      <c r="K55" s="24">
        <v>2.9525462962962962E-2</v>
      </c>
      <c r="L55" s="67">
        <v>0</v>
      </c>
      <c r="M55" s="67">
        <v>0</v>
      </c>
      <c r="N55" s="67">
        <v>0</v>
      </c>
      <c r="O55" s="67">
        <v>0</v>
      </c>
      <c r="P55" s="67">
        <v>0</v>
      </c>
      <c r="Q55" s="67">
        <v>0</v>
      </c>
      <c r="R55" s="67">
        <v>0</v>
      </c>
      <c r="S55" s="67">
        <v>0</v>
      </c>
      <c r="T55" s="67">
        <v>0</v>
      </c>
      <c r="U55" s="67">
        <v>0</v>
      </c>
      <c r="V55" s="69">
        <v>0</v>
      </c>
      <c r="W55" s="68">
        <v>0</v>
      </c>
      <c r="X55" s="86">
        <f>X54</f>
        <v>8.1805199999999996</v>
      </c>
    </row>
    <row r="56" spans="1:24" x14ac:dyDescent="0.25">
      <c r="A56" t="s">
        <v>65</v>
      </c>
      <c r="B56">
        <v>2</v>
      </c>
      <c r="C56" t="s">
        <v>7</v>
      </c>
      <c r="D56">
        <v>17536</v>
      </c>
      <c r="E56">
        <v>128</v>
      </c>
      <c r="F56">
        <v>2</v>
      </c>
      <c r="G56">
        <v>8</v>
      </c>
      <c r="H56" s="19">
        <v>439.3</v>
      </c>
      <c r="I56" s="60">
        <v>8.1844999999999999</v>
      </c>
      <c r="J56" s="16">
        <v>45472</v>
      </c>
      <c r="K56" s="24">
        <v>3.5925925925925924E-2</v>
      </c>
      <c r="L56" s="67">
        <v>0</v>
      </c>
      <c r="M56" s="67">
        <v>0</v>
      </c>
      <c r="N56" s="67">
        <v>0</v>
      </c>
      <c r="O56" s="67">
        <v>0</v>
      </c>
      <c r="P56" s="67">
        <v>0</v>
      </c>
      <c r="Q56" s="67">
        <v>0</v>
      </c>
      <c r="R56" s="67">
        <v>0</v>
      </c>
      <c r="S56" s="67">
        <v>0</v>
      </c>
      <c r="T56" s="67">
        <v>0</v>
      </c>
      <c r="U56" s="67">
        <v>0</v>
      </c>
      <c r="V56" s="69">
        <v>0</v>
      </c>
      <c r="W56" s="68">
        <v>0</v>
      </c>
      <c r="X56" s="86">
        <f>X55</f>
        <v>8.1805199999999996</v>
      </c>
    </row>
    <row r="57" spans="1:24" x14ac:dyDescent="0.25">
      <c r="A57" t="s">
        <v>65</v>
      </c>
      <c r="B57">
        <v>3</v>
      </c>
      <c r="C57" t="s">
        <v>7</v>
      </c>
      <c r="D57">
        <v>17536</v>
      </c>
      <c r="E57">
        <v>128</v>
      </c>
      <c r="F57">
        <v>2</v>
      </c>
      <c r="G57">
        <v>8</v>
      </c>
      <c r="H57" s="19">
        <v>441.16</v>
      </c>
      <c r="I57" s="60">
        <v>8.1501000000000001</v>
      </c>
      <c r="J57" s="16">
        <v>45472</v>
      </c>
      <c r="K57" s="24">
        <v>4.2361111111111113E-2</v>
      </c>
      <c r="L57" s="67">
        <v>0</v>
      </c>
      <c r="M57" s="67">
        <v>0</v>
      </c>
      <c r="N57" s="67">
        <v>0</v>
      </c>
      <c r="O57" s="67">
        <v>0</v>
      </c>
      <c r="P57" s="67">
        <v>0</v>
      </c>
      <c r="Q57" s="67">
        <v>0</v>
      </c>
      <c r="R57" s="67">
        <v>0</v>
      </c>
      <c r="S57" s="67">
        <v>0</v>
      </c>
      <c r="T57" s="67">
        <v>0</v>
      </c>
      <c r="U57" s="67">
        <v>0</v>
      </c>
      <c r="V57" s="69">
        <v>0</v>
      </c>
      <c r="W57" s="68">
        <v>0</v>
      </c>
      <c r="X57" s="86">
        <f>X56</f>
        <v>8.1805199999999996</v>
      </c>
    </row>
    <row r="58" spans="1:24" x14ac:dyDescent="0.25">
      <c r="A58" t="s">
        <v>65</v>
      </c>
      <c r="B58">
        <v>4</v>
      </c>
      <c r="C58" t="s">
        <v>7</v>
      </c>
      <c r="D58">
        <v>17536</v>
      </c>
      <c r="E58">
        <v>128</v>
      </c>
      <c r="F58">
        <v>2</v>
      </c>
      <c r="G58">
        <v>8</v>
      </c>
      <c r="H58" s="19">
        <v>438.46</v>
      </c>
      <c r="I58" s="60">
        <v>8.2003000000000004</v>
      </c>
      <c r="J58" s="16">
        <v>45472</v>
      </c>
      <c r="K58" s="24">
        <v>4.8750000000000002E-2</v>
      </c>
      <c r="L58" s="67">
        <v>0</v>
      </c>
      <c r="M58" s="67">
        <v>0</v>
      </c>
      <c r="N58" s="67">
        <v>0</v>
      </c>
      <c r="O58" s="67">
        <v>0</v>
      </c>
      <c r="P58" s="67">
        <v>0</v>
      </c>
      <c r="Q58" s="67">
        <v>0</v>
      </c>
      <c r="R58" s="67">
        <v>0</v>
      </c>
      <c r="S58" s="67">
        <v>0</v>
      </c>
      <c r="T58" s="67">
        <v>0</v>
      </c>
      <c r="U58" s="67">
        <v>0</v>
      </c>
      <c r="V58" s="69">
        <v>0</v>
      </c>
      <c r="W58" s="68">
        <v>0</v>
      </c>
      <c r="X58" s="86">
        <f>X57</f>
        <v>8.1805199999999996</v>
      </c>
    </row>
    <row r="59" spans="1:24" x14ac:dyDescent="0.25">
      <c r="A59" t="s">
        <v>55</v>
      </c>
      <c r="B59">
        <v>0</v>
      </c>
      <c r="C59" t="s">
        <v>7</v>
      </c>
      <c r="D59">
        <v>17536</v>
      </c>
      <c r="E59">
        <v>128</v>
      </c>
      <c r="F59">
        <v>2</v>
      </c>
      <c r="G59">
        <v>8</v>
      </c>
      <c r="H59" s="19">
        <v>440.37</v>
      </c>
      <c r="I59" s="60">
        <v>8.1646000000000001</v>
      </c>
      <c r="J59" s="16">
        <v>45471</v>
      </c>
      <c r="K59" s="24">
        <v>0.93327546296296293</v>
      </c>
      <c r="L59" s="67">
        <v>0</v>
      </c>
      <c r="M59" s="67">
        <v>0</v>
      </c>
      <c r="N59" s="67">
        <v>0</v>
      </c>
      <c r="O59" s="67">
        <v>0</v>
      </c>
      <c r="P59" s="67">
        <v>0</v>
      </c>
      <c r="Q59" s="67">
        <v>0</v>
      </c>
      <c r="R59" s="67">
        <v>0</v>
      </c>
      <c r="S59" s="67">
        <v>0</v>
      </c>
      <c r="T59" s="67">
        <v>0</v>
      </c>
      <c r="U59" s="67">
        <v>0</v>
      </c>
      <c r="V59" s="69">
        <v>0</v>
      </c>
      <c r="W59" s="68">
        <v>0</v>
      </c>
      <c r="X59" s="86">
        <f>AVERAGE(I59:I63)</f>
        <v>8.1640200000000007</v>
      </c>
    </row>
    <row r="60" spans="1:24" x14ac:dyDescent="0.25">
      <c r="A60" t="s">
        <v>55</v>
      </c>
      <c r="B60">
        <v>1</v>
      </c>
      <c r="C60" t="s">
        <v>7</v>
      </c>
      <c r="D60">
        <v>17536</v>
      </c>
      <c r="E60">
        <v>128</v>
      </c>
      <c r="F60">
        <v>2</v>
      </c>
      <c r="G60">
        <v>8</v>
      </c>
      <c r="H60" s="19">
        <v>441.58</v>
      </c>
      <c r="I60" s="60">
        <v>8.1423000000000005</v>
      </c>
      <c r="J60" s="16">
        <v>45471</v>
      </c>
      <c r="K60" s="24">
        <v>0.9397106481481482</v>
      </c>
      <c r="L60" s="67">
        <v>0</v>
      </c>
      <c r="M60" s="67">
        <v>0</v>
      </c>
      <c r="N60" s="67">
        <v>0</v>
      </c>
      <c r="O60" s="67">
        <v>0</v>
      </c>
      <c r="P60" s="67">
        <v>0</v>
      </c>
      <c r="Q60" s="67">
        <v>0</v>
      </c>
      <c r="R60" s="67">
        <v>0</v>
      </c>
      <c r="S60" s="67">
        <v>0</v>
      </c>
      <c r="T60" s="67">
        <v>0</v>
      </c>
      <c r="U60" s="67">
        <v>0</v>
      </c>
      <c r="V60" s="69">
        <v>0</v>
      </c>
      <c r="W60" s="68">
        <v>0</v>
      </c>
      <c r="X60" s="86">
        <f>X59</f>
        <v>8.1640200000000007</v>
      </c>
    </row>
    <row r="61" spans="1:24" x14ac:dyDescent="0.25">
      <c r="A61" t="s">
        <v>55</v>
      </c>
      <c r="B61">
        <v>2</v>
      </c>
      <c r="C61" t="s">
        <v>7</v>
      </c>
      <c r="D61">
        <v>17536</v>
      </c>
      <c r="E61">
        <v>128</v>
      </c>
      <c r="F61">
        <v>2</v>
      </c>
      <c r="G61">
        <v>8</v>
      </c>
      <c r="H61" s="19">
        <v>440.71</v>
      </c>
      <c r="I61" s="60">
        <v>8.1583000000000006</v>
      </c>
      <c r="J61" s="16">
        <v>45471</v>
      </c>
      <c r="K61" s="24">
        <v>0.94612268518518516</v>
      </c>
      <c r="L61" s="67">
        <v>0</v>
      </c>
      <c r="M61" s="67">
        <v>0</v>
      </c>
      <c r="N61" s="67">
        <v>0</v>
      </c>
      <c r="O61" s="67">
        <v>0</v>
      </c>
      <c r="P61" s="67">
        <v>0</v>
      </c>
      <c r="Q61" s="67">
        <v>0</v>
      </c>
      <c r="R61" s="67">
        <v>0</v>
      </c>
      <c r="S61" s="67">
        <v>0</v>
      </c>
      <c r="T61" s="67">
        <v>0</v>
      </c>
      <c r="U61" s="67">
        <v>0</v>
      </c>
      <c r="V61" s="69">
        <v>0</v>
      </c>
      <c r="W61" s="68">
        <v>0</v>
      </c>
      <c r="X61" s="86">
        <f>X60</f>
        <v>8.1640200000000007</v>
      </c>
    </row>
    <row r="62" spans="1:24" x14ac:dyDescent="0.25">
      <c r="A62" t="s">
        <v>55</v>
      </c>
      <c r="B62">
        <v>3</v>
      </c>
      <c r="C62" t="s">
        <v>7</v>
      </c>
      <c r="D62">
        <v>17536</v>
      </c>
      <c r="E62">
        <v>128</v>
      </c>
      <c r="F62">
        <v>2</v>
      </c>
      <c r="G62">
        <v>8</v>
      </c>
      <c r="H62" s="19">
        <v>438.81</v>
      </c>
      <c r="I62" s="60">
        <v>8.1936999999999998</v>
      </c>
      <c r="J62" s="16">
        <v>45471</v>
      </c>
      <c r="K62" s="24">
        <v>0.95251157407407405</v>
      </c>
      <c r="L62" s="67">
        <v>0</v>
      </c>
      <c r="M62" s="67">
        <v>0</v>
      </c>
      <c r="N62" s="67">
        <v>0</v>
      </c>
      <c r="O62" s="67">
        <v>0</v>
      </c>
      <c r="P62" s="67">
        <v>0</v>
      </c>
      <c r="Q62" s="67">
        <v>0</v>
      </c>
      <c r="R62" s="67">
        <v>0</v>
      </c>
      <c r="S62" s="67">
        <v>0</v>
      </c>
      <c r="T62" s="67">
        <v>0</v>
      </c>
      <c r="U62" s="67">
        <v>0</v>
      </c>
      <c r="V62" s="69">
        <v>0</v>
      </c>
      <c r="W62" s="68">
        <v>0</v>
      </c>
      <c r="X62" s="86">
        <f>X61</f>
        <v>8.1640200000000007</v>
      </c>
    </row>
    <row r="63" spans="1:24" x14ac:dyDescent="0.25">
      <c r="A63" t="s">
        <v>55</v>
      </c>
      <c r="B63">
        <v>4</v>
      </c>
      <c r="C63" t="s">
        <v>7</v>
      </c>
      <c r="D63">
        <v>17536</v>
      </c>
      <c r="E63">
        <v>128</v>
      </c>
      <c r="F63">
        <v>2</v>
      </c>
      <c r="G63">
        <v>8</v>
      </c>
      <c r="H63" s="19">
        <v>440.56</v>
      </c>
      <c r="I63" s="60">
        <v>8.1611999999999991</v>
      </c>
      <c r="J63" s="16">
        <v>45471</v>
      </c>
      <c r="K63" s="24">
        <v>0.95892361111111113</v>
      </c>
      <c r="L63" s="67">
        <v>0</v>
      </c>
      <c r="M63" s="67">
        <v>0</v>
      </c>
      <c r="N63" s="67">
        <v>0</v>
      </c>
      <c r="O63" s="67">
        <v>0</v>
      </c>
      <c r="P63" s="67">
        <v>0</v>
      </c>
      <c r="Q63" s="67">
        <v>0</v>
      </c>
      <c r="R63" s="67">
        <v>0</v>
      </c>
      <c r="S63" s="67">
        <v>0</v>
      </c>
      <c r="T63" s="67">
        <v>0</v>
      </c>
      <c r="U63" s="67">
        <v>0</v>
      </c>
      <c r="V63" s="69">
        <v>0</v>
      </c>
      <c r="W63" s="68">
        <v>0</v>
      </c>
      <c r="X63" s="86">
        <f>X62</f>
        <v>8.1640200000000007</v>
      </c>
    </row>
    <row r="64" spans="1:24" x14ac:dyDescent="0.25">
      <c r="L64" s="71"/>
      <c r="M64" s="67"/>
      <c r="N64" s="67"/>
      <c r="O64" s="67"/>
      <c r="P64" s="67"/>
      <c r="Q64" s="67"/>
      <c r="R64" s="67"/>
      <c r="S64" s="67"/>
      <c r="T64" s="67"/>
      <c r="U64" s="67"/>
      <c r="V64" s="67"/>
      <c r="W64" s="68"/>
      <c r="X64" s="87"/>
    </row>
    <row r="65" spans="1:24" x14ac:dyDescent="0.25">
      <c r="L65" s="71"/>
      <c r="M65" s="67"/>
      <c r="N65" s="67"/>
      <c r="O65" s="67"/>
      <c r="P65" s="67"/>
      <c r="Q65" s="67"/>
      <c r="R65" s="67"/>
      <c r="S65" s="67"/>
      <c r="T65" s="67"/>
      <c r="U65" s="67"/>
      <c r="V65" s="67"/>
      <c r="W65" s="68"/>
      <c r="X65" s="87"/>
    </row>
    <row r="66" spans="1:24" x14ac:dyDescent="0.25">
      <c r="A66" t="s">
        <v>141</v>
      </c>
      <c r="B66">
        <v>0</v>
      </c>
      <c r="C66" t="s">
        <v>7</v>
      </c>
      <c r="D66">
        <v>17536</v>
      </c>
      <c r="E66">
        <v>128</v>
      </c>
      <c r="F66">
        <v>2</v>
      </c>
      <c r="G66">
        <v>8</v>
      </c>
      <c r="H66" s="60">
        <v>317.87</v>
      </c>
      <c r="I66" s="60">
        <v>11.311</v>
      </c>
      <c r="J66" s="16">
        <v>45501</v>
      </c>
      <c r="K66" s="25">
        <v>0.72996527777777775</v>
      </c>
      <c r="L66" s="20">
        <v>0</v>
      </c>
      <c r="M66" s="20">
        <v>0</v>
      </c>
      <c r="N66" s="20">
        <v>0</v>
      </c>
      <c r="O66" s="20">
        <v>0</v>
      </c>
      <c r="P66" s="20">
        <v>0</v>
      </c>
      <c r="Q66" s="20">
        <v>0</v>
      </c>
      <c r="R66" s="20">
        <v>0</v>
      </c>
      <c r="S66" s="20">
        <v>0</v>
      </c>
      <c r="T66" s="20">
        <v>0</v>
      </c>
      <c r="U66" s="20">
        <v>0</v>
      </c>
      <c r="V66" s="20">
        <v>0</v>
      </c>
      <c r="W66" s="26">
        <v>0</v>
      </c>
      <c r="X66" s="86">
        <f>AVERAGE(I66:I70)</f>
        <v>11.058199999999999</v>
      </c>
    </row>
    <row r="67" spans="1:24" x14ac:dyDescent="0.25">
      <c r="A67" t="s">
        <v>141</v>
      </c>
      <c r="B67">
        <v>1</v>
      </c>
      <c r="C67" t="s">
        <v>7</v>
      </c>
      <c r="D67">
        <v>17536</v>
      </c>
      <c r="E67">
        <v>128</v>
      </c>
      <c r="F67">
        <v>2</v>
      </c>
      <c r="G67">
        <v>8</v>
      </c>
      <c r="H67" s="60">
        <v>327.62</v>
      </c>
      <c r="I67" s="60">
        <v>10.975</v>
      </c>
      <c r="J67" s="16">
        <v>45501</v>
      </c>
      <c r="K67" s="25">
        <v>0.733912037037037</v>
      </c>
      <c r="L67" s="20">
        <v>0</v>
      </c>
      <c r="M67" s="20">
        <v>0</v>
      </c>
      <c r="N67" s="20">
        <v>0</v>
      </c>
      <c r="O67" s="20">
        <v>0</v>
      </c>
      <c r="P67" s="20">
        <v>0</v>
      </c>
      <c r="Q67" s="20">
        <v>0</v>
      </c>
      <c r="R67" s="20">
        <v>0</v>
      </c>
      <c r="S67" s="20">
        <v>0</v>
      </c>
      <c r="T67" s="20">
        <v>0</v>
      </c>
      <c r="U67" s="20">
        <v>0</v>
      </c>
      <c r="V67" s="20">
        <v>0</v>
      </c>
      <c r="W67" s="26">
        <v>0</v>
      </c>
      <c r="X67" s="86">
        <f>X66</f>
        <v>11.058199999999999</v>
      </c>
    </row>
    <row r="68" spans="1:24" x14ac:dyDescent="0.25">
      <c r="A68" t="s">
        <v>141</v>
      </c>
      <c r="B68">
        <v>2</v>
      </c>
      <c r="C68" t="s">
        <v>7</v>
      </c>
      <c r="D68">
        <v>17536</v>
      </c>
      <c r="E68">
        <v>128</v>
      </c>
      <c r="F68">
        <v>2</v>
      </c>
      <c r="G68">
        <v>8</v>
      </c>
      <c r="H68" s="60">
        <v>327.04000000000002</v>
      </c>
      <c r="I68" s="60">
        <v>10.994</v>
      </c>
      <c r="J68" s="16">
        <v>45501</v>
      </c>
      <c r="K68" s="25">
        <v>0.73784722222222221</v>
      </c>
      <c r="L68" s="20">
        <v>0</v>
      </c>
      <c r="M68" s="20">
        <v>0</v>
      </c>
      <c r="N68" s="20">
        <v>0</v>
      </c>
      <c r="O68" s="20">
        <v>0</v>
      </c>
      <c r="P68" s="20">
        <v>0</v>
      </c>
      <c r="Q68" s="20">
        <v>0</v>
      </c>
      <c r="R68" s="20">
        <v>0</v>
      </c>
      <c r="S68" s="20">
        <v>0</v>
      </c>
      <c r="T68" s="20">
        <v>0</v>
      </c>
      <c r="U68" s="20">
        <v>0</v>
      </c>
      <c r="V68" s="20">
        <v>0</v>
      </c>
      <c r="W68" s="26">
        <v>0</v>
      </c>
      <c r="X68" s="86">
        <f>X67</f>
        <v>11.058199999999999</v>
      </c>
    </row>
    <row r="69" spans="1:24" x14ac:dyDescent="0.25">
      <c r="A69" t="s">
        <v>141</v>
      </c>
      <c r="B69">
        <v>3</v>
      </c>
      <c r="C69" t="s">
        <v>7</v>
      </c>
      <c r="D69">
        <v>17536</v>
      </c>
      <c r="E69">
        <v>128</v>
      </c>
      <c r="F69">
        <v>2</v>
      </c>
      <c r="G69">
        <v>8</v>
      </c>
      <c r="H69" s="60">
        <v>321.05</v>
      </c>
      <c r="I69" s="60">
        <v>11.199</v>
      </c>
      <c r="J69" s="16">
        <v>45501</v>
      </c>
      <c r="K69" s="25">
        <v>0.74171296296296296</v>
      </c>
      <c r="L69" s="20">
        <v>0</v>
      </c>
      <c r="M69" s="20">
        <v>0</v>
      </c>
      <c r="N69" s="20">
        <v>0</v>
      </c>
      <c r="O69" s="20">
        <v>0</v>
      </c>
      <c r="P69" s="20">
        <v>0</v>
      </c>
      <c r="Q69" s="20">
        <v>0</v>
      </c>
      <c r="R69" s="20">
        <v>0</v>
      </c>
      <c r="S69" s="20">
        <v>0</v>
      </c>
      <c r="T69" s="20">
        <v>0</v>
      </c>
      <c r="U69" s="20">
        <v>0</v>
      </c>
      <c r="V69" s="20">
        <v>0</v>
      </c>
      <c r="W69" s="26">
        <v>0</v>
      </c>
      <c r="X69" s="86">
        <f>X68</f>
        <v>11.058199999999999</v>
      </c>
    </row>
    <row r="70" spans="1:24" x14ac:dyDescent="0.25">
      <c r="A70" t="s">
        <v>141</v>
      </c>
      <c r="B70">
        <v>4</v>
      </c>
      <c r="C70" t="s">
        <v>7</v>
      </c>
      <c r="D70">
        <v>17536</v>
      </c>
      <c r="E70">
        <v>128</v>
      </c>
      <c r="F70">
        <v>2</v>
      </c>
      <c r="G70">
        <v>8</v>
      </c>
      <c r="H70" s="60">
        <v>332.56</v>
      </c>
      <c r="I70" s="60">
        <v>10.811999999999999</v>
      </c>
      <c r="J70" s="16">
        <v>45501</v>
      </c>
      <c r="K70" s="25">
        <v>0.74570601851851848</v>
      </c>
      <c r="L70" s="20">
        <v>0</v>
      </c>
      <c r="M70" s="20">
        <v>0</v>
      </c>
      <c r="N70" s="20">
        <v>0</v>
      </c>
      <c r="O70" s="20">
        <v>0</v>
      </c>
      <c r="P70" s="20">
        <v>0</v>
      </c>
      <c r="Q70" s="20">
        <v>0</v>
      </c>
      <c r="R70" s="20">
        <v>0</v>
      </c>
      <c r="S70" s="20">
        <v>0</v>
      </c>
      <c r="T70" s="20">
        <v>0</v>
      </c>
      <c r="U70" s="20">
        <v>0</v>
      </c>
      <c r="V70" s="20">
        <v>0</v>
      </c>
      <c r="W70" s="26">
        <v>0</v>
      </c>
      <c r="X70" s="86">
        <f>X69</f>
        <v>11.058199999999999</v>
      </c>
    </row>
    <row r="71" spans="1:24" x14ac:dyDescent="0.25">
      <c r="A71" t="s">
        <v>106</v>
      </c>
      <c r="B71">
        <v>0</v>
      </c>
      <c r="C71" t="s">
        <v>7</v>
      </c>
      <c r="D71">
        <v>17536</v>
      </c>
      <c r="E71">
        <v>128</v>
      </c>
      <c r="F71">
        <v>2</v>
      </c>
      <c r="G71">
        <v>8</v>
      </c>
      <c r="H71" s="60">
        <v>330.19</v>
      </c>
      <c r="I71" s="61">
        <v>10.888999999999999</v>
      </c>
      <c r="J71" s="16">
        <v>45498</v>
      </c>
      <c r="K71" s="25">
        <v>0.77836805555555555</v>
      </c>
      <c r="L71" s="67">
        <v>0</v>
      </c>
      <c r="M71" s="67">
        <v>0</v>
      </c>
      <c r="N71" s="67">
        <v>0</v>
      </c>
      <c r="O71" s="67">
        <v>0</v>
      </c>
      <c r="P71" s="67">
        <v>0</v>
      </c>
      <c r="Q71" s="67">
        <v>0</v>
      </c>
      <c r="R71" s="67">
        <v>0</v>
      </c>
      <c r="S71" s="67">
        <v>0</v>
      </c>
      <c r="T71" s="67">
        <v>0</v>
      </c>
      <c r="U71" s="67">
        <v>0</v>
      </c>
      <c r="V71" s="67">
        <v>0</v>
      </c>
      <c r="W71" s="68">
        <v>0</v>
      </c>
      <c r="X71" s="86">
        <f>AVERAGE(I71:I75)</f>
        <v>11.023199999999999</v>
      </c>
    </row>
    <row r="72" spans="1:24" x14ac:dyDescent="0.25">
      <c r="A72" t="s">
        <v>106</v>
      </c>
      <c r="B72">
        <v>1</v>
      </c>
      <c r="C72" t="s">
        <v>7</v>
      </c>
      <c r="D72">
        <v>17536</v>
      </c>
      <c r="E72">
        <v>128</v>
      </c>
      <c r="F72">
        <v>2</v>
      </c>
      <c r="G72">
        <v>8</v>
      </c>
      <c r="H72" s="60">
        <v>320.45</v>
      </c>
      <c r="I72" s="61">
        <v>11.22</v>
      </c>
      <c r="J72" s="16">
        <v>45498</v>
      </c>
      <c r="K72" s="25">
        <v>0.78224537037037034</v>
      </c>
      <c r="L72" s="67">
        <v>0</v>
      </c>
      <c r="M72" s="67">
        <v>0</v>
      </c>
      <c r="N72" s="67">
        <v>0</v>
      </c>
      <c r="O72" s="67">
        <v>0</v>
      </c>
      <c r="P72" s="67">
        <v>0</v>
      </c>
      <c r="Q72" s="67">
        <v>0</v>
      </c>
      <c r="R72" s="67">
        <v>0</v>
      </c>
      <c r="S72" s="67">
        <v>0</v>
      </c>
      <c r="T72" s="67">
        <v>0</v>
      </c>
      <c r="U72" s="67">
        <v>0</v>
      </c>
      <c r="V72" s="67">
        <v>0</v>
      </c>
      <c r="W72" s="68">
        <v>0</v>
      </c>
      <c r="X72" s="86">
        <f>X71</f>
        <v>11.023199999999999</v>
      </c>
    </row>
    <row r="73" spans="1:24" x14ac:dyDescent="0.25">
      <c r="A73" t="s">
        <v>106</v>
      </c>
      <c r="B73">
        <v>2</v>
      </c>
      <c r="C73" t="s">
        <v>7</v>
      </c>
      <c r="D73">
        <v>17536</v>
      </c>
      <c r="E73">
        <v>128</v>
      </c>
      <c r="F73">
        <v>2</v>
      </c>
      <c r="G73">
        <v>8</v>
      </c>
      <c r="H73" s="60">
        <v>323.89999999999998</v>
      </c>
      <c r="I73" s="61">
        <v>11.101000000000001</v>
      </c>
      <c r="J73" s="16">
        <v>45498</v>
      </c>
      <c r="K73" s="25">
        <v>0.78615740740740736</v>
      </c>
      <c r="L73" s="67">
        <v>0</v>
      </c>
      <c r="M73" s="67">
        <v>0</v>
      </c>
      <c r="N73" s="67">
        <v>0</v>
      </c>
      <c r="O73" s="67">
        <v>0</v>
      </c>
      <c r="P73" s="67">
        <v>0</v>
      </c>
      <c r="Q73" s="67">
        <v>0</v>
      </c>
      <c r="R73" s="67">
        <v>0</v>
      </c>
      <c r="S73" s="67">
        <v>0</v>
      </c>
      <c r="T73" s="67">
        <v>0</v>
      </c>
      <c r="U73" s="67">
        <v>0</v>
      </c>
      <c r="V73" s="67">
        <v>0</v>
      </c>
      <c r="W73" s="68">
        <v>0</v>
      </c>
      <c r="X73" s="86">
        <f>X72</f>
        <v>11.023199999999999</v>
      </c>
    </row>
    <row r="74" spans="1:24" x14ac:dyDescent="0.25">
      <c r="A74" t="s">
        <v>106</v>
      </c>
      <c r="B74">
        <v>3</v>
      </c>
      <c r="C74" t="s">
        <v>7</v>
      </c>
      <c r="D74">
        <v>17536</v>
      </c>
      <c r="E74">
        <v>128</v>
      </c>
      <c r="F74">
        <v>2</v>
      </c>
      <c r="G74">
        <v>8</v>
      </c>
      <c r="H74" s="60">
        <v>323.8</v>
      </c>
      <c r="I74" s="61">
        <v>11.103999999999999</v>
      </c>
      <c r="J74" s="16">
        <v>45498</v>
      </c>
      <c r="K74" s="25">
        <v>0.79008101851851853</v>
      </c>
      <c r="L74" s="67">
        <v>0</v>
      </c>
      <c r="M74" s="67">
        <v>0</v>
      </c>
      <c r="N74" s="67">
        <v>0</v>
      </c>
      <c r="O74" s="67">
        <v>0</v>
      </c>
      <c r="P74" s="67">
        <v>0</v>
      </c>
      <c r="Q74" s="67">
        <v>0</v>
      </c>
      <c r="R74" s="67">
        <v>0</v>
      </c>
      <c r="S74" s="67">
        <v>0</v>
      </c>
      <c r="T74" s="67">
        <v>0</v>
      </c>
      <c r="U74" s="67">
        <v>0</v>
      </c>
      <c r="V74" s="67">
        <v>0</v>
      </c>
      <c r="W74" s="68">
        <v>0</v>
      </c>
      <c r="X74" s="86">
        <f>X73</f>
        <v>11.023199999999999</v>
      </c>
    </row>
    <row r="75" spans="1:24" x14ac:dyDescent="0.25">
      <c r="A75" t="s">
        <v>106</v>
      </c>
      <c r="B75">
        <v>4</v>
      </c>
      <c r="C75" t="s">
        <v>7</v>
      </c>
      <c r="D75">
        <v>17536</v>
      </c>
      <c r="E75">
        <v>128</v>
      </c>
      <c r="F75">
        <v>2</v>
      </c>
      <c r="G75">
        <v>8</v>
      </c>
      <c r="H75" s="60">
        <v>332.85</v>
      </c>
      <c r="I75" s="61">
        <v>10.802</v>
      </c>
      <c r="J75" s="16">
        <v>45498</v>
      </c>
      <c r="K75" s="25">
        <v>0.79409722222222223</v>
      </c>
      <c r="L75" s="67">
        <v>0</v>
      </c>
      <c r="M75" s="67">
        <v>0</v>
      </c>
      <c r="N75" s="67">
        <v>0</v>
      </c>
      <c r="O75" s="67">
        <v>0</v>
      </c>
      <c r="P75" s="67">
        <v>0</v>
      </c>
      <c r="Q75" s="67">
        <v>0</v>
      </c>
      <c r="R75" s="67">
        <v>0</v>
      </c>
      <c r="S75" s="67">
        <v>0</v>
      </c>
      <c r="T75" s="67">
        <v>0</v>
      </c>
      <c r="U75" s="67">
        <v>0</v>
      </c>
      <c r="V75" s="67">
        <v>0</v>
      </c>
      <c r="W75" s="68">
        <v>0</v>
      </c>
      <c r="X75" s="86">
        <f>X74</f>
        <v>11.023199999999999</v>
      </c>
    </row>
    <row r="76" spans="1:24" x14ac:dyDescent="0.25">
      <c r="A76" t="s">
        <v>140</v>
      </c>
      <c r="B76">
        <v>0</v>
      </c>
      <c r="C76" t="s">
        <v>7</v>
      </c>
      <c r="D76">
        <v>17536</v>
      </c>
      <c r="E76">
        <v>128</v>
      </c>
      <c r="F76">
        <v>2</v>
      </c>
      <c r="G76">
        <v>8</v>
      </c>
      <c r="H76" s="60">
        <v>328.09</v>
      </c>
      <c r="I76" s="60">
        <v>10.959</v>
      </c>
      <c r="J76" s="16">
        <v>45501</v>
      </c>
      <c r="K76" s="25">
        <v>0.71027777777777779</v>
      </c>
      <c r="L76" s="20">
        <v>0</v>
      </c>
      <c r="M76" s="20">
        <v>0</v>
      </c>
      <c r="N76" s="20">
        <v>0</v>
      </c>
      <c r="O76" s="20">
        <v>0</v>
      </c>
      <c r="P76" s="20">
        <v>0</v>
      </c>
      <c r="Q76" s="20">
        <v>0</v>
      </c>
      <c r="R76" s="20">
        <v>0</v>
      </c>
      <c r="S76" s="20">
        <v>0</v>
      </c>
      <c r="T76" s="20">
        <v>0</v>
      </c>
      <c r="U76" s="20">
        <v>0</v>
      </c>
      <c r="V76" s="20">
        <v>0</v>
      </c>
      <c r="W76" s="26">
        <v>0</v>
      </c>
      <c r="X76" s="86">
        <f>AVERAGE(I76:I80)</f>
        <v>10.947800000000001</v>
      </c>
    </row>
    <row r="77" spans="1:24" x14ac:dyDescent="0.25">
      <c r="A77" t="s">
        <v>140</v>
      </c>
      <c r="B77">
        <v>1</v>
      </c>
      <c r="C77" t="s">
        <v>7</v>
      </c>
      <c r="D77">
        <v>17536</v>
      </c>
      <c r="E77">
        <v>128</v>
      </c>
      <c r="F77">
        <v>2</v>
      </c>
      <c r="G77">
        <v>8</v>
      </c>
      <c r="H77" s="60">
        <v>324.66000000000003</v>
      </c>
      <c r="I77" s="60">
        <v>11.074</v>
      </c>
      <c r="J77" s="16">
        <v>45501</v>
      </c>
      <c r="K77" s="25">
        <v>0.71418981481481481</v>
      </c>
      <c r="L77" s="20">
        <v>0</v>
      </c>
      <c r="M77" s="20">
        <v>0</v>
      </c>
      <c r="N77" s="20">
        <v>0</v>
      </c>
      <c r="O77" s="20">
        <v>0</v>
      </c>
      <c r="P77" s="20">
        <v>0</v>
      </c>
      <c r="Q77" s="20">
        <v>0</v>
      </c>
      <c r="R77" s="20">
        <v>0</v>
      </c>
      <c r="S77" s="20">
        <v>0</v>
      </c>
      <c r="T77" s="20">
        <v>0</v>
      </c>
      <c r="U77" s="20">
        <v>0</v>
      </c>
      <c r="V77" s="20">
        <v>0</v>
      </c>
      <c r="W77" s="26">
        <v>0</v>
      </c>
      <c r="X77" s="86">
        <f>X76</f>
        <v>10.947800000000001</v>
      </c>
    </row>
    <row r="78" spans="1:24" x14ac:dyDescent="0.25">
      <c r="A78" t="s">
        <v>140</v>
      </c>
      <c r="B78">
        <v>2</v>
      </c>
      <c r="C78" t="s">
        <v>7</v>
      </c>
      <c r="D78">
        <v>17536</v>
      </c>
      <c r="E78">
        <v>128</v>
      </c>
      <c r="F78">
        <v>2</v>
      </c>
      <c r="G78">
        <v>8</v>
      </c>
      <c r="H78" s="60">
        <v>337.54</v>
      </c>
      <c r="I78" s="60">
        <v>10.651999999999999</v>
      </c>
      <c r="J78" s="16">
        <v>45501</v>
      </c>
      <c r="K78" s="25">
        <v>0.71826388888888892</v>
      </c>
      <c r="L78" s="20">
        <v>0</v>
      </c>
      <c r="M78" s="20">
        <v>0</v>
      </c>
      <c r="N78" s="20">
        <v>0</v>
      </c>
      <c r="O78" s="20">
        <v>0</v>
      </c>
      <c r="P78" s="20">
        <v>0</v>
      </c>
      <c r="Q78" s="20">
        <v>0</v>
      </c>
      <c r="R78" s="20">
        <v>0</v>
      </c>
      <c r="S78" s="20">
        <v>0</v>
      </c>
      <c r="T78" s="20">
        <v>0</v>
      </c>
      <c r="U78" s="20">
        <v>0</v>
      </c>
      <c r="V78" s="20">
        <v>0</v>
      </c>
      <c r="W78" s="26">
        <v>0</v>
      </c>
      <c r="X78" s="86">
        <f>X77</f>
        <v>10.947800000000001</v>
      </c>
    </row>
    <row r="79" spans="1:24" x14ac:dyDescent="0.25">
      <c r="A79" t="s">
        <v>140</v>
      </c>
      <c r="B79">
        <v>3</v>
      </c>
      <c r="C79" t="s">
        <v>7</v>
      </c>
      <c r="D79">
        <v>17536</v>
      </c>
      <c r="E79">
        <v>128</v>
      </c>
      <c r="F79">
        <v>2</v>
      </c>
      <c r="G79">
        <v>8</v>
      </c>
      <c r="H79" s="60">
        <v>323.92</v>
      </c>
      <c r="I79" s="60">
        <v>11.1</v>
      </c>
      <c r="J79" s="16">
        <v>45501</v>
      </c>
      <c r="K79" s="25">
        <v>0.72217592592592594</v>
      </c>
      <c r="L79" s="20">
        <v>0</v>
      </c>
      <c r="M79" s="20">
        <v>0</v>
      </c>
      <c r="N79" s="20">
        <v>0</v>
      </c>
      <c r="O79" s="20">
        <v>0</v>
      </c>
      <c r="P79" s="20">
        <v>0</v>
      </c>
      <c r="Q79" s="20">
        <v>0</v>
      </c>
      <c r="R79" s="20">
        <v>0</v>
      </c>
      <c r="S79" s="20">
        <v>0</v>
      </c>
      <c r="T79" s="20">
        <v>0</v>
      </c>
      <c r="U79" s="20">
        <v>0</v>
      </c>
      <c r="V79" s="20">
        <v>0</v>
      </c>
      <c r="W79" s="26">
        <v>0</v>
      </c>
      <c r="X79" s="86">
        <f>X78</f>
        <v>10.947800000000001</v>
      </c>
    </row>
    <row r="80" spans="1:24" x14ac:dyDescent="0.25">
      <c r="A80" t="s">
        <v>140</v>
      </c>
      <c r="B80">
        <v>4</v>
      </c>
      <c r="C80" t="s">
        <v>7</v>
      </c>
      <c r="D80">
        <v>17536</v>
      </c>
      <c r="E80">
        <v>128</v>
      </c>
      <c r="F80">
        <v>2</v>
      </c>
      <c r="G80">
        <v>8</v>
      </c>
      <c r="H80" s="60">
        <v>328.22</v>
      </c>
      <c r="I80" s="60">
        <v>10.954000000000001</v>
      </c>
      <c r="J80" s="16">
        <v>45501</v>
      </c>
      <c r="K80" s="25">
        <v>0.72613425925925923</v>
      </c>
      <c r="L80" s="20">
        <v>0</v>
      </c>
      <c r="M80" s="20">
        <v>0</v>
      </c>
      <c r="N80" s="20">
        <v>0</v>
      </c>
      <c r="O80" s="20">
        <v>0</v>
      </c>
      <c r="P80" s="20">
        <v>0</v>
      </c>
      <c r="Q80" s="20">
        <v>0</v>
      </c>
      <c r="R80" s="20">
        <v>0</v>
      </c>
      <c r="S80" s="20">
        <v>0</v>
      </c>
      <c r="T80" s="20">
        <v>0</v>
      </c>
      <c r="U80" s="20">
        <v>0</v>
      </c>
      <c r="V80" s="20">
        <v>0</v>
      </c>
      <c r="W80" s="26">
        <v>0</v>
      </c>
      <c r="X80" s="86">
        <f>X79</f>
        <v>10.947800000000001</v>
      </c>
    </row>
    <row r="81" spans="1:24" x14ac:dyDescent="0.25">
      <c r="A81" t="s">
        <v>110</v>
      </c>
      <c r="B81">
        <v>0</v>
      </c>
      <c r="C81" t="s">
        <v>7</v>
      </c>
      <c r="D81">
        <v>17536</v>
      </c>
      <c r="E81">
        <v>128</v>
      </c>
      <c r="F81">
        <v>2</v>
      </c>
      <c r="G81">
        <v>8</v>
      </c>
      <c r="H81" s="60">
        <v>331.71</v>
      </c>
      <c r="I81" s="61">
        <v>10.839</v>
      </c>
      <c r="J81" s="16">
        <v>45498</v>
      </c>
      <c r="K81" s="25">
        <v>0.55369212962962966</v>
      </c>
      <c r="L81" s="67">
        <v>0</v>
      </c>
      <c r="M81" s="67">
        <v>0</v>
      </c>
      <c r="N81" s="67">
        <v>0</v>
      </c>
      <c r="O81" s="67">
        <v>0</v>
      </c>
      <c r="P81" s="67">
        <v>0</v>
      </c>
      <c r="Q81" s="67">
        <v>0</v>
      </c>
      <c r="R81" s="67">
        <v>0</v>
      </c>
      <c r="S81" s="67">
        <v>0</v>
      </c>
      <c r="T81" s="67">
        <v>0</v>
      </c>
      <c r="U81" s="67">
        <v>0</v>
      </c>
      <c r="V81" s="67">
        <v>0</v>
      </c>
      <c r="W81" s="68">
        <v>0</v>
      </c>
      <c r="X81" s="86">
        <f>AVERAGE(I81:I85)</f>
        <v>10.931000000000001</v>
      </c>
    </row>
    <row r="82" spans="1:24" x14ac:dyDescent="0.25">
      <c r="A82" t="s">
        <v>110</v>
      </c>
      <c r="B82">
        <v>1</v>
      </c>
      <c r="C82" t="s">
        <v>7</v>
      </c>
      <c r="D82">
        <v>17536</v>
      </c>
      <c r="E82">
        <v>128</v>
      </c>
      <c r="F82">
        <v>2</v>
      </c>
      <c r="G82">
        <v>8</v>
      </c>
      <c r="H82" s="60">
        <v>332.01</v>
      </c>
      <c r="I82" s="61">
        <v>10.829000000000001</v>
      </c>
      <c r="J82" s="16">
        <v>45498</v>
      </c>
      <c r="K82" s="25">
        <v>0.55768518518518517</v>
      </c>
      <c r="L82" s="67">
        <v>0</v>
      </c>
      <c r="M82" s="67">
        <v>0</v>
      </c>
      <c r="N82" s="67">
        <v>0</v>
      </c>
      <c r="O82" s="67">
        <v>0</v>
      </c>
      <c r="P82" s="67">
        <v>0</v>
      </c>
      <c r="Q82" s="67">
        <v>0</v>
      </c>
      <c r="R82" s="67">
        <v>0</v>
      </c>
      <c r="S82" s="67">
        <v>0</v>
      </c>
      <c r="T82" s="67">
        <v>0</v>
      </c>
      <c r="U82" s="67">
        <v>0</v>
      </c>
      <c r="V82" s="67">
        <v>0</v>
      </c>
      <c r="W82" s="68">
        <v>0</v>
      </c>
      <c r="X82" s="86">
        <f>X81</f>
        <v>10.931000000000001</v>
      </c>
    </row>
    <row r="83" spans="1:24" x14ac:dyDescent="0.25">
      <c r="A83" t="s">
        <v>110</v>
      </c>
      <c r="B83">
        <v>2</v>
      </c>
      <c r="C83" t="s">
        <v>7</v>
      </c>
      <c r="D83">
        <v>17536</v>
      </c>
      <c r="E83">
        <v>128</v>
      </c>
      <c r="F83">
        <v>2</v>
      </c>
      <c r="G83">
        <v>8</v>
      </c>
      <c r="H83" s="60">
        <v>332.24</v>
      </c>
      <c r="I83" s="61">
        <v>10.821999999999999</v>
      </c>
      <c r="J83" s="16">
        <v>45498</v>
      </c>
      <c r="K83" s="25">
        <v>0.56167824074074069</v>
      </c>
      <c r="L83" s="67">
        <v>0</v>
      </c>
      <c r="M83" s="67">
        <v>0</v>
      </c>
      <c r="N83" s="67">
        <v>0</v>
      </c>
      <c r="O83" s="67">
        <v>0</v>
      </c>
      <c r="P83" s="67">
        <v>0</v>
      </c>
      <c r="Q83" s="67">
        <v>0</v>
      </c>
      <c r="R83" s="67">
        <v>0</v>
      </c>
      <c r="S83" s="67">
        <v>0</v>
      </c>
      <c r="T83" s="67">
        <v>0</v>
      </c>
      <c r="U83" s="67">
        <v>0</v>
      </c>
      <c r="V83" s="67">
        <v>0</v>
      </c>
      <c r="W83" s="68">
        <v>0</v>
      </c>
      <c r="X83" s="86">
        <f>X82</f>
        <v>10.931000000000001</v>
      </c>
    </row>
    <row r="84" spans="1:24" x14ac:dyDescent="0.25">
      <c r="A84" t="s">
        <v>110</v>
      </c>
      <c r="B84">
        <v>3</v>
      </c>
      <c r="C84" t="s">
        <v>7</v>
      </c>
      <c r="D84">
        <v>17536</v>
      </c>
      <c r="E84">
        <v>128</v>
      </c>
      <c r="F84">
        <v>2</v>
      </c>
      <c r="G84">
        <v>8</v>
      </c>
      <c r="H84" s="60">
        <v>328.8</v>
      </c>
      <c r="I84" s="61">
        <v>10.935</v>
      </c>
      <c r="J84" s="16">
        <v>45498</v>
      </c>
      <c r="K84" s="25">
        <v>0.56562500000000004</v>
      </c>
      <c r="L84" s="67">
        <v>0</v>
      </c>
      <c r="M84" s="67">
        <v>0</v>
      </c>
      <c r="N84" s="67">
        <v>0</v>
      </c>
      <c r="O84" s="67">
        <v>0</v>
      </c>
      <c r="P84" s="67">
        <v>0</v>
      </c>
      <c r="Q84" s="67">
        <v>0</v>
      </c>
      <c r="R84" s="67">
        <v>0</v>
      </c>
      <c r="S84" s="67">
        <v>0</v>
      </c>
      <c r="T84" s="67">
        <v>0</v>
      </c>
      <c r="U84" s="67">
        <v>0</v>
      </c>
      <c r="V84" s="67">
        <v>0</v>
      </c>
      <c r="W84" s="68">
        <v>0</v>
      </c>
      <c r="X84" s="86">
        <f>X83</f>
        <v>10.931000000000001</v>
      </c>
    </row>
    <row r="85" spans="1:24" x14ac:dyDescent="0.25">
      <c r="A85" t="s">
        <v>110</v>
      </c>
      <c r="B85">
        <v>4</v>
      </c>
      <c r="C85" t="s">
        <v>7</v>
      </c>
      <c r="D85">
        <v>17536</v>
      </c>
      <c r="E85">
        <v>128</v>
      </c>
      <c r="F85">
        <v>2</v>
      </c>
      <c r="G85">
        <v>8</v>
      </c>
      <c r="H85" s="60">
        <v>320.16000000000003</v>
      </c>
      <c r="I85" s="61">
        <v>11.23</v>
      </c>
      <c r="J85" s="16">
        <v>45498</v>
      </c>
      <c r="K85" s="25">
        <v>0.56949074074074069</v>
      </c>
      <c r="L85" s="67">
        <v>0</v>
      </c>
      <c r="M85" s="67">
        <v>0</v>
      </c>
      <c r="N85" s="67">
        <v>0</v>
      </c>
      <c r="O85" s="67">
        <v>0</v>
      </c>
      <c r="P85" s="67">
        <v>0</v>
      </c>
      <c r="Q85" s="67">
        <v>0</v>
      </c>
      <c r="R85" s="67">
        <v>0</v>
      </c>
      <c r="S85" s="67">
        <v>0</v>
      </c>
      <c r="T85" s="67">
        <v>0</v>
      </c>
      <c r="U85" s="67">
        <v>0</v>
      </c>
      <c r="V85" s="67">
        <v>0</v>
      </c>
      <c r="W85" s="68">
        <v>0</v>
      </c>
      <c r="X85" s="86">
        <f>X84</f>
        <v>10.931000000000001</v>
      </c>
    </row>
    <row r="86" spans="1:24" x14ac:dyDescent="0.25">
      <c r="A86" t="s">
        <v>139</v>
      </c>
      <c r="B86">
        <v>0</v>
      </c>
      <c r="C86" t="s">
        <v>7</v>
      </c>
      <c r="D86">
        <v>17536</v>
      </c>
      <c r="E86">
        <v>128</v>
      </c>
      <c r="F86">
        <v>2</v>
      </c>
      <c r="G86">
        <v>8</v>
      </c>
      <c r="H86" s="60">
        <v>324.58</v>
      </c>
      <c r="I86" s="60">
        <v>11.077</v>
      </c>
      <c r="J86" s="16">
        <v>45501</v>
      </c>
      <c r="K86" s="25">
        <v>0.69052083333333336</v>
      </c>
      <c r="L86" s="20">
        <v>0</v>
      </c>
      <c r="M86" s="20">
        <v>0</v>
      </c>
      <c r="N86" s="20">
        <v>0</v>
      </c>
      <c r="O86" s="20">
        <v>0</v>
      </c>
      <c r="P86" s="20">
        <v>0</v>
      </c>
      <c r="Q86" s="20">
        <v>0</v>
      </c>
      <c r="R86" s="20">
        <v>0</v>
      </c>
      <c r="S86" s="20">
        <v>0</v>
      </c>
      <c r="T86" s="20">
        <v>0</v>
      </c>
      <c r="U86" s="20">
        <v>0</v>
      </c>
      <c r="V86" s="20">
        <v>0</v>
      </c>
      <c r="W86" s="26">
        <v>0</v>
      </c>
      <c r="X86" s="86">
        <f>AVERAGE(I86:I90)</f>
        <v>10.897200000000002</v>
      </c>
    </row>
    <row r="87" spans="1:24" x14ac:dyDescent="0.25">
      <c r="A87" t="s">
        <v>139</v>
      </c>
      <c r="B87">
        <v>1</v>
      </c>
      <c r="C87" t="s">
        <v>7</v>
      </c>
      <c r="D87">
        <v>17536</v>
      </c>
      <c r="E87">
        <v>128</v>
      </c>
      <c r="F87">
        <v>2</v>
      </c>
      <c r="G87">
        <v>8</v>
      </c>
      <c r="H87" s="60">
        <v>327.12</v>
      </c>
      <c r="I87" s="60">
        <v>10.991</v>
      </c>
      <c r="J87" s="16">
        <v>45501</v>
      </c>
      <c r="K87" s="25">
        <v>0.69442129629629634</v>
      </c>
      <c r="L87" s="20">
        <v>0</v>
      </c>
      <c r="M87" s="20">
        <v>0</v>
      </c>
      <c r="N87" s="20">
        <v>0</v>
      </c>
      <c r="O87" s="20">
        <v>0</v>
      </c>
      <c r="P87" s="20">
        <v>0</v>
      </c>
      <c r="Q87" s="20">
        <v>0</v>
      </c>
      <c r="R87" s="20">
        <v>0</v>
      </c>
      <c r="S87" s="20">
        <v>0</v>
      </c>
      <c r="T87" s="20">
        <v>0</v>
      </c>
      <c r="U87" s="20">
        <v>0</v>
      </c>
      <c r="V87" s="20">
        <v>0</v>
      </c>
      <c r="W87" s="26">
        <v>0</v>
      </c>
      <c r="X87" s="86">
        <f>X86</f>
        <v>10.897200000000002</v>
      </c>
    </row>
    <row r="88" spans="1:24" x14ac:dyDescent="0.25">
      <c r="A88" t="s">
        <v>139</v>
      </c>
      <c r="B88">
        <v>2</v>
      </c>
      <c r="C88" t="s">
        <v>7</v>
      </c>
      <c r="D88">
        <v>17536</v>
      </c>
      <c r="E88">
        <v>128</v>
      </c>
      <c r="F88">
        <v>2</v>
      </c>
      <c r="G88">
        <v>8</v>
      </c>
      <c r="H88" s="60">
        <v>338.85</v>
      </c>
      <c r="I88" s="60">
        <v>10.611000000000001</v>
      </c>
      <c r="J88" s="16">
        <v>45501</v>
      </c>
      <c r="K88" s="25">
        <v>0.69846064814814812</v>
      </c>
      <c r="L88" s="20">
        <v>0</v>
      </c>
      <c r="M88" s="20">
        <v>0</v>
      </c>
      <c r="N88" s="20">
        <v>0</v>
      </c>
      <c r="O88" s="20">
        <v>0</v>
      </c>
      <c r="P88" s="20">
        <v>0</v>
      </c>
      <c r="Q88" s="20">
        <v>0</v>
      </c>
      <c r="R88" s="20">
        <v>0</v>
      </c>
      <c r="S88" s="20">
        <v>0</v>
      </c>
      <c r="T88" s="20">
        <v>0</v>
      </c>
      <c r="U88" s="20">
        <v>0</v>
      </c>
      <c r="V88" s="20">
        <v>0</v>
      </c>
      <c r="W88" s="26">
        <v>0</v>
      </c>
      <c r="X88" s="86">
        <f>X87</f>
        <v>10.897200000000002</v>
      </c>
    </row>
    <row r="89" spans="1:24" x14ac:dyDescent="0.25">
      <c r="A89" t="s">
        <v>139</v>
      </c>
      <c r="B89">
        <v>3</v>
      </c>
      <c r="C89" t="s">
        <v>7</v>
      </c>
      <c r="D89">
        <v>17536</v>
      </c>
      <c r="E89">
        <v>128</v>
      </c>
      <c r="F89">
        <v>2</v>
      </c>
      <c r="G89">
        <v>8</v>
      </c>
      <c r="H89" s="60">
        <v>335.06</v>
      </c>
      <c r="I89" s="60">
        <v>10.731</v>
      </c>
      <c r="J89" s="16">
        <v>45501</v>
      </c>
      <c r="K89" s="25">
        <v>0.70245370370370375</v>
      </c>
      <c r="L89" s="20">
        <v>0</v>
      </c>
      <c r="M89" s="20">
        <v>0</v>
      </c>
      <c r="N89" s="20">
        <v>0</v>
      </c>
      <c r="O89" s="20">
        <v>0</v>
      </c>
      <c r="P89" s="20">
        <v>0</v>
      </c>
      <c r="Q89" s="20">
        <v>0</v>
      </c>
      <c r="R89" s="20">
        <v>0</v>
      </c>
      <c r="S89" s="20">
        <v>0</v>
      </c>
      <c r="T89" s="20">
        <v>0</v>
      </c>
      <c r="U89" s="20">
        <v>0</v>
      </c>
      <c r="V89" s="20">
        <v>0</v>
      </c>
      <c r="W89" s="26">
        <v>0</v>
      </c>
      <c r="X89" s="86">
        <f>X88</f>
        <v>10.897200000000002</v>
      </c>
    </row>
    <row r="90" spans="1:24" x14ac:dyDescent="0.25">
      <c r="A90" t="s">
        <v>139</v>
      </c>
      <c r="B90">
        <v>4</v>
      </c>
      <c r="C90" t="s">
        <v>7</v>
      </c>
      <c r="D90">
        <v>17536</v>
      </c>
      <c r="E90">
        <v>128</v>
      </c>
      <c r="F90">
        <v>2</v>
      </c>
      <c r="G90">
        <v>8</v>
      </c>
      <c r="H90" s="60">
        <v>324.61</v>
      </c>
      <c r="I90" s="60">
        <v>11.076000000000001</v>
      </c>
      <c r="J90" s="16">
        <v>45501</v>
      </c>
      <c r="K90" s="25">
        <v>0.7063194444444445</v>
      </c>
      <c r="L90" s="20">
        <v>0</v>
      </c>
      <c r="M90" s="20">
        <v>0</v>
      </c>
      <c r="N90" s="20">
        <v>0</v>
      </c>
      <c r="O90" s="20">
        <v>0</v>
      </c>
      <c r="P90" s="20">
        <v>0</v>
      </c>
      <c r="Q90" s="20">
        <v>0</v>
      </c>
      <c r="R90" s="20">
        <v>0</v>
      </c>
      <c r="S90" s="20">
        <v>0</v>
      </c>
      <c r="T90" s="20">
        <v>0</v>
      </c>
      <c r="U90" s="20">
        <v>0</v>
      </c>
      <c r="V90" s="20">
        <v>0</v>
      </c>
      <c r="W90" s="26">
        <v>0</v>
      </c>
      <c r="X90" s="86">
        <f>X89</f>
        <v>10.897200000000002</v>
      </c>
    </row>
    <row r="91" spans="1:24" x14ac:dyDescent="0.25">
      <c r="A91" t="s">
        <v>111</v>
      </c>
      <c r="B91">
        <v>0</v>
      </c>
      <c r="C91" t="s">
        <v>7</v>
      </c>
      <c r="D91">
        <v>17536</v>
      </c>
      <c r="E91">
        <v>128</v>
      </c>
      <c r="F91">
        <v>2</v>
      </c>
      <c r="G91">
        <v>8</v>
      </c>
      <c r="H91" s="60">
        <v>323.13</v>
      </c>
      <c r="I91" s="61">
        <v>11.127000000000001</v>
      </c>
      <c r="J91" s="16">
        <v>45498</v>
      </c>
      <c r="K91" s="25">
        <v>0.75831018518518523</v>
      </c>
      <c r="L91" s="67">
        <v>0</v>
      </c>
      <c r="M91" s="67">
        <v>0</v>
      </c>
      <c r="N91" s="67">
        <v>0</v>
      </c>
      <c r="O91" s="67">
        <v>0</v>
      </c>
      <c r="P91" s="67">
        <v>0</v>
      </c>
      <c r="Q91" s="67">
        <v>0</v>
      </c>
      <c r="R91" s="67">
        <v>0</v>
      </c>
      <c r="S91" s="67">
        <v>0</v>
      </c>
      <c r="T91" s="67">
        <v>0</v>
      </c>
      <c r="U91" s="67">
        <v>0</v>
      </c>
      <c r="V91" s="67">
        <v>0</v>
      </c>
      <c r="W91" s="68">
        <v>0</v>
      </c>
      <c r="X91" s="86">
        <f>AVERAGE(I91:I95)</f>
        <v>10.8584</v>
      </c>
    </row>
    <row r="92" spans="1:24" x14ac:dyDescent="0.25">
      <c r="A92" t="s">
        <v>111</v>
      </c>
      <c r="B92">
        <v>1</v>
      </c>
      <c r="C92" t="s">
        <v>7</v>
      </c>
      <c r="D92">
        <v>17536</v>
      </c>
      <c r="E92">
        <v>128</v>
      </c>
      <c r="F92">
        <v>2</v>
      </c>
      <c r="G92">
        <v>8</v>
      </c>
      <c r="H92" s="60">
        <v>331.01</v>
      </c>
      <c r="I92" s="61">
        <v>10.862</v>
      </c>
      <c r="J92" s="16">
        <v>45498</v>
      </c>
      <c r="K92" s="25">
        <v>0.76230324074074074</v>
      </c>
      <c r="L92" s="67">
        <v>0</v>
      </c>
      <c r="M92" s="67">
        <v>0</v>
      </c>
      <c r="N92" s="67">
        <v>0</v>
      </c>
      <c r="O92" s="67">
        <v>0</v>
      </c>
      <c r="P92" s="67">
        <v>0</v>
      </c>
      <c r="Q92" s="67">
        <v>0</v>
      </c>
      <c r="R92" s="67">
        <v>0</v>
      </c>
      <c r="S92" s="67">
        <v>0</v>
      </c>
      <c r="T92" s="67">
        <v>0</v>
      </c>
      <c r="U92" s="67">
        <v>0</v>
      </c>
      <c r="V92" s="67">
        <v>0</v>
      </c>
      <c r="W92" s="68">
        <v>0</v>
      </c>
      <c r="X92" s="86">
        <f>X91</f>
        <v>10.8584</v>
      </c>
    </row>
    <row r="93" spans="1:24" x14ac:dyDescent="0.25">
      <c r="A93" t="s">
        <v>111</v>
      </c>
      <c r="B93">
        <v>2</v>
      </c>
      <c r="C93" t="s">
        <v>7</v>
      </c>
      <c r="D93">
        <v>17536</v>
      </c>
      <c r="E93">
        <v>128</v>
      </c>
      <c r="F93">
        <v>2</v>
      </c>
      <c r="G93">
        <v>8</v>
      </c>
      <c r="H93" s="60">
        <v>328.69</v>
      </c>
      <c r="I93" s="61">
        <v>10.939</v>
      </c>
      <c r="J93" s="16">
        <v>45498</v>
      </c>
      <c r="K93" s="25">
        <v>0.76626157407407403</v>
      </c>
      <c r="L93" s="67">
        <v>0</v>
      </c>
      <c r="M93" s="67">
        <v>0</v>
      </c>
      <c r="N93" s="67">
        <v>0</v>
      </c>
      <c r="O93" s="67">
        <v>0</v>
      </c>
      <c r="P93" s="67">
        <v>0</v>
      </c>
      <c r="Q93" s="67">
        <v>0</v>
      </c>
      <c r="R93" s="67">
        <v>0</v>
      </c>
      <c r="S93" s="67">
        <v>0</v>
      </c>
      <c r="T93" s="67">
        <v>0</v>
      </c>
      <c r="U93" s="67">
        <v>0</v>
      </c>
      <c r="V93" s="67">
        <v>0</v>
      </c>
      <c r="W93" s="68">
        <v>0</v>
      </c>
      <c r="X93" s="86">
        <f>X92</f>
        <v>10.8584</v>
      </c>
    </row>
    <row r="94" spans="1:24" x14ac:dyDescent="0.25">
      <c r="A94" t="s">
        <v>111</v>
      </c>
      <c r="B94">
        <v>3</v>
      </c>
      <c r="C94" t="s">
        <v>7</v>
      </c>
      <c r="D94">
        <v>17536</v>
      </c>
      <c r="E94">
        <v>128</v>
      </c>
      <c r="F94">
        <v>2</v>
      </c>
      <c r="G94">
        <v>8</v>
      </c>
      <c r="H94" s="60">
        <v>342.46</v>
      </c>
      <c r="I94" s="61">
        <v>10.499000000000001</v>
      </c>
      <c r="J94" s="16">
        <v>45498</v>
      </c>
      <c r="K94" s="25">
        <v>0.77039351851851856</v>
      </c>
      <c r="L94" s="67">
        <v>0</v>
      </c>
      <c r="M94" s="67">
        <v>0</v>
      </c>
      <c r="N94" s="67">
        <v>0</v>
      </c>
      <c r="O94" s="67">
        <v>0</v>
      </c>
      <c r="P94" s="67">
        <v>0</v>
      </c>
      <c r="Q94" s="67">
        <v>0</v>
      </c>
      <c r="R94" s="67">
        <v>0</v>
      </c>
      <c r="S94" s="67">
        <v>0</v>
      </c>
      <c r="T94" s="67">
        <v>0</v>
      </c>
      <c r="U94" s="67">
        <v>0</v>
      </c>
      <c r="V94" s="67">
        <v>0</v>
      </c>
      <c r="W94" s="68">
        <v>0</v>
      </c>
      <c r="X94" s="86">
        <f>X93</f>
        <v>10.8584</v>
      </c>
    </row>
    <row r="95" spans="1:24" x14ac:dyDescent="0.25">
      <c r="A95" t="s">
        <v>111</v>
      </c>
      <c r="B95">
        <v>4</v>
      </c>
      <c r="C95" t="s">
        <v>7</v>
      </c>
      <c r="D95">
        <v>17536</v>
      </c>
      <c r="E95">
        <v>128</v>
      </c>
      <c r="F95">
        <v>2</v>
      </c>
      <c r="G95">
        <v>8</v>
      </c>
      <c r="H95" s="60">
        <v>330.92</v>
      </c>
      <c r="I95" s="61">
        <v>10.865</v>
      </c>
      <c r="J95" s="16">
        <v>45498</v>
      </c>
      <c r="K95" s="25">
        <v>0.77438657407407407</v>
      </c>
      <c r="L95" s="67">
        <v>0</v>
      </c>
      <c r="M95" s="67">
        <v>0</v>
      </c>
      <c r="N95" s="67">
        <v>0</v>
      </c>
      <c r="O95" s="67">
        <v>0</v>
      </c>
      <c r="P95" s="67">
        <v>0</v>
      </c>
      <c r="Q95" s="67">
        <v>0</v>
      </c>
      <c r="R95" s="67">
        <v>0</v>
      </c>
      <c r="S95" s="67">
        <v>0</v>
      </c>
      <c r="T95" s="67">
        <v>0</v>
      </c>
      <c r="U95" s="67">
        <v>0</v>
      </c>
      <c r="V95" s="67">
        <v>0</v>
      </c>
      <c r="W95" s="68">
        <v>0</v>
      </c>
      <c r="X95" s="86">
        <f>X94</f>
        <v>10.8584</v>
      </c>
    </row>
    <row r="96" spans="1:24" x14ac:dyDescent="0.25">
      <c r="A96" t="s">
        <v>109</v>
      </c>
      <c r="B96">
        <v>0</v>
      </c>
      <c r="C96" t="s">
        <v>7</v>
      </c>
      <c r="D96">
        <v>17536</v>
      </c>
      <c r="E96">
        <v>128</v>
      </c>
      <c r="F96">
        <v>2</v>
      </c>
      <c r="G96">
        <v>8</v>
      </c>
      <c r="H96" s="60">
        <v>338.61</v>
      </c>
      <c r="I96" s="61">
        <v>10.618</v>
      </c>
      <c r="J96" s="16">
        <v>45498</v>
      </c>
      <c r="K96" s="25">
        <v>0.53386574074074078</v>
      </c>
      <c r="L96" s="67">
        <v>0</v>
      </c>
      <c r="M96" s="67">
        <v>0</v>
      </c>
      <c r="N96" s="67">
        <v>0</v>
      </c>
      <c r="O96" s="67">
        <v>0</v>
      </c>
      <c r="P96" s="67">
        <v>0</v>
      </c>
      <c r="Q96" s="67">
        <v>0</v>
      </c>
      <c r="R96" s="67">
        <v>0</v>
      </c>
      <c r="S96" s="67">
        <v>0</v>
      </c>
      <c r="T96" s="67">
        <v>0</v>
      </c>
      <c r="U96" s="67">
        <v>0</v>
      </c>
      <c r="V96" s="67">
        <v>0</v>
      </c>
      <c r="W96" s="68">
        <v>0</v>
      </c>
      <c r="X96" s="86">
        <f>AVERAGE(I96:I100)</f>
        <v>10.855399999999999</v>
      </c>
    </row>
    <row r="97" spans="1:24" x14ac:dyDescent="0.25">
      <c r="A97" t="s">
        <v>109</v>
      </c>
      <c r="B97">
        <v>1</v>
      </c>
      <c r="C97" t="s">
        <v>7</v>
      </c>
      <c r="D97">
        <v>17536</v>
      </c>
      <c r="E97">
        <v>128</v>
      </c>
      <c r="F97">
        <v>2</v>
      </c>
      <c r="G97">
        <v>8</v>
      </c>
      <c r="H97" s="60">
        <v>325.2</v>
      </c>
      <c r="I97" s="61">
        <v>11.055999999999999</v>
      </c>
      <c r="J97" s="16">
        <v>45498</v>
      </c>
      <c r="K97" s="25">
        <v>0.53776620370370365</v>
      </c>
      <c r="L97" s="67">
        <v>0</v>
      </c>
      <c r="M97" s="67">
        <v>0</v>
      </c>
      <c r="N97" s="67">
        <v>0</v>
      </c>
      <c r="O97" s="67">
        <v>0</v>
      </c>
      <c r="P97" s="67">
        <v>0</v>
      </c>
      <c r="Q97" s="67">
        <v>0</v>
      </c>
      <c r="R97" s="67">
        <v>0</v>
      </c>
      <c r="S97" s="67">
        <v>0</v>
      </c>
      <c r="T97" s="67">
        <v>0</v>
      </c>
      <c r="U97" s="67">
        <v>0</v>
      </c>
      <c r="V97" s="67">
        <v>0</v>
      </c>
      <c r="W97" s="68">
        <v>0</v>
      </c>
      <c r="X97" s="86">
        <f>X96</f>
        <v>10.855399999999999</v>
      </c>
    </row>
    <row r="98" spans="1:24" x14ac:dyDescent="0.25">
      <c r="A98" t="s">
        <v>109</v>
      </c>
      <c r="B98">
        <v>2</v>
      </c>
      <c r="C98" t="s">
        <v>7</v>
      </c>
      <c r="D98">
        <v>17536</v>
      </c>
      <c r="E98">
        <v>128</v>
      </c>
      <c r="F98">
        <v>2</v>
      </c>
      <c r="G98">
        <v>8</v>
      </c>
      <c r="H98" s="60">
        <v>331.75</v>
      </c>
      <c r="I98" s="61">
        <v>10.837999999999999</v>
      </c>
      <c r="J98" s="16">
        <v>45498</v>
      </c>
      <c r="K98" s="25">
        <v>0.54175925925925927</v>
      </c>
      <c r="L98" s="67">
        <v>0</v>
      </c>
      <c r="M98" s="67">
        <v>0</v>
      </c>
      <c r="N98" s="67">
        <v>0</v>
      </c>
      <c r="O98" s="67">
        <v>0</v>
      </c>
      <c r="P98" s="67">
        <v>0</v>
      </c>
      <c r="Q98" s="67">
        <v>0</v>
      </c>
      <c r="R98" s="67">
        <v>0</v>
      </c>
      <c r="S98" s="67">
        <v>0</v>
      </c>
      <c r="T98" s="67">
        <v>0</v>
      </c>
      <c r="U98" s="67">
        <v>0</v>
      </c>
      <c r="V98" s="67">
        <v>0</v>
      </c>
      <c r="W98" s="68">
        <v>0</v>
      </c>
      <c r="X98" s="86">
        <f>X97</f>
        <v>10.855399999999999</v>
      </c>
    </row>
    <row r="99" spans="1:24" x14ac:dyDescent="0.25">
      <c r="A99" t="s">
        <v>109</v>
      </c>
      <c r="B99">
        <v>3</v>
      </c>
      <c r="C99" t="s">
        <v>7</v>
      </c>
      <c r="D99">
        <v>17536</v>
      </c>
      <c r="E99">
        <v>128</v>
      </c>
      <c r="F99">
        <v>2</v>
      </c>
      <c r="G99">
        <v>8</v>
      </c>
      <c r="H99" s="60">
        <v>332.81</v>
      </c>
      <c r="I99" s="61">
        <v>10.803000000000001</v>
      </c>
      <c r="J99" s="16">
        <v>45498</v>
      </c>
      <c r="K99" s="25">
        <v>0.54575231481481479</v>
      </c>
      <c r="L99" s="67">
        <v>0</v>
      </c>
      <c r="M99" s="67">
        <v>0</v>
      </c>
      <c r="N99" s="67">
        <v>0</v>
      </c>
      <c r="O99" s="67">
        <v>0</v>
      </c>
      <c r="P99" s="67">
        <v>0</v>
      </c>
      <c r="Q99" s="67">
        <v>0</v>
      </c>
      <c r="R99" s="67">
        <v>0</v>
      </c>
      <c r="S99" s="67">
        <v>0</v>
      </c>
      <c r="T99" s="67">
        <v>0</v>
      </c>
      <c r="U99" s="67">
        <v>0</v>
      </c>
      <c r="V99" s="67">
        <v>0</v>
      </c>
      <c r="W99" s="68">
        <v>0</v>
      </c>
      <c r="X99" s="86">
        <f>X98</f>
        <v>10.855399999999999</v>
      </c>
    </row>
    <row r="100" spans="1:24" x14ac:dyDescent="0.25">
      <c r="A100" t="s">
        <v>109</v>
      </c>
      <c r="B100">
        <v>4</v>
      </c>
      <c r="C100" t="s">
        <v>7</v>
      </c>
      <c r="D100">
        <v>17536</v>
      </c>
      <c r="E100">
        <v>128</v>
      </c>
      <c r="F100">
        <v>2</v>
      </c>
      <c r="G100">
        <v>8</v>
      </c>
      <c r="H100" s="60">
        <v>328</v>
      </c>
      <c r="I100" s="61">
        <v>10.962</v>
      </c>
      <c r="J100" s="16">
        <v>45498</v>
      </c>
      <c r="K100" s="25">
        <v>0.54969907407407403</v>
      </c>
      <c r="L100" s="67">
        <v>0</v>
      </c>
      <c r="M100" s="67">
        <v>0</v>
      </c>
      <c r="N100" s="67">
        <v>0</v>
      </c>
      <c r="O100" s="67">
        <v>0</v>
      </c>
      <c r="P100" s="67">
        <v>0</v>
      </c>
      <c r="Q100" s="67">
        <v>0</v>
      </c>
      <c r="R100" s="67">
        <v>0</v>
      </c>
      <c r="S100" s="67">
        <v>0</v>
      </c>
      <c r="T100" s="67">
        <v>0</v>
      </c>
      <c r="U100" s="67">
        <v>0</v>
      </c>
      <c r="V100" s="67">
        <v>0</v>
      </c>
      <c r="W100" s="68">
        <v>0</v>
      </c>
      <c r="X100" s="86">
        <f>X99</f>
        <v>10.855399999999999</v>
      </c>
    </row>
    <row r="101" spans="1:24" x14ac:dyDescent="0.25">
      <c r="A101" t="s">
        <v>107</v>
      </c>
      <c r="B101">
        <v>0</v>
      </c>
      <c r="C101" t="s">
        <v>7</v>
      </c>
      <c r="D101">
        <v>17536</v>
      </c>
      <c r="E101">
        <v>128</v>
      </c>
      <c r="F101">
        <v>2</v>
      </c>
      <c r="G101">
        <v>8</v>
      </c>
      <c r="H101" s="60">
        <v>333.12</v>
      </c>
      <c r="I101" s="61">
        <v>10.792999999999999</v>
      </c>
      <c r="J101" s="16">
        <v>45498</v>
      </c>
      <c r="K101" s="25">
        <v>0.47322916666666665</v>
      </c>
      <c r="L101" s="67">
        <v>0</v>
      </c>
      <c r="M101" s="67">
        <v>0</v>
      </c>
      <c r="N101" s="67">
        <v>0</v>
      </c>
      <c r="O101" s="67">
        <v>0</v>
      </c>
      <c r="P101" s="67">
        <v>0</v>
      </c>
      <c r="Q101" s="67">
        <v>0</v>
      </c>
      <c r="R101" s="67">
        <v>0</v>
      </c>
      <c r="S101" s="67">
        <v>0</v>
      </c>
      <c r="T101" s="67">
        <v>0</v>
      </c>
      <c r="U101" s="67">
        <v>0</v>
      </c>
      <c r="V101" s="67">
        <v>0</v>
      </c>
      <c r="W101" s="68">
        <v>0</v>
      </c>
      <c r="X101" s="86">
        <f>AVERAGE(I101:I105)</f>
        <v>10.837</v>
      </c>
    </row>
    <row r="102" spans="1:24" x14ac:dyDescent="0.25">
      <c r="A102" t="s">
        <v>107</v>
      </c>
      <c r="B102">
        <v>1</v>
      </c>
      <c r="C102" t="s">
        <v>7</v>
      </c>
      <c r="D102">
        <v>17536</v>
      </c>
      <c r="E102">
        <v>128</v>
      </c>
      <c r="F102">
        <v>2</v>
      </c>
      <c r="G102">
        <v>8</v>
      </c>
      <c r="H102" s="60">
        <v>333.21</v>
      </c>
      <c r="I102" s="61">
        <v>10.79</v>
      </c>
      <c r="J102" s="16">
        <v>45498</v>
      </c>
      <c r="K102" s="25">
        <v>0.47722222222222221</v>
      </c>
      <c r="L102" s="67">
        <v>0</v>
      </c>
      <c r="M102" s="67">
        <v>0</v>
      </c>
      <c r="N102" s="67">
        <v>0</v>
      </c>
      <c r="O102" s="67">
        <v>0</v>
      </c>
      <c r="P102" s="67">
        <v>0</v>
      </c>
      <c r="Q102" s="67">
        <v>0</v>
      </c>
      <c r="R102" s="67">
        <v>0</v>
      </c>
      <c r="S102" s="67">
        <v>0</v>
      </c>
      <c r="T102" s="67">
        <v>0</v>
      </c>
      <c r="U102" s="67">
        <v>0</v>
      </c>
      <c r="V102" s="67">
        <v>0</v>
      </c>
      <c r="W102" s="68">
        <v>0</v>
      </c>
      <c r="X102" s="86">
        <f>X101</f>
        <v>10.837</v>
      </c>
    </row>
    <row r="103" spans="1:24" x14ac:dyDescent="0.25">
      <c r="A103" t="s">
        <v>107</v>
      </c>
      <c r="B103">
        <v>2</v>
      </c>
      <c r="C103" t="s">
        <v>7</v>
      </c>
      <c r="D103">
        <v>17536</v>
      </c>
      <c r="E103">
        <v>128</v>
      </c>
      <c r="F103">
        <v>2</v>
      </c>
      <c r="G103">
        <v>8</v>
      </c>
      <c r="H103" s="60">
        <v>327.91</v>
      </c>
      <c r="I103" s="61">
        <v>10.965</v>
      </c>
      <c r="J103" s="16">
        <v>45498</v>
      </c>
      <c r="K103" s="25">
        <v>0.48116898148148146</v>
      </c>
      <c r="L103" s="67">
        <v>0</v>
      </c>
      <c r="M103" s="67">
        <v>0</v>
      </c>
      <c r="N103" s="67">
        <v>0</v>
      </c>
      <c r="O103" s="67">
        <v>0</v>
      </c>
      <c r="P103" s="67">
        <v>0</v>
      </c>
      <c r="Q103" s="67">
        <v>0</v>
      </c>
      <c r="R103" s="67">
        <v>0</v>
      </c>
      <c r="S103" s="67">
        <v>0</v>
      </c>
      <c r="T103" s="67">
        <v>0</v>
      </c>
      <c r="U103" s="67">
        <v>0</v>
      </c>
      <c r="V103" s="67">
        <v>0</v>
      </c>
      <c r="W103" s="68">
        <v>0</v>
      </c>
      <c r="X103" s="86">
        <f>X102</f>
        <v>10.837</v>
      </c>
    </row>
    <row r="104" spans="1:24" x14ac:dyDescent="0.25">
      <c r="A104" t="s">
        <v>107</v>
      </c>
      <c r="B104">
        <v>3</v>
      </c>
      <c r="C104" t="s">
        <v>7</v>
      </c>
      <c r="D104">
        <v>17536</v>
      </c>
      <c r="E104">
        <v>128</v>
      </c>
      <c r="F104">
        <v>2</v>
      </c>
      <c r="G104">
        <v>8</v>
      </c>
      <c r="H104" s="60">
        <v>336.77</v>
      </c>
      <c r="I104" s="61">
        <v>10.676</v>
      </c>
      <c r="J104" s="16">
        <v>45498</v>
      </c>
      <c r="K104" s="25">
        <v>0.48520833333333335</v>
      </c>
      <c r="L104" s="67">
        <v>0</v>
      </c>
      <c r="M104" s="67">
        <v>0</v>
      </c>
      <c r="N104" s="67">
        <v>0</v>
      </c>
      <c r="O104" s="67">
        <v>0</v>
      </c>
      <c r="P104" s="67">
        <v>0</v>
      </c>
      <c r="Q104" s="67">
        <v>0</v>
      </c>
      <c r="R104" s="67">
        <v>0</v>
      </c>
      <c r="S104" s="67">
        <v>0</v>
      </c>
      <c r="T104" s="67">
        <v>0</v>
      </c>
      <c r="U104" s="67">
        <v>0</v>
      </c>
      <c r="V104" s="67">
        <v>0</v>
      </c>
      <c r="W104" s="68">
        <v>0</v>
      </c>
      <c r="X104" s="86">
        <f>X103</f>
        <v>10.837</v>
      </c>
    </row>
    <row r="105" spans="1:24" x14ac:dyDescent="0.25">
      <c r="A105" t="s">
        <v>107</v>
      </c>
      <c r="B105">
        <v>4</v>
      </c>
      <c r="C105" t="s">
        <v>7</v>
      </c>
      <c r="D105">
        <v>17536</v>
      </c>
      <c r="E105">
        <v>128</v>
      </c>
      <c r="F105">
        <v>2</v>
      </c>
      <c r="G105">
        <v>8</v>
      </c>
      <c r="H105" s="60">
        <v>328.04</v>
      </c>
      <c r="I105" s="61">
        <v>10.961</v>
      </c>
      <c r="J105" s="16">
        <v>45498</v>
      </c>
      <c r="K105" s="25">
        <v>0.48914351851851851</v>
      </c>
      <c r="L105" s="67">
        <v>0</v>
      </c>
      <c r="M105" s="67">
        <v>0</v>
      </c>
      <c r="N105" s="67">
        <v>0</v>
      </c>
      <c r="O105" s="67">
        <v>0</v>
      </c>
      <c r="P105" s="67">
        <v>0</v>
      </c>
      <c r="Q105" s="67">
        <v>0</v>
      </c>
      <c r="R105" s="67">
        <v>0</v>
      </c>
      <c r="S105" s="67">
        <v>0</v>
      </c>
      <c r="T105" s="67">
        <v>0</v>
      </c>
      <c r="U105" s="67">
        <v>0</v>
      </c>
      <c r="V105" s="67">
        <v>0</v>
      </c>
      <c r="W105" s="68">
        <v>0</v>
      </c>
      <c r="X105" s="86">
        <f>X104</f>
        <v>10.837</v>
      </c>
    </row>
    <row r="106" spans="1:24" x14ac:dyDescent="0.25">
      <c r="A106" t="s">
        <v>133</v>
      </c>
      <c r="B106">
        <v>0</v>
      </c>
      <c r="C106" t="s">
        <v>7</v>
      </c>
      <c r="D106">
        <v>17536</v>
      </c>
      <c r="E106">
        <v>128</v>
      </c>
      <c r="F106">
        <v>2</v>
      </c>
      <c r="G106">
        <v>8</v>
      </c>
      <c r="H106" s="60">
        <v>338.05</v>
      </c>
      <c r="I106" s="61">
        <v>10.635999999999999</v>
      </c>
      <c r="J106" s="16">
        <v>45498</v>
      </c>
      <c r="K106" s="25">
        <v>0.57356481481481481</v>
      </c>
      <c r="L106" s="67">
        <v>0</v>
      </c>
      <c r="M106" s="67">
        <v>0</v>
      </c>
      <c r="N106" s="67">
        <v>0</v>
      </c>
      <c r="O106" s="67">
        <v>0</v>
      </c>
      <c r="P106" s="67">
        <v>0</v>
      </c>
      <c r="Q106" s="67">
        <v>0</v>
      </c>
      <c r="R106" s="67">
        <v>0</v>
      </c>
      <c r="S106" s="67">
        <v>0</v>
      </c>
      <c r="T106" s="67">
        <v>0</v>
      </c>
      <c r="U106" s="67">
        <v>0</v>
      </c>
      <c r="V106" s="67">
        <v>0</v>
      </c>
      <c r="W106" s="68">
        <v>0</v>
      </c>
      <c r="X106" s="86">
        <f>AVERAGE(I106:I110)</f>
        <v>10.733000000000001</v>
      </c>
    </row>
    <row r="107" spans="1:24" x14ac:dyDescent="0.25">
      <c r="A107" t="s">
        <v>133</v>
      </c>
      <c r="B107">
        <v>1</v>
      </c>
      <c r="C107" t="s">
        <v>7</v>
      </c>
      <c r="D107">
        <v>17536</v>
      </c>
      <c r="E107">
        <v>128</v>
      </c>
      <c r="F107">
        <v>2</v>
      </c>
      <c r="G107">
        <v>8</v>
      </c>
      <c r="H107" s="60">
        <v>335.69</v>
      </c>
      <c r="I107" s="61">
        <v>10.711</v>
      </c>
      <c r="J107" s="16">
        <v>45498</v>
      </c>
      <c r="K107" s="25">
        <v>0.5776041666666667</v>
      </c>
      <c r="L107" s="67">
        <v>0</v>
      </c>
      <c r="M107" s="67">
        <v>0</v>
      </c>
      <c r="N107" s="67">
        <v>0</v>
      </c>
      <c r="O107" s="67">
        <v>0</v>
      </c>
      <c r="P107" s="67">
        <v>0</v>
      </c>
      <c r="Q107" s="67">
        <v>0</v>
      </c>
      <c r="R107" s="67">
        <v>0</v>
      </c>
      <c r="S107" s="67">
        <v>0</v>
      </c>
      <c r="T107" s="67">
        <v>0</v>
      </c>
      <c r="U107" s="67">
        <v>0</v>
      </c>
      <c r="V107" s="67">
        <v>0</v>
      </c>
      <c r="W107" s="68">
        <v>0</v>
      </c>
      <c r="X107" s="86">
        <f>X106</f>
        <v>10.733000000000001</v>
      </c>
    </row>
    <row r="108" spans="1:24" x14ac:dyDescent="0.25">
      <c r="A108" t="s">
        <v>133</v>
      </c>
      <c r="B108">
        <v>2</v>
      </c>
      <c r="C108" t="s">
        <v>7</v>
      </c>
      <c r="D108">
        <v>17536</v>
      </c>
      <c r="E108">
        <v>128</v>
      </c>
      <c r="F108">
        <v>2</v>
      </c>
      <c r="G108">
        <v>8</v>
      </c>
      <c r="H108" s="60">
        <v>333.95</v>
      </c>
      <c r="I108" s="61">
        <v>10.766999999999999</v>
      </c>
      <c r="J108" s="16">
        <v>45498</v>
      </c>
      <c r="K108" s="25">
        <v>0.58163194444444444</v>
      </c>
      <c r="L108" s="67">
        <v>0</v>
      </c>
      <c r="M108" s="67">
        <v>0</v>
      </c>
      <c r="N108" s="67">
        <v>0</v>
      </c>
      <c r="O108" s="67">
        <v>0</v>
      </c>
      <c r="P108" s="67">
        <v>0</v>
      </c>
      <c r="Q108" s="67">
        <v>0</v>
      </c>
      <c r="R108" s="67">
        <v>0</v>
      </c>
      <c r="S108" s="67">
        <v>0</v>
      </c>
      <c r="T108" s="67">
        <v>0</v>
      </c>
      <c r="U108" s="67">
        <v>0</v>
      </c>
      <c r="V108" s="67">
        <v>0</v>
      </c>
      <c r="W108" s="68">
        <v>0</v>
      </c>
      <c r="X108" s="86">
        <f>X107</f>
        <v>10.733000000000001</v>
      </c>
    </row>
    <row r="109" spans="1:24" x14ac:dyDescent="0.25">
      <c r="A109" t="s">
        <v>133</v>
      </c>
      <c r="B109">
        <v>3</v>
      </c>
      <c r="C109" t="s">
        <v>7</v>
      </c>
      <c r="D109">
        <v>17536</v>
      </c>
      <c r="E109">
        <v>128</v>
      </c>
      <c r="F109">
        <v>2</v>
      </c>
      <c r="G109">
        <v>8</v>
      </c>
      <c r="H109" s="60">
        <v>341.62</v>
      </c>
      <c r="I109" s="61">
        <v>10.525</v>
      </c>
      <c r="J109" s="16">
        <v>45498</v>
      </c>
      <c r="K109" s="25">
        <v>0.58575231481481482</v>
      </c>
      <c r="L109" s="67">
        <v>0</v>
      </c>
      <c r="M109" s="67">
        <v>0</v>
      </c>
      <c r="N109" s="67">
        <v>0</v>
      </c>
      <c r="O109" s="67">
        <v>0</v>
      </c>
      <c r="P109" s="67">
        <v>0</v>
      </c>
      <c r="Q109" s="67">
        <v>0</v>
      </c>
      <c r="R109" s="67">
        <v>0</v>
      </c>
      <c r="S109" s="67">
        <v>0</v>
      </c>
      <c r="T109" s="67">
        <v>0</v>
      </c>
      <c r="U109" s="67">
        <v>0</v>
      </c>
      <c r="V109" s="67">
        <v>0</v>
      </c>
      <c r="W109" s="68">
        <v>0</v>
      </c>
      <c r="X109" s="86">
        <f>X108</f>
        <v>10.733000000000001</v>
      </c>
    </row>
    <row r="110" spans="1:24" x14ac:dyDescent="0.25">
      <c r="A110" t="s">
        <v>133</v>
      </c>
      <c r="B110">
        <v>4</v>
      </c>
      <c r="C110" t="s">
        <v>7</v>
      </c>
      <c r="D110">
        <v>17536</v>
      </c>
      <c r="E110">
        <v>128</v>
      </c>
      <c r="F110">
        <v>2</v>
      </c>
      <c r="G110">
        <v>8</v>
      </c>
      <c r="H110" s="60">
        <v>326.08999999999997</v>
      </c>
      <c r="I110" s="61">
        <v>11.026</v>
      </c>
      <c r="J110" s="16">
        <v>45498</v>
      </c>
      <c r="K110" s="25">
        <v>0.58968750000000003</v>
      </c>
      <c r="L110" s="67">
        <v>0</v>
      </c>
      <c r="M110" s="67">
        <v>0</v>
      </c>
      <c r="N110" s="67">
        <v>0</v>
      </c>
      <c r="O110" s="67">
        <v>0</v>
      </c>
      <c r="P110" s="67">
        <v>0</v>
      </c>
      <c r="Q110" s="67">
        <v>0</v>
      </c>
      <c r="R110" s="67">
        <v>0</v>
      </c>
      <c r="S110" s="67">
        <v>0</v>
      </c>
      <c r="T110" s="67">
        <v>0</v>
      </c>
      <c r="U110" s="67">
        <v>0</v>
      </c>
      <c r="V110" s="67">
        <v>0</v>
      </c>
      <c r="W110" s="68">
        <v>0</v>
      </c>
      <c r="X110" s="86">
        <f>X109</f>
        <v>10.733000000000001</v>
      </c>
    </row>
    <row r="111" spans="1:24" x14ac:dyDescent="0.25">
      <c r="A111" t="s">
        <v>131</v>
      </c>
      <c r="B111">
        <v>0</v>
      </c>
      <c r="C111" t="s">
        <v>7</v>
      </c>
      <c r="D111">
        <v>17536</v>
      </c>
      <c r="E111">
        <v>128</v>
      </c>
      <c r="F111">
        <v>2</v>
      </c>
      <c r="G111">
        <v>8</v>
      </c>
      <c r="H111" s="60">
        <v>342.05</v>
      </c>
      <c r="I111" s="61">
        <v>10.512</v>
      </c>
      <c r="J111" s="16">
        <v>45498</v>
      </c>
      <c r="K111" s="25">
        <v>0.45306712962962964</v>
      </c>
      <c r="L111" s="67">
        <v>0</v>
      </c>
      <c r="M111" s="67">
        <v>0</v>
      </c>
      <c r="N111" s="67">
        <v>0</v>
      </c>
      <c r="O111" s="67">
        <v>0</v>
      </c>
      <c r="P111" s="67">
        <v>0</v>
      </c>
      <c r="Q111" s="67">
        <v>0</v>
      </c>
      <c r="R111" s="67">
        <v>0</v>
      </c>
      <c r="S111" s="67">
        <v>0</v>
      </c>
      <c r="T111" s="67">
        <v>0</v>
      </c>
      <c r="U111" s="67">
        <v>0</v>
      </c>
      <c r="V111" s="67">
        <v>0</v>
      </c>
      <c r="W111" s="68">
        <v>0</v>
      </c>
      <c r="X111" s="86">
        <f>AVERAGE(I111:I115)</f>
        <v>10.690000000000001</v>
      </c>
    </row>
    <row r="112" spans="1:24" x14ac:dyDescent="0.25">
      <c r="A112" t="s">
        <v>131</v>
      </c>
      <c r="B112">
        <v>1</v>
      </c>
      <c r="C112" t="s">
        <v>7</v>
      </c>
      <c r="D112">
        <v>17536</v>
      </c>
      <c r="E112">
        <v>128</v>
      </c>
      <c r="F112">
        <v>2</v>
      </c>
      <c r="G112">
        <v>8</v>
      </c>
      <c r="H112" s="60">
        <v>334.28</v>
      </c>
      <c r="I112" s="61">
        <v>10.756</v>
      </c>
      <c r="J112" s="16">
        <v>45498</v>
      </c>
      <c r="K112" s="25">
        <v>0.45709490740740738</v>
      </c>
      <c r="L112" s="67">
        <v>0</v>
      </c>
      <c r="M112" s="67">
        <v>0</v>
      </c>
      <c r="N112" s="67">
        <v>0</v>
      </c>
      <c r="O112" s="67">
        <v>0</v>
      </c>
      <c r="P112" s="67">
        <v>0</v>
      </c>
      <c r="Q112" s="67">
        <v>0</v>
      </c>
      <c r="R112" s="67">
        <v>0</v>
      </c>
      <c r="S112" s="67">
        <v>0</v>
      </c>
      <c r="T112" s="67">
        <v>0</v>
      </c>
      <c r="U112" s="67">
        <v>0</v>
      </c>
      <c r="V112" s="67">
        <v>0</v>
      </c>
      <c r="W112" s="68">
        <v>0</v>
      </c>
      <c r="X112" s="86">
        <f>X111</f>
        <v>10.690000000000001</v>
      </c>
    </row>
    <row r="113" spans="1:24" x14ac:dyDescent="0.25">
      <c r="A113" t="s">
        <v>131</v>
      </c>
      <c r="B113">
        <v>2</v>
      </c>
      <c r="C113" t="s">
        <v>7</v>
      </c>
      <c r="D113">
        <v>17536</v>
      </c>
      <c r="E113">
        <v>128</v>
      </c>
      <c r="F113">
        <v>2</v>
      </c>
      <c r="G113">
        <v>8</v>
      </c>
      <c r="H113" s="60">
        <v>341.07</v>
      </c>
      <c r="I113" s="61">
        <v>10.542</v>
      </c>
      <c r="J113" s="16">
        <v>45498</v>
      </c>
      <c r="K113" s="25">
        <v>0.46120370370370373</v>
      </c>
      <c r="L113" s="67">
        <v>0</v>
      </c>
      <c r="M113" s="67">
        <v>0</v>
      </c>
      <c r="N113" s="67">
        <v>0</v>
      </c>
      <c r="O113" s="67">
        <v>0</v>
      </c>
      <c r="P113" s="67">
        <v>0</v>
      </c>
      <c r="Q113" s="67">
        <v>0</v>
      </c>
      <c r="R113" s="67">
        <v>0</v>
      </c>
      <c r="S113" s="67">
        <v>0</v>
      </c>
      <c r="T113" s="67">
        <v>0</v>
      </c>
      <c r="U113" s="67">
        <v>0</v>
      </c>
      <c r="V113" s="67">
        <v>0</v>
      </c>
      <c r="W113" s="68">
        <v>0</v>
      </c>
      <c r="X113" s="86">
        <f>X112</f>
        <v>10.690000000000001</v>
      </c>
    </row>
    <row r="114" spans="1:24" x14ac:dyDescent="0.25">
      <c r="A114" t="s">
        <v>131</v>
      </c>
      <c r="B114">
        <v>3</v>
      </c>
      <c r="C114" t="s">
        <v>7</v>
      </c>
      <c r="D114">
        <v>17536</v>
      </c>
      <c r="E114">
        <v>128</v>
      </c>
      <c r="F114">
        <v>2</v>
      </c>
      <c r="G114">
        <v>8</v>
      </c>
      <c r="H114" s="60">
        <v>338.22</v>
      </c>
      <c r="I114" s="61">
        <v>10.63</v>
      </c>
      <c r="J114" s="16">
        <v>45498</v>
      </c>
      <c r="K114" s="25">
        <v>0.46528935185185183</v>
      </c>
      <c r="L114" s="67">
        <v>0</v>
      </c>
      <c r="M114" s="67">
        <v>0</v>
      </c>
      <c r="N114" s="67">
        <v>0</v>
      </c>
      <c r="O114" s="67">
        <v>0</v>
      </c>
      <c r="P114" s="67">
        <v>0</v>
      </c>
      <c r="Q114" s="67">
        <v>0</v>
      </c>
      <c r="R114" s="67">
        <v>0</v>
      </c>
      <c r="S114" s="67">
        <v>0</v>
      </c>
      <c r="T114" s="67">
        <v>0</v>
      </c>
      <c r="U114" s="67">
        <v>0</v>
      </c>
      <c r="V114" s="67">
        <v>0</v>
      </c>
      <c r="W114" s="68">
        <v>0</v>
      </c>
      <c r="X114" s="86">
        <f>X113</f>
        <v>10.690000000000001</v>
      </c>
    </row>
    <row r="115" spans="1:24" x14ac:dyDescent="0.25">
      <c r="A115" t="s">
        <v>131</v>
      </c>
      <c r="B115">
        <v>4</v>
      </c>
      <c r="C115" t="s">
        <v>7</v>
      </c>
      <c r="D115">
        <v>17536</v>
      </c>
      <c r="E115">
        <v>128</v>
      </c>
      <c r="F115">
        <v>2</v>
      </c>
      <c r="G115">
        <v>8</v>
      </c>
      <c r="H115" s="60">
        <v>326.56</v>
      </c>
      <c r="I115" s="61">
        <v>11.01</v>
      </c>
      <c r="J115" s="16">
        <v>45498</v>
      </c>
      <c r="K115" s="25">
        <v>0.46922453703703704</v>
      </c>
      <c r="L115" s="67">
        <v>0</v>
      </c>
      <c r="M115" s="67">
        <v>0</v>
      </c>
      <c r="N115" s="67">
        <v>0</v>
      </c>
      <c r="O115" s="67">
        <v>0</v>
      </c>
      <c r="P115" s="67">
        <v>0</v>
      </c>
      <c r="Q115" s="67">
        <v>0</v>
      </c>
      <c r="R115" s="67">
        <v>0</v>
      </c>
      <c r="S115" s="67">
        <v>0</v>
      </c>
      <c r="T115" s="67">
        <v>0</v>
      </c>
      <c r="U115" s="67">
        <v>0</v>
      </c>
      <c r="V115" s="67">
        <v>0</v>
      </c>
      <c r="W115" s="68">
        <v>0</v>
      </c>
      <c r="X115" s="86">
        <f>X114</f>
        <v>10.690000000000001</v>
      </c>
    </row>
    <row r="116" spans="1:24" x14ac:dyDescent="0.25">
      <c r="A116" t="s">
        <v>132</v>
      </c>
      <c r="B116">
        <v>0</v>
      </c>
      <c r="C116" t="s">
        <v>7</v>
      </c>
      <c r="D116">
        <v>17536</v>
      </c>
      <c r="E116">
        <v>128</v>
      </c>
      <c r="F116">
        <v>2</v>
      </c>
      <c r="G116">
        <v>8</v>
      </c>
      <c r="H116" s="60">
        <v>340.55</v>
      </c>
      <c r="I116" s="61">
        <v>10.558</v>
      </c>
      <c r="J116" s="16">
        <v>45498</v>
      </c>
      <c r="K116" s="25">
        <v>0.51370370370370366</v>
      </c>
      <c r="L116" s="67">
        <v>0</v>
      </c>
      <c r="M116" s="67">
        <v>0</v>
      </c>
      <c r="N116" s="67">
        <v>0</v>
      </c>
      <c r="O116" s="67">
        <v>0</v>
      </c>
      <c r="P116" s="67">
        <v>0</v>
      </c>
      <c r="Q116" s="67">
        <v>0</v>
      </c>
      <c r="R116" s="67">
        <v>0</v>
      </c>
      <c r="S116" s="67">
        <v>0</v>
      </c>
      <c r="T116" s="67">
        <v>0</v>
      </c>
      <c r="U116" s="67">
        <v>0</v>
      </c>
      <c r="V116" s="67">
        <v>0</v>
      </c>
      <c r="W116" s="68">
        <v>0</v>
      </c>
      <c r="X116" s="86">
        <f>AVERAGE(I116:I120)</f>
        <v>10.6896</v>
      </c>
    </row>
    <row r="117" spans="1:24" x14ac:dyDescent="0.25">
      <c r="A117" t="s">
        <v>132</v>
      </c>
      <c r="B117">
        <v>1</v>
      </c>
      <c r="C117" t="s">
        <v>7</v>
      </c>
      <c r="D117">
        <v>17536</v>
      </c>
      <c r="E117">
        <v>128</v>
      </c>
      <c r="F117">
        <v>2</v>
      </c>
      <c r="G117">
        <v>8</v>
      </c>
      <c r="H117" s="60">
        <v>338.69</v>
      </c>
      <c r="I117" s="61">
        <v>10.616</v>
      </c>
      <c r="J117" s="16">
        <v>45498</v>
      </c>
      <c r="K117" s="25">
        <v>0.51776620370370374</v>
      </c>
      <c r="L117" s="67">
        <v>0</v>
      </c>
      <c r="M117" s="67">
        <v>0</v>
      </c>
      <c r="N117" s="67">
        <v>0</v>
      </c>
      <c r="O117" s="67">
        <v>0</v>
      </c>
      <c r="P117" s="67">
        <v>0</v>
      </c>
      <c r="Q117" s="67">
        <v>0</v>
      </c>
      <c r="R117" s="67">
        <v>0</v>
      </c>
      <c r="S117" s="67">
        <v>0</v>
      </c>
      <c r="T117" s="67">
        <v>0</v>
      </c>
      <c r="U117" s="67">
        <v>0</v>
      </c>
      <c r="V117" s="67">
        <v>0</v>
      </c>
      <c r="W117" s="68">
        <v>0</v>
      </c>
      <c r="X117" s="86">
        <f>X116</f>
        <v>10.6896</v>
      </c>
    </row>
    <row r="118" spans="1:24" x14ac:dyDescent="0.25">
      <c r="A118" t="s">
        <v>132</v>
      </c>
      <c r="B118">
        <v>2</v>
      </c>
      <c r="C118" t="s">
        <v>7</v>
      </c>
      <c r="D118">
        <v>17536</v>
      </c>
      <c r="E118">
        <v>128</v>
      </c>
      <c r="F118">
        <v>2</v>
      </c>
      <c r="G118">
        <v>8</v>
      </c>
      <c r="H118" s="60">
        <v>336.73</v>
      </c>
      <c r="I118" s="61">
        <v>10.678000000000001</v>
      </c>
      <c r="J118" s="16">
        <v>45498</v>
      </c>
      <c r="K118" s="25">
        <v>0.52180555555555552</v>
      </c>
      <c r="L118" s="67">
        <v>0</v>
      </c>
      <c r="M118" s="67">
        <v>0</v>
      </c>
      <c r="N118" s="67">
        <v>0</v>
      </c>
      <c r="O118" s="67">
        <v>0</v>
      </c>
      <c r="P118" s="67">
        <v>0</v>
      </c>
      <c r="Q118" s="67">
        <v>0</v>
      </c>
      <c r="R118" s="67">
        <v>0</v>
      </c>
      <c r="S118" s="67">
        <v>0</v>
      </c>
      <c r="T118" s="67">
        <v>0</v>
      </c>
      <c r="U118" s="67">
        <v>0</v>
      </c>
      <c r="V118" s="67">
        <v>0</v>
      </c>
      <c r="W118" s="68">
        <v>0</v>
      </c>
      <c r="X118" s="86">
        <f>X117</f>
        <v>10.6896</v>
      </c>
    </row>
    <row r="119" spans="1:24" x14ac:dyDescent="0.25">
      <c r="A119" t="s">
        <v>132</v>
      </c>
      <c r="B119">
        <v>3</v>
      </c>
      <c r="C119" t="s">
        <v>7</v>
      </c>
      <c r="D119">
        <v>17536</v>
      </c>
      <c r="E119">
        <v>128</v>
      </c>
      <c r="F119">
        <v>2</v>
      </c>
      <c r="G119">
        <v>8</v>
      </c>
      <c r="H119" s="60">
        <v>336.04</v>
      </c>
      <c r="I119" s="61">
        <v>10.7</v>
      </c>
      <c r="J119" s="16">
        <v>45498</v>
      </c>
      <c r="K119" s="25">
        <v>0.52583333333333337</v>
      </c>
      <c r="L119" s="67">
        <v>0</v>
      </c>
      <c r="M119" s="67">
        <v>0</v>
      </c>
      <c r="N119" s="67">
        <v>0</v>
      </c>
      <c r="O119" s="67">
        <v>0</v>
      </c>
      <c r="P119" s="67">
        <v>0</v>
      </c>
      <c r="Q119" s="67">
        <v>0</v>
      </c>
      <c r="R119" s="67">
        <v>0</v>
      </c>
      <c r="S119" s="67">
        <v>0</v>
      </c>
      <c r="T119" s="67">
        <v>0</v>
      </c>
      <c r="U119" s="67">
        <v>0</v>
      </c>
      <c r="V119" s="67">
        <v>0</v>
      </c>
      <c r="W119" s="68">
        <v>0</v>
      </c>
      <c r="X119" s="86">
        <f>X118</f>
        <v>10.6896</v>
      </c>
    </row>
    <row r="120" spans="1:24" x14ac:dyDescent="0.25">
      <c r="A120" t="s">
        <v>132</v>
      </c>
      <c r="B120">
        <v>4</v>
      </c>
      <c r="C120" t="s">
        <v>7</v>
      </c>
      <c r="D120">
        <v>17536</v>
      </c>
      <c r="E120">
        <v>128</v>
      </c>
      <c r="F120">
        <v>2</v>
      </c>
      <c r="G120">
        <v>8</v>
      </c>
      <c r="H120" s="60">
        <v>329.99</v>
      </c>
      <c r="I120" s="61">
        <v>10.896000000000001</v>
      </c>
      <c r="J120" s="16">
        <v>45498</v>
      </c>
      <c r="K120" s="25">
        <v>0.52979166666666666</v>
      </c>
      <c r="L120" s="67">
        <v>0</v>
      </c>
      <c r="M120" s="67">
        <v>0</v>
      </c>
      <c r="N120" s="67">
        <v>0</v>
      </c>
      <c r="O120" s="67">
        <v>0</v>
      </c>
      <c r="P120" s="67">
        <v>0</v>
      </c>
      <c r="Q120" s="67">
        <v>0</v>
      </c>
      <c r="R120" s="67">
        <v>0</v>
      </c>
      <c r="S120" s="67">
        <v>0</v>
      </c>
      <c r="T120" s="67">
        <v>0</v>
      </c>
      <c r="U120" s="67">
        <v>0</v>
      </c>
      <c r="V120" s="67">
        <v>0</v>
      </c>
      <c r="W120" s="68">
        <v>0</v>
      </c>
      <c r="X120" s="86">
        <f>X119</f>
        <v>10.6896</v>
      </c>
    </row>
    <row r="121" spans="1:24" x14ac:dyDescent="0.25">
      <c r="A121" t="s">
        <v>108</v>
      </c>
      <c r="B121">
        <v>0</v>
      </c>
      <c r="C121" t="s">
        <v>7</v>
      </c>
      <c r="D121">
        <v>17536</v>
      </c>
      <c r="E121">
        <v>128</v>
      </c>
      <c r="F121">
        <v>2</v>
      </c>
      <c r="G121">
        <v>8</v>
      </c>
      <c r="H121" s="60">
        <v>338.29</v>
      </c>
      <c r="I121" s="61">
        <v>10.628</v>
      </c>
      <c r="J121" s="16">
        <v>45498</v>
      </c>
      <c r="K121" s="25">
        <v>0.49321759259259257</v>
      </c>
      <c r="L121" s="67">
        <v>0</v>
      </c>
      <c r="M121" s="67">
        <v>0</v>
      </c>
      <c r="N121" s="67">
        <v>0</v>
      </c>
      <c r="O121" s="67">
        <v>0</v>
      </c>
      <c r="P121" s="67">
        <v>0</v>
      </c>
      <c r="Q121" s="67">
        <v>0</v>
      </c>
      <c r="R121" s="67">
        <v>0</v>
      </c>
      <c r="S121" s="67">
        <v>0</v>
      </c>
      <c r="T121" s="67">
        <v>0</v>
      </c>
      <c r="U121" s="67">
        <v>0</v>
      </c>
      <c r="V121" s="67">
        <v>0</v>
      </c>
      <c r="W121" s="68">
        <v>0</v>
      </c>
      <c r="X121" s="86">
        <f>AVERAGE(I121:I125)</f>
        <v>10.581800000000001</v>
      </c>
    </row>
    <row r="122" spans="1:24" x14ac:dyDescent="0.25">
      <c r="A122" t="s">
        <v>108</v>
      </c>
      <c r="B122">
        <v>1</v>
      </c>
      <c r="C122" t="s">
        <v>7</v>
      </c>
      <c r="D122">
        <v>17536</v>
      </c>
      <c r="E122">
        <v>128</v>
      </c>
      <c r="F122">
        <v>2</v>
      </c>
      <c r="G122">
        <v>8</v>
      </c>
      <c r="H122" s="60">
        <v>350.2</v>
      </c>
      <c r="I122" s="61">
        <v>10.266999999999999</v>
      </c>
      <c r="J122" s="16">
        <v>45498</v>
      </c>
      <c r="K122" s="25">
        <v>0.49743055555555554</v>
      </c>
      <c r="L122" s="67">
        <v>0</v>
      </c>
      <c r="M122" s="67">
        <v>0</v>
      </c>
      <c r="N122" s="67">
        <v>0</v>
      </c>
      <c r="O122" s="67">
        <v>0</v>
      </c>
      <c r="P122" s="67">
        <v>0</v>
      </c>
      <c r="Q122" s="67">
        <v>0</v>
      </c>
      <c r="R122" s="67">
        <v>0</v>
      </c>
      <c r="S122" s="67">
        <v>0</v>
      </c>
      <c r="T122" s="67">
        <v>0</v>
      </c>
      <c r="U122" s="67">
        <v>0</v>
      </c>
      <c r="V122" s="67">
        <v>0</v>
      </c>
      <c r="W122" s="68">
        <v>0</v>
      </c>
      <c r="X122" s="86">
        <f>X121</f>
        <v>10.581800000000001</v>
      </c>
    </row>
    <row r="123" spans="1:24" x14ac:dyDescent="0.25">
      <c r="A123" t="s">
        <v>108</v>
      </c>
      <c r="B123">
        <v>2</v>
      </c>
      <c r="C123" t="s">
        <v>7</v>
      </c>
      <c r="D123">
        <v>17536</v>
      </c>
      <c r="E123">
        <v>128</v>
      </c>
      <c r="F123">
        <v>2</v>
      </c>
      <c r="G123">
        <v>8</v>
      </c>
      <c r="H123" s="60">
        <v>337.8</v>
      </c>
      <c r="I123" s="61">
        <v>10.644</v>
      </c>
      <c r="J123" s="16">
        <v>45498</v>
      </c>
      <c r="K123" s="25">
        <v>0.50150462962962961</v>
      </c>
      <c r="L123" s="67">
        <v>0</v>
      </c>
      <c r="M123" s="67">
        <v>0</v>
      </c>
      <c r="N123" s="67">
        <v>0</v>
      </c>
      <c r="O123" s="67">
        <v>0</v>
      </c>
      <c r="P123" s="67">
        <v>0</v>
      </c>
      <c r="Q123" s="67">
        <v>0</v>
      </c>
      <c r="R123" s="67">
        <v>0</v>
      </c>
      <c r="S123" s="67">
        <v>0</v>
      </c>
      <c r="T123" s="67">
        <v>0</v>
      </c>
      <c r="U123" s="67">
        <v>0</v>
      </c>
      <c r="V123" s="67">
        <v>0</v>
      </c>
      <c r="W123" s="68">
        <v>0</v>
      </c>
      <c r="X123" s="86">
        <f>X122</f>
        <v>10.581800000000001</v>
      </c>
    </row>
    <row r="124" spans="1:24" x14ac:dyDescent="0.25">
      <c r="A124" t="s">
        <v>108</v>
      </c>
      <c r="B124">
        <v>3</v>
      </c>
      <c r="C124" t="s">
        <v>7</v>
      </c>
      <c r="D124">
        <v>17536</v>
      </c>
      <c r="E124">
        <v>128</v>
      </c>
      <c r="F124">
        <v>2</v>
      </c>
      <c r="G124">
        <v>8</v>
      </c>
      <c r="H124" s="60">
        <v>336.01</v>
      </c>
      <c r="I124" s="61">
        <v>10.701000000000001</v>
      </c>
      <c r="J124" s="16">
        <v>45498</v>
      </c>
      <c r="K124" s="25">
        <v>0.50555555555555554</v>
      </c>
      <c r="L124" s="67">
        <v>0</v>
      </c>
      <c r="M124" s="67">
        <v>0</v>
      </c>
      <c r="N124" s="67">
        <v>0</v>
      </c>
      <c r="O124" s="67">
        <v>0</v>
      </c>
      <c r="P124" s="67">
        <v>0</v>
      </c>
      <c r="Q124" s="67">
        <v>0</v>
      </c>
      <c r="R124" s="67">
        <v>0</v>
      </c>
      <c r="S124" s="67">
        <v>0</v>
      </c>
      <c r="T124" s="67">
        <v>0</v>
      </c>
      <c r="U124" s="67">
        <v>0</v>
      </c>
      <c r="V124" s="67">
        <v>0</v>
      </c>
      <c r="W124" s="68">
        <v>0</v>
      </c>
      <c r="X124" s="86">
        <f>X123</f>
        <v>10.581800000000001</v>
      </c>
    </row>
    <row r="125" spans="1:24" x14ac:dyDescent="0.25">
      <c r="A125" t="s">
        <v>108</v>
      </c>
      <c r="B125">
        <v>4</v>
      </c>
      <c r="C125" t="s">
        <v>7</v>
      </c>
      <c r="D125">
        <v>17536</v>
      </c>
      <c r="E125">
        <v>128</v>
      </c>
      <c r="F125">
        <v>2</v>
      </c>
      <c r="G125">
        <v>8</v>
      </c>
      <c r="H125" s="60">
        <v>337</v>
      </c>
      <c r="I125" s="61">
        <v>10.669</v>
      </c>
      <c r="J125" s="16">
        <v>45498</v>
      </c>
      <c r="K125" s="25">
        <v>0.5096180555555555</v>
      </c>
      <c r="L125" s="67">
        <v>0</v>
      </c>
      <c r="M125" s="67">
        <v>0</v>
      </c>
      <c r="N125" s="67">
        <v>0</v>
      </c>
      <c r="O125" s="67">
        <v>0</v>
      </c>
      <c r="P125" s="67">
        <v>0</v>
      </c>
      <c r="Q125" s="67">
        <v>0</v>
      </c>
      <c r="R125" s="67">
        <v>0</v>
      </c>
      <c r="S125" s="67">
        <v>0</v>
      </c>
      <c r="T125" s="67">
        <v>0</v>
      </c>
      <c r="U125" s="67">
        <v>0</v>
      </c>
      <c r="V125" s="67">
        <v>0</v>
      </c>
      <c r="W125" s="68">
        <v>0</v>
      </c>
      <c r="X125" s="86">
        <f>X124</f>
        <v>10.581800000000001</v>
      </c>
    </row>
    <row r="126" spans="1:24" x14ac:dyDescent="0.25">
      <c r="A126" t="s">
        <v>142</v>
      </c>
      <c r="B126">
        <v>0</v>
      </c>
      <c r="C126" t="s">
        <v>7</v>
      </c>
      <c r="D126">
        <v>17536</v>
      </c>
      <c r="E126">
        <v>128</v>
      </c>
      <c r="F126">
        <v>2</v>
      </c>
      <c r="G126">
        <v>8</v>
      </c>
      <c r="H126" s="60">
        <v>329.69</v>
      </c>
      <c r="I126" s="60">
        <v>10.906000000000001</v>
      </c>
      <c r="J126" s="16">
        <v>45501</v>
      </c>
      <c r="K126" s="25">
        <v>0.74968749999999995</v>
      </c>
      <c r="L126" s="20">
        <v>0</v>
      </c>
      <c r="M126" s="20">
        <v>0</v>
      </c>
      <c r="N126" s="20">
        <v>0</v>
      </c>
      <c r="O126" s="20">
        <v>0</v>
      </c>
      <c r="P126" s="20">
        <v>0</v>
      </c>
      <c r="Q126" s="20">
        <v>0</v>
      </c>
      <c r="R126" s="20">
        <v>0</v>
      </c>
      <c r="S126" s="20">
        <v>0</v>
      </c>
      <c r="T126" s="20">
        <v>0</v>
      </c>
      <c r="U126" s="20">
        <v>0</v>
      </c>
      <c r="V126" s="20">
        <v>0</v>
      </c>
      <c r="W126" s="26">
        <v>0</v>
      </c>
      <c r="X126" s="86">
        <f>AVERAGE(I126:I130)</f>
        <v>10.578800000000001</v>
      </c>
    </row>
    <row r="127" spans="1:24" x14ac:dyDescent="0.25">
      <c r="A127" t="s">
        <v>142</v>
      </c>
      <c r="B127">
        <v>1</v>
      </c>
      <c r="C127" t="s">
        <v>7</v>
      </c>
      <c r="D127">
        <v>17536</v>
      </c>
      <c r="E127">
        <v>128</v>
      </c>
      <c r="F127">
        <v>2</v>
      </c>
      <c r="G127">
        <v>8</v>
      </c>
      <c r="H127" s="60">
        <v>341.64</v>
      </c>
      <c r="I127" s="60">
        <v>10.523999999999999</v>
      </c>
      <c r="J127" s="16">
        <v>45501</v>
      </c>
      <c r="K127" s="25">
        <v>0.75380787037037034</v>
      </c>
      <c r="L127" s="20">
        <v>0</v>
      </c>
      <c r="M127" s="20">
        <v>0</v>
      </c>
      <c r="N127" s="20">
        <v>0</v>
      </c>
      <c r="O127" s="20">
        <v>0</v>
      </c>
      <c r="P127" s="20">
        <v>0</v>
      </c>
      <c r="Q127" s="20">
        <v>0</v>
      </c>
      <c r="R127" s="20">
        <v>0</v>
      </c>
      <c r="S127" s="20">
        <v>0</v>
      </c>
      <c r="T127" s="20">
        <v>0</v>
      </c>
      <c r="U127" s="20">
        <v>0</v>
      </c>
      <c r="V127" s="20">
        <v>0</v>
      </c>
      <c r="W127" s="26">
        <v>0</v>
      </c>
      <c r="X127" s="86">
        <f>X126</f>
        <v>10.578800000000001</v>
      </c>
    </row>
    <row r="128" spans="1:24" x14ac:dyDescent="0.25">
      <c r="A128" t="s">
        <v>142</v>
      </c>
      <c r="B128">
        <v>2</v>
      </c>
      <c r="C128" t="s">
        <v>7</v>
      </c>
      <c r="D128">
        <v>17536</v>
      </c>
      <c r="E128">
        <v>128</v>
      </c>
      <c r="F128">
        <v>2</v>
      </c>
      <c r="G128">
        <v>8</v>
      </c>
      <c r="H128" s="60">
        <v>336.48</v>
      </c>
      <c r="I128" s="60">
        <v>10.685</v>
      </c>
      <c r="J128" s="16">
        <v>45501</v>
      </c>
      <c r="K128" s="25">
        <v>0.75785879629629627</v>
      </c>
      <c r="L128" s="20">
        <v>0</v>
      </c>
      <c r="M128" s="20">
        <v>0</v>
      </c>
      <c r="N128" s="20">
        <v>0</v>
      </c>
      <c r="O128" s="20">
        <v>0</v>
      </c>
      <c r="P128" s="20">
        <v>0</v>
      </c>
      <c r="Q128" s="20">
        <v>0</v>
      </c>
      <c r="R128" s="20">
        <v>0</v>
      </c>
      <c r="S128" s="20">
        <v>0</v>
      </c>
      <c r="T128" s="20">
        <v>0</v>
      </c>
      <c r="U128" s="20">
        <v>0</v>
      </c>
      <c r="V128" s="20">
        <v>0</v>
      </c>
      <c r="W128" s="26">
        <v>0</v>
      </c>
      <c r="X128" s="86">
        <f>X127</f>
        <v>10.578800000000001</v>
      </c>
    </row>
    <row r="129" spans="1:24" x14ac:dyDescent="0.25">
      <c r="A129" t="s">
        <v>142</v>
      </c>
      <c r="B129">
        <v>3</v>
      </c>
      <c r="C129" t="s">
        <v>7</v>
      </c>
      <c r="D129">
        <v>17536</v>
      </c>
      <c r="E129">
        <v>128</v>
      </c>
      <c r="F129">
        <v>2</v>
      </c>
      <c r="G129">
        <v>8</v>
      </c>
      <c r="H129" s="60">
        <v>341.17</v>
      </c>
      <c r="I129" s="60">
        <v>10.539</v>
      </c>
      <c r="J129" s="16">
        <v>45501</v>
      </c>
      <c r="K129" s="25">
        <v>0.76197916666666665</v>
      </c>
      <c r="L129" s="20">
        <v>0</v>
      </c>
      <c r="M129" s="20">
        <v>0</v>
      </c>
      <c r="N129" s="20">
        <v>0</v>
      </c>
      <c r="O129" s="20">
        <v>0</v>
      </c>
      <c r="P129" s="20">
        <v>0</v>
      </c>
      <c r="Q129" s="20">
        <v>0</v>
      </c>
      <c r="R129" s="20">
        <v>0</v>
      </c>
      <c r="S129" s="20">
        <v>0</v>
      </c>
      <c r="T129" s="20">
        <v>0</v>
      </c>
      <c r="U129" s="20">
        <v>0</v>
      </c>
      <c r="V129" s="20">
        <v>0</v>
      </c>
      <c r="W129" s="26">
        <v>0</v>
      </c>
      <c r="X129" s="86">
        <f>X128</f>
        <v>10.578800000000001</v>
      </c>
    </row>
    <row r="130" spans="1:24" x14ac:dyDescent="0.25">
      <c r="A130" t="s">
        <v>142</v>
      </c>
      <c r="B130">
        <v>4</v>
      </c>
      <c r="C130" t="s">
        <v>7</v>
      </c>
      <c r="D130">
        <v>17536</v>
      </c>
      <c r="E130">
        <v>128</v>
      </c>
      <c r="F130">
        <v>2</v>
      </c>
      <c r="G130">
        <v>8</v>
      </c>
      <c r="H130" s="60">
        <v>351.12</v>
      </c>
      <c r="I130" s="60">
        <v>10.24</v>
      </c>
      <c r="J130" s="16">
        <v>45501</v>
      </c>
      <c r="K130" s="25">
        <v>0.76620370370370372</v>
      </c>
      <c r="L130" s="20">
        <v>0</v>
      </c>
      <c r="M130" s="20">
        <v>0</v>
      </c>
      <c r="N130" s="20">
        <v>0</v>
      </c>
      <c r="O130" s="20">
        <v>0</v>
      </c>
      <c r="P130" s="20">
        <v>0</v>
      </c>
      <c r="Q130" s="20">
        <v>0</v>
      </c>
      <c r="R130" s="20">
        <v>0</v>
      </c>
      <c r="S130" s="20">
        <v>0</v>
      </c>
      <c r="T130" s="20">
        <v>0</v>
      </c>
      <c r="U130" s="20">
        <v>0</v>
      </c>
      <c r="V130" s="20">
        <v>0</v>
      </c>
      <c r="W130" s="26">
        <v>0</v>
      </c>
      <c r="X130" s="86">
        <f>X129</f>
        <v>10.578800000000001</v>
      </c>
    </row>
    <row r="131" spans="1:24" x14ac:dyDescent="0.25">
      <c r="A131" t="s">
        <v>129</v>
      </c>
      <c r="B131">
        <v>0</v>
      </c>
      <c r="C131" t="s">
        <v>7</v>
      </c>
      <c r="D131">
        <v>17536</v>
      </c>
      <c r="E131">
        <v>128</v>
      </c>
      <c r="F131">
        <v>2</v>
      </c>
      <c r="G131">
        <v>8</v>
      </c>
      <c r="H131" s="61">
        <v>360.24</v>
      </c>
      <c r="I131" s="61">
        <v>9.9808000000000003</v>
      </c>
      <c r="J131" s="16">
        <v>45498</v>
      </c>
      <c r="K131" s="25">
        <v>0.73583333333333334</v>
      </c>
      <c r="L131" s="67">
        <v>0</v>
      </c>
      <c r="M131" s="67">
        <v>0</v>
      </c>
      <c r="N131" s="67">
        <v>0</v>
      </c>
      <c r="O131" s="67">
        <v>0</v>
      </c>
      <c r="P131" s="67">
        <v>0</v>
      </c>
      <c r="Q131" s="67">
        <v>0</v>
      </c>
      <c r="R131" s="67">
        <v>0</v>
      </c>
      <c r="S131" s="67">
        <v>0</v>
      </c>
      <c r="T131" s="67">
        <v>0</v>
      </c>
      <c r="U131" s="67">
        <v>0</v>
      </c>
      <c r="V131" s="68">
        <v>0</v>
      </c>
      <c r="W131" s="67">
        <v>0</v>
      </c>
      <c r="X131" s="86">
        <f>AVERAGE(I131:I135)</f>
        <v>10.293760000000001</v>
      </c>
    </row>
    <row r="132" spans="1:24" x14ac:dyDescent="0.25">
      <c r="A132" t="s">
        <v>129</v>
      </c>
      <c r="B132">
        <v>1</v>
      </c>
      <c r="C132" t="s">
        <v>7</v>
      </c>
      <c r="D132">
        <v>17536</v>
      </c>
      <c r="E132">
        <v>128</v>
      </c>
      <c r="F132">
        <v>2</v>
      </c>
      <c r="G132">
        <v>8</v>
      </c>
      <c r="H132" s="61">
        <v>350.77</v>
      </c>
      <c r="I132" s="61">
        <v>10.25</v>
      </c>
      <c r="J132" s="16">
        <v>45498</v>
      </c>
      <c r="K132" s="25">
        <v>0.74052083333333329</v>
      </c>
      <c r="L132" s="67">
        <v>0</v>
      </c>
      <c r="M132" s="67">
        <v>0</v>
      </c>
      <c r="N132" s="67">
        <v>0</v>
      </c>
      <c r="O132" s="67">
        <v>0</v>
      </c>
      <c r="P132" s="67">
        <v>0</v>
      </c>
      <c r="Q132" s="67">
        <v>0</v>
      </c>
      <c r="R132" s="67">
        <v>0</v>
      </c>
      <c r="S132" s="67">
        <v>0</v>
      </c>
      <c r="T132" s="67">
        <v>0</v>
      </c>
      <c r="U132" s="67">
        <v>0</v>
      </c>
      <c r="V132" s="68">
        <v>0</v>
      </c>
      <c r="W132" s="67">
        <v>0</v>
      </c>
      <c r="X132" s="86">
        <f>X131</f>
        <v>10.293760000000001</v>
      </c>
    </row>
    <row r="133" spans="1:24" x14ac:dyDescent="0.25">
      <c r="A133" t="s">
        <v>129</v>
      </c>
      <c r="B133">
        <v>2</v>
      </c>
      <c r="C133" t="s">
        <v>7</v>
      </c>
      <c r="D133">
        <v>17536</v>
      </c>
      <c r="E133">
        <v>128</v>
      </c>
      <c r="F133">
        <v>2</v>
      </c>
      <c r="G133">
        <v>8</v>
      </c>
      <c r="H133" s="61">
        <v>338.16</v>
      </c>
      <c r="I133" s="61">
        <v>10.632999999999999</v>
      </c>
      <c r="J133" s="16">
        <v>45498</v>
      </c>
      <c r="K133" s="25">
        <v>0.74506944444444445</v>
      </c>
      <c r="L133" s="67">
        <v>0</v>
      </c>
      <c r="M133" s="67">
        <v>0</v>
      </c>
      <c r="N133" s="67">
        <v>0</v>
      </c>
      <c r="O133" s="67">
        <v>0</v>
      </c>
      <c r="P133" s="67">
        <v>0</v>
      </c>
      <c r="Q133" s="67">
        <v>0</v>
      </c>
      <c r="R133" s="67">
        <v>0</v>
      </c>
      <c r="S133" s="67">
        <v>0</v>
      </c>
      <c r="T133" s="67">
        <v>0</v>
      </c>
      <c r="U133" s="67">
        <v>0</v>
      </c>
      <c r="V133" s="68">
        <v>0</v>
      </c>
      <c r="W133" s="67">
        <v>0</v>
      </c>
      <c r="X133" s="86">
        <f>X132</f>
        <v>10.293760000000001</v>
      </c>
    </row>
    <row r="134" spans="1:24" x14ac:dyDescent="0.25">
      <c r="A134" t="s">
        <v>129</v>
      </c>
      <c r="B134">
        <v>3</v>
      </c>
      <c r="C134" t="s">
        <v>7</v>
      </c>
      <c r="D134">
        <v>17536</v>
      </c>
      <c r="E134">
        <v>128</v>
      </c>
      <c r="F134">
        <v>2</v>
      </c>
      <c r="G134">
        <v>8</v>
      </c>
      <c r="H134" s="61">
        <v>347.21</v>
      </c>
      <c r="I134" s="61">
        <v>10.355</v>
      </c>
      <c r="J134" s="16">
        <v>45498</v>
      </c>
      <c r="K134" s="25">
        <v>0.74971064814814814</v>
      </c>
      <c r="L134" s="67">
        <v>0</v>
      </c>
      <c r="M134" s="67">
        <v>0</v>
      </c>
      <c r="N134" s="67">
        <v>0</v>
      </c>
      <c r="O134" s="67">
        <v>0</v>
      </c>
      <c r="P134" s="67">
        <v>0</v>
      </c>
      <c r="Q134" s="67">
        <v>0</v>
      </c>
      <c r="R134" s="67">
        <v>0</v>
      </c>
      <c r="S134" s="67">
        <v>0</v>
      </c>
      <c r="T134" s="67">
        <v>0</v>
      </c>
      <c r="U134" s="67">
        <v>0</v>
      </c>
      <c r="V134" s="68">
        <v>0</v>
      </c>
      <c r="W134" s="67">
        <v>0</v>
      </c>
      <c r="X134" s="86">
        <f>X133</f>
        <v>10.293760000000001</v>
      </c>
    </row>
    <row r="135" spans="1:24" x14ac:dyDescent="0.25">
      <c r="A135" t="s">
        <v>129</v>
      </c>
      <c r="B135">
        <v>4</v>
      </c>
      <c r="C135" t="s">
        <v>7</v>
      </c>
      <c r="D135">
        <v>17536</v>
      </c>
      <c r="E135">
        <v>128</v>
      </c>
      <c r="F135">
        <v>2</v>
      </c>
      <c r="G135">
        <v>8</v>
      </c>
      <c r="H135" s="61">
        <v>350.77</v>
      </c>
      <c r="I135" s="61">
        <v>10.25</v>
      </c>
      <c r="J135" s="16">
        <v>45498</v>
      </c>
      <c r="K135" s="25">
        <v>0.75440972222222225</v>
      </c>
      <c r="L135" s="67">
        <v>0</v>
      </c>
      <c r="M135" s="67">
        <v>0</v>
      </c>
      <c r="N135" s="67">
        <v>0</v>
      </c>
      <c r="O135" s="67">
        <v>0</v>
      </c>
      <c r="P135" s="67">
        <v>0</v>
      </c>
      <c r="Q135" s="67">
        <v>0</v>
      </c>
      <c r="R135" s="67">
        <v>0</v>
      </c>
      <c r="S135" s="67">
        <v>0</v>
      </c>
      <c r="T135" s="67">
        <v>0</v>
      </c>
      <c r="U135" s="67">
        <v>0</v>
      </c>
      <c r="V135" s="68">
        <v>0</v>
      </c>
      <c r="W135" s="67">
        <v>0</v>
      </c>
      <c r="X135" s="86">
        <f>X134</f>
        <v>10.293760000000001</v>
      </c>
    </row>
    <row r="136" spans="1:24" x14ac:dyDescent="0.25">
      <c r="A136" t="s">
        <v>91</v>
      </c>
      <c r="B136">
        <v>0</v>
      </c>
      <c r="C136" t="s">
        <v>7</v>
      </c>
      <c r="D136">
        <v>17536</v>
      </c>
      <c r="E136">
        <v>128</v>
      </c>
      <c r="F136">
        <v>2</v>
      </c>
      <c r="G136">
        <v>8</v>
      </c>
      <c r="H136" s="61">
        <v>347.94</v>
      </c>
      <c r="I136" s="61">
        <v>10.334</v>
      </c>
      <c r="J136" s="16">
        <v>45498</v>
      </c>
      <c r="K136" s="25">
        <v>0.68884259259259262</v>
      </c>
      <c r="L136" s="67">
        <v>0</v>
      </c>
      <c r="M136" s="67">
        <v>0</v>
      </c>
      <c r="N136" s="67">
        <v>0</v>
      </c>
      <c r="O136" s="67">
        <v>0</v>
      </c>
      <c r="P136" s="67">
        <v>0</v>
      </c>
      <c r="Q136" s="67">
        <v>0</v>
      </c>
      <c r="R136" s="67">
        <v>0</v>
      </c>
      <c r="S136" s="67">
        <v>0</v>
      </c>
      <c r="T136" s="67">
        <v>0</v>
      </c>
      <c r="U136" s="70">
        <v>0</v>
      </c>
      <c r="V136" s="67">
        <v>0</v>
      </c>
      <c r="W136" s="67">
        <v>0</v>
      </c>
      <c r="X136" s="86">
        <f>AVERAGE(I136:I140)</f>
        <v>10.272640000000001</v>
      </c>
    </row>
    <row r="137" spans="1:24" x14ac:dyDescent="0.25">
      <c r="A137" t="s">
        <v>91</v>
      </c>
      <c r="B137">
        <v>1</v>
      </c>
      <c r="C137" t="s">
        <v>7</v>
      </c>
      <c r="D137">
        <v>17536</v>
      </c>
      <c r="E137">
        <v>128</v>
      </c>
      <c r="F137">
        <v>2</v>
      </c>
      <c r="G137">
        <v>8</v>
      </c>
      <c r="H137" s="61">
        <v>345.18</v>
      </c>
      <c r="I137" s="61">
        <v>10.416</v>
      </c>
      <c r="J137" s="16">
        <v>45498</v>
      </c>
      <c r="K137" s="25">
        <v>0.69346064814814812</v>
      </c>
      <c r="L137" s="67">
        <v>0</v>
      </c>
      <c r="M137" s="67">
        <v>0</v>
      </c>
      <c r="N137" s="67">
        <v>0</v>
      </c>
      <c r="O137" s="67">
        <v>0</v>
      </c>
      <c r="P137" s="67">
        <v>0</v>
      </c>
      <c r="Q137" s="67">
        <v>0</v>
      </c>
      <c r="R137" s="67">
        <v>0</v>
      </c>
      <c r="S137" s="67">
        <v>0</v>
      </c>
      <c r="T137" s="67">
        <v>0</v>
      </c>
      <c r="U137" s="70">
        <v>0</v>
      </c>
      <c r="V137" s="67">
        <v>0</v>
      </c>
      <c r="W137" s="67">
        <v>0</v>
      </c>
      <c r="X137" s="86">
        <f>X136</f>
        <v>10.272640000000001</v>
      </c>
    </row>
    <row r="138" spans="1:24" x14ac:dyDescent="0.25">
      <c r="A138" t="s">
        <v>91</v>
      </c>
      <c r="B138">
        <v>2</v>
      </c>
      <c r="C138" t="s">
        <v>7</v>
      </c>
      <c r="D138">
        <v>17536</v>
      </c>
      <c r="E138">
        <v>128</v>
      </c>
      <c r="F138">
        <v>2</v>
      </c>
      <c r="G138">
        <v>8</v>
      </c>
      <c r="H138" s="61">
        <v>350.8</v>
      </c>
      <c r="I138" s="61">
        <v>10.249000000000001</v>
      </c>
      <c r="J138" s="16">
        <v>45498</v>
      </c>
      <c r="K138" s="25">
        <v>0.69815972222222222</v>
      </c>
      <c r="L138" s="67">
        <v>0</v>
      </c>
      <c r="M138" s="67">
        <v>0</v>
      </c>
      <c r="N138" s="67">
        <v>0</v>
      </c>
      <c r="O138" s="67">
        <v>0</v>
      </c>
      <c r="P138" s="67">
        <v>0</v>
      </c>
      <c r="Q138" s="67">
        <v>0</v>
      </c>
      <c r="R138" s="67">
        <v>0</v>
      </c>
      <c r="S138" s="67">
        <v>0</v>
      </c>
      <c r="T138" s="67">
        <v>0</v>
      </c>
      <c r="U138" s="70">
        <v>0</v>
      </c>
      <c r="V138" s="67">
        <v>0</v>
      </c>
      <c r="W138" s="67">
        <v>0</v>
      </c>
      <c r="X138" s="86">
        <f>X137</f>
        <v>10.272640000000001</v>
      </c>
    </row>
    <row r="139" spans="1:24" x14ac:dyDescent="0.25">
      <c r="A139" t="s">
        <v>91</v>
      </c>
      <c r="B139">
        <v>3</v>
      </c>
      <c r="C139" t="s">
        <v>7</v>
      </c>
      <c r="D139">
        <v>17536</v>
      </c>
      <c r="E139">
        <v>128</v>
      </c>
      <c r="F139">
        <v>2</v>
      </c>
      <c r="G139">
        <v>8</v>
      </c>
      <c r="H139" s="61">
        <v>360.44</v>
      </c>
      <c r="I139" s="61">
        <v>9.9751999999999992</v>
      </c>
      <c r="J139" s="16">
        <v>45498</v>
      </c>
      <c r="K139" s="25">
        <v>0.70295138888888886</v>
      </c>
      <c r="L139" s="67">
        <v>0</v>
      </c>
      <c r="M139" s="67">
        <v>0</v>
      </c>
      <c r="N139" s="67">
        <v>0</v>
      </c>
      <c r="O139" s="67">
        <v>0</v>
      </c>
      <c r="P139" s="67">
        <v>0</v>
      </c>
      <c r="Q139" s="67">
        <v>0</v>
      </c>
      <c r="R139" s="67">
        <v>0</v>
      </c>
      <c r="S139" s="67">
        <v>0</v>
      </c>
      <c r="T139" s="67">
        <v>0</v>
      </c>
      <c r="U139" s="67">
        <v>0</v>
      </c>
      <c r="V139" s="68">
        <v>0</v>
      </c>
      <c r="W139" s="67">
        <v>0</v>
      </c>
      <c r="X139" s="86">
        <f>X138</f>
        <v>10.272640000000001</v>
      </c>
    </row>
    <row r="140" spans="1:24" x14ac:dyDescent="0.25">
      <c r="A140" t="s">
        <v>91</v>
      </c>
      <c r="B140">
        <v>4</v>
      </c>
      <c r="C140" t="s">
        <v>7</v>
      </c>
      <c r="D140">
        <v>17536</v>
      </c>
      <c r="E140">
        <v>128</v>
      </c>
      <c r="F140">
        <v>2</v>
      </c>
      <c r="G140">
        <v>8</v>
      </c>
      <c r="H140" s="61">
        <v>346.09</v>
      </c>
      <c r="I140" s="61">
        <v>10.388999999999999</v>
      </c>
      <c r="J140" s="16">
        <v>45498</v>
      </c>
      <c r="K140" s="25">
        <v>0.70759259259259255</v>
      </c>
      <c r="L140" s="67">
        <v>0</v>
      </c>
      <c r="M140" s="67">
        <v>0</v>
      </c>
      <c r="N140" s="67">
        <v>0</v>
      </c>
      <c r="O140" s="67">
        <v>0</v>
      </c>
      <c r="P140" s="67">
        <v>0</v>
      </c>
      <c r="Q140" s="67">
        <v>0</v>
      </c>
      <c r="R140" s="67">
        <v>0</v>
      </c>
      <c r="S140" s="67">
        <v>0</v>
      </c>
      <c r="T140" s="67">
        <v>0</v>
      </c>
      <c r="U140" s="67">
        <v>0</v>
      </c>
      <c r="V140" s="68">
        <v>0</v>
      </c>
      <c r="W140" s="67">
        <v>0</v>
      </c>
      <c r="X140" s="86">
        <f>X139</f>
        <v>10.272640000000001</v>
      </c>
    </row>
    <row r="141" spans="1:24" x14ac:dyDescent="0.25">
      <c r="A141" t="s">
        <v>65</v>
      </c>
      <c r="B141">
        <v>0</v>
      </c>
      <c r="C141" t="s">
        <v>7</v>
      </c>
      <c r="D141">
        <v>17536</v>
      </c>
      <c r="E141">
        <v>128</v>
      </c>
      <c r="F141">
        <v>2</v>
      </c>
      <c r="G141">
        <v>8</v>
      </c>
      <c r="H141" s="61">
        <v>348.75</v>
      </c>
      <c r="I141" s="61">
        <v>10.308999999999999</v>
      </c>
      <c r="J141" s="16">
        <v>45498</v>
      </c>
      <c r="K141" s="25">
        <v>0.71225694444444443</v>
      </c>
      <c r="L141" s="67">
        <v>0</v>
      </c>
      <c r="M141" s="67">
        <v>0</v>
      </c>
      <c r="N141" s="67">
        <v>0</v>
      </c>
      <c r="O141" s="67">
        <v>0</v>
      </c>
      <c r="P141" s="67">
        <v>0</v>
      </c>
      <c r="Q141" s="67">
        <v>0</v>
      </c>
      <c r="R141" s="67">
        <v>0</v>
      </c>
      <c r="S141" s="67">
        <v>0</v>
      </c>
      <c r="T141" s="67">
        <v>0</v>
      </c>
      <c r="U141" s="67">
        <v>0</v>
      </c>
      <c r="V141" s="68">
        <v>0</v>
      </c>
      <c r="W141" s="67">
        <v>0</v>
      </c>
      <c r="X141" s="86">
        <f>AVERAGE(I141:I145)</f>
        <v>10.261939999999999</v>
      </c>
    </row>
    <row r="142" spans="1:24" x14ac:dyDescent="0.25">
      <c r="A142" t="s">
        <v>65</v>
      </c>
      <c r="B142">
        <v>1</v>
      </c>
      <c r="C142" t="s">
        <v>7</v>
      </c>
      <c r="D142">
        <v>17536</v>
      </c>
      <c r="E142">
        <v>128</v>
      </c>
      <c r="F142">
        <v>2</v>
      </c>
      <c r="G142">
        <v>8</v>
      </c>
      <c r="H142" s="61">
        <v>359.2</v>
      </c>
      <c r="I142" s="61">
        <v>10.01</v>
      </c>
      <c r="J142" s="16">
        <v>45498</v>
      </c>
      <c r="K142" s="25">
        <v>0.71704861111111107</v>
      </c>
      <c r="L142" s="67">
        <v>0</v>
      </c>
      <c r="M142" s="67">
        <v>0</v>
      </c>
      <c r="N142" s="67">
        <v>0</v>
      </c>
      <c r="O142" s="67">
        <v>0</v>
      </c>
      <c r="P142" s="67">
        <v>0</v>
      </c>
      <c r="Q142" s="67">
        <v>0</v>
      </c>
      <c r="R142" s="67">
        <v>0</v>
      </c>
      <c r="S142" s="67">
        <v>0</v>
      </c>
      <c r="T142" s="67">
        <v>0</v>
      </c>
      <c r="U142" s="67">
        <v>0</v>
      </c>
      <c r="V142" s="68">
        <v>0</v>
      </c>
      <c r="W142" s="67">
        <v>0</v>
      </c>
      <c r="X142" s="86">
        <f>X141</f>
        <v>10.261939999999999</v>
      </c>
    </row>
    <row r="143" spans="1:24" x14ac:dyDescent="0.25">
      <c r="A143" t="s">
        <v>65</v>
      </c>
      <c r="B143">
        <v>2</v>
      </c>
      <c r="C143" t="s">
        <v>7</v>
      </c>
      <c r="D143">
        <v>17536</v>
      </c>
      <c r="E143">
        <v>128</v>
      </c>
      <c r="F143">
        <v>2</v>
      </c>
      <c r="G143">
        <v>8</v>
      </c>
      <c r="H143" s="61">
        <v>338.41</v>
      </c>
      <c r="I143" s="61">
        <v>10.625</v>
      </c>
      <c r="J143" s="16">
        <v>45498</v>
      </c>
      <c r="K143" s="25">
        <v>0.72159722222222222</v>
      </c>
      <c r="L143" s="67">
        <v>0</v>
      </c>
      <c r="M143" s="67">
        <v>0</v>
      </c>
      <c r="N143" s="67">
        <v>0</v>
      </c>
      <c r="O143" s="67">
        <v>0</v>
      </c>
      <c r="P143" s="67">
        <v>0</v>
      </c>
      <c r="Q143" s="67">
        <v>0</v>
      </c>
      <c r="R143" s="67">
        <v>0</v>
      </c>
      <c r="S143" s="67">
        <v>0</v>
      </c>
      <c r="T143" s="67">
        <v>0</v>
      </c>
      <c r="U143" s="67">
        <v>0</v>
      </c>
      <c r="V143" s="68">
        <v>0</v>
      </c>
      <c r="W143" s="67">
        <v>0</v>
      </c>
      <c r="X143" s="86">
        <f>X142</f>
        <v>10.261939999999999</v>
      </c>
    </row>
    <row r="144" spans="1:24" x14ac:dyDescent="0.25">
      <c r="A144" t="s">
        <v>65</v>
      </c>
      <c r="B144">
        <v>3</v>
      </c>
      <c r="C144" t="s">
        <v>7</v>
      </c>
      <c r="D144">
        <v>17536</v>
      </c>
      <c r="E144">
        <v>128</v>
      </c>
      <c r="F144">
        <v>2</v>
      </c>
      <c r="G144">
        <v>8</v>
      </c>
      <c r="H144" s="61">
        <v>359.63</v>
      </c>
      <c r="I144" s="61">
        <v>9.9977</v>
      </c>
      <c r="J144" s="16">
        <v>45498</v>
      </c>
      <c r="K144" s="25">
        <v>0.72638888888888886</v>
      </c>
      <c r="L144" s="67">
        <v>0</v>
      </c>
      <c r="M144" s="67">
        <v>0</v>
      </c>
      <c r="N144" s="67">
        <v>0</v>
      </c>
      <c r="O144" s="67">
        <v>0</v>
      </c>
      <c r="P144" s="67">
        <v>0</v>
      </c>
      <c r="Q144" s="67">
        <v>0</v>
      </c>
      <c r="R144" s="67">
        <v>0</v>
      </c>
      <c r="S144" s="67">
        <v>0</v>
      </c>
      <c r="T144" s="67">
        <v>0</v>
      </c>
      <c r="U144" s="67">
        <v>0</v>
      </c>
      <c r="V144" s="68">
        <v>0</v>
      </c>
      <c r="W144" s="67">
        <v>0</v>
      </c>
      <c r="X144" s="86">
        <f>X143</f>
        <v>10.261939999999999</v>
      </c>
    </row>
    <row r="145" spans="1:24" x14ac:dyDescent="0.25">
      <c r="A145" t="s">
        <v>65</v>
      </c>
      <c r="B145">
        <v>4</v>
      </c>
      <c r="C145" t="s">
        <v>7</v>
      </c>
      <c r="D145">
        <v>17536</v>
      </c>
      <c r="E145">
        <v>128</v>
      </c>
      <c r="F145">
        <v>2</v>
      </c>
      <c r="G145">
        <v>8</v>
      </c>
      <c r="H145" s="61">
        <v>346.8</v>
      </c>
      <c r="I145" s="61">
        <v>10.368</v>
      </c>
      <c r="J145" s="16">
        <v>45498</v>
      </c>
      <c r="K145" s="25">
        <v>0.73103009259259255</v>
      </c>
      <c r="L145" s="67">
        <v>0</v>
      </c>
      <c r="M145" s="67">
        <v>0</v>
      </c>
      <c r="N145" s="67">
        <v>0</v>
      </c>
      <c r="O145" s="67">
        <v>0</v>
      </c>
      <c r="P145" s="67">
        <v>0</v>
      </c>
      <c r="Q145" s="67">
        <v>0</v>
      </c>
      <c r="R145" s="67">
        <v>0</v>
      </c>
      <c r="S145" s="67">
        <v>0</v>
      </c>
      <c r="T145" s="67">
        <v>0</v>
      </c>
      <c r="U145" s="67">
        <v>0</v>
      </c>
      <c r="V145" s="68">
        <v>0</v>
      </c>
      <c r="W145" s="67">
        <v>0</v>
      </c>
      <c r="X145" s="86">
        <f>X144</f>
        <v>10.261939999999999</v>
      </c>
    </row>
    <row r="146" spans="1:24" x14ac:dyDescent="0.25">
      <c r="A146" t="s">
        <v>125</v>
      </c>
      <c r="B146">
        <v>0</v>
      </c>
      <c r="C146" t="s">
        <v>7</v>
      </c>
      <c r="D146">
        <v>17536</v>
      </c>
      <c r="E146">
        <v>128</v>
      </c>
      <c r="F146">
        <v>2</v>
      </c>
      <c r="G146">
        <v>8</v>
      </c>
      <c r="H146" s="61">
        <v>343.2</v>
      </c>
      <c r="I146" s="61">
        <v>10.476000000000001</v>
      </c>
      <c r="J146" s="16">
        <v>45498</v>
      </c>
      <c r="K146" s="25">
        <v>0.61768518518518523</v>
      </c>
      <c r="L146" s="67">
        <v>0</v>
      </c>
      <c r="M146" s="67">
        <v>0</v>
      </c>
      <c r="N146" s="67">
        <v>0</v>
      </c>
      <c r="O146" s="67">
        <v>0</v>
      </c>
      <c r="P146" s="67">
        <v>0</v>
      </c>
      <c r="Q146" s="67">
        <v>0</v>
      </c>
      <c r="R146" s="67">
        <v>0</v>
      </c>
      <c r="S146" s="67">
        <v>0</v>
      </c>
      <c r="T146" s="67">
        <v>0</v>
      </c>
      <c r="U146" s="70">
        <v>0</v>
      </c>
      <c r="V146" s="67">
        <v>0</v>
      </c>
      <c r="W146" s="67">
        <v>0</v>
      </c>
      <c r="X146" s="86">
        <f>AVERAGE(I146:I150)</f>
        <v>10.208220000000001</v>
      </c>
    </row>
    <row r="147" spans="1:24" x14ac:dyDescent="0.25">
      <c r="A147" t="s">
        <v>125</v>
      </c>
      <c r="B147">
        <v>1</v>
      </c>
      <c r="C147" t="s">
        <v>7</v>
      </c>
      <c r="D147">
        <v>17536</v>
      </c>
      <c r="E147">
        <v>128</v>
      </c>
      <c r="F147">
        <v>2</v>
      </c>
      <c r="G147">
        <v>8</v>
      </c>
      <c r="H147" s="61">
        <v>351.73</v>
      </c>
      <c r="I147" s="61">
        <v>10.222</v>
      </c>
      <c r="J147" s="16">
        <v>45498</v>
      </c>
      <c r="K147" s="25">
        <v>0.62238425925925922</v>
      </c>
      <c r="L147" s="67">
        <v>0</v>
      </c>
      <c r="M147" s="67">
        <v>0</v>
      </c>
      <c r="N147" s="67">
        <v>0</v>
      </c>
      <c r="O147" s="67">
        <v>0</v>
      </c>
      <c r="P147" s="67">
        <v>0</v>
      </c>
      <c r="Q147" s="67">
        <v>0</v>
      </c>
      <c r="R147" s="67">
        <v>0</v>
      </c>
      <c r="S147" s="67">
        <v>0</v>
      </c>
      <c r="T147" s="67">
        <v>0</v>
      </c>
      <c r="U147" s="70">
        <v>0</v>
      </c>
      <c r="V147" s="67">
        <v>0</v>
      </c>
      <c r="W147" s="67">
        <v>0</v>
      </c>
      <c r="X147" s="86">
        <f>X146</f>
        <v>10.208220000000001</v>
      </c>
    </row>
    <row r="148" spans="1:24" x14ac:dyDescent="0.25">
      <c r="A148" t="s">
        <v>125</v>
      </c>
      <c r="B148">
        <v>2</v>
      </c>
      <c r="C148" t="s">
        <v>7</v>
      </c>
      <c r="D148">
        <v>17536</v>
      </c>
      <c r="E148">
        <v>128</v>
      </c>
      <c r="F148">
        <v>2</v>
      </c>
      <c r="G148">
        <v>8</v>
      </c>
      <c r="H148" s="61">
        <v>348.12</v>
      </c>
      <c r="I148" s="61">
        <v>10.327999999999999</v>
      </c>
      <c r="J148" s="16">
        <v>45498</v>
      </c>
      <c r="K148" s="25">
        <v>0.62703703703703706</v>
      </c>
      <c r="L148" s="67">
        <v>0</v>
      </c>
      <c r="M148" s="67">
        <v>0</v>
      </c>
      <c r="N148" s="67">
        <v>0</v>
      </c>
      <c r="O148" s="67">
        <v>0</v>
      </c>
      <c r="P148" s="67">
        <v>0</v>
      </c>
      <c r="Q148" s="67">
        <v>0</v>
      </c>
      <c r="R148" s="67">
        <v>0</v>
      </c>
      <c r="S148" s="67">
        <v>0</v>
      </c>
      <c r="T148" s="67">
        <v>0</v>
      </c>
      <c r="U148" s="70">
        <v>0</v>
      </c>
      <c r="V148" s="67">
        <v>0</v>
      </c>
      <c r="W148" s="67">
        <v>0</v>
      </c>
      <c r="X148" s="86">
        <f>X147</f>
        <v>10.208220000000001</v>
      </c>
    </row>
    <row r="149" spans="1:24" x14ac:dyDescent="0.25">
      <c r="A149" t="s">
        <v>125</v>
      </c>
      <c r="B149">
        <v>3</v>
      </c>
      <c r="C149" t="s">
        <v>7</v>
      </c>
      <c r="D149">
        <v>17536</v>
      </c>
      <c r="E149">
        <v>128</v>
      </c>
      <c r="F149">
        <v>2</v>
      </c>
      <c r="G149">
        <v>8</v>
      </c>
      <c r="H149" s="61">
        <v>360.66</v>
      </c>
      <c r="I149" s="61">
        <v>9.9690999999999992</v>
      </c>
      <c r="J149" s="16">
        <v>45498</v>
      </c>
      <c r="K149" s="25">
        <v>0.63185185185185189</v>
      </c>
      <c r="L149" s="67">
        <v>0</v>
      </c>
      <c r="M149" s="67">
        <v>0</v>
      </c>
      <c r="N149" s="67">
        <v>0</v>
      </c>
      <c r="O149" s="67">
        <v>0</v>
      </c>
      <c r="P149" s="67">
        <v>0</v>
      </c>
      <c r="Q149" s="67">
        <v>0</v>
      </c>
      <c r="R149" s="67">
        <v>0</v>
      </c>
      <c r="S149" s="67">
        <v>0</v>
      </c>
      <c r="T149" s="67">
        <v>0</v>
      </c>
      <c r="U149" s="70">
        <v>0</v>
      </c>
      <c r="V149" s="67">
        <v>0</v>
      </c>
      <c r="W149" s="67">
        <v>0</v>
      </c>
      <c r="X149" s="86">
        <f>X148</f>
        <v>10.208220000000001</v>
      </c>
    </row>
    <row r="150" spans="1:24" x14ac:dyDescent="0.25">
      <c r="A150" t="s">
        <v>125</v>
      </c>
      <c r="B150">
        <v>4</v>
      </c>
      <c r="C150" t="s">
        <v>7</v>
      </c>
      <c r="D150">
        <v>17536</v>
      </c>
      <c r="E150">
        <v>128</v>
      </c>
      <c r="F150">
        <v>2</v>
      </c>
      <c r="G150">
        <v>8</v>
      </c>
      <c r="H150" s="61">
        <v>357.9</v>
      </c>
      <c r="I150" s="61">
        <v>10.045999999999999</v>
      </c>
      <c r="J150" s="16">
        <v>45498</v>
      </c>
      <c r="K150" s="25">
        <v>0.63662037037037034</v>
      </c>
      <c r="L150" s="67">
        <v>0</v>
      </c>
      <c r="M150" s="67">
        <v>0</v>
      </c>
      <c r="N150" s="67">
        <v>0</v>
      </c>
      <c r="O150" s="67">
        <v>0</v>
      </c>
      <c r="P150" s="67">
        <v>0</v>
      </c>
      <c r="Q150" s="67">
        <v>0</v>
      </c>
      <c r="R150" s="67">
        <v>0</v>
      </c>
      <c r="S150" s="67">
        <v>0</v>
      </c>
      <c r="T150" s="67">
        <v>0</v>
      </c>
      <c r="U150" s="70">
        <v>0</v>
      </c>
      <c r="V150" s="67">
        <v>0</v>
      </c>
      <c r="W150" s="67">
        <v>0</v>
      </c>
      <c r="X150" s="86">
        <f>X149</f>
        <v>10.208220000000001</v>
      </c>
    </row>
    <row r="151" spans="1:24" x14ac:dyDescent="0.25">
      <c r="A151" t="s">
        <v>55</v>
      </c>
      <c r="B151">
        <v>0</v>
      </c>
      <c r="C151" t="s">
        <v>7</v>
      </c>
      <c r="D151">
        <v>17536</v>
      </c>
      <c r="E151">
        <v>128</v>
      </c>
      <c r="F151">
        <v>2</v>
      </c>
      <c r="G151">
        <v>8</v>
      </c>
      <c r="H151" s="61">
        <v>357.15</v>
      </c>
      <c r="I151" s="61">
        <v>10.067</v>
      </c>
      <c r="J151" s="16">
        <v>45492</v>
      </c>
      <c r="K151" s="25">
        <v>0.62763888888888886</v>
      </c>
      <c r="L151" s="67">
        <v>0</v>
      </c>
      <c r="M151" s="67">
        <v>0</v>
      </c>
      <c r="N151" s="67">
        <v>0</v>
      </c>
      <c r="O151" s="67">
        <v>0</v>
      </c>
      <c r="P151" s="67">
        <v>0</v>
      </c>
      <c r="Q151" s="67">
        <v>0</v>
      </c>
      <c r="R151" s="67">
        <v>0</v>
      </c>
      <c r="S151" s="67">
        <v>0</v>
      </c>
      <c r="T151" s="67">
        <v>0</v>
      </c>
      <c r="U151" s="70">
        <v>0</v>
      </c>
      <c r="V151" s="67">
        <v>0</v>
      </c>
      <c r="W151" s="67">
        <v>0</v>
      </c>
      <c r="X151" s="86">
        <f>AVERAGE(I151:I155)</f>
        <v>10.207179999999999</v>
      </c>
    </row>
    <row r="152" spans="1:24" x14ac:dyDescent="0.25">
      <c r="A152" t="s">
        <v>55</v>
      </c>
      <c r="B152">
        <v>1</v>
      </c>
      <c r="C152" t="s">
        <v>7</v>
      </c>
      <c r="D152">
        <v>17536</v>
      </c>
      <c r="E152">
        <v>128</v>
      </c>
      <c r="F152">
        <v>2</v>
      </c>
      <c r="G152">
        <v>8</v>
      </c>
      <c r="H152" s="61">
        <v>344.44</v>
      </c>
      <c r="I152" s="61">
        <v>10.439</v>
      </c>
      <c r="J152" s="16">
        <v>45492</v>
      </c>
      <c r="K152" s="25">
        <v>0.63225694444444447</v>
      </c>
      <c r="L152" s="67">
        <v>0</v>
      </c>
      <c r="M152" s="67">
        <v>0</v>
      </c>
      <c r="N152" s="67">
        <v>0</v>
      </c>
      <c r="O152" s="67">
        <v>0</v>
      </c>
      <c r="P152" s="67">
        <v>0</v>
      </c>
      <c r="Q152" s="67">
        <v>0</v>
      </c>
      <c r="R152" s="67">
        <v>0</v>
      </c>
      <c r="S152" s="67">
        <v>0</v>
      </c>
      <c r="T152" s="67">
        <v>0</v>
      </c>
      <c r="U152" s="70">
        <v>0</v>
      </c>
      <c r="V152" s="67">
        <v>0</v>
      </c>
      <c r="W152" s="67">
        <v>0</v>
      </c>
      <c r="X152" s="86">
        <f>X151</f>
        <v>10.207179999999999</v>
      </c>
    </row>
    <row r="153" spans="1:24" x14ac:dyDescent="0.25">
      <c r="A153" t="s">
        <v>55</v>
      </c>
      <c r="B153">
        <v>2</v>
      </c>
      <c r="C153" t="s">
        <v>7</v>
      </c>
      <c r="D153">
        <v>17536</v>
      </c>
      <c r="E153">
        <v>128</v>
      </c>
      <c r="F153">
        <v>2</v>
      </c>
      <c r="G153">
        <v>8</v>
      </c>
      <c r="H153" s="61">
        <v>359.73</v>
      </c>
      <c r="I153" s="61">
        <v>9.9948999999999995</v>
      </c>
      <c r="J153" s="16">
        <v>45492</v>
      </c>
      <c r="K153" s="25">
        <v>0.63704861111111111</v>
      </c>
      <c r="L153" s="67">
        <v>0</v>
      </c>
      <c r="M153" s="67">
        <v>0</v>
      </c>
      <c r="N153" s="67">
        <v>0</v>
      </c>
      <c r="O153" s="67">
        <v>0</v>
      </c>
      <c r="P153" s="67">
        <v>0</v>
      </c>
      <c r="Q153" s="67">
        <v>0</v>
      </c>
      <c r="R153" s="67">
        <v>0</v>
      </c>
      <c r="S153" s="67">
        <v>0</v>
      </c>
      <c r="T153" s="67">
        <v>0</v>
      </c>
      <c r="U153" s="70">
        <v>0</v>
      </c>
      <c r="V153" s="67">
        <v>0</v>
      </c>
      <c r="W153" s="67">
        <v>0</v>
      </c>
      <c r="X153" s="86">
        <f>X152</f>
        <v>10.207179999999999</v>
      </c>
    </row>
    <row r="154" spans="1:24" x14ac:dyDescent="0.25">
      <c r="A154" t="s">
        <v>55</v>
      </c>
      <c r="B154">
        <v>3</v>
      </c>
      <c r="C154" t="s">
        <v>7</v>
      </c>
      <c r="D154">
        <v>17536</v>
      </c>
      <c r="E154">
        <v>128</v>
      </c>
      <c r="F154">
        <v>2</v>
      </c>
      <c r="G154">
        <v>8</v>
      </c>
      <c r="H154" s="61">
        <v>350.28</v>
      </c>
      <c r="I154" s="61">
        <v>10.265000000000001</v>
      </c>
      <c r="J154" s="16">
        <v>45492</v>
      </c>
      <c r="K154" s="25">
        <v>0.64173611111111106</v>
      </c>
      <c r="L154" s="67">
        <v>0</v>
      </c>
      <c r="M154" s="67">
        <v>0</v>
      </c>
      <c r="N154" s="67">
        <v>0</v>
      </c>
      <c r="O154" s="67">
        <v>0</v>
      </c>
      <c r="P154" s="67">
        <v>0</v>
      </c>
      <c r="Q154" s="67">
        <v>0</v>
      </c>
      <c r="R154" s="67">
        <v>0</v>
      </c>
      <c r="S154" s="67">
        <v>0</v>
      </c>
      <c r="T154" s="67">
        <v>0</v>
      </c>
      <c r="U154" s="70">
        <v>0</v>
      </c>
      <c r="V154" s="67">
        <v>0</v>
      </c>
      <c r="W154" s="67">
        <v>0</v>
      </c>
      <c r="X154" s="86">
        <f>X153</f>
        <v>10.207179999999999</v>
      </c>
    </row>
    <row r="155" spans="1:24" x14ac:dyDescent="0.25">
      <c r="A155" t="s">
        <v>55</v>
      </c>
      <c r="B155">
        <v>4</v>
      </c>
      <c r="C155" t="s">
        <v>7</v>
      </c>
      <c r="D155">
        <v>17536</v>
      </c>
      <c r="E155">
        <v>128</v>
      </c>
      <c r="F155">
        <v>2</v>
      </c>
      <c r="G155">
        <v>8</v>
      </c>
      <c r="H155" s="61">
        <v>350.11</v>
      </c>
      <c r="I155" s="61">
        <v>10.27</v>
      </c>
      <c r="J155" s="16">
        <v>45492</v>
      </c>
      <c r="K155" s="25">
        <v>0.64641203703703709</v>
      </c>
      <c r="L155" s="67">
        <v>0</v>
      </c>
      <c r="M155" s="67">
        <v>0</v>
      </c>
      <c r="N155" s="67">
        <v>0</v>
      </c>
      <c r="O155" s="67">
        <v>0</v>
      </c>
      <c r="P155" s="67">
        <v>0</v>
      </c>
      <c r="Q155" s="67">
        <v>0</v>
      </c>
      <c r="R155" s="67">
        <v>0</v>
      </c>
      <c r="S155" s="67">
        <v>0</v>
      </c>
      <c r="T155" s="67">
        <v>0</v>
      </c>
      <c r="U155" s="70">
        <v>0</v>
      </c>
      <c r="V155" s="67">
        <v>0</v>
      </c>
      <c r="W155" s="67">
        <v>0</v>
      </c>
      <c r="X155" s="86">
        <f>X154</f>
        <v>10.207179999999999</v>
      </c>
    </row>
    <row r="156" spans="1:24" x14ac:dyDescent="0.25">
      <c r="A156" t="s">
        <v>88</v>
      </c>
      <c r="B156">
        <v>0</v>
      </c>
      <c r="C156" t="s">
        <v>7</v>
      </c>
      <c r="D156">
        <v>17536</v>
      </c>
      <c r="E156">
        <v>128</v>
      </c>
      <c r="F156">
        <v>2</v>
      </c>
      <c r="G156">
        <v>8</v>
      </c>
      <c r="H156" s="61">
        <v>365.59</v>
      </c>
      <c r="I156" s="61">
        <v>9.8346999999999998</v>
      </c>
      <c r="J156" s="16">
        <v>45498</v>
      </c>
      <c r="K156" s="25">
        <v>0.64148148148148143</v>
      </c>
      <c r="L156" s="67">
        <v>0</v>
      </c>
      <c r="M156" s="67">
        <v>0</v>
      </c>
      <c r="N156" s="67">
        <v>0</v>
      </c>
      <c r="O156" s="67">
        <v>0</v>
      </c>
      <c r="P156" s="67">
        <v>0</v>
      </c>
      <c r="Q156" s="67">
        <v>0</v>
      </c>
      <c r="R156" s="67">
        <v>0</v>
      </c>
      <c r="S156" s="67">
        <v>0</v>
      </c>
      <c r="T156" s="67">
        <v>0</v>
      </c>
      <c r="U156" s="70">
        <v>0</v>
      </c>
      <c r="V156" s="67">
        <v>0</v>
      </c>
      <c r="W156" s="67">
        <v>0</v>
      </c>
      <c r="X156" s="86">
        <f>AVERAGE(I156:I160)</f>
        <v>10.144960000000001</v>
      </c>
    </row>
    <row r="157" spans="1:24" x14ac:dyDescent="0.25">
      <c r="A157" t="s">
        <v>88</v>
      </c>
      <c r="B157">
        <v>1</v>
      </c>
      <c r="C157" t="s">
        <v>7</v>
      </c>
      <c r="D157">
        <v>17536</v>
      </c>
      <c r="E157">
        <v>128</v>
      </c>
      <c r="F157">
        <v>2</v>
      </c>
      <c r="G157">
        <v>8</v>
      </c>
      <c r="H157" s="61">
        <v>347.43</v>
      </c>
      <c r="I157" s="61">
        <v>10.349</v>
      </c>
      <c r="J157" s="16">
        <v>45498</v>
      </c>
      <c r="K157" s="25">
        <v>0.64613425925925927</v>
      </c>
      <c r="L157" s="67">
        <v>0</v>
      </c>
      <c r="M157" s="67">
        <v>0</v>
      </c>
      <c r="N157" s="67">
        <v>0</v>
      </c>
      <c r="O157" s="67">
        <v>0</v>
      </c>
      <c r="P157" s="67">
        <v>0</v>
      </c>
      <c r="Q157" s="67">
        <v>0</v>
      </c>
      <c r="R157" s="67">
        <v>0</v>
      </c>
      <c r="S157" s="67">
        <v>0</v>
      </c>
      <c r="T157" s="67">
        <v>0</v>
      </c>
      <c r="U157" s="70">
        <v>0</v>
      </c>
      <c r="V157" s="67">
        <v>0</v>
      </c>
      <c r="W157" s="67">
        <v>0</v>
      </c>
      <c r="X157" s="86">
        <f>X156</f>
        <v>10.144960000000001</v>
      </c>
    </row>
    <row r="158" spans="1:24" x14ac:dyDescent="0.25">
      <c r="A158" t="s">
        <v>88</v>
      </c>
      <c r="B158">
        <v>2</v>
      </c>
      <c r="C158" t="s">
        <v>7</v>
      </c>
      <c r="D158">
        <v>17536</v>
      </c>
      <c r="E158">
        <v>128</v>
      </c>
      <c r="F158">
        <v>2</v>
      </c>
      <c r="G158">
        <v>8</v>
      </c>
      <c r="H158" s="61">
        <v>346.82</v>
      </c>
      <c r="I158" s="61">
        <v>10.367000000000001</v>
      </c>
      <c r="J158" s="16">
        <v>45498</v>
      </c>
      <c r="K158" s="25">
        <v>0.65077546296296296</v>
      </c>
      <c r="L158" s="67">
        <v>0</v>
      </c>
      <c r="M158" s="67">
        <v>0</v>
      </c>
      <c r="N158" s="67">
        <v>0</v>
      </c>
      <c r="O158" s="67">
        <v>0</v>
      </c>
      <c r="P158" s="67">
        <v>0</v>
      </c>
      <c r="Q158" s="67">
        <v>0</v>
      </c>
      <c r="R158" s="67">
        <v>0</v>
      </c>
      <c r="S158" s="67">
        <v>0</v>
      </c>
      <c r="T158" s="67">
        <v>0</v>
      </c>
      <c r="U158" s="70">
        <v>0</v>
      </c>
      <c r="V158" s="67">
        <v>0</v>
      </c>
      <c r="W158" s="67">
        <v>0</v>
      </c>
      <c r="X158" s="86">
        <f>X157</f>
        <v>10.144960000000001</v>
      </c>
    </row>
    <row r="159" spans="1:24" x14ac:dyDescent="0.25">
      <c r="A159" t="s">
        <v>88</v>
      </c>
      <c r="B159">
        <v>3</v>
      </c>
      <c r="C159" t="s">
        <v>7</v>
      </c>
      <c r="D159">
        <v>17536</v>
      </c>
      <c r="E159">
        <v>128</v>
      </c>
      <c r="F159">
        <v>2</v>
      </c>
      <c r="G159">
        <v>8</v>
      </c>
      <c r="H159" s="61">
        <v>364.02</v>
      </c>
      <c r="I159" s="61">
        <v>9.8771000000000004</v>
      </c>
      <c r="J159" s="16">
        <v>45498</v>
      </c>
      <c r="K159" s="25">
        <v>0.65561342592592597</v>
      </c>
      <c r="L159" s="67">
        <v>0</v>
      </c>
      <c r="M159" s="67">
        <v>0</v>
      </c>
      <c r="N159" s="67">
        <v>0</v>
      </c>
      <c r="O159" s="67">
        <v>0</v>
      </c>
      <c r="P159" s="67">
        <v>0</v>
      </c>
      <c r="Q159" s="67">
        <v>0</v>
      </c>
      <c r="R159" s="67">
        <v>0</v>
      </c>
      <c r="S159" s="67">
        <v>0</v>
      </c>
      <c r="T159" s="67">
        <v>0</v>
      </c>
      <c r="U159" s="70">
        <v>0</v>
      </c>
      <c r="V159" s="67">
        <v>0</v>
      </c>
      <c r="W159" s="67">
        <v>0</v>
      </c>
      <c r="X159" s="86">
        <f>X158</f>
        <v>10.144960000000001</v>
      </c>
    </row>
    <row r="160" spans="1:24" x14ac:dyDescent="0.25">
      <c r="A160" t="s">
        <v>88</v>
      </c>
      <c r="B160">
        <v>4</v>
      </c>
      <c r="C160" t="s">
        <v>7</v>
      </c>
      <c r="D160">
        <v>17536</v>
      </c>
      <c r="E160">
        <v>128</v>
      </c>
      <c r="F160">
        <v>2</v>
      </c>
      <c r="G160">
        <v>8</v>
      </c>
      <c r="H160" s="61">
        <v>349.19</v>
      </c>
      <c r="I160" s="61">
        <v>10.297000000000001</v>
      </c>
      <c r="J160" s="16">
        <v>45498</v>
      </c>
      <c r="K160" s="25">
        <v>0.66028935185185189</v>
      </c>
      <c r="L160" s="67">
        <v>0</v>
      </c>
      <c r="M160" s="67">
        <v>0</v>
      </c>
      <c r="N160" s="67">
        <v>0</v>
      </c>
      <c r="O160" s="67">
        <v>0</v>
      </c>
      <c r="P160" s="67">
        <v>0</v>
      </c>
      <c r="Q160" s="67">
        <v>0</v>
      </c>
      <c r="R160" s="67">
        <v>0</v>
      </c>
      <c r="S160" s="67">
        <v>0</v>
      </c>
      <c r="T160" s="67">
        <v>0</v>
      </c>
      <c r="U160" s="70">
        <v>0</v>
      </c>
      <c r="V160" s="67">
        <v>0</v>
      </c>
      <c r="W160" s="67">
        <v>0</v>
      </c>
      <c r="X160" s="86">
        <f>X159</f>
        <v>10.144960000000001</v>
      </c>
    </row>
    <row r="161" spans="1:25" x14ac:dyDescent="0.25">
      <c r="A161" t="s">
        <v>130</v>
      </c>
      <c r="B161">
        <v>0</v>
      </c>
      <c r="C161" t="s">
        <v>7</v>
      </c>
      <c r="D161">
        <v>17536</v>
      </c>
      <c r="E161">
        <v>128</v>
      </c>
      <c r="F161">
        <v>2</v>
      </c>
      <c r="G161">
        <v>8</v>
      </c>
      <c r="H161" s="61">
        <v>353.63</v>
      </c>
      <c r="I161" s="61">
        <v>10.167</v>
      </c>
      <c r="J161" s="16">
        <v>45498</v>
      </c>
      <c r="K161" s="25">
        <v>0.66501157407407407</v>
      </c>
      <c r="L161" s="67">
        <v>0</v>
      </c>
      <c r="M161" s="67">
        <v>0</v>
      </c>
      <c r="N161" s="67">
        <v>0</v>
      </c>
      <c r="O161" s="67">
        <v>0</v>
      </c>
      <c r="P161" s="67">
        <v>0</v>
      </c>
      <c r="Q161" s="67">
        <v>0</v>
      </c>
      <c r="R161" s="67">
        <v>0</v>
      </c>
      <c r="S161" s="67">
        <v>0</v>
      </c>
      <c r="T161" s="67">
        <v>0</v>
      </c>
      <c r="U161" s="70">
        <v>0</v>
      </c>
      <c r="V161" s="67">
        <v>0</v>
      </c>
      <c r="W161" s="67">
        <v>0</v>
      </c>
      <c r="X161" s="86">
        <f>AVERAGE(I161:I165)</f>
        <v>10.031000000000001</v>
      </c>
    </row>
    <row r="162" spans="1:25" x14ac:dyDescent="0.25">
      <c r="A162" t="s">
        <v>130</v>
      </c>
      <c r="B162">
        <v>1</v>
      </c>
      <c r="C162" t="s">
        <v>7</v>
      </c>
      <c r="D162">
        <v>17536</v>
      </c>
      <c r="E162">
        <v>128</v>
      </c>
      <c r="F162">
        <v>2</v>
      </c>
      <c r="G162">
        <v>8</v>
      </c>
      <c r="H162" s="61">
        <v>354.49</v>
      </c>
      <c r="I162" s="61">
        <v>10.143000000000001</v>
      </c>
      <c r="J162" s="16">
        <v>45498</v>
      </c>
      <c r="K162" s="25">
        <v>0.66974537037037041</v>
      </c>
      <c r="L162" s="67">
        <v>0</v>
      </c>
      <c r="M162" s="67">
        <v>0</v>
      </c>
      <c r="N162" s="67">
        <v>0</v>
      </c>
      <c r="O162" s="67">
        <v>0</v>
      </c>
      <c r="P162" s="67">
        <v>0</v>
      </c>
      <c r="Q162" s="67">
        <v>0</v>
      </c>
      <c r="R162" s="67">
        <v>0</v>
      </c>
      <c r="S162" s="67">
        <v>0</v>
      </c>
      <c r="T162" s="67">
        <v>0</v>
      </c>
      <c r="U162" s="70">
        <v>0</v>
      </c>
      <c r="V162" s="67">
        <v>0</v>
      </c>
      <c r="W162" s="67">
        <v>0</v>
      </c>
      <c r="X162" s="86">
        <f>X161</f>
        <v>10.031000000000001</v>
      </c>
    </row>
    <row r="163" spans="1:25" x14ac:dyDescent="0.25">
      <c r="A163" t="s">
        <v>130</v>
      </c>
      <c r="B163">
        <v>2</v>
      </c>
      <c r="C163" t="s">
        <v>7</v>
      </c>
      <c r="D163">
        <v>17536</v>
      </c>
      <c r="E163">
        <v>128</v>
      </c>
      <c r="F163">
        <v>2</v>
      </c>
      <c r="G163">
        <v>8</v>
      </c>
      <c r="H163" s="61">
        <v>359.23</v>
      </c>
      <c r="I163" s="61">
        <v>10.009</v>
      </c>
      <c r="J163" s="16">
        <v>45498</v>
      </c>
      <c r="K163" s="25">
        <v>0.67453703703703705</v>
      </c>
      <c r="L163" s="67">
        <v>0</v>
      </c>
      <c r="M163" s="67">
        <v>0</v>
      </c>
      <c r="N163" s="67">
        <v>0</v>
      </c>
      <c r="O163" s="67">
        <v>0</v>
      </c>
      <c r="P163" s="67">
        <v>0</v>
      </c>
      <c r="Q163" s="67">
        <v>0</v>
      </c>
      <c r="R163" s="67">
        <v>0</v>
      </c>
      <c r="S163" s="67">
        <v>0</v>
      </c>
      <c r="T163" s="67">
        <v>0</v>
      </c>
      <c r="U163" s="70">
        <v>0</v>
      </c>
      <c r="V163" s="67">
        <v>0</v>
      </c>
      <c r="W163" s="67">
        <v>0</v>
      </c>
      <c r="X163" s="86">
        <f>X162</f>
        <v>10.031000000000001</v>
      </c>
    </row>
    <row r="164" spans="1:25" x14ac:dyDescent="0.25">
      <c r="A164" t="s">
        <v>130</v>
      </c>
      <c r="B164">
        <v>3</v>
      </c>
      <c r="C164" t="s">
        <v>7</v>
      </c>
      <c r="D164">
        <v>17536</v>
      </c>
      <c r="E164">
        <v>128</v>
      </c>
      <c r="F164">
        <v>2</v>
      </c>
      <c r="G164">
        <v>8</v>
      </c>
      <c r="H164" s="61">
        <v>367.9</v>
      </c>
      <c r="I164" s="61">
        <v>9.7729999999999997</v>
      </c>
      <c r="J164" s="16">
        <v>45498</v>
      </c>
      <c r="K164" s="25">
        <v>0.67942129629629633</v>
      </c>
      <c r="L164" s="67">
        <v>0</v>
      </c>
      <c r="M164" s="67">
        <v>0</v>
      </c>
      <c r="N164" s="67">
        <v>0</v>
      </c>
      <c r="O164" s="67">
        <v>0</v>
      </c>
      <c r="P164" s="67">
        <v>0</v>
      </c>
      <c r="Q164" s="67">
        <v>0</v>
      </c>
      <c r="R164" s="67">
        <v>0</v>
      </c>
      <c r="S164" s="67">
        <v>0</v>
      </c>
      <c r="T164" s="67">
        <v>0</v>
      </c>
      <c r="U164" s="70">
        <v>0</v>
      </c>
      <c r="V164" s="67">
        <v>0</v>
      </c>
      <c r="W164" s="67">
        <v>0</v>
      </c>
      <c r="X164" s="86">
        <f>X163</f>
        <v>10.031000000000001</v>
      </c>
    </row>
    <row r="165" spans="1:25" x14ac:dyDescent="0.25">
      <c r="A165" t="s">
        <v>130</v>
      </c>
      <c r="B165">
        <v>4</v>
      </c>
      <c r="C165" t="s">
        <v>7</v>
      </c>
      <c r="D165">
        <v>17536</v>
      </c>
      <c r="E165">
        <v>128</v>
      </c>
      <c r="F165">
        <v>2</v>
      </c>
      <c r="G165">
        <v>8</v>
      </c>
      <c r="H165" s="61">
        <v>357.31</v>
      </c>
      <c r="I165" s="61">
        <v>10.063000000000001</v>
      </c>
      <c r="J165" s="16">
        <v>45498</v>
      </c>
      <c r="K165" s="25">
        <v>0.68417824074074074</v>
      </c>
      <c r="L165" s="67">
        <v>0</v>
      </c>
      <c r="M165" s="67">
        <v>0</v>
      </c>
      <c r="N165" s="67">
        <v>0</v>
      </c>
      <c r="O165" s="67">
        <v>0</v>
      </c>
      <c r="P165" s="67">
        <v>0</v>
      </c>
      <c r="Q165" s="67">
        <v>0</v>
      </c>
      <c r="R165" s="67">
        <v>0</v>
      </c>
      <c r="S165" s="67">
        <v>0</v>
      </c>
      <c r="T165" s="67">
        <v>0</v>
      </c>
      <c r="U165" s="70">
        <v>0</v>
      </c>
      <c r="V165" s="67">
        <v>0</v>
      </c>
      <c r="W165" s="67">
        <v>0</v>
      </c>
      <c r="X165" s="86">
        <f>X164</f>
        <v>10.031000000000001</v>
      </c>
    </row>
    <row r="172" spans="1:25" x14ac:dyDescent="0.25">
      <c r="A172" t="s">
        <v>111</v>
      </c>
      <c r="B172">
        <v>0</v>
      </c>
      <c r="C172" t="s">
        <v>7</v>
      </c>
      <c r="D172">
        <v>19584</v>
      </c>
      <c r="E172">
        <v>64</v>
      </c>
      <c r="F172">
        <v>2</v>
      </c>
      <c r="G172">
        <v>8</v>
      </c>
      <c r="H172">
        <v>422.13</v>
      </c>
      <c r="I172" s="61">
        <v>11.864000000000001</v>
      </c>
      <c r="J172" s="16">
        <v>45538</v>
      </c>
      <c r="K172" s="25">
        <v>0.6047569444444445</v>
      </c>
      <c r="L172" s="25">
        <v>0</v>
      </c>
      <c r="M172" s="20">
        <v>0</v>
      </c>
      <c r="N172" s="20">
        <v>0</v>
      </c>
      <c r="O172" s="20">
        <v>0</v>
      </c>
      <c r="P172" s="20">
        <v>0</v>
      </c>
      <c r="Q172" s="20">
        <v>0</v>
      </c>
      <c r="R172" s="20">
        <v>0</v>
      </c>
      <c r="S172" s="20">
        <v>0</v>
      </c>
      <c r="T172" s="20">
        <v>0</v>
      </c>
      <c r="U172" s="20">
        <v>0</v>
      </c>
      <c r="V172" s="20">
        <v>0</v>
      </c>
      <c r="W172" s="20">
        <v>0</v>
      </c>
      <c r="X172" s="88">
        <f>AVERAGE(I172:I176)</f>
        <v>11.651199999999999</v>
      </c>
      <c r="Y172" s="85"/>
    </row>
    <row r="173" spans="1:25" x14ac:dyDescent="0.25">
      <c r="A173" t="s">
        <v>111</v>
      </c>
      <c r="B173">
        <v>1</v>
      </c>
      <c r="C173" t="s">
        <v>7</v>
      </c>
      <c r="D173">
        <v>19584</v>
      </c>
      <c r="E173">
        <v>64</v>
      </c>
      <c r="F173">
        <v>2</v>
      </c>
      <c r="G173">
        <v>8</v>
      </c>
      <c r="H173">
        <v>432.16</v>
      </c>
      <c r="I173" s="61">
        <v>11.587999999999999</v>
      </c>
      <c r="J173" s="16">
        <v>45538</v>
      </c>
      <c r="K173" s="25">
        <v>0.84619212962962964</v>
      </c>
      <c r="L173" s="25">
        <v>0</v>
      </c>
      <c r="M173" s="20">
        <v>0</v>
      </c>
      <c r="N173" s="20">
        <v>0</v>
      </c>
      <c r="O173" s="20">
        <v>0</v>
      </c>
      <c r="P173" s="20">
        <v>0</v>
      </c>
      <c r="Q173" s="20">
        <v>0</v>
      </c>
      <c r="R173" s="20">
        <v>0</v>
      </c>
      <c r="S173" s="20">
        <v>0</v>
      </c>
      <c r="T173" s="20">
        <v>0</v>
      </c>
      <c r="U173" s="20">
        <v>0</v>
      </c>
      <c r="V173" s="20">
        <v>0</v>
      </c>
      <c r="W173" s="20">
        <v>0</v>
      </c>
      <c r="X173" s="88">
        <f>X172</f>
        <v>11.651199999999999</v>
      </c>
      <c r="Y173" s="85"/>
    </row>
    <row r="174" spans="1:25" x14ac:dyDescent="0.25">
      <c r="A174" t="s">
        <v>111</v>
      </c>
      <c r="B174">
        <v>2</v>
      </c>
      <c r="C174" t="s">
        <v>7</v>
      </c>
      <c r="D174">
        <v>19584</v>
      </c>
      <c r="E174">
        <v>64</v>
      </c>
      <c r="F174">
        <v>2</v>
      </c>
      <c r="G174">
        <v>8</v>
      </c>
      <c r="H174">
        <v>420.24</v>
      </c>
      <c r="I174" s="61">
        <v>11.917</v>
      </c>
      <c r="J174" s="16">
        <v>45538</v>
      </c>
      <c r="K174" s="25">
        <v>0.86694444444444441</v>
      </c>
      <c r="L174" s="25">
        <v>0</v>
      </c>
      <c r="M174" s="20">
        <v>0</v>
      </c>
      <c r="N174" s="20">
        <v>0</v>
      </c>
      <c r="O174" s="20">
        <v>0</v>
      </c>
      <c r="P174" s="20">
        <v>0</v>
      </c>
      <c r="Q174" s="20">
        <v>0</v>
      </c>
      <c r="R174" s="20">
        <v>0</v>
      </c>
      <c r="S174" s="20">
        <v>0</v>
      </c>
      <c r="T174" s="20">
        <v>0</v>
      </c>
      <c r="U174" s="20">
        <v>0</v>
      </c>
      <c r="V174" s="20">
        <v>0</v>
      </c>
      <c r="W174" s="20">
        <v>0</v>
      </c>
      <c r="X174" s="88">
        <f>X173</f>
        <v>11.651199999999999</v>
      </c>
      <c r="Y174" s="85"/>
    </row>
    <row r="175" spans="1:25" x14ac:dyDescent="0.25">
      <c r="A175" t="s">
        <v>111</v>
      </c>
      <c r="B175">
        <v>3</v>
      </c>
      <c r="C175" t="s">
        <v>7</v>
      </c>
      <c r="D175">
        <v>19584</v>
      </c>
      <c r="E175">
        <v>64</v>
      </c>
      <c r="F175">
        <v>2</v>
      </c>
      <c r="G175">
        <v>8</v>
      </c>
      <c r="H175">
        <v>436.9</v>
      </c>
      <c r="I175" s="61">
        <v>11.462999999999999</v>
      </c>
      <c r="J175" s="16">
        <v>45538</v>
      </c>
      <c r="K175" s="25">
        <v>0.89093750000000005</v>
      </c>
      <c r="L175" s="25">
        <v>0</v>
      </c>
      <c r="M175" s="20">
        <v>0</v>
      </c>
      <c r="N175" s="20">
        <v>0</v>
      </c>
      <c r="O175" s="20">
        <v>0</v>
      </c>
      <c r="P175" s="20">
        <v>0</v>
      </c>
      <c r="Q175" s="20">
        <v>0</v>
      </c>
      <c r="R175" s="20">
        <v>0</v>
      </c>
      <c r="S175" s="20">
        <v>0</v>
      </c>
      <c r="T175" s="20">
        <v>0</v>
      </c>
      <c r="U175" s="20">
        <v>0</v>
      </c>
      <c r="V175" s="20">
        <v>0</v>
      </c>
      <c r="W175" s="20">
        <v>0</v>
      </c>
      <c r="X175" s="88">
        <f>X174</f>
        <v>11.651199999999999</v>
      </c>
      <c r="Y175" s="85"/>
    </row>
    <row r="176" spans="1:25" x14ac:dyDescent="0.25">
      <c r="A176" t="s">
        <v>111</v>
      </c>
      <c r="B176">
        <v>4</v>
      </c>
      <c r="C176" t="s">
        <v>7</v>
      </c>
      <c r="D176">
        <v>19584</v>
      </c>
      <c r="E176">
        <v>64</v>
      </c>
      <c r="F176">
        <v>2</v>
      </c>
      <c r="G176">
        <v>8</v>
      </c>
      <c r="H176">
        <v>438.36</v>
      </c>
      <c r="I176" s="61">
        <v>11.423999999999999</v>
      </c>
      <c r="J176" s="16">
        <v>45538</v>
      </c>
      <c r="K176" s="25">
        <v>0.91510416666666672</v>
      </c>
      <c r="L176" s="25">
        <v>0</v>
      </c>
      <c r="M176" s="20">
        <v>0</v>
      </c>
      <c r="N176" s="20">
        <v>0</v>
      </c>
      <c r="O176" s="20">
        <v>0</v>
      </c>
      <c r="P176" s="20">
        <v>0</v>
      </c>
      <c r="Q176" s="20">
        <v>0</v>
      </c>
      <c r="R176" s="20">
        <v>0</v>
      </c>
      <c r="S176" s="20">
        <v>0</v>
      </c>
      <c r="T176" s="20">
        <v>0</v>
      </c>
      <c r="U176" s="20">
        <v>0</v>
      </c>
      <c r="V176" s="20">
        <v>0</v>
      </c>
      <c r="W176" s="20">
        <v>0</v>
      </c>
      <c r="X176" s="88">
        <f>X175</f>
        <v>11.651199999999999</v>
      </c>
      <c r="Y176" s="85"/>
    </row>
    <row r="177" spans="1:25" x14ac:dyDescent="0.25">
      <c r="A177" t="s">
        <v>141</v>
      </c>
      <c r="B177">
        <v>0</v>
      </c>
      <c r="C177" t="s">
        <v>7</v>
      </c>
      <c r="D177">
        <v>19584</v>
      </c>
      <c r="E177">
        <v>64</v>
      </c>
      <c r="F177">
        <v>2</v>
      </c>
      <c r="G177">
        <v>8</v>
      </c>
      <c r="H177">
        <v>438.35</v>
      </c>
      <c r="I177" s="61">
        <v>11.425000000000001</v>
      </c>
      <c r="J177" s="16">
        <v>45541</v>
      </c>
      <c r="K177" s="25">
        <v>0.40273148148148147</v>
      </c>
      <c r="L177" s="25">
        <v>0</v>
      </c>
      <c r="M177" s="20">
        <v>0</v>
      </c>
      <c r="N177" s="20">
        <v>0</v>
      </c>
      <c r="O177" s="20">
        <v>0</v>
      </c>
      <c r="P177" s="20">
        <v>0</v>
      </c>
      <c r="Q177" s="20">
        <v>0</v>
      </c>
      <c r="R177" s="20">
        <v>0</v>
      </c>
      <c r="S177" s="20">
        <v>0</v>
      </c>
      <c r="T177" s="20">
        <v>0</v>
      </c>
      <c r="U177" s="20">
        <v>0</v>
      </c>
      <c r="V177" s="20">
        <v>0</v>
      </c>
      <c r="W177" s="20">
        <v>0</v>
      </c>
      <c r="X177" s="88">
        <f>AVERAGE(I177:I181)</f>
        <v>11.549400000000002</v>
      </c>
      <c r="Y177" s="85"/>
    </row>
    <row r="178" spans="1:25" x14ac:dyDescent="0.25">
      <c r="A178" t="s">
        <v>141</v>
      </c>
      <c r="B178">
        <v>1</v>
      </c>
      <c r="C178" t="s">
        <v>7</v>
      </c>
      <c r="D178">
        <v>19584</v>
      </c>
      <c r="E178">
        <v>64</v>
      </c>
      <c r="F178">
        <v>2</v>
      </c>
      <c r="G178">
        <v>8</v>
      </c>
      <c r="H178">
        <v>433.69</v>
      </c>
      <c r="I178" s="61">
        <v>11.547000000000001</v>
      </c>
      <c r="J178" s="16">
        <v>45541</v>
      </c>
      <c r="K178" s="25">
        <v>0.42304398148148148</v>
      </c>
      <c r="L178" s="25">
        <v>0</v>
      </c>
      <c r="M178" s="20">
        <v>0</v>
      </c>
      <c r="N178" s="20">
        <v>0</v>
      </c>
      <c r="O178" s="20">
        <v>0</v>
      </c>
      <c r="P178" s="20">
        <v>0</v>
      </c>
      <c r="Q178" s="20">
        <v>0</v>
      </c>
      <c r="R178" s="20">
        <v>0</v>
      </c>
      <c r="S178" s="20">
        <v>0</v>
      </c>
      <c r="T178" s="20">
        <v>0</v>
      </c>
      <c r="U178" s="20">
        <v>0</v>
      </c>
      <c r="V178" s="20">
        <v>0</v>
      </c>
      <c r="W178" s="20">
        <v>0</v>
      </c>
      <c r="X178" s="88">
        <f>X177</f>
        <v>11.549400000000002</v>
      </c>
      <c r="Y178" s="85"/>
    </row>
    <row r="179" spans="1:25" x14ac:dyDescent="0.25">
      <c r="A179" t="s">
        <v>141</v>
      </c>
      <c r="B179">
        <v>2</v>
      </c>
      <c r="C179" t="s">
        <v>7</v>
      </c>
      <c r="D179">
        <v>19584</v>
      </c>
      <c r="E179">
        <v>64</v>
      </c>
      <c r="F179">
        <v>2</v>
      </c>
      <c r="G179">
        <v>8</v>
      </c>
      <c r="H179">
        <v>444.33</v>
      </c>
      <c r="I179" s="61">
        <v>11.271000000000001</v>
      </c>
      <c r="J179" s="16">
        <v>45541</v>
      </c>
      <c r="K179" s="25">
        <v>0.44354166666666667</v>
      </c>
      <c r="L179" s="25">
        <v>0</v>
      </c>
      <c r="M179" s="20">
        <v>0</v>
      </c>
      <c r="N179" s="20">
        <v>0</v>
      </c>
      <c r="O179" s="20">
        <v>0</v>
      </c>
      <c r="P179" s="20">
        <v>0</v>
      </c>
      <c r="Q179" s="20">
        <v>0</v>
      </c>
      <c r="R179" s="20">
        <v>0</v>
      </c>
      <c r="S179" s="20">
        <v>0</v>
      </c>
      <c r="T179" s="20">
        <v>0</v>
      </c>
      <c r="U179" s="20">
        <v>0</v>
      </c>
      <c r="V179" s="20">
        <v>0</v>
      </c>
      <c r="W179" s="20">
        <v>0</v>
      </c>
      <c r="X179" s="88">
        <f>X178</f>
        <v>11.549400000000002</v>
      </c>
      <c r="Y179" s="85"/>
    </row>
    <row r="180" spans="1:25" x14ac:dyDescent="0.25">
      <c r="A180" t="s">
        <v>141</v>
      </c>
      <c r="B180">
        <v>3</v>
      </c>
      <c r="C180" t="s">
        <v>7</v>
      </c>
      <c r="D180">
        <v>19584</v>
      </c>
      <c r="E180">
        <v>64</v>
      </c>
      <c r="F180">
        <v>2</v>
      </c>
      <c r="G180">
        <v>8</v>
      </c>
      <c r="H180">
        <v>425.93</v>
      </c>
      <c r="I180" s="61">
        <v>11.757999999999999</v>
      </c>
      <c r="J180" s="16">
        <v>45541</v>
      </c>
      <c r="K180" s="25">
        <v>0.46413194444444444</v>
      </c>
      <c r="L180" s="25">
        <v>0</v>
      </c>
      <c r="M180" s="20">
        <v>0</v>
      </c>
      <c r="N180" s="20">
        <v>0</v>
      </c>
      <c r="O180" s="20">
        <v>0</v>
      </c>
      <c r="P180" s="20">
        <v>0</v>
      </c>
      <c r="Q180" s="20">
        <v>0</v>
      </c>
      <c r="R180" s="20">
        <v>0</v>
      </c>
      <c r="S180" s="20">
        <v>0</v>
      </c>
      <c r="T180" s="20">
        <v>0</v>
      </c>
      <c r="U180" s="20">
        <v>0</v>
      </c>
      <c r="V180" s="20">
        <v>0</v>
      </c>
      <c r="W180" s="20">
        <v>0</v>
      </c>
      <c r="X180" s="88">
        <f>X179</f>
        <v>11.549400000000002</v>
      </c>
      <c r="Y180" s="85"/>
    </row>
    <row r="181" spans="1:25" x14ac:dyDescent="0.25">
      <c r="A181" t="s">
        <v>141</v>
      </c>
      <c r="B181">
        <v>4</v>
      </c>
      <c r="C181" t="s">
        <v>7</v>
      </c>
      <c r="D181">
        <v>19584</v>
      </c>
      <c r="E181">
        <v>64</v>
      </c>
      <c r="F181">
        <v>2</v>
      </c>
      <c r="G181">
        <v>8</v>
      </c>
      <c r="H181">
        <v>426.36</v>
      </c>
      <c r="I181" s="61">
        <v>11.746</v>
      </c>
      <c r="J181" s="16">
        <v>45541</v>
      </c>
      <c r="K181" s="25">
        <v>0.48474537037037035</v>
      </c>
      <c r="L181" s="25">
        <v>0</v>
      </c>
      <c r="M181" s="20">
        <v>0</v>
      </c>
      <c r="N181" s="20">
        <v>0</v>
      </c>
      <c r="O181" s="20">
        <v>0</v>
      </c>
      <c r="P181" s="20">
        <v>0</v>
      </c>
      <c r="Q181" s="20">
        <v>0</v>
      </c>
      <c r="R181" s="20">
        <v>0</v>
      </c>
      <c r="S181" s="20">
        <v>0</v>
      </c>
      <c r="T181" s="20">
        <v>0</v>
      </c>
      <c r="U181" s="20">
        <v>0</v>
      </c>
      <c r="V181" s="20">
        <v>0</v>
      </c>
      <c r="W181" s="20">
        <v>0</v>
      </c>
      <c r="X181" s="88">
        <f>X180</f>
        <v>11.549400000000002</v>
      </c>
      <c r="Y181" s="85"/>
    </row>
    <row r="182" spans="1:25" x14ac:dyDescent="0.25">
      <c r="A182" t="s">
        <v>109</v>
      </c>
      <c r="B182">
        <v>0</v>
      </c>
      <c r="C182" t="s">
        <v>7</v>
      </c>
      <c r="D182">
        <v>19584</v>
      </c>
      <c r="E182">
        <v>64</v>
      </c>
      <c r="F182">
        <v>2</v>
      </c>
      <c r="G182">
        <v>8</v>
      </c>
      <c r="H182">
        <v>433.26</v>
      </c>
      <c r="I182" s="61">
        <v>11.558999999999999</v>
      </c>
      <c r="J182" s="16">
        <v>45538</v>
      </c>
      <c r="K182" s="25">
        <v>0.93906250000000002</v>
      </c>
      <c r="L182" s="25">
        <v>0</v>
      </c>
      <c r="M182" s="20">
        <v>0</v>
      </c>
      <c r="N182" s="20">
        <v>0</v>
      </c>
      <c r="O182" s="20">
        <v>0</v>
      </c>
      <c r="P182" s="20">
        <v>0</v>
      </c>
      <c r="Q182" s="20">
        <v>0</v>
      </c>
      <c r="R182" s="20">
        <v>0</v>
      </c>
      <c r="S182" s="20">
        <v>0</v>
      </c>
      <c r="T182" s="20">
        <v>0</v>
      </c>
      <c r="U182" s="20">
        <v>0</v>
      </c>
      <c r="V182" s="20">
        <v>0</v>
      </c>
      <c r="W182" s="20">
        <v>0</v>
      </c>
      <c r="X182" s="88">
        <f t="shared" ref="X182" si="0">AVERAGE(I182:I186)</f>
        <v>11.492999999999999</v>
      </c>
      <c r="Y182" s="85"/>
    </row>
    <row r="183" spans="1:25" x14ac:dyDescent="0.25">
      <c r="A183" t="s">
        <v>109</v>
      </c>
      <c r="B183">
        <v>1</v>
      </c>
      <c r="C183" t="s">
        <v>7</v>
      </c>
      <c r="D183">
        <v>19584</v>
      </c>
      <c r="E183">
        <v>64</v>
      </c>
      <c r="F183">
        <v>2</v>
      </c>
      <c r="G183">
        <v>8</v>
      </c>
      <c r="H183">
        <v>433.23</v>
      </c>
      <c r="I183" s="61">
        <v>11.56</v>
      </c>
      <c r="J183" s="16">
        <v>45541</v>
      </c>
      <c r="K183" s="25">
        <v>0.50547453703703704</v>
      </c>
      <c r="L183" s="25">
        <v>0</v>
      </c>
      <c r="M183" s="20">
        <v>0</v>
      </c>
      <c r="N183" s="20">
        <v>0</v>
      </c>
      <c r="O183" s="20">
        <v>0</v>
      </c>
      <c r="P183" s="20">
        <v>0</v>
      </c>
      <c r="Q183" s="20">
        <v>0</v>
      </c>
      <c r="R183" s="20">
        <v>0</v>
      </c>
      <c r="S183" s="20">
        <v>0</v>
      </c>
      <c r="T183" s="20">
        <v>0</v>
      </c>
      <c r="U183" s="20">
        <v>0</v>
      </c>
      <c r="V183" s="20">
        <v>0</v>
      </c>
      <c r="W183" s="20">
        <v>0</v>
      </c>
      <c r="X183" s="88">
        <f t="shared" ref="X183:X186" si="1">X182</f>
        <v>11.492999999999999</v>
      </c>
      <c r="Y183" s="85"/>
    </row>
    <row r="184" spans="1:25" x14ac:dyDescent="0.25">
      <c r="A184" t="s">
        <v>109</v>
      </c>
      <c r="B184">
        <v>2</v>
      </c>
      <c r="C184" t="s">
        <v>7</v>
      </c>
      <c r="D184">
        <v>19584</v>
      </c>
      <c r="E184">
        <v>64</v>
      </c>
      <c r="F184">
        <v>2</v>
      </c>
      <c r="G184">
        <v>8</v>
      </c>
      <c r="H184">
        <v>439.59</v>
      </c>
      <c r="I184" s="61">
        <v>11.391999999999999</v>
      </c>
      <c r="J184" s="16">
        <v>45541</v>
      </c>
      <c r="K184" s="25">
        <v>0.35652777777777778</v>
      </c>
      <c r="L184" s="25">
        <v>0</v>
      </c>
      <c r="M184" s="20">
        <v>0</v>
      </c>
      <c r="N184" s="20">
        <v>0</v>
      </c>
      <c r="O184" s="20">
        <v>0</v>
      </c>
      <c r="P184" s="20">
        <v>0</v>
      </c>
      <c r="Q184" s="20">
        <v>0</v>
      </c>
      <c r="R184" s="20">
        <v>0</v>
      </c>
      <c r="S184" s="20">
        <v>0</v>
      </c>
      <c r="T184" s="20">
        <v>0</v>
      </c>
      <c r="U184" s="20">
        <v>0</v>
      </c>
      <c r="V184" s="20">
        <v>0</v>
      </c>
      <c r="W184" s="20">
        <v>0</v>
      </c>
      <c r="X184" s="88">
        <f t="shared" si="1"/>
        <v>11.492999999999999</v>
      </c>
      <c r="Y184" s="85"/>
    </row>
    <row r="185" spans="1:25" x14ac:dyDescent="0.25">
      <c r="A185" t="s">
        <v>109</v>
      </c>
      <c r="B185">
        <v>3</v>
      </c>
      <c r="C185" t="s">
        <v>7</v>
      </c>
      <c r="D185">
        <v>19584</v>
      </c>
      <c r="E185">
        <v>64</v>
      </c>
      <c r="F185">
        <v>2</v>
      </c>
      <c r="G185">
        <v>8</v>
      </c>
      <c r="H185">
        <v>435.73</v>
      </c>
      <c r="I185" s="61">
        <v>11.493</v>
      </c>
      <c r="J185" s="16">
        <v>45541</v>
      </c>
      <c r="K185" s="25">
        <v>0.36174768518518519</v>
      </c>
      <c r="L185" s="25">
        <v>0</v>
      </c>
      <c r="M185" s="20">
        <v>0</v>
      </c>
      <c r="N185" s="20">
        <v>0</v>
      </c>
      <c r="O185" s="20">
        <v>0</v>
      </c>
      <c r="P185" s="20">
        <v>0</v>
      </c>
      <c r="Q185" s="20">
        <v>0</v>
      </c>
      <c r="R185" s="20">
        <v>0</v>
      </c>
      <c r="S185" s="20">
        <v>0</v>
      </c>
      <c r="T185" s="20">
        <v>0</v>
      </c>
      <c r="U185" s="20">
        <v>0</v>
      </c>
      <c r="V185" s="20">
        <v>0</v>
      </c>
      <c r="W185" s="20">
        <v>0</v>
      </c>
      <c r="X185" s="88">
        <f t="shared" si="1"/>
        <v>11.492999999999999</v>
      </c>
      <c r="Y185" s="85"/>
    </row>
    <row r="186" spans="1:25" x14ac:dyDescent="0.25">
      <c r="A186" t="s">
        <v>109</v>
      </c>
      <c r="B186">
        <v>4</v>
      </c>
      <c r="C186" t="s">
        <v>7</v>
      </c>
      <c r="D186">
        <v>19584</v>
      </c>
      <c r="E186">
        <v>64</v>
      </c>
      <c r="F186">
        <v>2</v>
      </c>
      <c r="G186">
        <v>8</v>
      </c>
      <c r="H186">
        <v>436.95</v>
      </c>
      <c r="I186" s="61">
        <v>11.461</v>
      </c>
      <c r="J186" s="16">
        <v>45541</v>
      </c>
      <c r="K186" s="25">
        <v>0.38232638888888887</v>
      </c>
      <c r="L186" s="25">
        <v>0</v>
      </c>
      <c r="M186" s="20">
        <v>0</v>
      </c>
      <c r="N186" s="20">
        <v>0</v>
      </c>
      <c r="O186" s="20">
        <v>0</v>
      </c>
      <c r="P186" s="20">
        <v>0</v>
      </c>
      <c r="Q186" s="20">
        <v>0</v>
      </c>
      <c r="R186" s="20">
        <v>0</v>
      </c>
      <c r="S186" s="20">
        <v>0</v>
      </c>
      <c r="T186" s="20">
        <v>0</v>
      </c>
      <c r="U186" s="20">
        <v>0</v>
      </c>
      <c r="V186" s="20">
        <v>0</v>
      </c>
      <c r="W186" s="20">
        <v>0</v>
      </c>
      <c r="X186" s="88">
        <f t="shared" si="1"/>
        <v>11.492999999999999</v>
      </c>
      <c r="Y186" s="85"/>
    </row>
    <row r="187" spans="1:25" x14ac:dyDescent="0.25">
      <c r="A187" t="s">
        <v>141</v>
      </c>
      <c r="B187">
        <v>0</v>
      </c>
      <c r="C187" t="s">
        <v>7</v>
      </c>
      <c r="D187">
        <v>19584</v>
      </c>
      <c r="E187">
        <v>96</v>
      </c>
      <c r="F187">
        <v>2</v>
      </c>
      <c r="G187">
        <v>8</v>
      </c>
      <c r="H187">
        <v>416.22</v>
      </c>
      <c r="I187" s="61">
        <v>12.032</v>
      </c>
      <c r="J187" s="16">
        <v>45541</v>
      </c>
      <c r="K187" s="25">
        <v>0.40773148148148147</v>
      </c>
      <c r="L187" s="25">
        <v>0</v>
      </c>
      <c r="M187" s="20">
        <v>0</v>
      </c>
      <c r="N187" s="20">
        <v>0</v>
      </c>
      <c r="O187" s="20">
        <v>0</v>
      </c>
      <c r="P187" s="20">
        <v>0</v>
      </c>
      <c r="Q187" s="20">
        <v>0</v>
      </c>
      <c r="R187" s="20">
        <v>0</v>
      </c>
      <c r="S187" s="20">
        <v>0</v>
      </c>
      <c r="T187" s="20">
        <v>0</v>
      </c>
      <c r="U187" s="20">
        <v>0</v>
      </c>
      <c r="V187" s="20">
        <v>0</v>
      </c>
      <c r="W187" s="20">
        <v>0</v>
      </c>
      <c r="X187" s="88">
        <f t="shared" ref="X187" si="2">AVERAGE(I187:I191)</f>
        <v>11.772</v>
      </c>
      <c r="Y187" s="85"/>
    </row>
    <row r="188" spans="1:25" x14ac:dyDescent="0.25">
      <c r="A188" t="s">
        <v>141</v>
      </c>
      <c r="B188">
        <v>1</v>
      </c>
      <c r="C188" t="s">
        <v>7</v>
      </c>
      <c r="D188">
        <v>19584</v>
      </c>
      <c r="E188">
        <v>96</v>
      </c>
      <c r="F188">
        <v>2</v>
      </c>
      <c r="G188">
        <v>8</v>
      </c>
      <c r="H188">
        <v>418.34</v>
      </c>
      <c r="I188" s="61">
        <v>11.971</v>
      </c>
      <c r="J188" s="16">
        <v>45541</v>
      </c>
      <c r="K188" s="25">
        <v>0.42809027777777775</v>
      </c>
      <c r="L188" s="25">
        <v>0</v>
      </c>
      <c r="M188" s="20">
        <v>0</v>
      </c>
      <c r="N188" s="20">
        <v>0</v>
      </c>
      <c r="O188" s="20">
        <v>0</v>
      </c>
      <c r="P188" s="20">
        <v>0</v>
      </c>
      <c r="Q188" s="20">
        <v>0</v>
      </c>
      <c r="R188" s="20">
        <v>0</v>
      </c>
      <c r="S188" s="20">
        <v>0</v>
      </c>
      <c r="T188" s="20">
        <v>0</v>
      </c>
      <c r="U188" s="20">
        <v>0</v>
      </c>
      <c r="V188" s="20">
        <v>0</v>
      </c>
      <c r="W188" s="20">
        <v>0</v>
      </c>
      <c r="X188" s="88">
        <f t="shared" ref="X188:X191" si="3">X187</f>
        <v>11.772</v>
      </c>
      <c r="Y188" s="85"/>
    </row>
    <row r="189" spans="1:25" x14ac:dyDescent="0.25">
      <c r="A189" t="s">
        <v>141</v>
      </c>
      <c r="B189">
        <v>2</v>
      </c>
      <c r="C189" t="s">
        <v>7</v>
      </c>
      <c r="D189">
        <v>19584</v>
      </c>
      <c r="E189">
        <v>96</v>
      </c>
      <c r="F189">
        <v>2</v>
      </c>
      <c r="G189">
        <v>8</v>
      </c>
      <c r="H189">
        <v>429.14</v>
      </c>
      <c r="I189" s="61">
        <v>11.67</v>
      </c>
      <c r="J189" s="16">
        <v>45541</v>
      </c>
      <c r="K189" s="25">
        <v>0.44869212962962962</v>
      </c>
      <c r="L189" s="25">
        <v>0</v>
      </c>
      <c r="M189" s="20">
        <v>0</v>
      </c>
      <c r="N189" s="20">
        <v>0</v>
      </c>
      <c r="O189" s="20">
        <v>0</v>
      </c>
      <c r="P189" s="20">
        <v>0</v>
      </c>
      <c r="Q189" s="20">
        <v>0</v>
      </c>
      <c r="R189" s="20">
        <v>0</v>
      </c>
      <c r="S189" s="20">
        <v>0</v>
      </c>
      <c r="T189" s="20">
        <v>0</v>
      </c>
      <c r="U189" s="20">
        <v>0</v>
      </c>
      <c r="V189" s="20">
        <v>0</v>
      </c>
      <c r="W189" s="20">
        <v>0</v>
      </c>
      <c r="X189" s="88">
        <f t="shared" si="3"/>
        <v>11.772</v>
      </c>
      <c r="Y189" s="85"/>
    </row>
    <row r="190" spans="1:25" x14ac:dyDescent="0.25">
      <c r="A190" t="s">
        <v>141</v>
      </c>
      <c r="B190">
        <v>3</v>
      </c>
      <c r="C190" t="s">
        <v>7</v>
      </c>
      <c r="D190">
        <v>19584</v>
      </c>
      <c r="E190">
        <v>96</v>
      </c>
      <c r="F190">
        <v>2</v>
      </c>
      <c r="G190">
        <v>8</v>
      </c>
      <c r="H190">
        <v>434.26</v>
      </c>
      <c r="I190" s="61">
        <v>11.532</v>
      </c>
      <c r="J190" s="16">
        <v>45541</v>
      </c>
      <c r="K190" s="25">
        <v>0.46935185185185185</v>
      </c>
      <c r="L190" s="25">
        <v>0</v>
      </c>
      <c r="M190" s="20">
        <v>0</v>
      </c>
      <c r="N190" s="20">
        <v>0</v>
      </c>
      <c r="O190" s="20">
        <v>0</v>
      </c>
      <c r="P190" s="20">
        <v>0</v>
      </c>
      <c r="Q190" s="20">
        <v>0</v>
      </c>
      <c r="R190" s="20">
        <v>0</v>
      </c>
      <c r="S190" s="20">
        <v>0</v>
      </c>
      <c r="T190" s="20">
        <v>0</v>
      </c>
      <c r="U190" s="20">
        <v>0</v>
      </c>
      <c r="V190" s="20">
        <v>0</v>
      </c>
      <c r="W190" s="20">
        <v>0</v>
      </c>
      <c r="X190" s="88">
        <f t="shared" si="3"/>
        <v>11.772</v>
      </c>
      <c r="Y190" s="85"/>
    </row>
    <row r="191" spans="1:25" x14ac:dyDescent="0.25">
      <c r="A191" t="s">
        <v>141</v>
      </c>
      <c r="B191">
        <v>4</v>
      </c>
      <c r="C191" t="s">
        <v>7</v>
      </c>
      <c r="D191">
        <v>19584</v>
      </c>
      <c r="E191">
        <v>96</v>
      </c>
      <c r="F191">
        <v>2</v>
      </c>
      <c r="G191">
        <v>8</v>
      </c>
      <c r="H191">
        <v>429.7</v>
      </c>
      <c r="I191" s="61">
        <v>11.654999999999999</v>
      </c>
      <c r="J191" s="16">
        <v>45541</v>
      </c>
      <c r="K191" s="25">
        <v>0.4899189814814815</v>
      </c>
      <c r="L191" s="25">
        <v>0</v>
      </c>
      <c r="M191" s="20">
        <v>0</v>
      </c>
      <c r="N191" s="20">
        <v>0</v>
      </c>
      <c r="O191" s="20">
        <v>0</v>
      </c>
      <c r="P191" s="20">
        <v>0</v>
      </c>
      <c r="Q191" s="20">
        <v>0</v>
      </c>
      <c r="R191" s="20">
        <v>0</v>
      </c>
      <c r="S191" s="20">
        <v>0</v>
      </c>
      <c r="T191" s="20">
        <v>0</v>
      </c>
      <c r="U191" s="20">
        <v>0</v>
      </c>
      <c r="V191" s="20">
        <v>0</v>
      </c>
      <c r="W191" s="20">
        <v>0</v>
      </c>
      <c r="X191" s="88">
        <f t="shared" si="3"/>
        <v>11.772</v>
      </c>
      <c r="Y191" s="85"/>
    </row>
    <row r="192" spans="1:25" x14ac:dyDescent="0.25">
      <c r="A192" t="s">
        <v>111</v>
      </c>
      <c r="B192">
        <v>0</v>
      </c>
      <c r="C192" t="s">
        <v>7</v>
      </c>
      <c r="D192">
        <v>19584</v>
      </c>
      <c r="E192">
        <v>96</v>
      </c>
      <c r="F192">
        <v>2</v>
      </c>
      <c r="G192">
        <v>8</v>
      </c>
      <c r="H192">
        <v>426.02</v>
      </c>
      <c r="I192" s="61">
        <v>11.755000000000001</v>
      </c>
      <c r="J192" s="16">
        <v>45538</v>
      </c>
      <c r="K192" s="25">
        <v>0.60987268518518523</v>
      </c>
      <c r="L192" s="25">
        <v>0</v>
      </c>
      <c r="M192" s="20">
        <v>0</v>
      </c>
      <c r="N192" s="20">
        <v>0</v>
      </c>
      <c r="O192" s="20">
        <v>0</v>
      </c>
      <c r="P192" s="20">
        <v>0</v>
      </c>
      <c r="Q192" s="20">
        <v>0</v>
      </c>
      <c r="R192" s="20">
        <v>0</v>
      </c>
      <c r="S192" s="20">
        <v>0</v>
      </c>
      <c r="T192" s="20">
        <v>0</v>
      </c>
      <c r="U192" s="20">
        <v>0</v>
      </c>
      <c r="V192" s="20">
        <v>0</v>
      </c>
      <c r="W192" s="20">
        <v>0</v>
      </c>
      <c r="X192" s="88">
        <f t="shared" ref="X192" si="4">AVERAGE(I192:I196)</f>
        <v>11.758600000000001</v>
      </c>
      <c r="Y192" s="85"/>
    </row>
    <row r="193" spans="1:25" x14ac:dyDescent="0.25">
      <c r="A193" t="s">
        <v>111</v>
      </c>
      <c r="B193">
        <v>1</v>
      </c>
      <c r="C193" t="s">
        <v>7</v>
      </c>
      <c r="D193">
        <v>19584</v>
      </c>
      <c r="E193">
        <v>96</v>
      </c>
      <c r="F193">
        <v>2</v>
      </c>
      <c r="G193">
        <v>8</v>
      </c>
      <c r="H193">
        <v>422.35</v>
      </c>
      <c r="I193" s="61">
        <v>11.856999999999999</v>
      </c>
      <c r="J193" s="16">
        <v>45538</v>
      </c>
      <c r="K193" s="25">
        <v>0.8512615740740741</v>
      </c>
      <c r="L193" s="25">
        <v>0</v>
      </c>
      <c r="M193" s="20">
        <v>0</v>
      </c>
      <c r="N193" s="20">
        <v>0</v>
      </c>
      <c r="O193" s="20">
        <v>0</v>
      </c>
      <c r="P193" s="20">
        <v>0</v>
      </c>
      <c r="Q193" s="20">
        <v>0</v>
      </c>
      <c r="R193" s="20">
        <v>0</v>
      </c>
      <c r="S193" s="20">
        <v>0</v>
      </c>
      <c r="T193" s="20">
        <v>0</v>
      </c>
      <c r="U193" s="20">
        <v>0</v>
      </c>
      <c r="V193" s="20">
        <v>0</v>
      </c>
      <c r="W193" s="20">
        <v>0</v>
      </c>
      <c r="X193" s="88">
        <f t="shared" ref="X193:X196" si="5">X192</f>
        <v>11.758600000000001</v>
      </c>
      <c r="Y193" s="85"/>
    </row>
    <row r="194" spans="1:25" x14ac:dyDescent="0.25">
      <c r="A194" t="s">
        <v>111</v>
      </c>
      <c r="B194">
        <v>2</v>
      </c>
      <c r="C194" t="s">
        <v>7</v>
      </c>
      <c r="D194">
        <v>19584</v>
      </c>
      <c r="E194">
        <v>96</v>
      </c>
      <c r="F194">
        <v>2</v>
      </c>
      <c r="G194">
        <v>8</v>
      </c>
      <c r="H194">
        <v>424.85</v>
      </c>
      <c r="I194" s="61">
        <v>11.788</v>
      </c>
      <c r="J194" s="16">
        <v>45538</v>
      </c>
      <c r="K194" s="25">
        <v>0.87292824074074071</v>
      </c>
      <c r="L194" s="25">
        <v>0</v>
      </c>
      <c r="M194" s="20">
        <v>0</v>
      </c>
      <c r="N194" s="20">
        <v>0</v>
      </c>
      <c r="O194" s="20">
        <v>0</v>
      </c>
      <c r="P194" s="20">
        <v>0</v>
      </c>
      <c r="Q194" s="20">
        <v>0</v>
      </c>
      <c r="R194" s="20">
        <v>0</v>
      </c>
      <c r="S194" s="20">
        <v>0</v>
      </c>
      <c r="T194" s="20">
        <v>0</v>
      </c>
      <c r="U194" s="20">
        <v>0</v>
      </c>
      <c r="V194" s="20">
        <v>0</v>
      </c>
      <c r="W194" s="20">
        <v>0</v>
      </c>
      <c r="X194" s="88">
        <f t="shared" si="5"/>
        <v>11.758600000000001</v>
      </c>
      <c r="Y194" s="85"/>
    </row>
    <row r="195" spans="1:25" x14ac:dyDescent="0.25">
      <c r="A195" t="s">
        <v>111</v>
      </c>
      <c r="B195">
        <v>3</v>
      </c>
      <c r="C195" t="s">
        <v>7</v>
      </c>
      <c r="D195">
        <v>19584</v>
      </c>
      <c r="E195">
        <v>96</v>
      </c>
      <c r="F195">
        <v>2</v>
      </c>
      <c r="G195">
        <v>8</v>
      </c>
      <c r="H195">
        <v>429.61</v>
      </c>
      <c r="I195" s="61">
        <v>11.657</v>
      </c>
      <c r="J195" s="16">
        <v>45538</v>
      </c>
      <c r="K195" s="25">
        <v>0.89697916666666666</v>
      </c>
      <c r="L195" s="25">
        <v>0</v>
      </c>
      <c r="M195" s="20">
        <v>0</v>
      </c>
      <c r="N195" s="20">
        <v>0</v>
      </c>
      <c r="O195" s="20">
        <v>0</v>
      </c>
      <c r="P195" s="20">
        <v>0</v>
      </c>
      <c r="Q195" s="20">
        <v>0</v>
      </c>
      <c r="R195" s="20">
        <v>0</v>
      </c>
      <c r="S195" s="20">
        <v>0</v>
      </c>
      <c r="T195" s="20">
        <v>0</v>
      </c>
      <c r="U195" s="20">
        <v>0</v>
      </c>
      <c r="V195" s="20">
        <v>0</v>
      </c>
      <c r="W195" s="20">
        <v>0</v>
      </c>
      <c r="X195" s="88">
        <f t="shared" si="5"/>
        <v>11.758600000000001</v>
      </c>
      <c r="Y195" s="85"/>
    </row>
    <row r="196" spans="1:25" x14ac:dyDescent="0.25">
      <c r="A196" t="s">
        <v>111</v>
      </c>
      <c r="B196">
        <v>4</v>
      </c>
      <c r="C196" t="s">
        <v>7</v>
      </c>
      <c r="D196">
        <v>19584</v>
      </c>
      <c r="E196">
        <v>96</v>
      </c>
      <c r="F196">
        <v>2</v>
      </c>
      <c r="G196">
        <v>8</v>
      </c>
      <c r="H196">
        <v>426.72</v>
      </c>
      <c r="I196" s="61">
        <v>11.736000000000001</v>
      </c>
      <c r="J196" s="16">
        <v>45538</v>
      </c>
      <c r="K196" s="25">
        <v>0.9211111111111111</v>
      </c>
      <c r="L196" s="25">
        <v>0</v>
      </c>
      <c r="M196" s="20">
        <v>0</v>
      </c>
      <c r="N196" s="20">
        <v>0</v>
      </c>
      <c r="O196" s="20">
        <v>0</v>
      </c>
      <c r="P196" s="20">
        <v>0</v>
      </c>
      <c r="Q196" s="20">
        <v>0</v>
      </c>
      <c r="R196" s="20">
        <v>0</v>
      </c>
      <c r="S196" s="20">
        <v>0</v>
      </c>
      <c r="T196" s="20">
        <v>0</v>
      </c>
      <c r="U196" s="20">
        <v>0</v>
      </c>
      <c r="V196" s="20">
        <v>0</v>
      </c>
      <c r="W196" s="20">
        <v>0</v>
      </c>
      <c r="X196" s="88">
        <f t="shared" si="5"/>
        <v>11.758600000000001</v>
      </c>
      <c r="Y196" s="85"/>
    </row>
    <row r="197" spans="1:25" x14ac:dyDescent="0.25">
      <c r="A197" t="s">
        <v>109</v>
      </c>
      <c r="B197">
        <v>0</v>
      </c>
      <c r="C197" t="s">
        <v>7</v>
      </c>
      <c r="D197">
        <v>19584</v>
      </c>
      <c r="E197">
        <v>96</v>
      </c>
      <c r="F197">
        <v>2</v>
      </c>
      <c r="G197">
        <v>8</v>
      </c>
      <c r="H197">
        <v>428.47</v>
      </c>
      <c r="I197" s="61">
        <v>11.688000000000001</v>
      </c>
      <c r="J197" s="16">
        <v>45538</v>
      </c>
      <c r="K197" s="25">
        <v>0.94506944444444441</v>
      </c>
      <c r="L197" s="25">
        <v>0</v>
      </c>
      <c r="M197" s="20">
        <v>0</v>
      </c>
      <c r="N197" s="20">
        <v>0</v>
      </c>
      <c r="O197" s="20">
        <v>0</v>
      </c>
      <c r="P197" s="20">
        <v>0</v>
      </c>
      <c r="Q197" s="20">
        <v>0</v>
      </c>
      <c r="R197" s="20">
        <v>0</v>
      </c>
      <c r="S197" s="20">
        <v>0</v>
      </c>
      <c r="T197" s="20">
        <v>0</v>
      </c>
      <c r="U197" s="20">
        <v>0</v>
      </c>
      <c r="V197" s="20">
        <v>0</v>
      </c>
      <c r="W197" s="20">
        <v>0</v>
      </c>
      <c r="X197" s="88">
        <f t="shared" ref="X197" si="6">AVERAGE(I197:I201)</f>
        <v>11.7578</v>
      </c>
      <c r="Y197" s="85"/>
    </row>
    <row r="198" spans="1:25" x14ac:dyDescent="0.25">
      <c r="A198" t="s">
        <v>109</v>
      </c>
      <c r="B198">
        <v>1</v>
      </c>
      <c r="C198" t="s">
        <v>7</v>
      </c>
      <c r="D198">
        <v>19584</v>
      </c>
      <c r="E198">
        <v>96</v>
      </c>
      <c r="F198">
        <v>2</v>
      </c>
      <c r="G198">
        <v>8</v>
      </c>
      <c r="H198">
        <v>430.08</v>
      </c>
      <c r="I198" s="61">
        <v>11.644</v>
      </c>
      <c r="J198" s="16">
        <v>45541</v>
      </c>
      <c r="K198" s="25">
        <v>0.51063657407407403</v>
      </c>
      <c r="L198" s="25">
        <v>0</v>
      </c>
      <c r="M198" s="20">
        <v>0</v>
      </c>
      <c r="N198" s="20">
        <v>0</v>
      </c>
      <c r="O198" s="20">
        <v>0</v>
      </c>
      <c r="P198" s="20">
        <v>0</v>
      </c>
      <c r="Q198" s="20">
        <v>0</v>
      </c>
      <c r="R198" s="20">
        <v>0</v>
      </c>
      <c r="S198" s="20">
        <v>0</v>
      </c>
      <c r="T198" s="20">
        <v>0</v>
      </c>
      <c r="U198" s="20">
        <v>0</v>
      </c>
      <c r="V198" s="20">
        <v>0</v>
      </c>
      <c r="W198" s="20">
        <v>0</v>
      </c>
      <c r="X198" s="88">
        <f t="shared" ref="X198:X201" si="7">X197</f>
        <v>11.7578</v>
      </c>
      <c r="Y198" s="85"/>
    </row>
    <row r="199" spans="1:25" x14ac:dyDescent="0.25">
      <c r="A199" t="s">
        <v>109</v>
      </c>
      <c r="B199">
        <v>2</v>
      </c>
      <c r="C199" t="s">
        <v>7</v>
      </c>
      <c r="D199">
        <v>19584</v>
      </c>
      <c r="E199">
        <v>96</v>
      </c>
      <c r="F199">
        <v>2</v>
      </c>
      <c r="G199">
        <v>8</v>
      </c>
      <c r="H199">
        <v>425.08</v>
      </c>
      <c r="I199" s="61">
        <v>11.781000000000001</v>
      </c>
      <c r="J199" s="16">
        <v>45538</v>
      </c>
      <c r="K199" s="25">
        <v>0.98523148148148143</v>
      </c>
      <c r="L199" s="25">
        <v>0</v>
      </c>
      <c r="M199" s="20">
        <v>0</v>
      </c>
      <c r="N199" s="20">
        <v>0</v>
      </c>
      <c r="O199" s="20">
        <v>0</v>
      </c>
      <c r="P199" s="20">
        <v>0</v>
      </c>
      <c r="Q199" s="20">
        <v>0</v>
      </c>
      <c r="R199" s="20">
        <v>0</v>
      </c>
      <c r="S199" s="20">
        <v>0</v>
      </c>
      <c r="T199" s="20">
        <v>0</v>
      </c>
      <c r="U199" s="20">
        <v>0</v>
      </c>
      <c r="V199" s="20">
        <v>0</v>
      </c>
      <c r="W199" s="20">
        <v>0</v>
      </c>
      <c r="X199" s="88">
        <f t="shared" si="7"/>
        <v>11.7578</v>
      </c>
      <c r="Y199" s="85"/>
    </row>
    <row r="200" spans="1:25" x14ac:dyDescent="0.25">
      <c r="A200" t="s">
        <v>109</v>
      </c>
      <c r="B200">
        <v>3</v>
      </c>
      <c r="C200" t="s">
        <v>7</v>
      </c>
      <c r="D200">
        <v>19584</v>
      </c>
      <c r="E200">
        <v>96</v>
      </c>
      <c r="F200">
        <v>2</v>
      </c>
      <c r="G200">
        <v>8</v>
      </c>
      <c r="H200">
        <v>419.15</v>
      </c>
      <c r="I200" s="61">
        <v>11.948</v>
      </c>
      <c r="J200" s="16">
        <v>45541</v>
      </c>
      <c r="K200" s="25">
        <v>0.36677083333333332</v>
      </c>
      <c r="L200" s="25">
        <v>0</v>
      </c>
      <c r="M200" s="20">
        <v>0</v>
      </c>
      <c r="N200" s="20">
        <v>0</v>
      </c>
      <c r="O200" s="20">
        <v>0</v>
      </c>
      <c r="P200" s="20">
        <v>0</v>
      </c>
      <c r="Q200" s="20">
        <v>0</v>
      </c>
      <c r="R200" s="20">
        <v>0</v>
      </c>
      <c r="S200" s="20">
        <v>0</v>
      </c>
      <c r="T200" s="20">
        <v>0</v>
      </c>
      <c r="U200" s="20">
        <v>0</v>
      </c>
      <c r="V200" s="20">
        <v>0</v>
      </c>
      <c r="W200" s="20">
        <v>0</v>
      </c>
      <c r="X200" s="88">
        <f t="shared" si="7"/>
        <v>11.7578</v>
      </c>
      <c r="Y200" s="85"/>
    </row>
    <row r="201" spans="1:25" x14ac:dyDescent="0.25">
      <c r="A201" t="s">
        <v>109</v>
      </c>
      <c r="B201">
        <v>4</v>
      </c>
      <c r="C201" t="s">
        <v>7</v>
      </c>
      <c r="D201">
        <v>19584</v>
      </c>
      <c r="E201">
        <v>96</v>
      </c>
      <c r="F201">
        <v>2</v>
      </c>
      <c r="G201">
        <v>8</v>
      </c>
      <c r="H201">
        <v>427.02</v>
      </c>
      <c r="I201" s="61">
        <v>11.728</v>
      </c>
      <c r="J201" s="16">
        <v>45541</v>
      </c>
      <c r="K201" s="25">
        <v>0.38744212962962965</v>
      </c>
      <c r="L201" s="25">
        <v>0</v>
      </c>
      <c r="M201" s="20">
        <v>0</v>
      </c>
      <c r="N201" s="20">
        <v>0</v>
      </c>
      <c r="O201" s="20">
        <v>0</v>
      </c>
      <c r="P201" s="20">
        <v>0</v>
      </c>
      <c r="Q201" s="20">
        <v>0</v>
      </c>
      <c r="R201" s="20">
        <v>0</v>
      </c>
      <c r="S201" s="20">
        <v>0</v>
      </c>
      <c r="T201" s="20">
        <v>0</v>
      </c>
      <c r="U201" s="20">
        <v>0</v>
      </c>
      <c r="V201" s="20">
        <v>0</v>
      </c>
      <c r="W201" s="20">
        <v>0</v>
      </c>
      <c r="X201" s="88">
        <f t="shared" si="7"/>
        <v>11.7578</v>
      </c>
      <c r="Y201" s="85"/>
    </row>
    <row r="202" spans="1:25" x14ac:dyDescent="0.25">
      <c r="A202" t="s">
        <v>111</v>
      </c>
      <c r="B202">
        <v>0</v>
      </c>
      <c r="C202" t="s">
        <v>7</v>
      </c>
      <c r="D202">
        <v>19520</v>
      </c>
      <c r="E202">
        <v>160</v>
      </c>
      <c r="F202">
        <v>2</v>
      </c>
      <c r="G202">
        <v>8</v>
      </c>
      <c r="H202">
        <v>415.32</v>
      </c>
      <c r="I202" s="61">
        <v>11.94</v>
      </c>
      <c r="J202" s="16">
        <v>45538</v>
      </c>
      <c r="K202" s="25">
        <v>0.61488425925925927</v>
      </c>
      <c r="L202" s="25">
        <v>0</v>
      </c>
      <c r="M202" s="20">
        <v>0</v>
      </c>
      <c r="N202" s="20">
        <v>0</v>
      </c>
      <c r="O202" s="20">
        <v>0</v>
      </c>
      <c r="P202" s="20">
        <v>0</v>
      </c>
      <c r="Q202" s="20">
        <v>0</v>
      </c>
      <c r="R202" s="20">
        <v>0</v>
      </c>
      <c r="S202" s="20">
        <v>0</v>
      </c>
      <c r="T202" s="20">
        <v>0</v>
      </c>
      <c r="U202" s="20">
        <v>0</v>
      </c>
      <c r="V202" s="20">
        <v>0</v>
      </c>
      <c r="W202" s="20">
        <v>0</v>
      </c>
      <c r="X202" s="88">
        <f t="shared" ref="X202" si="8">AVERAGE(I202:I206)</f>
        <v>11.905600000000002</v>
      </c>
      <c r="Y202" s="85"/>
    </row>
    <row r="203" spans="1:25" x14ac:dyDescent="0.25">
      <c r="A203" t="s">
        <v>111</v>
      </c>
      <c r="B203">
        <v>1</v>
      </c>
      <c r="C203" t="s">
        <v>7</v>
      </c>
      <c r="D203">
        <v>19520</v>
      </c>
      <c r="E203">
        <v>160</v>
      </c>
      <c r="F203">
        <v>2</v>
      </c>
      <c r="G203">
        <v>8</v>
      </c>
      <c r="H203">
        <v>412.71</v>
      </c>
      <c r="I203" s="61">
        <v>12.016</v>
      </c>
      <c r="J203" s="16">
        <v>45538</v>
      </c>
      <c r="K203" s="25">
        <v>0.85624999999999996</v>
      </c>
      <c r="L203" s="25">
        <v>0</v>
      </c>
      <c r="M203" s="20">
        <v>0</v>
      </c>
      <c r="N203" s="20">
        <v>0</v>
      </c>
      <c r="O203" s="20">
        <v>0</v>
      </c>
      <c r="P203" s="20">
        <v>0</v>
      </c>
      <c r="Q203" s="20">
        <v>0</v>
      </c>
      <c r="R203" s="20">
        <v>0</v>
      </c>
      <c r="S203" s="20">
        <v>0</v>
      </c>
      <c r="T203" s="20">
        <v>0</v>
      </c>
      <c r="U203" s="20">
        <v>0</v>
      </c>
      <c r="V203" s="20">
        <v>0</v>
      </c>
      <c r="W203" s="20">
        <v>0</v>
      </c>
      <c r="X203" s="88">
        <f>X202</f>
        <v>11.905600000000002</v>
      </c>
      <c r="Y203" s="85"/>
    </row>
    <row r="204" spans="1:25" x14ac:dyDescent="0.25">
      <c r="A204" t="s">
        <v>111</v>
      </c>
      <c r="B204">
        <v>2</v>
      </c>
      <c r="C204" t="s">
        <v>7</v>
      </c>
      <c r="D204">
        <v>19520</v>
      </c>
      <c r="E204">
        <v>160</v>
      </c>
      <c r="F204">
        <v>2</v>
      </c>
      <c r="G204">
        <v>8</v>
      </c>
      <c r="H204">
        <v>421.29</v>
      </c>
      <c r="I204" s="61">
        <v>11.771000000000001</v>
      </c>
      <c r="J204" s="16">
        <v>45538</v>
      </c>
      <c r="K204" s="25">
        <v>0.87890046296296298</v>
      </c>
      <c r="L204" s="25">
        <v>0</v>
      </c>
      <c r="M204" s="20">
        <v>0</v>
      </c>
      <c r="N204" s="20">
        <v>0</v>
      </c>
      <c r="O204" s="20">
        <v>0</v>
      </c>
      <c r="P204" s="20">
        <v>0</v>
      </c>
      <c r="Q204" s="20">
        <v>0</v>
      </c>
      <c r="R204" s="20">
        <v>0</v>
      </c>
      <c r="S204" s="20">
        <v>0</v>
      </c>
      <c r="T204" s="20">
        <v>0</v>
      </c>
      <c r="U204" s="20">
        <v>0</v>
      </c>
      <c r="V204" s="20">
        <v>0</v>
      </c>
      <c r="W204" s="20">
        <v>0</v>
      </c>
      <c r="X204" s="88">
        <f>X203</f>
        <v>11.905600000000002</v>
      </c>
      <c r="Y204" s="85"/>
    </row>
    <row r="205" spans="1:25" x14ac:dyDescent="0.25">
      <c r="A205" t="s">
        <v>111</v>
      </c>
      <c r="B205">
        <v>3</v>
      </c>
      <c r="C205" t="s">
        <v>7</v>
      </c>
      <c r="D205">
        <v>19520</v>
      </c>
      <c r="E205">
        <v>160</v>
      </c>
      <c r="F205">
        <v>2</v>
      </c>
      <c r="G205">
        <v>8</v>
      </c>
      <c r="H205">
        <v>416.35</v>
      </c>
      <c r="I205" s="61">
        <v>11.911</v>
      </c>
      <c r="J205" s="16">
        <v>45538</v>
      </c>
      <c r="K205" s="25">
        <v>0.90288194444444447</v>
      </c>
      <c r="L205" s="25">
        <v>0</v>
      </c>
      <c r="M205" s="20">
        <v>0</v>
      </c>
      <c r="N205" s="20">
        <v>0</v>
      </c>
      <c r="O205" s="20">
        <v>0</v>
      </c>
      <c r="P205" s="20">
        <v>0</v>
      </c>
      <c r="Q205" s="20">
        <v>0</v>
      </c>
      <c r="R205" s="20">
        <v>0</v>
      </c>
      <c r="S205" s="20">
        <v>0</v>
      </c>
      <c r="T205" s="20">
        <v>0</v>
      </c>
      <c r="U205" s="20">
        <v>0</v>
      </c>
      <c r="V205" s="20">
        <v>0</v>
      </c>
      <c r="W205" s="20">
        <v>0</v>
      </c>
      <c r="X205" s="88">
        <f>X204</f>
        <v>11.905600000000002</v>
      </c>
      <c r="Y205" s="85"/>
    </row>
    <row r="206" spans="1:25" x14ac:dyDescent="0.25">
      <c r="A206" t="s">
        <v>111</v>
      </c>
      <c r="B206">
        <v>4</v>
      </c>
      <c r="C206" t="s">
        <v>7</v>
      </c>
      <c r="D206">
        <v>19520</v>
      </c>
      <c r="E206">
        <v>160</v>
      </c>
      <c r="F206">
        <v>2</v>
      </c>
      <c r="G206">
        <v>8</v>
      </c>
      <c r="H206">
        <v>417.09</v>
      </c>
      <c r="I206" s="61">
        <v>11.89</v>
      </c>
      <c r="J206" s="16">
        <v>45538</v>
      </c>
      <c r="K206" s="25">
        <v>0.92702546296296295</v>
      </c>
      <c r="L206" s="25">
        <v>0</v>
      </c>
      <c r="M206" s="20">
        <v>0</v>
      </c>
      <c r="N206" s="20">
        <v>0</v>
      </c>
      <c r="O206" s="20">
        <v>0</v>
      </c>
      <c r="P206" s="20">
        <v>0</v>
      </c>
      <c r="Q206" s="20">
        <v>0</v>
      </c>
      <c r="R206" s="20">
        <v>0</v>
      </c>
      <c r="S206" s="20">
        <v>0</v>
      </c>
      <c r="T206" s="20">
        <v>0</v>
      </c>
      <c r="U206" s="20">
        <v>0</v>
      </c>
      <c r="V206" s="20">
        <v>0</v>
      </c>
      <c r="W206" s="20">
        <v>0</v>
      </c>
      <c r="X206" s="88">
        <f>X205</f>
        <v>11.905600000000002</v>
      </c>
      <c r="Y206" s="85"/>
    </row>
    <row r="207" spans="1:25" x14ac:dyDescent="0.25">
      <c r="A207" t="s">
        <v>109</v>
      </c>
      <c r="B207">
        <v>0</v>
      </c>
      <c r="C207" t="s">
        <v>7</v>
      </c>
      <c r="D207">
        <v>19520</v>
      </c>
      <c r="E207">
        <v>160</v>
      </c>
      <c r="F207">
        <v>2</v>
      </c>
      <c r="G207">
        <v>8</v>
      </c>
      <c r="H207">
        <v>424.19</v>
      </c>
      <c r="I207" s="61">
        <v>11.691000000000001</v>
      </c>
      <c r="J207" s="16">
        <v>45538</v>
      </c>
      <c r="K207" s="25">
        <v>0.95104166666666667</v>
      </c>
      <c r="L207" s="25">
        <v>0</v>
      </c>
      <c r="M207" s="20">
        <v>0</v>
      </c>
      <c r="N207" s="20">
        <v>0</v>
      </c>
      <c r="O207" s="20">
        <v>0</v>
      </c>
      <c r="P207" s="20">
        <v>0</v>
      </c>
      <c r="Q207" s="20">
        <v>0</v>
      </c>
      <c r="R207" s="20">
        <v>0</v>
      </c>
      <c r="S207" s="20">
        <v>0</v>
      </c>
      <c r="T207" s="20">
        <v>0</v>
      </c>
      <c r="U207" s="20">
        <v>0</v>
      </c>
      <c r="V207" s="20">
        <v>0</v>
      </c>
      <c r="W207" s="20">
        <v>0</v>
      </c>
      <c r="X207" s="88">
        <f t="shared" ref="X207" si="9">AVERAGE(I207:I211)</f>
        <v>11.872199999999998</v>
      </c>
      <c r="Y207" s="85"/>
    </row>
    <row r="208" spans="1:25" x14ac:dyDescent="0.25">
      <c r="A208" t="s">
        <v>109</v>
      </c>
      <c r="B208">
        <v>1</v>
      </c>
      <c r="C208" t="s">
        <v>7</v>
      </c>
      <c r="D208">
        <v>19520</v>
      </c>
      <c r="E208">
        <v>160</v>
      </c>
      <c r="F208">
        <v>2</v>
      </c>
      <c r="G208">
        <v>8</v>
      </c>
      <c r="H208">
        <v>417.58</v>
      </c>
      <c r="I208" s="61">
        <v>11.875999999999999</v>
      </c>
      <c r="J208" s="16">
        <v>45538</v>
      </c>
      <c r="K208" s="25">
        <v>0.97104166666666669</v>
      </c>
      <c r="L208" s="25">
        <v>0</v>
      </c>
      <c r="M208" s="20">
        <v>0</v>
      </c>
      <c r="N208" s="20">
        <v>0</v>
      </c>
      <c r="O208" s="20">
        <v>0</v>
      </c>
      <c r="P208" s="20">
        <v>0</v>
      </c>
      <c r="Q208" s="20">
        <v>0</v>
      </c>
      <c r="R208" s="20">
        <v>0</v>
      </c>
      <c r="S208" s="20">
        <v>0</v>
      </c>
      <c r="T208" s="20">
        <v>0</v>
      </c>
      <c r="U208" s="20">
        <v>0</v>
      </c>
      <c r="V208" s="20">
        <v>0</v>
      </c>
      <c r="W208" s="20">
        <v>0</v>
      </c>
      <c r="X208" s="88">
        <f t="shared" ref="X208:X211" si="10">X207</f>
        <v>11.872199999999998</v>
      </c>
      <c r="Y208" s="85"/>
    </row>
    <row r="209" spans="1:25" x14ac:dyDescent="0.25">
      <c r="A209" t="s">
        <v>109</v>
      </c>
      <c r="B209">
        <v>2</v>
      </c>
      <c r="C209" t="s">
        <v>7</v>
      </c>
      <c r="D209">
        <v>19520</v>
      </c>
      <c r="E209">
        <v>160</v>
      </c>
      <c r="F209">
        <v>2</v>
      </c>
      <c r="G209">
        <v>8</v>
      </c>
      <c r="H209">
        <v>414.86</v>
      </c>
      <c r="I209" s="61">
        <v>11.952999999999999</v>
      </c>
      <c r="J209" s="16">
        <v>45538</v>
      </c>
      <c r="K209" s="25">
        <v>0.99108796296296298</v>
      </c>
      <c r="L209" s="25">
        <v>0</v>
      </c>
      <c r="M209" s="20">
        <v>0</v>
      </c>
      <c r="N209" s="20">
        <v>0</v>
      </c>
      <c r="O209" s="20">
        <v>0</v>
      </c>
      <c r="P209" s="20">
        <v>0</v>
      </c>
      <c r="Q209" s="20">
        <v>0</v>
      </c>
      <c r="R209" s="20">
        <v>0</v>
      </c>
      <c r="S209" s="20">
        <v>0</v>
      </c>
      <c r="T209" s="20">
        <v>0</v>
      </c>
      <c r="U209" s="20">
        <v>0</v>
      </c>
      <c r="V209" s="20">
        <v>0</v>
      </c>
      <c r="W209" s="20">
        <v>0</v>
      </c>
      <c r="X209" s="88">
        <f t="shared" si="10"/>
        <v>11.872199999999998</v>
      </c>
      <c r="Y209" s="85"/>
    </row>
    <row r="210" spans="1:25" x14ac:dyDescent="0.25">
      <c r="A210" t="s">
        <v>109</v>
      </c>
      <c r="B210">
        <v>3</v>
      </c>
      <c r="C210" t="s">
        <v>7</v>
      </c>
      <c r="D210">
        <v>19520</v>
      </c>
      <c r="E210">
        <v>160</v>
      </c>
      <c r="F210">
        <v>2</v>
      </c>
      <c r="G210">
        <v>8</v>
      </c>
      <c r="H210">
        <v>413.44</v>
      </c>
      <c r="I210" s="61">
        <v>11.994999999999999</v>
      </c>
      <c r="J210" s="16">
        <v>45541</v>
      </c>
      <c r="K210" s="25">
        <v>0.3717361111111111</v>
      </c>
      <c r="L210" s="25">
        <v>0</v>
      </c>
      <c r="M210" s="20">
        <v>0</v>
      </c>
      <c r="N210" s="20">
        <v>0</v>
      </c>
      <c r="O210" s="20">
        <v>0</v>
      </c>
      <c r="P210" s="20">
        <v>0</v>
      </c>
      <c r="Q210" s="20">
        <v>0</v>
      </c>
      <c r="R210" s="20">
        <v>0</v>
      </c>
      <c r="S210" s="20">
        <v>0</v>
      </c>
      <c r="T210" s="20">
        <v>0</v>
      </c>
      <c r="U210" s="20">
        <v>0</v>
      </c>
      <c r="V210" s="20">
        <v>0</v>
      </c>
      <c r="W210" s="20">
        <v>0</v>
      </c>
      <c r="X210" s="88">
        <f t="shared" si="10"/>
        <v>11.872199999999998</v>
      </c>
      <c r="Y210" s="85"/>
    </row>
    <row r="211" spans="1:25" x14ac:dyDescent="0.25">
      <c r="A211" t="s">
        <v>109</v>
      </c>
      <c r="B211">
        <v>4</v>
      </c>
      <c r="C211" t="s">
        <v>7</v>
      </c>
      <c r="D211">
        <v>19520</v>
      </c>
      <c r="E211">
        <v>160</v>
      </c>
      <c r="F211">
        <v>2</v>
      </c>
      <c r="G211">
        <v>8</v>
      </c>
      <c r="H211">
        <v>418.63</v>
      </c>
      <c r="I211" s="61">
        <v>11.846</v>
      </c>
      <c r="J211" s="16">
        <v>45541</v>
      </c>
      <c r="K211" s="25">
        <v>0.39246527777777779</v>
      </c>
      <c r="L211" s="25">
        <v>0</v>
      </c>
      <c r="M211" s="20">
        <v>0</v>
      </c>
      <c r="N211" s="20">
        <v>0</v>
      </c>
      <c r="O211" s="20">
        <v>0</v>
      </c>
      <c r="P211" s="20">
        <v>0</v>
      </c>
      <c r="Q211" s="20">
        <v>0</v>
      </c>
      <c r="R211" s="20">
        <v>0</v>
      </c>
      <c r="S211" s="20">
        <v>0</v>
      </c>
      <c r="T211" s="20">
        <v>0</v>
      </c>
      <c r="U211" s="20">
        <v>0</v>
      </c>
      <c r="V211" s="20">
        <v>0</v>
      </c>
      <c r="W211" s="20">
        <v>0</v>
      </c>
      <c r="X211" s="88">
        <f t="shared" si="10"/>
        <v>11.872199999999998</v>
      </c>
      <c r="Y211" s="85"/>
    </row>
    <row r="212" spans="1:25" x14ac:dyDescent="0.25">
      <c r="A212" t="s">
        <v>141</v>
      </c>
      <c r="B212">
        <v>0</v>
      </c>
      <c r="C212" t="s">
        <v>7</v>
      </c>
      <c r="D212">
        <v>19520</v>
      </c>
      <c r="E212">
        <v>160</v>
      </c>
      <c r="F212">
        <v>2</v>
      </c>
      <c r="G212">
        <v>8</v>
      </c>
      <c r="H212">
        <v>413.26</v>
      </c>
      <c r="I212" s="61">
        <v>12</v>
      </c>
      <c r="J212" s="16">
        <v>45541</v>
      </c>
      <c r="K212" s="25">
        <v>0.41270833333333334</v>
      </c>
      <c r="L212" s="25">
        <v>0</v>
      </c>
      <c r="M212" s="20">
        <v>0</v>
      </c>
      <c r="N212" s="20">
        <v>0</v>
      </c>
      <c r="O212" s="20">
        <v>0</v>
      </c>
      <c r="P212" s="20">
        <v>0</v>
      </c>
      <c r="Q212" s="20">
        <v>0</v>
      </c>
      <c r="R212" s="20">
        <v>0</v>
      </c>
      <c r="S212" s="20">
        <v>0</v>
      </c>
      <c r="T212" s="20">
        <v>0</v>
      </c>
      <c r="U212" s="20">
        <v>0</v>
      </c>
      <c r="V212" s="20">
        <v>0</v>
      </c>
      <c r="W212" s="20">
        <v>0</v>
      </c>
      <c r="X212" s="88">
        <f t="shared" ref="X212" si="11">AVERAGE(I212:I216)</f>
        <v>11.813399999999998</v>
      </c>
      <c r="Y212" s="85"/>
    </row>
    <row r="213" spans="1:25" x14ac:dyDescent="0.25">
      <c r="A213" t="s">
        <v>141</v>
      </c>
      <c r="B213">
        <v>1</v>
      </c>
      <c r="C213" t="s">
        <v>7</v>
      </c>
      <c r="D213">
        <v>19520</v>
      </c>
      <c r="E213">
        <v>160</v>
      </c>
      <c r="F213">
        <v>2</v>
      </c>
      <c r="G213">
        <v>8</v>
      </c>
      <c r="H213">
        <v>421.38</v>
      </c>
      <c r="I213" s="61">
        <v>11.769</v>
      </c>
      <c r="J213" s="16">
        <v>45541</v>
      </c>
      <c r="K213" s="25">
        <v>0.43315972222222221</v>
      </c>
      <c r="L213" s="25">
        <v>0</v>
      </c>
      <c r="M213" s="20">
        <v>0</v>
      </c>
      <c r="N213" s="20">
        <v>0</v>
      </c>
      <c r="O213" s="20">
        <v>0</v>
      </c>
      <c r="P213" s="20">
        <v>0</v>
      </c>
      <c r="Q213" s="20">
        <v>0</v>
      </c>
      <c r="R213" s="20">
        <v>0</v>
      </c>
      <c r="S213" s="20">
        <v>0</v>
      </c>
      <c r="T213" s="20">
        <v>0</v>
      </c>
      <c r="U213" s="20">
        <v>0</v>
      </c>
      <c r="V213" s="20">
        <v>0</v>
      </c>
      <c r="W213" s="20">
        <v>0</v>
      </c>
      <c r="X213" s="88">
        <f t="shared" ref="X213:X216" si="12">X212</f>
        <v>11.813399999999998</v>
      </c>
      <c r="Y213" s="85"/>
    </row>
    <row r="214" spans="1:25" x14ac:dyDescent="0.25">
      <c r="A214" t="s">
        <v>141</v>
      </c>
      <c r="B214">
        <v>2</v>
      </c>
      <c r="C214" t="s">
        <v>7</v>
      </c>
      <c r="D214">
        <v>19520</v>
      </c>
      <c r="E214">
        <v>160</v>
      </c>
      <c r="F214">
        <v>2</v>
      </c>
      <c r="G214">
        <v>8</v>
      </c>
      <c r="H214">
        <v>428.2</v>
      </c>
      <c r="I214" s="61">
        <v>11.581</v>
      </c>
      <c r="J214" s="16">
        <v>45541</v>
      </c>
      <c r="K214" s="25">
        <v>0.45384259259259258</v>
      </c>
      <c r="L214" s="25">
        <v>0</v>
      </c>
      <c r="M214" s="20">
        <v>0</v>
      </c>
      <c r="N214" s="20">
        <v>0</v>
      </c>
      <c r="O214" s="20">
        <v>0</v>
      </c>
      <c r="P214" s="20">
        <v>0</v>
      </c>
      <c r="Q214" s="20">
        <v>0</v>
      </c>
      <c r="R214" s="20">
        <v>0</v>
      </c>
      <c r="S214" s="20">
        <v>0</v>
      </c>
      <c r="T214" s="20">
        <v>0</v>
      </c>
      <c r="U214" s="20">
        <v>0</v>
      </c>
      <c r="V214" s="20">
        <v>0</v>
      </c>
      <c r="W214" s="20">
        <v>0</v>
      </c>
      <c r="X214" s="88">
        <f t="shared" si="12"/>
        <v>11.813399999999998</v>
      </c>
      <c r="Y214" s="85"/>
    </row>
    <row r="215" spans="1:25" x14ac:dyDescent="0.25">
      <c r="A215" t="s">
        <v>141</v>
      </c>
      <c r="B215">
        <v>3</v>
      </c>
      <c r="C215" t="s">
        <v>7</v>
      </c>
      <c r="D215">
        <v>19520</v>
      </c>
      <c r="E215">
        <v>160</v>
      </c>
      <c r="F215">
        <v>2</v>
      </c>
      <c r="G215">
        <v>8</v>
      </c>
      <c r="H215">
        <v>420.43</v>
      </c>
      <c r="I215" s="61">
        <v>11.795</v>
      </c>
      <c r="J215" s="16">
        <v>45541</v>
      </c>
      <c r="K215" s="25">
        <v>0.47440972222222222</v>
      </c>
      <c r="L215" s="25">
        <v>0</v>
      </c>
      <c r="M215" s="20">
        <v>0</v>
      </c>
      <c r="N215" s="20">
        <v>0</v>
      </c>
      <c r="O215" s="20">
        <v>0</v>
      </c>
      <c r="P215" s="20">
        <v>0</v>
      </c>
      <c r="Q215" s="20">
        <v>0</v>
      </c>
      <c r="R215" s="20">
        <v>0</v>
      </c>
      <c r="S215" s="20">
        <v>0</v>
      </c>
      <c r="T215" s="20">
        <v>0</v>
      </c>
      <c r="U215" s="20">
        <v>0</v>
      </c>
      <c r="V215" s="20">
        <v>0</v>
      </c>
      <c r="W215" s="20">
        <v>0</v>
      </c>
      <c r="X215" s="88">
        <f t="shared" si="12"/>
        <v>11.813399999999998</v>
      </c>
      <c r="Y215" s="85"/>
    </row>
    <row r="216" spans="1:25" x14ac:dyDescent="0.25">
      <c r="A216" t="s">
        <v>141</v>
      </c>
      <c r="B216">
        <v>4</v>
      </c>
      <c r="C216" t="s">
        <v>7</v>
      </c>
      <c r="D216">
        <v>19520</v>
      </c>
      <c r="E216">
        <v>160</v>
      </c>
      <c r="F216">
        <v>2</v>
      </c>
      <c r="G216">
        <v>8</v>
      </c>
      <c r="H216">
        <v>415.97</v>
      </c>
      <c r="I216" s="61">
        <v>11.922000000000001</v>
      </c>
      <c r="J216" s="16">
        <v>45541</v>
      </c>
      <c r="K216" s="25">
        <v>0.49493055555555554</v>
      </c>
      <c r="L216" s="25">
        <v>0</v>
      </c>
      <c r="M216" s="20">
        <v>0</v>
      </c>
      <c r="N216" s="20">
        <v>0</v>
      </c>
      <c r="O216" s="20">
        <v>0</v>
      </c>
      <c r="P216" s="20">
        <v>0</v>
      </c>
      <c r="Q216" s="20">
        <v>0</v>
      </c>
      <c r="R216" s="20">
        <v>0</v>
      </c>
      <c r="S216" s="20">
        <v>0</v>
      </c>
      <c r="T216" s="20">
        <v>0</v>
      </c>
      <c r="U216" s="20">
        <v>0</v>
      </c>
      <c r="V216" s="20">
        <v>0</v>
      </c>
      <c r="W216" s="20">
        <v>0</v>
      </c>
      <c r="X216" s="88">
        <f t="shared" si="12"/>
        <v>11.813399999999998</v>
      </c>
      <c r="Y216" s="85"/>
    </row>
    <row r="217" spans="1:25" x14ac:dyDescent="0.25">
      <c r="A217" t="s">
        <v>111</v>
      </c>
      <c r="B217">
        <v>0</v>
      </c>
      <c r="C217" t="s">
        <v>7</v>
      </c>
      <c r="D217">
        <v>19584</v>
      </c>
      <c r="E217">
        <v>192</v>
      </c>
      <c r="F217">
        <v>2</v>
      </c>
      <c r="G217">
        <v>8</v>
      </c>
      <c r="H217">
        <v>418.44</v>
      </c>
      <c r="I217" s="61">
        <v>11.968</v>
      </c>
      <c r="J217" s="16">
        <v>45538</v>
      </c>
      <c r="K217" s="25">
        <v>0.84099537037037042</v>
      </c>
      <c r="L217" s="25">
        <v>0</v>
      </c>
      <c r="M217" s="20">
        <v>0</v>
      </c>
      <c r="N217" s="20">
        <v>0</v>
      </c>
      <c r="O217" s="20">
        <v>0</v>
      </c>
      <c r="P217" s="20">
        <v>0</v>
      </c>
      <c r="Q217" s="20">
        <v>0</v>
      </c>
      <c r="R217" s="20">
        <v>0</v>
      </c>
      <c r="S217" s="20">
        <v>0</v>
      </c>
      <c r="T217" s="20">
        <v>0</v>
      </c>
      <c r="U217" s="20">
        <v>0</v>
      </c>
      <c r="V217" s="20">
        <v>0</v>
      </c>
      <c r="W217" s="20">
        <v>0</v>
      </c>
      <c r="X217" s="88">
        <f t="shared" ref="X217" si="13">AVERAGE(I217:I221)</f>
        <v>11.905600000000002</v>
      </c>
      <c r="Y217" s="85"/>
    </row>
    <row r="218" spans="1:25" x14ac:dyDescent="0.25">
      <c r="A218" t="s">
        <v>111</v>
      </c>
      <c r="B218">
        <v>1</v>
      </c>
      <c r="C218" t="s">
        <v>7</v>
      </c>
      <c r="D218">
        <v>19584</v>
      </c>
      <c r="E218">
        <v>192</v>
      </c>
      <c r="F218">
        <v>2</v>
      </c>
      <c r="G218">
        <v>8</v>
      </c>
      <c r="H218">
        <v>418.28</v>
      </c>
      <c r="I218" s="61">
        <v>11.973000000000001</v>
      </c>
      <c r="J218" s="16">
        <v>45538</v>
      </c>
      <c r="K218" s="25">
        <v>0.86129629629629634</v>
      </c>
      <c r="L218" s="25">
        <v>0</v>
      </c>
      <c r="M218" s="20">
        <v>0</v>
      </c>
      <c r="N218" s="20">
        <v>0</v>
      </c>
      <c r="O218" s="20">
        <v>0</v>
      </c>
      <c r="P218" s="20">
        <v>0</v>
      </c>
      <c r="Q218" s="20">
        <v>0</v>
      </c>
      <c r="R218" s="20">
        <v>0</v>
      </c>
      <c r="S218" s="20">
        <v>0</v>
      </c>
      <c r="T218" s="20">
        <v>0</v>
      </c>
      <c r="U218" s="20">
        <v>0</v>
      </c>
      <c r="V218" s="20">
        <v>0</v>
      </c>
      <c r="W218" s="20">
        <v>0</v>
      </c>
      <c r="X218" s="88">
        <f t="shared" ref="X218:X221" si="14">X217</f>
        <v>11.905600000000002</v>
      </c>
      <c r="Y218" s="85"/>
    </row>
    <row r="219" spans="1:25" x14ac:dyDescent="0.25">
      <c r="A219" t="s">
        <v>111</v>
      </c>
      <c r="B219">
        <v>2</v>
      </c>
      <c r="C219" t="s">
        <v>7</v>
      </c>
      <c r="D219">
        <v>19584</v>
      </c>
      <c r="E219">
        <v>192</v>
      </c>
      <c r="F219">
        <v>2</v>
      </c>
      <c r="G219">
        <v>8</v>
      </c>
      <c r="H219">
        <v>416.1</v>
      </c>
      <c r="I219" s="61">
        <v>12.036</v>
      </c>
      <c r="J219" s="16">
        <v>45538</v>
      </c>
      <c r="K219" s="25">
        <v>0.88480324074074079</v>
      </c>
      <c r="L219" s="25">
        <v>0</v>
      </c>
      <c r="M219" s="20">
        <v>0</v>
      </c>
      <c r="N219" s="20">
        <v>0</v>
      </c>
      <c r="O219" s="20">
        <v>0</v>
      </c>
      <c r="P219" s="20">
        <v>0</v>
      </c>
      <c r="Q219" s="20">
        <v>0</v>
      </c>
      <c r="R219" s="20">
        <v>0</v>
      </c>
      <c r="S219" s="20">
        <v>0</v>
      </c>
      <c r="T219" s="20">
        <v>0</v>
      </c>
      <c r="U219" s="20">
        <v>0</v>
      </c>
      <c r="V219" s="20">
        <v>0</v>
      </c>
      <c r="W219" s="20">
        <v>0</v>
      </c>
      <c r="X219" s="88">
        <f t="shared" si="14"/>
        <v>11.905600000000002</v>
      </c>
      <c r="Y219" s="85"/>
    </row>
    <row r="220" spans="1:25" x14ac:dyDescent="0.25">
      <c r="A220" t="s">
        <v>111</v>
      </c>
      <c r="B220">
        <v>3</v>
      </c>
      <c r="C220" t="s">
        <v>7</v>
      </c>
      <c r="D220">
        <v>19584</v>
      </c>
      <c r="E220">
        <v>192</v>
      </c>
      <c r="F220">
        <v>2</v>
      </c>
      <c r="G220">
        <v>8</v>
      </c>
      <c r="H220">
        <v>430.67</v>
      </c>
      <c r="I220" s="61">
        <v>11.628</v>
      </c>
      <c r="J220" s="16">
        <v>45538</v>
      </c>
      <c r="K220" s="25">
        <v>0.90895833333333331</v>
      </c>
      <c r="L220" s="25">
        <v>0</v>
      </c>
      <c r="M220" s="20">
        <v>0</v>
      </c>
      <c r="N220" s="20">
        <v>0</v>
      </c>
      <c r="O220" s="20">
        <v>0</v>
      </c>
      <c r="P220" s="20">
        <v>0</v>
      </c>
      <c r="Q220" s="20">
        <v>0</v>
      </c>
      <c r="R220" s="20">
        <v>0</v>
      </c>
      <c r="S220" s="20">
        <v>0</v>
      </c>
      <c r="T220" s="20">
        <v>0</v>
      </c>
      <c r="U220" s="20">
        <v>0</v>
      </c>
      <c r="V220" s="20">
        <v>0</v>
      </c>
      <c r="W220" s="20">
        <v>0</v>
      </c>
      <c r="X220" s="88">
        <f t="shared" si="14"/>
        <v>11.905600000000002</v>
      </c>
      <c r="Y220" s="85"/>
    </row>
    <row r="221" spans="1:25" x14ac:dyDescent="0.25">
      <c r="A221" t="s">
        <v>111</v>
      </c>
      <c r="B221">
        <v>4</v>
      </c>
      <c r="C221" t="s">
        <v>7</v>
      </c>
      <c r="D221">
        <v>19584</v>
      </c>
      <c r="E221">
        <v>192</v>
      </c>
      <c r="F221">
        <v>2</v>
      </c>
      <c r="G221">
        <v>8</v>
      </c>
      <c r="H221">
        <v>420.01</v>
      </c>
      <c r="I221" s="61">
        <v>11.923</v>
      </c>
      <c r="J221" s="16">
        <v>45538</v>
      </c>
      <c r="K221" s="25">
        <v>0.93298611111111107</v>
      </c>
      <c r="L221" s="25">
        <v>0</v>
      </c>
      <c r="M221" s="20">
        <v>0</v>
      </c>
      <c r="N221" s="20">
        <v>0</v>
      </c>
      <c r="O221" s="20">
        <v>0</v>
      </c>
      <c r="P221" s="20">
        <v>0</v>
      </c>
      <c r="Q221" s="20">
        <v>0</v>
      </c>
      <c r="R221" s="20">
        <v>0</v>
      </c>
      <c r="S221" s="20">
        <v>0</v>
      </c>
      <c r="T221" s="20">
        <v>0</v>
      </c>
      <c r="U221" s="20">
        <v>0</v>
      </c>
      <c r="V221" s="20">
        <v>0</v>
      </c>
      <c r="W221" s="20">
        <v>0</v>
      </c>
      <c r="X221" s="88">
        <f t="shared" si="14"/>
        <v>11.905600000000002</v>
      </c>
      <c r="Y221" s="85"/>
    </row>
    <row r="222" spans="1:25" x14ac:dyDescent="0.25">
      <c r="A222" t="s">
        <v>109</v>
      </c>
      <c r="B222">
        <v>0</v>
      </c>
      <c r="C222" t="s">
        <v>7</v>
      </c>
      <c r="D222">
        <v>19584</v>
      </c>
      <c r="E222">
        <v>192</v>
      </c>
      <c r="F222">
        <v>2</v>
      </c>
      <c r="G222">
        <v>8</v>
      </c>
      <c r="H222">
        <v>426.68</v>
      </c>
      <c r="I222" s="61">
        <v>11.737</v>
      </c>
      <c r="J222" s="16">
        <v>45538</v>
      </c>
      <c r="K222" s="25">
        <v>0.95706018518518521</v>
      </c>
      <c r="L222" s="25">
        <v>0</v>
      </c>
      <c r="M222" s="20">
        <v>0</v>
      </c>
      <c r="N222" s="20">
        <v>0</v>
      </c>
      <c r="O222" s="20">
        <v>0</v>
      </c>
      <c r="P222" s="20">
        <v>0</v>
      </c>
      <c r="Q222" s="20">
        <v>0</v>
      </c>
      <c r="R222" s="20">
        <v>0</v>
      </c>
      <c r="S222" s="20">
        <v>0</v>
      </c>
      <c r="T222" s="20">
        <v>0</v>
      </c>
      <c r="U222" s="20">
        <v>0</v>
      </c>
      <c r="V222" s="20">
        <v>0</v>
      </c>
      <c r="W222" s="20">
        <v>0</v>
      </c>
      <c r="X222" s="88">
        <f t="shared" ref="X222" si="15">AVERAGE(I222:I226)</f>
        <v>11.7798</v>
      </c>
      <c r="Y222" s="85"/>
    </row>
    <row r="223" spans="1:25" x14ac:dyDescent="0.25">
      <c r="A223" t="s">
        <v>109</v>
      </c>
      <c r="B223">
        <v>1</v>
      </c>
      <c r="C223" t="s">
        <v>7</v>
      </c>
      <c r="D223">
        <v>19584</v>
      </c>
      <c r="E223">
        <v>192</v>
      </c>
      <c r="F223">
        <v>2</v>
      </c>
      <c r="G223">
        <v>8</v>
      </c>
      <c r="H223">
        <v>427.45</v>
      </c>
      <c r="I223" s="61">
        <v>11.715999999999999</v>
      </c>
      <c r="J223" s="16">
        <v>45538</v>
      </c>
      <c r="K223" s="25">
        <v>0.97707175925925926</v>
      </c>
      <c r="L223" s="25">
        <v>0</v>
      </c>
      <c r="M223" s="20">
        <v>0</v>
      </c>
      <c r="N223" s="20">
        <v>0</v>
      </c>
      <c r="O223" s="20">
        <v>0</v>
      </c>
      <c r="P223" s="20">
        <v>0</v>
      </c>
      <c r="Q223" s="20">
        <v>0</v>
      </c>
      <c r="R223" s="20">
        <v>0</v>
      </c>
      <c r="S223" s="20">
        <v>0</v>
      </c>
      <c r="T223" s="20">
        <v>0</v>
      </c>
      <c r="U223" s="20">
        <v>0</v>
      </c>
      <c r="V223" s="20">
        <v>0</v>
      </c>
      <c r="W223" s="20">
        <v>0</v>
      </c>
      <c r="X223" s="88">
        <f t="shared" ref="X223:X226" si="16">X222</f>
        <v>11.7798</v>
      </c>
      <c r="Y223" s="85"/>
    </row>
    <row r="224" spans="1:25" x14ac:dyDescent="0.25">
      <c r="A224" t="s">
        <v>109</v>
      </c>
      <c r="B224">
        <v>2</v>
      </c>
      <c r="C224" t="s">
        <v>7</v>
      </c>
      <c r="D224">
        <v>19584</v>
      </c>
      <c r="E224">
        <v>192</v>
      </c>
      <c r="F224">
        <v>2</v>
      </c>
      <c r="G224">
        <v>8</v>
      </c>
      <c r="H224">
        <v>413.22</v>
      </c>
      <c r="I224" s="61">
        <v>12.12</v>
      </c>
      <c r="J224" s="16">
        <v>45539</v>
      </c>
      <c r="K224" s="25">
        <v>0.39765046296296297</v>
      </c>
      <c r="L224" s="25">
        <v>0</v>
      </c>
      <c r="M224" s="20">
        <v>0</v>
      </c>
      <c r="N224" s="20">
        <v>0</v>
      </c>
      <c r="O224" s="20">
        <v>0</v>
      </c>
      <c r="P224" s="20">
        <v>0</v>
      </c>
      <c r="Q224" s="20">
        <v>0</v>
      </c>
      <c r="R224" s="20">
        <v>0</v>
      </c>
      <c r="S224" s="20">
        <v>0</v>
      </c>
      <c r="T224" s="20">
        <v>0</v>
      </c>
      <c r="U224" s="20">
        <v>0</v>
      </c>
      <c r="V224" s="20">
        <v>0</v>
      </c>
      <c r="W224" s="20">
        <v>0</v>
      </c>
      <c r="X224" s="88">
        <f t="shared" si="16"/>
        <v>11.7798</v>
      </c>
      <c r="Y224" s="85"/>
    </row>
    <row r="225" spans="1:25" x14ac:dyDescent="0.25">
      <c r="A225" t="s">
        <v>109</v>
      </c>
      <c r="B225">
        <v>3</v>
      </c>
      <c r="C225" t="s">
        <v>7</v>
      </c>
      <c r="D225">
        <v>19584</v>
      </c>
      <c r="E225">
        <v>192</v>
      </c>
      <c r="F225">
        <v>2</v>
      </c>
      <c r="G225">
        <v>8</v>
      </c>
      <c r="H225">
        <v>445.24</v>
      </c>
      <c r="I225" s="61">
        <v>11.247999999999999</v>
      </c>
      <c r="J225" s="16">
        <v>45541</v>
      </c>
      <c r="K225" s="25">
        <v>0.37709490740740742</v>
      </c>
      <c r="L225" s="25">
        <v>0</v>
      </c>
      <c r="M225" s="20">
        <v>0</v>
      </c>
      <c r="N225" s="20">
        <v>0</v>
      </c>
      <c r="O225" s="20">
        <v>0</v>
      </c>
      <c r="P225" s="20">
        <v>0</v>
      </c>
      <c r="Q225" s="20">
        <v>0</v>
      </c>
      <c r="R225" s="20">
        <v>0</v>
      </c>
      <c r="S225" s="20">
        <v>0</v>
      </c>
      <c r="T225" s="20">
        <v>0</v>
      </c>
      <c r="U225" s="20">
        <v>0</v>
      </c>
      <c r="V225" s="20">
        <v>0</v>
      </c>
      <c r="W225" s="20">
        <v>0</v>
      </c>
      <c r="X225" s="88">
        <f t="shared" si="16"/>
        <v>11.7798</v>
      </c>
      <c r="Y225" s="85"/>
    </row>
    <row r="226" spans="1:25" x14ac:dyDescent="0.25">
      <c r="A226" t="s">
        <v>109</v>
      </c>
      <c r="B226">
        <v>4</v>
      </c>
      <c r="C226" t="s">
        <v>7</v>
      </c>
      <c r="D226">
        <v>19584</v>
      </c>
      <c r="E226">
        <v>192</v>
      </c>
      <c r="F226">
        <v>2</v>
      </c>
      <c r="G226">
        <v>8</v>
      </c>
      <c r="H226">
        <v>414.64</v>
      </c>
      <c r="I226" s="61">
        <v>12.077999999999999</v>
      </c>
      <c r="J226" s="16">
        <v>45541</v>
      </c>
      <c r="K226" s="25">
        <v>0.39747685185185183</v>
      </c>
      <c r="L226" s="25">
        <v>0</v>
      </c>
      <c r="M226" s="20">
        <v>0</v>
      </c>
      <c r="N226" s="20">
        <v>0</v>
      </c>
      <c r="O226" s="20">
        <v>0</v>
      </c>
      <c r="P226" s="20">
        <v>0</v>
      </c>
      <c r="Q226" s="20">
        <v>0</v>
      </c>
      <c r="R226" s="20">
        <v>0</v>
      </c>
      <c r="S226" s="20">
        <v>0</v>
      </c>
      <c r="T226" s="20">
        <v>0</v>
      </c>
      <c r="U226" s="20">
        <v>0</v>
      </c>
      <c r="V226" s="20">
        <v>0</v>
      </c>
      <c r="W226" s="20">
        <v>0</v>
      </c>
      <c r="X226" s="88">
        <f t="shared" si="16"/>
        <v>11.7798</v>
      </c>
      <c r="Y226" s="85"/>
    </row>
    <row r="227" spans="1:25" x14ac:dyDescent="0.25">
      <c r="A227" t="s">
        <v>141</v>
      </c>
      <c r="B227">
        <v>0</v>
      </c>
      <c r="C227" t="s">
        <v>7</v>
      </c>
      <c r="D227">
        <v>19584</v>
      </c>
      <c r="E227">
        <v>192</v>
      </c>
      <c r="F227">
        <v>2</v>
      </c>
      <c r="G227">
        <v>8</v>
      </c>
      <c r="H227">
        <v>426.15</v>
      </c>
      <c r="I227" s="61">
        <v>11.752000000000001</v>
      </c>
      <c r="J227" s="16">
        <v>45541</v>
      </c>
      <c r="K227" s="25">
        <v>0.4178472222222222</v>
      </c>
      <c r="L227" s="25">
        <v>0</v>
      </c>
      <c r="M227" s="20">
        <v>0</v>
      </c>
      <c r="N227" s="20">
        <v>0</v>
      </c>
      <c r="O227" s="20">
        <v>0</v>
      </c>
      <c r="P227" s="20">
        <v>0</v>
      </c>
      <c r="Q227" s="20">
        <v>0</v>
      </c>
      <c r="R227" s="20">
        <v>0</v>
      </c>
      <c r="S227" s="20">
        <v>0</v>
      </c>
      <c r="T227" s="20">
        <v>0</v>
      </c>
      <c r="U227" s="20">
        <v>0</v>
      </c>
      <c r="V227" s="20">
        <v>0</v>
      </c>
      <c r="W227" s="20">
        <v>0</v>
      </c>
      <c r="X227" s="88">
        <f t="shared" ref="X227" si="17">AVERAGE(I227:I231)</f>
        <v>11.709399999999999</v>
      </c>
      <c r="Y227" s="85"/>
    </row>
    <row r="228" spans="1:25" x14ac:dyDescent="0.25">
      <c r="A228" t="s">
        <v>141</v>
      </c>
      <c r="B228">
        <v>1</v>
      </c>
      <c r="C228" t="s">
        <v>7</v>
      </c>
      <c r="D228">
        <v>19584</v>
      </c>
      <c r="E228">
        <v>192</v>
      </c>
      <c r="F228">
        <v>2</v>
      </c>
      <c r="G228">
        <v>8</v>
      </c>
      <c r="H228">
        <v>419.18</v>
      </c>
      <c r="I228" s="61">
        <v>11.946999999999999</v>
      </c>
      <c r="J228" s="16">
        <v>45541</v>
      </c>
      <c r="K228" s="25">
        <v>0.43821759259259258</v>
      </c>
      <c r="L228" s="25">
        <v>0</v>
      </c>
      <c r="M228" s="20">
        <v>0</v>
      </c>
      <c r="N228" s="20">
        <v>0</v>
      </c>
      <c r="O228" s="20">
        <v>0</v>
      </c>
      <c r="P228" s="20">
        <v>0</v>
      </c>
      <c r="Q228" s="20">
        <v>0</v>
      </c>
      <c r="R228" s="20">
        <v>0</v>
      </c>
      <c r="S228" s="20">
        <v>0</v>
      </c>
      <c r="T228" s="20">
        <v>0</v>
      </c>
      <c r="U228" s="20">
        <v>0</v>
      </c>
      <c r="V228" s="20">
        <v>0</v>
      </c>
      <c r="W228" s="20">
        <v>0</v>
      </c>
      <c r="X228" s="88">
        <f t="shared" ref="X228:X230" si="18">X227</f>
        <v>11.709399999999999</v>
      </c>
      <c r="Y228" s="85"/>
    </row>
    <row r="229" spans="1:25" x14ac:dyDescent="0.25">
      <c r="A229" t="s">
        <v>141</v>
      </c>
      <c r="B229">
        <v>2</v>
      </c>
      <c r="C229" t="s">
        <v>7</v>
      </c>
      <c r="D229">
        <v>19584</v>
      </c>
      <c r="E229">
        <v>192</v>
      </c>
      <c r="F229">
        <v>2</v>
      </c>
      <c r="G229">
        <v>8</v>
      </c>
      <c r="H229">
        <v>428.2</v>
      </c>
      <c r="I229" s="61">
        <v>11.695</v>
      </c>
      <c r="J229" s="16">
        <v>45541</v>
      </c>
      <c r="K229" s="25">
        <v>0.45901620370370372</v>
      </c>
      <c r="L229" s="25">
        <v>0</v>
      </c>
      <c r="M229" s="20">
        <v>0</v>
      </c>
      <c r="N229" s="20">
        <v>0</v>
      </c>
      <c r="O229" s="20">
        <v>0</v>
      </c>
      <c r="P229" s="20">
        <v>0</v>
      </c>
      <c r="Q229" s="20">
        <v>0</v>
      </c>
      <c r="R229" s="20">
        <v>0</v>
      </c>
      <c r="S229" s="20">
        <v>0</v>
      </c>
      <c r="T229" s="20">
        <v>0</v>
      </c>
      <c r="U229" s="20">
        <v>0</v>
      </c>
      <c r="V229" s="20">
        <v>0</v>
      </c>
      <c r="W229" s="20">
        <v>0</v>
      </c>
      <c r="X229" s="88">
        <f t="shared" si="18"/>
        <v>11.709399999999999</v>
      </c>
      <c r="Y229" s="85"/>
    </row>
    <row r="230" spans="1:25" x14ac:dyDescent="0.25">
      <c r="A230" t="s">
        <v>141</v>
      </c>
      <c r="B230">
        <v>3</v>
      </c>
      <c r="C230" t="s">
        <v>7</v>
      </c>
      <c r="D230">
        <v>19584</v>
      </c>
      <c r="E230">
        <v>192</v>
      </c>
      <c r="F230">
        <v>2</v>
      </c>
      <c r="G230">
        <v>8</v>
      </c>
      <c r="H230">
        <v>433.11</v>
      </c>
      <c r="I230" s="61">
        <v>11.563000000000001</v>
      </c>
      <c r="J230" s="16">
        <v>45541</v>
      </c>
      <c r="K230" s="25">
        <v>0.47962962962962963</v>
      </c>
      <c r="L230" s="25">
        <v>0</v>
      </c>
      <c r="M230" s="20">
        <v>0</v>
      </c>
      <c r="N230" s="20">
        <v>0</v>
      </c>
      <c r="O230" s="20">
        <v>0</v>
      </c>
      <c r="P230" s="20">
        <v>0</v>
      </c>
      <c r="Q230" s="20">
        <v>0</v>
      </c>
      <c r="R230" s="20">
        <v>0</v>
      </c>
      <c r="S230" s="20">
        <v>0</v>
      </c>
      <c r="T230" s="20">
        <v>0</v>
      </c>
      <c r="U230" s="20">
        <v>0</v>
      </c>
      <c r="V230" s="20">
        <v>0</v>
      </c>
      <c r="W230" s="20">
        <v>0</v>
      </c>
      <c r="X230" s="88">
        <f t="shared" si="18"/>
        <v>11.709399999999999</v>
      </c>
      <c r="Y230" s="85"/>
    </row>
    <row r="231" spans="1:25" x14ac:dyDescent="0.25">
      <c r="A231" t="s">
        <v>141</v>
      </c>
      <c r="B231">
        <v>4</v>
      </c>
      <c r="C231" t="s">
        <v>7</v>
      </c>
      <c r="D231">
        <v>19584</v>
      </c>
      <c r="E231">
        <v>192</v>
      </c>
      <c r="F231">
        <v>2</v>
      </c>
      <c r="G231">
        <v>8</v>
      </c>
      <c r="H231">
        <v>432.1</v>
      </c>
      <c r="I231" s="61">
        <v>11.59</v>
      </c>
      <c r="J231" s="16">
        <v>45541</v>
      </c>
      <c r="K231" s="25">
        <v>0.50013888888888891</v>
      </c>
      <c r="L231" s="25">
        <v>0</v>
      </c>
      <c r="M231" s="20">
        <v>0</v>
      </c>
      <c r="N231" s="20">
        <v>0</v>
      </c>
      <c r="O231" s="20">
        <v>0</v>
      </c>
      <c r="P231" s="20">
        <v>0</v>
      </c>
      <c r="Q231" s="20">
        <v>0</v>
      </c>
      <c r="R231" s="20">
        <v>0</v>
      </c>
      <c r="S231" s="20">
        <v>0</v>
      </c>
      <c r="T231" s="20">
        <v>0</v>
      </c>
      <c r="U231" s="20">
        <v>0</v>
      </c>
      <c r="V231" s="20">
        <v>0</v>
      </c>
      <c r="W231" s="20">
        <v>0</v>
      </c>
      <c r="X231" s="88">
        <f>X230</f>
        <v>11.709399999999999</v>
      </c>
      <c r="Y231" s="85"/>
    </row>
  </sheetData>
  <sortState xmlns:xlrd2="http://schemas.microsoft.com/office/spreadsheetml/2017/richdata2" ref="A172:X231">
    <sortCondition ref="E172:E231"/>
    <sortCondition descending="1" ref="X172:X231"/>
    <sortCondition ref="A172:A231"/>
    <sortCondition ref="B172:B231"/>
  </sortState>
  <mergeCells count="8">
    <mergeCell ref="B1:E1"/>
    <mergeCell ref="A2:C2"/>
    <mergeCell ref="X1:X3"/>
    <mergeCell ref="L1:W1"/>
    <mergeCell ref="L2:N2"/>
    <mergeCell ref="O2:Q2"/>
    <mergeCell ref="R2:T2"/>
    <mergeCell ref="U2:W2"/>
  </mergeCells>
  <conditionalFormatting sqref="X4:X63">
    <cfRule type="colorScale" priority="6">
      <colorScale>
        <cfvo type="min"/>
        <cfvo type="percentile" val="50"/>
        <cfvo type="max"/>
        <color rgb="FFF8696B"/>
        <color rgb="FFFFEB84"/>
        <color rgb="FF63BE7B"/>
      </colorScale>
    </cfRule>
  </conditionalFormatting>
  <conditionalFormatting sqref="X66:X165">
    <cfRule type="colorScale" priority="2">
      <colorScale>
        <cfvo type="min"/>
        <cfvo type="percentile" val="50"/>
        <cfvo type="max"/>
        <color rgb="FFF8696B"/>
        <color rgb="FFFFEB84"/>
        <color rgb="FF63BE7B"/>
      </colorScale>
    </cfRule>
  </conditionalFormatting>
  <conditionalFormatting sqref="X172:X23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418EC-212A-49E2-87A4-F1AD311DEF60}">
  <dimension ref="A1:BN249"/>
  <sheetViews>
    <sheetView topLeftCell="AB1" zoomScaleNormal="100" workbookViewId="0">
      <selection activeCell="BJ1" sqref="BJ1:BM1"/>
    </sheetView>
  </sheetViews>
  <sheetFormatPr defaultRowHeight="15" x14ac:dyDescent="0.25"/>
  <cols>
    <col min="9" max="9" width="9.140625" style="23"/>
    <col min="26" max="26" width="9.140625" style="23"/>
    <col min="43" max="43" width="9.140625" style="23"/>
    <col min="60" max="60" width="9.140625" style="79"/>
  </cols>
  <sheetData>
    <row r="1" spans="1:66" x14ac:dyDescent="0.25">
      <c r="A1" s="105" t="s">
        <v>112</v>
      </c>
      <c r="B1" s="105"/>
      <c r="C1" s="105"/>
      <c r="D1" s="105"/>
      <c r="E1" s="105"/>
      <c r="F1" s="29">
        <f>MAX(O:O)</f>
        <v>4.9740599999999997</v>
      </c>
      <c r="G1" s="30">
        <f>INDEX(D:D,MATCH(MAX($O:$O),$O:$O,0))</f>
        <v>9760</v>
      </c>
      <c r="H1" s="30">
        <f t="shared" ref="H1:J1" si="0">INDEX(E:E,MATCH(MAX($O:$O),$O:$O,0))</f>
        <v>160</v>
      </c>
      <c r="I1" s="30">
        <f t="shared" si="0"/>
        <v>1</v>
      </c>
      <c r="J1" s="30">
        <f t="shared" si="0"/>
        <v>4</v>
      </c>
      <c r="K1" s="106" t="s">
        <v>153</v>
      </c>
      <c r="L1" s="107"/>
      <c r="M1" s="107"/>
      <c r="N1" s="107"/>
      <c r="O1" s="109" t="s">
        <v>113</v>
      </c>
      <c r="R1" s="105" t="s">
        <v>112</v>
      </c>
      <c r="S1" s="105"/>
      <c r="T1" s="105"/>
      <c r="U1" s="105"/>
      <c r="V1" s="105"/>
      <c r="W1" s="29">
        <f>MAX(AF:AF)</f>
        <v>4.9805600000000005</v>
      </c>
      <c r="X1" s="30">
        <f>INDEX(U:U,MATCH(MAX($AF:$AF),$AF:$AF,0))</f>
        <v>9760</v>
      </c>
      <c r="Y1" s="30">
        <f t="shared" ref="Y1:AA1" si="1">INDEX(V:V,MATCH(MAX($AF:$AF),$AF:$AF,0))</f>
        <v>160</v>
      </c>
      <c r="Z1" s="30">
        <f t="shared" si="1"/>
        <v>1</v>
      </c>
      <c r="AA1" s="30">
        <f t="shared" si="1"/>
        <v>4</v>
      </c>
      <c r="AB1" s="106" t="s">
        <v>150</v>
      </c>
      <c r="AC1" s="107"/>
      <c r="AD1" s="107"/>
      <c r="AE1" s="108"/>
      <c r="AF1" s="109" t="s">
        <v>113</v>
      </c>
      <c r="AI1" s="105" t="s">
        <v>112</v>
      </c>
      <c r="AJ1" s="105"/>
      <c r="AK1" s="105"/>
      <c r="AL1" s="105"/>
      <c r="AM1" s="105"/>
      <c r="AN1" s="29">
        <f>MAX(AW:AW)</f>
        <v>6.7698000000000009</v>
      </c>
      <c r="AO1" s="30">
        <f>INDEX(AL:AL,MATCH(MAX($AW:$AW),$AW:$AW,0))</f>
        <v>9792</v>
      </c>
      <c r="AP1" s="30">
        <f t="shared" ref="AP1:AR1" si="2">INDEX(AM:AM,MATCH(MAX($AW:$AW),$AW:$AW,0))</f>
        <v>96</v>
      </c>
      <c r="AQ1" s="30">
        <f t="shared" si="2"/>
        <v>1</v>
      </c>
      <c r="AR1" s="30">
        <f t="shared" si="2"/>
        <v>4</v>
      </c>
      <c r="AS1" s="106" t="s">
        <v>152</v>
      </c>
      <c r="AT1" s="107"/>
      <c r="AU1" s="107"/>
      <c r="AV1" s="108"/>
      <c r="AW1" s="109" t="s">
        <v>113</v>
      </c>
      <c r="AZ1" s="105" t="s">
        <v>112</v>
      </c>
      <c r="BA1" s="105"/>
      <c r="BB1" s="105"/>
      <c r="BC1" s="105"/>
      <c r="BD1" s="105"/>
      <c r="BE1" s="29">
        <f>MAX(BN:BN)</f>
        <v>4.0993399999999998</v>
      </c>
      <c r="BF1" s="30">
        <f>INDEX(BC:BC,MATCH(MAX($BN:$BN),$BN:$BN,0))</f>
        <v>9792</v>
      </c>
      <c r="BG1" s="30">
        <f t="shared" ref="BG1:BI1" si="3">INDEX(BD:BD,MATCH(MAX($BN:$BN),$BN:$BN,0))</f>
        <v>96</v>
      </c>
      <c r="BH1" s="30">
        <f t="shared" si="3"/>
        <v>1</v>
      </c>
      <c r="BI1" s="30">
        <f t="shared" si="3"/>
        <v>4</v>
      </c>
      <c r="BJ1" s="106" t="s">
        <v>151</v>
      </c>
      <c r="BK1" s="107"/>
      <c r="BL1" s="107"/>
      <c r="BM1" s="108"/>
      <c r="BN1" s="109" t="s">
        <v>113</v>
      </c>
    </row>
    <row r="2" spans="1:66" x14ac:dyDescent="0.25">
      <c r="A2" s="101" t="s">
        <v>114</v>
      </c>
      <c r="B2" s="101"/>
      <c r="C2" s="101"/>
      <c r="D2" s="33">
        <f>MAX(I4:I856)</f>
        <v>4.9767999999999999</v>
      </c>
      <c r="E2" s="34"/>
      <c r="F2" s="34"/>
      <c r="G2" s="34"/>
      <c r="H2" s="35"/>
      <c r="I2" s="63"/>
      <c r="J2" s="34"/>
      <c r="K2" s="31"/>
      <c r="L2" s="110" t="s">
        <v>100</v>
      </c>
      <c r="M2" s="110"/>
      <c r="N2" s="111"/>
      <c r="O2" s="109"/>
      <c r="R2" s="101" t="s">
        <v>114</v>
      </c>
      <c r="S2" s="101"/>
      <c r="T2" s="101"/>
      <c r="U2" s="33">
        <f>MAX(Z4:Z856)</f>
        <v>4.9824999999999999</v>
      </c>
      <c r="V2" s="34"/>
      <c r="W2" s="34"/>
      <c r="X2" s="34"/>
      <c r="Y2" s="35"/>
      <c r="Z2" s="63"/>
      <c r="AA2" s="34"/>
      <c r="AB2" s="31"/>
      <c r="AC2" s="110" t="s">
        <v>100</v>
      </c>
      <c r="AD2" s="110"/>
      <c r="AE2" s="110"/>
      <c r="AF2" s="109"/>
      <c r="AI2" s="101" t="s">
        <v>114</v>
      </c>
      <c r="AJ2" s="101"/>
      <c r="AK2" s="101"/>
      <c r="AL2" s="33">
        <f>MAX(AQ4:AQ856)</f>
        <v>6.8108000000000004</v>
      </c>
      <c r="AM2" s="34"/>
      <c r="AN2" s="34"/>
      <c r="AO2" s="34"/>
      <c r="AP2" s="35"/>
      <c r="AQ2" s="63"/>
      <c r="AR2" s="34"/>
      <c r="AS2" s="31"/>
      <c r="AT2" s="110" t="s">
        <v>100</v>
      </c>
      <c r="AU2" s="110"/>
      <c r="AV2" s="110"/>
      <c r="AW2" s="109"/>
      <c r="AZ2" s="101" t="s">
        <v>114</v>
      </c>
      <c r="BA2" s="101"/>
      <c r="BB2" s="101"/>
      <c r="BC2" s="33">
        <f>MAX(BH4:BH856)</f>
        <v>4.2804000000000002</v>
      </c>
      <c r="BD2" s="34"/>
      <c r="BE2" s="34"/>
      <c r="BF2" s="34"/>
      <c r="BG2" s="35"/>
      <c r="BH2" s="35"/>
      <c r="BI2" s="34"/>
      <c r="BJ2" s="31"/>
      <c r="BK2" s="110" t="s">
        <v>100</v>
      </c>
      <c r="BL2" s="110"/>
      <c r="BM2" s="110"/>
      <c r="BN2" s="109"/>
    </row>
    <row r="3" spans="1:66" x14ac:dyDescent="0.25">
      <c r="A3" s="36" t="s">
        <v>104</v>
      </c>
      <c r="B3" s="36" t="s">
        <v>96</v>
      </c>
      <c r="C3" s="36"/>
      <c r="D3" s="36" t="s">
        <v>1</v>
      </c>
      <c r="E3" s="36" t="s">
        <v>2</v>
      </c>
      <c r="F3" s="36" t="s">
        <v>3</v>
      </c>
      <c r="G3" s="36" t="s">
        <v>4</v>
      </c>
      <c r="H3" s="37" t="s">
        <v>5</v>
      </c>
      <c r="I3" s="38" t="s">
        <v>6</v>
      </c>
      <c r="J3" s="38" t="s">
        <v>97</v>
      </c>
      <c r="K3" s="39" t="s">
        <v>5</v>
      </c>
      <c r="L3" s="49" t="s">
        <v>117</v>
      </c>
      <c r="M3" s="49" t="s">
        <v>99</v>
      </c>
      <c r="N3" s="83" t="s">
        <v>98</v>
      </c>
      <c r="O3" s="109"/>
      <c r="R3" s="36" t="s">
        <v>104</v>
      </c>
      <c r="S3" s="36" t="s">
        <v>96</v>
      </c>
      <c r="T3" s="36"/>
      <c r="U3" s="36" t="s">
        <v>1</v>
      </c>
      <c r="V3" s="36" t="s">
        <v>2</v>
      </c>
      <c r="W3" s="36" t="s">
        <v>3</v>
      </c>
      <c r="X3" s="36" t="s">
        <v>4</v>
      </c>
      <c r="Y3" s="37" t="s">
        <v>5</v>
      </c>
      <c r="Z3" s="38" t="s">
        <v>6</v>
      </c>
      <c r="AA3" s="38" t="s">
        <v>97</v>
      </c>
      <c r="AB3" s="39" t="s">
        <v>5</v>
      </c>
      <c r="AC3" s="49" t="s">
        <v>117</v>
      </c>
      <c r="AD3" s="49" t="s">
        <v>99</v>
      </c>
      <c r="AE3" s="49" t="s">
        <v>98</v>
      </c>
      <c r="AF3" s="109"/>
      <c r="AI3" s="36" t="s">
        <v>104</v>
      </c>
      <c r="AJ3" s="36" t="s">
        <v>96</v>
      </c>
      <c r="AK3" s="36"/>
      <c r="AL3" s="36" t="s">
        <v>1</v>
      </c>
      <c r="AM3" s="36" t="s">
        <v>2</v>
      </c>
      <c r="AN3" s="36" t="s">
        <v>3</v>
      </c>
      <c r="AO3" s="36" t="s">
        <v>4</v>
      </c>
      <c r="AP3" s="37" t="s">
        <v>5</v>
      </c>
      <c r="AQ3" s="38" t="s">
        <v>6</v>
      </c>
      <c r="AR3" s="38" t="s">
        <v>97</v>
      </c>
      <c r="AS3" s="39" t="s">
        <v>5</v>
      </c>
      <c r="AT3" s="49" t="s">
        <v>117</v>
      </c>
      <c r="AU3" s="49" t="s">
        <v>99</v>
      </c>
      <c r="AV3" s="49" t="s">
        <v>98</v>
      </c>
      <c r="AW3" s="109"/>
      <c r="AZ3" s="36" t="s">
        <v>104</v>
      </c>
      <c r="BA3" s="36" t="s">
        <v>96</v>
      </c>
      <c r="BB3" s="36"/>
      <c r="BC3" s="36" t="s">
        <v>1</v>
      </c>
      <c r="BD3" s="36" t="s">
        <v>2</v>
      </c>
      <c r="BE3" s="36" t="s">
        <v>3</v>
      </c>
      <c r="BF3" s="36" t="s">
        <v>4</v>
      </c>
      <c r="BG3" s="37" t="s">
        <v>5</v>
      </c>
      <c r="BH3" s="37" t="s">
        <v>6</v>
      </c>
      <c r="BI3" s="38" t="s">
        <v>97</v>
      </c>
      <c r="BJ3" s="39" t="s">
        <v>5</v>
      </c>
      <c r="BK3" s="49" t="s">
        <v>117</v>
      </c>
      <c r="BL3" s="49" t="s">
        <v>99</v>
      </c>
      <c r="BM3" s="49" t="s">
        <v>98</v>
      </c>
      <c r="BN3" s="109"/>
    </row>
    <row r="4" spans="1:66" x14ac:dyDescent="0.25">
      <c r="A4" t="s">
        <v>111</v>
      </c>
      <c r="B4">
        <v>0</v>
      </c>
      <c r="C4" t="s">
        <v>7</v>
      </c>
      <c r="D4">
        <v>8768</v>
      </c>
      <c r="E4">
        <v>32</v>
      </c>
      <c r="F4">
        <v>1</v>
      </c>
      <c r="G4">
        <v>4</v>
      </c>
      <c r="H4">
        <v>117.77</v>
      </c>
      <c r="I4" s="62">
        <v>3.8165</v>
      </c>
      <c r="J4" s="16">
        <v>45549</v>
      </c>
      <c r="K4" s="18">
        <v>0.90096064814814814</v>
      </c>
      <c r="L4">
        <v>0</v>
      </c>
      <c r="M4">
        <v>0</v>
      </c>
      <c r="N4">
        <v>0</v>
      </c>
      <c r="O4" s="80">
        <f>AVERAGE(I4:I8)</f>
        <v>3.81576</v>
      </c>
      <c r="R4" t="s">
        <v>111</v>
      </c>
      <c r="S4">
        <v>0</v>
      </c>
      <c r="T4" t="s">
        <v>7</v>
      </c>
      <c r="U4">
        <v>8768</v>
      </c>
      <c r="V4">
        <v>32</v>
      </c>
      <c r="W4">
        <v>1</v>
      </c>
      <c r="X4">
        <v>4</v>
      </c>
      <c r="Y4">
        <v>117.55</v>
      </c>
      <c r="Z4" s="62">
        <v>3.8237999999999999</v>
      </c>
      <c r="AA4" s="16">
        <v>45559</v>
      </c>
      <c r="AB4" s="18">
        <v>0.54505787037037035</v>
      </c>
      <c r="AC4">
        <v>0</v>
      </c>
      <c r="AD4">
        <v>0</v>
      </c>
      <c r="AE4">
        <v>0</v>
      </c>
      <c r="AF4" s="80">
        <f>AVERAGE(Z4:Z8)</f>
        <v>3.82342</v>
      </c>
      <c r="AI4" t="s">
        <v>149</v>
      </c>
      <c r="AJ4">
        <v>0</v>
      </c>
      <c r="AK4" t="s">
        <v>7</v>
      </c>
      <c r="AL4">
        <v>8768</v>
      </c>
      <c r="AM4">
        <v>32</v>
      </c>
      <c r="AN4">
        <v>1</v>
      </c>
      <c r="AO4">
        <v>4</v>
      </c>
      <c r="AP4">
        <v>86.48</v>
      </c>
      <c r="AQ4" s="62">
        <v>5.1974999999999998</v>
      </c>
      <c r="AR4" s="16">
        <v>45559</v>
      </c>
      <c r="AS4" s="18">
        <v>0.52902777777777776</v>
      </c>
      <c r="AT4">
        <v>0</v>
      </c>
      <c r="AU4">
        <v>0</v>
      </c>
      <c r="AV4">
        <v>0</v>
      </c>
      <c r="AW4" s="80">
        <f>AVERAGE(AQ4:AQ8)</f>
        <v>5.1888999999999994</v>
      </c>
      <c r="AZ4" t="s">
        <v>149</v>
      </c>
      <c r="BA4">
        <v>0</v>
      </c>
      <c r="BB4" t="s">
        <v>7</v>
      </c>
      <c r="BC4">
        <v>8768</v>
      </c>
      <c r="BD4">
        <v>32</v>
      </c>
      <c r="BE4">
        <v>1</v>
      </c>
      <c r="BF4">
        <v>4</v>
      </c>
      <c r="BG4">
        <v>169.23</v>
      </c>
      <c r="BH4" s="62">
        <v>2.6560999999999999</v>
      </c>
      <c r="BI4" s="16">
        <v>45559</v>
      </c>
      <c r="BJ4" s="18">
        <v>0.61780092592592595</v>
      </c>
      <c r="BK4">
        <v>0</v>
      </c>
      <c r="BL4">
        <v>0</v>
      </c>
      <c r="BM4">
        <v>0</v>
      </c>
      <c r="BN4" s="80">
        <f>AVERAGE(BH4:BH8)</f>
        <v>2.6660400000000002</v>
      </c>
    </row>
    <row r="5" spans="1:66" x14ac:dyDescent="0.25">
      <c r="A5" t="s">
        <v>111</v>
      </c>
      <c r="B5">
        <v>1</v>
      </c>
      <c r="C5" t="s">
        <v>7</v>
      </c>
      <c r="D5">
        <v>8768</v>
      </c>
      <c r="E5">
        <v>32</v>
      </c>
      <c r="F5">
        <v>1</v>
      </c>
      <c r="G5">
        <v>4</v>
      </c>
      <c r="H5">
        <v>117.91</v>
      </c>
      <c r="I5" s="62">
        <v>3.8123</v>
      </c>
      <c r="J5" s="16">
        <v>45549</v>
      </c>
      <c r="K5" s="18">
        <v>0.97223379629629625</v>
      </c>
      <c r="L5">
        <v>0</v>
      </c>
      <c r="M5">
        <v>0</v>
      </c>
      <c r="N5">
        <v>0</v>
      </c>
      <c r="O5" s="80">
        <f>O4</f>
        <v>3.81576</v>
      </c>
      <c r="R5" t="s">
        <v>111</v>
      </c>
      <c r="S5">
        <v>1</v>
      </c>
      <c r="T5" t="s">
        <v>7</v>
      </c>
      <c r="U5">
        <v>8768</v>
      </c>
      <c r="V5">
        <v>32</v>
      </c>
      <c r="W5">
        <v>1</v>
      </c>
      <c r="X5">
        <v>4</v>
      </c>
      <c r="Y5">
        <v>117.84</v>
      </c>
      <c r="Z5" s="62">
        <v>3.8142999999999998</v>
      </c>
      <c r="AA5" s="16">
        <v>45559</v>
      </c>
      <c r="AB5" s="18">
        <v>0.61630787037037038</v>
      </c>
      <c r="AC5">
        <v>0</v>
      </c>
      <c r="AD5">
        <v>0</v>
      </c>
      <c r="AE5">
        <v>0</v>
      </c>
      <c r="AF5" s="80">
        <f t="shared" ref="AF5:AF11" si="4">AF4</f>
        <v>3.82342</v>
      </c>
      <c r="AI5" t="s">
        <v>149</v>
      </c>
      <c r="AJ5">
        <v>1</v>
      </c>
      <c r="AK5" t="s">
        <v>7</v>
      </c>
      <c r="AL5">
        <v>8768</v>
      </c>
      <c r="AM5">
        <v>32</v>
      </c>
      <c r="AN5">
        <v>1</v>
      </c>
      <c r="AO5">
        <v>4</v>
      </c>
      <c r="AP5">
        <v>86.4</v>
      </c>
      <c r="AQ5" s="62">
        <v>5.2027000000000001</v>
      </c>
      <c r="AR5" s="16">
        <v>45559</v>
      </c>
      <c r="AS5" s="18">
        <v>0.58315972222222223</v>
      </c>
      <c r="AT5">
        <v>0</v>
      </c>
      <c r="AU5">
        <v>0</v>
      </c>
      <c r="AV5">
        <v>0</v>
      </c>
      <c r="AW5" s="80">
        <f>AW4</f>
        <v>5.1888999999999994</v>
      </c>
      <c r="AZ5" t="s">
        <v>149</v>
      </c>
      <c r="BA5">
        <v>1</v>
      </c>
      <c r="BB5" t="s">
        <v>7</v>
      </c>
      <c r="BC5">
        <v>8768</v>
      </c>
      <c r="BD5">
        <v>32</v>
      </c>
      <c r="BE5">
        <v>1</v>
      </c>
      <c r="BF5">
        <v>4</v>
      </c>
      <c r="BG5">
        <v>168.14</v>
      </c>
      <c r="BH5" s="62">
        <v>2.6732</v>
      </c>
      <c r="BI5" s="16">
        <v>45559</v>
      </c>
      <c r="BJ5" s="18">
        <v>0.7133680555555556</v>
      </c>
      <c r="BK5">
        <v>0</v>
      </c>
      <c r="BL5">
        <v>0</v>
      </c>
      <c r="BM5">
        <v>0</v>
      </c>
      <c r="BN5" s="80">
        <f>BN4</f>
        <v>2.6660400000000002</v>
      </c>
    </row>
    <row r="6" spans="1:66" x14ac:dyDescent="0.25">
      <c r="A6" t="s">
        <v>111</v>
      </c>
      <c r="B6">
        <v>2</v>
      </c>
      <c r="C6" t="s">
        <v>7</v>
      </c>
      <c r="D6">
        <v>8768</v>
      </c>
      <c r="E6">
        <v>32</v>
      </c>
      <c r="F6">
        <v>1</v>
      </c>
      <c r="G6">
        <v>4</v>
      </c>
      <c r="H6">
        <v>117.74</v>
      </c>
      <c r="I6" s="62">
        <v>3.8176000000000001</v>
      </c>
      <c r="J6" s="16">
        <v>45550</v>
      </c>
      <c r="K6" s="18">
        <v>4.3379629629629629E-2</v>
      </c>
      <c r="L6">
        <v>0</v>
      </c>
      <c r="M6">
        <v>0</v>
      </c>
      <c r="N6">
        <v>0</v>
      </c>
      <c r="O6" s="80">
        <f t="shared" ref="O6:O8" si="5">O5</f>
        <v>3.81576</v>
      </c>
      <c r="R6" t="s">
        <v>111</v>
      </c>
      <c r="S6">
        <v>2</v>
      </c>
      <c r="T6" t="s">
        <v>7</v>
      </c>
      <c r="U6">
        <v>8768</v>
      </c>
      <c r="V6">
        <v>32</v>
      </c>
      <c r="W6">
        <v>1</v>
      </c>
      <c r="X6">
        <v>4</v>
      </c>
      <c r="Y6">
        <v>117.46</v>
      </c>
      <c r="Z6" s="62">
        <v>3.8269000000000002</v>
      </c>
      <c r="AA6" s="16">
        <v>45559</v>
      </c>
      <c r="AB6" s="18">
        <v>0.68754629629629627</v>
      </c>
      <c r="AC6">
        <v>0</v>
      </c>
      <c r="AD6">
        <v>0</v>
      </c>
      <c r="AE6">
        <v>0</v>
      </c>
      <c r="AF6" s="80">
        <f t="shared" si="4"/>
        <v>3.82342</v>
      </c>
      <c r="AI6" t="s">
        <v>149</v>
      </c>
      <c r="AJ6">
        <v>2</v>
      </c>
      <c r="AK6" t="s">
        <v>7</v>
      </c>
      <c r="AL6">
        <v>8768</v>
      </c>
      <c r="AM6">
        <v>32</v>
      </c>
      <c r="AN6">
        <v>1</v>
      </c>
      <c r="AO6">
        <v>4</v>
      </c>
      <c r="AP6">
        <v>87.04</v>
      </c>
      <c r="AQ6" s="62">
        <v>5.1641000000000004</v>
      </c>
      <c r="AR6" s="16">
        <v>45559</v>
      </c>
      <c r="AS6" s="18">
        <v>0.63737268518518519</v>
      </c>
      <c r="AT6">
        <v>0</v>
      </c>
      <c r="AU6">
        <v>0</v>
      </c>
      <c r="AV6">
        <v>0</v>
      </c>
      <c r="AW6" s="80">
        <f>AW5</f>
        <v>5.1888999999999994</v>
      </c>
      <c r="AZ6" t="s">
        <v>149</v>
      </c>
      <c r="BA6">
        <v>2</v>
      </c>
      <c r="BB6" t="s">
        <v>7</v>
      </c>
      <c r="BC6">
        <v>8768</v>
      </c>
      <c r="BD6">
        <v>32</v>
      </c>
      <c r="BE6">
        <v>1</v>
      </c>
      <c r="BF6">
        <v>4</v>
      </c>
      <c r="BG6">
        <v>169.85</v>
      </c>
      <c r="BH6" s="62">
        <v>2.6463000000000001</v>
      </c>
      <c r="BI6" s="16">
        <v>45559</v>
      </c>
      <c r="BJ6" s="18">
        <v>0.80858796296296298</v>
      </c>
      <c r="BK6">
        <v>0</v>
      </c>
      <c r="BL6">
        <v>0</v>
      </c>
      <c r="BM6">
        <v>0</v>
      </c>
      <c r="BN6" s="80">
        <f>BN5</f>
        <v>2.6660400000000002</v>
      </c>
    </row>
    <row r="7" spans="1:66" x14ac:dyDescent="0.25">
      <c r="A7" t="s">
        <v>111</v>
      </c>
      <c r="B7">
        <v>3</v>
      </c>
      <c r="C7" t="s">
        <v>7</v>
      </c>
      <c r="D7">
        <v>8768</v>
      </c>
      <c r="E7">
        <v>32</v>
      </c>
      <c r="F7">
        <v>1</v>
      </c>
      <c r="G7">
        <v>4</v>
      </c>
      <c r="H7">
        <v>117.71</v>
      </c>
      <c r="I7" s="62">
        <v>3.8188</v>
      </c>
      <c r="J7" s="16">
        <v>45550</v>
      </c>
      <c r="K7" s="18">
        <v>0.11453703703703703</v>
      </c>
      <c r="L7">
        <v>0</v>
      </c>
      <c r="M7">
        <v>0</v>
      </c>
      <c r="N7">
        <v>0</v>
      </c>
      <c r="O7" s="80">
        <f t="shared" si="5"/>
        <v>3.81576</v>
      </c>
      <c r="R7" t="s">
        <v>111</v>
      </c>
      <c r="S7">
        <v>3</v>
      </c>
      <c r="T7" t="s">
        <v>7</v>
      </c>
      <c r="U7">
        <v>8768</v>
      </c>
      <c r="V7">
        <v>32</v>
      </c>
      <c r="W7">
        <v>1</v>
      </c>
      <c r="X7">
        <v>4</v>
      </c>
      <c r="Y7">
        <v>117.47</v>
      </c>
      <c r="Z7" s="62">
        <v>3.8266</v>
      </c>
      <c r="AA7" s="16">
        <v>45559</v>
      </c>
      <c r="AB7" s="18">
        <v>0.75880787037037034</v>
      </c>
      <c r="AC7">
        <v>0</v>
      </c>
      <c r="AD7">
        <v>0</v>
      </c>
      <c r="AE7">
        <v>0</v>
      </c>
      <c r="AF7" s="80">
        <f t="shared" si="4"/>
        <v>3.82342</v>
      </c>
      <c r="AI7" t="s">
        <v>149</v>
      </c>
      <c r="AJ7">
        <v>3</v>
      </c>
      <c r="AK7" t="s">
        <v>7</v>
      </c>
      <c r="AL7">
        <v>8768</v>
      </c>
      <c r="AM7">
        <v>32</v>
      </c>
      <c r="AN7">
        <v>1</v>
      </c>
      <c r="AO7">
        <v>4</v>
      </c>
      <c r="AP7">
        <v>86.72</v>
      </c>
      <c r="AQ7" s="62">
        <v>5.1833</v>
      </c>
      <c r="AR7" s="16">
        <v>45559</v>
      </c>
      <c r="AS7" s="18">
        <v>0.6915162037037037</v>
      </c>
      <c r="AT7">
        <v>0</v>
      </c>
      <c r="AU7">
        <v>0</v>
      </c>
      <c r="AV7">
        <v>0</v>
      </c>
      <c r="AW7" s="80">
        <f>AW6</f>
        <v>5.1888999999999994</v>
      </c>
      <c r="AZ7" t="s">
        <v>149</v>
      </c>
      <c r="BA7">
        <v>3</v>
      </c>
      <c r="BB7" t="s">
        <v>7</v>
      </c>
      <c r="BC7">
        <v>8768</v>
      </c>
      <c r="BD7">
        <v>32</v>
      </c>
      <c r="BE7">
        <v>1</v>
      </c>
      <c r="BF7">
        <v>4</v>
      </c>
      <c r="BG7">
        <v>167.98</v>
      </c>
      <c r="BH7" s="62">
        <v>2.6758000000000002</v>
      </c>
      <c r="BI7" s="16">
        <v>45559</v>
      </c>
      <c r="BJ7" s="18">
        <v>0.90438657407407408</v>
      </c>
      <c r="BK7">
        <v>0</v>
      </c>
      <c r="BL7">
        <v>0</v>
      </c>
      <c r="BM7">
        <v>0</v>
      </c>
      <c r="BN7" s="80">
        <f>BN6</f>
        <v>2.6660400000000002</v>
      </c>
    </row>
    <row r="8" spans="1:66" x14ac:dyDescent="0.25">
      <c r="A8" t="s">
        <v>111</v>
      </c>
      <c r="B8">
        <v>4</v>
      </c>
      <c r="C8" t="s">
        <v>7</v>
      </c>
      <c r="D8">
        <v>8768</v>
      </c>
      <c r="E8">
        <v>32</v>
      </c>
      <c r="F8">
        <v>1</v>
      </c>
      <c r="G8">
        <v>4</v>
      </c>
      <c r="H8">
        <v>117.87</v>
      </c>
      <c r="I8" s="62">
        <v>3.8136000000000001</v>
      </c>
      <c r="J8" s="16">
        <v>45550</v>
      </c>
      <c r="K8" s="18">
        <v>0.18574074074074073</v>
      </c>
      <c r="L8">
        <v>0</v>
      </c>
      <c r="M8">
        <v>0</v>
      </c>
      <c r="N8">
        <v>0</v>
      </c>
      <c r="O8" s="80">
        <f t="shared" si="5"/>
        <v>3.81576</v>
      </c>
      <c r="R8" t="s">
        <v>111</v>
      </c>
      <c r="S8">
        <v>4</v>
      </c>
      <c r="T8" t="s">
        <v>7</v>
      </c>
      <c r="U8">
        <v>8768</v>
      </c>
      <c r="V8">
        <v>32</v>
      </c>
      <c r="W8">
        <v>1</v>
      </c>
      <c r="X8">
        <v>4</v>
      </c>
      <c r="Y8">
        <v>117.5</v>
      </c>
      <c r="Z8" s="62">
        <v>3.8254999999999999</v>
      </c>
      <c r="AA8" s="16">
        <v>45559</v>
      </c>
      <c r="AB8" s="18">
        <v>0.83010416666666664</v>
      </c>
      <c r="AC8">
        <v>0</v>
      </c>
      <c r="AD8">
        <v>0</v>
      </c>
      <c r="AE8">
        <v>0</v>
      </c>
      <c r="AF8" s="80">
        <f t="shared" si="4"/>
        <v>3.82342</v>
      </c>
      <c r="AI8" t="s">
        <v>149</v>
      </c>
      <c r="AJ8">
        <v>4</v>
      </c>
      <c r="AK8" t="s">
        <v>7</v>
      </c>
      <c r="AL8">
        <v>8768</v>
      </c>
      <c r="AM8">
        <v>32</v>
      </c>
      <c r="AN8">
        <v>1</v>
      </c>
      <c r="AO8">
        <v>4</v>
      </c>
      <c r="AP8">
        <v>86.49</v>
      </c>
      <c r="AQ8" s="62">
        <v>5.1969000000000003</v>
      </c>
      <c r="AR8" s="16">
        <v>45559</v>
      </c>
      <c r="AS8" s="18">
        <v>0.74582175925925931</v>
      </c>
      <c r="AT8">
        <v>0</v>
      </c>
      <c r="AU8">
        <v>0</v>
      </c>
      <c r="AV8">
        <v>0</v>
      </c>
      <c r="AW8" s="80">
        <f>AW7</f>
        <v>5.1888999999999994</v>
      </c>
      <c r="AZ8" t="s">
        <v>149</v>
      </c>
      <c r="BA8">
        <v>4</v>
      </c>
      <c r="BB8" t="s">
        <v>7</v>
      </c>
      <c r="BC8">
        <v>8768</v>
      </c>
      <c r="BD8">
        <v>32</v>
      </c>
      <c r="BE8">
        <v>1</v>
      </c>
      <c r="BF8">
        <v>4</v>
      </c>
      <c r="BG8">
        <v>167.79</v>
      </c>
      <c r="BH8" s="62">
        <v>2.6787999999999998</v>
      </c>
      <c r="BI8" s="16">
        <v>45559</v>
      </c>
      <c r="BJ8" s="18">
        <v>0.99966435185185187</v>
      </c>
      <c r="BK8">
        <v>0</v>
      </c>
      <c r="BL8">
        <v>0</v>
      </c>
      <c r="BM8">
        <v>0</v>
      </c>
      <c r="BN8" s="80">
        <f>BN7</f>
        <v>2.6660400000000002</v>
      </c>
    </row>
    <row r="9" spans="1:66" x14ac:dyDescent="0.25">
      <c r="A9" t="s">
        <v>111</v>
      </c>
      <c r="B9">
        <v>0</v>
      </c>
      <c r="C9" t="s">
        <v>7</v>
      </c>
      <c r="D9">
        <v>9280</v>
      </c>
      <c r="E9">
        <v>32</v>
      </c>
      <c r="F9">
        <v>1</v>
      </c>
      <c r="G9">
        <v>4</v>
      </c>
      <c r="H9">
        <v>138.27000000000001</v>
      </c>
      <c r="I9" s="62">
        <v>3.8540000000000001</v>
      </c>
      <c r="J9" s="16">
        <v>45549</v>
      </c>
      <c r="K9" s="18">
        <v>0.92120370370370375</v>
      </c>
      <c r="L9">
        <v>0</v>
      </c>
      <c r="M9">
        <v>0</v>
      </c>
      <c r="N9">
        <v>0</v>
      </c>
      <c r="O9" s="80">
        <f>AVERAGE(I9:I13)</f>
        <v>3.8524400000000001</v>
      </c>
      <c r="R9" t="s">
        <v>111</v>
      </c>
      <c r="S9">
        <v>0</v>
      </c>
      <c r="T9" t="s">
        <v>7</v>
      </c>
      <c r="U9">
        <v>9280</v>
      </c>
      <c r="V9">
        <v>32</v>
      </c>
      <c r="W9">
        <v>1</v>
      </c>
      <c r="X9">
        <v>4</v>
      </c>
      <c r="Y9">
        <v>138.01</v>
      </c>
      <c r="Z9" s="62">
        <v>3.8613</v>
      </c>
      <c r="AA9" s="16">
        <v>45559</v>
      </c>
      <c r="AB9" s="18">
        <v>0.56537037037037041</v>
      </c>
      <c r="AC9">
        <v>0</v>
      </c>
      <c r="AD9">
        <v>0</v>
      </c>
      <c r="AE9">
        <v>0</v>
      </c>
      <c r="AF9" s="80">
        <f t="shared" si="4"/>
        <v>3.82342</v>
      </c>
      <c r="AI9" t="s">
        <v>149</v>
      </c>
      <c r="AJ9">
        <v>0</v>
      </c>
      <c r="AK9" t="s">
        <v>7</v>
      </c>
      <c r="AL9">
        <v>9280</v>
      </c>
      <c r="AM9">
        <v>32</v>
      </c>
      <c r="AN9">
        <v>1</v>
      </c>
      <c r="AO9">
        <v>4</v>
      </c>
      <c r="AP9">
        <v>99.78</v>
      </c>
      <c r="AQ9" s="62">
        <v>5.3410000000000002</v>
      </c>
      <c r="AR9" s="16">
        <v>45559</v>
      </c>
      <c r="AS9" s="18">
        <v>0.54453703703703704</v>
      </c>
      <c r="AT9">
        <v>0</v>
      </c>
      <c r="AU9">
        <v>0</v>
      </c>
      <c r="AV9">
        <v>0</v>
      </c>
      <c r="AW9" s="80">
        <f t="shared" ref="AW9" si="6">AVERAGE(AQ9:AQ13)</f>
        <v>5.3307200000000003</v>
      </c>
      <c r="AZ9" t="s">
        <v>149</v>
      </c>
      <c r="BA9">
        <v>0</v>
      </c>
      <c r="BB9" t="s">
        <v>7</v>
      </c>
      <c r="BC9">
        <v>9280</v>
      </c>
      <c r="BD9">
        <v>32</v>
      </c>
      <c r="BE9">
        <v>1</v>
      </c>
      <c r="BF9">
        <v>4</v>
      </c>
      <c r="BG9">
        <v>188.84</v>
      </c>
      <c r="BH9" s="62">
        <v>2.8220999999999998</v>
      </c>
      <c r="BI9" s="16">
        <v>45559</v>
      </c>
      <c r="BJ9" s="18">
        <v>0.64615740740740746</v>
      </c>
      <c r="BK9">
        <v>0</v>
      </c>
      <c r="BL9">
        <v>0</v>
      </c>
      <c r="BM9">
        <v>0</v>
      </c>
      <c r="BN9" s="80">
        <f t="shared" ref="BN9" si="7">AVERAGE(BH9:BH13)</f>
        <v>2.8263600000000002</v>
      </c>
    </row>
    <row r="10" spans="1:66" x14ac:dyDescent="0.25">
      <c r="A10" t="s">
        <v>111</v>
      </c>
      <c r="B10">
        <v>1</v>
      </c>
      <c r="C10" t="s">
        <v>7</v>
      </c>
      <c r="D10">
        <v>9280</v>
      </c>
      <c r="E10">
        <v>32</v>
      </c>
      <c r="F10">
        <v>1</v>
      </c>
      <c r="G10">
        <v>4</v>
      </c>
      <c r="H10">
        <v>138.41</v>
      </c>
      <c r="I10" s="62">
        <v>3.8504</v>
      </c>
      <c r="J10" s="16">
        <v>45549</v>
      </c>
      <c r="K10" s="18">
        <v>0.99247685185185186</v>
      </c>
      <c r="L10">
        <v>0</v>
      </c>
      <c r="M10">
        <v>0</v>
      </c>
      <c r="N10">
        <v>0</v>
      </c>
      <c r="O10" s="80">
        <f>O9</f>
        <v>3.8524400000000001</v>
      </c>
      <c r="R10" t="s">
        <v>111</v>
      </c>
      <c r="S10">
        <v>1</v>
      </c>
      <c r="T10" t="s">
        <v>7</v>
      </c>
      <c r="U10">
        <v>9280</v>
      </c>
      <c r="V10">
        <v>32</v>
      </c>
      <c r="W10">
        <v>1</v>
      </c>
      <c r="X10">
        <v>4</v>
      </c>
      <c r="Y10">
        <v>137.94999999999999</v>
      </c>
      <c r="Z10" s="62">
        <v>3.8632</v>
      </c>
      <c r="AA10" s="16">
        <v>45559</v>
      </c>
      <c r="AB10" s="18">
        <v>0.6366087962962963</v>
      </c>
      <c r="AC10">
        <v>0</v>
      </c>
      <c r="AD10">
        <v>0</v>
      </c>
      <c r="AE10">
        <v>0</v>
      </c>
      <c r="AF10" s="80">
        <f t="shared" si="4"/>
        <v>3.82342</v>
      </c>
      <c r="AI10" t="s">
        <v>149</v>
      </c>
      <c r="AJ10">
        <v>1</v>
      </c>
      <c r="AK10" t="s">
        <v>7</v>
      </c>
      <c r="AL10">
        <v>9280</v>
      </c>
      <c r="AM10">
        <v>32</v>
      </c>
      <c r="AN10">
        <v>1</v>
      </c>
      <c r="AO10">
        <v>4</v>
      </c>
      <c r="AP10">
        <v>99.92</v>
      </c>
      <c r="AQ10" s="62">
        <v>5.3333000000000004</v>
      </c>
      <c r="AR10" s="16">
        <v>45559</v>
      </c>
      <c r="AS10" s="18">
        <v>0.59869212962962959</v>
      </c>
      <c r="AT10">
        <v>0</v>
      </c>
      <c r="AU10">
        <v>0</v>
      </c>
      <c r="AV10">
        <v>0</v>
      </c>
      <c r="AW10" s="80">
        <f t="shared" ref="AW10:AW13" si="8">AW9</f>
        <v>5.3307200000000003</v>
      </c>
      <c r="AZ10" t="s">
        <v>149</v>
      </c>
      <c r="BA10">
        <v>1</v>
      </c>
      <c r="BB10" t="s">
        <v>7</v>
      </c>
      <c r="BC10">
        <v>9280</v>
      </c>
      <c r="BD10">
        <v>32</v>
      </c>
      <c r="BE10">
        <v>1</v>
      </c>
      <c r="BF10">
        <v>4</v>
      </c>
      <c r="BG10">
        <v>190.17</v>
      </c>
      <c r="BH10" s="62">
        <v>2.8022999999999998</v>
      </c>
      <c r="BI10" s="16">
        <v>45559</v>
      </c>
      <c r="BJ10" s="18">
        <v>0.74171296296296296</v>
      </c>
      <c r="BK10">
        <v>0</v>
      </c>
      <c r="BL10">
        <v>0</v>
      </c>
      <c r="BM10">
        <v>0</v>
      </c>
      <c r="BN10" s="80">
        <f t="shared" ref="BN10:BN13" si="9">BN9</f>
        <v>2.8263600000000002</v>
      </c>
    </row>
    <row r="11" spans="1:66" x14ac:dyDescent="0.25">
      <c r="A11" t="s">
        <v>111</v>
      </c>
      <c r="B11">
        <v>2</v>
      </c>
      <c r="C11" t="s">
        <v>7</v>
      </c>
      <c r="D11">
        <v>9280</v>
      </c>
      <c r="E11">
        <v>32</v>
      </c>
      <c r="F11">
        <v>1</v>
      </c>
      <c r="G11">
        <v>4</v>
      </c>
      <c r="H11">
        <v>138.41</v>
      </c>
      <c r="I11" s="62">
        <v>3.8502999999999998</v>
      </c>
      <c r="J11" s="16">
        <v>45550</v>
      </c>
      <c r="K11" s="18">
        <v>6.3622685185185185E-2</v>
      </c>
      <c r="L11">
        <v>0</v>
      </c>
      <c r="M11">
        <v>0</v>
      </c>
      <c r="N11">
        <v>0</v>
      </c>
      <c r="O11" s="80">
        <f t="shared" ref="O11:O13" si="10">O10</f>
        <v>3.8524400000000001</v>
      </c>
      <c r="R11" t="s">
        <v>111</v>
      </c>
      <c r="S11">
        <v>2</v>
      </c>
      <c r="T11" t="s">
        <v>7</v>
      </c>
      <c r="U11">
        <v>9280</v>
      </c>
      <c r="V11">
        <v>32</v>
      </c>
      <c r="W11">
        <v>1</v>
      </c>
      <c r="X11">
        <v>4</v>
      </c>
      <c r="Y11">
        <v>137.94999999999999</v>
      </c>
      <c r="Z11" s="62">
        <v>3.8632</v>
      </c>
      <c r="AA11" s="16">
        <v>45559</v>
      </c>
      <c r="AB11" s="18">
        <v>0.70784722222222218</v>
      </c>
      <c r="AC11">
        <v>0</v>
      </c>
      <c r="AD11">
        <v>0</v>
      </c>
      <c r="AE11">
        <v>0</v>
      </c>
      <c r="AF11" s="80">
        <f t="shared" si="4"/>
        <v>3.82342</v>
      </c>
      <c r="AI11" t="s">
        <v>149</v>
      </c>
      <c r="AJ11">
        <v>2</v>
      </c>
      <c r="AK11" t="s">
        <v>7</v>
      </c>
      <c r="AL11">
        <v>9280</v>
      </c>
      <c r="AM11">
        <v>32</v>
      </c>
      <c r="AN11">
        <v>1</v>
      </c>
      <c r="AO11">
        <v>4</v>
      </c>
      <c r="AP11">
        <v>99.92</v>
      </c>
      <c r="AQ11" s="62">
        <v>5.3334000000000001</v>
      </c>
      <c r="AR11" s="16">
        <v>45559</v>
      </c>
      <c r="AS11" s="18">
        <v>0.65292824074074074</v>
      </c>
      <c r="AT11">
        <v>0</v>
      </c>
      <c r="AU11">
        <v>0</v>
      </c>
      <c r="AV11">
        <v>0</v>
      </c>
      <c r="AW11" s="80">
        <f t="shared" si="8"/>
        <v>5.3307200000000003</v>
      </c>
      <c r="AZ11" t="s">
        <v>149</v>
      </c>
      <c r="BA11">
        <v>2</v>
      </c>
      <c r="BB11" t="s">
        <v>7</v>
      </c>
      <c r="BC11">
        <v>9280</v>
      </c>
      <c r="BD11">
        <v>32</v>
      </c>
      <c r="BE11">
        <v>1</v>
      </c>
      <c r="BF11">
        <v>4</v>
      </c>
      <c r="BG11">
        <v>188.3</v>
      </c>
      <c r="BH11" s="62">
        <v>2.8302</v>
      </c>
      <c r="BI11" s="16">
        <v>45559</v>
      </c>
      <c r="BJ11" s="18">
        <v>0.83704861111111106</v>
      </c>
      <c r="BK11">
        <v>0</v>
      </c>
      <c r="BL11">
        <v>0</v>
      </c>
      <c r="BM11">
        <v>0</v>
      </c>
      <c r="BN11" s="80">
        <f t="shared" si="9"/>
        <v>2.8263600000000002</v>
      </c>
    </row>
    <row r="12" spans="1:66" x14ac:dyDescent="0.25">
      <c r="A12" t="s">
        <v>111</v>
      </c>
      <c r="B12">
        <v>3</v>
      </c>
      <c r="C12" t="s">
        <v>7</v>
      </c>
      <c r="D12">
        <v>9280</v>
      </c>
      <c r="E12">
        <v>32</v>
      </c>
      <c r="F12">
        <v>1</v>
      </c>
      <c r="G12">
        <v>4</v>
      </c>
      <c r="H12">
        <v>138.30000000000001</v>
      </c>
      <c r="I12" s="62">
        <v>3.8532000000000002</v>
      </c>
      <c r="J12" s="16">
        <v>45550</v>
      </c>
      <c r="K12" s="18">
        <v>0.1347800925925926</v>
      </c>
      <c r="L12">
        <v>0</v>
      </c>
      <c r="M12">
        <v>0</v>
      </c>
      <c r="N12">
        <v>0</v>
      </c>
      <c r="O12" s="80">
        <f t="shared" si="10"/>
        <v>3.8524400000000001</v>
      </c>
      <c r="R12" t="s">
        <v>111</v>
      </c>
      <c r="S12">
        <v>3</v>
      </c>
      <c r="T12" t="s">
        <v>7</v>
      </c>
      <c r="U12">
        <v>9280</v>
      </c>
      <c r="V12">
        <v>32</v>
      </c>
      <c r="W12">
        <v>1</v>
      </c>
      <c r="X12">
        <v>4</v>
      </c>
      <c r="Y12">
        <v>137.91</v>
      </c>
      <c r="Z12" s="62">
        <v>3.8641999999999999</v>
      </c>
      <c r="AA12" s="16">
        <v>45559</v>
      </c>
      <c r="AB12" s="18">
        <v>0.77913194444444445</v>
      </c>
      <c r="AC12">
        <v>0</v>
      </c>
      <c r="AD12">
        <v>0</v>
      </c>
      <c r="AE12">
        <v>0</v>
      </c>
      <c r="AF12" s="80">
        <f>AVERAGE(Z12:Z16)</f>
        <v>3.8636400000000002</v>
      </c>
      <c r="AI12" t="s">
        <v>149</v>
      </c>
      <c r="AJ12">
        <v>3</v>
      </c>
      <c r="AK12" t="s">
        <v>7</v>
      </c>
      <c r="AL12">
        <v>9280</v>
      </c>
      <c r="AM12">
        <v>32</v>
      </c>
      <c r="AN12">
        <v>1</v>
      </c>
      <c r="AO12">
        <v>4</v>
      </c>
      <c r="AP12">
        <v>100.12</v>
      </c>
      <c r="AQ12" s="62">
        <v>5.3228</v>
      </c>
      <c r="AR12" s="16">
        <v>45559</v>
      </c>
      <c r="AS12" s="18">
        <v>0.70707175925925925</v>
      </c>
      <c r="AT12">
        <v>0</v>
      </c>
      <c r="AU12">
        <v>0</v>
      </c>
      <c r="AV12">
        <v>0</v>
      </c>
      <c r="AW12" s="80">
        <f t="shared" si="8"/>
        <v>5.3307200000000003</v>
      </c>
      <c r="AZ12" t="s">
        <v>149</v>
      </c>
      <c r="BA12">
        <v>3</v>
      </c>
      <c r="BB12" t="s">
        <v>7</v>
      </c>
      <c r="BC12">
        <v>9280</v>
      </c>
      <c r="BD12">
        <v>32</v>
      </c>
      <c r="BE12">
        <v>1</v>
      </c>
      <c r="BF12">
        <v>4</v>
      </c>
      <c r="BG12">
        <v>187.42</v>
      </c>
      <c r="BH12" s="62">
        <v>2.8435000000000001</v>
      </c>
      <c r="BI12" s="16">
        <v>45559</v>
      </c>
      <c r="BJ12" s="18">
        <v>0.93254629629629626</v>
      </c>
      <c r="BK12">
        <v>0</v>
      </c>
      <c r="BL12">
        <v>0</v>
      </c>
      <c r="BM12">
        <v>0</v>
      </c>
      <c r="BN12" s="80">
        <f t="shared" si="9"/>
        <v>2.8263600000000002</v>
      </c>
    </row>
    <row r="13" spans="1:66" x14ac:dyDescent="0.25">
      <c r="A13" t="s">
        <v>111</v>
      </c>
      <c r="B13">
        <v>4</v>
      </c>
      <c r="C13" t="s">
        <v>7</v>
      </c>
      <c r="D13">
        <v>9280</v>
      </c>
      <c r="E13">
        <v>32</v>
      </c>
      <c r="F13">
        <v>1</v>
      </c>
      <c r="G13">
        <v>4</v>
      </c>
      <c r="H13">
        <v>138.27000000000001</v>
      </c>
      <c r="I13" s="62">
        <v>3.8542999999999998</v>
      </c>
      <c r="J13" s="16">
        <v>45550</v>
      </c>
      <c r="K13" s="18">
        <v>0.20597222222222222</v>
      </c>
      <c r="L13">
        <v>0</v>
      </c>
      <c r="M13">
        <v>0</v>
      </c>
      <c r="N13">
        <v>0</v>
      </c>
      <c r="O13" s="80">
        <f t="shared" si="10"/>
        <v>3.8524400000000001</v>
      </c>
      <c r="R13" t="s">
        <v>111</v>
      </c>
      <c r="S13">
        <v>4</v>
      </c>
      <c r="T13" t="s">
        <v>7</v>
      </c>
      <c r="U13">
        <v>9280</v>
      </c>
      <c r="V13">
        <v>32</v>
      </c>
      <c r="W13">
        <v>1</v>
      </c>
      <c r="X13">
        <v>4</v>
      </c>
      <c r="Y13">
        <v>137.99</v>
      </c>
      <c r="Z13" s="62">
        <v>3.8620000000000001</v>
      </c>
      <c r="AA13" s="16">
        <v>45559</v>
      </c>
      <c r="AB13" s="18">
        <v>0.85028935185185184</v>
      </c>
      <c r="AC13">
        <v>0</v>
      </c>
      <c r="AD13">
        <v>0</v>
      </c>
      <c r="AE13">
        <v>0</v>
      </c>
      <c r="AF13" s="80">
        <f>AF12</f>
        <v>3.8636400000000002</v>
      </c>
      <c r="AI13" t="s">
        <v>149</v>
      </c>
      <c r="AJ13">
        <v>4</v>
      </c>
      <c r="AK13" t="s">
        <v>7</v>
      </c>
      <c r="AL13">
        <v>9280</v>
      </c>
      <c r="AM13">
        <v>32</v>
      </c>
      <c r="AN13">
        <v>1</v>
      </c>
      <c r="AO13">
        <v>4</v>
      </c>
      <c r="AP13">
        <v>100.11</v>
      </c>
      <c r="AQ13" s="62">
        <v>5.3231000000000002</v>
      </c>
      <c r="AR13" s="16">
        <v>45559</v>
      </c>
      <c r="AS13" s="18">
        <v>0.76137731481481485</v>
      </c>
      <c r="AT13">
        <v>0</v>
      </c>
      <c r="AU13">
        <v>0</v>
      </c>
      <c r="AV13">
        <v>0</v>
      </c>
      <c r="AW13" s="80">
        <f t="shared" si="8"/>
        <v>5.3307200000000003</v>
      </c>
      <c r="AZ13" t="s">
        <v>149</v>
      </c>
      <c r="BA13">
        <v>4</v>
      </c>
      <c r="BB13" t="s">
        <v>7</v>
      </c>
      <c r="BC13">
        <v>9280</v>
      </c>
      <c r="BD13">
        <v>32</v>
      </c>
      <c r="BE13">
        <v>1</v>
      </c>
      <c r="BF13">
        <v>4</v>
      </c>
      <c r="BG13">
        <v>188.06</v>
      </c>
      <c r="BH13" s="62">
        <v>2.8336999999999999</v>
      </c>
      <c r="BI13" s="16">
        <v>45560</v>
      </c>
      <c r="BJ13" s="18">
        <v>2.8402777777777777E-2</v>
      </c>
      <c r="BK13">
        <v>0</v>
      </c>
      <c r="BL13">
        <v>0</v>
      </c>
      <c r="BM13">
        <v>0</v>
      </c>
      <c r="BN13" s="80">
        <f t="shared" si="9"/>
        <v>2.8263600000000002</v>
      </c>
    </row>
    <row r="14" spans="1:66" x14ac:dyDescent="0.25">
      <c r="A14" t="s">
        <v>111</v>
      </c>
      <c r="B14">
        <v>0</v>
      </c>
      <c r="C14" t="s">
        <v>7</v>
      </c>
      <c r="D14">
        <v>9792</v>
      </c>
      <c r="E14">
        <v>32</v>
      </c>
      <c r="F14">
        <v>1</v>
      </c>
      <c r="G14">
        <v>4</v>
      </c>
      <c r="H14">
        <v>164.07</v>
      </c>
      <c r="I14" s="62">
        <v>3.8159000000000001</v>
      </c>
      <c r="J14" s="16">
        <v>45549</v>
      </c>
      <c r="K14" s="18">
        <v>0.94532407407407404</v>
      </c>
      <c r="L14">
        <v>0</v>
      </c>
      <c r="M14">
        <v>0</v>
      </c>
      <c r="N14">
        <v>0</v>
      </c>
      <c r="O14" s="80">
        <f t="shared" ref="O14" si="11">AVERAGE(I14:I18)</f>
        <v>3.83928</v>
      </c>
      <c r="R14" t="s">
        <v>111</v>
      </c>
      <c r="S14">
        <v>0</v>
      </c>
      <c r="T14" t="s">
        <v>7</v>
      </c>
      <c r="U14">
        <v>9792</v>
      </c>
      <c r="V14">
        <v>32</v>
      </c>
      <c r="W14">
        <v>1</v>
      </c>
      <c r="X14">
        <v>4</v>
      </c>
      <c r="Y14">
        <v>161.97999999999999</v>
      </c>
      <c r="Z14" s="62">
        <v>3.8652000000000002</v>
      </c>
      <c r="AA14" s="16">
        <v>45559</v>
      </c>
      <c r="AB14" s="18">
        <v>0.58952546296296293</v>
      </c>
      <c r="AC14">
        <v>0</v>
      </c>
      <c r="AD14">
        <v>0</v>
      </c>
      <c r="AE14">
        <v>0</v>
      </c>
      <c r="AF14" s="80">
        <f>AF13</f>
        <v>3.8636400000000002</v>
      </c>
      <c r="AI14" t="s">
        <v>149</v>
      </c>
      <c r="AJ14">
        <v>0</v>
      </c>
      <c r="AK14" t="s">
        <v>7</v>
      </c>
      <c r="AL14">
        <v>9792</v>
      </c>
      <c r="AM14">
        <v>32</v>
      </c>
      <c r="AN14">
        <v>1</v>
      </c>
      <c r="AO14">
        <v>4</v>
      </c>
      <c r="AP14">
        <v>117.79</v>
      </c>
      <c r="AQ14" s="62">
        <v>5.3151999999999999</v>
      </c>
      <c r="AR14" s="16">
        <v>45559</v>
      </c>
      <c r="AS14" s="18">
        <v>0.56269675925925922</v>
      </c>
      <c r="AT14">
        <v>0</v>
      </c>
      <c r="AU14">
        <v>0</v>
      </c>
      <c r="AV14">
        <v>0</v>
      </c>
      <c r="AW14" s="80">
        <f t="shared" ref="AW14" si="12">AVERAGE(AQ14:AQ18)</f>
        <v>5.3085800000000001</v>
      </c>
      <c r="AZ14" t="s">
        <v>149</v>
      </c>
      <c r="BA14">
        <v>0</v>
      </c>
      <c r="BB14" t="s">
        <v>7</v>
      </c>
      <c r="BC14">
        <v>9792</v>
      </c>
      <c r="BD14">
        <v>32</v>
      </c>
      <c r="BE14">
        <v>1</v>
      </c>
      <c r="BF14">
        <v>4</v>
      </c>
      <c r="BG14">
        <v>211.32</v>
      </c>
      <c r="BH14" s="62">
        <v>2.9626000000000001</v>
      </c>
      <c r="BI14" s="16">
        <v>45559</v>
      </c>
      <c r="BJ14" s="18">
        <v>0.67806712962962967</v>
      </c>
      <c r="BK14">
        <v>0</v>
      </c>
      <c r="BL14">
        <v>0</v>
      </c>
      <c r="BM14">
        <v>0</v>
      </c>
      <c r="BN14" s="80">
        <f t="shared" ref="BN14" si="13">AVERAGE(BH14:BH18)</f>
        <v>2.9470199999999998</v>
      </c>
    </row>
    <row r="15" spans="1:66" x14ac:dyDescent="0.25">
      <c r="A15" t="s">
        <v>111</v>
      </c>
      <c r="B15">
        <v>1</v>
      </c>
      <c r="C15" t="s">
        <v>7</v>
      </c>
      <c r="D15">
        <v>9792</v>
      </c>
      <c r="E15">
        <v>32</v>
      </c>
      <c r="F15">
        <v>1</v>
      </c>
      <c r="G15">
        <v>4</v>
      </c>
      <c r="H15">
        <v>162.91</v>
      </c>
      <c r="I15" s="62">
        <v>3.843</v>
      </c>
      <c r="J15" s="16">
        <v>45550</v>
      </c>
      <c r="K15" s="18">
        <v>1.6597222222222222E-2</v>
      </c>
      <c r="L15">
        <v>0</v>
      </c>
      <c r="M15">
        <v>0</v>
      </c>
      <c r="N15">
        <v>0</v>
      </c>
      <c r="O15" s="80">
        <f t="shared" ref="O15:O78" si="14">O14</f>
        <v>3.83928</v>
      </c>
      <c r="R15" t="s">
        <v>111</v>
      </c>
      <c r="S15">
        <v>1</v>
      </c>
      <c r="T15" t="s">
        <v>7</v>
      </c>
      <c r="U15">
        <v>9792</v>
      </c>
      <c r="V15">
        <v>32</v>
      </c>
      <c r="W15">
        <v>1</v>
      </c>
      <c r="X15">
        <v>4</v>
      </c>
      <c r="Y15">
        <v>162.03</v>
      </c>
      <c r="Z15" s="62">
        <v>3.8639999999999999</v>
      </c>
      <c r="AA15" s="16">
        <v>45559</v>
      </c>
      <c r="AB15" s="18">
        <v>0.66076388888888893</v>
      </c>
      <c r="AC15">
        <v>0</v>
      </c>
      <c r="AD15">
        <v>0</v>
      </c>
      <c r="AE15">
        <v>0</v>
      </c>
      <c r="AF15" s="80">
        <f>AVERAGE(Z15:Z19)</f>
        <v>3.8534599999999997</v>
      </c>
      <c r="AI15" t="s">
        <v>149</v>
      </c>
      <c r="AJ15">
        <v>1</v>
      </c>
      <c r="AK15" t="s">
        <v>7</v>
      </c>
      <c r="AL15">
        <v>9792</v>
      </c>
      <c r="AM15">
        <v>32</v>
      </c>
      <c r="AN15">
        <v>1</v>
      </c>
      <c r="AO15">
        <v>4</v>
      </c>
      <c r="AP15">
        <v>118.15</v>
      </c>
      <c r="AQ15" s="62">
        <v>5.2988</v>
      </c>
      <c r="AR15" s="16">
        <v>45559</v>
      </c>
      <c r="AS15" s="18">
        <v>0.61685185185185187</v>
      </c>
      <c r="AT15">
        <v>0</v>
      </c>
      <c r="AU15">
        <v>0</v>
      </c>
      <c r="AV15">
        <v>0</v>
      </c>
      <c r="AW15" s="80">
        <f t="shared" ref="AW15:AW18" si="15">AW14</f>
        <v>5.3085800000000001</v>
      </c>
      <c r="AZ15" t="s">
        <v>149</v>
      </c>
      <c r="BA15">
        <v>1</v>
      </c>
      <c r="BB15" t="s">
        <v>7</v>
      </c>
      <c r="BC15">
        <v>9792</v>
      </c>
      <c r="BD15">
        <v>32</v>
      </c>
      <c r="BE15">
        <v>1</v>
      </c>
      <c r="BF15">
        <v>4</v>
      </c>
      <c r="BG15">
        <v>212.79</v>
      </c>
      <c r="BH15" s="62">
        <v>2.9420999999999999</v>
      </c>
      <c r="BI15" s="16">
        <v>45559</v>
      </c>
      <c r="BJ15" s="18">
        <v>0.77370370370370367</v>
      </c>
      <c r="BK15">
        <v>0</v>
      </c>
      <c r="BL15">
        <v>0</v>
      </c>
      <c r="BM15">
        <v>0</v>
      </c>
      <c r="BN15" s="80">
        <f t="shared" ref="BN15:BN18" si="16">BN14</f>
        <v>2.9470199999999998</v>
      </c>
    </row>
    <row r="16" spans="1:66" x14ac:dyDescent="0.25">
      <c r="A16" t="s">
        <v>111</v>
      </c>
      <c r="B16">
        <v>2</v>
      </c>
      <c r="C16" t="s">
        <v>7</v>
      </c>
      <c r="D16">
        <v>9792</v>
      </c>
      <c r="E16">
        <v>32</v>
      </c>
      <c r="F16">
        <v>1</v>
      </c>
      <c r="G16">
        <v>4</v>
      </c>
      <c r="H16">
        <v>162.66999999999999</v>
      </c>
      <c r="I16" s="62">
        <v>3.8487</v>
      </c>
      <c r="J16" s="16">
        <v>45550</v>
      </c>
      <c r="K16" s="18">
        <v>8.7719907407407413E-2</v>
      </c>
      <c r="L16">
        <v>0</v>
      </c>
      <c r="M16">
        <v>0</v>
      </c>
      <c r="N16">
        <v>0</v>
      </c>
      <c r="O16" s="80">
        <f t="shared" si="14"/>
        <v>3.83928</v>
      </c>
      <c r="R16" t="s">
        <v>111</v>
      </c>
      <c r="S16">
        <v>2</v>
      </c>
      <c r="T16" t="s">
        <v>7</v>
      </c>
      <c r="U16">
        <v>9792</v>
      </c>
      <c r="V16">
        <v>32</v>
      </c>
      <c r="W16">
        <v>1</v>
      </c>
      <c r="X16">
        <v>4</v>
      </c>
      <c r="Y16">
        <v>162.08000000000001</v>
      </c>
      <c r="Z16" s="62">
        <v>3.8628</v>
      </c>
      <c r="AA16" s="16">
        <v>45559</v>
      </c>
      <c r="AB16" s="18">
        <v>0.73201388888888885</v>
      </c>
      <c r="AC16">
        <v>0</v>
      </c>
      <c r="AD16">
        <v>0</v>
      </c>
      <c r="AE16">
        <v>0</v>
      </c>
      <c r="AF16" s="80">
        <f t="shared" ref="AF16:AF21" si="17">AF15</f>
        <v>3.8534599999999997</v>
      </c>
      <c r="AI16" t="s">
        <v>149</v>
      </c>
      <c r="AJ16">
        <v>2</v>
      </c>
      <c r="AK16" t="s">
        <v>7</v>
      </c>
      <c r="AL16">
        <v>9792</v>
      </c>
      <c r="AM16">
        <v>32</v>
      </c>
      <c r="AN16">
        <v>1</v>
      </c>
      <c r="AO16">
        <v>4</v>
      </c>
      <c r="AP16">
        <v>117.92</v>
      </c>
      <c r="AQ16" s="62">
        <v>5.3091999999999997</v>
      </c>
      <c r="AR16" s="16">
        <v>45559</v>
      </c>
      <c r="AS16" s="18">
        <v>0.67108796296296291</v>
      </c>
      <c r="AT16">
        <v>0</v>
      </c>
      <c r="AU16">
        <v>0</v>
      </c>
      <c r="AV16">
        <v>0</v>
      </c>
      <c r="AW16" s="80">
        <f t="shared" si="15"/>
        <v>5.3085800000000001</v>
      </c>
      <c r="AZ16" t="s">
        <v>149</v>
      </c>
      <c r="BA16">
        <v>2</v>
      </c>
      <c r="BB16" t="s">
        <v>7</v>
      </c>
      <c r="BC16">
        <v>9792</v>
      </c>
      <c r="BD16">
        <v>32</v>
      </c>
      <c r="BE16">
        <v>1</v>
      </c>
      <c r="BF16">
        <v>4</v>
      </c>
      <c r="BG16">
        <v>213.39</v>
      </c>
      <c r="BH16" s="62">
        <v>2.9339</v>
      </c>
      <c r="BI16" s="16">
        <v>45559</v>
      </c>
      <c r="BJ16" s="18">
        <v>0.86901620370370369</v>
      </c>
      <c r="BK16">
        <v>0</v>
      </c>
      <c r="BL16">
        <v>0</v>
      </c>
      <c r="BM16">
        <v>0</v>
      </c>
      <c r="BN16" s="80">
        <f t="shared" si="16"/>
        <v>2.9470199999999998</v>
      </c>
    </row>
    <row r="17" spans="1:66" x14ac:dyDescent="0.25">
      <c r="A17" t="s">
        <v>111</v>
      </c>
      <c r="B17">
        <v>3</v>
      </c>
      <c r="C17" t="s">
        <v>7</v>
      </c>
      <c r="D17">
        <v>9792</v>
      </c>
      <c r="E17">
        <v>32</v>
      </c>
      <c r="F17">
        <v>1</v>
      </c>
      <c r="G17">
        <v>4</v>
      </c>
      <c r="H17">
        <v>162.81</v>
      </c>
      <c r="I17" s="62">
        <v>3.8454000000000002</v>
      </c>
      <c r="J17" s="16">
        <v>45550</v>
      </c>
      <c r="K17" s="18">
        <v>0.15888888888888889</v>
      </c>
      <c r="L17">
        <v>0</v>
      </c>
      <c r="M17">
        <v>0</v>
      </c>
      <c r="N17">
        <v>0</v>
      </c>
      <c r="O17" s="80">
        <f t="shared" si="14"/>
        <v>3.83928</v>
      </c>
      <c r="R17" t="s">
        <v>111</v>
      </c>
      <c r="S17">
        <v>3</v>
      </c>
      <c r="T17" t="s">
        <v>7</v>
      </c>
      <c r="U17">
        <v>9792</v>
      </c>
      <c r="V17">
        <v>32</v>
      </c>
      <c r="W17">
        <v>1</v>
      </c>
      <c r="X17">
        <v>4</v>
      </c>
      <c r="Y17">
        <v>161.93</v>
      </c>
      <c r="Z17" s="62">
        <v>3.8662000000000001</v>
      </c>
      <c r="AA17" s="16">
        <v>45559</v>
      </c>
      <c r="AB17" s="18">
        <v>0.80339120370370365</v>
      </c>
      <c r="AC17">
        <v>0</v>
      </c>
      <c r="AD17">
        <v>0</v>
      </c>
      <c r="AE17">
        <v>0</v>
      </c>
      <c r="AF17" s="80">
        <f t="shared" si="17"/>
        <v>3.8534599999999997</v>
      </c>
      <c r="AI17" t="s">
        <v>149</v>
      </c>
      <c r="AJ17">
        <v>3</v>
      </c>
      <c r="AK17" t="s">
        <v>7</v>
      </c>
      <c r="AL17">
        <v>9792</v>
      </c>
      <c r="AM17">
        <v>32</v>
      </c>
      <c r="AN17">
        <v>1</v>
      </c>
      <c r="AO17">
        <v>4</v>
      </c>
      <c r="AP17">
        <v>117.76</v>
      </c>
      <c r="AQ17" s="62">
        <v>5.3164999999999996</v>
      </c>
      <c r="AR17" s="16">
        <v>45559</v>
      </c>
      <c r="AS17" s="18">
        <v>0.72524305555555557</v>
      </c>
      <c r="AT17">
        <v>0</v>
      </c>
      <c r="AU17">
        <v>0</v>
      </c>
      <c r="AV17">
        <v>0</v>
      </c>
      <c r="AW17" s="80">
        <f t="shared" si="15"/>
        <v>5.3085800000000001</v>
      </c>
      <c r="AZ17" t="s">
        <v>149</v>
      </c>
      <c r="BA17">
        <v>3</v>
      </c>
      <c r="BB17" t="s">
        <v>7</v>
      </c>
      <c r="BC17">
        <v>9792</v>
      </c>
      <c r="BD17">
        <v>32</v>
      </c>
      <c r="BE17">
        <v>1</v>
      </c>
      <c r="BF17">
        <v>4</v>
      </c>
      <c r="BG17">
        <v>214.17</v>
      </c>
      <c r="BH17" s="62">
        <v>2.9232</v>
      </c>
      <c r="BI17" s="16">
        <v>45559</v>
      </c>
      <c r="BJ17" s="18">
        <v>0.96434027777777775</v>
      </c>
      <c r="BK17">
        <v>0</v>
      </c>
      <c r="BL17">
        <v>0</v>
      </c>
      <c r="BM17">
        <v>0</v>
      </c>
      <c r="BN17" s="80">
        <f t="shared" si="16"/>
        <v>2.9470199999999998</v>
      </c>
    </row>
    <row r="18" spans="1:66" x14ac:dyDescent="0.25">
      <c r="A18" t="s">
        <v>111</v>
      </c>
      <c r="B18">
        <v>4</v>
      </c>
      <c r="C18" t="s">
        <v>7</v>
      </c>
      <c r="D18">
        <v>9792</v>
      </c>
      <c r="E18">
        <v>32</v>
      </c>
      <c r="F18">
        <v>1</v>
      </c>
      <c r="G18">
        <v>4</v>
      </c>
      <c r="H18">
        <v>162.9</v>
      </c>
      <c r="I18" s="62">
        <v>3.8433999999999999</v>
      </c>
      <c r="J18" s="16">
        <v>45550</v>
      </c>
      <c r="K18" s="18">
        <v>0.23008101851851853</v>
      </c>
      <c r="L18">
        <v>0</v>
      </c>
      <c r="M18">
        <v>0</v>
      </c>
      <c r="N18">
        <v>0</v>
      </c>
      <c r="O18" s="80">
        <f t="shared" si="14"/>
        <v>3.83928</v>
      </c>
      <c r="R18" t="s">
        <v>111</v>
      </c>
      <c r="S18">
        <v>4</v>
      </c>
      <c r="T18" t="s">
        <v>7</v>
      </c>
      <c r="U18">
        <v>9792</v>
      </c>
      <c r="V18">
        <v>32</v>
      </c>
      <c r="W18">
        <v>1</v>
      </c>
      <c r="X18">
        <v>4</v>
      </c>
      <c r="Y18">
        <v>162.06</v>
      </c>
      <c r="Z18" s="62">
        <v>3.8631000000000002</v>
      </c>
      <c r="AA18" s="16">
        <v>45559</v>
      </c>
      <c r="AB18" s="18">
        <v>0.87432870370370375</v>
      </c>
      <c r="AC18">
        <v>0</v>
      </c>
      <c r="AD18">
        <v>0</v>
      </c>
      <c r="AE18">
        <v>0</v>
      </c>
      <c r="AF18" s="80">
        <f t="shared" si="17"/>
        <v>3.8534599999999997</v>
      </c>
      <c r="AI18" t="s">
        <v>149</v>
      </c>
      <c r="AJ18">
        <v>4</v>
      </c>
      <c r="AK18" t="s">
        <v>7</v>
      </c>
      <c r="AL18">
        <v>9792</v>
      </c>
      <c r="AM18">
        <v>32</v>
      </c>
      <c r="AN18">
        <v>1</v>
      </c>
      <c r="AO18">
        <v>4</v>
      </c>
      <c r="AP18">
        <v>118.06</v>
      </c>
      <c r="AQ18" s="62">
        <v>5.3032000000000004</v>
      </c>
      <c r="AR18" s="16">
        <v>45559</v>
      </c>
      <c r="AS18" s="18">
        <v>0.77956018518518522</v>
      </c>
      <c r="AT18">
        <v>0</v>
      </c>
      <c r="AU18">
        <v>0</v>
      </c>
      <c r="AV18">
        <v>0</v>
      </c>
      <c r="AW18" s="80">
        <f t="shared" si="15"/>
        <v>5.3085800000000001</v>
      </c>
      <c r="AZ18" t="s">
        <v>149</v>
      </c>
      <c r="BA18">
        <v>4</v>
      </c>
      <c r="BB18" t="s">
        <v>7</v>
      </c>
      <c r="BC18">
        <v>9792</v>
      </c>
      <c r="BD18">
        <v>32</v>
      </c>
      <c r="BE18">
        <v>1</v>
      </c>
      <c r="BF18">
        <v>4</v>
      </c>
      <c r="BG18">
        <v>210.56</v>
      </c>
      <c r="BH18" s="62">
        <v>2.9733000000000001</v>
      </c>
      <c r="BI18" s="16">
        <v>45560</v>
      </c>
      <c r="BJ18" s="18">
        <v>6.0277777777777777E-2</v>
      </c>
      <c r="BK18">
        <v>0</v>
      </c>
      <c r="BL18">
        <v>0</v>
      </c>
      <c r="BM18">
        <v>0</v>
      </c>
      <c r="BN18" s="80">
        <f t="shared" si="16"/>
        <v>2.9470199999999998</v>
      </c>
    </row>
    <row r="19" spans="1:66" x14ac:dyDescent="0.25">
      <c r="A19" t="s">
        <v>111</v>
      </c>
      <c r="B19">
        <v>0</v>
      </c>
      <c r="C19" t="s">
        <v>7</v>
      </c>
      <c r="D19">
        <v>8768</v>
      </c>
      <c r="E19">
        <v>32</v>
      </c>
      <c r="F19">
        <v>2</v>
      </c>
      <c r="G19">
        <v>2</v>
      </c>
      <c r="H19">
        <v>118.42</v>
      </c>
      <c r="I19" s="62">
        <v>3.7957000000000001</v>
      </c>
      <c r="J19" s="16">
        <v>45549</v>
      </c>
      <c r="K19" s="18">
        <v>0.9024537037037037</v>
      </c>
      <c r="L19">
        <v>0</v>
      </c>
      <c r="M19">
        <v>0</v>
      </c>
      <c r="N19">
        <v>0</v>
      </c>
      <c r="O19" s="80">
        <f t="shared" ref="O19" si="18">AVERAGE(I19:I23)</f>
        <v>3.8010600000000005</v>
      </c>
      <c r="R19" t="s">
        <v>111</v>
      </c>
      <c r="S19">
        <v>0</v>
      </c>
      <c r="T19" t="s">
        <v>7</v>
      </c>
      <c r="U19">
        <v>8768</v>
      </c>
      <c r="V19">
        <v>32</v>
      </c>
      <c r="W19">
        <v>2</v>
      </c>
      <c r="X19">
        <v>2</v>
      </c>
      <c r="Y19">
        <v>117.94</v>
      </c>
      <c r="Z19" s="62">
        <v>3.8111999999999999</v>
      </c>
      <c r="AA19" s="16">
        <v>45559</v>
      </c>
      <c r="AB19" s="18">
        <v>0.54656249999999995</v>
      </c>
      <c r="AC19">
        <v>0</v>
      </c>
      <c r="AD19">
        <v>0</v>
      </c>
      <c r="AE19">
        <v>0</v>
      </c>
      <c r="AF19" s="80">
        <f t="shared" si="17"/>
        <v>3.8534599999999997</v>
      </c>
      <c r="AI19" t="s">
        <v>149</v>
      </c>
      <c r="AJ19">
        <v>0</v>
      </c>
      <c r="AK19" t="s">
        <v>7</v>
      </c>
      <c r="AL19">
        <v>8768</v>
      </c>
      <c r="AM19">
        <v>32</v>
      </c>
      <c r="AN19">
        <v>2</v>
      </c>
      <c r="AO19">
        <v>2</v>
      </c>
      <c r="AP19">
        <v>84.52</v>
      </c>
      <c r="AQ19" s="62">
        <v>5.3182999999999998</v>
      </c>
      <c r="AR19" s="16">
        <v>45559</v>
      </c>
      <c r="AS19" s="18">
        <v>0.53013888888888894</v>
      </c>
      <c r="AT19">
        <v>0</v>
      </c>
      <c r="AU19">
        <v>0</v>
      </c>
      <c r="AV19">
        <v>0</v>
      </c>
      <c r="AW19" s="80">
        <f t="shared" ref="AW19" si="19">AVERAGE(AQ19:AQ23)</f>
        <v>5.3036200000000004</v>
      </c>
      <c r="AZ19" t="s">
        <v>149</v>
      </c>
      <c r="BA19">
        <v>0</v>
      </c>
      <c r="BB19" t="s">
        <v>7</v>
      </c>
      <c r="BC19">
        <v>8768</v>
      </c>
      <c r="BD19">
        <v>32</v>
      </c>
      <c r="BE19">
        <v>2</v>
      </c>
      <c r="BF19">
        <v>2</v>
      </c>
      <c r="BG19">
        <v>179.54</v>
      </c>
      <c r="BH19" s="62">
        <v>2.5034999999999998</v>
      </c>
      <c r="BI19" s="16">
        <v>45559</v>
      </c>
      <c r="BJ19" s="18">
        <v>0.62002314814814818</v>
      </c>
      <c r="BK19">
        <v>0</v>
      </c>
      <c r="BL19">
        <v>0</v>
      </c>
      <c r="BM19">
        <v>0</v>
      </c>
      <c r="BN19" s="80">
        <f t="shared" ref="BN19" si="20">AVERAGE(BH19:BH23)</f>
        <v>2.4755600000000002</v>
      </c>
    </row>
    <row r="20" spans="1:66" x14ac:dyDescent="0.25">
      <c r="A20" t="s">
        <v>111</v>
      </c>
      <c r="B20">
        <v>1</v>
      </c>
      <c r="C20" t="s">
        <v>7</v>
      </c>
      <c r="D20">
        <v>8768</v>
      </c>
      <c r="E20">
        <v>32</v>
      </c>
      <c r="F20">
        <v>2</v>
      </c>
      <c r="G20">
        <v>2</v>
      </c>
      <c r="H20">
        <v>118.29</v>
      </c>
      <c r="I20" s="62">
        <v>3.8</v>
      </c>
      <c r="J20" s="16">
        <v>45549</v>
      </c>
      <c r="K20" s="18">
        <v>0.97372685185185182</v>
      </c>
      <c r="L20">
        <v>0</v>
      </c>
      <c r="M20">
        <v>0</v>
      </c>
      <c r="N20">
        <v>0</v>
      </c>
      <c r="O20" s="80">
        <f t="shared" ref="O20" si="21">O19</f>
        <v>3.8010600000000005</v>
      </c>
      <c r="R20" t="s">
        <v>111</v>
      </c>
      <c r="S20">
        <v>1</v>
      </c>
      <c r="T20" t="s">
        <v>7</v>
      </c>
      <c r="U20">
        <v>8768</v>
      </c>
      <c r="V20">
        <v>32</v>
      </c>
      <c r="W20">
        <v>2</v>
      </c>
      <c r="X20">
        <v>2</v>
      </c>
      <c r="Y20">
        <v>117.81</v>
      </c>
      <c r="Z20" s="62">
        <v>3.8153999999999999</v>
      </c>
      <c r="AA20" s="16">
        <v>45559</v>
      </c>
      <c r="AB20" s="18">
        <v>0.61780092592592595</v>
      </c>
      <c r="AC20">
        <v>0</v>
      </c>
      <c r="AD20">
        <v>0</v>
      </c>
      <c r="AE20">
        <v>0</v>
      </c>
      <c r="AF20" s="80">
        <f t="shared" si="17"/>
        <v>3.8534599999999997</v>
      </c>
      <c r="AI20" t="s">
        <v>149</v>
      </c>
      <c r="AJ20">
        <v>1</v>
      </c>
      <c r="AK20" t="s">
        <v>7</v>
      </c>
      <c r="AL20">
        <v>8768</v>
      </c>
      <c r="AM20">
        <v>32</v>
      </c>
      <c r="AN20">
        <v>2</v>
      </c>
      <c r="AO20">
        <v>2</v>
      </c>
      <c r="AP20">
        <v>84.47</v>
      </c>
      <c r="AQ20" s="62">
        <v>5.3212999999999999</v>
      </c>
      <c r="AR20" s="16">
        <v>45559</v>
      </c>
      <c r="AS20" s="18">
        <v>0.58425925925925926</v>
      </c>
      <c r="AT20">
        <v>0</v>
      </c>
      <c r="AU20">
        <v>0</v>
      </c>
      <c r="AV20">
        <v>0</v>
      </c>
      <c r="AW20" s="80">
        <f t="shared" ref="AW20:AW23" si="22">AW19</f>
        <v>5.3036200000000004</v>
      </c>
      <c r="AZ20" t="s">
        <v>149</v>
      </c>
      <c r="BA20">
        <v>1</v>
      </c>
      <c r="BB20" t="s">
        <v>7</v>
      </c>
      <c r="BC20">
        <v>8768</v>
      </c>
      <c r="BD20">
        <v>32</v>
      </c>
      <c r="BE20">
        <v>2</v>
      </c>
      <c r="BF20">
        <v>2</v>
      </c>
      <c r="BG20">
        <v>182.61</v>
      </c>
      <c r="BH20" s="62">
        <v>2.4615</v>
      </c>
      <c r="BI20" s="16">
        <v>45559</v>
      </c>
      <c r="BJ20" s="18">
        <v>0.71562499999999996</v>
      </c>
      <c r="BK20">
        <v>0</v>
      </c>
      <c r="BL20">
        <v>0</v>
      </c>
      <c r="BM20">
        <v>0</v>
      </c>
      <c r="BN20" s="80">
        <f t="shared" ref="BN20:BN23" si="23">BN19</f>
        <v>2.4755600000000002</v>
      </c>
    </row>
    <row r="21" spans="1:66" x14ac:dyDescent="0.25">
      <c r="A21" t="s">
        <v>111</v>
      </c>
      <c r="B21">
        <v>2</v>
      </c>
      <c r="C21" t="s">
        <v>7</v>
      </c>
      <c r="D21">
        <v>8768</v>
      </c>
      <c r="E21">
        <v>32</v>
      </c>
      <c r="F21">
        <v>2</v>
      </c>
      <c r="G21">
        <v>2</v>
      </c>
      <c r="H21">
        <v>118.34</v>
      </c>
      <c r="I21" s="62">
        <v>3.7982</v>
      </c>
      <c r="J21" s="16">
        <v>45550</v>
      </c>
      <c r="K21" s="18">
        <v>4.4872685185185182E-2</v>
      </c>
      <c r="L21">
        <v>0</v>
      </c>
      <c r="M21">
        <v>0</v>
      </c>
      <c r="N21">
        <v>0</v>
      </c>
      <c r="O21" s="80">
        <f t="shared" si="14"/>
        <v>3.8010600000000005</v>
      </c>
      <c r="R21" t="s">
        <v>111</v>
      </c>
      <c r="S21">
        <v>2</v>
      </c>
      <c r="T21" t="s">
        <v>7</v>
      </c>
      <c r="U21">
        <v>8768</v>
      </c>
      <c r="V21">
        <v>32</v>
      </c>
      <c r="W21">
        <v>2</v>
      </c>
      <c r="X21">
        <v>2</v>
      </c>
      <c r="Y21">
        <v>117.72</v>
      </c>
      <c r="Z21" s="62">
        <v>3.8184</v>
      </c>
      <c r="AA21" s="16">
        <v>45559</v>
      </c>
      <c r="AB21" s="18">
        <v>0.68903935185185183</v>
      </c>
      <c r="AC21">
        <v>0</v>
      </c>
      <c r="AD21">
        <v>0</v>
      </c>
      <c r="AE21">
        <v>0</v>
      </c>
      <c r="AF21" s="80">
        <f t="shared" si="17"/>
        <v>3.8534599999999997</v>
      </c>
      <c r="AI21" t="s">
        <v>149</v>
      </c>
      <c r="AJ21">
        <v>2</v>
      </c>
      <c r="AK21" t="s">
        <v>7</v>
      </c>
      <c r="AL21">
        <v>8768</v>
      </c>
      <c r="AM21">
        <v>32</v>
      </c>
      <c r="AN21">
        <v>2</v>
      </c>
      <c r="AO21">
        <v>2</v>
      </c>
      <c r="AP21">
        <v>85.08</v>
      </c>
      <c r="AQ21" s="62">
        <v>5.2831999999999999</v>
      </c>
      <c r="AR21" s="16">
        <v>45559</v>
      </c>
      <c r="AS21" s="18">
        <v>0.63848379629629626</v>
      </c>
      <c r="AT21">
        <v>0</v>
      </c>
      <c r="AU21">
        <v>0</v>
      </c>
      <c r="AV21">
        <v>0</v>
      </c>
      <c r="AW21" s="80">
        <f t="shared" si="22"/>
        <v>5.3036200000000004</v>
      </c>
      <c r="AZ21" t="s">
        <v>149</v>
      </c>
      <c r="BA21">
        <v>2</v>
      </c>
      <c r="BB21" t="s">
        <v>7</v>
      </c>
      <c r="BC21">
        <v>8768</v>
      </c>
      <c r="BD21">
        <v>32</v>
      </c>
      <c r="BE21">
        <v>2</v>
      </c>
      <c r="BF21">
        <v>2</v>
      </c>
      <c r="BG21">
        <v>182.11</v>
      </c>
      <c r="BH21" s="62">
        <v>2.4683000000000002</v>
      </c>
      <c r="BI21" s="16">
        <v>45559</v>
      </c>
      <c r="BJ21" s="18">
        <v>0.81082175925925926</v>
      </c>
      <c r="BK21">
        <v>0</v>
      </c>
      <c r="BL21">
        <v>0</v>
      </c>
      <c r="BM21">
        <v>0</v>
      </c>
      <c r="BN21" s="80">
        <f t="shared" si="23"/>
        <v>2.4755600000000002</v>
      </c>
    </row>
    <row r="22" spans="1:66" x14ac:dyDescent="0.25">
      <c r="A22" t="s">
        <v>111</v>
      </c>
      <c r="B22">
        <v>3</v>
      </c>
      <c r="C22" t="s">
        <v>7</v>
      </c>
      <c r="D22">
        <v>8768</v>
      </c>
      <c r="E22">
        <v>32</v>
      </c>
      <c r="F22">
        <v>2</v>
      </c>
      <c r="G22">
        <v>2</v>
      </c>
      <c r="H22">
        <v>118.33</v>
      </c>
      <c r="I22" s="62">
        <v>3.7987000000000002</v>
      </c>
      <c r="J22" s="16">
        <v>45550</v>
      </c>
      <c r="K22" s="18">
        <v>0.11603009259259259</v>
      </c>
      <c r="L22">
        <v>0</v>
      </c>
      <c r="M22">
        <v>0</v>
      </c>
      <c r="N22">
        <v>0</v>
      </c>
      <c r="O22" s="80">
        <f t="shared" si="14"/>
        <v>3.8010600000000005</v>
      </c>
      <c r="R22" t="s">
        <v>111</v>
      </c>
      <c r="S22">
        <v>3</v>
      </c>
      <c r="T22" t="s">
        <v>7</v>
      </c>
      <c r="U22">
        <v>8768</v>
      </c>
      <c r="V22">
        <v>32</v>
      </c>
      <c r="W22">
        <v>2</v>
      </c>
      <c r="X22">
        <v>2</v>
      </c>
      <c r="Y22">
        <v>117.99</v>
      </c>
      <c r="Z22" s="62">
        <v>3.8094999999999999</v>
      </c>
      <c r="AA22" s="16">
        <v>45559</v>
      </c>
      <c r="AB22" s="18">
        <v>0.76031249999999995</v>
      </c>
      <c r="AC22">
        <v>0</v>
      </c>
      <c r="AD22">
        <v>0</v>
      </c>
      <c r="AE22">
        <v>0</v>
      </c>
      <c r="AF22" s="80">
        <f>AVERAGE(Z22:Z26)</f>
        <v>3.8262200000000002</v>
      </c>
      <c r="AI22" t="s">
        <v>149</v>
      </c>
      <c r="AJ22">
        <v>3</v>
      </c>
      <c r="AK22" t="s">
        <v>7</v>
      </c>
      <c r="AL22">
        <v>8768</v>
      </c>
      <c r="AM22">
        <v>32</v>
      </c>
      <c r="AN22">
        <v>2</v>
      </c>
      <c r="AO22">
        <v>2</v>
      </c>
      <c r="AP22">
        <v>84.87</v>
      </c>
      <c r="AQ22" s="62">
        <v>5.2964000000000002</v>
      </c>
      <c r="AR22" s="16">
        <v>45559</v>
      </c>
      <c r="AS22" s="18">
        <v>0.69262731481481477</v>
      </c>
      <c r="AT22">
        <v>0</v>
      </c>
      <c r="AU22">
        <v>0</v>
      </c>
      <c r="AV22">
        <v>0</v>
      </c>
      <c r="AW22" s="80">
        <f t="shared" si="22"/>
        <v>5.3036200000000004</v>
      </c>
      <c r="AZ22" t="s">
        <v>149</v>
      </c>
      <c r="BA22">
        <v>3</v>
      </c>
      <c r="BB22" t="s">
        <v>7</v>
      </c>
      <c r="BC22">
        <v>8768</v>
      </c>
      <c r="BD22">
        <v>32</v>
      </c>
      <c r="BE22">
        <v>2</v>
      </c>
      <c r="BF22">
        <v>2</v>
      </c>
      <c r="BG22">
        <v>180.37</v>
      </c>
      <c r="BH22" s="62">
        <v>2.4921000000000002</v>
      </c>
      <c r="BI22" s="16">
        <v>45559</v>
      </c>
      <c r="BJ22" s="18">
        <v>0.90660879629629632</v>
      </c>
      <c r="BK22">
        <v>0</v>
      </c>
      <c r="BL22">
        <v>0</v>
      </c>
      <c r="BM22">
        <v>0</v>
      </c>
      <c r="BN22" s="80">
        <f t="shared" si="23"/>
        <v>2.4755600000000002</v>
      </c>
    </row>
    <row r="23" spans="1:66" x14ac:dyDescent="0.25">
      <c r="A23" t="s">
        <v>111</v>
      </c>
      <c r="B23">
        <v>4</v>
      </c>
      <c r="C23" t="s">
        <v>7</v>
      </c>
      <c r="D23">
        <v>8768</v>
      </c>
      <c r="E23">
        <v>32</v>
      </c>
      <c r="F23">
        <v>2</v>
      </c>
      <c r="G23">
        <v>2</v>
      </c>
      <c r="H23">
        <v>117.89</v>
      </c>
      <c r="I23" s="62">
        <v>3.8127</v>
      </c>
      <c r="J23" s="16">
        <v>45550</v>
      </c>
      <c r="K23" s="18">
        <v>0.1872337962962963</v>
      </c>
      <c r="L23">
        <v>0</v>
      </c>
      <c r="M23">
        <v>0</v>
      </c>
      <c r="N23">
        <v>0</v>
      </c>
      <c r="O23" s="80">
        <f t="shared" si="14"/>
        <v>3.8010600000000005</v>
      </c>
      <c r="R23" t="s">
        <v>111</v>
      </c>
      <c r="S23">
        <v>4</v>
      </c>
      <c r="T23" t="s">
        <v>7</v>
      </c>
      <c r="U23">
        <v>8768</v>
      </c>
      <c r="V23">
        <v>32</v>
      </c>
      <c r="W23">
        <v>2</v>
      </c>
      <c r="X23">
        <v>2</v>
      </c>
      <c r="Y23">
        <v>117.93</v>
      </c>
      <c r="Z23" s="62">
        <v>3.8115999999999999</v>
      </c>
      <c r="AA23" s="16">
        <v>45559</v>
      </c>
      <c r="AB23" s="18">
        <v>0.83159722222222221</v>
      </c>
      <c r="AC23">
        <v>0</v>
      </c>
      <c r="AD23">
        <v>0</v>
      </c>
      <c r="AE23">
        <v>0</v>
      </c>
      <c r="AF23" s="80">
        <f>AF22</f>
        <v>3.8262200000000002</v>
      </c>
      <c r="AI23" t="s">
        <v>149</v>
      </c>
      <c r="AJ23">
        <v>4</v>
      </c>
      <c r="AK23" t="s">
        <v>7</v>
      </c>
      <c r="AL23">
        <v>8768</v>
      </c>
      <c r="AM23">
        <v>32</v>
      </c>
      <c r="AN23">
        <v>2</v>
      </c>
      <c r="AO23">
        <v>2</v>
      </c>
      <c r="AP23">
        <v>84.83</v>
      </c>
      <c r="AQ23" s="62">
        <v>5.2988999999999997</v>
      </c>
      <c r="AR23" s="16">
        <v>45559</v>
      </c>
      <c r="AS23" s="18">
        <v>0.74693287037037037</v>
      </c>
      <c r="AT23">
        <v>0</v>
      </c>
      <c r="AU23">
        <v>0</v>
      </c>
      <c r="AV23">
        <v>0</v>
      </c>
      <c r="AW23" s="80">
        <f t="shared" si="22"/>
        <v>5.3036200000000004</v>
      </c>
      <c r="AZ23" t="s">
        <v>149</v>
      </c>
      <c r="BA23">
        <v>4</v>
      </c>
      <c r="BB23" t="s">
        <v>7</v>
      </c>
      <c r="BC23">
        <v>8768</v>
      </c>
      <c r="BD23">
        <v>32</v>
      </c>
      <c r="BE23">
        <v>2</v>
      </c>
      <c r="BF23">
        <v>2</v>
      </c>
      <c r="BG23">
        <v>183.29</v>
      </c>
      <c r="BH23" s="62">
        <v>2.4523999999999999</v>
      </c>
      <c r="BI23" s="16">
        <v>45560</v>
      </c>
      <c r="BJ23" s="18">
        <v>1.9212962962962964E-3</v>
      </c>
      <c r="BK23">
        <v>0</v>
      </c>
      <c r="BL23">
        <v>0</v>
      </c>
      <c r="BM23">
        <v>0</v>
      </c>
      <c r="BN23" s="80">
        <f t="shared" si="23"/>
        <v>2.4755600000000002</v>
      </c>
    </row>
    <row r="24" spans="1:66" x14ac:dyDescent="0.25">
      <c r="A24" t="s">
        <v>111</v>
      </c>
      <c r="B24">
        <v>0</v>
      </c>
      <c r="C24" t="s">
        <v>7</v>
      </c>
      <c r="D24">
        <v>9280</v>
      </c>
      <c r="E24">
        <v>32</v>
      </c>
      <c r="F24">
        <v>2</v>
      </c>
      <c r="G24">
        <v>2</v>
      </c>
      <c r="H24">
        <v>139.52000000000001</v>
      </c>
      <c r="I24" s="62">
        <v>3.8197000000000001</v>
      </c>
      <c r="J24" s="16">
        <v>45549</v>
      </c>
      <c r="K24" s="18">
        <v>0.92296296296296299</v>
      </c>
      <c r="L24">
        <v>0</v>
      </c>
      <c r="M24">
        <v>0</v>
      </c>
      <c r="N24">
        <v>0</v>
      </c>
      <c r="O24" s="80">
        <f t="shared" ref="O24" si="24">AVERAGE(I24:I28)</f>
        <v>3.8242400000000005</v>
      </c>
      <c r="R24" t="s">
        <v>111</v>
      </c>
      <c r="S24">
        <v>0</v>
      </c>
      <c r="T24" t="s">
        <v>7</v>
      </c>
      <c r="U24">
        <v>9280</v>
      </c>
      <c r="V24">
        <v>32</v>
      </c>
      <c r="W24">
        <v>2</v>
      </c>
      <c r="X24">
        <v>2</v>
      </c>
      <c r="Y24">
        <v>138.94999999999999</v>
      </c>
      <c r="Z24" s="62">
        <v>3.8351999999999999</v>
      </c>
      <c r="AA24" s="16">
        <v>45559</v>
      </c>
      <c r="AB24" s="18">
        <v>0.5671180555555555</v>
      </c>
      <c r="AC24">
        <v>0</v>
      </c>
      <c r="AD24">
        <v>0</v>
      </c>
      <c r="AE24">
        <v>0</v>
      </c>
      <c r="AF24" s="80">
        <f>AF23</f>
        <v>3.8262200000000002</v>
      </c>
      <c r="AI24" t="s">
        <v>149</v>
      </c>
      <c r="AJ24">
        <v>0</v>
      </c>
      <c r="AK24" t="s">
        <v>7</v>
      </c>
      <c r="AL24">
        <v>9280</v>
      </c>
      <c r="AM24">
        <v>32</v>
      </c>
      <c r="AN24">
        <v>2</v>
      </c>
      <c r="AO24">
        <v>2</v>
      </c>
      <c r="AP24">
        <v>98.97</v>
      </c>
      <c r="AQ24" s="62">
        <v>5.3845000000000001</v>
      </c>
      <c r="AR24" s="16">
        <v>45559</v>
      </c>
      <c r="AS24" s="18">
        <v>0.54582175925925924</v>
      </c>
      <c r="AT24">
        <v>0</v>
      </c>
      <c r="AU24">
        <v>0</v>
      </c>
      <c r="AV24">
        <v>0</v>
      </c>
      <c r="AW24" s="80">
        <f t="shared" ref="AW24" si="25">AVERAGE(AQ24:AQ28)</f>
        <v>5.3878399999999997</v>
      </c>
      <c r="AZ24" t="s">
        <v>149</v>
      </c>
      <c r="BA24">
        <v>0</v>
      </c>
      <c r="BB24" t="s">
        <v>7</v>
      </c>
      <c r="BC24">
        <v>9280</v>
      </c>
      <c r="BD24">
        <v>32</v>
      </c>
      <c r="BE24">
        <v>2</v>
      </c>
      <c r="BF24">
        <v>2</v>
      </c>
      <c r="BG24">
        <v>201.65</v>
      </c>
      <c r="BH24" s="62">
        <v>2.6427999999999998</v>
      </c>
      <c r="BI24" s="16">
        <v>45559</v>
      </c>
      <c r="BJ24" s="18">
        <v>0.64864583333333337</v>
      </c>
      <c r="BK24">
        <v>0</v>
      </c>
      <c r="BL24">
        <v>0</v>
      </c>
      <c r="BM24">
        <v>0</v>
      </c>
      <c r="BN24" s="80">
        <f t="shared" ref="BN24" si="26">AVERAGE(BH24:BH28)</f>
        <v>2.6096200000000001</v>
      </c>
    </row>
    <row r="25" spans="1:66" x14ac:dyDescent="0.25">
      <c r="A25" t="s">
        <v>111</v>
      </c>
      <c r="B25">
        <v>1</v>
      </c>
      <c r="C25" t="s">
        <v>7</v>
      </c>
      <c r="D25">
        <v>9280</v>
      </c>
      <c r="E25">
        <v>32</v>
      </c>
      <c r="F25">
        <v>2</v>
      </c>
      <c r="G25">
        <v>2</v>
      </c>
      <c r="H25">
        <v>139.47</v>
      </c>
      <c r="I25" s="62">
        <v>3.8210999999999999</v>
      </c>
      <c r="J25" s="16">
        <v>45549</v>
      </c>
      <c r="K25" s="18">
        <v>0.99422453703703706</v>
      </c>
      <c r="L25">
        <v>0</v>
      </c>
      <c r="M25">
        <v>0</v>
      </c>
      <c r="N25">
        <v>0</v>
      </c>
      <c r="O25" s="80">
        <f t="shared" ref="O25" si="27">O24</f>
        <v>3.8242400000000005</v>
      </c>
      <c r="R25" t="s">
        <v>111</v>
      </c>
      <c r="S25">
        <v>1</v>
      </c>
      <c r="T25" t="s">
        <v>7</v>
      </c>
      <c r="U25">
        <v>9280</v>
      </c>
      <c r="V25">
        <v>32</v>
      </c>
      <c r="W25">
        <v>2</v>
      </c>
      <c r="X25">
        <v>2</v>
      </c>
      <c r="Y25">
        <v>138.84</v>
      </c>
      <c r="Z25" s="62">
        <v>3.8384</v>
      </c>
      <c r="AA25" s="16">
        <v>45559</v>
      </c>
      <c r="AB25" s="18">
        <v>0.63836805555555554</v>
      </c>
      <c r="AC25">
        <v>0</v>
      </c>
      <c r="AD25">
        <v>0</v>
      </c>
      <c r="AE25">
        <v>0</v>
      </c>
      <c r="AF25" s="80">
        <f>AVERAGE(Z25:Z29)</f>
        <v>3.8378799999999997</v>
      </c>
      <c r="AI25" t="s">
        <v>149</v>
      </c>
      <c r="AJ25">
        <v>1</v>
      </c>
      <c r="AK25" t="s">
        <v>7</v>
      </c>
      <c r="AL25">
        <v>9280</v>
      </c>
      <c r="AM25">
        <v>32</v>
      </c>
      <c r="AN25">
        <v>2</v>
      </c>
      <c r="AO25">
        <v>2</v>
      </c>
      <c r="AP25">
        <v>98.72</v>
      </c>
      <c r="AQ25" s="62">
        <v>5.3982000000000001</v>
      </c>
      <c r="AR25" s="16">
        <v>45559</v>
      </c>
      <c r="AS25" s="18">
        <v>0.5999768518518519</v>
      </c>
      <c r="AT25">
        <v>0</v>
      </c>
      <c r="AU25">
        <v>0</v>
      </c>
      <c r="AV25">
        <v>0</v>
      </c>
      <c r="AW25" s="80">
        <f t="shared" ref="AW25:AW28" si="28">AW24</f>
        <v>5.3878399999999997</v>
      </c>
      <c r="AZ25" t="s">
        <v>149</v>
      </c>
      <c r="BA25">
        <v>1</v>
      </c>
      <c r="BB25" t="s">
        <v>7</v>
      </c>
      <c r="BC25">
        <v>9280</v>
      </c>
      <c r="BD25">
        <v>32</v>
      </c>
      <c r="BE25">
        <v>2</v>
      </c>
      <c r="BF25">
        <v>2</v>
      </c>
      <c r="BG25">
        <v>207.75</v>
      </c>
      <c r="BH25" s="62">
        <v>2.5651999999999999</v>
      </c>
      <c r="BI25" s="16">
        <v>45559</v>
      </c>
      <c r="BJ25" s="18">
        <v>0.74427083333333333</v>
      </c>
      <c r="BK25">
        <v>0</v>
      </c>
      <c r="BL25">
        <v>0</v>
      </c>
      <c r="BM25">
        <v>0</v>
      </c>
      <c r="BN25" s="80">
        <f t="shared" ref="BN25:BN28" si="29">BN24</f>
        <v>2.6096200000000001</v>
      </c>
    </row>
    <row r="26" spans="1:66" x14ac:dyDescent="0.25">
      <c r="A26" t="s">
        <v>111</v>
      </c>
      <c r="B26">
        <v>2</v>
      </c>
      <c r="C26" t="s">
        <v>7</v>
      </c>
      <c r="D26">
        <v>9280</v>
      </c>
      <c r="E26">
        <v>32</v>
      </c>
      <c r="F26">
        <v>2</v>
      </c>
      <c r="G26">
        <v>2</v>
      </c>
      <c r="H26">
        <v>139.24</v>
      </c>
      <c r="I26" s="62">
        <v>3.8271999999999999</v>
      </c>
      <c r="J26" s="16">
        <v>45550</v>
      </c>
      <c r="K26" s="18">
        <v>6.537037037037037E-2</v>
      </c>
      <c r="L26">
        <v>0</v>
      </c>
      <c r="M26">
        <v>0</v>
      </c>
      <c r="N26">
        <v>0</v>
      </c>
      <c r="O26" s="80">
        <f t="shared" si="14"/>
        <v>3.8242400000000005</v>
      </c>
      <c r="R26" t="s">
        <v>111</v>
      </c>
      <c r="S26">
        <v>2</v>
      </c>
      <c r="T26" t="s">
        <v>7</v>
      </c>
      <c r="U26">
        <v>9280</v>
      </c>
      <c r="V26">
        <v>32</v>
      </c>
      <c r="W26">
        <v>2</v>
      </c>
      <c r="X26">
        <v>2</v>
      </c>
      <c r="Y26">
        <v>138.91</v>
      </c>
      <c r="Z26" s="62">
        <v>3.8363999999999998</v>
      </c>
      <c r="AA26" s="16">
        <v>45559</v>
      </c>
      <c r="AB26" s="18">
        <v>0.70960648148148153</v>
      </c>
      <c r="AC26">
        <v>0</v>
      </c>
      <c r="AD26">
        <v>0</v>
      </c>
      <c r="AE26">
        <v>0</v>
      </c>
      <c r="AF26" s="80">
        <f t="shared" ref="AF26:AF32" si="30">AF25</f>
        <v>3.8378799999999997</v>
      </c>
      <c r="AI26" t="s">
        <v>149</v>
      </c>
      <c r="AJ26">
        <v>2</v>
      </c>
      <c r="AK26" t="s">
        <v>7</v>
      </c>
      <c r="AL26">
        <v>9280</v>
      </c>
      <c r="AM26">
        <v>32</v>
      </c>
      <c r="AN26">
        <v>2</v>
      </c>
      <c r="AO26">
        <v>2</v>
      </c>
      <c r="AP26">
        <v>98.96</v>
      </c>
      <c r="AQ26" s="62">
        <v>5.3851000000000004</v>
      </c>
      <c r="AR26" s="16">
        <v>45559</v>
      </c>
      <c r="AS26" s="18">
        <v>0.65421296296296294</v>
      </c>
      <c r="AT26">
        <v>0</v>
      </c>
      <c r="AU26">
        <v>0</v>
      </c>
      <c r="AV26">
        <v>0</v>
      </c>
      <c r="AW26" s="80">
        <f t="shared" si="28"/>
        <v>5.3878399999999997</v>
      </c>
      <c r="AZ26" t="s">
        <v>149</v>
      </c>
      <c r="BA26">
        <v>2</v>
      </c>
      <c r="BB26" t="s">
        <v>7</v>
      </c>
      <c r="BC26">
        <v>9280</v>
      </c>
      <c r="BD26">
        <v>32</v>
      </c>
      <c r="BE26">
        <v>2</v>
      </c>
      <c r="BF26">
        <v>2</v>
      </c>
      <c r="BG26">
        <v>207.38</v>
      </c>
      <c r="BH26" s="62">
        <v>2.5697999999999999</v>
      </c>
      <c r="BI26" s="16">
        <v>45559</v>
      </c>
      <c r="BJ26" s="18">
        <v>0.83959490740740739</v>
      </c>
      <c r="BK26">
        <v>0</v>
      </c>
      <c r="BL26">
        <v>0</v>
      </c>
      <c r="BM26">
        <v>0</v>
      </c>
      <c r="BN26" s="80">
        <f t="shared" si="29"/>
        <v>2.6096200000000001</v>
      </c>
    </row>
    <row r="27" spans="1:66" x14ac:dyDescent="0.25">
      <c r="A27" t="s">
        <v>111</v>
      </c>
      <c r="B27">
        <v>3</v>
      </c>
      <c r="C27" t="s">
        <v>7</v>
      </c>
      <c r="D27">
        <v>9280</v>
      </c>
      <c r="E27">
        <v>32</v>
      </c>
      <c r="F27">
        <v>2</v>
      </c>
      <c r="G27">
        <v>2</v>
      </c>
      <c r="H27">
        <v>139.31</v>
      </c>
      <c r="I27" s="62">
        <v>3.8254999999999999</v>
      </c>
      <c r="J27" s="16">
        <v>45550</v>
      </c>
      <c r="K27" s="18">
        <v>0.13653935185185184</v>
      </c>
      <c r="L27">
        <v>0</v>
      </c>
      <c r="M27">
        <v>0</v>
      </c>
      <c r="N27">
        <v>0</v>
      </c>
      <c r="O27" s="80">
        <f t="shared" si="14"/>
        <v>3.8242400000000005</v>
      </c>
      <c r="R27" t="s">
        <v>111</v>
      </c>
      <c r="S27">
        <v>3</v>
      </c>
      <c r="T27" t="s">
        <v>7</v>
      </c>
      <c r="U27">
        <v>9280</v>
      </c>
      <c r="V27">
        <v>32</v>
      </c>
      <c r="W27">
        <v>2</v>
      </c>
      <c r="X27">
        <v>2</v>
      </c>
      <c r="Y27">
        <v>138.81</v>
      </c>
      <c r="Z27" s="62">
        <v>3.8391999999999999</v>
      </c>
      <c r="AA27" s="16">
        <v>45559</v>
      </c>
      <c r="AB27" s="18">
        <v>0.78089120370370368</v>
      </c>
      <c r="AC27">
        <v>0</v>
      </c>
      <c r="AD27">
        <v>0</v>
      </c>
      <c r="AE27">
        <v>0</v>
      </c>
      <c r="AF27" s="80">
        <f t="shared" si="30"/>
        <v>3.8378799999999997</v>
      </c>
      <c r="AI27" t="s">
        <v>149</v>
      </c>
      <c r="AJ27">
        <v>3</v>
      </c>
      <c r="AK27" t="s">
        <v>7</v>
      </c>
      <c r="AL27">
        <v>9280</v>
      </c>
      <c r="AM27">
        <v>32</v>
      </c>
      <c r="AN27">
        <v>2</v>
      </c>
      <c r="AO27">
        <v>2</v>
      </c>
      <c r="AP27">
        <v>98.97</v>
      </c>
      <c r="AQ27" s="62">
        <v>5.3848000000000003</v>
      </c>
      <c r="AR27" s="16">
        <v>45559</v>
      </c>
      <c r="AS27" s="18">
        <v>0.70835648148148145</v>
      </c>
      <c r="AT27">
        <v>0</v>
      </c>
      <c r="AU27">
        <v>0</v>
      </c>
      <c r="AV27">
        <v>0</v>
      </c>
      <c r="AW27" s="80">
        <f t="shared" si="28"/>
        <v>5.3878399999999997</v>
      </c>
      <c r="AZ27" t="s">
        <v>149</v>
      </c>
      <c r="BA27">
        <v>3</v>
      </c>
      <c r="BB27" t="s">
        <v>7</v>
      </c>
      <c r="BC27">
        <v>9280</v>
      </c>
      <c r="BD27">
        <v>32</v>
      </c>
      <c r="BE27">
        <v>2</v>
      </c>
      <c r="BF27">
        <v>2</v>
      </c>
      <c r="BG27">
        <v>205.56</v>
      </c>
      <c r="BH27" s="62">
        <v>2.5924999999999998</v>
      </c>
      <c r="BI27" s="16">
        <v>45559</v>
      </c>
      <c r="BJ27" s="18">
        <v>0.93508101851851855</v>
      </c>
      <c r="BK27">
        <v>0</v>
      </c>
      <c r="BL27">
        <v>0</v>
      </c>
      <c r="BM27">
        <v>0</v>
      </c>
      <c r="BN27" s="80">
        <f t="shared" si="29"/>
        <v>2.6096200000000001</v>
      </c>
    </row>
    <row r="28" spans="1:66" x14ac:dyDescent="0.25">
      <c r="A28" t="s">
        <v>111</v>
      </c>
      <c r="B28">
        <v>4</v>
      </c>
      <c r="C28" t="s">
        <v>7</v>
      </c>
      <c r="D28">
        <v>9280</v>
      </c>
      <c r="E28">
        <v>32</v>
      </c>
      <c r="F28">
        <v>2</v>
      </c>
      <c r="G28">
        <v>2</v>
      </c>
      <c r="H28">
        <v>139.22999999999999</v>
      </c>
      <c r="I28" s="62">
        <v>3.8277000000000001</v>
      </c>
      <c r="J28" s="16">
        <v>45550</v>
      </c>
      <c r="K28" s="18">
        <v>0.20773148148148149</v>
      </c>
      <c r="L28">
        <v>0</v>
      </c>
      <c r="M28">
        <v>0</v>
      </c>
      <c r="N28">
        <v>0</v>
      </c>
      <c r="O28" s="80">
        <f t="shared" si="14"/>
        <v>3.8242400000000005</v>
      </c>
      <c r="R28" t="s">
        <v>111</v>
      </c>
      <c r="S28">
        <v>4</v>
      </c>
      <c r="T28" t="s">
        <v>7</v>
      </c>
      <c r="U28">
        <v>9280</v>
      </c>
      <c r="V28">
        <v>32</v>
      </c>
      <c r="W28">
        <v>2</v>
      </c>
      <c r="X28">
        <v>2</v>
      </c>
      <c r="Y28">
        <v>138.65</v>
      </c>
      <c r="Z28" s="62">
        <v>3.8435999999999999</v>
      </c>
      <c r="AA28" s="16">
        <v>45559</v>
      </c>
      <c r="AB28" s="18">
        <v>0.85203703703703704</v>
      </c>
      <c r="AC28">
        <v>0</v>
      </c>
      <c r="AD28">
        <v>0</v>
      </c>
      <c r="AE28">
        <v>0</v>
      </c>
      <c r="AF28" s="80">
        <f t="shared" si="30"/>
        <v>3.8378799999999997</v>
      </c>
      <c r="AI28" t="s">
        <v>149</v>
      </c>
      <c r="AJ28">
        <v>4</v>
      </c>
      <c r="AK28" t="s">
        <v>7</v>
      </c>
      <c r="AL28">
        <v>9280</v>
      </c>
      <c r="AM28">
        <v>32</v>
      </c>
      <c r="AN28">
        <v>2</v>
      </c>
      <c r="AO28">
        <v>2</v>
      </c>
      <c r="AP28">
        <v>98.93</v>
      </c>
      <c r="AQ28" s="62">
        <v>5.3865999999999996</v>
      </c>
      <c r="AR28" s="16">
        <v>45559</v>
      </c>
      <c r="AS28" s="18">
        <v>0.76267361111111109</v>
      </c>
      <c r="AT28">
        <v>0</v>
      </c>
      <c r="AU28">
        <v>0</v>
      </c>
      <c r="AV28">
        <v>0</v>
      </c>
      <c r="AW28" s="80">
        <f t="shared" si="28"/>
        <v>5.3878399999999997</v>
      </c>
      <c r="AZ28" t="s">
        <v>149</v>
      </c>
      <c r="BA28">
        <v>4</v>
      </c>
      <c r="BB28" t="s">
        <v>7</v>
      </c>
      <c r="BC28">
        <v>9280</v>
      </c>
      <c r="BD28">
        <v>32</v>
      </c>
      <c r="BE28">
        <v>2</v>
      </c>
      <c r="BF28">
        <v>2</v>
      </c>
      <c r="BG28">
        <v>199.01</v>
      </c>
      <c r="BH28" s="62">
        <v>2.6778</v>
      </c>
      <c r="BI28" s="16">
        <v>45560</v>
      </c>
      <c r="BJ28" s="18">
        <v>3.0844907407407408E-2</v>
      </c>
      <c r="BK28">
        <v>0</v>
      </c>
      <c r="BL28">
        <v>0</v>
      </c>
      <c r="BM28">
        <v>0</v>
      </c>
      <c r="BN28" s="80">
        <f t="shared" si="29"/>
        <v>2.6096200000000001</v>
      </c>
    </row>
    <row r="29" spans="1:66" x14ac:dyDescent="0.25">
      <c r="A29" t="s">
        <v>111</v>
      </c>
      <c r="B29">
        <v>0</v>
      </c>
      <c r="C29" t="s">
        <v>7</v>
      </c>
      <c r="D29">
        <v>9792</v>
      </c>
      <c r="E29">
        <v>32</v>
      </c>
      <c r="F29">
        <v>2</v>
      </c>
      <c r="G29">
        <v>2</v>
      </c>
      <c r="H29">
        <v>165.25</v>
      </c>
      <c r="I29" s="62">
        <v>3.7885</v>
      </c>
      <c r="J29" s="16">
        <v>45549</v>
      </c>
      <c r="K29" s="18">
        <v>0.94739583333333333</v>
      </c>
      <c r="L29">
        <v>0</v>
      </c>
      <c r="M29">
        <v>0</v>
      </c>
      <c r="N29">
        <v>0</v>
      </c>
      <c r="O29" s="80">
        <f t="shared" ref="O29" si="31">AVERAGE(I29:I33)</f>
        <v>3.8125999999999998</v>
      </c>
      <c r="R29" t="s">
        <v>111</v>
      </c>
      <c r="S29">
        <v>0</v>
      </c>
      <c r="T29" t="s">
        <v>7</v>
      </c>
      <c r="U29">
        <v>9792</v>
      </c>
      <c r="V29">
        <v>32</v>
      </c>
      <c r="W29">
        <v>2</v>
      </c>
      <c r="X29">
        <v>2</v>
      </c>
      <c r="Y29">
        <v>163.38999999999999</v>
      </c>
      <c r="Z29" s="62">
        <v>3.8317999999999999</v>
      </c>
      <c r="AA29" s="16">
        <v>45559</v>
      </c>
      <c r="AB29" s="18">
        <v>0.59158564814814818</v>
      </c>
      <c r="AC29">
        <v>0</v>
      </c>
      <c r="AD29">
        <v>0</v>
      </c>
      <c r="AE29">
        <v>0</v>
      </c>
      <c r="AF29" s="80">
        <f t="shared" si="30"/>
        <v>3.8378799999999997</v>
      </c>
      <c r="AI29" t="s">
        <v>149</v>
      </c>
      <c r="AJ29">
        <v>0</v>
      </c>
      <c r="AK29" t="s">
        <v>7</v>
      </c>
      <c r="AL29">
        <v>9792</v>
      </c>
      <c r="AM29">
        <v>32</v>
      </c>
      <c r="AN29">
        <v>2</v>
      </c>
      <c r="AO29">
        <v>2</v>
      </c>
      <c r="AP29">
        <v>117.21</v>
      </c>
      <c r="AQ29" s="62">
        <v>5.3413000000000004</v>
      </c>
      <c r="AR29" s="16">
        <v>45559</v>
      </c>
      <c r="AS29" s="18">
        <v>0.56421296296296297</v>
      </c>
      <c r="AT29">
        <v>0</v>
      </c>
      <c r="AU29">
        <v>0</v>
      </c>
      <c r="AV29">
        <v>0</v>
      </c>
      <c r="AW29" s="80">
        <f t="shared" ref="AW29" si="32">AVERAGE(AQ29:AQ33)</f>
        <v>5.3336600000000001</v>
      </c>
      <c r="AZ29" t="s">
        <v>149</v>
      </c>
      <c r="BA29">
        <v>0</v>
      </c>
      <c r="BB29" t="s">
        <v>7</v>
      </c>
      <c r="BC29">
        <v>9792</v>
      </c>
      <c r="BD29">
        <v>32</v>
      </c>
      <c r="BE29">
        <v>2</v>
      </c>
      <c r="BF29">
        <v>2</v>
      </c>
      <c r="BG29">
        <v>224.45</v>
      </c>
      <c r="BH29" s="62">
        <v>2.7892999999999999</v>
      </c>
      <c r="BI29" s="16">
        <v>45559</v>
      </c>
      <c r="BJ29" s="18">
        <v>0.68083333333333329</v>
      </c>
      <c r="BK29">
        <v>0</v>
      </c>
      <c r="BL29">
        <v>0</v>
      </c>
      <c r="BM29">
        <v>0</v>
      </c>
      <c r="BN29" s="80">
        <f t="shared" ref="BN29" si="33">AVERAGE(BH29:BH33)</f>
        <v>2.7313200000000002</v>
      </c>
    </row>
    <row r="30" spans="1:66" x14ac:dyDescent="0.25">
      <c r="A30" t="s">
        <v>111</v>
      </c>
      <c r="B30">
        <v>1</v>
      </c>
      <c r="C30" t="s">
        <v>7</v>
      </c>
      <c r="D30">
        <v>9792</v>
      </c>
      <c r="E30">
        <v>32</v>
      </c>
      <c r="F30">
        <v>2</v>
      </c>
      <c r="G30">
        <v>2</v>
      </c>
      <c r="H30">
        <v>163.72999999999999</v>
      </c>
      <c r="I30" s="62">
        <v>3.8237000000000001</v>
      </c>
      <c r="J30" s="16">
        <v>45550</v>
      </c>
      <c r="K30" s="18">
        <v>1.8645833333333334E-2</v>
      </c>
      <c r="L30">
        <v>0</v>
      </c>
      <c r="M30">
        <v>0</v>
      </c>
      <c r="N30">
        <v>0</v>
      </c>
      <c r="O30" s="80">
        <f t="shared" ref="O30" si="34">O29</f>
        <v>3.8125999999999998</v>
      </c>
      <c r="R30" t="s">
        <v>111</v>
      </c>
      <c r="S30">
        <v>1</v>
      </c>
      <c r="T30" t="s">
        <v>7</v>
      </c>
      <c r="U30">
        <v>9792</v>
      </c>
      <c r="V30">
        <v>32</v>
      </c>
      <c r="W30">
        <v>2</v>
      </c>
      <c r="X30">
        <v>2</v>
      </c>
      <c r="Y30">
        <v>163.38</v>
      </c>
      <c r="Z30" s="62">
        <v>3.8319999999999999</v>
      </c>
      <c r="AA30" s="16">
        <v>45559</v>
      </c>
      <c r="AB30" s="18">
        <v>0.66281250000000003</v>
      </c>
      <c r="AC30">
        <v>0</v>
      </c>
      <c r="AD30">
        <v>0</v>
      </c>
      <c r="AE30">
        <v>0</v>
      </c>
      <c r="AF30" s="80">
        <f t="shared" si="30"/>
        <v>3.8378799999999997</v>
      </c>
      <c r="AI30" t="s">
        <v>149</v>
      </c>
      <c r="AJ30">
        <v>1</v>
      </c>
      <c r="AK30" t="s">
        <v>7</v>
      </c>
      <c r="AL30">
        <v>9792</v>
      </c>
      <c r="AM30">
        <v>32</v>
      </c>
      <c r="AN30">
        <v>2</v>
      </c>
      <c r="AO30">
        <v>2</v>
      </c>
      <c r="AP30">
        <v>117.43</v>
      </c>
      <c r="AQ30" s="62">
        <v>5.3315999999999999</v>
      </c>
      <c r="AR30" s="16">
        <v>45559</v>
      </c>
      <c r="AS30" s="18">
        <v>0.61836805555555552</v>
      </c>
      <c r="AT30">
        <v>0</v>
      </c>
      <c r="AU30">
        <v>0</v>
      </c>
      <c r="AV30">
        <v>0</v>
      </c>
      <c r="AW30" s="80">
        <f t="shared" ref="AW30:AW33" si="35">AW29</f>
        <v>5.3336600000000001</v>
      </c>
      <c r="AZ30" t="s">
        <v>149</v>
      </c>
      <c r="BA30">
        <v>1</v>
      </c>
      <c r="BB30" t="s">
        <v>7</v>
      </c>
      <c r="BC30">
        <v>9792</v>
      </c>
      <c r="BD30">
        <v>32</v>
      </c>
      <c r="BE30">
        <v>2</v>
      </c>
      <c r="BF30">
        <v>2</v>
      </c>
      <c r="BG30">
        <v>229.31</v>
      </c>
      <c r="BH30" s="62">
        <v>2.7302</v>
      </c>
      <c r="BI30" s="16">
        <v>45559</v>
      </c>
      <c r="BJ30" s="18">
        <v>0.77651620370370367</v>
      </c>
      <c r="BK30">
        <v>0</v>
      </c>
      <c r="BL30">
        <v>0</v>
      </c>
      <c r="BM30">
        <v>0</v>
      </c>
      <c r="BN30" s="80">
        <f t="shared" ref="BN30:BN33" si="36">BN29</f>
        <v>2.7313200000000002</v>
      </c>
    </row>
    <row r="31" spans="1:66" x14ac:dyDescent="0.25">
      <c r="A31" t="s">
        <v>111</v>
      </c>
      <c r="B31">
        <v>2</v>
      </c>
      <c r="C31" t="s">
        <v>7</v>
      </c>
      <c r="D31">
        <v>9792</v>
      </c>
      <c r="E31">
        <v>32</v>
      </c>
      <c r="F31">
        <v>2</v>
      </c>
      <c r="G31">
        <v>2</v>
      </c>
      <c r="H31">
        <v>164.18</v>
      </c>
      <c r="I31" s="62">
        <v>3.8132999999999999</v>
      </c>
      <c r="J31" s="16">
        <v>45550</v>
      </c>
      <c r="K31" s="18">
        <v>8.9780092592592592E-2</v>
      </c>
      <c r="L31">
        <v>0</v>
      </c>
      <c r="M31">
        <v>0</v>
      </c>
      <c r="N31">
        <v>0</v>
      </c>
      <c r="O31" s="80">
        <f t="shared" si="14"/>
        <v>3.8125999999999998</v>
      </c>
      <c r="R31" t="s">
        <v>111</v>
      </c>
      <c r="S31">
        <v>2</v>
      </c>
      <c r="T31" t="s">
        <v>7</v>
      </c>
      <c r="U31">
        <v>9792</v>
      </c>
      <c r="V31">
        <v>32</v>
      </c>
      <c r="W31">
        <v>2</v>
      </c>
      <c r="X31">
        <v>2</v>
      </c>
      <c r="Y31">
        <v>163.47</v>
      </c>
      <c r="Z31" s="62">
        <v>3.8298000000000001</v>
      </c>
      <c r="AA31" s="16">
        <v>45559</v>
      </c>
      <c r="AB31" s="18">
        <v>0.73406249999999995</v>
      </c>
      <c r="AC31">
        <v>0</v>
      </c>
      <c r="AD31">
        <v>0</v>
      </c>
      <c r="AE31">
        <v>0</v>
      </c>
      <c r="AF31" s="80">
        <f t="shared" si="30"/>
        <v>3.8378799999999997</v>
      </c>
      <c r="AI31" t="s">
        <v>149</v>
      </c>
      <c r="AJ31">
        <v>2</v>
      </c>
      <c r="AK31" t="s">
        <v>7</v>
      </c>
      <c r="AL31">
        <v>9792</v>
      </c>
      <c r="AM31">
        <v>32</v>
      </c>
      <c r="AN31">
        <v>2</v>
      </c>
      <c r="AO31">
        <v>2</v>
      </c>
      <c r="AP31">
        <v>117.44</v>
      </c>
      <c r="AQ31" s="62">
        <v>5.3308999999999997</v>
      </c>
      <c r="AR31" s="16">
        <v>45559</v>
      </c>
      <c r="AS31" s="18">
        <v>0.67261574074074071</v>
      </c>
      <c r="AT31">
        <v>0</v>
      </c>
      <c r="AU31">
        <v>0</v>
      </c>
      <c r="AV31">
        <v>0</v>
      </c>
      <c r="AW31" s="80">
        <f t="shared" si="35"/>
        <v>5.3336600000000001</v>
      </c>
      <c r="AZ31" t="s">
        <v>149</v>
      </c>
      <c r="BA31">
        <v>2</v>
      </c>
      <c r="BB31" t="s">
        <v>7</v>
      </c>
      <c r="BC31">
        <v>9792</v>
      </c>
      <c r="BD31">
        <v>32</v>
      </c>
      <c r="BE31">
        <v>2</v>
      </c>
      <c r="BF31">
        <v>2</v>
      </c>
      <c r="BG31">
        <v>232.23</v>
      </c>
      <c r="BH31" s="62">
        <v>2.6959</v>
      </c>
      <c r="BI31" s="16">
        <v>45559</v>
      </c>
      <c r="BJ31" s="18">
        <v>0.87186342592592592</v>
      </c>
      <c r="BK31">
        <v>0</v>
      </c>
      <c r="BL31">
        <v>0</v>
      </c>
      <c r="BM31">
        <v>0</v>
      </c>
      <c r="BN31" s="80">
        <f t="shared" si="36"/>
        <v>2.7313200000000002</v>
      </c>
    </row>
    <row r="32" spans="1:66" x14ac:dyDescent="0.25">
      <c r="A32" t="s">
        <v>111</v>
      </c>
      <c r="B32">
        <v>3</v>
      </c>
      <c r="C32" t="s">
        <v>7</v>
      </c>
      <c r="D32">
        <v>9792</v>
      </c>
      <c r="E32">
        <v>32</v>
      </c>
      <c r="F32">
        <v>2</v>
      </c>
      <c r="G32">
        <v>2</v>
      </c>
      <c r="H32">
        <v>163.95</v>
      </c>
      <c r="I32" s="62">
        <v>3.8186</v>
      </c>
      <c r="J32" s="16">
        <v>45550</v>
      </c>
      <c r="K32" s="18">
        <v>0.16093750000000001</v>
      </c>
      <c r="L32">
        <v>0</v>
      </c>
      <c r="M32">
        <v>0</v>
      </c>
      <c r="N32">
        <v>0</v>
      </c>
      <c r="O32" s="80">
        <f t="shared" si="14"/>
        <v>3.8125999999999998</v>
      </c>
      <c r="R32" t="s">
        <v>111</v>
      </c>
      <c r="S32">
        <v>3</v>
      </c>
      <c r="T32" t="s">
        <v>7</v>
      </c>
      <c r="U32">
        <v>9792</v>
      </c>
      <c r="V32">
        <v>32</v>
      </c>
      <c r="W32">
        <v>2</v>
      </c>
      <c r="X32">
        <v>2</v>
      </c>
      <c r="Y32">
        <v>163.49</v>
      </c>
      <c r="Z32" s="62">
        <v>3.8292999999999999</v>
      </c>
      <c r="AA32" s="16">
        <v>45559</v>
      </c>
      <c r="AB32" s="18">
        <v>0.80543981481481486</v>
      </c>
      <c r="AC32">
        <v>0</v>
      </c>
      <c r="AD32">
        <v>0</v>
      </c>
      <c r="AE32">
        <v>0</v>
      </c>
      <c r="AF32" s="80">
        <f t="shared" si="30"/>
        <v>3.8378799999999997</v>
      </c>
      <c r="AI32" t="s">
        <v>149</v>
      </c>
      <c r="AJ32">
        <v>3</v>
      </c>
      <c r="AK32" t="s">
        <v>7</v>
      </c>
      <c r="AL32">
        <v>9792</v>
      </c>
      <c r="AM32">
        <v>32</v>
      </c>
      <c r="AN32">
        <v>2</v>
      </c>
      <c r="AO32">
        <v>2</v>
      </c>
      <c r="AP32">
        <v>117.42</v>
      </c>
      <c r="AQ32" s="62">
        <v>5.3319000000000001</v>
      </c>
      <c r="AR32" s="16">
        <v>45559</v>
      </c>
      <c r="AS32" s="18">
        <v>0.72677083333333337</v>
      </c>
      <c r="AT32">
        <v>0</v>
      </c>
      <c r="AU32">
        <v>0</v>
      </c>
      <c r="AV32">
        <v>0</v>
      </c>
      <c r="AW32" s="80">
        <f t="shared" si="35"/>
        <v>5.3336600000000001</v>
      </c>
      <c r="AZ32" t="s">
        <v>149</v>
      </c>
      <c r="BA32">
        <v>3</v>
      </c>
      <c r="BB32" t="s">
        <v>7</v>
      </c>
      <c r="BC32">
        <v>9792</v>
      </c>
      <c r="BD32">
        <v>32</v>
      </c>
      <c r="BE32">
        <v>2</v>
      </c>
      <c r="BF32">
        <v>2</v>
      </c>
      <c r="BG32">
        <v>232.47</v>
      </c>
      <c r="BH32" s="62">
        <v>2.6932</v>
      </c>
      <c r="BI32" s="16">
        <v>45559</v>
      </c>
      <c r="BJ32" s="18">
        <v>0.96719907407407413</v>
      </c>
      <c r="BK32">
        <v>0</v>
      </c>
      <c r="BL32">
        <v>0</v>
      </c>
      <c r="BM32">
        <v>0</v>
      </c>
      <c r="BN32" s="80">
        <f t="shared" si="36"/>
        <v>2.7313200000000002</v>
      </c>
    </row>
    <row r="33" spans="1:66" x14ac:dyDescent="0.25">
      <c r="A33" t="s">
        <v>111</v>
      </c>
      <c r="B33">
        <v>4</v>
      </c>
      <c r="C33" t="s">
        <v>7</v>
      </c>
      <c r="D33">
        <v>9792</v>
      </c>
      <c r="E33">
        <v>32</v>
      </c>
      <c r="F33">
        <v>2</v>
      </c>
      <c r="G33">
        <v>2</v>
      </c>
      <c r="H33">
        <v>163.94</v>
      </c>
      <c r="I33" s="62">
        <v>3.8189000000000002</v>
      </c>
      <c r="J33" s="16">
        <v>45550</v>
      </c>
      <c r="K33" s="18">
        <v>0.23212962962962963</v>
      </c>
      <c r="L33">
        <v>0</v>
      </c>
      <c r="M33">
        <v>0</v>
      </c>
      <c r="N33">
        <v>0</v>
      </c>
      <c r="O33" s="80">
        <f t="shared" si="14"/>
        <v>3.8125999999999998</v>
      </c>
      <c r="R33" t="s">
        <v>111</v>
      </c>
      <c r="S33">
        <v>4</v>
      </c>
      <c r="T33" t="s">
        <v>7</v>
      </c>
      <c r="U33">
        <v>9792</v>
      </c>
      <c r="V33">
        <v>32</v>
      </c>
      <c r="W33">
        <v>2</v>
      </c>
      <c r="X33">
        <v>2</v>
      </c>
      <c r="Y33">
        <v>163.58000000000001</v>
      </c>
      <c r="Z33" s="62">
        <v>3.8273999999999999</v>
      </c>
      <c r="AA33" s="16">
        <v>45559</v>
      </c>
      <c r="AB33" s="18">
        <v>0.87638888888888888</v>
      </c>
      <c r="AC33">
        <v>0</v>
      </c>
      <c r="AD33">
        <v>0</v>
      </c>
      <c r="AE33">
        <v>0</v>
      </c>
      <c r="AF33" s="80">
        <f>AVERAGE(Z33:Z37)</f>
        <v>4.4140599999999992</v>
      </c>
      <c r="AI33" t="s">
        <v>149</v>
      </c>
      <c r="AJ33">
        <v>4</v>
      </c>
      <c r="AK33" t="s">
        <v>7</v>
      </c>
      <c r="AL33">
        <v>9792</v>
      </c>
      <c r="AM33">
        <v>32</v>
      </c>
      <c r="AN33">
        <v>2</v>
      </c>
      <c r="AO33">
        <v>2</v>
      </c>
      <c r="AP33">
        <v>117.4</v>
      </c>
      <c r="AQ33" s="62">
        <v>5.3326000000000002</v>
      </c>
      <c r="AR33" s="16">
        <v>45559</v>
      </c>
      <c r="AS33" s="18">
        <v>0.78107638888888886</v>
      </c>
      <c r="AT33">
        <v>0</v>
      </c>
      <c r="AU33">
        <v>0</v>
      </c>
      <c r="AV33">
        <v>0</v>
      </c>
      <c r="AW33" s="80">
        <f t="shared" si="35"/>
        <v>5.3336600000000001</v>
      </c>
      <c r="AZ33" t="s">
        <v>149</v>
      </c>
      <c r="BA33">
        <v>4</v>
      </c>
      <c r="BB33" t="s">
        <v>7</v>
      </c>
      <c r="BC33">
        <v>9792</v>
      </c>
      <c r="BD33">
        <v>32</v>
      </c>
      <c r="BE33">
        <v>2</v>
      </c>
      <c r="BF33">
        <v>2</v>
      </c>
      <c r="BG33">
        <v>227.83</v>
      </c>
      <c r="BH33" s="62">
        <v>2.7480000000000002</v>
      </c>
      <c r="BI33" s="16">
        <v>45560</v>
      </c>
      <c r="BJ33" s="18">
        <v>6.3078703703703706E-2</v>
      </c>
      <c r="BK33">
        <v>0</v>
      </c>
      <c r="BL33">
        <v>0</v>
      </c>
      <c r="BM33">
        <v>0</v>
      </c>
      <c r="BN33" s="80">
        <f t="shared" si="36"/>
        <v>2.7313200000000002</v>
      </c>
    </row>
    <row r="34" spans="1:66" x14ac:dyDescent="0.25">
      <c r="A34" t="s">
        <v>111</v>
      </c>
      <c r="B34">
        <v>0</v>
      </c>
      <c r="C34" t="s">
        <v>7</v>
      </c>
      <c r="D34">
        <v>8768</v>
      </c>
      <c r="E34">
        <v>64</v>
      </c>
      <c r="F34">
        <v>1</v>
      </c>
      <c r="G34">
        <v>4</v>
      </c>
      <c r="H34">
        <v>98.84</v>
      </c>
      <c r="I34" s="62">
        <v>4.5476000000000001</v>
      </c>
      <c r="J34" s="16">
        <v>45549</v>
      </c>
      <c r="K34" s="18">
        <v>0.90372685185185186</v>
      </c>
      <c r="L34">
        <v>0</v>
      </c>
      <c r="M34">
        <v>0</v>
      </c>
      <c r="N34">
        <v>0</v>
      </c>
      <c r="O34" s="80">
        <f t="shared" ref="O34" si="37">AVERAGE(I34:I38)</f>
        <v>4.5469200000000001</v>
      </c>
      <c r="R34" t="s">
        <v>111</v>
      </c>
      <c r="S34">
        <v>0</v>
      </c>
      <c r="T34" t="s">
        <v>7</v>
      </c>
      <c r="U34">
        <v>8768</v>
      </c>
      <c r="V34">
        <v>64</v>
      </c>
      <c r="W34">
        <v>1</v>
      </c>
      <c r="X34">
        <v>4</v>
      </c>
      <c r="Y34">
        <v>98.6</v>
      </c>
      <c r="Z34" s="62">
        <v>4.5589000000000004</v>
      </c>
      <c r="AA34" s="16">
        <v>45559</v>
      </c>
      <c r="AB34" s="18">
        <v>0.54783564814814811</v>
      </c>
      <c r="AC34">
        <v>0</v>
      </c>
      <c r="AD34">
        <v>0</v>
      </c>
      <c r="AE34">
        <v>0</v>
      </c>
      <c r="AF34" s="80">
        <f>AF33</f>
        <v>4.4140599999999992</v>
      </c>
      <c r="AI34" t="s">
        <v>149</v>
      </c>
      <c r="AJ34">
        <v>0</v>
      </c>
      <c r="AK34" t="s">
        <v>7</v>
      </c>
      <c r="AL34">
        <v>8768</v>
      </c>
      <c r="AM34">
        <v>64</v>
      </c>
      <c r="AN34">
        <v>1</v>
      </c>
      <c r="AO34">
        <v>4</v>
      </c>
      <c r="AP34">
        <v>69.45</v>
      </c>
      <c r="AQ34" s="62">
        <v>6.4718</v>
      </c>
      <c r="AR34" s="16">
        <v>45559</v>
      </c>
      <c r="AS34" s="18">
        <v>0.53107638888888886</v>
      </c>
      <c r="AT34">
        <v>0</v>
      </c>
      <c r="AU34">
        <v>0</v>
      </c>
      <c r="AV34">
        <v>0</v>
      </c>
      <c r="AW34" s="80">
        <f t="shared" ref="AW34" si="38">AVERAGE(AQ34:AQ38)</f>
        <v>6.4612000000000007</v>
      </c>
      <c r="AZ34" t="s">
        <v>149</v>
      </c>
      <c r="BA34">
        <v>0</v>
      </c>
      <c r="BB34" t="s">
        <v>7</v>
      </c>
      <c r="BC34">
        <v>8768</v>
      </c>
      <c r="BD34">
        <v>64</v>
      </c>
      <c r="BE34">
        <v>1</v>
      </c>
      <c r="BF34">
        <v>4</v>
      </c>
      <c r="BG34">
        <v>121.92</v>
      </c>
      <c r="BH34" s="62">
        <v>3.6869000000000001</v>
      </c>
      <c r="BI34" s="16">
        <v>45559</v>
      </c>
      <c r="BJ34" s="18">
        <v>0.62157407407407406</v>
      </c>
      <c r="BK34">
        <v>0</v>
      </c>
      <c r="BL34">
        <v>0</v>
      </c>
      <c r="BM34">
        <v>0</v>
      </c>
      <c r="BN34" s="80">
        <f t="shared" ref="BN34" si="39">AVERAGE(BH34:BH38)</f>
        <v>3.6853600000000002</v>
      </c>
    </row>
    <row r="35" spans="1:66" x14ac:dyDescent="0.25">
      <c r="A35" t="s">
        <v>111</v>
      </c>
      <c r="B35">
        <v>1</v>
      </c>
      <c r="C35" t="s">
        <v>7</v>
      </c>
      <c r="D35">
        <v>8768</v>
      </c>
      <c r="E35">
        <v>64</v>
      </c>
      <c r="F35">
        <v>1</v>
      </c>
      <c r="G35">
        <v>4</v>
      </c>
      <c r="H35">
        <v>98.9</v>
      </c>
      <c r="I35" s="62">
        <v>4.5450999999999997</v>
      </c>
      <c r="J35" s="16">
        <v>45549</v>
      </c>
      <c r="K35" s="18">
        <v>0.97499999999999998</v>
      </c>
      <c r="L35">
        <v>0</v>
      </c>
      <c r="M35">
        <v>0</v>
      </c>
      <c r="N35">
        <v>0</v>
      </c>
      <c r="O35" s="80">
        <f t="shared" ref="O35" si="40">O34</f>
        <v>4.5469200000000001</v>
      </c>
      <c r="R35" t="s">
        <v>111</v>
      </c>
      <c r="S35">
        <v>1</v>
      </c>
      <c r="T35" t="s">
        <v>7</v>
      </c>
      <c r="U35">
        <v>8768</v>
      </c>
      <c r="V35">
        <v>64</v>
      </c>
      <c r="W35">
        <v>1</v>
      </c>
      <c r="X35">
        <v>4</v>
      </c>
      <c r="Y35">
        <v>98.53</v>
      </c>
      <c r="Z35" s="62">
        <v>4.5621999999999998</v>
      </c>
      <c r="AA35" s="16">
        <v>45559</v>
      </c>
      <c r="AB35" s="18">
        <v>0.61907407407407411</v>
      </c>
      <c r="AC35">
        <v>0</v>
      </c>
      <c r="AD35">
        <v>0</v>
      </c>
      <c r="AE35">
        <v>0</v>
      </c>
      <c r="AF35" s="80">
        <f>AVERAGE(Z35:Z39)</f>
        <v>4.5670799999999989</v>
      </c>
      <c r="AI35" t="s">
        <v>149</v>
      </c>
      <c r="AJ35">
        <v>1</v>
      </c>
      <c r="AK35" t="s">
        <v>7</v>
      </c>
      <c r="AL35">
        <v>8768</v>
      </c>
      <c r="AM35">
        <v>64</v>
      </c>
      <c r="AN35">
        <v>1</v>
      </c>
      <c r="AO35">
        <v>4</v>
      </c>
      <c r="AP35">
        <v>69.59</v>
      </c>
      <c r="AQ35" s="62">
        <v>6.4592999999999998</v>
      </c>
      <c r="AR35" s="16">
        <v>45559</v>
      </c>
      <c r="AS35" s="18">
        <v>0.58519675925925929</v>
      </c>
      <c r="AT35">
        <v>0</v>
      </c>
      <c r="AU35">
        <v>0</v>
      </c>
      <c r="AV35">
        <v>0</v>
      </c>
      <c r="AW35" s="80">
        <f t="shared" ref="AW35:AW38" si="41">AW34</f>
        <v>6.4612000000000007</v>
      </c>
      <c r="AZ35" t="s">
        <v>149</v>
      </c>
      <c r="BA35">
        <v>1</v>
      </c>
      <c r="BB35" t="s">
        <v>7</v>
      </c>
      <c r="BC35">
        <v>8768</v>
      </c>
      <c r="BD35">
        <v>64</v>
      </c>
      <c r="BE35">
        <v>1</v>
      </c>
      <c r="BF35">
        <v>4</v>
      </c>
      <c r="BG35">
        <v>122.53</v>
      </c>
      <c r="BH35" s="62">
        <v>3.6682999999999999</v>
      </c>
      <c r="BI35" s="16">
        <v>45559</v>
      </c>
      <c r="BJ35" s="18">
        <v>0.71718749999999998</v>
      </c>
      <c r="BK35">
        <v>0</v>
      </c>
      <c r="BL35">
        <v>0</v>
      </c>
      <c r="BM35">
        <v>0</v>
      </c>
      <c r="BN35" s="80">
        <f t="shared" ref="BN35:BN38" si="42">BN34</f>
        <v>3.6853600000000002</v>
      </c>
    </row>
    <row r="36" spans="1:66" x14ac:dyDescent="0.25">
      <c r="A36" t="s">
        <v>111</v>
      </c>
      <c r="B36">
        <v>2</v>
      </c>
      <c r="C36" t="s">
        <v>7</v>
      </c>
      <c r="D36">
        <v>8768</v>
      </c>
      <c r="E36">
        <v>64</v>
      </c>
      <c r="F36">
        <v>1</v>
      </c>
      <c r="G36">
        <v>4</v>
      </c>
      <c r="H36">
        <v>98.92</v>
      </c>
      <c r="I36" s="62">
        <v>4.5442</v>
      </c>
      <c r="J36" s="16">
        <v>45550</v>
      </c>
      <c r="K36" s="18">
        <v>4.614583333333333E-2</v>
      </c>
      <c r="L36">
        <v>0</v>
      </c>
      <c r="M36">
        <v>0</v>
      </c>
      <c r="N36">
        <v>0</v>
      </c>
      <c r="O36" s="80">
        <f t="shared" si="14"/>
        <v>4.5469200000000001</v>
      </c>
      <c r="R36" t="s">
        <v>111</v>
      </c>
      <c r="S36">
        <v>2</v>
      </c>
      <c r="T36" t="s">
        <v>7</v>
      </c>
      <c r="U36">
        <v>8768</v>
      </c>
      <c r="V36">
        <v>64</v>
      </c>
      <c r="W36">
        <v>1</v>
      </c>
      <c r="X36">
        <v>4</v>
      </c>
      <c r="Y36">
        <v>98.53</v>
      </c>
      <c r="Z36" s="62">
        <v>4.5618999999999996</v>
      </c>
      <c r="AA36" s="16">
        <v>45559</v>
      </c>
      <c r="AB36" s="18">
        <v>0.6903125</v>
      </c>
      <c r="AC36">
        <v>0</v>
      </c>
      <c r="AD36">
        <v>0</v>
      </c>
      <c r="AE36">
        <v>0</v>
      </c>
      <c r="AF36" s="80">
        <f t="shared" ref="AF36:AF42" si="43">AF35</f>
        <v>4.5670799999999989</v>
      </c>
      <c r="AI36" t="s">
        <v>149</v>
      </c>
      <c r="AJ36">
        <v>2</v>
      </c>
      <c r="AK36" t="s">
        <v>7</v>
      </c>
      <c r="AL36">
        <v>8768</v>
      </c>
      <c r="AM36">
        <v>64</v>
      </c>
      <c r="AN36">
        <v>1</v>
      </c>
      <c r="AO36">
        <v>4</v>
      </c>
      <c r="AP36">
        <v>69.47</v>
      </c>
      <c r="AQ36" s="62">
        <v>6.4702999999999999</v>
      </c>
      <c r="AR36" s="16">
        <v>45559</v>
      </c>
      <c r="AS36" s="18">
        <v>0.63942129629629629</v>
      </c>
      <c r="AT36">
        <v>0</v>
      </c>
      <c r="AU36">
        <v>0</v>
      </c>
      <c r="AV36">
        <v>0</v>
      </c>
      <c r="AW36" s="80">
        <f t="shared" si="41"/>
        <v>6.4612000000000007</v>
      </c>
      <c r="AZ36" t="s">
        <v>149</v>
      </c>
      <c r="BA36">
        <v>2</v>
      </c>
      <c r="BB36" t="s">
        <v>7</v>
      </c>
      <c r="BC36">
        <v>8768</v>
      </c>
      <c r="BD36">
        <v>64</v>
      </c>
      <c r="BE36">
        <v>1</v>
      </c>
      <c r="BF36">
        <v>4</v>
      </c>
      <c r="BG36">
        <v>121.13</v>
      </c>
      <c r="BH36" s="62">
        <v>3.7107999999999999</v>
      </c>
      <c r="BI36" s="16">
        <v>45559</v>
      </c>
      <c r="BJ36" s="18">
        <v>0.81236111111111109</v>
      </c>
      <c r="BK36">
        <v>0</v>
      </c>
      <c r="BL36">
        <v>0</v>
      </c>
      <c r="BM36">
        <v>0</v>
      </c>
      <c r="BN36" s="80">
        <f t="shared" si="42"/>
        <v>3.6853600000000002</v>
      </c>
    </row>
    <row r="37" spans="1:66" x14ac:dyDescent="0.25">
      <c r="A37" t="s">
        <v>111</v>
      </c>
      <c r="B37">
        <v>3</v>
      </c>
      <c r="C37" t="s">
        <v>7</v>
      </c>
      <c r="D37">
        <v>8768</v>
      </c>
      <c r="E37">
        <v>64</v>
      </c>
      <c r="F37">
        <v>1</v>
      </c>
      <c r="G37">
        <v>4</v>
      </c>
      <c r="H37">
        <v>98.82</v>
      </c>
      <c r="I37" s="62">
        <v>4.5486000000000004</v>
      </c>
      <c r="J37" s="16">
        <v>45550</v>
      </c>
      <c r="K37" s="18">
        <v>0.11730324074074074</v>
      </c>
      <c r="L37">
        <v>0</v>
      </c>
      <c r="M37">
        <v>0</v>
      </c>
      <c r="N37">
        <v>0</v>
      </c>
      <c r="O37" s="80">
        <f t="shared" si="14"/>
        <v>4.5469200000000001</v>
      </c>
      <c r="R37" t="s">
        <v>111</v>
      </c>
      <c r="S37">
        <v>3</v>
      </c>
      <c r="T37" t="s">
        <v>7</v>
      </c>
      <c r="U37">
        <v>8768</v>
      </c>
      <c r="V37">
        <v>64</v>
      </c>
      <c r="W37">
        <v>1</v>
      </c>
      <c r="X37">
        <v>4</v>
      </c>
      <c r="Y37">
        <v>98.57</v>
      </c>
      <c r="Z37" s="62">
        <v>4.5598999999999998</v>
      </c>
      <c r="AA37" s="16">
        <v>45559</v>
      </c>
      <c r="AB37" s="18">
        <v>0.76158564814814811</v>
      </c>
      <c r="AC37">
        <v>0</v>
      </c>
      <c r="AD37">
        <v>0</v>
      </c>
      <c r="AE37">
        <v>0</v>
      </c>
      <c r="AF37" s="80">
        <f t="shared" si="43"/>
        <v>4.5670799999999989</v>
      </c>
      <c r="AI37" t="s">
        <v>149</v>
      </c>
      <c r="AJ37">
        <v>3</v>
      </c>
      <c r="AK37" t="s">
        <v>7</v>
      </c>
      <c r="AL37">
        <v>8768</v>
      </c>
      <c r="AM37">
        <v>64</v>
      </c>
      <c r="AN37">
        <v>1</v>
      </c>
      <c r="AO37">
        <v>4</v>
      </c>
      <c r="AP37">
        <v>69.680000000000007</v>
      </c>
      <c r="AQ37" s="62">
        <v>6.4512</v>
      </c>
      <c r="AR37" s="16">
        <v>45559</v>
      </c>
      <c r="AS37" s="18">
        <v>0.6935648148148148</v>
      </c>
      <c r="AT37">
        <v>0</v>
      </c>
      <c r="AU37">
        <v>0</v>
      </c>
      <c r="AV37">
        <v>0</v>
      </c>
      <c r="AW37" s="80">
        <f t="shared" si="41"/>
        <v>6.4612000000000007</v>
      </c>
      <c r="AZ37" t="s">
        <v>149</v>
      </c>
      <c r="BA37">
        <v>3</v>
      </c>
      <c r="BB37" t="s">
        <v>7</v>
      </c>
      <c r="BC37">
        <v>8768</v>
      </c>
      <c r="BD37">
        <v>64</v>
      </c>
      <c r="BE37">
        <v>1</v>
      </c>
      <c r="BF37">
        <v>4</v>
      </c>
      <c r="BG37">
        <v>121.99</v>
      </c>
      <c r="BH37" s="62">
        <v>3.6846999999999999</v>
      </c>
      <c r="BI37" s="16">
        <v>45559</v>
      </c>
      <c r="BJ37" s="18">
        <v>0.90814814814814815</v>
      </c>
      <c r="BK37">
        <v>0</v>
      </c>
      <c r="BL37">
        <v>0</v>
      </c>
      <c r="BM37">
        <v>0</v>
      </c>
      <c r="BN37" s="80">
        <f t="shared" si="42"/>
        <v>3.6853600000000002</v>
      </c>
    </row>
    <row r="38" spans="1:66" x14ac:dyDescent="0.25">
      <c r="A38" t="s">
        <v>111</v>
      </c>
      <c r="B38">
        <v>4</v>
      </c>
      <c r="C38" t="s">
        <v>7</v>
      </c>
      <c r="D38">
        <v>8768</v>
      </c>
      <c r="E38">
        <v>64</v>
      </c>
      <c r="F38">
        <v>1</v>
      </c>
      <c r="G38">
        <v>4</v>
      </c>
      <c r="H38">
        <v>98.81</v>
      </c>
      <c r="I38" s="62">
        <v>4.5491000000000001</v>
      </c>
      <c r="J38" s="16">
        <v>45550</v>
      </c>
      <c r="K38" s="18">
        <v>0.18850694444444444</v>
      </c>
      <c r="L38">
        <v>0</v>
      </c>
      <c r="M38">
        <v>0</v>
      </c>
      <c r="N38">
        <v>0</v>
      </c>
      <c r="O38" s="80">
        <f t="shared" si="14"/>
        <v>4.5469200000000001</v>
      </c>
      <c r="R38" t="s">
        <v>111</v>
      </c>
      <c r="S38">
        <v>4</v>
      </c>
      <c r="T38" t="s">
        <v>7</v>
      </c>
      <c r="U38">
        <v>8768</v>
      </c>
      <c r="V38">
        <v>64</v>
      </c>
      <c r="W38">
        <v>1</v>
      </c>
      <c r="X38">
        <v>4</v>
      </c>
      <c r="Y38">
        <v>98.65</v>
      </c>
      <c r="Z38" s="62">
        <v>4.5564</v>
      </c>
      <c r="AA38" s="16">
        <v>45559</v>
      </c>
      <c r="AB38" s="18">
        <v>0.83285879629629633</v>
      </c>
      <c r="AC38">
        <v>0</v>
      </c>
      <c r="AD38">
        <v>0</v>
      </c>
      <c r="AE38">
        <v>0</v>
      </c>
      <c r="AF38" s="80">
        <f t="shared" si="43"/>
        <v>4.5670799999999989</v>
      </c>
      <c r="AI38" t="s">
        <v>149</v>
      </c>
      <c r="AJ38">
        <v>4</v>
      </c>
      <c r="AK38" t="s">
        <v>7</v>
      </c>
      <c r="AL38">
        <v>8768</v>
      </c>
      <c r="AM38">
        <v>64</v>
      </c>
      <c r="AN38">
        <v>1</v>
      </c>
      <c r="AO38">
        <v>4</v>
      </c>
      <c r="AP38">
        <v>69.650000000000006</v>
      </c>
      <c r="AQ38" s="62">
        <v>6.4534000000000002</v>
      </c>
      <c r="AR38" s="16">
        <v>45559</v>
      </c>
      <c r="AS38" s="18">
        <v>0.74787037037037041</v>
      </c>
      <c r="AT38">
        <v>0</v>
      </c>
      <c r="AU38">
        <v>0</v>
      </c>
      <c r="AV38">
        <v>0</v>
      </c>
      <c r="AW38" s="80">
        <f t="shared" si="41"/>
        <v>6.4612000000000007</v>
      </c>
      <c r="AZ38" t="s">
        <v>149</v>
      </c>
      <c r="BA38">
        <v>4</v>
      </c>
      <c r="BB38" t="s">
        <v>7</v>
      </c>
      <c r="BC38">
        <v>8768</v>
      </c>
      <c r="BD38">
        <v>64</v>
      </c>
      <c r="BE38">
        <v>1</v>
      </c>
      <c r="BF38">
        <v>4</v>
      </c>
      <c r="BG38">
        <v>122.27</v>
      </c>
      <c r="BH38" s="62">
        <v>3.6760999999999999</v>
      </c>
      <c r="BI38" s="16">
        <v>45560</v>
      </c>
      <c r="BJ38" s="18">
        <v>3.472222222222222E-3</v>
      </c>
      <c r="BK38">
        <v>0</v>
      </c>
      <c r="BL38">
        <v>0</v>
      </c>
      <c r="BM38">
        <v>0</v>
      </c>
      <c r="BN38" s="80">
        <f t="shared" si="42"/>
        <v>3.6853600000000002</v>
      </c>
    </row>
    <row r="39" spans="1:66" x14ac:dyDescent="0.25">
      <c r="A39" t="s">
        <v>111</v>
      </c>
      <c r="B39">
        <v>0</v>
      </c>
      <c r="C39" t="s">
        <v>7</v>
      </c>
      <c r="D39">
        <v>9280</v>
      </c>
      <c r="E39">
        <v>64</v>
      </c>
      <c r="F39">
        <v>1</v>
      </c>
      <c r="G39">
        <v>4</v>
      </c>
      <c r="H39">
        <v>116.39</v>
      </c>
      <c r="I39" s="62">
        <v>4.5787000000000004</v>
      </c>
      <c r="J39" s="16">
        <v>45549</v>
      </c>
      <c r="K39" s="18">
        <v>0.9244444444444444</v>
      </c>
      <c r="L39">
        <v>0</v>
      </c>
      <c r="M39">
        <v>0</v>
      </c>
      <c r="N39">
        <v>0</v>
      </c>
      <c r="O39" s="80">
        <f t="shared" ref="O39" si="44">AVERAGE(I39:I43)</f>
        <v>4.5805200000000008</v>
      </c>
      <c r="R39" t="s">
        <v>111</v>
      </c>
      <c r="S39">
        <v>0</v>
      </c>
      <c r="T39" t="s">
        <v>7</v>
      </c>
      <c r="U39">
        <v>9280</v>
      </c>
      <c r="V39">
        <v>64</v>
      </c>
      <c r="W39">
        <v>1</v>
      </c>
      <c r="X39">
        <v>4</v>
      </c>
      <c r="Y39">
        <v>115.98</v>
      </c>
      <c r="Z39" s="62">
        <v>4.5949999999999998</v>
      </c>
      <c r="AA39" s="16">
        <v>45559</v>
      </c>
      <c r="AB39" s="18">
        <v>0.56861111111111107</v>
      </c>
      <c r="AC39">
        <v>0</v>
      </c>
      <c r="AD39">
        <v>0</v>
      </c>
      <c r="AE39">
        <v>0</v>
      </c>
      <c r="AF39" s="80">
        <f t="shared" si="43"/>
        <v>4.5670799999999989</v>
      </c>
      <c r="AI39" t="s">
        <v>149</v>
      </c>
      <c r="AJ39">
        <v>0</v>
      </c>
      <c r="AK39" t="s">
        <v>7</v>
      </c>
      <c r="AL39">
        <v>9280</v>
      </c>
      <c r="AM39">
        <v>64</v>
      </c>
      <c r="AN39">
        <v>1</v>
      </c>
      <c r="AO39">
        <v>4</v>
      </c>
      <c r="AP39">
        <v>81.48</v>
      </c>
      <c r="AQ39" s="62">
        <v>6.5401999999999996</v>
      </c>
      <c r="AR39" s="16">
        <v>45559</v>
      </c>
      <c r="AS39" s="18">
        <v>0.54690972222222223</v>
      </c>
      <c r="AT39">
        <v>0</v>
      </c>
      <c r="AU39">
        <v>0</v>
      </c>
      <c r="AV39">
        <v>0</v>
      </c>
      <c r="AW39" s="80">
        <f t="shared" ref="AW39" si="45">AVERAGE(AQ39:AQ43)</f>
        <v>6.5367199999999999</v>
      </c>
      <c r="AZ39" t="s">
        <v>149</v>
      </c>
      <c r="BA39">
        <v>0</v>
      </c>
      <c r="BB39" t="s">
        <v>7</v>
      </c>
      <c r="BC39">
        <v>9280</v>
      </c>
      <c r="BD39">
        <v>64</v>
      </c>
      <c r="BE39">
        <v>1</v>
      </c>
      <c r="BF39">
        <v>4</v>
      </c>
      <c r="BG39">
        <v>140.85</v>
      </c>
      <c r="BH39" s="62">
        <v>3.7835999999999999</v>
      </c>
      <c r="BI39" s="16">
        <v>45559</v>
      </c>
      <c r="BJ39" s="18">
        <v>0.65042824074074079</v>
      </c>
      <c r="BK39">
        <v>0</v>
      </c>
      <c r="BL39">
        <v>0</v>
      </c>
      <c r="BM39">
        <v>0</v>
      </c>
      <c r="BN39" s="80">
        <f t="shared" ref="BN39" si="46">AVERAGE(BH39:BH43)</f>
        <v>3.8060599999999996</v>
      </c>
    </row>
    <row r="40" spans="1:66" x14ac:dyDescent="0.25">
      <c r="A40" t="s">
        <v>111</v>
      </c>
      <c r="B40">
        <v>1</v>
      </c>
      <c r="C40" t="s">
        <v>7</v>
      </c>
      <c r="D40">
        <v>9280</v>
      </c>
      <c r="E40">
        <v>64</v>
      </c>
      <c r="F40">
        <v>1</v>
      </c>
      <c r="G40">
        <v>4</v>
      </c>
      <c r="H40">
        <v>116.38</v>
      </c>
      <c r="I40" s="62">
        <v>4.5791000000000004</v>
      </c>
      <c r="J40" s="16">
        <v>45549</v>
      </c>
      <c r="K40" s="18">
        <v>0.99571759259259263</v>
      </c>
      <c r="L40">
        <v>0</v>
      </c>
      <c r="M40">
        <v>0</v>
      </c>
      <c r="N40">
        <v>0</v>
      </c>
      <c r="O40" s="80">
        <f t="shared" ref="O40" si="47">O39</f>
        <v>4.5805200000000008</v>
      </c>
      <c r="R40" t="s">
        <v>111</v>
      </c>
      <c r="S40">
        <v>1</v>
      </c>
      <c r="T40" t="s">
        <v>7</v>
      </c>
      <c r="U40">
        <v>9280</v>
      </c>
      <c r="V40">
        <v>64</v>
      </c>
      <c r="W40">
        <v>1</v>
      </c>
      <c r="X40">
        <v>4</v>
      </c>
      <c r="Y40">
        <v>116.03</v>
      </c>
      <c r="Z40" s="62">
        <v>4.593</v>
      </c>
      <c r="AA40" s="16">
        <v>45559</v>
      </c>
      <c r="AB40" s="18">
        <v>0.6398611111111111</v>
      </c>
      <c r="AC40">
        <v>0</v>
      </c>
      <c r="AD40">
        <v>0</v>
      </c>
      <c r="AE40">
        <v>0</v>
      </c>
      <c r="AF40" s="80">
        <f t="shared" si="43"/>
        <v>4.5670799999999989</v>
      </c>
      <c r="AI40" t="s">
        <v>149</v>
      </c>
      <c r="AJ40">
        <v>1</v>
      </c>
      <c r="AK40" t="s">
        <v>7</v>
      </c>
      <c r="AL40">
        <v>9280</v>
      </c>
      <c r="AM40">
        <v>64</v>
      </c>
      <c r="AN40">
        <v>1</v>
      </c>
      <c r="AO40">
        <v>4</v>
      </c>
      <c r="AP40">
        <v>81.53</v>
      </c>
      <c r="AQ40" s="62">
        <v>6.5366</v>
      </c>
      <c r="AR40" s="16">
        <v>45559</v>
      </c>
      <c r="AS40" s="18">
        <v>0.60106481481481477</v>
      </c>
      <c r="AT40">
        <v>0</v>
      </c>
      <c r="AU40">
        <v>0</v>
      </c>
      <c r="AV40">
        <v>0</v>
      </c>
      <c r="AW40" s="80">
        <f t="shared" ref="AW40:AW43" si="48">AW39</f>
        <v>6.5367199999999999</v>
      </c>
      <c r="AZ40" t="s">
        <v>149</v>
      </c>
      <c r="BA40">
        <v>1</v>
      </c>
      <c r="BB40" t="s">
        <v>7</v>
      </c>
      <c r="BC40">
        <v>9280</v>
      </c>
      <c r="BD40">
        <v>64</v>
      </c>
      <c r="BE40">
        <v>1</v>
      </c>
      <c r="BF40">
        <v>4</v>
      </c>
      <c r="BG40">
        <v>140.69999999999999</v>
      </c>
      <c r="BH40" s="62">
        <v>3.7875000000000001</v>
      </c>
      <c r="BI40" s="16">
        <v>45559</v>
      </c>
      <c r="BJ40" s="18">
        <v>0.74606481481481479</v>
      </c>
      <c r="BK40">
        <v>0</v>
      </c>
      <c r="BL40">
        <v>0</v>
      </c>
      <c r="BM40">
        <v>0</v>
      </c>
      <c r="BN40" s="80">
        <f t="shared" ref="BN40:BN43" si="49">BN39</f>
        <v>3.8060599999999996</v>
      </c>
    </row>
    <row r="41" spans="1:66" x14ac:dyDescent="0.25">
      <c r="A41" t="s">
        <v>111</v>
      </c>
      <c r="B41">
        <v>2</v>
      </c>
      <c r="C41" t="s">
        <v>7</v>
      </c>
      <c r="D41">
        <v>9280</v>
      </c>
      <c r="E41">
        <v>64</v>
      </c>
      <c r="F41">
        <v>1</v>
      </c>
      <c r="G41">
        <v>4</v>
      </c>
      <c r="H41">
        <v>116.26</v>
      </c>
      <c r="I41" s="62">
        <v>4.5839999999999996</v>
      </c>
      <c r="J41" s="16">
        <v>45550</v>
      </c>
      <c r="K41" s="18">
        <v>6.6863425925925923E-2</v>
      </c>
      <c r="L41">
        <v>0</v>
      </c>
      <c r="M41">
        <v>0</v>
      </c>
      <c r="N41">
        <v>0</v>
      </c>
      <c r="O41" s="80">
        <f t="shared" si="14"/>
        <v>4.5805200000000008</v>
      </c>
      <c r="R41" t="s">
        <v>111</v>
      </c>
      <c r="S41">
        <v>2</v>
      </c>
      <c r="T41" t="s">
        <v>7</v>
      </c>
      <c r="U41">
        <v>9280</v>
      </c>
      <c r="V41">
        <v>64</v>
      </c>
      <c r="W41">
        <v>1</v>
      </c>
      <c r="X41">
        <v>4</v>
      </c>
      <c r="Y41">
        <v>116</v>
      </c>
      <c r="Z41" s="62">
        <v>4.5941000000000001</v>
      </c>
      <c r="AA41" s="16">
        <v>45559</v>
      </c>
      <c r="AB41" s="18">
        <v>0.71109953703703699</v>
      </c>
      <c r="AC41">
        <v>0</v>
      </c>
      <c r="AD41">
        <v>0</v>
      </c>
      <c r="AE41">
        <v>0</v>
      </c>
      <c r="AF41" s="80">
        <f t="shared" si="43"/>
        <v>4.5670799999999989</v>
      </c>
      <c r="AI41" t="s">
        <v>149</v>
      </c>
      <c r="AJ41">
        <v>2</v>
      </c>
      <c r="AK41" t="s">
        <v>7</v>
      </c>
      <c r="AL41">
        <v>9280</v>
      </c>
      <c r="AM41">
        <v>64</v>
      </c>
      <c r="AN41">
        <v>1</v>
      </c>
      <c r="AO41">
        <v>4</v>
      </c>
      <c r="AP41">
        <v>81.489999999999995</v>
      </c>
      <c r="AQ41" s="62">
        <v>6.5397999999999996</v>
      </c>
      <c r="AR41" s="16">
        <v>45559</v>
      </c>
      <c r="AS41" s="18">
        <v>0.65530092592592593</v>
      </c>
      <c r="AT41">
        <v>0</v>
      </c>
      <c r="AU41">
        <v>0</v>
      </c>
      <c r="AV41">
        <v>0</v>
      </c>
      <c r="AW41" s="80">
        <f t="shared" si="48"/>
        <v>6.5367199999999999</v>
      </c>
      <c r="AZ41" t="s">
        <v>149</v>
      </c>
      <c r="BA41">
        <v>2</v>
      </c>
      <c r="BB41" t="s">
        <v>7</v>
      </c>
      <c r="BC41">
        <v>9280</v>
      </c>
      <c r="BD41">
        <v>64</v>
      </c>
      <c r="BE41">
        <v>1</v>
      </c>
      <c r="BF41">
        <v>4</v>
      </c>
      <c r="BG41">
        <v>141.72</v>
      </c>
      <c r="BH41" s="62">
        <v>3.7602000000000002</v>
      </c>
      <c r="BI41" s="16">
        <v>45559</v>
      </c>
      <c r="BJ41" s="18">
        <v>0.84137731481481481</v>
      </c>
      <c r="BK41">
        <v>0</v>
      </c>
      <c r="BL41">
        <v>0</v>
      </c>
      <c r="BM41">
        <v>0</v>
      </c>
      <c r="BN41" s="80">
        <f t="shared" si="49"/>
        <v>3.8060599999999996</v>
      </c>
    </row>
    <row r="42" spans="1:66" x14ac:dyDescent="0.25">
      <c r="A42" t="s">
        <v>111</v>
      </c>
      <c r="B42">
        <v>3</v>
      </c>
      <c r="C42" t="s">
        <v>7</v>
      </c>
      <c r="D42">
        <v>9280</v>
      </c>
      <c r="E42">
        <v>64</v>
      </c>
      <c r="F42">
        <v>1</v>
      </c>
      <c r="G42">
        <v>4</v>
      </c>
      <c r="H42">
        <v>116.31</v>
      </c>
      <c r="I42" s="62">
        <v>4.5818000000000003</v>
      </c>
      <c r="J42" s="16">
        <v>45550</v>
      </c>
      <c r="K42" s="18">
        <v>0.13802083333333334</v>
      </c>
      <c r="L42">
        <v>0</v>
      </c>
      <c r="M42">
        <v>0</v>
      </c>
      <c r="N42">
        <v>0</v>
      </c>
      <c r="O42" s="80">
        <f t="shared" si="14"/>
        <v>4.5805200000000008</v>
      </c>
      <c r="R42" t="s">
        <v>111</v>
      </c>
      <c r="S42">
        <v>3</v>
      </c>
      <c r="T42" t="s">
        <v>7</v>
      </c>
      <c r="U42">
        <v>9280</v>
      </c>
      <c r="V42">
        <v>64</v>
      </c>
      <c r="W42">
        <v>1</v>
      </c>
      <c r="X42">
        <v>4</v>
      </c>
      <c r="Y42">
        <v>116</v>
      </c>
      <c r="Z42" s="62">
        <v>4.5941000000000001</v>
      </c>
      <c r="AA42" s="16">
        <v>45559</v>
      </c>
      <c r="AB42" s="18">
        <v>0.78237268518518521</v>
      </c>
      <c r="AC42">
        <v>0</v>
      </c>
      <c r="AD42">
        <v>0</v>
      </c>
      <c r="AE42">
        <v>0</v>
      </c>
      <c r="AF42" s="80">
        <f t="shared" si="43"/>
        <v>4.5670799999999989</v>
      </c>
      <c r="AI42" t="s">
        <v>149</v>
      </c>
      <c r="AJ42">
        <v>3</v>
      </c>
      <c r="AK42" t="s">
        <v>7</v>
      </c>
      <c r="AL42">
        <v>9280</v>
      </c>
      <c r="AM42">
        <v>64</v>
      </c>
      <c r="AN42">
        <v>1</v>
      </c>
      <c r="AO42">
        <v>4</v>
      </c>
      <c r="AP42">
        <v>81.44</v>
      </c>
      <c r="AQ42" s="62">
        <v>6.5435999999999996</v>
      </c>
      <c r="AR42" s="16">
        <v>45559</v>
      </c>
      <c r="AS42" s="18">
        <v>0.70944444444444443</v>
      </c>
      <c r="AT42">
        <v>0</v>
      </c>
      <c r="AU42">
        <v>0</v>
      </c>
      <c r="AV42">
        <v>0</v>
      </c>
      <c r="AW42" s="80">
        <f t="shared" si="48"/>
        <v>6.5367199999999999</v>
      </c>
      <c r="AZ42" t="s">
        <v>149</v>
      </c>
      <c r="BA42">
        <v>3</v>
      </c>
      <c r="BB42" t="s">
        <v>7</v>
      </c>
      <c r="BC42">
        <v>9280</v>
      </c>
      <c r="BD42">
        <v>64</v>
      </c>
      <c r="BE42">
        <v>1</v>
      </c>
      <c r="BF42">
        <v>4</v>
      </c>
      <c r="BG42">
        <v>139.16</v>
      </c>
      <c r="BH42" s="62">
        <v>3.8296000000000001</v>
      </c>
      <c r="BI42" s="16">
        <v>45559</v>
      </c>
      <c r="BJ42" s="18">
        <v>0.93684027777777779</v>
      </c>
      <c r="BK42">
        <v>0</v>
      </c>
      <c r="BL42">
        <v>0</v>
      </c>
      <c r="BM42">
        <v>0</v>
      </c>
      <c r="BN42" s="80">
        <f t="shared" si="49"/>
        <v>3.8060599999999996</v>
      </c>
    </row>
    <row r="43" spans="1:66" x14ac:dyDescent="0.25">
      <c r="A43" t="s">
        <v>111</v>
      </c>
      <c r="B43">
        <v>4</v>
      </c>
      <c r="C43" t="s">
        <v>7</v>
      </c>
      <c r="D43">
        <v>9280</v>
      </c>
      <c r="E43">
        <v>64</v>
      </c>
      <c r="F43">
        <v>1</v>
      </c>
      <c r="G43">
        <v>4</v>
      </c>
      <c r="H43">
        <v>116.38</v>
      </c>
      <c r="I43" s="62">
        <v>4.5789999999999997</v>
      </c>
      <c r="J43" s="16">
        <v>45550</v>
      </c>
      <c r="K43" s="18">
        <v>0.20921296296296296</v>
      </c>
      <c r="L43">
        <v>0</v>
      </c>
      <c r="M43">
        <v>0</v>
      </c>
      <c r="N43">
        <v>0</v>
      </c>
      <c r="O43" s="80">
        <f t="shared" si="14"/>
        <v>4.5805200000000008</v>
      </c>
      <c r="R43" t="s">
        <v>111</v>
      </c>
      <c r="S43">
        <v>4</v>
      </c>
      <c r="T43" t="s">
        <v>7</v>
      </c>
      <c r="U43">
        <v>9280</v>
      </c>
      <c r="V43">
        <v>64</v>
      </c>
      <c r="W43">
        <v>1</v>
      </c>
      <c r="X43">
        <v>4</v>
      </c>
      <c r="Y43">
        <v>115.97</v>
      </c>
      <c r="Z43" s="62">
        <v>4.5952999999999999</v>
      </c>
      <c r="AA43" s="16">
        <v>45559</v>
      </c>
      <c r="AB43" s="18">
        <v>0.85351851851851857</v>
      </c>
      <c r="AC43">
        <v>0</v>
      </c>
      <c r="AD43">
        <v>0</v>
      </c>
      <c r="AE43">
        <v>0</v>
      </c>
      <c r="AF43" s="80">
        <f>AVERAGE(Z43:Z47)</f>
        <v>4.6076600000000001</v>
      </c>
      <c r="AI43" t="s">
        <v>149</v>
      </c>
      <c r="AJ43">
        <v>4</v>
      </c>
      <c r="AK43" t="s">
        <v>7</v>
      </c>
      <c r="AL43">
        <v>9280</v>
      </c>
      <c r="AM43">
        <v>64</v>
      </c>
      <c r="AN43">
        <v>1</v>
      </c>
      <c r="AO43">
        <v>4</v>
      </c>
      <c r="AP43">
        <v>81.69</v>
      </c>
      <c r="AQ43" s="62">
        <v>6.5233999999999996</v>
      </c>
      <c r="AR43" s="16">
        <v>45559</v>
      </c>
      <c r="AS43" s="18">
        <v>0.76376157407407408</v>
      </c>
      <c r="AT43">
        <v>0</v>
      </c>
      <c r="AU43">
        <v>0</v>
      </c>
      <c r="AV43">
        <v>0</v>
      </c>
      <c r="AW43" s="80">
        <f t="shared" si="48"/>
        <v>6.5367199999999999</v>
      </c>
      <c r="AZ43" t="s">
        <v>149</v>
      </c>
      <c r="BA43">
        <v>4</v>
      </c>
      <c r="BB43" t="s">
        <v>7</v>
      </c>
      <c r="BC43">
        <v>9280</v>
      </c>
      <c r="BD43">
        <v>64</v>
      </c>
      <c r="BE43">
        <v>1</v>
      </c>
      <c r="BF43">
        <v>4</v>
      </c>
      <c r="BG43">
        <v>137.72999999999999</v>
      </c>
      <c r="BH43" s="62">
        <v>3.8694000000000002</v>
      </c>
      <c r="BI43" s="16">
        <v>45560</v>
      </c>
      <c r="BJ43" s="18">
        <v>3.259259259259259E-2</v>
      </c>
      <c r="BK43">
        <v>0</v>
      </c>
      <c r="BL43">
        <v>0</v>
      </c>
      <c r="BM43">
        <v>0</v>
      </c>
      <c r="BN43" s="80">
        <f t="shared" si="49"/>
        <v>3.8060599999999996</v>
      </c>
    </row>
    <row r="44" spans="1:66" x14ac:dyDescent="0.25">
      <c r="A44" t="s">
        <v>111</v>
      </c>
      <c r="B44">
        <v>0</v>
      </c>
      <c r="C44" t="s">
        <v>7</v>
      </c>
      <c r="D44">
        <v>9792</v>
      </c>
      <c r="E44">
        <v>64</v>
      </c>
      <c r="F44">
        <v>1</v>
      </c>
      <c r="G44">
        <v>4</v>
      </c>
      <c r="H44">
        <v>136.41</v>
      </c>
      <c r="I44" s="62">
        <v>4.5895999999999999</v>
      </c>
      <c r="J44" s="16">
        <v>45549</v>
      </c>
      <c r="K44" s="18">
        <v>0.94913194444444449</v>
      </c>
      <c r="L44">
        <v>0</v>
      </c>
      <c r="M44">
        <v>0</v>
      </c>
      <c r="N44">
        <v>0</v>
      </c>
      <c r="O44" s="80">
        <f t="shared" ref="O44" si="50">AVERAGE(I44:I48)</f>
        <v>4.6044200000000002</v>
      </c>
      <c r="R44" t="s">
        <v>111</v>
      </c>
      <c r="S44">
        <v>0</v>
      </c>
      <c r="T44" t="s">
        <v>7</v>
      </c>
      <c r="U44">
        <v>9792</v>
      </c>
      <c r="V44">
        <v>64</v>
      </c>
      <c r="W44">
        <v>1</v>
      </c>
      <c r="X44">
        <v>4</v>
      </c>
      <c r="Y44">
        <v>135.72</v>
      </c>
      <c r="Z44" s="62">
        <v>4.6131000000000002</v>
      </c>
      <c r="AA44" s="16">
        <v>45559</v>
      </c>
      <c r="AB44" s="18">
        <v>0.59332175925925923</v>
      </c>
      <c r="AC44">
        <v>0</v>
      </c>
      <c r="AD44">
        <v>0</v>
      </c>
      <c r="AE44">
        <v>0</v>
      </c>
      <c r="AF44" s="80">
        <f>AF43</f>
        <v>4.6076600000000001</v>
      </c>
      <c r="AI44" t="s">
        <v>149</v>
      </c>
      <c r="AJ44">
        <v>0</v>
      </c>
      <c r="AK44" t="s">
        <v>7</v>
      </c>
      <c r="AL44">
        <v>9792</v>
      </c>
      <c r="AM44">
        <v>64</v>
      </c>
      <c r="AN44">
        <v>1</v>
      </c>
      <c r="AO44">
        <v>4</v>
      </c>
      <c r="AP44">
        <v>95.28</v>
      </c>
      <c r="AQ44" s="62">
        <v>6.5709999999999997</v>
      </c>
      <c r="AR44" s="16">
        <v>45559</v>
      </c>
      <c r="AS44" s="18">
        <v>0.56547453703703698</v>
      </c>
      <c r="AT44">
        <v>0</v>
      </c>
      <c r="AU44">
        <v>0</v>
      </c>
      <c r="AV44">
        <v>0</v>
      </c>
      <c r="AW44" s="80">
        <f t="shared" ref="AW44" si="51">AVERAGE(AQ44:AQ48)</f>
        <v>6.5713799999999996</v>
      </c>
      <c r="AZ44" t="s">
        <v>149</v>
      </c>
      <c r="BA44">
        <v>0</v>
      </c>
      <c r="BB44" t="s">
        <v>7</v>
      </c>
      <c r="BC44">
        <v>9792</v>
      </c>
      <c r="BD44">
        <v>64</v>
      </c>
      <c r="BE44">
        <v>1</v>
      </c>
      <c r="BF44">
        <v>4</v>
      </c>
      <c r="BG44">
        <v>162.9</v>
      </c>
      <c r="BH44" s="62">
        <v>3.8431999999999999</v>
      </c>
      <c r="BI44" s="16">
        <v>45559</v>
      </c>
      <c r="BJ44" s="18">
        <v>0.68289351851851854</v>
      </c>
      <c r="BK44">
        <v>0</v>
      </c>
      <c r="BL44">
        <v>0</v>
      </c>
      <c r="BM44">
        <v>0</v>
      </c>
      <c r="BN44" s="80">
        <f t="shared" ref="BN44" si="52">AVERAGE(BH44:BH48)</f>
        <v>3.8782599999999996</v>
      </c>
    </row>
    <row r="45" spans="1:66" x14ac:dyDescent="0.25">
      <c r="A45" t="s">
        <v>111</v>
      </c>
      <c r="B45">
        <v>1</v>
      </c>
      <c r="C45" t="s">
        <v>7</v>
      </c>
      <c r="D45">
        <v>9792</v>
      </c>
      <c r="E45">
        <v>64</v>
      </c>
      <c r="F45">
        <v>1</v>
      </c>
      <c r="G45">
        <v>4</v>
      </c>
      <c r="H45">
        <v>136.13</v>
      </c>
      <c r="I45" s="62">
        <v>4.5991</v>
      </c>
      <c r="J45" s="16">
        <v>45550</v>
      </c>
      <c r="K45" s="18">
        <v>2.0370370370370372E-2</v>
      </c>
      <c r="L45">
        <v>0</v>
      </c>
      <c r="M45">
        <v>0</v>
      </c>
      <c r="N45">
        <v>0</v>
      </c>
      <c r="O45" s="80">
        <f t="shared" ref="O45" si="53">O44</f>
        <v>4.6044200000000002</v>
      </c>
      <c r="R45" t="s">
        <v>111</v>
      </c>
      <c r="S45">
        <v>1</v>
      </c>
      <c r="T45" t="s">
        <v>7</v>
      </c>
      <c r="U45">
        <v>9792</v>
      </c>
      <c r="V45">
        <v>64</v>
      </c>
      <c r="W45">
        <v>1</v>
      </c>
      <c r="X45">
        <v>4</v>
      </c>
      <c r="Y45">
        <v>135.75</v>
      </c>
      <c r="Z45" s="62">
        <v>4.6120000000000001</v>
      </c>
      <c r="AA45" s="16">
        <v>45559</v>
      </c>
      <c r="AB45" s="18">
        <v>0.66454861111111108</v>
      </c>
      <c r="AC45">
        <v>0</v>
      </c>
      <c r="AD45">
        <v>0</v>
      </c>
      <c r="AE45">
        <v>0</v>
      </c>
      <c r="AF45" s="80">
        <f>AF44</f>
        <v>4.6076600000000001</v>
      </c>
      <c r="AI45" t="s">
        <v>149</v>
      </c>
      <c r="AJ45">
        <v>1</v>
      </c>
      <c r="AK45" t="s">
        <v>7</v>
      </c>
      <c r="AL45">
        <v>9792</v>
      </c>
      <c r="AM45">
        <v>64</v>
      </c>
      <c r="AN45">
        <v>1</v>
      </c>
      <c r="AO45">
        <v>4</v>
      </c>
      <c r="AP45">
        <v>95.25</v>
      </c>
      <c r="AQ45" s="62">
        <v>6.5732999999999997</v>
      </c>
      <c r="AR45" s="16">
        <v>45559</v>
      </c>
      <c r="AS45" s="18">
        <v>0.61962962962962964</v>
      </c>
      <c r="AT45">
        <v>0</v>
      </c>
      <c r="AU45">
        <v>0</v>
      </c>
      <c r="AV45">
        <v>0</v>
      </c>
      <c r="AW45" s="80">
        <f t="shared" ref="AW45:AW48" si="54">AW44</f>
        <v>6.5713799999999996</v>
      </c>
      <c r="AZ45" t="s">
        <v>149</v>
      </c>
      <c r="BA45">
        <v>1</v>
      </c>
      <c r="BB45" t="s">
        <v>7</v>
      </c>
      <c r="BC45">
        <v>9792</v>
      </c>
      <c r="BD45">
        <v>64</v>
      </c>
      <c r="BE45">
        <v>1</v>
      </c>
      <c r="BF45">
        <v>4</v>
      </c>
      <c r="BG45">
        <v>158.28</v>
      </c>
      <c r="BH45" s="62">
        <v>3.9554999999999998</v>
      </c>
      <c r="BI45" s="16">
        <v>45559</v>
      </c>
      <c r="BJ45" s="18">
        <v>0.77853009259259254</v>
      </c>
      <c r="BK45">
        <v>0</v>
      </c>
      <c r="BL45">
        <v>0</v>
      </c>
      <c r="BM45">
        <v>0</v>
      </c>
      <c r="BN45" s="80">
        <f t="shared" ref="BN45:BN48" si="55">BN44</f>
        <v>3.8782599999999996</v>
      </c>
    </row>
    <row r="46" spans="1:66" x14ac:dyDescent="0.25">
      <c r="A46" t="s">
        <v>111</v>
      </c>
      <c r="B46">
        <v>2</v>
      </c>
      <c r="C46" t="s">
        <v>7</v>
      </c>
      <c r="D46">
        <v>9792</v>
      </c>
      <c r="E46">
        <v>64</v>
      </c>
      <c r="F46">
        <v>1</v>
      </c>
      <c r="G46">
        <v>4</v>
      </c>
      <c r="H46">
        <v>135.03</v>
      </c>
      <c r="I46" s="62">
        <v>4.6364999999999998</v>
      </c>
      <c r="J46" s="16">
        <v>45550</v>
      </c>
      <c r="K46" s="18">
        <v>9.149305555555555E-2</v>
      </c>
      <c r="L46">
        <v>0</v>
      </c>
      <c r="M46">
        <v>0</v>
      </c>
      <c r="N46">
        <v>0</v>
      </c>
      <c r="O46" s="80">
        <f t="shared" si="14"/>
        <v>4.6044200000000002</v>
      </c>
      <c r="R46" t="s">
        <v>111</v>
      </c>
      <c r="S46">
        <v>2</v>
      </c>
      <c r="T46" t="s">
        <v>7</v>
      </c>
      <c r="U46">
        <v>9792</v>
      </c>
      <c r="V46">
        <v>64</v>
      </c>
      <c r="W46">
        <v>1</v>
      </c>
      <c r="X46">
        <v>4</v>
      </c>
      <c r="Y46">
        <v>135.78</v>
      </c>
      <c r="Z46" s="62">
        <v>4.6109999999999998</v>
      </c>
      <c r="AA46" s="16">
        <v>45559</v>
      </c>
      <c r="AB46" s="18">
        <v>0.73579861111111111</v>
      </c>
      <c r="AC46">
        <v>0</v>
      </c>
      <c r="AD46">
        <v>0</v>
      </c>
      <c r="AE46">
        <v>0</v>
      </c>
      <c r="AF46" s="80">
        <f>AVERAGE(Z46:Z50)</f>
        <v>4.5583400000000003</v>
      </c>
      <c r="AI46" t="s">
        <v>149</v>
      </c>
      <c r="AJ46">
        <v>2</v>
      </c>
      <c r="AK46" t="s">
        <v>7</v>
      </c>
      <c r="AL46">
        <v>9792</v>
      </c>
      <c r="AM46">
        <v>64</v>
      </c>
      <c r="AN46">
        <v>1</v>
      </c>
      <c r="AO46">
        <v>4</v>
      </c>
      <c r="AP46">
        <v>95.4</v>
      </c>
      <c r="AQ46" s="62">
        <v>6.5622999999999996</v>
      </c>
      <c r="AR46" s="16">
        <v>45559</v>
      </c>
      <c r="AS46" s="18">
        <v>0.67387731481481483</v>
      </c>
      <c r="AT46">
        <v>0</v>
      </c>
      <c r="AU46">
        <v>0</v>
      </c>
      <c r="AV46">
        <v>0</v>
      </c>
      <c r="AW46" s="80">
        <f t="shared" si="54"/>
        <v>6.5713799999999996</v>
      </c>
      <c r="AZ46" t="s">
        <v>149</v>
      </c>
      <c r="BA46">
        <v>2</v>
      </c>
      <c r="BB46" t="s">
        <v>7</v>
      </c>
      <c r="BC46">
        <v>9792</v>
      </c>
      <c r="BD46">
        <v>64</v>
      </c>
      <c r="BE46">
        <v>1</v>
      </c>
      <c r="BF46">
        <v>4</v>
      </c>
      <c r="BG46">
        <v>156.32</v>
      </c>
      <c r="BH46" s="62">
        <v>4.0049999999999999</v>
      </c>
      <c r="BI46" s="16">
        <v>45559</v>
      </c>
      <c r="BJ46" s="18">
        <v>0.87384259259259256</v>
      </c>
      <c r="BK46">
        <v>0</v>
      </c>
      <c r="BL46">
        <v>0</v>
      </c>
      <c r="BM46">
        <v>0</v>
      </c>
      <c r="BN46" s="80">
        <f t="shared" si="55"/>
        <v>3.8782599999999996</v>
      </c>
    </row>
    <row r="47" spans="1:66" x14ac:dyDescent="0.25">
      <c r="A47" t="s">
        <v>111</v>
      </c>
      <c r="B47">
        <v>3</v>
      </c>
      <c r="C47" t="s">
        <v>7</v>
      </c>
      <c r="D47">
        <v>9792</v>
      </c>
      <c r="E47">
        <v>64</v>
      </c>
      <c r="F47">
        <v>1</v>
      </c>
      <c r="G47">
        <v>4</v>
      </c>
      <c r="H47">
        <v>136.16</v>
      </c>
      <c r="I47" s="62">
        <v>4.5979000000000001</v>
      </c>
      <c r="J47" s="16">
        <v>45550</v>
      </c>
      <c r="K47" s="18">
        <v>0.16267361111111112</v>
      </c>
      <c r="L47">
        <v>0</v>
      </c>
      <c r="M47">
        <v>0</v>
      </c>
      <c r="N47">
        <v>0</v>
      </c>
      <c r="O47" s="80">
        <f t="shared" si="14"/>
        <v>4.6044200000000002</v>
      </c>
      <c r="R47" t="s">
        <v>111</v>
      </c>
      <c r="S47">
        <v>3</v>
      </c>
      <c r="T47" t="s">
        <v>7</v>
      </c>
      <c r="U47">
        <v>9792</v>
      </c>
      <c r="V47">
        <v>64</v>
      </c>
      <c r="W47">
        <v>1</v>
      </c>
      <c r="X47">
        <v>4</v>
      </c>
      <c r="Y47">
        <v>135.9</v>
      </c>
      <c r="Z47" s="62">
        <v>4.6069000000000004</v>
      </c>
      <c r="AA47" s="16">
        <v>45559</v>
      </c>
      <c r="AB47" s="18">
        <v>0.80717592592592591</v>
      </c>
      <c r="AC47">
        <v>0</v>
      </c>
      <c r="AD47">
        <v>0</v>
      </c>
      <c r="AE47">
        <v>0</v>
      </c>
      <c r="AF47" s="80">
        <f t="shared" ref="AF47:AF52" si="56">AF46</f>
        <v>4.5583400000000003</v>
      </c>
      <c r="AI47" t="s">
        <v>149</v>
      </c>
      <c r="AJ47">
        <v>3</v>
      </c>
      <c r="AK47" t="s">
        <v>7</v>
      </c>
      <c r="AL47">
        <v>9792</v>
      </c>
      <c r="AM47">
        <v>64</v>
      </c>
      <c r="AN47">
        <v>1</v>
      </c>
      <c r="AO47">
        <v>4</v>
      </c>
      <c r="AP47">
        <v>95.48</v>
      </c>
      <c r="AQ47" s="62">
        <v>6.5574000000000003</v>
      </c>
      <c r="AR47" s="16">
        <v>45559</v>
      </c>
      <c r="AS47" s="18">
        <v>0.72803240740740738</v>
      </c>
      <c r="AT47">
        <v>0</v>
      </c>
      <c r="AU47">
        <v>0</v>
      </c>
      <c r="AV47">
        <v>0</v>
      </c>
      <c r="AW47" s="80">
        <f t="shared" si="54"/>
        <v>6.5713799999999996</v>
      </c>
      <c r="AZ47" t="s">
        <v>149</v>
      </c>
      <c r="BA47">
        <v>3</v>
      </c>
      <c r="BB47" t="s">
        <v>7</v>
      </c>
      <c r="BC47">
        <v>9792</v>
      </c>
      <c r="BD47">
        <v>64</v>
      </c>
      <c r="BE47">
        <v>1</v>
      </c>
      <c r="BF47">
        <v>4</v>
      </c>
      <c r="BG47">
        <v>164.13</v>
      </c>
      <c r="BH47" s="62">
        <v>3.8144999999999998</v>
      </c>
      <c r="BI47" s="16">
        <v>45559</v>
      </c>
      <c r="BJ47" s="18">
        <v>0.96925925925925926</v>
      </c>
      <c r="BK47">
        <v>0</v>
      </c>
      <c r="BL47">
        <v>0</v>
      </c>
      <c r="BM47">
        <v>0</v>
      </c>
      <c r="BN47" s="80">
        <f t="shared" si="55"/>
        <v>3.8782599999999996</v>
      </c>
    </row>
    <row r="48" spans="1:66" x14ac:dyDescent="0.25">
      <c r="A48" t="s">
        <v>111</v>
      </c>
      <c r="B48">
        <v>4</v>
      </c>
      <c r="C48" t="s">
        <v>7</v>
      </c>
      <c r="D48">
        <v>9792</v>
      </c>
      <c r="E48">
        <v>64</v>
      </c>
      <c r="F48">
        <v>1</v>
      </c>
      <c r="G48">
        <v>4</v>
      </c>
      <c r="H48">
        <v>136.13</v>
      </c>
      <c r="I48" s="62">
        <v>4.5990000000000002</v>
      </c>
      <c r="J48" s="16">
        <v>45550</v>
      </c>
      <c r="K48" s="18">
        <v>0.23386574074074074</v>
      </c>
      <c r="L48">
        <v>0</v>
      </c>
      <c r="M48">
        <v>0</v>
      </c>
      <c r="N48">
        <v>0</v>
      </c>
      <c r="O48" s="80">
        <f t="shared" si="14"/>
        <v>4.6044200000000002</v>
      </c>
      <c r="R48" t="s">
        <v>111</v>
      </c>
      <c r="S48">
        <v>4</v>
      </c>
      <c r="T48" t="s">
        <v>7</v>
      </c>
      <c r="U48">
        <v>9792</v>
      </c>
      <c r="V48">
        <v>64</v>
      </c>
      <c r="W48">
        <v>1</v>
      </c>
      <c r="X48">
        <v>4</v>
      </c>
      <c r="Y48">
        <v>135.72999999999999</v>
      </c>
      <c r="Z48" s="62">
        <v>4.6124999999999998</v>
      </c>
      <c r="AA48" s="16">
        <v>45559</v>
      </c>
      <c r="AB48" s="18">
        <v>0.87811342592592589</v>
      </c>
      <c r="AC48">
        <v>0</v>
      </c>
      <c r="AD48">
        <v>0</v>
      </c>
      <c r="AE48">
        <v>0</v>
      </c>
      <c r="AF48" s="80">
        <f t="shared" si="56"/>
        <v>4.5583400000000003</v>
      </c>
      <c r="AI48" t="s">
        <v>149</v>
      </c>
      <c r="AJ48">
        <v>4</v>
      </c>
      <c r="AK48" t="s">
        <v>7</v>
      </c>
      <c r="AL48">
        <v>9792</v>
      </c>
      <c r="AM48">
        <v>64</v>
      </c>
      <c r="AN48">
        <v>1</v>
      </c>
      <c r="AO48">
        <v>4</v>
      </c>
      <c r="AP48">
        <v>94.96</v>
      </c>
      <c r="AQ48" s="62">
        <v>6.5929000000000002</v>
      </c>
      <c r="AR48" s="16">
        <v>45559</v>
      </c>
      <c r="AS48" s="18">
        <v>0.78233796296296299</v>
      </c>
      <c r="AT48">
        <v>0</v>
      </c>
      <c r="AU48">
        <v>0</v>
      </c>
      <c r="AV48">
        <v>0</v>
      </c>
      <c r="AW48" s="80">
        <f t="shared" si="54"/>
        <v>6.5713799999999996</v>
      </c>
      <c r="AZ48" t="s">
        <v>149</v>
      </c>
      <c r="BA48">
        <v>4</v>
      </c>
      <c r="BB48" t="s">
        <v>7</v>
      </c>
      <c r="BC48">
        <v>9792</v>
      </c>
      <c r="BD48">
        <v>64</v>
      </c>
      <c r="BE48">
        <v>1</v>
      </c>
      <c r="BF48">
        <v>4</v>
      </c>
      <c r="BG48">
        <v>165.93</v>
      </c>
      <c r="BH48" s="62">
        <v>3.7730999999999999</v>
      </c>
      <c r="BI48" s="16">
        <v>45560</v>
      </c>
      <c r="BJ48" s="18">
        <v>6.5173611111111113E-2</v>
      </c>
      <c r="BK48">
        <v>0</v>
      </c>
      <c r="BL48">
        <v>0</v>
      </c>
      <c r="BM48">
        <v>0</v>
      </c>
      <c r="BN48" s="80">
        <f t="shared" si="55"/>
        <v>3.8782599999999996</v>
      </c>
    </row>
    <row r="49" spans="1:66" x14ac:dyDescent="0.25">
      <c r="A49" t="s">
        <v>111</v>
      </c>
      <c r="B49">
        <v>0</v>
      </c>
      <c r="C49" t="s">
        <v>7</v>
      </c>
      <c r="D49">
        <v>8768</v>
      </c>
      <c r="E49">
        <v>64</v>
      </c>
      <c r="F49">
        <v>2</v>
      </c>
      <c r="G49">
        <v>2</v>
      </c>
      <c r="H49">
        <v>101.21</v>
      </c>
      <c r="I49" s="62">
        <v>4.4413999999999998</v>
      </c>
      <c r="J49" s="16">
        <v>45549</v>
      </c>
      <c r="K49" s="18">
        <v>0.9050231481481481</v>
      </c>
      <c r="L49">
        <v>0</v>
      </c>
      <c r="M49">
        <v>0</v>
      </c>
      <c r="N49">
        <v>0</v>
      </c>
      <c r="O49" s="80">
        <f t="shared" ref="O49" si="57">AVERAGE(I49:I53)</f>
        <v>4.4493399999999994</v>
      </c>
      <c r="R49" t="s">
        <v>111</v>
      </c>
      <c r="S49">
        <v>0</v>
      </c>
      <c r="T49" t="s">
        <v>7</v>
      </c>
      <c r="U49">
        <v>8768</v>
      </c>
      <c r="V49">
        <v>64</v>
      </c>
      <c r="W49">
        <v>2</v>
      </c>
      <c r="X49">
        <v>2</v>
      </c>
      <c r="Y49">
        <v>100.34</v>
      </c>
      <c r="Z49" s="62">
        <v>4.4798</v>
      </c>
      <c r="AA49" s="16">
        <v>45559</v>
      </c>
      <c r="AB49" s="18">
        <v>0.54913194444444446</v>
      </c>
      <c r="AC49">
        <v>0</v>
      </c>
      <c r="AD49">
        <v>0</v>
      </c>
      <c r="AE49">
        <v>0</v>
      </c>
      <c r="AF49" s="80">
        <f t="shared" si="56"/>
        <v>4.5583400000000003</v>
      </c>
      <c r="AI49" t="s">
        <v>149</v>
      </c>
      <c r="AJ49">
        <v>0</v>
      </c>
      <c r="AK49" t="s">
        <v>7</v>
      </c>
      <c r="AL49">
        <v>8768</v>
      </c>
      <c r="AM49">
        <v>64</v>
      </c>
      <c r="AN49">
        <v>2</v>
      </c>
      <c r="AO49">
        <v>2</v>
      </c>
      <c r="AP49">
        <v>70.510000000000005</v>
      </c>
      <c r="AQ49" s="62">
        <v>6.3752000000000004</v>
      </c>
      <c r="AR49" s="16">
        <v>45559</v>
      </c>
      <c r="AS49" s="18">
        <v>0.5320138888888889</v>
      </c>
      <c r="AT49">
        <v>0</v>
      </c>
      <c r="AU49">
        <v>0</v>
      </c>
      <c r="AV49">
        <v>0</v>
      </c>
      <c r="AW49" s="80">
        <f t="shared" ref="AW49" si="58">AVERAGE(AQ49:AQ53)</f>
        <v>6.3481199999999998</v>
      </c>
      <c r="AZ49" t="s">
        <v>149</v>
      </c>
      <c r="BA49">
        <v>0</v>
      </c>
      <c r="BB49" t="s">
        <v>7</v>
      </c>
      <c r="BC49">
        <v>8768</v>
      </c>
      <c r="BD49">
        <v>64</v>
      </c>
      <c r="BE49">
        <v>2</v>
      </c>
      <c r="BF49">
        <v>2</v>
      </c>
      <c r="BG49">
        <v>153.08000000000001</v>
      </c>
      <c r="BH49" s="62">
        <v>2.9363000000000001</v>
      </c>
      <c r="BI49" s="16">
        <v>45559</v>
      </c>
      <c r="BJ49" s="18">
        <v>0.62349537037037039</v>
      </c>
      <c r="BK49">
        <v>0</v>
      </c>
      <c r="BL49">
        <v>0</v>
      </c>
      <c r="BM49">
        <v>0</v>
      </c>
      <c r="BN49" s="80">
        <f t="shared" ref="BN49" si="59">AVERAGE(BH49:BH53)</f>
        <v>2.9487399999999999</v>
      </c>
    </row>
    <row r="50" spans="1:66" x14ac:dyDescent="0.25">
      <c r="A50" t="s">
        <v>111</v>
      </c>
      <c r="B50">
        <v>1</v>
      </c>
      <c r="C50" t="s">
        <v>7</v>
      </c>
      <c r="D50">
        <v>8768</v>
      </c>
      <c r="E50">
        <v>64</v>
      </c>
      <c r="F50">
        <v>2</v>
      </c>
      <c r="G50">
        <v>2</v>
      </c>
      <c r="H50">
        <v>100.89</v>
      </c>
      <c r="I50" s="62">
        <v>4.4554</v>
      </c>
      <c r="J50" s="16">
        <v>45549</v>
      </c>
      <c r="K50" s="18">
        <v>0.97629629629629633</v>
      </c>
      <c r="L50">
        <v>0</v>
      </c>
      <c r="M50">
        <v>0</v>
      </c>
      <c r="N50">
        <v>0</v>
      </c>
      <c r="O50" s="80">
        <f t="shared" ref="O50" si="60">O49</f>
        <v>4.4493399999999994</v>
      </c>
      <c r="R50" t="s">
        <v>111</v>
      </c>
      <c r="S50">
        <v>1</v>
      </c>
      <c r="T50" t="s">
        <v>7</v>
      </c>
      <c r="U50">
        <v>8768</v>
      </c>
      <c r="V50">
        <v>64</v>
      </c>
      <c r="W50">
        <v>2</v>
      </c>
      <c r="X50">
        <v>2</v>
      </c>
      <c r="Y50">
        <v>100.3</v>
      </c>
      <c r="Z50" s="62">
        <v>4.4814999999999996</v>
      </c>
      <c r="AA50" s="16">
        <v>45559</v>
      </c>
      <c r="AB50" s="18">
        <v>0.62037037037037035</v>
      </c>
      <c r="AC50">
        <v>0</v>
      </c>
      <c r="AD50">
        <v>0</v>
      </c>
      <c r="AE50">
        <v>0</v>
      </c>
      <c r="AF50" s="80">
        <f t="shared" si="56"/>
        <v>4.5583400000000003</v>
      </c>
      <c r="AI50" t="s">
        <v>149</v>
      </c>
      <c r="AJ50">
        <v>1</v>
      </c>
      <c r="AK50" t="s">
        <v>7</v>
      </c>
      <c r="AL50">
        <v>8768</v>
      </c>
      <c r="AM50">
        <v>64</v>
      </c>
      <c r="AN50">
        <v>2</v>
      </c>
      <c r="AO50">
        <v>2</v>
      </c>
      <c r="AP50">
        <v>70.84</v>
      </c>
      <c r="AQ50" s="62">
        <v>6.3449999999999998</v>
      </c>
      <c r="AR50" s="16">
        <v>45559</v>
      </c>
      <c r="AS50" s="18">
        <v>0.58614583333333337</v>
      </c>
      <c r="AT50">
        <v>0</v>
      </c>
      <c r="AU50">
        <v>0</v>
      </c>
      <c r="AV50">
        <v>0</v>
      </c>
      <c r="AW50" s="80">
        <f t="shared" ref="AW50:AW53" si="61">AW49</f>
        <v>6.3481199999999998</v>
      </c>
      <c r="AZ50" t="s">
        <v>149</v>
      </c>
      <c r="BA50">
        <v>1</v>
      </c>
      <c r="BB50" t="s">
        <v>7</v>
      </c>
      <c r="BC50">
        <v>8768</v>
      </c>
      <c r="BD50">
        <v>64</v>
      </c>
      <c r="BE50">
        <v>2</v>
      </c>
      <c r="BF50">
        <v>2</v>
      </c>
      <c r="BG50">
        <v>146.71</v>
      </c>
      <c r="BH50" s="62">
        <v>3.0636999999999999</v>
      </c>
      <c r="BI50" s="16">
        <v>45559</v>
      </c>
      <c r="BJ50" s="18">
        <v>0.71902777777777782</v>
      </c>
      <c r="BK50">
        <v>0</v>
      </c>
      <c r="BL50">
        <v>0</v>
      </c>
      <c r="BM50">
        <v>0</v>
      </c>
      <c r="BN50" s="80">
        <f t="shared" ref="BN50:BN53" si="62">BN49</f>
        <v>2.9487399999999999</v>
      </c>
    </row>
    <row r="51" spans="1:66" x14ac:dyDescent="0.25">
      <c r="A51" t="s">
        <v>111</v>
      </c>
      <c r="B51">
        <v>2</v>
      </c>
      <c r="C51" t="s">
        <v>7</v>
      </c>
      <c r="D51">
        <v>8768</v>
      </c>
      <c r="E51">
        <v>64</v>
      </c>
      <c r="F51">
        <v>2</v>
      </c>
      <c r="G51">
        <v>2</v>
      </c>
      <c r="H51">
        <v>101.35</v>
      </c>
      <c r="I51" s="62">
        <v>4.4349999999999996</v>
      </c>
      <c r="J51" s="16">
        <v>45550</v>
      </c>
      <c r="K51" s="18">
        <v>4.7442129629629633E-2</v>
      </c>
      <c r="L51">
        <v>0</v>
      </c>
      <c r="M51">
        <v>0</v>
      </c>
      <c r="N51">
        <v>0</v>
      </c>
      <c r="O51" s="80">
        <f t="shared" si="14"/>
        <v>4.4493399999999994</v>
      </c>
      <c r="R51" t="s">
        <v>111</v>
      </c>
      <c r="S51">
        <v>2</v>
      </c>
      <c r="T51" t="s">
        <v>7</v>
      </c>
      <c r="U51">
        <v>8768</v>
      </c>
      <c r="V51">
        <v>64</v>
      </c>
      <c r="W51">
        <v>2</v>
      </c>
      <c r="X51">
        <v>2</v>
      </c>
      <c r="Y51">
        <v>100.45</v>
      </c>
      <c r="Z51" s="62">
        <v>4.4748999999999999</v>
      </c>
      <c r="AA51" s="16">
        <v>45559</v>
      </c>
      <c r="AB51" s="18">
        <v>0.69160879629629635</v>
      </c>
      <c r="AC51">
        <v>0</v>
      </c>
      <c r="AD51">
        <v>0</v>
      </c>
      <c r="AE51">
        <v>0</v>
      </c>
      <c r="AF51" s="80">
        <f t="shared" si="56"/>
        <v>4.5583400000000003</v>
      </c>
      <c r="AI51" t="s">
        <v>149</v>
      </c>
      <c r="AJ51">
        <v>2</v>
      </c>
      <c r="AK51" t="s">
        <v>7</v>
      </c>
      <c r="AL51">
        <v>8768</v>
      </c>
      <c r="AM51">
        <v>64</v>
      </c>
      <c r="AN51">
        <v>2</v>
      </c>
      <c r="AO51">
        <v>2</v>
      </c>
      <c r="AP51">
        <v>71.010000000000005</v>
      </c>
      <c r="AQ51" s="62">
        <v>6.3296000000000001</v>
      </c>
      <c r="AR51" s="16">
        <v>45559</v>
      </c>
      <c r="AS51" s="18">
        <v>0.64037037037037037</v>
      </c>
      <c r="AT51">
        <v>0</v>
      </c>
      <c r="AU51">
        <v>0</v>
      </c>
      <c r="AV51">
        <v>0</v>
      </c>
      <c r="AW51" s="80">
        <f t="shared" si="61"/>
        <v>6.3481199999999998</v>
      </c>
      <c r="AZ51" t="s">
        <v>149</v>
      </c>
      <c r="BA51">
        <v>2</v>
      </c>
      <c r="BB51" t="s">
        <v>7</v>
      </c>
      <c r="BC51">
        <v>8768</v>
      </c>
      <c r="BD51">
        <v>64</v>
      </c>
      <c r="BE51">
        <v>2</v>
      </c>
      <c r="BF51">
        <v>2</v>
      </c>
      <c r="BG51">
        <v>152.63</v>
      </c>
      <c r="BH51" s="62">
        <v>2.9449000000000001</v>
      </c>
      <c r="BI51" s="16">
        <v>45559</v>
      </c>
      <c r="BJ51" s="18">
        <v>0.81425925925925924</v>
      </c>
      <c r="BK51">
        <v>0</v>
      </c>
      <c r="BL51">
        <v>0</v>
      </c>
      <c r="BM51">
        <v>0</v>
      </c>
      <c r="BN51" s="80">
        <f t="shared" si="62"/>
        <v>2.9487399999999999</v>
      </c>
    </row>
    <row r="52" spans="1:66" x14ac:dyDescent="0.25">
      <c r="A52" t="s">
        <v>111</v>
      </c>
      <c r="B52">
        <v>3</v>
      </c>
      <c r="C52" t="s">
        <v>7</v>
      </c>
      <c r="D52">
        <v>8768</v>
      </c>
      <c r="E52">
        <v>64</v>
      </c>
      <c r="F52">
        <v>2</v>
      </c>
      <c r="G52">
        <v>2</v>
      </c>
      <c r="H52">
        <v>101.16</v>
      </c>
      <c r="I52" s="62">
        <v>4.4432999999999998</v>
      </c>
      <c r="J52" s="16">
        <v>45550</v>
      </c>
      <c r="K52" s="18">
        <v>0.11859953703703703</v>
      </c>
      <c r="L52">
        <v>0</v>
      </c>
      <c r="M52">
        <v>0</v>
      </c>
      <c r="N52">
        <v>0</v>
      </c>
      <c r="O52" s="80">
        <f t="shared" si="14"/>
        <v>4.4493399999999994</v>
      </c>
      <c r="R52" t="s">
        <v>111</v>
      </c>
      <c r="S52">
        <v>3</v>
      </c>
      <c r="T52" t="s">
        <v>7</v>
      </c>
      <c r="U52">
        <v>8768</v>
      </c>
      <c r="V52">
        <v>64</v>
      </c>
      <c r="W52">
        <v>2</v>
      </c>
      <c r="X52">
        <v>2</v>
      </c>
      <c r="Y52">
        <v>100.38</v>
      </c>
      <c r="Z52" s="62">
        <v>4.4776999999999996</v>
      </c>
      <c r="AA52" s="16">
        <v>45559</v>
      </c>
      <c r="AB52" s="18">
        <v>0.76288194444444446</v>
      </c>
      <c r="AC52">
        <v>0</v>
      </c>
      <c r="AD52">
        <v>0</v>
      </c>
      <c r="AE52">
        <v>0</v>
      </c>
      <c r="AF52" s="80">
        <f t="shared" si="56"/>
        <v>4.5583400000000003</v>
      </c>
      <c r="AI52" t="s">
        <v>149</v>
      </c>
      <c r="AJ52">
        <v>3</v>
      </c>
      <c r="AK52" t="s">
        <v>7</v>
      </c>
      <c r="AL52">
        <v>8768</v>
      </c>
      <c r="AM52">
        <v>64</v>
      </c>
      <c r="AN52">
        <v>2</v>
      </c>
      <c r="AO52">
        <v>2</v>
      </c>
      <c r="AP52">
        <v>70.81</v>
      </c>
      <c r="AQ52" s="62">
        <v>6.3478000000000003</v>
      </c>
      <c r="AR52" s="16">
        <v>45559</v>
      </c>
      <c r="AS52" s="18">
        <v>0.69451388888888888</v>
      </c>
      <c r="AT52">
        <v>0</v>
      </c>
      <c r="AU52">
        <v>0</v>
      </c>
      <c r="AV52">
        <v>0</v>
      </c>
      <c r="AW52" s="80">
        <f t="shared" si="61"/>
        <v>6.3481199999999998</v>
      </c>
      <c r="AZ52" t="s">
        <v>149</v>
      </c>
      <c r="BA52">
        <v>3</v>
      </c>
      <c r="BB52" t="s">
        <v>7</v>
      </c>
      <c r="BC52">
        <v>8768</v>
      </c>
      <c r="BD52">
        <v>64</v>
      </c>
      <c r="BE52">
        <v>2</v>
      </c>
      <c r="BF52">
        <v>2</v>
      </c>
      <c r="BG52">
        <v>153.24</v>
      </c>
      <c r="BH52" s="62">
        <v>2.9331999999999998</v>
      </c>
      <c r="BI52" s="16">
        <v>45559</v>
      </c>
      <c r="BJ52" s="18">
        <v>0.91005787037037034</v>
      </c>
      <c r="BK52">
        <v>0</v>
      </c>
      <c r="BL52">
        <v>0</v>
      </c>
      <c r="BM52">
        <v>0</v>
      </c>
      <c r="BN52" s="80">
        <f t="shared" si="62"/>
        <v>2.9487399999999999</v>
      </c>
    </row>
    <row r="53" spans="1:66" x14ac:dyDescent="0.25">
      <c r="A53" t="s">
        <v>111</v>
      </c>
      <c r="B53">
        <v>4</v>
      </c>
      <c r="C53" t="s">
        <v>7</v>
      </c>
      <c r="D53">
        <v>8768</v>
      </c>
      <c r="E53">
        <v>64</v>
      </c>
      <c r="F53">
        <v>2</v>
      </c>
      <c r="G53">
        <v>2</v>
      </c>
      <c r="H53">
        <v>100.52</v>
      </c>
      <c r="I53" s="62">
        <v>4.4715999999999996</v>
      </c>
      <c r="J53" s="16">
        <v>45550</v>
      </c>
      <c r="K53" s="18">
        <v>0.18979166666666666</v>
      </c>
      <c r="L53">
        <v>0</v>
      </c>
      <c r="M53">
        <v>0</v>
      </c>
      <c r="N53">
        <v>0</v>
      </c>
      <c r="O53" s="80">
        <f t="shared" si="14"/>
        <v>4.4493399999999994</v>
      </c>
      <c r="R53" t="s">
        <v>111</v>
      </c>
      <c r="S53">
        <v>4</v>
      </c>
      <c r="T53" t="s">
        <v>7</v>
      </c>
      <c r="U53">
        <v>8768</v>
      </c>
      <c r="V53">
        <v>64</v>
      </c>
      <c r="W53">
        <v>2</v>
      </c>
      <c r="X53">
        <v>2</v>
      </c>
      <c r="Y53">
        <v>100.62</v>
      </c>
      <c r="Z53" s="62">
        <v>4.4671000000000003</v>
      </c>
      <c r="AA53" s="16">
        <v>45559</v>
      </c>
      <c r="AB53" s="18">
        <v>0.83415509259259257</v>
      </c>
      <c r="AC53">
        <v>0</v>
      </c>
      <c r="AD53">
        <v>0</v>
      </c>
      <c r="AE53">
        <v>0</v>
      </c>
      <c r="AF53" s="80">
        <f>AVERAGE(Z53:Z57)</f>
        <v>4.4420400000000004</v>
      </c>
      <c r="AI53" t="s">
        <v>149</v>
      </c>
      <c r="AJ53">
        <v>4</v>
      </c>
      <c r="AK53" t="s">
        <v>7</v>
      </c>
      <c r="AL53">
        <v>8768</v>
      </c>
      <c r="AM53">
        <v>64</v>
      </c>
      <c r="AN53">
        <v>2</v>
      </c>
      <c r="AO53">
        <v>2</v>
      </c>
      <c r="AP53">
        <v>70.86</v>
      </c>
      <c r="AQ53" s="62">
        <v>6.343</v>
      </c>
      <c r="AR53" s="16">
        <v>45559</v>
      </c>
      <c r="AS53" s="18">
        <v>0.74881944444444448</v>
      </c>
      <c r="AT53">
        <v>0</v>
      </c>
      <c r="AU53">
        <v>0</v>
      </c>
      <c r="AV53">
        <v>0</v>
      </c>
      <c r="AW53" s="80">
        <f t="shared" si="61"/>
        <v>6.3481199999999998</v>
      </c>
      <c r="AZ53" t="s">
        <v>149</v>
      </c>
      <c r="BA53">
        <v>4</v>
      </c>
      <c r="BB53" t="s">
        <v>7</v>
      </c>
      <c r="BC53">
        <v>8768</v>
      </c>
      <c r="BD53">
        <v>64</v>
      </c>
      <c r="BE53">
        <v>2</v>
      </c>
      <c r="BF53">
        <v>2</v>
      </c>
      <c r="BG53">
        <v>156.86000000000001</v>
      </c>
      <c r="BH53" s="62">
        <v>2.8656000000000001</v>
      </c>
      <c r="BI53" s="16">
        <v>45560</v>
      </c>
      <c r="BJ53" s="18">
        <v>5.4282407407407404E-3</v>
      </c>
      <c r="BK53">
        <v>0</v>
      </c>
      <c r="BL53">
        <v>0</v>
      </c>
      <c r="BM53">
        <v>0</v>
      </c>
      <c r="BN53" s="80">
        <f t="shared" si="62"/>
        <v>2.9487399999999999</v>
      </c>
    </row>
    <row r="54" spans="1:66" x14ac:dyDescent="0.25">
      <c r="A54" t="s">
        <v>111</v>
      </c>
      <c r="B54">
        <v>0</v>
      </c>
      <c r="C54" t="s">
        <v>7</v>
      </c>
      <c r="D54">
        <v>9280</v>
      </c>
      <c r="E54">
        <v>64</v>
      </c>
      <c r="F54">
        <v>2</v>
      </c>
      <c r="G54">
        <v>2</v>
      </c>
      <c r="H54">
        <v>120.16</v>
      </c>
      <c r="I54" s="62">
        <v>4.4351000000000003</v>
      </c>
      <c r="J54" s="16">
        <v>45549</v>
      </c>
      <c r="K54" s="18">
        <v>0.92598379629629635</v>
      </c>
      <c r="L54">
        <v>0</v>
      </c>
      <c r="M54">
        <v>0</v>
      </c>
      <c r="N54">
        <v>0</v>
      </c>
      <c r="O54" s="80">
        <f t="shared" ref="O54" si="63">AVERAGE(I54:I58)</f>
        <v>4.4231199999999999</v>
      </c>
      <c r="R54" t="s">
        <v>111</v>
      </c>
      <c r="S54">
        <v>0</v>
      </c>
      <c r="T54" t="s">
        <v>7</v>
      </c>
      <c r="U54">
        <v>9280</v>
      </c>
      <c r="V54">
        <v>64</v>
      </c>
      <c r="W54">
        <v>2</v>
      </c>
      <c r="X54">
        <v>2</v>
      </c>
      <c r="Y54">
        <v>120.34</v>
      </c>
      <c r="Z54" s="62">
        <v>4.4284999999999997</v>
      </c>
      <c r="AA54" s="16">
        <v>45559</v>
      </c>
      <c r="AB54" s="18">
        <v>0.57015046296296301</v>
      </c>
      <c r="AC54">
        <v>0</v>
      </c>
      <c r="AD54">
        <v>0</v>
      </c>
      <c r="AE54">
        <v>0</v>
      </c>
      <c r="AF54" s="80">
        <f>AF53</f>
        <v>4.4420400000000004</v>
      </c>
      <c r="AI54" t="s">
        <v>149</v>
      </c>
      <c r="AJ54">
        <v>0</v>
      </c>
      <c r="AK54" t="s">
        <v>7</v>
      </c>
      <c r="AL54">
        <v>9280</v>
      </c>
      <c r="AM54">
        <v>64</v>
      </c>
      <c r="AN54">
        <v>2</v>
      </c>
      <c r="AO54">
        <v>2</v>
      </c>
      <c r="AP54">
        <v>83.06</v>
      </c>
      <c r="AQ54" s="62">
        <v>6.4157999999999999</v>
      </c>
      <c r="AR54" s="16">
        <v>45559</v>
      </c>
      <c r="AS54" s="18">
        <v>0.54802083333333329</v>
      </c>
      <c r="AT54">
        <v>0</v>
      </c>
      <c r="AU54">
        <v>0</v>
      </c>
      <c r="AV54">
        <v>0</v>
      </c>
      <c r="AW54" s="80">
        <f t="shared" ref="AW54" si="64">AVERAGE(AQ54:AQ58)</f>
        <v>6.4156999999999993</v>
      </c>
      <c r="AZ54" t="s">
        <v>149</v>
      </c>
      <c r="BA54">
        <v>0</v>
      </c>
      <c r="BB54" t="s">
        <v>7</v>
      </c>
      <c r="BC54">
        <v>9280</v>
      </c>
      <c r="BD54">
        <v>64</v>
      </c>
      <c r="BE54">
        <v>2</v>
      </c>
      <c r="BF54">
        <v>2</v>
      </c>
      <c r="BG54">
        <v>162.62</v>
      </c>
      <c r="BH54" s="62">
        <v>3.2770999999999999</v>
      </c>
      <c r="BI54" s="16">
        <v>45559</v>
      </c>
      <c r="BJ54" s="18">
        <v>0.65246527777777774</v>
      </c>
      <c r="BK54">
        <v>0</v>
      </c>
      <c r="BL54">
        <v>0</v>
      </c>
      <c r="BM54">
        <v>0</v>
      </c>
      <c r="BN54" s="80">
        <f t="shared" ref="BN54" si="65">AVERAGE(BH54:BH58)</f>
        <v>3.2404400000000004</v>
      </c>
    </row>
    <row r="55" spans="1:66" x14ac:dyDescent="0.25">
      <c r="A55" t="s">
        <v>111</v>
      </c>
      <c r="B55">
        <v>1</v>
      </c>
      <c r="C55" t="s">
        <v>7</v>
      </c>
      <c r="D55">
        <v>9280</v>
      </c>
      <c r="E55">
        <v>64</v>
      </c>
      <c r="F55">
        <v>2</v>
      </c>
      <c r="G55">
        <v>2</v>
      </c>
      <c r="H55">
        <v>120.79</v>
      </c>
      <c r="I55" s="62">
        <v>4.4119999999999999</v>
      </c>
      <c r="J55" s="16">
        <v>45549</v>
      </c>
      <c r="K55" s="18">
        <v>0.99725694444444446</v>
      </c>
      <c r="L55">
        <v>0</v>
      </c>
      <c r="M55">
        <v>0</v>
      </c>
      <c r="N55">
        <v>0</v>
      </c>
      <c r="O55" s="80">
        <f t="shared" ref="O55" si="66">O54</f>
        <v>4.4231199999999999</v>
      </c>
      <c r="R55" t="s">
        <v>111</v>
      </c>
      <c r="S55">
        <v>1</v>
      </c>
      <c r="T55" t="s">
        <v>7</v>
      </c>
      <c r="U55">
        <v>9280</v>
      </c>
      <c r="V55">
        <v>64</v>
      </c>
      <c r="W55">
        <v>2</v>
      </c>
      <c r="X55">
        <v>2</v>
      </c>
      <c r="Y55">
        <v>120.24</v>
      </c>
      <c r="Z55" s="62">
        <v>4.4321999999999999</v>
      </c>
      <c r="AA55" s="16">
        <v>45559</v>
      </c>
      <c r="AB55" s="18">
        <v>0.64140046296296294</v>
      </c>
      <c r="AC55">
        <v>0</v>
      </c>
      <c r="AD55">
        <v>0</v>
      </c>
      <c r="AE55">
        <v>0</v>
      </c>
      <c r="AF55" s="80">
        <f>AF54</f>
        <v>4.4420400000000004</v>
      </c>
      <c r="AI55" t="s">
        <v>149</v>
      </c>
      <c r="AJ55">
        <v>1</v>
      </c>
      <c r="AK55" t="s">
        <v>7</v>
      </c>
      <c r="AL55">
        <v>9280</v>
      </c>
      <c r="AM55">
        <v>64</v>
      </c>
      <c r="AN55">
        <v>2</v>
      </c>
      <c r="AO55">
        <v>2</v>
      </c>
      <c r="AP55">
        <v>83.06</v>
      </c>
      <c r="AQ55" s="62">
        <v>6.4157999999999999</v>
      </c>
      <c r="AR55" s="16">
        <v>45559</v>
      </c>
      <c r="AS55" s="18">
        <v>0.60217592592592595</v>
      </c>
      <c r="AT55">
        <v>0</v>
      </c>
      <c r="AU55">
        <v>0</v>
      </c>
      <c r="AV55">
        <v>0</v>
      </c>
      <c r="AW55" s="80">
        <f t="shared" ref="AW55:AW58" si="67">AW54</f>
        <v>6.4156999999999993</v>
      </c>
      <c r="AZ55" t="s">
        <v>149</v>
      </c>
      <c r="BA55">
        <v>1</v>
      </c>
      <c r="BB55" t="s">
        <v>7</v>
      </c>
      <c r="BC55">
        <v>9280</v>
      </c>
      <c r="BD55">
        <v>64</v>
      </c>
      <c r="BE55">
        <v>2</v>
      </c>
      <c r="BF55">
        <v>2</v>
      </c>
      <c r="BG55">
        <v>163.58000000000001</v>
      </c>
      <c r="BH55" s="62">
        <v>3.2578</v>
      </c>
      <c r="BI55" s="16">
        <v>45559</v>
      </c>
      <c r="BJ55" s="18">
        <v>0.74811342592592589</v>
      </c>
      <c r="BK55">
        <v>0</v>
      </c>
      <c r="BL55">
        <v>0</v>
      </c>
      <c r="BM55">
        <v>0</v>
      </c>
      <c r="BN55" s="80">
        <f t="shared" ref="BN55:BN58" si="68">BN54</f>
        <v>3.2404400000000004</v>
      </c>
    </row>
    <row r="56" spans="1:66" x14ac:dyDescent="0.25">
      <c r="A56" t="s">
        <v>111</v>
      </c>
      <c r="B56">
        <v>2</v>
      </c>
      <c r="C56" t="s">
        <v>7</v>
      </c>
      <c r="D56">
        <v>9280</v>
      </c>
      <c r="E56">
        <v>64</v>
      </c>
      <c r="F56">
        <v>2</v>
      </c>
      <c r="G56">
        <v>2</v>
      </c>
      <c r="H56">
        <v>120.17</v>
      </c>
      <c r="I56" s="62">
        <v>4.4347000000000003</v>
      </c>
      <c r="J56" s="16">
        <v>45550</v>
      </c>
      <c r="K56" s="18">
        <v>6.8391203703703704E-2</v>
      </c>
      <c r="L56">
        <v>0</v>
      </c>
      <c r="M56">
        <v>0</v>
      </c>
      <c r="N56">
        <v>0</v>
      </c>
      <c r="O56" s="80">
        <f t="shared" si="14"/>
        <v>4.4231199999999999</v>
      </c>
      <c r="R56" t="s">
        <v>111</v>
      </c>
      <c r="S56">
        <v>2</v>
      </c>
      <c r="T56" t="s">
        <v>7</v>
      </c>
      <c r="U56">
        <v>9280</v>
      </c>
      <c r="V56">
        <v>64</v>
      </c>
      <c r="W56">
        <v>2</v>
      </c>
      <c r="X56">
        <v>2</v>
      </c>
      <c r="Y56">
        <v>119.92</v>
      </c>
      <c r="Z56" s="62">
        <v>4.4439000000000002</v>
      </c>
      <c r="AA56" s="16">
        <v>45559</v>
      </c>
      <c r="AB56" s="18">
        <v>0.71262731481481478</v>
      </c>
      <c r="AC56">
        <v>0</v>
      </c>
      <c r="AD56">
        <v>0</v>
      </c>
      <c r="AE56">
        <v>0</v>
      </c>
      <c r="AF56" s="80">
        <f>AVERAGE(Z56:Z60)</f>
        <v>4.4888399999999997</v>
      </c>
      <c r="AI56" t="s">
        <v>149</v>
      </c>
      <c r="AJ56">
        <v>2</v>
      </c>
      <c r="AK56" t="s">
        <v>7</v>
      </c>
      <c r="AL56">
        <v>9280</v>
      </c>
      <c r="AM56">
        <v>64</v>
      </c>
      <c r="AN56">
        <v>2</v>
      </c>
      <c r="AO56">
        <v>2</v>
      </c>
      <c r="AP56">
        <v>83.25</v>
      </c>
      <c r="AQ56" s="62">
        <v>6.4012000000000002</v>
      </c>
      <c r="AR56" s="16">
        <v>45559</v>
      </c>
      <c r="AS56" s="18">
        <v>0.65641203703703699</v>
      </c>
      <c r="AT56">
        <v>0</v>
      </c>
      <c r="AU56">
        <v>0</v>
      </c>
      <c r="AV56">
        <v>0</v>
      </c>
      <c r="AW56" s="80">
        <f t="shared" si="67"/>
        <v>6.4156999999999993</v>
      </c>
      <c r="AZ56" t="s">
        <v>149</v>
      </c>
      <c r="BA56">
        <v>2</v>
      </c>
      <c r="BB56" t="s">
        <v>7</v>
      </c>
      <c r="BC56">
        <v>9280</v>
      </c>
      <c r="BD56">
        <v>64</v>
      </c>
      <c r="BE56">
        <v>2</v>
      </c>
      <c r="BF56">
        <v>2</v>
      </c>
      <c r="BG56">
        <v>173.38</v>
      </c>
      <c r="BH56" s="62">
        <v>3.0737000000000001</v>
      </c>
      <c r="BI56" s="16">
        <v>45559</v>
      </c>
      <c r="BJ56" s="18">
        <v>0.8435300925925926</v>
      </c>
      <c r="BK56">
        <v>0</v>
      </c>
      <c r="BL56">
        <v>0</v>
      </c>
      <c r="BM56">
        <v>0</v>
      </c>
      <c r="BN56" s="80">
        <f t="shared" si="68"/>
        <v>3.2404400000000004</v>
      </c>
    </row>
    <row r="57" spans="1:66" x14ac:dyDescent="0.25">
      <c r="A57" t="s">
        <v>111</v>
      </c>
      <c r="B57">
        <v>3</v>
      </c>
      <c r="C57" t="s">
        <v>7</v>
      </c>
      <c r="D57">
        <v>9280</v>
      </c>
      <c r="E57">
        <v>64</v>
      </c>
      <c r="F57">
        <v>2</v>
      </c>
      <c r="G57">
        <v>2</v>
      </c>
      <c r="H57">
        <v>120.68</v>
      </c>
      <c r="I57" s="62">
        <v>4.4158999999999997</v>
      </c>
      <c r="J57" s="16">
        <v>45550</v>
      </c>
      <c r="K57" s="18">
        <v>0.13956018518518518</v>
      </c>
      <c r="L57">
        <v>0</v>
      </c>
      <c r="M57">
        <v>0</v>
      </c>
      <c r="N57">
        <v>0</v>
      </c>
      <c r="O57" s="80">
        <f t="shared" si="14"/>
        <v>4.4231199999999999</v>
      </c>
      <c r="R57" t="s">
        <v>111</v>
      </c>
      <c r="S57">
        <v>3</v>
      </c>
      <c r="T57" t="s">
        <v>7</v>
      </c>
      <c r="U57">
        <v>9280</v>
      </c>
      <c r="V57">
        <v>64</v>
      </c>
      <c r="W57">
        <v>2</v>
      </c>
      <c r="X57">
        <v>2</v>
      </c>
      <c r="Y57">
        <v>120.07</v>
      </c>
      <c r="Z57" s="62">
        <v>4.4385000000000003</v>
      </c>
      <c r="AA57" s="16">
        <v>45559</v>
      </c>
      <c r="AB57" s="18">
        <v>0.78391203703703705</v>
      </c>
      <c r="AC57">
        <v>0</v>
      </c>
      <c r="AD57">
        <v>0</v>
      </c>
      <c r="AE57">
        <v>0</v>
      </c>
      <c r="AF57" s="80">
        <f>AF56</f>
        <v>4.4888399999999997</v>
      </c>
      <c r="AI57" t="s">
        <v>149</v>
      </c>
      <c r="AJ57">
        <v>3</v>
      </c>
      <c r="AK57" t="s">
        <v>7</v>
      </c>
      <c r="AL57">
        <v>9280</v>
      </c>
      <c r="AM57">
        <v>64</v>
      </c>
      <c r="AN57">
        <v>2</v>
      </c>
      <c r="AO57">
        <v>2</v>
      </c>
      <c r="AP57">
        <v>82.99</v>
      </c>
      <c r="AQ57" s="62">
        <v>6.4211999999999998</v>
      </c>
      <c r="AR57" s="16">
        <v>45559</v>
      </c>
      <c r="AS57" s="18">
        <v>0.71054398148148146</v>
      </c>
      <c r="AT57">
        <v>0</v>
      </c>
      <c r="AU57">
        <v>0</v>
      </c>
      <c r="AV57">
        <v>0</v>
      </c>
      <c r="AW57" s="80">
        <f t="shared" si="67"/>
        <v>6.4156999999999993</v>
      </c>
      <c r="AZ57" t="s">
        <v>149</v>
      </c>
      <c r="BA57">
        <v>3</v>
      </c>
      <c r="BB57" t="s">
        <v>7</v>
      </c>
      <c r="BC57">
        <v>9280</v>
      </c>
      <c r="BD57">
        <v>64</v>
      </c>
      <c r="BE57">
        <v>2</v>
      </c>
      <c r="BF57">
        <v>2</v>
      </c>
      <c r="BG57">
        <v>159.80000000000001</v>
      </c>
      <c r="BH57" s="62">
        <v>3.335</v>
      </c>
      <c r="BI57" s="16">
        <v>45559</v>
      </c>
      <c r="BJ57" s="18">
        <v>0.93883101851851847</v>
      </c>
      <c r="BK57">
        <v>0</v>
      </c>
      <c r="BL57">
        <v>0</v>
      </c>
      <c r="BM57">
        <v>0</v>
      </c>
      <c r="BN57" s="80">
        <f t="shared" si="68"/>
        <v>3.2404400000000004</v>
      </c>
    </row>
    <row r="58" spans="1:66" x14ac:dyDescent="0.25">
      <c r="A58" t="s">
        <v>111</v>
      </c>
      <c r="B58">
        <v>4</v>
      </c>
      <c r="C58" t="s">
        <v>7</v>
      </c>
      <c r="D58">
        <v>9280</v>
      </c>
      <c r="E58">
        <v>64</v>
      </c>
      <c r="F58">
        <v>2</v>
      </c>
      <c r="G58">
        <v>2</v>
      </c>
      <c r="H58">
        <v>120.63</v>
      </c>
      <c r="I58" s="62">
        <v>4.4179000000000004</v>
      </c>
      <c r="J58" s="16">
        <v>45550</v>
      </c>
      <c r="K58" s="18">
        <v>0.21075231481481482</v>
      </c>
      <c r="L58">
        <v>0</v>
      </c>
      <c r="M58">
        <v>0</v>
      </c>
      <c r="N58">
        <v>0</v>
      </c>
      <c r="O58" s="80">
        <f t="shared" si="14"/>
        <v>4.4231199999999999</v>
      </c>
      <c r="R58" t="s">
        <v>111</v>
      </c>
      <c r="S58">
        <v>4</v>
      </c>
      <c r="T58" t="s">
        <v>7</v>
      </c>
      <c r="U58">
        <v>9280</v>
      </c>
      <c r="V58">
        <v>64</v>
      </c>
      <c r="W58">
        <v>2</v>
      </c>
      <c r="X58">
        <v>2</v>
      </c>
      <c r="Y58">
        <v>119.91</v>
      </c>
      <c r="Z58" s="62">
        <v>4.4443000000000001</v>
      </c>
      <c r="AA58" s="16">
        <v>45559</v>
      </c>
      <c r="AB58" s="18">
        <v>0.85504629629629625</v>
      </c>
      <c r="AC58">
        <v>0</v>
      </c>
      <c r="AD58">
        <v>0</v>
      </c>
      <c r="AE58">
        <v>0</v>
      </c>
      <c r="AF58" s="80">
        <f>AF57</f>
        <v>4.4888399999999997</v>
      </c>
      <c r="AI58" t="s">
        <v>149</v>
      </c>
      <c r="AJ58">
        <v>4</v>
      </c>
      <c r="AK58" t="s">
        <v>7</v>
      </c>
      <c r="AL58">
        <v>9280</v>
      </c>
      <c r="AM58">
        <v>64</v>
      </c>
      <c r="AN58">
        <v>2</v>
      </c>
      <c r="AO58">
        <v>2</v>
      </c>
      <c r="AP58">
        <v>82.95</v>
      </c>
      <c r="AQ58" s="62">
        <v>6.4245000000000001</v>
      </c>
      <c r="AR58" s="16">
        <v>45559</v>
      </c>
      <c r="AS58" s="18">
        <v>0.7648611111111111</v>
      </c>
      <c r="AT58">
        <v>0</v>
      </c>
      <c r="AU58">
        <v>0</v>
      </c>
      <c r="AV58">
        <v>0</v>
      </c>
      <c r="AW58" s="80">
        <f t="shared" si="67"/>
        <v>6.4156999999999993</v>
      </c>
      <c r="AZ58" t="s">
        <v>149</v>
      </c>
      <c r="BA58">
        <v>4</v>
      </c>
      <c r="BB58" t="s">
        <v>7</v>
      </c>
      <c r="BC58">
        <v>9280</v>
      </c>
      <c r="BD58">
        <v>64</v>
      </c>
      <c r="BE58">
        <v>2</v>
      </c>
      <c r="BF58">
        <v>2</v>
      </c>
      <c r="BG58">
        <v>163.54</v>
      </c>
      <c r="BH58" s="62">
        <v>3.2585999999999999</v>
      </c>
      <c r="BI58" s="16">
        <v>45560</v>
      </c>
      <c r="BJ58" s="18">
        <v>3.4641203703703702E-2</v>
      </c>
      <c r="BK58">
        <v>0</v>
      </c>
      <c r="BL58">
        <v>0</v>
      </c>
      <c r="BM58">
        <v>0</v>
      </c>
      <c r="BN58" s="80">
        <f t="shared" si="68"/>
        <v>3.2404400000000004</v>
      </c>
    </row>
    <row r="59" spans="1:66" x14ac:dyDescent="0.25">
      <c r="A59" t="s">
        <v>111</v>
      </c>
      <c r="B59">
        <v>0</v>
      </c>
      <c r="C59" t="s">
        <v>7</v>
      </c>
      <c r="D59">
        <v>9792</v>
      </c>
      <c r="E59">
        <v>64</v>
      </c>
      <c r="F59">
        <v>2</v>
      </c>
      <c r="G59">
        <v>2</v>
      </c>
      <c r="H59">
        <v>138.26</v>
      </c>
      <c r="I59" s="62">
        <v>4.5282</v>
      </c>
      <c r="J59" s="16">
        <v>45549</v>
      </c>
      <c r="K59" s="18">
        <v>0.95089120370370372</v>
      </c>
      <c r="L59">
        <v>0</v>
      </c>
      <c r="M59">
        <v>0</v>
      </c>
      <c r="N59">
        <v>0</v>
      </c>
      <c r="O59" s="80">
        <f t="shared" ref="O59" si="69">AVERAGE(I59:I63)</f>
        <v>4.5315799999999999</v>
      </c>
      <c r="R59" t="s">
        <v>111</v>
      </c>
      <c r="S59">
        <v>0</v>
      </c>
      <c r="T59" t="s">
        <v>7</v>
      </c>
      <c r="U59">
        <v>9792</v>
      </c>
      <c r="V59">
        <v>64</v>
      </c>
      <c r="W59">
        <v>2</v>
      </c>
      <c r="X59">
        <v>2</v>
      </c>
      <c r="Y59">
        <v>137.31</v>
      </c>
      <c r="Z59" s="62">
        <v>4.5595999999999997</v>
      </c>
      <c r="AA59" s="16">
        <v>45559</v>
      </c>
      <c r="AB59" s="18">
        <v>0.59506944444444443</v>
      </c>
      <c r="AC59">
        <v>0</v>
      </c>
      <c r="AD59">
        <v>0</v>
      </c>
      <c r="AE59">
        <v>0</v>
      </c>
      <c r="AF59" s="80">
        <f>AVERAGE(Z59:Z63)</f>
        <v>4.5587399999999993</v>
      </c>
      <c r="AI59" t="s">
        <v>149</v>
      </c>
      <c r="AJ59">
        <v>0</v>
      </c>
      <c r="AK59" t="s">
        <v>7</v>
      </c>
      <c r="AL59">
        <v>9792</v>
      </c>
      <c r="AM59">
        <v>64</v>
      </c>
      <c r="AN59">
        <v>2</v>
      </c>
      <c r="AO59">
        <v>2</v>
      </c>
      <c r="AP59">
        <v>96.43</v>
      </c>
      <c r="AQ59" s="62">
        <v>6.4926000000000004</v>
      </c>
      <c r="AR59" s="16">
        <v>45559</v>
      </c>
      <c r="AS59" s="18">
        <v>0.56674768518518515</v>
      </c>
      <c r="AT59">
        <v>0</v>
      </c>
      <c r="AU59">
        <v>0</v>
      </c>
      <c r="AV59">
        <v>0</v>
      </c>
      <c r="AW59" s="80">
        <f t="shared" ref="AW59" si="70">AVERAGE(AQ59:AQ63)</f>
        <v>6.4724600000000008</v>
      </c>
      <c r="AZ59" t="s">
        <v>149</v>
      </c>
      <c r="BA59">
        <v>0</v>
      </c>
      <c r="BB59" t="s">
        <v>7</v>
      </c>
      <c r="BC59">
        <v>9792</v>
      </c>
      <c r="BD59">
        <v>64</v>
      </c>
      <c r="BE59">
        <v>2</v>
      </c>
      <c r="BF59">
        <v>2</v>
      </c>
      <c r="BG59">
        <v>182.41</v>
      </c>
      <c r="BH59" s="62">
        <v>3.4321999999999999</v>
      </c>
      <c r="BI59" s="16">
        <v>45559</v>
      </c>
      <c r="BJ59" s="18">
        <v>0.68517361111111108</v>
      </c>
      <c r="BK59">
        <v>0</v>
      </c>
      <c r="BL59">
        <v>0</v>
      </c>
      <c r="BM59">
        <v>0</v>
      </c>
      <c r="BN59" s="80">
        <f t="shared" ref="BN59" si="71">AVERAGE(BH59:BH63)</f>
        <v>3.3393600000000001</v>
      </c>
    </row>
    <row r="60" spans="1:66" x14ac:dyDescent="0.25">
      <c r="A60" t="s">
        <v>111</v>
      </c>
      <c r="B60">
        <v>1</v>
      </c>
      <c r="C60" t="s">
        <v>7</v>
      </c>
      <c r="D60">
        <v>9792</v>
      </c>
      <c r="E60">
        <v>64</v>
      </c>
      <c r="F60">
        <v>2</v>
      </c>
      <c r="G60">
        <v>2</v>
      </c>
      <c r="H60">
        <v>138.09</v>
      </c>
      <c r="I60" s="62">
        <v>4.5336999999999996</v>
      </c>
      <c r="J60" s="16">
        <v>45550</v>
      </c>
      <c r="K60" s="18">
        <v>2.2129629629629631E-2</v>
      </c>
      <c r="L60">
        <v>0</v>
      </c>
      <c r="M60">
        <v>0</v>
      </c>
      <c r="N60">
        <v>0</v>
      </c>
      <c r="O60" s="80">
        <f t="shared" ref="O60" si="72">O59</f>
        <v>4.5315799999999999</v>
      </c>
      <c r="R60" t="s">
        <v>111</v>
      </c>
      <c r="S60">
        <v>1</v>
      </c>
      <c r="T60" t="s">
        <v>7</v>
      </c>
      <c r="U60">
        <v>9792</v>
      </c>
      <c r="V60">
        <v>64</v>
      </c>
      <c r="W60">
        <v>2</v>
      </c>
      <c r="X60">
        <v>2</v>
      </c>
      <c r="Y60">
        <v>137.36000000000001</v>
      </c>
      <c r="Z60" s="62">
        <v>4.5579000000000001</v>
      </c>
      <c r="AA60" s="16">
        <v>45559</v>
      </c>
      <c r="AB60" s="18">
        <v>0.66629629629629628</v>
      </c>
      <c r="AC60">
        <v>0</v>
      </c>
      <c r="AD60">
        <v>0</v>
      </c>
      <c r="AE60">
        <v>0</v>
      </c>
      <c r="AF60" s="80">
        <f t="shared" ref="AF60:AF65" si="73">AF59</f>
        <v>4.5587399999999993</v>
      </c>
      <c r="AI60" t="s">
        <v>149</v>
      </c>
      <c r="AJ60">
        <v>1</v>
      </c>
      <c r="AK60" t="s">
        <v>7</v>
      </c>
      <c r="AL60">
        <v>9792</v>
      </c>
      <c r="AM60">
        <v>64</v>
      </c>
      <c r="AN60">
        <v>2</v>
      </c>
      <c r="AO60">
        <v>2</v>
      </c>
      <c r="AP60">
        <v>96.92</v>
      </c>
      <c r="AQ60" s="62">
        <v>6.4595000000000002</v>
      </c>
      <c r="AR60" s="16">
        <v>45559</v>
      </c>
      <c r="AS60" s="18">
        <v>0.6209027777777778</v>
      </c>
      <c r="AT60">
        <v>0</v>
      </c>
      <c r="AU60">
        <v>0</v>
      </c>
      <c r="AV60">
        <v>0</v>
      </c>
      <c r="AW60" s="80">
        <f t="shared" ref="AW60:AW63" si="74">AW59</f>
        <v>6.4724600000000008</v>
      </c>
      <c r="AZ60" t="s">
        <v>149</v>
      </c>
      <c r="BA60">
        <v>1</v>
      </c>
      <c r="BB60" t="s">
        <v>7</v>
      </c>
      <c r="BC60">
        <v>9792</v>
      </c>
      <c r="BD60">
        <v>64</v>
      </c>
      <c r="BE60">
        <v>2</v>
      </c>
      <c r="BF60">
        <v>2</v>
      </c>
      <c r="BG60">
        <v>182.12</v>
      </c>
      <c r="BH60" s="62">
        <v>3.4377</v>
      </c>
      <c r="BI60" s="16">
        <v>45559</v>
      </c>
      <c r="BJ60" s="18">
        <v>0.78079861111111115</v>
      </c>
      <c r="BK60">
        <v>0</v>
      </c>
      <c r="BL60">
        <v>0</v>
      </c>
      <c r="BM60">
        <v>0</v>
      </c>
      <c r="BN60" s="80">
        <f t="shared" ref="BN60:BN63" si="75">BN59</f>
        <v>3.3393600000000001</v>
      </c>
    </row>
    <row r="61" spans="1:66" x14ac:dyDescent="0.25">
      <c r="A61" t="s">
        <v>111</v>
      </c>
      <c r="B61">
        <v>2</v>
      </c>
      <c r="C61" t="s">
        <v>7</v>
      </c>
      <c r="D61">
        <v>9792</v>
      </c>
      <c r="E61">
        <v>64</v>
      </c>
      <c r="F61">
        <v>2</v>
      </c>
      <c r="G61">
        <v>2</v>
      </c>
      <c r="H61">
        <v>138.07</v>
      </c>
      <c r="I61" s="62">
        <v>4.5345000000000004</v>
      </c>
      <c r="J61" s="16">
        <v>45550</v>
      </c>
      <c r="K61" s="18">
        <v>9.3252314814814816E-2</v>
      </c>
      <c r="L61">
        <v>0</v>
      </c>
      <c r="M61">
        <v>0</v>
      </c>
      <c r="N61">
        <v>0</v>
      </c>
      <c r="O61" s="80">
        <f t="shared" si="14"/>
        <v>4.5315799999999999</v>
      </c>
      <c r="R61" t="s">
        <v>111</v>
      </c>
      <c r="S61">
        <v>2</v>
      </c>
      <c r="T61" t="s">
        <v>7</v>
      </c>
      <c r="U61">
        <v>9792</v>
      </c>
      <c r="V61">
        <v>64</v>
      </c>
      <c r="W61">
        <v>2</v>
      </c>
      <c r="X61">
        <v>2</v>
      </c>
      <c r="Y61">
        <v>137.31</v>
      </c>
      <c r="Z61" s="62">
        <v>4.5594999999999999</v>
      </c>
      <c r="AA61" s="16">
        <v>45559</v>
      </c>
      <c r="AB61" s="18">
        <v>0.73755787037037035</v>
      </c>
      <c r="AC61">
        <v>0</v>
      </c>
      <c r="AD61">
        <v>0</v>
      </c>
      <c r="AE61">
        <v>0</v>
      </c>
      <c r="AF61" s="80">
        <f t="shared" si="73"/>
        <v>4.5587399999999993</v>
      </c>
      <c r="AI61" t="s">
        <v>149</v>
      </c>
      <c r="AJ61">
        <v>2</v>
      </c>
      <c r="AK61" t="s">
        <v>7</v>
      </c>
      <c r="AL61">
        <v>9792</v>
      </c>
      <c r="AM61">
        <v>64</v>
      </c>
      <c r="AN61">
        <v>2</v>
      </c>
      <c r="AO61">
        <v>2</v>
      </c>
      <c r="AP61">
        <v>96.65</v>
      </c>
      <c r="AQ61" s="62">
        <v>6.4778000000000002</v>
      </c>
      <c r="AR61" s="16">
        <v>45559</v>
      </c>
      <c r="AS61" s="18">
        <v>0.67515046296296299</v>
      </c>
      <c r="AT61">
        <v>0</v>
      </c>
      <c r="AU61">
        <v>0</v>
      </c>
      <c r="AV61">
        <v>0</v>
      </c>
      <c r="AW61" s="80">
        <f t="shared" si="74"/>
        <v>6.4724600000000008</v>
      </c>
      <c r="AZ61" t="s">
        <v>149</v>
      </c>
      <c r="BA61">
        <v>2</v>
      </c>
      <c r="BB61" t="s">
        <v>7</v>
      </c>
      <c r="BC61">
        <v>9792</v>
      </c>
      <c r="BD61">
        <v>64</v>
      </c>
      <c r="BE61">
        <v>2</v>
      </c>
      <c r="BF61">
        <v>2</v>
      </c>
      <c r="BG61">
        <v>192.24</v>
      </c>
      <c r="BH61" s="62">
        <v>3.2568000000000001</v>
      </c>
      <c r="BI61" s="16">
        <v>45559</v>
      </c>
      <c r="BJ61" s="18">
        <v>0.8762268518518519</v>
      </c>
      <c r="BK61">
        <v>0</v>
      </c>
      <c r="BL61">
        <v>0</v>
      </c>
      <c r="BM61">
        <v>0</v>
      </c>
      <c r="BN61" s="80">
        <f t="shared" si="75"/>
        <v>3.3393600000000001</v>
      </c>
    </row>
    <row r="62" spans="1:66" x14ac:dyDescent="0.25">
      <c r="A62" t="s">
        <v>111</v>
      </c>
      <c r="B62">
        <v>3</v>
      </c>
      <c r="C62" t="s">
        <v>7</v>
      </c>
      <c r="D62">
        <v>9792</v>
      </c>
      <c r="E62">
        <v>64</v>
      </c>
      <c r="F62">
        <v>2</v>
      </c>
      <c r="G62">
        <v>2</v>
      </c>
      <c r="H62">
        <v>138.4</v>
      </c>
      <c r="I62" s="62">
        <v>4.5236999999999998</v>
      </c>
      <c r="J62" s="16">
        <v>45550</v>
      </c>
      <c r="K62" s="18">
        <v>0.16443287037037038</v>
      </c>
      <c r="L62">
        <v>0</v>
      </c>
      <c r="M62">
        <v>0</v>
      </c>
      <c r="N62">
        <v>0</v>
      </c>
      <c r="O62" s="80">
        <f t="shared" si="14"/>
        <v>4.5315799999999999</v>
      </c>
      <c r="R62" t="s">
        <v>111</v>
      </c>
      <c r="S62">
        <v>3</v>
      </c>
      <c r="T62" t="s">
        <v>7</v>
      </c>
      <c r="U62">
        <v>9792</v>
      </c>
      <c r="V62">
        <v>64</v>
      </c>
      <c r="W62">
        <v>2</v>
      </c>
      <c r="X62">
        <v>2</v>
      </c>
      <c r="Y62">
        <v>137.30000000000001</v>
      </c>
      <c r="Z62" s="62">
        <v>4.5598999999999998</v>
      </c>
      <c r="AA62" s="16">
        <v>45559</v>
      </c>
      <c r="AB62" s="18">
        <v>0.80891203703703707</v>
      </c>
      <c r="AC62">
        <v>0</v>
      </c>
      <c r="AD62">
        <v>0</v>
      </c>
      <c r="AE62">
        <v>0</v>
      </c>
      <c r="AF62" s="80">
        <f t="shared" si="73"/>
        <v>4.5587399999999993</v>
      </c>
      <c r="AI62" t="s">
        <v>149</v>
      </c>
      <c r="AJ62">
        <v>3</v>
      </c>
      <c r="AK62" t="s">
        <v>7</v>
      </c>
      <c r="AL62">
        <v>9792</v>
      </c>
      <c r="AM62">
        <v>64</v>
      </c>
      <c r="AN62">
        <v>2</v>
      </c>
      <c r="AO62">
        <v>2</v>
      </c>
      <c r="AP62">
        <v>96.92</v>
      </c>
      <c r="AQ62" s="62">
        <v>6.4595000000000002</v>
      </c>
      <c r="AR62" s="16">
        <v>45559</v>
      </c>
      <c r="AS62" s="18">
        <v>0.72930555555555554</v>
      </c>
      <c r="AT62">
        <v>0</v>
      </c>
      <c r="AU62">
        <v>0</v>
      </c>
      <c r="AV62">
        <v>0</v>
      </c>
      <c r="AW62" s="80">
        <f t="shared" si="74"/>
        <v>6.4724600000000008</v>
      </c>
      <c r="AZ62" t="s">
        <v>149</v>
      </c>
      <c r="BA62">
        <v>3</v>
      </c>
      <c r="BB62" t="s">
        <v>7</v>
      </c>
      <c r="BC62">
        <v>9792</v>
      </c>
      <c r="BD62">
        <v>64</v>
      </c>
      <c r="BE62">
        <v>2</v>
      </c>
      <c r="BF62">
        <v>2</v>
      </c>
      <c r="BG62">
        <v>192.47</v>
      </c>
      <c r="BH62" s="62">
        <v>3.2528999999999999</v>
      </c>
      <c r="BI62" s="16">
        <v>45559</v>
      </c>
      <c r="BJ62" s="18">
        <v>0.97164351851851849</v>
      </c>
      <c r="BK62">
        <v>0</v>
      </c>
      <c r="BL62">
        <v>0</v>
      </c>
      <c r="BM62">
        <v>0</v>
      </c>
      <c r="BN62" s="80">
        <f t="shared" si="75"/>
        <v>3.3393600000000001</v>
      </c>
    </row>
    <row r="63" spans="1:66" x14ac:dyDescent="0.25">
      <c r="A63" t="s">
        <v>111</v>
      </c>
      <c r="B63">
        <v>4</v>
      </c>
      <c r="C63" t="s">
        <v>7</v>
      </c>
      <c r="D63">
        <v>9792</v>
      </c>
      <c r="E63">
        <v>64</v>
      </c>
      <c r="F63">
        <v>2</v>
      </c>
      <c r="G63">
        <v>2</v>
      </c>
      <c r="H63">
        <v>137.97</v>
      </c>
      <c r="I63" s="62">
        <v>4.5377999999999998</v>
      </c>
      <c r="J63" s="16">
        <v>45550</v>
      </c>
      <c r="K63" s="18">
        <v>0.23561342592592593</v>
      </c>
      <c r="L63">
        <v>0</v>
      </c>
      <c r="M63">
        <v>0</v>
      </c>
      <c r="N63">
        <v>0</v>
      </c>
      <c r="O63" s="80">
        <f t="shared" si="14"/>
        <v>4.5315799999999999</v>
      </c>
      <c r="R63" t="s">
        <v>111</v>
      </c>
      <c r="S63">
        <v>4</v>
      </c>
      <c r="T63" t="s">
        <v>7</v>
      </c>
      <c r="U63">
        <v>9792</v>
      </c>
      <c r="V63">
        <v>64</v>
      </c>
      <c r="W63">
        <v>2</v>
      </c>
      <c r="X63">
        <v>2</v>
      </c>
      <c r="Y63">
        <v>137.38999999999999</v>
      </c>
      <c r="Z63" s="62">
        <v>4.5568</v>
      </c>
      <c r="AA63" s="16">
        <v>45559</v>
      </c>
      <c r="AB63" s="18">
        <v>0.87984953703703705</v>
      </c>
      <c r="AC63">
        <v>0</v>
      </c>
      <c r="AD63">
        <v>0</v>
      </c>
      <c r="AE63">
        <v>0</v>
      </c>
      <c r="AF63" s="80">
        <f t="shared" si="73"/>
        <v>4.5587399999999993</v>
      </c>
      <c r="AI63" t="s">
        <v>149</v>
      </c>
      <c r="AJ63">
        <v>4</v>
      </c>
      <c r="AK63" t="s">
        <v>7</v>
      </c>
      <c r="AL63">
        <v>9792</v>
      </c>
      <c r="AM63">
        <v>64</v>
      </c>
      <c r="AN63">
        <v>2</v>
      </c>
      <c r="AO63">
        <v>2</v>
      </c>
      <c r="AP63">
        <v>96.72</v>
      </c>
      <c r="AQ63" s="62">
        <v>6.4729000000000001</v>
      </c>
      <c r="AR63" s="16">
        <v>45559</v>
      </c>
      <c r="AS63" s="18">
        <v>0.78362268518518519</v>
      </c>
      <c r="AT63">
        <v>0</v>
      </c>
      <c r="AU63">
        <v>0</v>
      </c>
      <c r="AV63">
        <v>0</v>
      </c>
      <c r="AW63" s="80">
        <f t="shared" si="74"/>
        <v>6.4724600000000008</v>
      </c>
      <c r="AZ63" t="s">
        <v>149</v>
      </c>
      <c r="BA63">
        <v>4</v>
      </c>
      <c r="BB63" t="s">
        <v>7</v>
      </c>
      <c r="BC63">
        <v>9792</v>
      </c>
      <c r="BD63">
        <v>64</v>
      </c>
      <c r="BE63">
        <v>2</v>
      </c>
      <c r="BF63">
        <v>2</v>
      </c>
      <c r="BG63">
        <v>188.73</v>
      </c>
      <c r="BH63" s="62">
        <v>3.3172000000000001</v>
      </c>
      <c r="BI63" s="16">
        <v>45560</v>
      </c>
      <c r="BJ63" s="18">
        <v>6.7511574074074071E-2</v>
      </c>
      <c r="BK63">
        <v>0</v>
      </c>
      <c r="BL63">
        <v>0</v>
      </c>
      <c r="BM63">
        <v>0</v>
      </c>
      <c r="BN63" s="80">
        <f t="shared" si="75"/>
        <v>3.3393600000000001</v>
      </c>
    </row>
    <row r="64" spans="1:66" x14ac:dyDescent="0.25">
      <c r="A64" t="s">
        <v>111</v>
      </c>
      <c r="B64">
        <v>0</v>
      </c>
      <c r="C64" t="s">
        <v>7</v>
      </c>
      <c r="D64">
        <v>8736</v>
      </c>
      <c r="E64">
        <v>96</v>
      </c>
      <c r="F64">
        <v>1</v>
      </c>
      <c r="G64">
        <v>4</v>
      </c>
      <c r="H64">
        <v>96.87</v>
      </c>
      <c r="I64" s="62">
        <v>4.5895000000000001</v>
      </c>
      <c r="J64" s="16">
        <v>45549</v>
      </c>
      <c r="K64" s="18">
        <v>0.90627314814814819</v>
      </c>
      <c r="L64">
        <v>0</v>
      </c>
      <c r="M64">
        <v>0</v>
      </c>
      <c r="N64">
        <v>0</v>
      </c>
      <c r="O64" s="80">
        <f t="shared" ref="O64" si="76">AVERAGE(I64:I68)</f>
        <v>4.5911200000000001</v>
      </c>
      <c r="R64" t="s">
        <v>111</v>
      </c>
      <c r="S64">
        <v>0</v>
      </c>
      <c r="T64" t="s">
        <v>7</v>
      </c>
      <c r="U64">
        <v>8736</v>
      </c>
      <c r="V64">
        <v>96</v>
      </c>
      <c r="W64">
        <v>1</v>
      </c>
      <c r="X64">
        <v>4</v>
      </c>
      <c r="Y64">
        <v>96.57</v>
      </c>
      <c r="Z64" s="62">
        <v>4.6036000000000001</v>
      </c>
      <c r="AA64" s="16">
        <v>45559</v>
      </c>
      <c r="AB64" s="18">
        <v>0.55038194444444444</v>
      </c>
      <c r="AC64">
        <v>0</v>
      </c>
      <c r="AD64">
        <v>0</v>
      </c>
      <c r="AE64">
        <v>0</v>
      </c>
      <c r="AF64" s="80">
        <f t="shared" si="73"/>
        <v>4.5587399999999993</v>
      </c>
      <c r="AI64" t="s">
        <v>149</v>
      </c>
      <c r="AJ64">
        <v>0</v>
      </c>
      <c r="AK64" t="s">
        <v>7</v>
      </c>
      <c r="AL64">
        <v>8736</v>
      </c>
      <c r="AM64">
        <v>96</v>
      </c>
      <c r="AN64">
        <v>1</v>
      </c>
      <c r="AO64">
        <v>4</v>
      </c>
      <c r="AP64">
        <v>66.489999999999995</v>
      </c>
      <c r="AQ64" s="62">
        <v>6.6867000000000001</v>
      </c>
      <c r="AR64" s="16">
        <v>45559</v>
      </c>
      <c r="AS64" s="18">
        <v>0.53291666666666671</v>
      </c>
      <c r="AT64">
        <v>0</v>
      </c>
      <c r="AU64">
        <v>0</v>
      </c>
      <c r="AV64">
        <v>0</v>
      </c>
      <c r="AW64" s="80">
        <f t="shared" ref="AW64" si="77">AVERAGE(AQ64:AQ68)</f>
        <v>6.6758600000000001</v>
      </c>
      <c r="AZ64" t="s">
        <v>149</v>
      </c>
      <c r="BA64">
        <v>0</v>
      </c>
      <c r="BB64" t="s">
        <v>7</v>
      </c>
      <c r="BC64">
        <v>8736</v>
      </c>
      <c r="BD64">
        <v>96</v>
      </c>
      <c r="BE64">
        <v>1</v>
      </c>
      <c r="BF64">
        <v>4</v>
      </c>
      <c r="BG64">
        <v>117.39</v>
      </c>
      <c r="BH64" s="62">
        <v>3.7873999999999999</v>
      </c>
      <c r="BI64" s="16">
        <v>45559</v>
      </c>
      <c r="BJ64" s="18">
        <v>0.62498842592592596</v>
      </c>
      <c r="BK64">
        <v>0</v>
      </c>
      <c r="BL64">
        <v>0</v>
      </c>
      <c r="BM64">
        <v>0</v>
      </c>
      <c r="BN64" s="80">
        <f t="shared" ref="BN64" si="78">AVERAGE(BH64:BH68)</f>
        <v>3.7303200000000003</v>
      </c>
    </row>
    <row r="65" spans="1:66" x14ac:dyDescent="0.25">
      <c r="A65" t="s">
        <v>111</v>
      </c>
      <c r="B65">
        <v>1</v>
      </c>
      <c r="C65" t="s">
        <v>7</v>
      </c>
      <c r="D65">
        <v>8736</v>
      </c>
      <c r="E65">
        <v>96</v>
      </c>
      <c r="F65">
        <v>1</v>
      </c>
      <c r="G65">
        <v>4</v>
      </c>
      <c r="H65">
        <v>96.83</v>
      </c>
      <c r="I65" s="62">
        <v>4.5914000000000001</v>
      </c>
      <c r="J65" s="16">
        <v>45549</v>
      </c>
      <c r="K65" s="18">
        <v>0.9775462962962963</v>
      </c>
      <c r="L65">
        <v>0</v>
      </c>
      <c r="M65">
        <v>0</v>
      </c>
      <c r="N65">
        <v>0</v>
      </c>
      <c r="O65" s="80">
        <f t="shared" ref="O65" si="79">O64</f>
        <v>4.5911200000000001</v>
      </c>
      <c r="R65" t="s">
        <v>111</v>
      </c>
      <c r="S65">
        <v>1</v>
      </c>
      <c r="T65" t="s">
        <v>7</v>
      </c>
      <c r="U65">
        <v>8736</v>
      </c>
      <c r="V65">
        <v>96</v>
      </c>
      <c r="W65">
        <v>1</v>
      </c>
      <c r="X65">
        <v>4</v>
      </c>
      <c r="Y65">
        <v>96.57</v>
      </c>
      <c r="Z65" s="62">
        <v>4.6036000000000001</v>
      </c>
      <c r="AA65" s="16">
        <v>45559</v>
      </c>
      <c r="AB65" s="18">
        <v>0.62162037037037032</v>
      </c>
      <c r="AC65">
        <v>0</v>
      </c>
      <c r="AD65">
        <v>0</v>
      </c>
      <c r="AE65">
        <v>0</v>
      </c>
      <c r="AF65" s="80">
        <f t="shared" si="73"/>
        <v>4.5587399999999993</v>
      </c>
      <c r="AI65" t="s">
        <v>149</v>
      </c>
      <c r="AJ65">
        <v>1</v>
      </c>
      <c r="AK65" t="s">
        <v>7</v>
      </c>
      <c r="AL65">
        <v>8736</v>
      </c>
      <c r="AM65">
        <v>96</v>
      </c>
      <c r="AN65">
        <v>1</v>
      </c>
      <c r="AO65">
        <v>4</v>
      </c>
      <c r="AP65">
        <v>66.61</v>
      </c>
      <c r="AQ65" s="62">
        <v>6.6742999999999997</v>
      </c>
      <c r="AR65" s="16">
        <v>45559</v>
      </c>
      <c r="AS65" s="18">
        <v>0.58704861111111106</v>
      </c>
      <c r="AT65">
        <v>0</v>
      </c>
      <c r="AU65">
        <v>0</v>
      </c>
      <c r="AV65">
        <v>0</v>
      </c>
      <c r="AW65" s="80">
        <f t="shared" ref="AW65:AW68" si="80">AW64</f>
        <v>6.6758600000000001</v>
      </c>
      <c r="AZ65" t="s">
        <v>149</v>
      </c>
      <c r="BA65">
        <v>1</v>
      </c>
      <c r="BB65" t="s">
        <v>7</v>
      </c>
      <c r="BC65">
        <v>8736</v>
      </c>
      <c r="BD65">
        <v>96</v>
      </c>
      <c r="BE65">
        <v>1</v>
      </c>
      <c r="BF65">
        <v>4</v>
      </c>
      <c r="BG65">
        <v>113.29</v>
      </c>
      <c r="BH65" s="62">
        <v>3.9243000000000001</v>
      </c>
      <c r="BI65" s="16">
        <v>45559</v>
      </c>
      <c r="BJ65" s="18">
        <v>0.72048611111111116</v>
      </c>
      <c r="BK65">
        <v>0</v>
      </c>
      <c r="BL65">
        <v>0</v>
      </c>
      <c r="BM65">
        <v>0</v>
      </c>
      <c r="BN65" s="80">
        <f t="shared" ref="BN65:BN68" si="81">BN64</f>
        <v>3.7303200000000003</v>
      </c>
    </row>
    <row r="66" spans="1:66" x14ac:dyDescent="0.25">
      <c r="A66" t="s">
        <v>111</v>
      </c>
      <c r="B66">
        <v>2</v>
      </c>
      <c r="C66" t="s">
        <v>7</v>
      </c>
      <c r="D66">
        <v>8736</v>
      </c>
      <c r="E66">
        <v>96</v>
      </c>
      <c r="F66">
        <v>1</v>
      </c>
      <c r="G66">
        <v>4</v>
      </c>
      <c r="H66">
        <v>96.83</v>
      </c>
      <c r="I66" s="62">
        <v>4.5915999999999997</v>
      </c>
      <c r="J66" s="16">
        <v>45550</v>
      </c>
      <c r="K66" s="18">
        <v>4.8692129629629627E-2</v>
      </c>
      <c r="L66">
        <v>0</v>
      </c>
      <c r="M66">
        <v>0</v>
      </c>
      <c r="N66">
        <v>0</v>
      </c>
      <c r="O66" s="80">
        <f t="shared" si="14"/>
        <v>4.5911200000000001</v>
      </c>
      <c r="R66" t="s">
        <v>111</v>
      </c>
      <c r="S66">
        <v>2</v>
      </c>
      <c r="T66" t="s">
        <v>7</v>
      </c>
      <c r="U66">
        <v>8736</v>
      </c>
      <c r="V66">
        <v>96</v>
      </c>
      <c r="W66">
        <v>1</v>
      </c>
      <c r="X66">
        <v>4</v>
      </c>
      <c r="Y66">
        <v>96.59</v>
      </c>
      <c r="Z66" s="62">
        <v>4.6026999999999996</v>
      </c>
      <c r="AA66" s="16">
        <v>45559</v>
      </c>
      <c r="AB66" s="18">
        <v>0.69285879629629632</v>
      </c>
      <c r="AC66">
        <v>0</v>
      </c>
      <c r="AD66">
        <v>0</v>
      </c>
      <c r="AE66">
        <v>0</v>
      </c>
      <c r="AF66" s="80">
        <f>AVERAGE(Z66:Z70)</f>
        <v>4.4876399999999999</v>
      </c>
      <c r="AI66" t="s">
        <v>149</v>
      </c>
      <c r="AJ66">
        <v>2</v>
      </c>
      <c r="AK66" t="s">
        <v>7</v>
      </c>
      <c r="AL66">
        <v>8736</v>
      </c>
      <c r="AM66">
        <v>96</v>
      </c>
      <c r="AN66">
        <v>1</v>
      </c>
      <c r="AO66">
        <v>4</v>
      </c>
      <c r="AP66">
        <v>66.59</v>
      </c>
      <c r="AQ66" s="62">
        <v>6.6760999999999999</v>
      </c>
      <c r="AR66" s="16">
        <v>45559</v>
      </c>
      <c r="AS66" s="18">
        <v>0.64126157407407403</v>
      </c>
      <c r="AT66">
        <v>0</v>
      </c>
      <c r="AU66">
        <v>0</v>
      </c>
      <c r="AV66">
        <v>0</v>
      </c>
      <c r="AW66" s="80">
        <f t="shared" si="80"/>
        <v>6.6758600000000001</v>
      </c>
      <c r="AZ66" t="s">
        <v>149</v>
      </c>
      <c r="BA66">
        <v>2</v>
      </c>
      <c r="BB66" t="s">
        <v>7</v>
      </c>
      <c r="BC66">
        <v>8736</v>
      </c>
      <c r="BD66">
        <v>96</v>
      </c>
      <c r="BE66">
        <v>1</v>
      </c>
      <c r="BF66">
        <v>4</v>
      </c>
      <c r="BG66">
        <v>125.17</v>
      </c>
      <c r="BH66" s="62">
        <v>3.5518999999999998</v>
      </c>
      <c r="BI66" s="16">
        <v>45559</v>
      </c>
      <c r="BJ66" s="18">
        <v>0.81584490740740745</v>
      </c>
      <c r="BK66">
        <v>0</v>
      </c>
      <c r="BL66">
        <v>0</v>
      </c>
      <c r="BM66">
        <v>0</v>
      </c>
      <c r="BN66" s="80">
        <f t="shared" si="81"/>
        <v>3.7303200000000003</v>
      </c>
    </row>
    <row r="67" spans="1:66" x14ac:dyDescent="0.25">
      <c r="A67" t="s">
        <v>111</v>
      </c>
      <c r="B67">
        <v>3</v>
      </c>
      <c r="C67" t="s">
        <v>7</v>
      </c>
      <c r="D67">
        <v>8736</v>
      </c>
      <c r="E67">
        <v>96</v>
      </c>
      <c r="F67">
        <v>1</v>
      </c>
      <c r="G67">
        <v>4</v>
      </c>
      <c r="H67">
        <v>96.86</v>
      </c>
      <c r="I67" s="62">
        <v>4.59</v>
      </c>
      <c r="J67" s="16">
        <v>45550</v>
      </c>
      <c r="K67" s="18">
        <v>0.11984953703703703</v>
      </c>
      <c r="L67">
        <v>0</v>
      </c>
      <c r="M67">
        <v>0</v>
      </c>
      <c r="N67">
        <v>0</v>
      </c>
      <c r="O67" s="80">
        <f t="shared" si="14"/>
        <v>4.5911200000000001</v>
      </c>
      <c r="R67" t="s">
        <v>111</v>
      </c>
      <c r="S67">
        <v>3</v>
      </c>
      <c r="T67" t="s">
        <v>7</v>
      </c>
      <c r="U67">
        <v>8736</v>
      </c>
      <c r="V67">
        <v>96</v>
      </c>
      <c r="W67">
        <v>1</v>
      </c>
      <c r="X67">
        <v>4</v>
      </c>
      <c r="Y67">
        <v>96.55</v>
      </c>
      <c r="Z67" s="62">
        <v>4.6048</v>
      </c>
      <c r="AA67" s="16">
        <v>45559</v>
      </c>
      <c r="AB67" s="18">
        <v>0.76413194444444443</v>
      </c>
      <c r="AC67">
        <v>0</v>
      </c>
      <c r="AD67">
        <v>0</v>
      </c>
      <c r="AE67">
        <v>0</v>
      </c>
      <c r="AF67" s="80">
        <f>AF66</f>
        <v>4.4876399999999999</v>
      </c>
      <c r="AI67" t="s">
        <v>149</v>
      </c>
      <c r="AJ67">
        <v>3</v>
      </c>
      <c r="AK67" t="s">
        <v>7</v>
      </c>
      <c r="AL67">
        <v>8736</v>
      </c>
      <c r="AM67">
        <v>96</v>
      </c>
      <c r="AN67">
        <v>1</v>
      </c>
      <c r="AO67">
        <v>4</v>
      </c>
      <c r="AP67">
        <v>66.56</v>
      </c>
      <c r="AQ67" s="62">
        <v>6.6797000000000004</v>
      </c>
      <c r="AR67" s="16">
        <v>45559</v>
      </c>
      <c r="AS67" s="18">
        <v>0.69541666666666668</v>
      </c>
      <c r="AT67">
        <v>0</v>
      </c>
      <c r="AU67">
        <v>0</v>
      </c>
      <c r="AV67">
        <v>0</v>
      </c>
      <c r="AW67" s="80">
        <f t="shared" si="80"/>
        <v>6.6758600000000001</v>
      </c>
      <c r="AZ67" t="s">
        <v>149</v>
      </c>
      <c r="BA67">
        <v>3</v>
      </c>
      <c r="BB67" t="s">
        <v>7</v>
      </c>
      <c r="BC67">
        <v>8736</v>
      </c>
      <c r="BD67">
        <v>96</v>
      </c>
      <c r="BE67">
        <v>1</v>
      </c>
      <c r="BF67">
        <v>4</v>
      </c>
      <c r="BG67">
        <v>124.03</v>
      </c>
      <c r="BH67" s="62">
        <v>3.5846</v>
      </c>
      <c r="BI67" s="16">
        <v>45559</v>
      </c>
      <c r="BJ67" s="18">
        <v>0.9116319444444444</v>
      </c>
      <c r="BK67">
        <v>0</v>
      </c>
      <c r="BL67">
        <v>0</v>
      </c>
      <c r="BM67">
        <v>0</v>
      </c>
      <c r="BN67" s="80">
        <f t="shared" si="81"/>
        <v>3.7303200000000003</v>
      </c>
    </row>
    <row r="68" spans="1:66" x14ac:dyDescent="0.25">
      <c r="A68" t="s">
        <v>111</v>
      </c>
      <c r="B68">
        <v>4</v>
      </c>
      <c r="C68" t="s">
        <v>7</v>
      </c>
      <c r="D68">
        <v>8736</v>
      </c>
      <c r="E68">
        <v>96</v>
      </c>
      <c r="F68">
        <v>1</v>
      </c>
      <c r="G68">
        <v>4</v>
      </c>
      <c r="H68">
        <v>96.8</v>
      </c>
      <c r="I68" s="62">
        <v>4.5930999999999997</v>
      </c>
      <c r="J68" s="16">
        <v>45550</v>
      </c>
      <c r="K68" s="18">
        <v>0.19104166666666667</v>
      </c>
      <c r="L68">
        <v>0</v>
      </c>
      <c r="M68">
        <v>0</v>
      </c>
      <c r="N68">
        <v>0</v>
      </c>
      <c r="O68" s="80">
        <f t="shared" si="14"/>
        <v>4.5911200000000001</v>
      </c>
      <c r="R68" t="s">
        <v>111</v>
      </c>
      <c r="S68">
        <v>4</v>
      </c>
      <c r="T68" t="s">
        <v>7</v>
      </c>
      <c r="U68">
        <v>8736</v>
      </c>
      <c r="V68">
        <v>96</v>
      </c>
      <c r="W68">
        <v>1</v>
      </c>
      <c r="X68">
        <v>4</v>
      </c>
      <c r="Y68">
        <v>96.58</v>
      </c>
      <c r="Z68" s="62">
        <v>4.6035000000000004</v>
      </c>
      <c r="AA68" s="16">
        <v>45559</v>
      </c>
      <c r="AB68" s="18">
        <v>0.83539351851851851</v>
      </c>
      <c r="AC68">
        <v>0</v>
      </c>
      <c r="AD68">
        <v>0</v>
      </c>
      <c r="AE68">
        <v>0</v>
      </c>
      <c r="AF68" s="80">
        <f>AF67</f>
        <v>4.4876399999999999</v>
      </c>
      <c r="AI68" t="s">
        <v>149</v>
      </c>
      <c r="AJ68">
        <v>4</v>
      </c>
      <c r="AK68" t="s">
        <v>7</v>
      </c>
      <c r="AL68">
        <v>8736</v>
      </c>
      <c r="AM68">
        <v>96</v>
      </c>
      <c r="AN68">
        <v>1</v>
      </c>
      <c r="AO68">
        <v>4</v>
      </c>
      <c r="AP68">
        <v>66.73</v>
      </c>
      <c r="AQ68" s="62">
        <v>6.6624999999999996</v>
      </c>
      <c r="AR68" s="16">
        <v>45559</v>
      </c>
      <c r="AS68" s="18">
        <v>0.74972222222222218</v>
      </c>
      <c r="AT68">
        <v>0</v>
      </c>
      <c r="AU68">
        <v>0</v>
      </c>
      <c r="AV68">
        <v>0</v>
      </c>
      <c r="AW68" s="80">
        <f t="shared" si="80"/>
        <v>6.6758600000000001</v>
      </c>
      <c r="AZ68" t="s">
        <v>149</v>
      </c>
      <c r="BA68">
        <v>4</v>
      </c>
      <c r="BB68" t="s">
        <v>7</v>
      </c>
      <c r="BC68">
        <v>8736</v>
      </c>
      <c r="BD68">
        <v>96</v>
      </c>
      <c r="BE68">
        <v>1</v>
      </c>
      <c r="BF68">
        <v>4</v>
      </c>
      <c r="BG68">
        <v>116.89</v>
      </c>
      <c r="BH68" s="62">
        <v>3.8033999999999999</v>
      </c>
      <c r="BI68" s="16">
        <v>45560</v>
      </c>
      <c r="BJ68" s="18">
        <v>6.9097222222222225E-3</v>
      </c>
      <c r="BK68">
        <v>0</v>
      </c>
      <c r="BL68">
        <v>0</v>
      </c>
      <c r="BM68">
        <v>0</v>
      </c>
      <c r="BN68" s="80">
        <f t="shared" si="81"/>
        <v>3.7303200000000003</v>
      </c>
    </row>
    <row r="69" spans="1:66" x14ac:dyDescent="0.25">
      <c r="A69" t="s">
        <v>111</v>
      </c>
      <c r="B69">
        <v>0</v>
      </c>
      <c r="C69" t="s">
        <v>7</v>
      </c>
      <c r="D69">
        <v>9216</v>
      </c>
      <c r="E69">
        <v>96</v>
      </c>
      <c r="F69">
        <v>1</v>
      </c>
      <c r="G69">
        <v>4</v>
      </c>
      <c r="H69">
        <v>121.29</v>
      </c>
      <c r="I69" s="62">
        <v>4.3034999999999997</v>
      </c>
      <c r="J69" s="16">
        <v>45549</v>
      </c>
      <c r="K69" s="18">
        <v>0.92752314814814818</v>
      </c>
      <c r="L69">
        <v>0</v>
      </c>
      <c r="M69">
        <v>0</v>
      </c>
      <c r="N69">
        <v>0</v>
      </c>
      <c r="O69" s="80">
        <f t="shared" ref="O69" si="82">AVERAGE(I69:I73)</f>
        <v>4.3222000000000005</v>
      </c>
      <c r="R69" t="s">
        <v>111</v>
      </c>
      <c r="S69">
        <v>0</v>
      </c>
      <c r="T69" t="s">
        <v>7</v>
      </c>
      <c r="U69">
        <v>9216</v>
      </c>
      <c r="V69">
        <v>96</v>
      </c>
      <c r="W69">
        <v>1</v>
      </c>
      <c r="X69">
        <v>4</v>
      </c>
      <c r="Y69">
        <v>120.94</v>
      </c>
      <c r="Z69" s="62">
        <v>4.3159999999999998</v>
      </c>
      <c r="AA69" s="16">
        <v>45559</v>
      </c>
      <c r="AB69" s="18">
        <v>0.57170138888888888</v>
      </c>
      <c r="AC69">
        <v>0</v>
      </c>
      <c r="AD69">
        <v>0</v>
      </c>
      <c r="AE69">
        <v>0</v>
      </c>
      <c r="AF69" s="80">
        <f>AVERAGE(Z69:Z73)</f>
        <v>4.3104199999999997</v>
      </c>
      <c r="AI69" t="s">
        <v>149</v>
      </c>
      <c r="AJ69">
        <v>0</v>
      </c>
      <c r="AK69" t="s">
        <v>7</v>
      </c>
      <c r="AL69">
        <v>9216</v>
      </c>
      <c r="AM69">
        <v>96</v>
      </c>
      <c r="AN69">
        <v>1</v>
      </c>
      <c r="AO69">
        <v>4</v>
      </c>
      <c r="AP69">
        <v>78.180000000000007</v>
      </c>
      <c r="AQ69" s="62">
        <v>6.6760999999999999</v>
      </c>
      <c r="AR69" s="16">
        <v>45559</v>
      </c>
      <c r="AS69" s="18">
        <v>0.54906250000000001</v>
      </c>
      <c r="AT69">
        <v>0</v>
      </c>
      <c r="AU69">
        <v>0</v>
      </c>
      <c r="AV69">
        <v>0</v>
      </c>
      <c r="AW69" s="80">
        <f t="shared" ref="AW69" si="83">AVERAGE(AQ69:AQ73)</f>
        <v>6.6588400000000005</v>
      </c>
      <c r="AZ69" t="s">
        <v>149</v>
      </c>
      <c r="BA69">
        <v>0</v>
      </c>
      <c r="BB69" t="s">
        <v>7</v>
      </c>
      <c r="BC69">
        <v>9216</v>
      </c>
      <c r="BD69">
        <v>96</v>
      </c>
      <c r="BE69">
        <v>1</v>
      </c>
      <c r="BF69">
        <v>4</v>
      </c>
      <c r="BG69">
        <v>140</v>
      </c>
      <c r="BH69" s="62">
        <v>3.7282999999999999</v>
      </c>
      <c r="BI69" s="16">
        <v>45559</v>
      </c>
      <c r="BJ69" s="18">
        <v>0.65423611111111113</v>
      </c>
      <c r="BK69">
        <v>0</v>
      </c>
      <c r="BL69">
        <v>0</v>
      </c>
      <c r="BM69">
        <v>0</v>
      </c>
      <c r="BN69" s="80">
        <f t="shared" ref="BN69" si="84">AVERAGE(BH69:BH73)</f>
        <v>3.8888799999999994</v>
      </c>
    </row>
    <row r="70" spans="1:66" x14ac:dyDescent="0.25">
      <c r="A70" t="s">
        <v>111</v>
      </c>
      <c r="B70">
        <v>1</v>
      </c>
      <c r="C70" t="s">
        <v>7</v>
      </c>
      <c r="D70">
        <v>9216</v>
      </c>
      <c r="E70">
        <v>96</v>
      </c>
      <c r="F70">
        <v>1</v>
      </c>
      <c r="G70">
        <v>4</v>
      </c>
      <c r="H70">
        <v>120.45</v>
      </c>
      <c r="I70" s="62">
        <v>4.3334999999999999</v>
      </c>
      <c r="J70" s="16">
        <v>45549</v>
      </c>
      <c r="K70" s="18">
        <v>0.99878472222222225</v>
      </c>
      <c r="L70">
        <v>0</v>
      </c>
      <c r="M70">
        <v>0</v>
      </c>
      <c r="N70">
        <v>0</v>
      </c>
      <c r="O70" s="80">
        <f t="shared" ref="O70" si="85">O69</f>
        <v>4.3222000000000005</v>
      </c>
      <c r="R70" t="s">
        <v>111</v>
      </c>
      <c r="S70">
        <v>1</v>
      </c>
      <c r="T70" t="s">
        <v>7</v>
      </c>
      <c r="U70">
        <v>9216</v>
      </c>
      <c r="V70">
        <v>96</v>
      </c>
      <c r="W70">
        <v>1</v>
      </c>
      <c r="X70">
        <v>4</v>
      </c>
      <c r="Y70">
        <v>121.07</v>
      </c>
      <c r="Z70" s="62">
        <v>4.3112000000000004</v>
      </c>
      <c r="AA70" s="16">
        <v>45559</v>
      </c>
      <c r="AB70" s="18">
        <v>0.64295138888888892</v>
      </c>
      <c r="AC70">
        <v>0</v>
      </c>
      <c r="AD70">
        <v>0</v>
      </c>
      <c r="AE70">
        <v>0</v>
      </c>
      <c r="AF70" s="80">
        <f t="shared" ref="AF70:AF76" si="86">AF69</f>
        <v>4.3104199999999997</v>
      </c>
      <c r="AI70" t="s">
        <v>149</v>
      </c>
      <c r="AJ70">
        <v>1</v>
      </c>
      <c r="AK70" t="s">
        <v>7</v>
      </c>
      <c r="AL70">
        <v>9216</v>
      </c>
      <c r="AM70">
        <v>96</v>
      </c>
      <c r="AN70">
        <v>1</v>
      </c>
      <c r="AO70">
        <v>4</v>
      </c>
      <c r="AP70">
        <v>78.25</v>
      </c>
      <c r="AQ70" s="62">
        <v>6.6704999999999997</v>
      </c>
      <c r="AR70" s="16">
        <v>45559</v>
      </c>
      <c r="AS70" s="18">
        <v>0.60321759259259256</v>
      </c>
      <c r="AT70">
        <v>0</v>
      </c>
      <c r="AU70">
        <v>0</v>
      </c>
      <c r="AV70">
        <v>0</v>
      </c>
      <c r="AW70" s="80">
        <f t="shared" ref="AW70:AW73" si="87">AW69</f>
        <v>6.6588400000000005</v>
      </c>
      <c r="AZ70" t="s">
        <v>149</v>
      </c>
      <c r="BA70">
        <v>1</v>
      </c>
      <c r="BB70" t="s">
        <v>7</v>
      </c>
      <c r="BC70">
        <v>9216</v>
      </c>
      <c r="BD70">
        <v>96</v>
      </c>
      <c r="BE70">
        <v>1</v>
      </c>
      <c r="BF70">
        <v>4</v>
      </c>
      <c r="BG70">
        <v>130.01</v>
      </c>
      <c r="BH70" s="62">
        <v>4.0148000000000001</v>
      </c>
      <c r="BI70" s="16">
        <v>45559</v>
      </c>
      <c r="BJ70" s="18">
        <v>0.74976851851851856</v>
      </c>
      <c r="BK70">
        <v>0</v>
      </c>
      <c r="BL70">
        <v>0</v>
      </c>
      <c r="BM70">
        <v>0</v>
      </c>
      <c r="BN70" s="80">
        <f t="shared" ref="BN70:BN73" si="88">BN69</f>
        <v>3.8888799999999994</v>
      </c>
    </row>
    <row r="71" spans="1:66" x14ac:dyDescent="0.25">
      <c r="A71" t="s">
        <v>111</v>
      </c>
      <c r="B71">
        <v>2</v>
      </c>
      <c r="C71" t="s">
        <v>7</v>
      </c>
      <c r="D71">
        <v>9216</v>
      </c>
      <c r="E71">
        <v>96</v>
      </c>
      <c r="F71">
        <v>1</v>
      </c>
      <c r="G71">
        <v>4</v>
      </c>
      <c r="H71">
        <v>120.81</v>
      </c>
      <c r="I71" s="62">
        <v>4.3204000000000002</v>
      </c>
      <c r="J71" s="16">
        <v>45550</v>
      </c>
      <c r="K71" s="18">
        <v>6.9930555555555551E-2</v>
      </c>
      <c r="L71">
        <v>0</v>
      </c>
      <c r="M71">
        <v>0</v>
      </c>
      <c r="N71">
        <v>0</v>
      </c>
      <c r="O71" s="80">
        <f t="shared" si="14"/>
        <v>4.3222000000000005</v>
      </c>
      <c r="R71" t="s">
        <v>111</v>
      </c>
      <c r="S71">
        <v>2</v>
      </c>
      <c r="T71" t="s">
        <v>7</v>
      </c>
      <c r="U71">
        <v>9216</v>
      </c>
      <c r="V71">
        <v>96</v>
      </c>
      <c r="W71">
        <v>1</v>
      </c>
      <c r="X71">
        <v>4</v>
      </c>
      <c r="Y71">
        <v>121.14</v>
      </c>
      <c r="Z71" s="62">
        <v>4.3090000000000002</v>
      </c>
      <c r="AA71" s="16">
        <v>45559</v>
      </c>
      <c r="AB71" s="18">
        <v>0.71417824074074077</v>
      </c>
      <c r="AC71">
        <v>0</v>
      </c>
      <c r="AD71">
        <v>0</v>
      </c>
      <c r="AE71">
        <v>0</v>
      </c>
      <c r="AF71" s="80">
        <f t="shared" si="86"/>
        <v>4.3104199999999997</v>
      </c>
      <c r="AI71" t="s">
        <v>149</v>
      </c>
      <c r="AJ71">
        <v>2</v>
      </c>
      <c r="AK71" t="s">
        <v>7</v>
      </c>
      <c r="AL71">
        <v>9216</v>
      </c>
      <c r="AM71">
        <v>96</v>
      </c>
      <c r="AN71">
        <v>1</v>
      </c>
      <c r="AO71">
        <v>4</v>
      </c>
      <c r="AP71">
        <v>78.36</v>
      </c>
      <c r="AQ71" s="62">
        <v>6.6612</v>
      </c>
      <c r="AR71" s="16">
        <v>45559</v>
      </c>
      <c r="AS71" s="18">
        <v>0.65745370370370371</v>
      </c>
      <c r="AT71">
        <v>0</v>
      </c>
      <c r="AU71">
        <v>0</v>
      </c>
      <c r="AV71">
        <v>0</v>
      </c>
      <c r="AW71" s="80">
        <f t="shared" si="87"/>
        <v>6.6588400000000005</v>
      </c>
      <c r="AZ71" t="s">
        <v>149</v>
      </c>
      <c r="BA71">
        <v>2</v>
      </c>
      <c r="BB71" t="s">
        <v>7</v>
      </c>
      <c r="BC71">
        <v>9216</v>
      </c>
      <c r="BD71">
        <v>96</v>
      </c>
      <c r="BE71">
        <v>1</v>
      </c>
      <c r="BF71">
        <v>4</v>
      </c>
      <c r="BG71">
        <v>131.06</v>
      </c>
      <c r="BH71" s="62">
        <v>3.9824999999999999</v>
      </c>
      <c r="BI71" s="16">
        <v>45559</v>
      </c>
      <c r="BJ71" s="18">
        <v>0.8451967592592593</v>
      </c>
      <c r="BK71">
        <v>0</v>
      </c>
      <c r="BL71">
        <v>0</v>
      </c>
      <c r="BM71">
        <v>0</v>
      </c>
      <c r="BN71" s="80">
        <f t="shared" si="88"/>
        <v>3.8888799999999994</v>
      </c>
    </row>
    <row r="72" spans="1:66" x14ac:dyDescent="0.25">
      <c r="A72" t="s">
        <v>111</v>
      </c>
      <c r="B72">
        <v>3</v>
      </c>
      <c r="C72" t="s">
        <v>7</v>
      </c>
      <c r="D72">
        <v>9216</v>
      </c>
      <c r="E72">
        <v>96</v>
      </c>
      <c r="F72">
        <v>1</v>
      </c>
      <c r="G72">
        <v>4</v>
      </c>
      <c r="H72">
        <v>120.61</v>
      </c>
      <c r="I72" s="62">
        <v>4.3276000000000003</v>
      </c>
      <c r="J72" s="16">
        <v>45550</v>
      </c>
      <c r="K72" s="18">
        <v>0.14109953703703704</v>
      </c>
      <c r="L72">
        <v>0</v>
      </c>
      <c r="M72">
        <v>0</v>
      </c>
      <c r="N72">
        <v>0</v>
      </c>
      <c r="O72" s="80">
        <f t="shared" si="14"/>
        <v>4.3222000000000005</v>
      </c>
      <c r="R72" t="s">
        <v>111</v>
      </c>
      <c r="S72">
        <v>3</v>
      </c>
      <c r="T72" t="s">
        <v>7</v>
      </c>
      <c r="U72">
        <v>9216</v>
      </c>
      <c r="V72">
        <v>96</v>
      </c>
      <c r="W72">
        <v>1</v>
      </c>
      <c r="X72">
        <v>4</v>
      </c>
      <c r="Y72">
        <v>121</v>
      </c>
      <c r="Z72" s="62">
        <v>4.3139000000000003</v>
      </c>
      <c r="AA72" s="16">
        <v>45559</v>
      </c>
      <c r="AB72" s="18">
        <v>0.78546296296296292</v>
      </c>
      <c r="AC72">
        <v>0</v>
      </c>
      <c r="AD72">
        <v>0</v>
      </c>
      <c r="AE72">
        <v>0</v>
      </c>
      <c r="AF72" s="80">
        <f t="shared" si="86"/>
        <v>4.3104199999999997</v>
      </c>
      <c r="AI72" t="s">
        <v>149</v>
      </c>
      <c r="AJ72">
        <v>3</v>
      </c>
      <c r="AK72" t="s">
        <v>7</v>
      </c>
      <c r="AL72">
        <v>9216</v>
      </c>
      <c r="AM72">
        <v>96</v>
      </c>
      <c r="AN72">
        <v>1</v>
      </c>
      <c r="AO72">
        <v>4</v>
      </c>
      <c r="AP72">
        <v>78.66</v>
      </c>
      <c r="AQ72" s="62">
        <v>6.6353999999999997</v>
      </c>
      <c r="AR72" s="16">
        <v>45559</v>
      </c>
      <c r="AS72" s="18">
        <v>0.71159722222222221</v>
      </c>
      <c r="AT72">
        <v>0</v>
      </c>
      <c r="AU72">
        <v>0</v>
      </c>
      <c r="AV72">
        <v>0</v>
      </c>
      <c r="AW72" s="80">
        <f t="shared" si="87"/>
        <v>6.6588400000000005</v>
      </c>
      <c r="AZ72" t="s">
        <v>149</v>
      </c>
      <c r="BA72">
        <v>3</v>
      </c>
      <c r="BB72" t="s">
        <v>7</v>
      </c>
      <c r="BC72">
        <v>9216</v>
      </c>
      <c r="BD72">
        <v>96</v>
      </c>
      <c r="BE72">
        <v>1</v>
      </c>
      <c r="BF72">
        <v>4</v>
      </c>
      <c r="BG72">
        <v>135.12</v>
      </c>
      <c r="BH72" s="62">
        <v>3.863</v>
      </c>
      <c r="BI72" s="16">
        <v>45559</v>
      </c>
      <c r="BJ72" s="18">
        <v>0.94054398148148144</v>
      </c>
      <c r="BK72">
        <v>0</v>
      </c>
      <c r="BL72">
        <v>0</v>
      </c>
      <c r="BM72">
        <v>0</v>
      </c>
      <c r="BN72" s="80">
        <f t="shared" si="88"/>
        <v>3.8888799999999994</v>
      </c>
    </row>
    <row r="73" spans="1:66" x14ac:dyDescent="0.25">
      <c r="A73" t="s">
        <v>111</v>
      </c>
      <c r="B73">
        <v>4</v>
      </c>
      <c r="C73" t="s">
        <v>7</v>
      </c>
      <c r="D73">
        <v>9216</v>
      </c>
      <c r="E73">
        <v>96</v>
      </c>
      <c r="F73">
        <v>1</v>
      </c>
      <c r="G73">
        <v>4</v>
      </c>
      <c r="H73">
        <v>120.66</v>
      </c>
      <c r="I73" s="62">
        <v>4.3259999999999996</v>
      </c>
      <c r="J73" s="16">
        <v>45550</v>
      </c>
      <c r="K73" s="18">
        <v>0.21229166666666666</v>
      </c>
      <c r="L73">
        <v>0</v>
      </c>
      <c r="M73">
        <v>0</v>
      </c>
      <c r="N73">
        <v>0</v>
      </c>
      <c r="O73" s="80">
        <f t="shared" si="14"/>
        <v>4.3222000000000005</v>
      </c>
      <c r="R73" t="s">
        <v>111</v>
      </c>
      <c r="S73">
        <v>4</v>
      </c>
      <c r="T73" t="s">
        <v>7</v>
      </c>
      <c r="U73">
        <v>9216</v>
      </c>
      <c r="V73">
        <v>96</v>
      </c>
      <c r="W73">
        <v>1</v>
      </c>
      <c r="X73">
        <v>4</v>
      </c>
      <c r="Y73">
        <v>121.33</v>
      </c>
      <c r="Z73" s="62">
        <v>4.3019999999999996</v>
      </c>
      <c r="AA73" s="16">
        <v>45559</v>
      </c>
      <c r="AB73" s="18">
        <v>0.85659722222222223</v>
      </c>
      <c r="AC73">
        <v>0</v>
      </c>
      <c r="AD73">
        <v>0</v>
      </c>
      <c r="AE73">
        <v>0</v>
      </c>
      <c r="AF73" s="80">
        <f t="shared" si="86"/>
        <v>4.3104199999999997</v>
      </c>
      <c r="AI73" t="s">
        <v>149</v>
      </c>
      <c r="AJ73">
        <v>4</v>
      </c>
      <c r="AK73" t="s">
        <v>7</v>
      </c>
      <c r="AL73">
        <v>9216</v>
      </c>
      <c r="AM73">
        <v>96</v>
      </c>
      <c r="AN73">
        <v>1</v>
      </c>
      <c r="AO73">
        <v>4</v>
      </c>
      <c r="AP73">
        <v>78.48</v>
      </c>
      <c r="AQ73" s="62">
        <v>6.6509999999999998</v>
      </c>
      <c r="AR73" s="16">
        <v>45559</v>
      </c>
      <c r="AS73" s="18">
        <v>0.76591435185185186</v>
      </c>
      <c r="AT73">
        <v>0</v>
      </c>
      <c r="AU73">
        <v>0</v>
      </c>
      <c r="AV73">
        <v>0</v>
      </c>
      <c r="AW73" s="80">
        <f t="shared" si="87"/>
        <v>6.6588400000000005</v>
      </c>
      <c r="AZ73" t="s">
        <v>149</v>
      </c>
      <c r="BA73">
        <v>4</v>
      </c>
      <c r="BB73" t="s">
        <v>7</v>
      </c>
      <c r="BC73">
        <v>9216</v>
      </c>
      <c r="BD73">
        <v>96</v>
      </c>
      <c r="BE73">
        <v>1</v>
      </c>
      <c r="BF73">
        <v>4</v>
      </c>
      <c r="BG73">
        <v>135.37</v>
      </c>
      <c r="BH73" s="62">
        <v>3.8557999999999999</v>
      </c>
      <c r="BI73" s="16">
        <v>45560</v>
      </c>
      <c r="BJ73" s="18">
        <v>3.6354166666666667E-2</v>
      </c>
      <c r="BK73">
        <v>0</v>
      </c>
      <c r="BL73">
        <v>0</v>
      </c>
      <c r="BM73">
        <v>0</v>
      </c>
      <c r="BN73" s="80">
        <f t="shared" si="88"/>
        <v>3.8888799999999994</v>
      </c>
    </row>
    <row r="74" spans="1:66" x14ac:dyDescent="0.25">
      <c r="A74" t="s">
        <v>111</v>
      </c>
      <c r="B74">
        <v>0</v>
      </c>
      <c r="C74" t="s">
        <v>7</v>
      </c>
      <c r="D74">
        <v>9792</v>
      </c>
      <c r="E74">
        <v>96</v>
      </c>
      <c r="F74">
        <v>1</v>
      </c>
      <c r="G74">
        <v>4</v>
      </c>
      <c r="H74">
        <v>134.69</v>
      </c>
      <c r="I74" s="62">
        <v>4.6481000000000003</v>
      </c>
      <c r="J74" s="16">
        <v>45549</v>
      </c>
      <c r="K74" s="18">
        <v>0.9526041666666667</v>
      </c>
      <c r="L74">
        <v>0</v>
      </c>
      <c r="M74">
        <v>0</v>
      </c>
      <c r="N74">
        <v>0</v>
      </c>
      <c r="O74" s="80">
        <f t="shared" ref="O74" si="89">AVERAGE(I74:I78)</f>
        <v>4.65496</v>
      </c>
      <c r="R74" t="s">
        <v>111</v>
      </c>
      <c r="S74">
        <v>0</v>
      </c>
      <c r="T74" t="s">
        <v>7</v>
      </c>
      <c r="U74">
        <v>9792</v>
      </c>
      <c r="V74">
        <v>96</v>
      </c>
      <c r="W74">
        <v>1</v>
      </c>
      <c r="X74">
        <v>4</v>
      </c>
      <c r="Y74">
        <v>134.13999999999999</v>
      </c>
      <c r="Z74" s="62">
        <v>4.6673999999999998</v>
      </c>
      <c r="AA74" s="16">
        <v>45559</v>
      </c>
      <c r="AB74" s="18">
        <v>0.5967824074074074</v>
      </c>
      <c r="AC74">
        <v>0</v>
      </c>
      <c r="AD74">
        <v>0</v>
      </c>
      <c r="AE74">
        <v>0</v>
      </c>
      <c r="AF74" s="80">
        <f t="shared" si="86"/>
        <v>4.3104199999999997</v>
      </c>
      <c r="AI74" t="s">
        <v>149</v>
      </c>
      <c r="AJ74">
        <v>0</v>
      </c>
      <c r="AK74" t="s">
        <v>7</v>
      </c>
      <c r="AL74">
        <v>9792</v>
      </c>
      <c r="AM74">
        <v>96</v>
      </c>
      <c r="AN74">
        <v>1</v>
      </c>
      <c r="AO74">
        <v>4</v>
      </c>
      <c r="AP74">
        <v>91.92</v>
      </c>
      <c r="AQ74" s="62">
        <v>6.8108000000000004</v>
      </c>
      <c r="AR74" s="16">
        <v>45559</v>
      </c>
      <c r="AS74" s="18">
        <v>0.56797453703703704</v>
      </c>
      <c r="AT74">
        <v>0</v>
      </c>
      <c r="AU74">
        <v>0</v>
      </c>
      <c r="AV74">
        <v>0</v>
      </c>
      <c r="AW74" s="80">
        <f t="shared" ref="AW74" si="90">AVERAGE(AQ74:AQ78)</f>
        <v>6.7698000000000009</v>
      </c>
      <c r="AZ74" t="s">
        <v>149</v>
      </c>
      <c r="BA74">
        <v>0</v>
      </c>
      <c r="BB74" t="s">
        <v>7</v>
      </c>
      <c r="BC74">
        <v>9792</v>
      </c>
      <c r="BD74">
        <v>96</v>
      </c>
      <c r="BE74">
        <v>1</v>
      </c>
      <c r="BF74">
        <v>4</v>
      </c>
      <c r="BG74">
        <v>150.15</v>
      </c>
      <c r="BH74" s="62">
        <v>4.1698000000000004</v>
      </c>
      <c r="BI74" s="16">
        <v>45559</v>
      </c>
      <c r="BJ74" s="18">
        <v>0.68708333333333338</v>
      </c>
      <c r="BK74">
        <v>0</v>
      </c>
      <c r="BL74">
        <v>0</v>
      </c>
      <c r="BM74">
        <v>0</v>
      </c>
      <c r="BN74" s="80">
        <f t="shared" ref="BN74" si="91">AVERAGE(BH74:BH78)</f>
        <v>4.0993399999999998</v>
      </c>
    </row>
    <row r="75" spans="1:66" x14ac:dyDescent="0.25">
      <c r="A75" t="s">
        <v>111</v>
      </c>
      <c r="B75">
        <v>1</v>
      </c>
      <c r="C75" t="s">
        <v>7</v>
      </c>
      <c r="D75">
        <v>9792</v>
      </c>
      <c r="E75">
        <v>96</v>
      </c>
      <c r="F75">
        <v>1</v>
      </c>
      <c r="G75">
        <v>4</v>
      </c>
      <c r="H75">
        <v>134.38999999999999</v>
      </c>
      <c r="I75" s="62">
        <v>4.6585999999999999</v>
      </c>
      <c r="J75" s="16">
        <v>45550</v>
      </c>
      <c r="K75" s="18">
        <v>2.3842592592592592E-2</v>
      </c>
      <c r="L75">
        <v>0</v>
      </c>
      <c r="M75">
        <v>0</v>
      </c>
      <c r="N75">
        <v>0</v>
      </c>
      <c r="O75" s="80">
        <f t="shared" ref="O75" si="92">O74</f>
        <v>4.65496</v>
      </c>
      <c r="R75" t="s">
        <v>111</v>
      </c>
      <c r="S75">
        <v>1</v>
      </c>
      <c r="T75" t="s">
        <v>7</v>
      </c>
      <c r="U75">
        <v>9792</v>
      </c>
      <c r="V75">
        <v>96</v>
      </c>
      <c r="W75">
        <v>1</v>
      </c>
      <c r="X75">
        <v>4</v>
      </c>
      <c r="Y75">
        <v>134.11000000000001</v>
      </c>
      <c r="Z75" s="62">
        <v>4.6683000000000003</v>
      </c>
      <c r="AA75" s="16">
        <v>45559</v>
      </c>
      <c r="AB75" s="18">
        <v>0.66802083333333329</v>
      </c>
      <c r="AC75">
        <v>0</v>
      </c>
      <c r="AD75">
        <v>0</v>
      </c>
      <c r="AE75">
        <v>0</v>
      </c>
      <c r="AF75" s="80">
        <f t="shared" si="86"/>
        <v>4.3104199999999997</v>
      </c>
      <c r="AI75" t="s">
        <v>149</v>
      </c>
      <c r="AJ75">
        <v>1</v>
      </c>
      <c r="AK75" t="s">
        <v>7</v>
      </c>
      <c r="AL75">
        <v>9792</v>
      </c>
      <c r="AM75">
        <v>96</v>
      </c>
      <c r="AN75">
        <v>1</v>
      </c>
      <c r="AO75">
        <v>4</v>
      </c>
      <c r="AP75">
        <v>92.99</v>
      </c>
      <c r="AQ75" s="62">
        <v>6.7327000000000004</v>
      </c>
      <c r="AR75" s="16">
        <v>45559</v>
      </c>
      <c r="AS75" s="18">
        <v>0.62214120370370374</v>
      </c>
      <c r="AT75">
        <v>0</v>
      </c>
      <c r="AU75">
        <v>0</v>
      </c>
      <c r="AV75">
        <v>0</v>
      </c>
      <c r="AW75" s="80">
        <f t="shared" ref="AW75:AW78" si="93">AW74</f>
        <v>6.7698000000000009</v>
      </c>
      <c r="AZ75" t="s">
        <v>149</v>
      </c>
      <c r="BA75">
        <v>1</v>
      </c>
      <c r="BB75" t="s">
        <v>7</v>
      </c>
      <c r="BC75">
        <v>9792</v>
      </c>
      <c r="BD75">
        <v>96</v>
      </c>
      <c r="BE75">
        <v>1</v>
      </c>
      <c r="BF75">
        <v>4</v>
      </c>
      <c r="BG75">
        <v>146.26</v>
      </c>
      <c r="BH75" s="62">
        <v>4.2804000000000002</v>
      </c>
      <c r="BI75" s="16">
        <v>45559</v>
      </c>
      <c r="BJ75" s="18">
        <v>0.78266203703703707</v>
      </c>
      <c r="BK75">
        <v>0</v>
      </c>
      <c r="BL75">
        <v>0</v>
      </c>
      <c r="BM75">
        <v>0</v>
      </c>
      <c r="BN75" s="80">
        <f t="shared" ref="BN75:BN78" si="94">BN74</f>
        <v>4.0993399999999998</v>
      </c>
    </row>
    <row r="76" spans="1:66" x14ac:dyDescent="0.25">
      <c r="A76" t="s">
        <v>111</v>
      </c>
      <c r="B76">
        <v>2</v>
      </c>
      <c r="C76" t="s">
        <v>7</v>
      </c>
      <c r="D76">
        <v>9792</v>
      </c>
      <c r="E76">
        <v>96</v>
      </c>
      <c r="F76">
        <v>1</v>
      </c>
      <c r="G76">
        <v>4</v>
      </c>
      <c r="H76">
        <v>134.58000000000001</v>
      </c>
      <c r="I76" s="62">
        <v>4.6520000000000001</v>
      </c>
      <c r="J76" s="16">
        <v>45550</v>
      </c>
      <c r="K76" s="18">
        <v>9.4965277777777773E-2</v>
      </c>
      <c r="L76">
        <v>0</v>
      </c>
      <c r="M76">
        <v>0</v>
      </c>
      <c r="N76">
        <v>0</v>
      </c>
      <c r="O76" s="80">
        <f t="shared" si="14"/>
        <v>4.65496</v>
      </c>
      <c r="R76" t="s">
        <v>111</v>
      </c>
      <c r="S76">
        <v>2</v>
      </c>
      <c r="T76" t="s">
        <v>7</v>
      </c>
      <c r="U76">
        <v>9792</v>
      </c>
      <c r="V76">
        <v>96</v>
      </c>
      <c r="W76">
        <v>1</v>
      </c>
      <c r="X76">
        <v>4</v>
      </c>
      <c r="Y76">
        <v>134.16</v>
      </c>
      <c r="Z76" s="62">
        <v>4.6665000000000001</v>
      </c>
      <c r="AA76" s="16">
        <v>45559</v>
      </c>
      <c r="AB76" s="18">
        <v>0.73927083333333332</v>
      </c>
      <c r="AC76">
        <v>0</v>
      </c>
      <c r="AD76">
        <v>0</v>
      </c>
      <c r="AE76">
        <v>0</v>
      </c>
      <c r="AF76" s="80">
        <f t="shared" si="86"/>
        <v>4.3104199999999997</v>
      </c>
      <c r="AI76" t="s">
        <v>149</v>
      </c>
      <c r="AJ76">
        <v>2</v>
      </c>
      <c r="AK76" t="s">
        <v>7</v>
      </c>
      <c r="AL76">
        <v>9792</v>
      </c>
      <c r="AM76">
        <v>96</v>
      </c>
      <c r="AN76">
        <v>1</v>
      </c>
      <c r="AO76">
        <v>4</v>
      </c>
      <c r="AP76">
        <v>93.4</v>
      </c>
      <c r="AQ76" s="62">
        <v>6.7030000000000003</v>
      </c>
      <c r="AR76" s="16">
        <v>45559</v>
      </c>
      <c r="AS76" s="18">
        <v>0.67638888888888893</v>
      </c>
      <c r="AT76">
        <v>0</v>
      </c>
      <c r="AU76">
        <v>0</v>
      </c>
      <c r="AV76">
        <v>0</v>
      </c>
      <c r="AW76" s="80">
        <f t="shared" si="93"/>
        <v>6.7698000000000009</v>
      </c>
      <c r="AZ76" t="s">
        <v>149</v>
      </c>
      <c r="BA76">
        <v>2</v>
      </c>
      <c r="BB76" t="s">
        <v>7</v>
      </c>
      <c r="BC76">
        <v>9792</v>
      </c>
      <c r="BD76">
        <v>96</v>
      </c>
      <c r="BE76">
        <v>1</v>
      </c>
      <c r="BF76">
        <v>4</v>
      </c>
      <c r="BG76">
        <v>157.99</v>
      </c>
      <c r="BH76" s="62">
        <v>3.9628000000000001</v>
      </c>
      <c r="BI76" s="16">
        <v>45559</v>
      </c>
      <c r="BJ76" s="18">
        <v>0.87821759259259258</v>
      </c>
      <c r="BK76">
        <v>0</v>
      </c>
      <c r="BL76">
        <v>0</v>
      </c>
      <c r="BM76">
        <v>0</v>
      </c>
      <c r="BN76" s="80">
        <f t="shared" si="94"/>
        <v>4.0993399999999998</v>
      </c>
    </row>
    <row r="77" spans="1:66" x14ac:dyDescent="0.25">
      <c r="A77" t="s">
        <v>111</v>
      </c>
      <c r="B77">
        <v>3</v>
      </c>
      <c r="C77" t="s">
        <v>7</v>
      </c>
      <c r="D77">
        <v>9792</v>
      </c>
      <c r="E77">
        <v>96</v>
      </c>
      <c r="F77">
        <v>1</v>
      </c>
      <c r="G77">
        <v>4</v>
      </c>
      <c r="H77">
        <v>134.37</v>
      </c>
      <c r="I77" s="62">
        <v>4.6593999999999998</v>
      </c>
      <c r="J77" s="16">
        <v>45550</v>
      </c>
      <c r="K77" s="18">
        <v>0.16613425925925926</v>
      </c>
      <c r="L77">
        <v>0</v>
      </c>
      <c r="M77">
        <v>0</v>
      </c>
      <c r="N77">
        <v>0</v>
      </c>
      <c r="O77" s="80">
        <f t="shared" si="14"/>
        <v>4.65496</v>
      </c>
      <c r="R77" t="s">
        <v>111</v>
      </c>
      <c r="S77">
        <v>3</v>
      </c>
      <c r="T77" t="s">
        <v>7</v>
      </c>
      <c r="U77">
        <v>9792</v>
      </c>
      <c r="V77">
        <v>96</v>
      </c>
      <c r="W77">
        <v>1</v>
      </c>
      <c r="X77">
        <v>4</v>
      </c>
      <c r="Y77">
        <v>134.22</v>
      </c>
      <c r="Z77" s="62">
        <v>4.6643999999999997</v>
      </c>
      <c r="AA77" s="16">
        <v>45559</v>
      </c>
      <c r="AB77" s="18">
        <v>0.81062500000000004</v>
      </c>
      <c r="AC77">
        <v>0</v>
      </c>
      <c r="AD77">
        <v>0</v>
      </c>
      <c r="AE77">
        <v>0</v>
      </c>
      <c r="AF77" s="80">
        <f>AVERAGE(Z77:Z81)</f>
        <v>4.74824</v>
      </c>
      <c r="AI77" t="s">
        <v>149</v>
      </c>
      <c r="AJ77">
        <v>3</v>
      </c>
      <c r="AK77" t="s">
        <v>7</v>
      </c>
      <c r="AL77">
        <v>9792</v>
      </c>
      <c r="AM77">
        <v>96</v>
      </c>
      <c r="AN77">
        <v>1</v>
      </c>
      <c r="AO77">
        <v>4</v>
      </c>
      <c r="AP77">
        <v>92.11</v>
      </c>
      <c r="AQ77" s="62">
        <v>6.7969999999999997</v>
      </c>
      <c r="AR77" s="16">
        <v>45559</v>
      </c>
      <c r="AS77" s="18">
        <v>0.73053240740740744</v>
      </c>
      <c r="AT77">
        <v>0</v>
      </c>
      <c r="AU77">
        <v>0</v>
      </c>
      <c r="AV77">
        <v>0</v>
      </c>
      <c r="AW77" s="80">
        <f t="shared" si="93"/>
        <v>6.7698000000000009</v>
      </c>
      <c r="AZ77" t="s">
        <v>149</v>
      </c>
      <c r="BA77">
        <v>3</v>
      </c>
      <c r="BB77" t="s">
        <v>7</v>
      </c>
      <c r="BC77">
        <v>9792</v>
      </c>
      <c r="BD77">
        <v>96</v>
      </c>
      <c r="BE77">
        <v>1</v>
      </c>
      <c r="BF77">
        <v>4</v>
      </c>
      <c r="BG77">
        <v>154.85</v>
      </c>
      <c r="BH77" s="62">
        <v>4.0430999999999999</v>
      </c>
      <c r="BI77" s="16">
        <v>45559</v>
      </c>
      <c r="BJ77" s="18">
        <v>0.97361111111111109</v>
      </c>
      <c r="BK77">
        <v>0</v>
      </c>
      <c r="BL77">
        <v>0</v>
      </c>
      <c r="BM77">
        <v>0</v>
      </c>
      <c r="BN77" s="80">
        <f t="shared" si="94"/>
        <v>4.0993399999999998</v>
      </c>
    </row>
    <row r="78" spans="1:66" x14ac:dyDescent="0.25">
      <c r="A78" t="s">
        <v>111</v>
      </c>
      <c r="B78">
        <v>4</v>
      </c>
      <c r="C78" t="s">
        <v>7</v>
      </c>
      <c r="D78">
        <v>9792</v>
      </c>
      <c r="E78">
        <v>96</v>
      </c>
      <c r="F78">
        <v>1</v>
      </c>
      <c r="G78">
        <v>4</v>
      </c>
      <c r="H78">
        <v>134.44</v>
      </c>
      <c r="I78" s="62">
        <v>4.6566999999999998</v>
      </c>
      <c r="J78" s="16">
        <v>45550</v>
      </c>
      <c r="K78" s="18">
        <v>0.23732638888888888</v>
      </c>
      <c r="L78">
        <v>0</v>
      </c>
      <c r="M78">
        <v>0</v>
      </c>
      <c r="N78">
        <v>0</v>
      </c>
      <c r="O78" s="80">
        <f t="shared" si="14"/>
        <v>4.65496</v>
      </c>
      <c r="R78" t="s">
        <v>111</v>
      </c>
      <c r="S78">
        <v>4</v>
      </c>
      <c r="T78" t="s">
        <v>7</v>
      </c>
      <c r="U78">
        <v>9792</v>
      </c>
      <c r="V78">
        <v>96</v>
      </c>
      <c r="W78">
        <v>1</v>
      </c>
      <c r="X78">
        <v>4</v>
      </c>
      <c r="Y78">
        <v>134.12</v>
      </c>
      <c r="Z78" s="62">
        <v>4.6679000000000004</v>
      </c>
      <c r="AA78" s="16">
        <v>45559</v>
      </c>
      <c r="AB78" s="18">
        <v>0.88156250000000003</v>
      </c>
      <c r="AC78">
        <v>0</v>
      </c>
      <c r="AD78">
        <v>0</v>
      </c>
      <c r="AE78">
        <v>0</v>
      </c>
      <c r="AF78" s="80">
        <f>AF77</f>
        <v>4.74824</v>
      </c>
      <c r="AI78" t="s">
        <v>149</v>
      </c>
      <c r="AJ78">
        <v>4</v>
      </c>
      <c r="AK78" t="s">
        <v>7</v>
      </c>
      <c r="AL78">
        <v>9792</v>
      </c>
      <c r="AM78">
        <v>96</v>
      </c>
      <c r="AN78">
        <v>1</v>
      </c>
      <c r="AO78">
        <v>4</v>
      </c>
      <c r="AP78">
        <v>91.99</v>
      </c>
      <c r="AQ78" s="62">
        <v>6.8055000000000003</v>
      </c>
      <c r="AR78" s="16">
        <v>45559</v>
      </c>
      <c r="AS78" s="18">
        <v>0.78484953703703708</v>
      </c>
      <c r="AT78">
        <v>0</v>
      </c>
      <c r="AU78">
        <v>0</v>
      </c>
      <c r="AV78">
        <v>0</v>
      </c>
      <c r="AW78" s="80">
        <f t="shared" si="93"/>
        <v>6.7698000000000009</v>
      </c>
      <c r="AZ78" t="s">
        <v>149</v>
      </c>
      <c r="BA78">
        <v>4</v>
      </c>
      <c r="BB78" t="s">
        <v>7</v>
      </c>
      <c r="BC78">
        <v>9792</v>
      </c>
      <c r="BD78">
        <v>96</v>
      </c>
      <c r="BE78">
        <v>1</v>
      </c>
      <c r="BF78">
        <v>4</v>
      </c>
      <c r="BG78">
        <v>154.94</v>
      </c>
      <c r="BH78" s="62">
        <v>4.0406000000000004</v>
      </c>
      <c r="BI78" s="16">
        <v>45560</v>
      </c>
      <c r="BJ78" s="18">
        <v>6.9467592592592595E-2</v>
      </c>
      <c r="BK78">
        <v>0</v>
      </c>
      <c r="BL78">
        <v>0</v>
      </c>
      <c r="BM78">
        <v>0</v>
      </c>
      <c r="BN78" s="80">
        <f t="shared" si="94"/>
        <v>4.0993399999999998</v>
      </c>
    </row>
    <row r="79" spans="1:66" x14ac:dyDescent="0.25">
      <c r="A79" t="s">
        <v>111</v>
      </c>
      <c r="B79">
        <v>0</v>
      </c>
      <c r="C79" t="s">
        <v>7</v>
      </c>
      <c r="D79">
        <v>8736</v>
      </c>
      <c r="E79">
        <v>96</v>
      </c>
      <c r="F79">
        <v>2</v>
      </c>
      <c r="G79">
        <v>2</v>
      </c>
      <c r="H79">
        <v>92.8</v>
      </c>
      <c r="I79" s="62">
        <v>4.7907000000000002</v>
      </c>
      <c r="J79" s="16">
        <v>45549</v>
      </c>
      <c r="K79" s="18">
        <v>0.90746527777777775</v>
      </c>
      <c r="L79">
        <v>0</v>
      </c>
      <c r="M79">
        <v>0</v>
      </c>
      <c r="N79">
        <v>0</v>
      </c>
      <c r="O79" s="80">
        <f t="shared" ref="O79" si="95">AVERAGE(I79:I83)</f>
        <v>4.8021600000000007</v>
      </c>
      <c r="R79" t="s">
        <v>111</v>
      </c>
      <c r="S79">
        <v>0</v>
      </c>
      <c r="T79" t="s">
        <v>7</v>
      </c>
      <c r="U79">
        <v>8736</v>
      </c>
      <c r="V79">
        <v>96</v>
      </c>
      <c r="W79">
        <v>2</v>
      </c>
      <c r="X79">
        <v>2</v>
      </c>
      <c r="Y79">
        <v>92.59</v>
      </c>
      <c r="Z79" s="62">
        <v>4.8017000000000003</v>
      </c>
      <c r="AA79" s="16">
        <v>45559</v>
      </c>
      <c r="AB79" s="18">
        <v>0.55158564814814814</v>
      </c>
      <c r="AC79">
        <v>0</v>
      </c>
      <c r="AD79">
        <v>0</v>
      </c>
      <c r="AE79">
        <v>0</v>
      </c>
      <c r="AF79" s="80">
        <f>AVERAGE(Z79:Z83)</f>
        <v>4.7931799999999996</v>
      </c>
      <c r="AI79" t="s">
        <v>149</v>
      </c>
      <c r="AJ79">
        <v>0</v>
      </c>
      <c r="AK79" t="s">
        <v>7</v>
      </c>
      <c r="AL79">
        <v>8736</v>
      </c>
      <c r="AM79">
        <v>96</v>
      </c>
      <c r="AN79">
        <v>2</v>
      </c>
      <c r="AO79">
        <v>2</v>
      </c>
      <c r="AP79">
        <v>68.099999999999994</v>
      </c>
      <c r="AQ79" s="62">
        <v>6.5288000000000004</v>
      </c>
      <c r="AR79" s="16">
        <v>45559</v>
      </c>
      <c r="AS79" s="18">
        <v>0.53383101851851855</v>
      </c>
      <c r="AT79">
        <v>0</v>
      </c>
      <c r="AU79">
        <v>0</v>
      </c>
      <c r="AV79">
        <v>0</v>
      </c>
      <c r="AW79" s="80">
        <f t="shared" ref="AW79" si="96">AVERAGE(AQ79:AQ83)</f>
        <v>6.5043999999999995</v>
      </c>
      <c r="AZ79" t="s">
        <v>149</v>
      </c>
      <c r="BA79">
        <v>0</v>
      </c>
      <c r="BB79" t="s">
        <v>7</v>
      </c>
      <c r="BC79">
        <v>8736</v>
      </c>
      <c r="BD79">
        <v>96</v>
      </c>
      <c r="BE79">
        <v>2</v>
      </c>
      <c r="BF79">
        <v>2</v>
      </c>
      <c r="BG79">
        <v>142.02000000000001</v>
      </c>
      <c r="BH79" s="62">
        <v>3.1303999999999998</v>
      </c>
      <c r="BI79" s="16">
        <v>45559</v>
      </c>
      <c r="BJ79" s="18">
        <v>0.62677083333333339</v>
      </c>
      <c r="BK79">
        <v>0</v>
      </c>
      <c r="BL79">
        <v>0</v>
      </c>
      <c r="BM79">
        <v>0</v>
      </c>
      <c r="BN79" s="80">
        <f t="shared" ref="BN79" si="97">AVERAGE(BH79:BH83)</f>
        <v>3.2498999999999993</v>
      </c>
    </row>
    <row r="80" spans="1:66" x14ac:dyDescent="0.25">
      <c r="A80" t="s">
        <v>111</v>
      </c>
      <c r="B80">
        <v>1</v>
      </c>
      <c r="C80" t="s">
        <v>7</v>
      </c>
      <c r="D80">
        <v>8736</v>
      </c>
      <c r="E80">
        <v>96</v>
      </c>
      <c r="F80">
        <v>2</v>
      </c>
      <c r="G80">
        <v>2</v>
      </c>
      <c r="H80">
        <v>92.32</v>
      </c>
      <c r="I80" s="62">
        <v>4.8156999999999996</v>
      </c>
      <c r="J80" s="16">
        <v>45549</v>
      </c>
      <c r="K80" s="18">
        <v>0.97873842592592597</v>
      </c>
      <c r="L80">
        <v>0</v>
      </c>
      <c r="M80">
        <v>0</v>
      </c>
      <c r="N80">
        <v>0</v>
      </c>
      <c r="O80" s="80">
        <f t="shared" ref="O80:O143" si="98">O79</f>
        <v>4.8021600000000007</v>
      </c>
      <c r="R80" t="s">
        <v>111</v>
      </c>
      <c r="S80">
        <v>1</v>
      </c>
      <c r="T80" t="s">
        <v>7</v>
      </c>
      <c r="U80">
        <v>8736</v>
      </c>
      <c r="V80">
        <v>96</v>
      </c>
      <c r="W80">
        <v>2</v>
      </c>
      <c r="X80">
        <v>2</v>
      </c>
      <c r="Y80">
        <v>92.52</v>
      </c>
      <c r="Z80" s="62">
        <v>4.8052999999999999</v>
      </c>
      <c r="AA80" s="16">
        <v>45559</v>
      </c>
      <c r="AB80" s="18">
        <v>0.62282407407407403</v>
      </c>
      <c r="AC80">
        <v>0</v>
      </c>
      <c r="AD80">
        <v>0</v>
      </c>
      <c r="AE80">
        <v>0</v>
      </c>
      <c r="AF80" s="80">
        <f t="shared" ref="AF80:AF86" si="99">AF79</f>
        <v>4.7931799999999996</v>
      </c>
      <c r="AI80" t="s">
        <v>149</v>
      </c>
      <c r="AJ80">
        <v>1</v>
      </c>
      <c r="AK80" t="s">
        <v>7</v>
      </c>
      <c r="AL80">
        <v>8736</v>
      </c>
      <c r="AM80">
        <v>96</v>
      </c>
      <c r="AN80">
        <v>2</v>
      </c>
      <c r="AO80">
        <v>2</v>
      </c>
      <c r="AP80">
        <v>68.430000000000007</v>
      </c>
      <c r="AQ80" s="62">
        <v>6.4973000000000001</v>
      </c>
      <c r="AR80" s="16">
        <v>45559</v>
      </c>
      <c r="AS80" s="18">
        <v>0.58796296296296291</v>
      </c>
      <c r="AT80">
        <v>0</v>
      </c>
      <c r="AU80">
        <v>0</v>
      </c>
      <c r="AV80">
        <v>0</v>
      </c>
      <c r="AW80" s="80">
        <f t="shared" ref="AW80:AW83" si="100">AW79</f>
        <v>6.5043999999999995</v>
      </c>
      <c r="AZ80" t="s">
        <v>149</v>
      </c>
      <c r="BA80">
        <v>1</v>
      </c>
      <c r="BB80" t="s">
        <v>7</v>
      </c>
      <c r="BC80">
        <v>8736</v>
      </c>
      <c r="BD80">
        <v>96</v>
      </c>
      <c r="BE80">
        <v>2</v>
      </c>
      <c r="BF80">
        <v>2</v>
      </c>
      <c r="BG80">
        <v>129.26</v>
      </c>
      <c r="BH80" s="62">
        <v>3.4394999999999998</v>
      </c>
      <c r="BI80" s="16">
        <v>45559</v>
      </c>
      <c r="BJ80" s="18">
        <v>0.72211805555555553</v>
      </c>
      <c r="BK80">
        <v>0</v>
      </c>
      <c r="BL80">
        <v>0</v>
      </c>
      <c r="BM80">
        <v>0</v>
      </c>
      <c r="BN80" s="80">
        <f t="shared" ref="BN80:BN83" si="101">BN79</f>
        <v>3.2498999999999993</v>
      </c>
    </row>
    <row r="81" spans="1:66" x14ac:dyDescent="0.25">
      <c r="A81" t="s">
        <v>111</v>
      </c>
      <c r="B81">
        <v>2</v>
      </c>
      <c r="C81" t="s">
        <v>7</v>
      </c>
      <c r="D81">
        <v>8736</v>
      </c>
      <c r="E81">
        <v>96</v>
      </c>
      <c r="F81">
        <v>2</v>
      </c>
      <c r="G81">
        <v>2</v>
      </c>
      <c r="H81">
        <v>92.54</v>
      </c>
      <c r="I81" s="62">
        <v>4.8045</v>
      </c>
      <c r="J81" s="16">
        <v>45550</v>
      </c>
      <c r="K81" s="18">
        <v>4.988425925925926E-2</v>
      </c>
      <c r="L81">
        <v>0</v>
      </c>
      <c r="M81">
        <v>0</v>
      </c>
      <c r="N81">
        <v>0</v>
      </c>
      <c r="O81" s="80">
        <f t="shared" si="98"/>
        <v>4.8021600000000007</v>
      </c>
      <c r="R81" t="s">
        <v>111</v>
      </c>
      <c r="S81">
        <v>2</v>
      </c>
      <c r="T81" t="s">
        <v>7</v>
      </c>
      <c r="U81">
        <v>8736</v>
      </c>
      <c r="V81">
        <v>96</v>
      </c>
      <c r="W81">
        <v>2</v>
      </c>
      <c r="X81">
        <v>2</v>
      </c>
      <c r="Y81">
        <v>92.59</v>
      </c>
      <c r="Z81" s="62">
        <v>4.8018999999999998</v>
      </c>
      <c r="AA81" s="16">
        <v>45559</v>
      </c>
      <c r="AB81" s="18">
        <v>0.69407407407407407</v>
      </c>
      <c r="AC81">
        <v>0</v>
      </c>
      <c r="AD81">
        <v>0</v>
      </c>
      <c r="AE81">
        <v>0</v>
      </c>
      <c r="AF81" s="80">
        <f t="shared" si="99"/>
        <v>4.7931799999999996</v>
      </c>
      <c r="AI81" t="s">
        <v>149</v>
      </c>
      <c r="AJ81">
        <v>2</v>
      </c>
      <c r="AK81" t="s">
        <v>7</v>
      </c>
      <c r="AL81">
        <v>8736</v>
      </c>
      <c r="AM81">
        <v>96</v>
      </c>
      <c r="AN81">
        <v>2</v>
      </c>
      <c r="AO81">
        <v>2</v>
      </c>
      <c r="AP81">
        <v>68.75</v>
      </c>
      <c r="AQ81" s="62">
        <v>6.4672000000000001</v>
      </c>
      <c r="AR81" s="16">
        <v>45559</v>
      </c>
      <c r="AS81" s="18">
        <v>0.64218750000000002</v>
      </c>
      <c r="AT81">
        <v>0</v>
      </c>
      <c r="AU81">
        <v>0</v>
      </c>
      <c r="AV81">
        <v>0</v>
      </c>
      <c r="AW81" s="80">
        <f t="shared" si="100"/>
        <v>6.5043999999999995</v>
      </c>
      <c r="AZ81" t="s">
        <v>149</v>
      </c>
      <c r="BA81">
        <v>2</v>
      </c>
      <c r="BB81" t="s">
        <v>7</v>
      </c>
      <c r="BC81">
        <v>8736</v>
      </c>
      <c r="BD81">
        <v>96</v>
      </c>
      <c r="BE81">
        <v>2</v>
      </c>
      <c r="BF81">
        <v>2</v>
      </c>
      <c r="BG81">
        <v>139.56</v>
      </c>
      <c r="BH81" s="62">
        <v>3.1857000000000002</v>
      </c>
      <c r="BI81" s="16">
        <v>45559</v>
      </c>
      <c r="BJ81" s="18">
        <v>0.81759259259259254</v>
      </c>
      <c r="BK81">
        <v>0</v>
      </c>
      <c r="BL81">
        <v>0</v>
      </c>
      <c r="BM81">
        <v>0</v>
      </c>
      <c r="BN81" s="80">
        <f t="shared" si="101"/>
        <v>3.2498999999999993</v>
      </c>
    </row>
    <row r="82" spans="1:66" x14ac:dyDescent="0.25">
      <c r="A82" t="s">
        <v>111</v>
      </c>
      <c r="B82">
        <v>3</v>
      </c>
      <c r="C82" t="s">
        <v>7</v>
      </c>
      <c r="D82">
        <v>8736</v>
      </c>
      <c r="E82">
        <v>96</v>
      </c>
      <c r="F82">
        <v>2</v>
      </c>
      <c r="G82">
        <v>2</v>
      </c>
      <c r="H82">
        <v>92.8</v>
      </c>
      <c r="I82" s="62">
        <v>4.7908999999999997</v>
      </c>
      <c r="J82" s="16">
        <v>45550</v>
      </c>
      <c r="K82" s="18">
        <v>0.12105324074074074</v>
      </c>
      <c r="L82">
        <v>0</v>
      </c>
      <c r="M82">
        <v>0</v>
      </c>
      <c r="N82">
        <v>0</v>
      </c>
      <c r="O82" s="80">
        <f t="shared" si="98"/>
        <v>4.8021600000000007</v>
      </c>
      <c r="R82" t="s">
        <v>111</v>
      </c>
      <c r="S82">
        <v>3</v>
      </c>
      <c r="T82" t="s">
        <v>7</v>
      </c>
      <c r="U82">
        <v>8736</v>
      </c>
      <c r="V82">
        <v>96</v>
      </c>
      <c r="W82">
        <v>2</v>
      </c>
      <c r="X82">
        <v>2</v>
      </c>
      <c r="Y82">
        <v>93.55</v>
      </c>
      <c r="Z82" s="62">
        <v>4.7523999999999997</v>
      </c>
      <c r="AA82" s="16">
        <v>45559</v>
      </c>
      <c r="AB82" s="18">
        <v>0.76534722222222218</v>
      </c>
      <c r="AC82">
        <v>0</v>
      </c>
      <c r="AD82">
        <v>0</v>
      </c>
      <c r="AE82">
        <v>0</v>
      </c>
      <c r="AF82" s="80">
        <f t="shared" si="99"/>
        <v>4.7931799999999996</v>
      </c>
      <c r="AI82" t="s">
        <v>149</v>
      </c>
      <c r="AJ82">
        <v>3</v>
      </c>
      <c r="AK82" t="s">
        <v>7</v>
      </c>
      <c r="AL82">
        <v>8736</v>
      </c>
      <c r="AM82">
        <v>96</v>
      </c>
      <c r="AN82">
        <v>2</v>
      </c>
      <c r="AO82">
        <v>2</v>
      </c>
      <c r="AP82">
        <v>68.39</v>
      </c>
      <c r="AQ82" s="62">
        <v>6.5006000000000004</v>
      </c>
      <c r="AR82" s="16">
        <v>45559</v>
      </c>
      <c r="AS82" s="18">
        <v>0.69633101851851853</v>
      </c>
      <c r="AT82">
        <v>0</v>
      </c>
      <c r="AU82">
        <v>0</v>
      </c>
      <c r="AV82">
        <v>0</v>
      </c>
      <c r="AW82" s="80">
        <f t="shared" si="100"/>
        <v>6.5043999999999995</v>
      </c>
      <c r="AZ82" t="s">
        <v>149</v>
      </c>
      <c r="BA82">
        <v>3</v>
      </c>
      <c r="BB82" t="s">
        <v>7</v>
      </c>
      <c r="BC82">
        <v>8736</v>
      </c>
      <c r="BD82">
        <v>96</v>
      </c>
      <c r="BE82">
        <v>2</v>
      </c>
      <c r="BF82">
        <v>2</v>
      </c>
      <c r="BG82">
        <v>132.77000000000001</v>
      </c>
      <c r="BH82" s="62">
        <v>3.3485</v>
      </c>
      <c r="BI82" s="16">
        <v>45559</v>
      </c>
      <c r="BJ82" s="18">
        <v>0.9132986111111111</v>
      </c>
      <c r="BK82">
        <v>0</v>
      </c>
      <c r="BL82">
        <v>0</v>
      </c>
      <c r="BM82">
        <v>0</v>
      </c>
      <c r="BN82" s="80">
        <f t="shared" si="101"/>
        <v>3.2498999999999993</v>
      </c>
    </row>
    <row r="83" spans="1:66" x14ac:dyDescent="0.25">
      <c r="A83" t="s">
        <v>111</v>
      </c>
      <c r="B83">
        <v>4</v>
      </c>
      <c r="C83" t="s">
        <v>7</v>
      </c>
      <c r="D83">
        <v>8736</v>
      </c>
      <c r="E83">
        <v>96</v>
      </c>
      <c r="F83">
        <v>2</v>
      </c>
      <c r="G83">
        <v>2</v>
      </c>
      <c r="H83">
        <v>92.45</v>
      </c>
      <c r="I83" s="62">
        <v>4.8090000000000002</v>
      </c>
      <c r="J83" s="16">
        <v>45550</v>
      </c>
      <c r="K83" s="18">
        <v>0.19223379629629631</v>
      </c>
      <c r="L83">
        <v>0</v>
      </c>
      <c r="M83">
        <v>0</v>
      </c>
      <c r="N83">
        <v>0</v>
      </c>
      <c r="O83" s="80">
        <f t="shared" si="98"/>
        <v>4.8021600000000007</v>
      </c>
      <c r="R83" t="s">
        <v>111</v>
      </c>
      <c r="S83">
        <v>4</v>
      </c>
      <c r="T83" t="s">
        <v>7</v>
      </c>
      <c r="U83">
        <v>8736</v>
      </c>
      <c r="V83">
        <v>96</v>
      </c>
      <c r="W83">
        <v>2</v>
      </c>
      <c r="X83">
        <v>2</v>
      </c>
      <c r="Y83">
        <v>92.53</v>
      </c>
      <c r="Z83" s="62">
        <v>4.8045999999999998</v>
      </c>
      <c r="AA83" s="16">
        <v>45559</v>
      </c>
      <c r="AB83" s="18">
        <v>0.83658564814814818</v>
      </c>
      <c r="AC83">
        <v>0</v>
      </c>
      <c r="AD83">
        <v>0</v>
      </c>
      <c r="AE83">
        <v>0</v>
      </c>
      <c r="AF83" s="80">
        <f t="shared" si="99"/>
        <v>4.7931799999999996</v>
      </c>
      <c r="AI83" t="s">
        <v>149</v>
      </c>
      <c r="AJ83">
        <v>4</v>
      </c>
      <c r="AK83" t="s">
        <v>7</v>
      </c>
      <c r="AL83">
        <v>8736</v>
      </c>
      <c r="AM83">
        <v>96</v>
      </c>
      <c r="AN83">
        <v>2</v>
      </c>
      <c r="AO83">
        <v>2</v>
      </c>
      <c r="AP83">
        <v>68.099999999999994</v>
      </c>
      <c r="AQ83" s="62">
        <v>6.5281000000000002</v>
      </c>
      <c r="AR83" s="16">
        <v>45559</v>
      </c>
      <c r="AS83" s="18">
        <v>0.75063657407407403</v>
      </c>
      <c r="AT83">
        <v>0</v>
      </c>
      <c r="AU83">
        <v>0</v>
      </c>
      <c r="AV83">
        <v>0</v>
      </c>
      <c r="AW83" s="80">
        <f t="shared" si="100"/>
        <v>6.5043999999999995</v>
      </c>
      <c r="AZ83" t="s">
        <v>149</v>
      </c>
      <c r="BA83">
        <v>4</v>
      </c>
      <c r="BB83" t="s">
        <v>7</v>
      </c>
      <c r="BC83">
        <v>8736</v>
      </c>
      <c r="BD83">
        <v>96</v>
      </c>
      <c r="BE83">
        <v>2</v>
      </c>
      <c r="BF83">
        <v>2</v>
      </c>
      <c r="BG83">
        <v>141.34</v>
      </c>
      <c r="BH83" s="62">
        <v>3.1454</v>
      </c>
      <c r="BI83" s="16">
        <v>45560</v>
      </c>
      <c r="BJ83" s="18">
        <v>8.6805555555555559E-3</v>
      </c>
      <c r="BK83">
        <v>0</v>
      </c>
      <c r="BL83">
        <v>0</v>
      </c>
      <c r="BM83">
        <v>0</v>
      </c>
      <c r="BN83" s="80">
        <f t="shared" si="101"/>
        <v>3.2498999999999993</v>
      </c>
    </row>
    <row r="84" spans="1:66" x14ac:dyDescent="0.25">
      <c r="A84" t="s">
        <v>111</v>
      </c>
      <c r="B84">
        <v>0</v>
      </c>
      <c r="C84" t="s">
        <v>7</v>
      </c>
      <c r="D84">
        <v>9216</v>
      </c>
      <c r="E84">
        <v>96</v>
      </c>
      <c r="F84">
        <v>2</v>
      </c>
      <c r="G84">
        <v>2</v>
      </c>
      <c r="H84">
        <v>113.47</v>
      </c>
      <c r="I84" s="62">
        <v>4.5998999999999999</v>
      </c>
      <c r="J84" s="16">
        <v>45549</v>
      </c>
      <c r="K84" s="18">
        <v>0.92896990740740737</v>
      </c>
      <c r="L84">
        <v>0</v>
      </c>
      <c r="M84">
        <v>0</v>
      </c>
      <c r="N84">
        <v>0</v>
      </c>
      <c r="O84" s="80">
        <f t="shared" ref="O84" si="102">AVERAGE(I84:I88)</f>
        <v>4.5910400000000005</v>
      </c>
      <c r="R84" t="s">
        <v>111</v>
      </c>
      <c r="S84">
        <v>0</v>
      </c>
      <c r="T84" t="s">
        <v>7</v>
      </c>
      <c r="U84">
        <v>9216</v>
      </c>
      <c r="V84">
        <v>96</v>
      </c>
      <c r="W84">
        <v>2</v>
      </c>
      <c r="X84">
        <v>2</v>
      </c>
      <c r="Y84">
        <v>113.24</v>
      </c>
      <c r="Z84" s="62">
        <v>4.6096000000000004</v>
      </c>
      <c r="AA84" s="16">
        <v>45559</v>
      </c>
      <c r="AB84" s="18">
        <v>0.57314814814814818</v>
      </c>
      <c r="AC84">
        <v>0</v>
      </c>
      <c r="AD84">
        <v>0</v>
      </c>
      <c r="AE84">
        <v>0</v>
      </c>
      <c r="AF84" s="80">
        <f t="shared" si="99"/>
        <v>4.7931799999999996</v>
      </c>
      <c r="AI84" t="s">
        <v>149</v>
      </c>
      <c r="AJ84">
        <v>0</v>
      </c>
      <c r="AK84" t="s">
        <v>7</v>
      </c>
      <c r="AL84">
        <v>9216</v>
      </c>
      <c r="AM84">
        <v>96</v>
      </c>
      <c r="AN84">
        <v>2</v>
      </c>
      <c r="AO84">
        <v>2</v>
      </c>
      <c r="AP84">
        <v>79.53</v>
      </c>
      <c r="AQ84" s="62">
        <v>6.5632000000000001</v>
      </c>
      <c r="AR84" s="16">
        <v>45559</v>
      </c>
      <c r="AS84" s="18">
        <v>0.55012731481481481</v>
      </c>
      <c r="AT84">
        <v>0</v>
      </c>
      <c r="AU84">
        <v>0</v>
      </c>
      <c r="AV84">
        <v>0</v>
      </c>
      <c r="AW84" s="80">
        <f t="shared" ref="AW84" si="103">AVERAGE(AQ84:AQ88)</f>
        <v>6.5627000000000013</v>
      </c>
      <c r="AZ84" t="s">
        <v>149</v>
      </c>
      <c r="BA84">
        <v>0</v>
      </c>
      <c r="BB84" t="s">
        <v>7</v>
      </c>
      <c r="BC84">
        <v>9216</v>
      </c>
      <c r="BD84">
        <v>96</v>
      </c>
      <c r="BE84">
        <v>2</v>
      </c>
      <c r="BF84">
        <v>2</v>
      </c>
      <c r="BG84">
        <v>156.88</v>
      </c>
      <c r="BH84" s="62">
        <v>3.3271000000000002</v>
      </c>
      <c r="BI84" s="16">
        <v>45559</v>
      </c>
      <c r="BJ84" s="18">
        <v>0.65620370370370373</v>
      </c>
      <c r="BK84">
        <v>0</v>
      </c>
      <c r="BL84">
        <v>0</v>
      </c>
      <c r="BM84">
        <v>0</v>
      </c>
      <c r="BN84" s="80">
        <f t="shared" ref="BN84" si="104">AVERAGE(BH84:BH88)</f>
        <v>3.3927999999999998</v>
      </c>
    </row>
    <row r="85" spans="1:66" x14ac:dyDescent="0.25">
      <c r="A85" t="s">
        <v>111</v>
      </c>
      <c r="B85">
        <v>1</v>
      </c>
      <c r="C85" t="s">
        <v>7</v>
      </c>
      <c r="D85">
        <v>9216</v>
      </c>
      <c r="E85">
        <v>96</v>
      </c>
      <c r="F85">
        <v>2</v>
      </c>
      <c r="G85">
        <v>2</v>
      </c>
      <c r="H85">
        <v>114.2</v>
      </c>
      <c r="I85" s="62">
        <v>4.5705999999999998</v>
      </c>
      <c r="J85" s="16">
        <v>45550</v>
      </c>
      <c r="K85" s="18">
        <v>2.4305555555555555E-4</v>
      </c>
      <c r="L85">
        <v>0</v>
      </c>
      <c r="M85">
        <v>0</v>
      </c>
      <c r="N85">
        <v>0</v>
      </c>
      <c r="O85" s="80">
        <f t="shared" ref="O85" si="105">O84</f>
        <v>4.5910400000000005</v>
      </c>
      <c r="R85" t="s">
        <v>111</v>
      </c>
      <c r="S85">
        <v>1</v>
      </c>
      <c r="T85" t="s">
        <v>7</v>
      </c>
      <c r="U85">
        <v>9216</v>
      </c>
      <c r="V85">
        <v>96</v>
      </c>
      <c r="W85">
        <v>2</v>
      </c>
      <c r="X85">
        <v>2</v>
      </c>
      <c r="Y85">
        <v>113.22</v>
      </c>
      <c r="Z85" s="62">
        <v>4.6102999999999996</v>
      </c>
      <c r="AA85" s="16">
        <v>45559</v>
      </c>
      <c r="AB85" s="18">
        <v>0.64439814814814811</v>
      </c>
      <c r="AC85">
        <v>0</v>
      </c>
      <c r="AD85">
        <v>0</v>
      </c>
      <c r="AE85">
        <v>0</v>
      </c>
      <c r="AF85" s="80">
        <f t="shared" si="99"/>
        <v>4.7931799999999996</v>
      </c>
      <c r="AI85" t="s">
        <v>149</v>
      </c>
      <c r="AJ85">
        <v>1</v>
      </c>
      <c r="AK85" t="s">
        <v>7</v>
      </c>
      <c r="AL85">
        <v>9216</v>
      </c>
      <c r="AM85">
        <v>96</v>
      </c>
      <c r="AN85">
        <v>2</v>
      </c>
      <c r="AO85">
        <v>2</v>
      </c>
      <c r="AP85">
        <v>79.59</v>
      </c>
      <c r="AQ85" s="62">
        <v>6.5583999999999998</v>
      </c>
      <c r="AR85" s="16">
        <v>45559</v>
      </c>
      <c r="AS85" s="18">
        <v>0.60428240740740746</v>
      </c>
      <c r="AT85">
        <v>0</v>
      </c>
      <c r="AU85">
        <v>0</v>
      </c>
      <c r="AV85">
        <v>0</v>
      </c>
      <c r="AW85" s="80">
        <f t="shared" ref="AW85:AW88" si="106">AW84</f>
        <v>6.5627000000000013</v>
      </c>
      <c r="AZ85" t="s">
        <v>149</v>
      </c>
      <c r="BA85">
        <v>1</v>
      </c>
      <c r="BB85" t="s">
        <v>7</v>
      </c>
      <c r="BC85">
        <v>9216</v>
      </c>
      <c r="BD85">
        <v>96</v>
      </c>
      <c r="BE85">
        <v>2</v>
      </c>
      <c r="BF85">
        <v>2</v>
      </c>
      <c r="BG85">
        <v>157.81</v>
      </c>
      <c r="BH85" s="62">
        <v>3.3075999999999999</v>
      </c>
      <c r="BI85" s="16">
        <v>45559</v>
      </c>
      <c r="BJ85" s="18">
        <v>0.75173611111111116</v>
      </c>
      <c r="BK85">
        <v>0</v>
      </c>
      <c r="BL85">
        <v>0</v>
      </c>
      <c r="BM85">
        <v>0</v>
      </c>
      <c r="BN85" s="80">
        <f t="shared" ref="BN85:BN88" si="107">BN84</f>
        <v>3.3927999999999998</v>
      </c>
    </row>
    <row r="86" spans="1:66" x14ac:dyDescent="0.25">
      <c r="A86" t="s">
        <v>111</v>
      </c>
      <c r="B86">
        <v>2</v>
      </c>
      <c r="C86" t="s">
        <v>7</v>
      </c>
      <c r="D86">
        <v>9216</v>
      </c>
      <c r="E86">
        <v>96</v>
      </c>
      <c r="F86">
        <v>2</v>
      </c>
      <c r="G86">
        <v>2</v>
      </c>
      <c r="H86">
        <v>113.54</v>
      </c>
      <c r="I86" s="62">
        <v>4.5972</v>
      </c>
      <c r="J86" s="16">
        <v>45550</v>
      </c>
      <c r="K86" s="18">
        <v>7.137731481481481E-2</v>
      </c>
      <c r="L86">
        <v>0</v>
      </c>
      <c r="M86">
        <v>0</v>
      </c>
      <c r="N86">
        <v>0</v>
      </c>
      <c r="O86" s="80">
        <f t="shared" si="98"/>
        <v>4.5910400000000005</v>
      </c>
      <c r="R86" t="s">
        <v>111</v>
      </c>
      <c r="S86">
        <v>2</v>
      </c>
      <c r="T86" t="s">
        <v>7</v>
      </c>
      <c r="U86">
        <v>9216</v>
      </c>
      <c r="V86">
        <v>96</v>
      </c>
      <c r="W86">
        <v>2</v>
      </c>
      <c r="X86">
        <v>2</v>
      </c>
      <c r="Y86">
        <v>113.11</v>
      </c>
      <c r="Z86" s="62">
        <v>4.6147</v>
      </c>
      <c r="AA86" s="16">
        <v>45559</v>
      </c>
      <c r="AB86" s="18">
        <v>0.71563657407407411</v>
      </c>
      <c r="AC86">
        <v>0</v>
      </c>
      <c r="AD86">
        <v>0</v>
      </c>
      <c r="AE86">
        <v>0</v>
      </c>
      <c r="AF86" s="80">
        <f t="shared" si="99"/>
        <v>4.7931799999999996</v>
      </c>
      <c r="AI86" t="s">
        <v>149</v>
      </c>
      <c r="AJ86">
        <v>2</v>
      </c>
      <c r="AK86" t="s">
        <v>7</v>
      </c>
      <c r="AL86">
        <v>9216</v>
      </c>
      <c r="AM86">
        <v>96</v>
      </c>
      <c r="AN86">
        <v>2</v>
      </c>
      <c r="AO86">
        <v>2</v>
      </c>
      <c r="AP86">
        <v>79.540000000000006</v>
      </c>
      <c r="AQ86" s="62">
        <v>6.5618999999999996</v>
      </c>
      <c r="AR86" s="16">
        <v>45559</v>
      </c>
      <c r="AS86" s="18">
        <v>0.6585185185185185</v>
      </c>
      <c r="AT86">
        <v>0</v>
      </c>
      <c r="AU86">
        <v>0</v>
      </c>
      <c r="AV86">
        <v>0</v>
      </c>
      <c r="AW86" s="80">
        <f t="shared" si="106"/>
        <v>6.5627000000000013</v>
      </c>
      <c r="AZ86" t="s">
        <v>149</v>
      </c>
      <c r="BA86">
        <v>2</v>
      </c>
      <c r="BB86" t="s">
        <v>7</v>
      </c>
      <c r="BC86">
        <v>9216</v>
      </c>
      <c r="BD86">
        <v>96</v>
      </c>
      <c r="BE86">
        <v>2</v>
      </c>
      <c r="BF86">
        <v>2</v>
      </c>
      <c r="BG86">
        <v>150.65</v>
      </c>
      <c r="BH86" s="62">
        <v>3.4647000000000001</v>
      </c>
      <c r="BI86" s="16">
        <v>45559</v>
      </c>
      <c r="BJ86" s="18">
        <v>0.8470833333333333</v>
      </c>
      <c r="BK86">
        <v>0</v>
      </c>
      <c r="BL86">
        <v>0</v>
      </c>
      <c r="BM86">
        <v>0</v>
      </c>
      <c r="BN86" s="80">
        <f t="shared" si="107"/>
        <v>3.3927999999999998</v>
      </c>
    </row>
    <row r="87" spans="1:66" x14ac:dyDescent="0.25">
      <c r="A87" t="s">
        <v>111</v>
      </c>
      <c r="B87">
        <v>3</v>
      </c>
      <c r="C87" t="s">
        <v>7</v>
      </c>
      <c r="D87">
        <v>9216</v>
      </c>
      <c r="E87">
        <v>96</v>
      </c>
      <c r="F87">
        <v>2</v>
      </c>
      <c r="G87">
        <v>2</v>
      </c>
      <c r="H87">
        <v>113.59</v>
      </c>
      <c r="I87" s="62">
        <v>4.5949999999999998</v>
      </c>
      <c r="J87" s="16">
        <v>45550</v>
      </c>
      <c r="K87" s="18">
        <v>0.14254629629629631</v>
      </c>
      <c r="L87">
        <v>0</v>
      </c>
      <c r="M87">
        <v>0</v>
      </c>
      <c r="N87">
        <v>0</v>
      </c>
      <c r="O87" s="80">
        <f t="shared" si="98"/>
        <v>4.5910400000000005</v>
      </c>
      <c r="R87" t="s">
        <v>111</v>
      </c>
      <c r="S87">
        <v>3</v>
      </c>
      <c r="T87" t="s">
        <v>7</v>
      </c>
      <c r="U87">
        <v>9216</v>
      </c>
      <c r="V87">
        <v>96</v>
      </c>
      <c r="W87">
        <v>2</v>
      </c>
      <c r="X87">
        <v>2</v>
      </c>
      <c r="Y87">
        <v>113.2</v>
      </c>
      <c r="Z87" s="62">
        <v>4.6109999999999998</v>
      </c>
      <c r="AA87" s="16">
        <v>45559</v>
      </c>
      <c r="AB87" s="18">
        <v>0.78690972222222222</v>
      </c>
      <c r="AC87">
        <v>0</v>
      </c>
      <c r="AD87">
        <v>0</v>
      </c>
      <c r="AE87">
        <v>0</v>
      </c>
      <c r="AF87" s="80">
        <f>AVERAGE(Z87:Z91)</f>
        <v>4.7737999999999996</v>
      </c>
      <c r="AI87" t="s">
        <v>149</v>
      </c>
      <c r="AJ87">
        <v>3</v>
      </c>
      <c r="AK87" t="s">
        <v>7</v>
      </c>
      <c r="AL87">
        <v>9216</v>
      </c>
      <c r="AM87">
        <v>96</v>
      </c>
      <c r="AN87">
        <v>2</v>
      </c>
      <c r="AO87">
        <v>2</v>
      </c>
      <c r="AP87">
        <v>79.38</v>
      </c>
      <c r="AQ87" s="62">
        <v>6.5754000000000001</v>
      </c>
      <c r="AR87" s="16">
        <v>45559</v>
      </c>
      <c r="AS87" s="18">
        <v>0.71266203703703701</v>
      </c>
      <c r="AT87">
        <v>0</v>
      </c>
      <c r="AU87">
        <v>0</v>
      </c>
      <c r="AV87">
        <v>0</v>
      </c>
      <c r="AW87" s="80">
        <f t="shared" si="106"/>
        <v>6.5627000000000013</v>
      </c>
      <c r="AZ87" t="s">
        <v>149</v>
      </c>
      <c r="BA87">
        <v>3</v>
      </c>
      <c r="BB87" t="s">
        <v>7</v>
      </c>
      <c r="BC87">
        <v>9216</v>
      </c>
      <c r="BD87">
        <v>96</v>
      </c>
      <c r="BE87">
        <v>2</v>
      </c>
      <c r="BF87">
        <v>2</v>
      </c>
      <c r="BG87">
        <v>156.41</v>
      </c>
      <c r="BH87" s="62">
        <v>3.3371</v>
      </c>
      <c r="BI87" s="16">
        <v>45559</v>
      </c>
      <c r="BJ87" s="18">
        <v>0.9425</v>
      </c>
      <c r="BK87">
        <v>0</v>
      </c>
      <c r="BL87">
        <v>0</v>
      </c>
      <c r="BM87">
        <v>0</v>
      </c>
      <c r="BN87" s="80">
        <f t="shared" si="107"/>
        <v>3.3927999999999998</v>
      </c>
    </row>
    <row r="88" spans="1:66" x14ac:dyDescent="0.25">
      <c r="A88" t="s">
        <v>111</v>
      </c>
      <c r="B88">
        <v>4</v>
      </c>
      <c r="C88" t="s">
        <v>7</v>
      </c>
      <c r="D88">
        <v>9216</v>
      </c>
      <c r="E88">
        <v>96</v>
      </c>
      <c r="F88">
        <v>2</v>
      </c>
      <c r="G88">
        <v>2</v>
      </c>
      <c r="H88">
        <v>113.66</v>
      </c>
      <c r="I88" s="62">
        <v>4.5925000000000002</v>
      </c>
      <c r="J88" s="16">
        <v>45550</v>
      </c>
      <c r="K88" s="18">
        <v>0.21373842592592593</v>
      </c>
      <c r="L88">
        <v>0</v>
      </c>
      <c r="M88">
        <v>0</v>
      </c>
      <c r="N88">
        <v>0</v>
      </c>
      <c r="O88" s="80">
        <f t="shared" si="98"/>
        <v>4.5910400000000005</v>
      </c>
      <c r="R88" t="s">
        <v>111</v>
      </c>
      <c r="S88">
        <v>4</v>
      </c>
      <c r="T88" t="s">
        <v>7</v>
      </c>
      <c r="U88">
        <v>9216</v>
      </c>
      <c r="V88">
        <v>96</v>
      </c>
      <c r="W88">
        <v>2</v>
      </c>
      <c r="X88">
        <v>2</v>
      </c>
      <c r="Y88">
        <v>113.25</v>
      </c>
      <c r="Z88" s="62">
        <v>4.6089000000000002</v>
      </c>
      <c r="AA88" s="16">
        <v>45559</v>
      </c>
      <c r="AB88" s="18">
        <v>0.85804398148148153</v>
      </c>
      <c r="AC88">
        <v>0</v>
      </c>
      <c r="AD88">
        <v>0</v>
      </c>
      <c r="AE88">
        <v>0</v>
      </c>
      <c r="AF88" s="80">
        <f>AF87</f>
        <v>4.7737999999999996</v>
      </c>
      <c r="AI88" t="s">
        <v>149</v>
      </c>
      <c r="AJ88">
        <v>4</v>
      </c>
      <c r="AK88" t="s">
        <v>7</v>
      </c>
      <c r="AL88">
        <v>9216</v>
      </c>
      <c r="AM88">
        <v>96</v>
      </c>
      <c r="AN88">
        <v>2</v>
      </c>
      <c r="AO88">
        <v>2</v>
      </c>
      <c r="AP88">
        <v>79.63</v>
      </c>
      <c r="AQ88" s="62">
        <v>6.5545999999999998</v>
      </c>
      <c r="AR88" s="16">
        <v>45559</v>
      </c>
      <c r="AS88" s="18">
        <v>0.76696759259259262</v>
      </c>
      <c r="AT88">
        <v>0</v>
      </c>
      <c r="AU88">
        <v>0</v>
      </c>
      <c r="AV88">
        <v>0</v>
      </c>
      <c r="AW88" s="80">
        <f t="shared" si="106"/>
        <v>6.5627000000000013</v>
      </c>
      <c r="AZ88" t="s">
        <v>149</v>
      </c>
      <c r="BA88">
        <v>4</v>
      </c>
      <c r="BB88" t="s">
        <v>7</v>
      </c>
      <c r="BC88">
        <v>9216</v>
      </c>
      <c r="BD88">
        <v>96</v>
      </c>
      <c r="BE88">
        <v>2</v>
      </c>
      <c r="BF88">
        <v>2</v>
      </c>
      <c r="BG88">
        <v>147.97</v>
      </c>
      <c r="BH88" s="62">
        <v>3.5274999999999999</v>
      </c>
      <c r="BI88" s="16">
        <v>45560</v>
      </c>
      <c r="BJ88" s="18">
        <v>3.8206018518518521E-2</v>
      </c>
      <c r="BK88">
        <v>0</v>
      </c>
      <c r="BL88">
        <v>0</v>
      </c>
      <c r="BM88">
        <v>0</v>
      </c>
      <c r="BN88" s="80">
        <f t="shared" si="107"/>
        <v>3.3927999999999998</v>
      </c>
    </row>
    <row r="89" spans="1:66" x14ac:dyDescent="0.25">
      <c r="A89" t="s">
        <v>111</v>
      </c>
      <c r="B89">
        <v>0</v>
      </c>
      <c r="C89" t="s">
        <v>7</v>
      </c>
      <c r="D89">
        <v>9792</v>
      </c>
      <c r="E89">
        <v>96</v>
      </c>
      <c r="F89">
        <v>2</v>
      </c>
      <c r="G89">
        <v>2</v>
      </c>
      <c r="H89">
        <v>128.81</v>
      </c>
      <c r="I89" s="62">
        <v>4.8604000000000003</v>
      </c>
      <c r="J89" s="16">
        <v>45549</v>
      </c>
      <c r="K89" s="18">
        <v>0.95424768518518521</v>
      </c>
      <c r="L89">
        <v>0</v>
      </c>
      <c r="M89">
        <v>0</v>
      </c>
      <c r="N89">
        <v>0</v>
      </c>
      <c r="O89" s="80">
        <f t="shared" ref="O89" si="108">AVERAGE(I89:I93)</f>
        <v>4.8580199999999998</v>
      </c>
      <c r="R89" t="s">
        <v>111</v>
      </c>
      <c r="S89">
        <v>0</v>
      </c>
      <c r="T89" t="s">
        <v>7</v>
      </c>
      <c r="U89">
        <v>9792</v>
      </c>
      <c r="V89">
        <v>96</v>
      </c>
      <c r="W89">
        <v>2</v>
      </c>
      <c r="X89">
        <v>2</v>
      </c>
      <c r="Y89">
        <v>128.15</v>
      </c>
      <c r="Z89" s="62">
        <v>4.8856000000000002</v>
      </c>
      <c r="AA89" s="16">
        <v>45559</v>
      </c>
      <c r="AB89" s="18">
        <v>0.59842592592592592</v>
      </c>
      <c r="AC89">
        <v>0</v>
      </c>
      <c r="AD89">
        <v>0</v>
      </c>
      <c r="AE89">
        <v>0</v>
      </c>
      <c r="AF89" s="80">
        <f>AF88</f>
        <v>4.7737999999999996</v>
      </c>
      <c r="AI89" t="s">
        <v>149</v>
      </c>
      <c r="AJ89">
        <v>0</v>
      </c>
      <c r="AK89" t="s">
        <v>7</v>
      </c>
      <c r="AL89">
        <v>9792</v>
      </c>
      <c r="AM89">
        <v>96</v>
      </c>
      <c r="AN89">
        <v>2</v>
      </c>
      <c r="AO89">
        <v>2</v>
      </c>
      <c r="AP89">
        <v>93.63</v>
      </c>
      <c r="AQ89" s="62">
        <v>6.6867000000000001</v>
      </c>
      <c r="AR89" s="16">
        <v>45559</v>
      </c>
      <c r="AS89" s="18">
        <v>0.56921296296296298</v>
      </c>
      <c r="AT89">
        <v>0</v>
      </c>
      <c r="AU89">
        <v>0</v>
      </c>
      <c r="AV89">
        <v>0</v>
      </c>
      <c r="AW89" s="80">
        <f t="shared" ref="AW89" si="109">AVERAGE(AQ89:AQ93)</f>
        <v>6.6833599999999986</v>
      </c>
      <c r="AZ89" t="s">
        <v>149</v>
      </c>
      <c r="BA89">
        <v>0</v>
      </c>
      <c r="BB89" t="s">
        <v>7</v>
      </c>
      <c r="BC89">
        <v>9792</v>
      </c>
      <c r="BD89">
        <v>96</v>
      </c>
      <c r="BE89">
        <v>2</v>
      </c>
      <c r="BF89">
        <v>2</v>
      </c>
      <c r="BG89">
        <v>174.91</v>
      </c>
      <c r="BH89" s="62">
        <v>3.5794999999999999</v>
      </c>
      <c r="BI89" s="16">
        <v>45559</v>
      </c>
      <c r="BJ89" s="18">
        <v>0.68929398148148147</v>
      </c>
      <c r="BK89">
        <v>0</v>
      </c>
      <c r="BL89">
        <v>0</v>
      </c>
      <c r="BM89">
        <v>0</v>
      </c>
      <c r="BN89" s="80">
        <f t="shared" ref="BN89" si="110">AVERAGE(BH89:BH93)</f>
        <v>3.4995000000000003</v>
      </c>
    </row>
    <row r="90" spans="1:66" x14ac:dyDescent="0.25">
      <c r="A90" t="s">
        <v>111</v>
      </c>
      <c r="B90">
        <v>1</v>
      </c>
      <c r="C90" t="s">
        <v>7</v>
      </c>
      <c r="D90">
        <v>9792</v>
      </c>
      <c r="E90">
        <v>96</v>
      </c>
      <c r="F90">
        <v>2</v>
      </c>
      <c r="G90">
        <v>2</v>
      </c>
      <c r="H90">
        <v>128.94999999999999</v>
      </c>
      <c r="I90" s="62">
        <v>4.8552</v>
      </c>
      <c r="J90" s="16">
        <v>45550</v>
      </c>
      <c r="K90" s="18">
        <v>2.5486111111111112E-2</v>
      </c>
      <c r="L90">
        <v>0</v>
      </c>
      <c r="M90">
        <v>0</v>
      </c>
      <c r="N90">
        <v>0</v>
      </c>
      <c r="O90" s="80">
        <f t="shared" ref="O90" si="111">O89</f>
        <v>4.8580199999999998</v>
      </c>
      <c r="R90" t="s">
        <v>111</v>
      </c>
      <c r="S90">
        <v>1</v>
      </c>
      <c r="T90" t="s">
        <v>7</v>
      </c>
      <c r="U90">
        <v>9792</v>
      </c>
      <c r="V90">
        <v>96</v>
      </c>
      <c r="W90">
        <v>2</v>
      </c>
      <c r="X90">
        <v>2</v>
      </c>
      <c r="Y90">
        <v>128.26</v>
      </c>
      <c r="Z90" s="62">
        <v>4.8813000000000004</v>
      </c>
      <c r="AA90" s="16">
        <v>45559</v>
      </c>
      <c r="AB90" s="18">
        <v>0.6696643518518518</v>
      </c>
      <c r="AC90">
        <v>0</v>
      </c>
      <c r="AD90">
        <v>0</v>
      </c>
      <c r="AE90">
        <v>0</v>
      </c>
      <c r="AF90" s="80">
        <f>AVERAGE(Z90:Z94)</f>
        <v>4.7883800000000001</v>
      </c>
      <c r="AI90" t="s">
        <v>149</v>
      </c>
      <c r="AJ90">
        <v>1</v>
      </c>
      <c r="AK90" t="s">
        <v>7</v>
      </c>
      <c r="AL90">
        <v>9792</v>
      </c>
      <c r="AM90">
        <v>96</v>
      </c>
      <c r="AN90">
        <v>2</v>
      </c>
      <c r="AO90">
        <v>2</v>
      </c>
      <c r="AP90">
        <v>93.72</v>
      </c>
      <c r="AQ90" s="62">
        <v>6.6806000000000001</v>
      </c>
      <c r="AR90" s="16">
        <v>45559</v>
      </c>
      <c r="AS90" s="18">
        <v>0.62337962962962967</v>
      </c>
      <c r="AT90">
        <v>0</v>
      </c>
      <c r="AU90">
        <v>0</v>
      </c>
      <c r="AV90">
        <v>0</v>
      </c>
      <c r="AW90" s="80">
        <f t="shared" ref="AW90:AW93" si="112">AW89</f>
        <v>6.6833599999999986</v>
      </c>
      <c r="AZ90" t="s">
        <v>149</v>
      </c>
      <c r="BA90">
        <v>1</v>
      </c>
      <c r="BB90" t="s">
        <v>7</v>
      </c>
      <c r="BC90">
        <v>9792</v>
      </c>
      <c r="BD90">
        <v>96</v>
      </c>
      <c r="BE90">
        <v>2</v>
      </c>
      <c r="BF90">
        <v>2</v>
      </c>
      <c r="BG90">
        <v>172.56</v>
      </c>
      <c r="BH90" s="62">
        <v>3.6280999999999999</v>
      </c>
      <c r="BI90" s="16">
        <v>45559</v>
      </c>
      <c r="BJ90" s="18">
        <v>0.78482638888888889</v>
      </c>
      <c r="BK90">
        <v>0</v>
      </c>
      <c r="BL90">
        <v>0</v>
      </c>
      <c r="BM90">
        <v>0</v>
      </c>
      <c r="BN90" s="80">
        <f t="shared" ref="BN90:BN93" si="113">BN89</f>
        <v>3.4995000000000003</v>
      </c>
    </row>
    <row r="91" spans="1:66" x14ac:dyDescent="0.25">
      <c r="A91" t="s">
        <v>111</v>
      </c>
      <c r="B91">
        <v>2</v>
      </c>
      <c r="C91" t="s">
        <v>7</v>
      </c>
      <c r="D91">
        <v>9792</v>
      </c>
      <c r="E91">
        <v>96</v>
      </c>
      <c r="F91">
        <v>2</v>
      </c>
      <c r="G91">
        <v>2</v>
      </c>
      <c r="H91">
        <v>128.78</v>
      </c>
      <c r="I91" s="62">
        <v>4.8616999999999999</v>
      </c>
      <c r="J91" s="16">
        <v>45550</v>
      </c>
      <c r="K91" s="18">
        <v>9.660879629629629E-2</v>
      </c>
      <c r="L91">
        <v>0</v>
      </c>
      <c r="M91">
        <v>0</v>
      </c>
      <c r="N91">
        <v>0</v>
      </c>
      <c r="O91" s="80">
        <f t="shared" si="98"/>
        <v>4.8580199999999998</v>
      </c>
      <c r="R91" t="s">
        <v>111</v>
      </c>
      <c r="S91">
        <v>2</v>
      </c>
      <c r="T91" t="s">
        <v>7</v>
      </c>
      <c r="U91">
        <v>9792</v>
      </c>
      <c r="V91">
        <v>96</v>
      </c>
      <c r="W91">
        <v>2</v>
      </c>
      <c r="X91">
        <v>2</v>
      </c>
      <c r="Y91">
        <v>128.24</v>
      </c>
      <c r="Z91" s="62">
        <v>4.8822000000000001</v>
      </c>
      <c r="AA91" s="16">
        <v>45559</v>
      </c>
      <c r="AB91" s="18">
        <v>0.74091435185185184</v>
      </c>
      <c r="AC91">
        <v>0</v>
      </c>
      <c r="AD91">
        <v>0</v>
      </c>
      <c r="AE91">
        <v>0</v>
      </c>
      <c r="AF91" s="80">
        <f t="shared" ref="AF91:AF96" si="114">AF90</f>
        <v>4.7883800000000001</v>
      </c>
      <c r="AI91" t="s">
        <v>149</v>
      </c>
      <c r="AJ91">
        <v>2</v>
      </c>
      <c r="AK91" t="s">
        <v>7</v>
      </c>
      <c r="AL91">
        <v>9792</v>
      </c>
      <c r="AM91">
        <v>96</v>
      </c>
      <c r="AN91">
        <v>2</v>
      </c>
      <c r="AO91">
        <v>2</v>
      </c>
      <c r="AP91">
        <v>93.53</v>
      </c>
      <c r="AQ91" s="62">
        <v>6.6939000000000002</v>
      </c>
      <c r="AR91" s="16">
        <v>45559</v>
      </c>
      <c r="AS91" s="18">
        <v>0.67762731481481486</v>
      </c>
      <c r="AT91">
        <v>0</v>
      </c>
      <c r="AU91">
        <v>0</v>
      </c>
      <c r="AV91">
        <v>0</v>
      </c>
      <c r="AW91" s="80">
        <f t="shared" si="112"/>
        <v>6.6833599999999986</v>
      </c>
      <c r="AZ91" t="s">
        <v>149</v>
      </c>
      <c r="BA91">
        <v>2</v>
      </c>
      <c r="BB91" t="s">
        <v>7</v>
      </c>
      <c r="BC91">
        <v>9792</v>
      </c>
      <c r="BD91">
        <v>96</v>
      </c>
      <c r="BE91">
        <v>2</v>
      </c>
      <c r="BF91">
        <v>2</v>
      </c>
      <c r="BG91">
        <v>186.96</v>
      </c>
      <c r="BH91" s="62">
        <v>3.3487</v>
      </c>
      <c r="BI91" s="16">
        <v>45559</v>
      </c>
      <c r="BJ91" s="18">
        <v>0.8805439814814815</v>
      </c>
      <c r="BK91">
        <v>0</v>
      </c>
      <c r="BL91">
        <v>0</v>
      </c>
      <c r="BM91">
        <v>0</v>
      </c>
      <c r="BN91" s="80">
        <f t="shared" si="113"/>
        <v>3.4995000000000003</v>
      </c>
    </row>
    <row r="92" spans="1:66" x14ac:dyDescent="0.25">
      <c r="A92" t="s">
        <v>111</v>
      </c>
      <c r="B92">
        <v>3</v>
      </c>
      <c r="C92" t="s">
        <v>7</v>
      </c>
      <c r="D92">
        <v>9792</v>
      </c>
      <c r="E92">
        <v>96</v>
      </c>
      <c r="F92">
        <v>2</v>
      </c>
      <c r="G92">
        <v>2</v>
      </c>
      <c r="H92">
        <v>128.61000000000001</v>
      </c>
      <c r="I92" s="62">
        <v>4.8678999999999997</v>
      </c>
      <c r="J92" s="16">
        <v>45550</v>
      </c>
      <c r="K92" s="18">
        <v>0.16777777777777778</v>
      </c>
      <c r="L92">
        <v>0</v>
      </c>
      <c r="M92">
        <v>0</v>
      </c>
      <c r="N92">
        <v>0</v>
      </c>
      <c r="O92" s="80">
        <f t="shared" si="98"/>
        <v>4.8580199999999998</v>
      </c>
      <c r="R92" t="s">
        <v>111</v>
      </c>
      <c r="S92">
        <v>3</v>
      </c>
      <c r="T92" t="s">
        <v>7</v>
      </c>
      <c r="U92">
        <v>9792</v>
      </c>
      <c r="V92">
        <v>96</v>
      </c>
      <c r="W92">
        <v>2</v>
      </c>
      <c r="X92">
        <v>2</v>
      </c>
      <c r="Y92">
        <v>128.41</v>
      </c>
      <c r="Z92" s="62">
        <v>4.8754</v>
      </c>
      <c r="AA92" s="16">
        <v>45559</v>
      </c>
      <c r="AB92" s="18">
        <v>0.81226851851851856</v>
      </c>
      <c r="AC92">
        <v>0</v>
      </c>
      <c r="AD92">
        <v>0</v>
      </c>
      <c r="AE92">
        <v>0</v>
      </c>
      <c r="AF92" s="80">
        <f t="shared" si="114"/>
        <v>4.7883800000000001</v>
      </c>
      <c r="AI92" t="s">
        <v>149</v>
      </c>
      <c r="AJ92">
        <v>3</v>
      </c>
      <c r="AK92" t="s">
        <v>7</v>
      </c>
      <c r="AL92">
        <v>9792</v>
      </c>
      <c r="AM92">
        <v>96</v>
      </c>
      <c r="AN92">
        <v>2</v>
      </c>
      <c r="AO92">
        <v>2</v>
      </c>
      <c r="AP92">
        <v>93.83</v>
      </c>
      <c r="AQ92" s="62">
        <v>6.6726999999999999</v>
      </c>
      <c r="AR92" s="16">
        <v>45559</v>
      </c>
      <c r="AS92" s="18">
        <v>0.73177083333333337</v>
      </c>
      <c r="AT92">
        <v>0</v>
      </c>
      <c r="AU92">
        <v>0</v>
      </c>
      <c r="AV92">
        <v>0</v>
      </c>
      <c r="AW92" s="80">
        <f t="shared" si="112"/>
        <v>6.6833599999999986</v>
      </c>
      <c r="AZ92" t="s">
        <v>149</v>
      </c>
      <c r="BA92">
        <v>3</v>
      </c>
      <c r="BB92" t="s">
        <v>7</v>
      </c>
      <c r="BC92">
        <v>9792</v>
      </c>
      <c r="BD92">
        <v>96</v>
      </c>
      <c r="BE92">
        <v>2</v>
      </c>
      <c r="BF92">
        <v>2</v>
      </c>
      <c r="BG92">
        <v>179.66</v>
      </c>
      <c r="BH92" s="62">
        <v>3.4847000000000001</v>
      </c>
      <c r="BI92" s="16">
        <v>45559</v>
      </c>
      <c r="BJ92" s="18">
        <v>0.97584490740740737</v>
      </c>
      <c r="BK92">
        <v>0</v>
      </c>
      <c r="BL92">
        <v>0</v>
      </c>
      <c r="BM92">
        <v>0</v>
      </c>
      <c r="BN92" s="80">
        <f t="shared" si="113"/>
        <v>3.4995000000000003</v>
      </c>
    </row>
    <row r="93" spans="1:66" x14ac:dyDescent="0.25">
      <c r="A93" t="s">
        <v>111</v>
      </c>
      <c r="B93">
        <v>4</v>
      </c>
      <c r="C93" t="s">
        <v>7</v>
      </c>
      <c r="D93">
        <v>9792</v>
      </c>
      <c r="E93">
        <v>96</v>
      </c>
      <c r="F93">
        <v>2</v>
      </c>
      <c r="G93">
        <v>2</v>
      </c>
      <c r="H93">
        <v>129.22</v>
      </c>
      <c r="I93" s="62">
        <v>4.8449</v>
      </c>
      <c r="J93" s="16">
        <v>45550</v>
      </c>
      <c r="K93" s="18">
        <v>0.23896990740740739</v>
      </c>
      <c r="L93">
        <v>0</v>
      </c>
      <c r="M93">
        <v>0</v>
      </c>
      <c r="N93">
        <v>0</v>
      </c>
      <c r="O93" s="80">
        <f t="shared" si="98"/>
        <v>4.8580199999999998</v>
      </c>
      <c r="R93" t="s">
        <v>111</v>
      </c>
      <c r="S93">
        <v>4</v>
      </c>
      <c r="T93" t="s">
        <v>7</v>
      </c>
      <c r="U93">
        <v>9792</v>
      </c>
      <c r="V93">
        <v>96</v>
      </c>
      <c r="W93">
        <v>2</v>
      </c>
      <c r="X93">
        <v>2</v>
      </c>
      <c r="Y93">
        <v>128.29</v>
      </c>
      <c r="Z93" s="62">
        <v>4.8802000000000003</v>
      </c>
      <c r="AA93" s="16">
        <v>45559</v>
      </c>
      <c r="AB93" s="18">
        <v>0.88320601851851854</v>
      </c>
      <c r="AC93">
        <v>0</v>
      </c>
      <c r="AD93">
        <v>0</v>
      </c>
      <c r="AE93">
        <v>0</v>
      </c>
      <c r="AF93" s="80">
        <f t="shared" si="114"/>
        <v>4.7883800000000001</v>
      </c>
      <c r="AI93" t="s">
        <v>149</v>
      </c>
      <c r="AJ93">
        <v>4</v>
      </c>
      <c r="AK93" t="s">
        <v>7</v>
      </c>
      <c r="AL93">
        <v>9792</v>
      </c>
      <c r="AM93">
        <v>96</v>
      </c>
      <c r="AN93">
        <v>2</v>
      </c>
      <c r="AO93">
        <v>2</v>
      </c>
      <c r="AP93">
        <v>93.68</v>
      </c>
      <c r="AQ93" s="62">
        <v>6.6829000000000001</v>
      </c>
      <c r="AR93" s="16">
        <v>45559</v>
      </c>
      <c r="AS93" s="18">
        <v>0.78608796296296302</v>
      </c>
      <c r="AT93">
        <v>0</v>
      </c>
      <c r="AU93">
        <v>0</v>
      </c>
      <c r="AV93">
        <v>0</v>
      </c>
      <c r="AW93" s="80">
        <f t="shared" si="112"/>
        <v>6.6833599999999986</v>
      </c>
      <c r="AZ93" t="s">
        <v>149</v>
      </c>
      <c r="BA93">
        <v>4</v>
      </c>
      <c r="BB93" t="s">
        <v>7</v>
      </c>
      <c r="BC93">
        <v>9792</v>
      </c>
      <c r="BD93">
        <v>96</v>
      </c>
      <c r="BE93">
        <v>2</v>
      </c>
      <c r="BF93">
        <v>2</v>
      </c>
      <c r="BG93">
        <v>181.13</v>
      </c>
      <c r="BH93" s="62">
        <v>3.4565000000000001</v>
      </c>
      <c r="BI93" s="16">
        <v>45560</v>
      </c>
      <c r="BJ93" s="18">
        <v>7.1736111111111112E-2</v>
      </c>
      <c r="BK93">
        <v>0</v>
      </c>
      <c r="BL93">
        <v>0</v>
      </c>
      <c r="BM93">
        <v>0</v>
      </c>
      <c r="BN93" s="80">
        <f t="shared" si="113"/>
        <v>3.4995000000000003</v>
      </c>
    </row>
    <row r="94" spans="1:66" x14ac:dyDescent="0.25">
      <c r="A94" t="s">
        <v>111</v>
      </c>
      <c r="B94">
        <v>0</v>
      </c>
      <c r="C94" t="s">
        <v>7</v>
      </c>
      <c r="D94">
        <v>8704</v>
      </c>
      <c r="E94">
        <v>128</v>
      </c>
      <c r="F94">
        <v>1</v>
      </c>
      <c r="G94">
        <v>4</v>
      </c>
      <c r="H94">
        <v>99.14</v>
      </c>
      <c r="I94" s="62">
        <v>4.4353999999999996</v>
      </c>
      <c r="J94" s="16">
        <v>45549</v>
      </c>
      <c r="K94" s="18">
        <v>0.90873842592592591</v>
      </c>
      <c r="L94">
        <v>0</v>
      </c>
      <c r="M94">
        <v>0</v>
      </c>
      <c r="N94">
        <v>0</v>
      </c>
      <c r="O94" s="80">
        <f t="shared" ref="O94" si="115">AVERAGE(I94:I98)</f>
        <v>4.4226000000000001</v>
      </c>
      <c r="R94" t="s">
        <v>111</v>
      </c>
      <c r="S94">
        <v>0</v>
      </c>
      <c r="T94" t="s">
        <v>7</v>
      </c>
      <c r="U94">
        <v>8704</v>
      </c>
      <c r="V94">
        <v>128</v>
      </c>
      <c r="W94">
        <v>1</v>
      </c>
      <c r="X94">
        <v>4</v>
      </c>
      <c r="Y94">
        <v>99.42</v>
      </c>
      <c r="Z94" s="62">
        <v>4.4227999999999996</v>
      </c>
      <c r="AA94" s="16">
        <v>45559</v>
      </c>
      <c r="AB94" s="18">
        <v>0.55287037037037035</v>
      </c>
      <c r="AC94">
        <v>0</v>
      </c>
      <c r="AD94">
        <v>0</v>
      </c>
      <c r="AE94">
        <v>0</v>
      </c>
      <c r="AF94" s="80">
        <f t="shared" si="114"/>
        <v>4.7883800000000001</v>
      </c>
      <c r="AI94" t="s">
        <v>149</v>
      </c>
      <c r="AJ94">
        <v>0</v>
      </c>
      <c r="AK94" t="s">
        <v>7</v>
      </c>
      <c r="AL94">
        <v>8704</v>
      </c>
      <c r="AM94">
        <v>128</v>
      </c>
      <c r="AN94">
        <v>1</v>
      </c>
      <c r="AO94">
        <v>4</v>
      </c>
      <c r="AP94">
        <v>70.7</v>
      </c>
      <c r="AQ94" s="62">
        <v>6.2198000000000002</v>
      </c>
      <c r="AR94" s="16">
        <v>45559</v>
      </c>
      <c r="AS94" s="18">
        <v>0.53476851851851848</v>
      </c>
      <c r="AT94">
        <v>0</v>
      </c>
      <c r="AU94">
        <v>0</v>
      </c>
      <c r="AV94">
        <v>0</v>
      </c>
      <c r="AW94" s="80">
        <f t="shared" ref="AW94" si="116">AVERAGE(AQ94:AQ98)</f>
        <v>6.2111599999999996</v>
      </c>
      <c r="AZ94" t="s">
        <v>149</v>
      </c>
      <c r="BA94">
        <v>0</v>
      </c>
      <c r="BB94" t="s">
        <v>7</v>
      </c>
      <c r="BC94">
        <v>8704</v>
      </c>
      <c r="BD94">
        <v>128</v>
      </c>
      <c r="BE94">
        <v>1</v>
      </c>
      <c r="BF94">
        <v>4</v>
      </c>
      <c r="BG94">
        <v>126.73</v>
      </c>
      <c r="BH94" s="62">
        <v>3.4697</v>
      </c>
      <c r="BI94" s="16">
        <v>45559</v>
      </c>
      <c r="BJ94" s="18">
        <v>0.62837962962962968</v>
      </c>
      <c r="BK94">
        <v>0</v>
      </c>
      <c r="BL94">
        <v>0</v>
      </c>
      <c r="BM94">
        <v>0</v>
      </c>
      <c r="BN94" s="80">
        <f t="shared" ref="BN94" si="117">AVERAGE(BH94:BH98)</f>
        <v>3.4910999999999994</v>
      </c>
    </row>
    <row r="95" spans="1:66" x14ac:dyDescent="0.25">
      <c r="A95" t="s">
        <v>111</v>
      </c>
      <c r="B95">
        <v>1</v>
      </c>
      <c r="C95" t="s">
        <v>7</v>
      </c>
      <c r="D95">
        <v>8704</v>
      </c>
      <c r="E95">
        <v>128</v>
      </c>
      <c r="F95">
        <v>1</v>
      </c>
      <c r="G95">
        <v>4</v>
      </c>
      <c r="H95">
        <v>99.7</v>
      </c>
      <c r="I95" s="62">
        <v>4.4104000000000001</v>
      </c>
      <c r="J95" s="16">
        <v>45549</v>
      </c>
      <c r="K95" s="18">
        <v>0.98001157407407402</v>
      </c>
      <c r="L95">
        <v>0</v>
      </c>
      <c r="M95">
        <v>0</v>
      </c>
      <c r="N95">
        <v>0</v>
      </c>
      <c r="O95" s="80">
        <f t="shared" ref="O95" si="118">O94</f>
        <v>4.4226000000000001</v>
      </c>
      <c r="R95" t="s">
        <v>111</v>
      </c>
      <c r="S95">
        <v>1</v>
      </c>
      <c r="T95" t="s">
        <v>7</v>
      </c>
      <c r="U95">
        <v>8704</v>
      </c>
      <c r="V95">
        <v>128</v>
      </c>
      <c r="W95">
        <v>1</v>
      </c>
      <c r="X95">
        <v>4</v>
      </c>
      <c r="Y95">
        <v>99.63</v>
      </c>
      <c r="Z95" s="62">
        <v>4.4134000000000002</v>
      </c>
      <c r="AA95" s="16">
        <v>45559</v>
      </c>
      <c r="AB95" s="18">
        <v>0.62410879629629634</v>
      </c>
      <c r="AC95">
        <v>0</v>
      </c>
      <c r="AD95">
        <v>0</v>
      </c>
      <c r="AE95">
        <v>0</v>
      </c>
      <c r="AF95" s="80">
        <f t="shared" si="114"/>
        <v>4.7883800000000001</v>
      </c>
      <c r="AI95" t="s">
        <v>149</v>
      </c>
      <c r="AJ95">
        <v>1</v>
      </c>
      <c r="AK95" t="s">
        <v>7</v>
      </c>
      <c r="AL95">
        <v>8704</v>
      </c>
      <c r="AM95">
        <v>128</v>
      </c>
      <c r="AN95">
        <v>1</v>
      </c>
      <c r="AO95">
        <v>4</v>
      </c>
      <c r="AP95">
        <v>70.680000000000007</v>
      </c>
      <c r="AQ95" s="62">
        <v>6.2214</v>
      </c>
      <c r="AR95" s="16">
        <v>45559</v>
      </c>
      <c r="AS95" s="18">
        <v>0.58891203703703698</v>
      </c>
      <c r="AT95">
        <v>0</v>
      </c>
      <c r="AU95">
        <v>0</v>
      </c>
      <c r="AV95">
        <v>0</v>
      </c>
      <c r="AW95" s="80">
        <f t="shared" ref="AW95:AW98" si="119">AW94</f>
        <v>6.2111599999999996</v>
      </c>
      <c r="AZ95" t="s">
        <v>149</v>
      </c>
      <c r="BA95">
        <v>1</v>
      </c>
      <c r="BB95" t="s">
        <v>7</v>
      </c>
      <c r="BC95">
        <v>8704</v>
      </c>
      <c r="BD95">
        <v>128</v>
      </c>
      <c r="BE95">
        <v>1</v>
      </c>
      <c r="BF95">
        <v>4</v>
      </c>
      <c r="BG95">
        <v>125.49</v>
      </c>
      <c r="BH95" s="62">
        <v>3.5038999999999998</v>
      </c>
      <c r="BI95" s="16">
        <v>45559</v>
      </c>
      <c r="BJ95" s="18">
        <v>0.72371527777777778</v>
      </c>
      <c r="BK95">
        <v>0</v>
      </c>
      <c r="BL95">
        <v>0</v>
      </c>
      <c r="BM95">
        <v>0</v>
      </c>
      <c r="BN95" s="80">
        <f t="shared" ref="BN95:BN98" si="120">BN94</f>
        <v>3.4910999999999994</v>
      </c>
    </row>
    <row r="96" spans="1:66" x14ac:dyDescent="0.25">
      <c r="A96" t="s">
        <v>111</v>
      </c>
      <c r="B96">
        <v>2</v>
      </c>
      <c r="C96" t="s">
        <v>7</v>
      </c>
      <c r="D96">
        <v>8704</v>
      </c>
      <c r="E96">
        <v>128</v>
      </c>
      <c r="F96">
        <v>1</v>
      </c>
      <c r="G96">
        <v>4</v>
      </c>
      <c r="H96">
        <v>99.62</v>
      </c>
      <c r="I96" s="62">
        <v>4.4138999999999999</v>
      </c>
      <c r="J96" s="16">
        <v>45550</v>
      </c>
      <c r="K96" s="18">
        <v>5.1168981481481482E-2</v>
      </c>
      <c r="L96">
        <v>0</v>
      </c>
      <c r="M96">
        <v>0</v>
      </c>
      <c r="N96">
        <v>0</v>
      </c>
      <c r="O96" s="80">
        <f t="shared" si="98"/>
        <v>4.4226000000000001</v>
      </c>
      <c r="R96" t="s">
        <v>111</v>
      </c>
      <c r="S96">
        <v>2</v>
      </c>
      <c r="T96" t="s">
        <v>7</v>
      </c>
      <c r="U96">
        <v>8704</v>
      </c>
      <c r="V96">
        <v>128</v>
      </c>
      <c r="W96">
        <v>1</v>
      </c>
      <c r="X96">
        <v>4</v>
      </c>
      <c r="Y96">
        <v>99.42</v>
      </c>
      <c r="Z96" s="62">
        <v>4.423</v>
      </c>
      <c r="AA96" s="16">
        <v>45559</v>
      </c>
      <c r="AB96" s="18">
        <v>0.69534722222222223</v>
      </c>
      <c r="AC96">
        <v>0</v>
      </c>
      <c r="AD96">
        <v>0</v>
      </c>
      <c r="AE96">
        <v>0</v>
      </c>
      <c r="AF96" s="80">
        <f t="shared" si="114"/>
        <v>4.7883800000000001</v>
      </c>
      <c r="AI96" t="s">
        <v>149</v>
      </c>
      <c r="AJ96">
        <v>2</v>
      </c>
      <c r="AK96" t="s">
        <v>7</v>
      </c>
      <c r="AL96">
        <v>8704</v>
      </c>
      <c r="AM96">
        <v>128</v>
      </c>
      <c r="AN96">
        <v>1</v>
      </c>
      <c r="AO96">
        <v>4</v>
      </c>
      <c r="AP96">
        <v>70.87</v>
      </c>
      <c r="AQ96" s="62">
        <v>6.2050000000000001</v>
      </c>
      <c r="AR96" s="16">
        <v>45559</v>
      </c>
      <c r="AS96" s="18">
        <v>0.6431365740740741</v>
      </c>
      <c r="AT96">
        <v>0</v>
      </c>
      <c r="AU96">
        <v>0</v>
      </c>
      <c r="AV96">
        <v>0</v>
      </c>
      <c r="AW96" s="80">
        <f t="shared" si="119"/>
        <v>6.2111599999999996</v>
      </c>
      <c r="AZ96" t="s">
        <v>149</v>
      </c>
      <c r="BA96">
        <v>2</v>
      </c>
      <c r="BB96" t="s">
        <v>7</v>
      </c>
      <c r="BC96">
        <v>8704</v>
      </c>
      <c r="BD96">
        <v>128</v>
      </c>
      <c r="BE96">
        <v>1</v>
      </c>
      <c r="BF96">
        <v>4</v>
      </c>
      <c r="BG96">
        <v>121.47</v>
      </c>
      <c r="BH96" s="62">
        <v>3.62</v>
      </c>
      <c r="BI96" s="16">
        <v>45559</v>
      </c>
      <c r="BJ96" s="18">
        <v>0.81913194444444448</v>
      </c>
      <c r="BK96">
        <v>0</v>
      </c>
      <c r="BL96">
        <v>0</v>
      </c>
      <c r="BM96">
        <v>0</v>
      </c>
      <c r="BN96" s="80">
        <f t="shared" si="120"/>
        <v>3.4910999999999994</v>
      </c>
    </row>
    <row r="97" spans="1:66" x14ac:dyDescent="0.25">
      <c r="A97" t="s">
        <v>111</v>
      </c>
      <c r="B97">
        <v>3</v>
      </c>
      <c r="C97" t="s">
        <v>7</v>
      </c>
      <c r="D97">
        <v>8704</v>
      </c>
      <c r="E97">
        <v>128</v>
      </c>
      <c r="F97">
        <v>1</v>
      </c>
      <c r="G97">
        <v>4</v>
      </c>
      <c r="H97">
        <v>99.15</v>
      </c>
      <c r="I97" s="62">
        <v>4.4347000000000003</v>
      </c>
      <c r="J97" s="16">
        <v>45550</v>
      </c>
      <c r="K97" s="18">
        <v>0.12232638888888889</v>
      </c>
      <c r="L97">
        <v>0</v>
      </c>
      <c r="M97">
        <v>0</v>
      </c>
      <c r="N97">
        <v>0</v>
      </c>
      <c r="O97" s="80">
        <f t="shared" si="98"/>
        <v>4.4226000000000001</v>
      </c>
      <c r="R97" t="s">
        <v>111</v>
      </c>
      <c r="S97">
        <v>3</v>
      </c>
      <c r="T97" t="s">
        <v>7</v>
      </c>
      <c r="U97">
        <v>8704</v>
      </c>
      <c r="V97">
        <v>128</v>
      </c>
      <c r="W97">
        <v>1</v>
      </c>
      <c r="X97">
        <v>4</v>
      </c>
      <c r="Y97">
        <v>99.49</v>
      </c>
      <c r="Z97" s="62">
        <v>4.4198000000000004</v>
      </c>
      <c r="AA97" s="16">
        <v>45559</v>
      </c>
      <c r="AB97" s="18">
        <v>0.76663194444444449</v>
      </c>
      <c r="AC97">
        <v>0</v>
      </c>
      <c r="AD97">
        <v>0</v>
      </c>
      <c r="AE97">
        <v>0</v>
      </c>
      <c r="AF97" s="80">
        <f>AVERAGE(Z97:Z101)</f>
        <v>4.4131400000000003</v>
      </c>
      <c r="AI97" t="s">
        <v>149</v>
      </c>
      <c r="AJ97">
        <v>3</v>
      </c>
      <c r="AK97" t="s">
        <v>7</v>
      </c>
      <c r="AL97">
        <v>8704</v>
      </c>
      <c r="AM97">
        <v>128</v>
      </c>
      <c r="AN97">
        <v>1</v>
      </c>
      <c r="AO97">
        <v>4</v>
      </c>
      <c r="AP97">
        <v>70.94</v>
      </c>
      <c r="AQ97" s="62">
        <v>6.1986999999999997</v>
      </c>
      <c r="AR97" s="16">
        <v>45559</v>
      </c>
      <c r="AS97" s="18">
        <v>0.6972800925925926</v>
      </c>
      <c r="AT97">
        <v>0</v>
      </c>
      <c r="AU97">
        <v>0</v>
      </c>
      <c r="AV97">
        <v>0</v>
      </c>
      <c r="AW97" s="80">
        <f t="shared" si="119"/>
        <v>6.2111599999999996</v>
      </c>
      <c r="AZ97" t="s">
        <v>149</v>
      </c>
      <c r="BA97">
        <v>3</v>
      </c>
      <c r="BB97" t="s">
        <v>7</v>
      </c>
      <c r="BC97">
        <v>8704</v>
      </c>
      <c r="BD97">
        <v>128</v>
      </c>
      <c r="BE97">
        <v>1</v>
      </c>
      <c r="BF97">
        <v>4</v>
      </c>
      <c r="BG97">
        <v>128.69</v>
      </c>
      <c r="BH97" s="62">
        <v>3.4169</v>
      </c>
      <c r="BI97" s="16">
        <v>45559</v>
      </c>
      <c r="BJ97" s="18">
        <v>0.91491898148148143</v>
      </c>
      <c r="BK97">
        <v>0</v>
      </c>
      <c r="BL97">
        <v>0</v>
      </c>
      <c r="BM97">
        <v>0</v>
      </c>
      <c r="BN97" s="80">
        <f t="shared" si="120"/>
        <v>3.4910999999999994</v>
      </c>
    </row>
    <row r="98" spans="1:66" x14ac:dyDescent="0.25">
      <c r="A98" t="s">
        <v>111</v>
      </c>
      <c r="B98">
        <v>4</v>
      </c>
      <c r="C98" t="s">
        <v>7</v>
      </c>
      <c r="D98">
        <v>8704</v>
      </c>
      <c r="E98">
        <v>128</v>
      </c>
      <c r="F98">
        <v>1</v>
      </c>
      <c r="G98">
        <v>4</v>
      </c>
      <c r="H98">
        <v>99.52</v>
      </c>
      <c r="I98" s="62">
        <v>4.4185999999999996</v>
      </c>
      <c r="J98" s="16">
        <v>45550</v>
      </c>
      <c r="K98" s="18">
        <v>0.19351851851851851</v>
      </c>
      <c r="L98">
        <v>0</v>
      </c>
      <c r="M98">
        <v>0</v>
      </c>
      <c r="N98">
        <v>0</v>
      </c>
      <c r="O98" s="80">
        <f t="shared" si="98"/>
        <v>4.4226000000000001</v>
      </c>
      <c r="R98" t="s">
        <v>111</v>
      </c>
      <c r="S98">
        <v>4</v>
      </c>
      <c r="T98" t="s">
        <v>7</v>
      </c>
      <c r="U98">
        <v>8704</v>
      </c>
      <c r="V98">
        <v>128</v>
      </c>
      <c r="W98">
        <v>1</v>
      </c>
      <c r="X98">
        <v>4</v>
      </c>
      <c r="Y98">
        <v>99.48</v>
      </c>
      <c r="Z98" s="62">
        <v>4.4200999999999997</v>
      </c>
      <c r="AA98" s="16">
        <v>45559</v>
      </c>
      <c r="AB98" s="18">
        <v>0.83787037037037038</v>
      </c>
      <c r="AC98">
        <v>0</v>
      </c>
      <c r="AD98">
        <v>0</v>
      </c>
      <c r="AE98">
        <v>0</v>
      </c>
      <c r="AF98" s="80">
        <f>AF97</f>
        <v>4.4131400000000003</v>
      </c>
      <c r="AI98" t="s">
        <v>149</v>
      </c>
      <c r="AJ98">
        <v>4</v>
      </c>
      <c r="AK98" t="s">
        <v>7</v>
      </c>
      <c r="AL98">
        <v>8704</v>
      </c>
      <c r="AM98">
        <v>128</v>
      </c>
      <c r="AN98">
        <v>1</v>
      </c>
      <c r="AO98">
        <v>4</v>
      </c>
      <c r="AP98">
        <v>70.8</v>
      </c>
      <c r="AQ98" s="62">
        <v>6.2108999999999996</v>
      </c>
      <c r="AR98" s="16">
        <v>45559</v>
      </c>
      <c r="AS98" s="18">
        <v>0.7515856481481481</v>
      </c>
      <c r="AT98">
        <v>0</v>
      </c>
      <c r="AU98">
        <v>0</v>
      </c>
      <c r="AV98">
        <v>0</v>
      </c>
      <c r="AW98" s="80">
        <f t="shared" si="119"/>
        <v>6.2111599999999996</v>
      </c>
      <c r="AZ98" t="s">
        <v>149</v>
      </c>
      <c r="BA98">
        <v>4</v>
      </c>
      <c r="BB98" t="s">
        <v>7</v>
      </c>
      <c r="BC98">
        <v>8704</v>
      </c>
      <c r="BD98">
        <v>128</v>
      </c>
      <c r="BE98">
        <v>1</v>
      </c>
      <c r="BF98">
        <v>4</v>
      </c>
      <c r="BG98">
        <v>127.64</v>
      </c>
      <c r="BH98" s="62">
        <v>3.4449999999999998</v>
      </c>
      <c r="BI98" s="16">
        <v>45560</v>
      </c>
      <c r="BJ98" s="18">
        <v>1.0289351851851852E-2</v>
      </c>
      <c r="BK98">
        <v>0</v>
      </c>
      <c r="BL98">
        <v>0</v>
      </c>
      <c r="BM98">
        <v>0</v>
      </c>
      <c r="BN98" s="80">
        <f t="shared" si="120"/>
        <v>3.4910999999999994</v>
      </c>
    </row>
    <row r="99" spans="1:66" x14ac:dyDescent="0.25">
      <c r="A99" t="s">
        <v>111</v>
      </c>
      <c r="B99">
        <v>0</v>
      </c>
      <c r="C99" t="s">
        <v>7</v>
      </c>
      <c r="D99">
        <v>9216</v>
      </c>
      <c r="E99">
        <v>128</v>
      </c>
      <c r="F99">
        <v>1</v>
      </c>
      <c r="G99">
        <v>4</v>
      </c>
      <c r="H99">
        <v>118.71</v>
      </c>
      <c r="I99" s="62">
        <v>4.3970000000000002</v>
      </c>
      <c r="J99" s="16">
        <v>45549</v>
      </c>
      <c r="K99" s="18">
        <v>0.93048611111111112</v>
      </c>
      <c r="L99">
        <v>0</v>
      </c>
      <c r="M99">
        <v>0</v>
      </c>
      <c r="N99">
        <v>0</v>
      </c>
      <c r="O99" s="80">
        <f t="shared" ref="O99" si="121">AVERAGE(I99:I103)</f>
        <v>4.4003200000000007</v>
      </c>
      <c r="R99" t="s">
        <v>111</v>
      </c>
      <c r="S99">
        <v>0</v>
      </c>
      <c r="T99" t="s">
        <v>7</v>
      </c>
      <c r="U99">
        <v>9216</v>
      </c>
      <c r="V99">
        <v>128</v>
      </c>
      <c r="W99">
        <v>1</v>
      </c>
      <c r="X99">
        <v>4</v>
      </c>
      <c r="Y99">
        <v>118.66</v>
      </c>
      <c r="Z99" s="62">
        <v>4.3989000000000003</v>
      </c>
      <c r="AA99" s="16">
        <v>45559</v>
      </c>
      <c r="AB99" s="18">
        <v>0.57466435185185183</v>
      </c>
      <c r="AC99">
        <v>0</v>
      </c>
      <c r="AD99">
        <v>0</v>
      </c>
      <c r="AE99">
        <v>0</v>
      </c>
      <c r="AF99" s="80">
        <f>AF98</f>
        <v>4.4131400000000003</v>
      </c>
      <c r="AI99" t="s">
        <v>149</v>
      </c>
      <c r="AJ99">
        <v>0</v>
      </c>
      <c r="AK99" t="s">
        <v>7</v>
      </c>
      <c r="AL99">
        <v>9216</v>
      </c>
      <c r="AM99">
        <v>128</v>
      </c>
      <c r="AN99">
        <v>1</v>
      </c>
      <c r="AO99">
        <v>4</v>
      </c>
      <c r="AP99">
        <v>83.17</v>
      </c>
      <c r="AQ99" s="62">
        <v>6.2759999999999998</v>
      </c>
      <c r="AR99" s="16">
        <v>45559</v>
      </c>
      <c r="AS99" s="18">
        <v>0.55122685185185183</v>
      </c>
      <c r="AT99">
        <v>0</v>
      </c>
      <c r="AU99">
        <v>0</v>
      </c>
      <c r="AV99">
        <v>0</v>
      </c>
      <c r="AW99" s="80">
        <f t="shared" ref="AW99" si="122">AVERAGE(AQ99:AQ103)</f>
        <v>6.2800399999999996</v>
      </c>
      <c r="AZ99" t="s">
        <v>149</v>
      </c>
      <c r="BA99">
        <v>0</v>
      </c>
      <c r="BB99" t="s">
        <v>7</v>
      </c>
      <c r="BC99">
        <v>9216</v>
      </c>
      <c r="BD99">
        <v>128</v>
      </c>
      <c r="BE99">
        <v>1</v>
      </c>
      <c r="BF99">
        <v>4</v>
      </c>
      <c r="BG99">
        <v>138.55000000000001</v>
      </c>
      <c r="BH99" s="62">
        <v>3.7673999999999999</v>
      </c>
      <c r="BI99" s="16">
        <v>45559</v>
      </c>
      <c r="BJ99" s="18">
        <v>0.65796296296296297</v>
      </c>
      <c r="BK99">
        <v>0</v>
      </c>
      <c r="BL99">
        <v>0</v>
      </c>
      <c r="BM99">
        <v>0</v>
      </c>
      <c r="BN99" s="80">
        <f t="shared" ref="BN99" si="123">AVERAGE(BH99:BH103)</f>
        <v>3.7634600000000007</v>
      </c>
    </row>
    <row r="100" spans="1:66" x14ac:dyDescent="0.25">
      <c r="A100" t="s">
        <v>111</v>
      </c>
      <c r="B100">
        <v>1</v>
      </c>
      <c r="C100" t="s">
        <v>7</v>
      </c>
      <c r="D100">
        <v>9216</v>
      </c>
      <c r="E100">
        <v>128</v>
      </c>
      <c r="F100">
        <v>1</v>
      </c>
      <c r="G100">
        <v>4</v>
      </c>
      <c r="H100">
        <v>118.94</v>
      </c>
      <c r="I100" s="62">
        <v>4.3883000000000001</v>
      </c>
      <c r="J100" s="16">
        <v>45550</v>
      </c>
      <c r="K100" s="18">
        <v>1.7592592592592592E-3</v>
      </c>
      <c r="L100">
        <v>0</v>
      </c>
      <c r="M100">
        <v>0</v>
      </c>
      <c r="N100">
        <v>0</v>
      </c>
      <c r="O100" s="80">
        <f t="shared" ref="O100" si="124">O99</f>
        <v>4.4003200000000007</v>
      </c>
      <c r="R100" t="s">
        <v>111</v>
      </c>
      <c r="S100">
        <v>1</v>
      </c>
      <c r="T100" t="s">
        <v>7</v>
      </c>
      <c r="U100">
        <v>9216</v>
      </c>
      <c r="V100">
        <v>128</v>
      </c>
      <c r="W100">
        <v>1</v>
      </c>
      <c r="X100">
        <v>4</v>
      </c>
      <c r="Y100">
        <v>118.25</v>
      </c>
      <c r="Z100" s="62">
        <v>4.4139999999999997</v>
      </c>
      <c r="AA100" s="16">
        <v>45559</v>
      </c>
      <c r="AB100" s="18">
        <v>0.64591435185185186</v>
      </c>
      <c r="AC100">
        <v>0</v>
      </c>
      <c r="AD100">
        <v>0</v>
      </c>
      <c r="AE100">
        <v>0</v>
      </c>
      <c r="AF100" s="80">
        <f>AVERAGE(Z100:Z104)</f>
        <v>4.4275199999999995</v>
      </c>
      <c r="AI100" t="s">
        <v>149</v>
      </c>
      <c r="AJ100">
        <v>1</v>
      </c>
      <c r="AK100" t="s">
        <v>7</v>
      </c>
      <c r="AL100">
        <v>9216</v>
      </c>
      <c r="AM100">
        <v>128</v>
      </c>
      <c r="AN100">
        <v>1</v>
      </c>
      <c r="AO100">
        <v>4</v>
      </c>
      <c r="AP100">
        <v>83.13</v>
      </c>
      <c r="AQ100" s="62">
        <v>6.2790999999999997</v>
      </c>
      <c r="AR100" s="16">
        <v>45559</v>
      </c>
      <c r="AS100" s="18">
        <v>0.60538194444444449</v>
      </c>
      <c r="AT100">
        <v>0</v>
      </c>
      <c r="AU100">
        <v>0</v>
      </c>
      <c r="AV100">
        <v>0</v>
      </c>
      <c r="AW100" s="80">
        <f t="shared" ref="AW100:AW103" si="125">AW99</f>
        <v>6.2800399999999996</v>
      </c>
      <c r="AZ100" t="s">
        <v>149</v>
      </c>
      <c r="BA100">
        <v>1</v>
      </c>
      <c r="BB100" t="s">
        <v>7</v>
      </c>
      <c r="BC100">
        <v>9216</v>
      </c>
      <c r="BD100">
        <v>128</v>
      </c>
      <c r="BE100">
        <v>1</v>
      </c>
      <c r="BF100">
        <v>4</v>
      </c>
      <c r="BG100">
        <v>142.01</v>
      </c>
      <c r="BH100" s="62">
        <v>3.6756000000000002</v>
      </c>
      <c r="BI100" s="16">
        <v>45559</v>
      </c>
      <c r="BJ100" s="18">
        <v>0.75354166666666667</v>
      </c>
      <c r="BK100">
        <v>0</v>
      </c>
      <c r="BL100">
        <v>0</v>
      </c>
      <c r="BM100">
        <v>0</v>
      </c>
      <c r="BN100" s="80">
        <f t="shared" ref="BN100:BN103" si="126">BN99</f>
        <v>3.7634600000000007</v>
      </c>
    </row>
    <row r="101" spans="1:66" x14ac:dyDescent="0.25">
      <c r="A101" t="s">
        <v>111</v>
      </c>
      <c r="B101">
        <v>2</v>
      </c>
      <c r="C101" t="s">
        <v>7</v>
      </c>
      <c r="D101">
        <v>9216</v>
      </c>
      <c r="E101">
        <v>128</v>
      </c>
      <c r="F101">
        <v>1</v>
      </c>
      <c r="G101">
        <v>4</v>
      </c>
      <c r="H101">
        <v>118.48</v>
      </c>
      <c r="I101" s="62">
        <v>4.4055999999999997</v>
      </c>
      <c r="J101" s="16">
        <v>45550</v>
      </c>
      <c r="K101" s="18">
        <v>7.2893518518518524E-2</v>
      </c>
      <c r="L101">
        <v>0</v>
      </c>
      <c r="M101">
        <v>0</v>
      </c>
      <c r="N101">
        <v>0</v>
      </c>
      <c r="O101" s="80">
        <f t="shared" si="98"/>
        <v>4.4003200000000007</v>
      </c>
      <c r="R101" t="s">
        <v>111</v>
      </c>
      <c r="S101">
        <v>2</v>
      </c>
      <c r="T101" t="s">
        <v>7</v>
      </c>
      <c r="U101">
        <v>9216</v>
      </c>
      <c r="V101">
        <v>128</v>
      </c>
      <c r="W101">
        <v>1</v>
      </c>
      <c r="X101">
        <v>4</v>
      </c>
      <c r="Y101">
        <v>118.28</v>
      </c>
      <c r="Z101" s="62">
        <v>4.4128999999999996</v>
      </c>
      <c r="AA101" s="16">
        <v>45559</v>
      </c>
      <c r="AB101" s="18">
        <v>0.71715277777777775</v>
      </c>
      <c r="AC101">
        <v>0</v>
      </c>
      <c r="AD101">
        <v>0</v>
      </c>
      <c r="AE101">
        <v>0</v>
      </c>
      <c r="AF101" s="80">
        <f t="shared" ref="AF101:AF107" si="127">AF100</f>
        <v>4.4275199999999995</v>
      </c>
      <c r="AI101" t="s">
        <v>149</v>
      </c>
      <c r="AJ101">
        <v>2</v>
      </c>
      <c r="AK101" t="s">
        <v>7</v>
      </c>
      <c r="AL101">
        <v>9216</v>
      </c>
      <c r="AM101">
        <v>128</v>
      </c>
      <c r="AN101">
        <v>1</v>
      </c>
      <c r="AO101">
        <v>4</v>
      </c>
      <c r="AP101">
        <v>83.18</v>
      </c>
      <c r="AQ101" s="62">
        <v>6.2754000000000003</v>
      </c>
      <c r="AR101" s="16">
        <v>45559</v>
      </c>
      <c r="AS101" s="18">
        <v>0.65961805555555553</v>
      </c>
      <c r="AT101">
        <v>0</v>
      </c>
      <c r="AU101">
        <v>0</v>
      </c>
      <c r="AV101">
        <v>0</v>
      </c>
      <c r="AW101" s="80">
        <f t="shared" si="125"/>
        <v>6.2800399999999996</v>
      </c>
      <c r="AZ101" t="s">
        <v>149</v>
      </c>
      <c r="BA101">
        <v>2</v>
      </c>
      <c r="BB101" t="s">
        <v>7</v>
      </c>
      <c r="BC101">
        <v>9216</v>
      </c>
      <c r="BD101">
        <v>128</v>
      </c>
      <c r="BE101">
        <v>1</v>
      </c>
      <c r="BF101">
        <v>4</v>
      </c>
      <c r="BG101">
        <v>135.69999999999999</v>
      </c>
      <c r="BH101" s="62">
        <v>3.8464</v>
      </c>
      <c r="BI101" s="16">
        <v>45559</v>
      </c>
      <c r="BJ101" s="18">
        <v>0.84880787037037042</v>
      </c>
      <c r="BK101">
        <v>0</v>
      </c>
      <c r="BL101">
        <v>0</v>
      </c>
      <c r="BM101">
        <v>0</v>
      </c>
      <c r="BN101" s="80">
        <f t="shared" si="126"/>
        <v>3.7634600000000007</v>
      </c>
    </row>
    <row r="102" spans="1:66" x14ac:dyDescent="0.25">
      <c r="A102" t="s">
        <v>111</v>
      </c>
      <c r="B102">
        <v>3</v>
      </c>
      <c r="C102" t="s">
        <v>7</v>
      </c>
      <c r="D102">
        <v>9216</v>
      </c>
      <c r="E102">
        <v>128</v>
      </c>
      <c r="F102">
        <v>1</v>
      </c>
      <c r="G102">
        <v>4</v>
      </c>
      <c r="H102">
        <v>118.55</v>
      </c>
      <c r="I102" s="62">
        <v>4.4031000000000002</v>
      </c>
      <c r="J102" s="16">
        <v>45550</v>
      </c>
      <c r="K102" s="18">
        <v>0.14406250000000001</v>
      </c>
      <c r="L102">
        <v>0</v>
      </c>
      <c r="M102">
        <v>0</v>
      </c>
      <c r="N102">
        <v>0</v>
      </c>
      <c r="O102" s="80">
        <f t="shared" si="98"/>
        <v>4.4003200000000007</v>
      </c>
      <c r="R102" t="s">
        <v>111</v>
      </c>
      <c r="S102">
        <v>3</v>
      </c>
      <c r="T102" t="s">
        <v>7</v>
      </c>
      <c r="U102">
        <v>9216</v>
      </c>
      <c r="V102">
        <v>128</v>
      </c>
      <c r="W102">
        <v>1</v>
      </c>
      <c r="X102">
        <v>4</v>
      </c>
      <c r="Y102">
        <v>118.5</v>
      </c>
      <c r="Z102" s="62">
        <v>4.4048999999999996</v>
      </c>
      <c r="AA102" s="16">
        <v>45559</v>
      </c>
      <c r="AB102" s="18">
        <v>0.78842592592592597</v>
      </c>
      <c r="AC102">
        <v>0</v>
      </c>
      <c r="AD102">
        <v>0</v>
      </c>
      <c r="AE102">
        <v>0</v>
      </c>
      <c r="AF102" s="80">
        <f t="shared" si="127"/>
        <v>4.4275199999999995</v>
      </c>
      <c r="AI102" t="s">
        <v>149</v>
      </c>
      <c r="AJ102">
        <v>3</v>
      </c>
      <c r="AK102" t="s">
        <v>7</v>
      </c>
      <c r="AL102">
        <v>9216</v>
      </c>
      <c r="AM102">
        <v>128</v>
      </c>
      <c r="AN102">
        <v>1</v>
      </c>
      <c r="AO102">
        <v>4</v>
      </c>
      <c r="AP102">
        <v>83.06</v>
      </c>
      <c r="AQ102" s="62">
        <v>6.2842000000000002</v>
      </c>
      <c r="AR102" s="16">
        <v>45559</v>
      </c>
      <c r="AS102" s="18">
        <v>0.71376157407407403</v>
      </c>
      <c r="AT102">
        <v>0</v>
      </c>
      <c r="AU102">
        <v>0</v>
      </c>
      <c r="AV102">
        <v>0</v>
      </c>
      <c r="AW102" s="80">
        <f t="shared" si="125"/>
        <v>6.2800399999999996</v>
      </c>
      <c r="AZ102" t="s">
        <v>149</v>
      </c>
      <c r="BA102">
        <v>3</v>
      </c>
      <c r="BB102" t="s">
        <v>7</v>
      </c>
      <c r="BC102">
        <v>9216</v>
      </c>
      <c r="BD102">
        <v>128</v>
      </c>
      <c r="BE102">
        <v>1</v>
      </c>
      <c r="BF102">
        <v>4</v>
      </c>
      <c r="BG102">
        <v>136.4</v>
      </c>
      <c r="BH102" s="62">
        <v>3.8267000000000002</v>
      </c>
      <c r="BI102" s="16">
        <v>45559</v>
      </c>
      <c r="BJ102" s="18">
        <v>0.94422453703703701</v>
      </c>
      <c r="BK102">
        <v>0</v>
      </c>
      <c r="BL102">
        <v>0</v>
      </c>
      <c r="BM102">
        <v>0</v>
      </c>
      <c r="BN102" s="80">
        <f t="shared" si="126"/>
        <v>3.7634600000000007</v>
      </c>
    </row>
    <row r="103" spans="1:66" x14ac:dyDescent="0.25">
      <c r="A103" t="s">
        <v>111</v>
      </c>
      <c r="B103">
        <v>4</v>
      </c>
      <c r="C103" t="s">
        <v>7</v>
      </c>
      <c r="D103">
        <v>9216</v>
      </c>
      <c r="E103">
        <v>128</v>
      </c>
      <c r="F103">
        <v>1</v>
      </c>
      <c r="G103">
        <v>4</v>
      </c>
      <c r="H103">
        <v>118.42</v>
      </c>
      <c r="I103" s="62">
        <v>4.4076000000000004</v>
      </c>
      <c r="J103" s="16">
        <v>45550</v>
      </c>
      <c r="K103" s="18">
        <v>0.21525462962962963</v>
      </c>
      <c r="L103">
        <v>0</v>
      </c>
      <c r="M103">
        <v>0</v>
      </c>
      <c r="N103">
        <v>0</v>
      </c>
      <c r="O103" s="80">
        <f t="shared" si="98"/>
        <v>4.4003200000000007</v>
      </c>
      <c r="R103" t="s">
        <v>111</v>
      </c>
      <c r="S103">
        <v>4</v>
      </c>
      <c r="T103" t="s">
        <v>7</v>
      </c>
      <c r="U103">
        <v>9216</v>
      </c>
      <c r="V103">
        <v>128</v>
      </c>
      <c r="W103">
        <v>1</v>
      </c>
      <c r="X103">
        <v>4</v>
      </c>
      <c r="Y103">
        <v>118.22</v>
      </c>
      <c r="Z103" s="62">
        <v>4.4150999999999998</v>
      </c>
      <c r="AA103" s="16">
        <v>45559</v>
      </c>
      <c r="AB103" s="18">
        <v>0.85954861111111114</v>
      </c>
      <c r="AC103">
        <v>0</v>
      </c>
      <c r="AD103">
        <v>0</v>
      </c>
      <c r="AE103">
        <v>0</v>
      </c>
      <c r="AF103" s="80">
        <f t="shared" si="127"/>
        <v>4.4275199999999995</v>
      </c>
      <c r="AI103" t="s">
        <v>149</v>
      </c>
      <c r="AJ103">
        <v>4</v>
      </c>
      <c r="AK103" t="s">
        <v>7</v>
      </c>
      <c r="AL103">
        <v>9216</v>
      </c>
      <c r="AM103">
        <v>128</v>
      </c>
      <c r="AN103">
        <v>1</v>
      </c>
      <c r="AO103">
        <v>4</v>
      </c>
      <c r="AP103">
        <v>83.04</v>
      </c>
      <c r="AQ103" s="62">
        <v>6.2854999999999999</v>
      </c>
      <c r="AR103" s="16">
        <v>45559</v>
      </c>
      <c r="AS103" s="18">
        <v>0.76807870370370368</v>
      </c>
      <c r="AT103">
        <v>0</v>
      </c>
      <c r="AU103">
        <v>0</v>
      </c>
      <c r="AV103">
        <v>0</v>
      </c>
      <c r="AW103" s="80">
        <f t="shared" si="125"/>
        <v>6.2800399999999996</v>
      </c>
      <c r="AZ103" t="s">
        <v>149</v>
      </c>
      <c r="BA103">
        <v>4</v>
      </c>
      <c r="BB103" t="s">
        <v>7</v>
      </c>
      <c r="BC103">
        <v>9216</v>
      </c>
      <c r="BD103">
        <v>128</v>
      </c>
      <c r="BE103">
        <v>1</v>
      </c>
      <c r="BF103">
        <v>4</v>
      </c>
      <c r="BG103">
        <v>141.03</v>
      </c>
      <c r="BH103" s="62">
        <v>3.7012</v>
      </c>
      <c r="BI103" s="16">
        <v>45560</v>
      </c>
      <c r="BJ103" s="18">
        <v>3.9988425925925927E-2</v>
      </c>
      <c r="BK103">
        <v>0</v>
      </c>
      <c r="BL103">
        <v>0</v>
      </c>
      <c r="BM103">
        <v>0</v>
      </c>
      <c r="BN103" s="80">
        <f t="shared" si="126"/>
        <v>3.7634600000000007</v>
      </c>
    </row>
    <row r="104" spans="1:66" x14ac:dyDescent="0.25">
      <c r="A104" t="s">
        <v>111</v>
      </c>
      <c r="B104">
        <v>0</v>
      </c>
      <c r="C104" t="s">
        <v>7</v>
      </c>
      <c r="D104">
        <v>9728</v>
      </c>
      <c r="E104">
        <v>128</v>
      </c>
      <c r="F104">
        <v>1</v>
      </c>
      <c r="G104">
        <v>4</v>
      </c>
      <c r="H104">
        <v>136.75</v>
      </c>
      <c r="I104" s="62">
        <v>4.4889999999999999</v>
      </c>
      <c r="J104" s="16">
        <v>45549</v>
      </c>
      <c r="K104" s="18">
        <v>0.95598379629629626</v>
      </c>
      <c r="L104">
        <v>0</v>
      </c>
      <c r="M104">
        <v>0</v>
      </c>
      <c r="N104">
        <v>0</v>
      </c>
      <c r="O104" s="80">
        <f t="shared" ref="O104" si="128">AVERAGE(I104:I108)</f>
        <v>4.4779800000000005</v>
      </c>
      <c r="R104" t="s">
        <v>111</v>
      </c>
      <c r="S104">
        <v>0</v>
      </c>
      <c r="T104" t="s">
        <v>7</v>
      </c>
      <c r="U104">
        <v>9728</v>
      </c>
      <c r="V104">
        <v>128</v>
      </c>
      <c r="W104">
        <v>1</v>
      </c>
      <c r="X104">
        <v>4</v>
      </c>
      <c r="Y104">
        <v>136.69999999999999</v>
      </c>
      <c r="Z104" s="62">
        <v>4.4907000000000004</v>
      </c>
      <c r="AA104" s="16">
        <v>45559</v>
      </c>
      <c r="AB104" s="18">
        <v>0.60017361111111112</v>
      </c>
      <c r="AC104">
        <v>0</v>
      </c>
      <c r="AD104">
        <v>0</v>
      </c>
      <c r="AE104">
        <v>0</v>
      </c>
      <c r="AF104" s="80">
        <f t="shared" si="127"/>
        <v>4.4275199999999995</v>
      </c>
      <c r="AI104" t="s">
        <v>149</v>
      </c>
      <c r="AJ104">
        <v>0</v>
      </c>
      <c r="AK104" t="s">
        <v>7</v>
      </c>
      <c r="AL104">
        <v>9728</v>
      </c>
      <c r="AM104">
        <v>128</v>
      </c>
      <c r="AN104">
        <v>1</v>
      </c>
      <c r="AO104">
        <v>4</v>
      </c>
      <c r="AP104">
        <v>96.49</v>
      </c>
      <c r="AQ104" s="62">
        <v>6.3620999999999999</v>
      </c>
      <c r="AR104" s="16">
        <v>45559</v>
      </c>
      <c r="AS104" s="18">
        <v>0.57048611111111114</v>
      </c>
      <c r="AT104">
        <v>0</v>
      </c>
      <c r="AU104">
        <v>0</v>
      </c>
      <c r="AV104">
        <v>0</v>
      </c>
      <c r="AW104" s="80">
        <f t="shared" ref="AW104" si="129">AVERAGE(AQ104:AQ108)</f>
        <v>6.3523800000000001</v>
      </c>
      <c r="AZ104" t="s">
        <v>149</v>
      </c>
      <c r="BA104">
        <v>0</v>
      </c>
      <c r="BB104" t="s">
        <v>7</v>
      </c>
      <c r="BC104">
        <v>9728</v>
      </c>
      <c r="BD104">
        <v>128</v>
      </c>
      <c r="BE104">
        <v>1</v>
      </c>
      <c r="BF104">
        <v>4</v>
      </c>
      <c r="BG104">
        <v>160.47</v>
      </c>
      <c r="BH104" s="62">
        <v>3.8256000000000001</v>
      </c>
      <c r="BI104" s="16">
        <v>45559</v>
      </c>
      <c r="BJ104" s="18">
        <v>0.69131944444444449</v>
      </c>
      <c r="BK104">
        <v>0</v>
      </c>
      <c r="BL104">
        <v>0</v>
      </c>
      <c r="BM104">
        <v>0</v>
      </c>
      <c r="BN104" s="80">
        <f t="shared" ref="BN104" si="130">AVERAGE(BH104:BH108)</f>
        <v>3.8731</v>
      </c>
    </row>
    <row r="105" spans="1:66" x14ac:dyDescent="0.25">
      <c r="A105" t="s">
        <v>111</v>
      </c>
      <c r="B105">
        <v>1</v>
      </c>
      <c r="C105" t="s">
        <v>7</v>
      </c>
      <c r="D105">
        <v>9728</v>
      </c>
      <c r="E105">
        <v>128</v>
      </c>
      <c r="F105">
        <v>1</v>
      </c>
      <c r="G105">
        <v>4</v>
      </c>
      <c r="H105">
        <v>137.26</v>
      </c>
      <c r="I105" s="62">
        <v>4.4724000000000004</v>
      </c>
      <c r="J105" s="16">
        <v>45550</v>
      </c>
      <c r="K105" s="18">
        <v>2.7233796296296298E-2</v>
      </c>
      <c r="L105">
        <v>0</v>
      </c>
      <c r="M105">
        <v>0</v>
      </c>
      <c r="N105">
        <v>0</v>
      </c>
      <c r="O105" s="80">
        <f t="shared" ref="O105" si="131">O104</f>
        <v>4.4779800000000005</v>
      </c>
      <c r="R105" t="s">
        <v>111</v>
      </c>
      <c r="S105">
        <v>1</v>
      </c>
      <c r="T105" t="s">
        <v>7</v>
      </c>
      <c r="U105">
        <v>9728</v>
      </c>
      <c r="V105">
        <v>128</v>
      </c>
      <c r="W105">
        <v>1</v>
      </c>
      <c r="X105">
        <v>4</v>
      </c>
      <c r="Y105">
        <v>136.63999999999999</v>
      </c>
      <c r="Z105" s="62">
        <v>4.4926000000000004</v>
      </c>
      <c r="AA105" s="16">
        <v>45559</v>
      </c>
      <c r="AB105" s="18">
        <v>0.67140046296296296</v>
      </c>
      <c r="AC105">
        <v>0</v>
      </c>
      <c r="AD105">
        <v>0</v>
      </c>
      <c r="AE105">
        <v>0</v>
      </c>
      <c r="AF105" s="80">
        <f t="shared" si="127"/>
        <v>4.4275199999999995</v>
      </c>
      <c r="AI105" t="s">
        <v>149</v>
      </c>
      <c r="AJ105">
        <v>1</v>
      </c>
      <c r="AK105" t="s">
        <v>7</v>
      </c>
      <c r="AL105">
        <v>9728</v>
      </c>
      <c r="AM105">
        <v>128</v>
      </c>
      <c r="AN105">
        <v>1</v>
      </c>
      <c r="AO105">
        <v>4</v>
      </c>
      <c r="AP105">
        <v>96.83</v>
      </c>
      <c r="AQ105" s="62">
        <v>6.34</v>
      </c>
      <c r="AR105" s="16">
        <v>45559</v>
      </c>
      <c r="AS105" s="18">
        <v>0.62466435185185187</v>
      </c>
      <c r="AT105">
        <v>0</v>
      </c>
      <c r="AU105">
        <v>0</v>
      </c>
      <c r="AV105">
        <v>0</v>
      </c>
      <c r="AW105" s="80">
        <f t="shared" ref="AW105:AW108" si="132">AW104</f>
        <v>6.3523800000000001</v>
      </c>
      <c r="AZ105" t="s">
        <v>149</v>
      </c>
      <c r="BA105">
        <v>1</v>
      </c>
      <c r="BB105" t="s">
        <v>7</v>
      </c>
      <c r="BC105">
        <v>9728</v>
      </c>
      <c r="BD105">
        <v>128</v>
      </c>
      <c r="BE105">
        <v>1</v>
      </c>
      <c r="BF105">
        <v>4</v>
      </c>
      <c r="BG105">
        <v>157.30000000000001</v>
      </c>
      <c r="BH105" s="62">
        <v>3.9026000000000001</v>
      </c>
      <c r="BI105" s="16">
        <v>45559</v>
      </c>
      <c r="BJ105" s="18">
        <v>0.78681712962962957</v>
      </c>
      <c r="BK105">
        <v>0</v>
      </c>
      <c r="BL105">
        <v>0</v>
      </c>
      <c r="BM105">
        <v>0</v>
      </c>
      <c r="BN105" s="80">
        <f t="shared" ref="BN105:BN108" si="133">BN104</f>
        <v>3.8731</v>
      </c>
    </row>
    <row r="106" spans="1:66" x14ac:dyDescent="0.25">
      <c r="A106" t="s">
        <v>111</v>
      </c>
      <c r="B106">
        <v>2</v>
      </c>
      <c r="C106" t="s">
        <v>7</v>
      </c>
      <c r="D106">
        <v>9728</v>
      </c>
      <c r="E106">
        <v>128</v>
      </c>
      <c r="F106">
        <v>1</v>
      </c>
      <c r="G106">
        <v>4</v>
      </c>
      <c r="H106">
        <v>137.09</v>
      </c>
      <c r="I106" s="62">
        <v>4.4778000000000002</v>
      </c>
      <c r="J106" s="16">
        <v>45550</v>
      </c>
      <c r="K106" s="18">
        <v>9.8344907407407409E-2</v>
      </c>
      <c r="L106">
        <v>0</v>
      </c>
      <c r="M106">
        <v>0</v>
      </c>
      <c r="N106">
        <v>0</v>
      </c>
      <c r="O106" s="80">
        <f t="shared" si="98"/>
        <v>4.4779800000000005</v>
      </c>
      <c r="R106" t="s">
        <v>111</v>
      </c>
      <c r="S106">
        <v>2</v>
      </c>
      <c r="T106" t="s">
        <v>7</v>
      </c>
      <c r="U106">
        <v>9728</v>
      </c>
      <c r="V106">
        <v>128</v>
      </c>
      <c r="W106">
        <v>1</v>
      </c>
      <c r="X106">
        <v>4</v>
      </c>
      <c r="Y106">
        <v>137.07</v>
      </c>
      <c r="Z106" s="62">
        <v>4.4786000000000001</v>
      </c>
      <c r="AA106" s="16">
        <v>45559</v>
      </c>
      <c r="AB106" s="18">
        <v>0.74266203703703704</v>
      </c>
      <c r="AC106">
        <v>0</v>
      </c>
      <c r="AD106">
        <v>0</v>
      </c>
      <c r="AE106">
        <v>0</v>
      </c>
      <c r="AF106" s="80">
        <f t="shared" si="127"/>
        <v>4.4275199999999995</v>
      </c>
      <c r="AI106" t="s">
        <v>149</v>
      </c>
      <c r="AJ106">
        <v>2</v>
      </c>
      <c r="AK106" t="s">
        <v>7</v>
      </c>
      <c r="AL106">
        <v>9728</v>
      </c>
      <c r="AM106">
        <v>128</v>
      </c>
      <c r="AN106">
        <v>1</v>
      </c>
      <c r="AO106">
        <v>4</v>
      </c>
      <c r="AP106">
        <v>96.63</v>
      </c>
      <c r="AQ106" s="62">
        <v>6.3529999999999998</v>
      </c>
      <c r="AR106" s="16">
        <v>45559</v>
      </c>
      <c r="AS106" s="18">
        <v>0.67890046296296291</v>
      </c>
      <c r="AT106">
        <v>0</v>
      </c>
      <c r="AU106">
        <v>0</v>
      </c>
      <c r="AV106">
        <v>0</v>
      </c>
      <c r="AW106" s="80">
        <f t="shared" si="132"/>
        <v>6.3523800000000001</v>
      </c>
      <c r="AZ106" t="s">
        <v>149</v>
      </c>
      <c r="BA106">
        <v>2</v>
      </c>
      <c r="BB106" t="s">
        <v>7</v>
      </c>
      <c r="BC106">
        <v>9728</v>
      </c>
      <c r="BD106">
        <v>128</v>
      </c>
      <c r="BE106">
        <v>1</v>
      </c>
      <c r="BF106">
        <v>4</v>
      </c>
      <c r="BG106">
        <v>159</v>
      </c>
      <c r="BH106" s="62">
        <v>3.8607999999999998</v>
      </c>
      <c r="BI106" s="16">
        <v>45559</v>
      </c>
      <c r="BJ106" s="18">
        <v>0.88254629629629633</v>
      </c>
      <c r="BK106">
        <v>0</v>
      </c>
      <c r="BL106">
        <v>0</v>
      </c>
      <c r="BM106">
        <v>0</v>
      </c>
      <c r="BN106" s="80">
        <f t="shared" si="133"/>
        <v>3.8731</v>
      </c>
    </row>
    <row r="107" spans="1:66" x14ac:dyDescent="0.25">
      <c r="A107" t="s">
        <v>111</v>
      </c>
      <c r="B107">
        <v>3</v>
      </c>
      <c r="C107" t="s">
        <v>7</v>
      </c>
      <c r="D107">
        <v>9728</v>
      </c>
      <c r="E107">
        <v>128</v>
      </c>
      <c r="F107">
        <v>1</v>
      </c>
      <c r="G107">
        <v>4</v>
      </c>
      <c r="H107">
        <v>137.06</v>
      </c>
      <c r="I107" s="62">
        <v>4.4790000000000001</v>
      </c>
      <c r="J107" s="16">
        <v>45550</v>
      </c>
      <c r="K107" s="18">
        <v>0.16952546296296298</v>
      </c>
      <c r="L107">
        <v>0</v>
      </c>
      <c r="M107">
        <v>0</v>
      </c>
      <c r="N107">
        <v>0</v>
      </c>
      <c r="O107" s="80">
        <f t="shared" si="98"/>
        <v>4.4779800000000005</v>
      </c>
      <c r="R107" t="s">
        <v>111</v>
      </c>
      <c r="S107">
        <v>3</v>
      </c>
      <c r="T107" t="s">
        <v>7</v>
      </c>
      <c r="U107">
        <v>9728</v>
      </c>
      <c r="V107">
        <v>128</v>
      </c>
      <c r="W107">
        <v>1</v>
      </c>
      <c r="X107">
        <v>4</v>
      </c>
      <c r="Y107">
        <v>136.81</v>
      </c>
      <c r="Z107" s="62">
        <v>4.4870999999999999</v>
      </c>
      <c r="AA107" s="16">
        <v>45559</v>
      </c>
      <c r="AB107" s="18">
        <v>0.81400462962962961</v>
      </c>
      <c r="AC107">
        <v>0</v>
      </c>
      <c r="AD107">
        <v>0</v>
      </c>
      <c r="AE107">
        <v>0</v>
      </c>
      <c r="AF107" s="80">
        <f t="shared" si="127"/>
        <v>4.4275199999999995</v>
      </c>
      <c r="AI107" t="s">
        <v>149</v>
      </c>
      <c r="AJ107">
        <v>3</v>
      </c>
      <c r="AK107" t="s">
        <v>7</v>
      </c>
      <c r="AL107">
        <v>9728</v>
      </c>
      <c r="AM107">
        <v>128</v>
      </c>
      <c r="AN107">
        <v>1</v>
      </c>
      <c r="AO107">
        <v>4</v>
      </c>
      <c r="AP107">
        <v>96.7</v>
      </c>
      <c r="AQ107" s="62">
        <v>6.3483999999999998</v>
      </c>
      <c r="AR107" s="16">
        <v>45559</v>
      </c>
      <c r="AS107" s="18">
        <v>0.73304398148148153</v>
      </c>
      <c r="AT107">
        <v>0</v>
      </c>
      <c r="AU107">
        <v>0</v>
      </c>
      <c r="AV107">
        <v>0</v>
      </c>
      <c r="AW107" s="80">
        <f t="shared" si="132"/>
        <v>6.3523800000000001</v>
      </c>
      <c r="AZ107" t="s">
        <v>149</v>
      </c>
      <c r="BA107">
        <v>3</v>
      </c>
      <c r="BB107" t="s">
        <v>7</v>
      </c>
      <c r="BC107">
        <v>9728</v>
      </c>
      <c r="BD107">
        <v>128</v>
      </c>
      <c r="BE107">
        <v>1</v>
      </c>
      <c r="BF107">
        <v>4</v>
      </c>
      <c r="BG107">
        <v>154.63999999999999</v>
      </c>
      <c r="BH107" s="62">
        <v>3.9698000000000002</v>
      </c>
      <c r="BI107" s="16">
        <v>45559</v>
      </c>
      <c r="BJ107" s="18">
        <v>0.97780092592592593</v>
      </c>
      <c r="BK107">
        <v>0</v>
      </c>
      <c r="BL107">
        <v>0</v>
      </c>
      <c r="BM107">
        <v>0</v>
      </c>
      <c r="BN107" s="80">
        <f t="shared" si="133"/>
        <v>3.8731</v>
      </c>
    </row>
    <row r="108" spans="1:66" x14ac:dyDescent="0.25">
      <c r="A108" t="s">
        <v>111</v>
      </c>
      <c r="B108">
        <v>4</v>
      </c>
      <c r="C108" t="s">
        <v>7</v>
      </c>
      <c r="D108">
        <v>9728</v>
      </c>
      <c r="E108">
        <v>128</v>
      </c>
      <c r="F108">
        <v>1</v>
      </c>
      <c r="G108">
        <v>4</v>
      </c>
      <c r="H108">
        <v>137.28</v>
      </c>
      <c r="I108" s="62">
        <v>4.4717000000000002</v>
      </c>
      <c r="J108" s="16">
        <v>45550</v>
      </c>
      <c r="K108" s="18">
        <v>0.24071759259259259</v>
      </c>
      <c r="L108">
        <v>0</v>
      </c>
      <c r="M108">
        <v>0</v>
      </c>
      <c r="N108">
        <v>0</v>
      </c>
      <c r="O108" s="80">
        <f t="shared" si="98"/>
        <v>4.4779800000000005</v>
      </c>
      <c r="R108" t="s">
        <v>111</v>
      </c>
      <c r="S108">
        <v>4</v>
      </c>
      <c r="T108" t="s">
        <v>7</v>
      </c>
      <c r="U108">
        <v>9728</v>
      </c>
      <c r="V108">
        <v>128</v>
      </c>
      <c r="W108">
        <v>1</v>
      </c>
      <c r="X108">
        <v>4</v>
      </c>
      <c r="Y108">
        <v>136.97999999999999</v>
      </c>
      <c r="Z108" s="62">
        <v>4.4814999999999996</v>
      </c>
      <c r="AA108" s="16">
        <v>45559</v>
      </c>
      <c r="AB108" s="18">
        <v>0.88494212962962959</v>
      </c>
      <c r="AC108">
        <v>0</v>
      </c>
      <c r="AD108">
        <v>0</v>
      </c>
      <c r="AE108">
        <v>0</v>
      </c>
      <c r="AF108" s="80">
        <f>AVERAGE(Z108:Z112)</f>
        <v>4.7516400000000001</v>
      </c>
      <c r="AI108" t="s">
        <v>149</v>
      </c>
      <c r="AJ108">
        <v>4</v>
      </c>
      <c r="AK108" t="s">
        <v>7</v>
      </c>
      <c r="AL108">
        <v>9728</v>
      </c>
      <c r="AM108">
        <v>128</v>
      </c>
      <c r="AN108">
        <v>1</v>
      </c>
      <c r="AO108">
        <v>4</v>
      </c>
      <c r="AP108">
        <v>96.55</v>
      </c>
      <c r="AQ108" s="62">
        <v>6.3583999999999996</v>
      </c>
      <c r="AR108" s="16">
        <v>45559</v>
      </c>
      <c r="AS108" s="18">
        <v>0.78736111111111107</v>
      </c>
      <c r="AT108">
        <v>0</v>
      </c>
      <c r="AU108">
        <v>0</v>
      </c>
      <c r="AV108">
        <v>0</v>
      </c>
      <c r="AW108" s="80">
        <f t="shared" si="132"/>
        <v>6.3523800000000001</v>
      </c>
      <c r="AZ108" t="s">
        <v>149</v>
      </c>
      <c r="BA108">
        <v>4</v>
      </c>
      <c r="BB108" t="s">
        <v>7</v>
      </c>
      <c r="BC108">
        <v>9728</v>
      </c>
      <c r="BD108">
        <v>128</v>
      </c>
      <c r="BE108">
        <v>1</v>
      </c>
      <c r="BF108">
        <v>4</v>
      </c>
      <c r="BG108">
        <v>161.26</v>
      </c>
      <c r="BH108" s="62">
        <v>3.8067000000000002</v>
      </c>
      <c r="BI108" s="16">
        <v>45560</v>
      </c>
      <c r="BJ108" s="18">
        <v>7.3761574074074077E-2</v>
      </c>
      <c r="BK108">
        <v>0</v>
      </c>
      <c r="BL108">
        <v>0</v>
      </c>
      <c r="BM108">
        <v>0</v>
      </c>
      <c r="BN108" s="80">
        <f t="shared" si="133"/>
        <v>3.8731</v>
      </c>
    </row>
    <row r="109" spans="1:66" x14ac:dyDescent="0.25">
      <c r="A109" t="s">
        <v>111</v>
      </c>
      <c r="B109">
        <v>0</v>
      </c>
      <c r="C109" t="s">
        <v>7</v>
      </c>
      <c r="D109">
        <v>8704</v>
      </c>
      <c r="E109">
        <v>128</v>
      </c>
      <c r="F109">
        <v>2</v>
      </c>
      <c r="G109">
        <v>2</v>
      </c>
      <c r="H109">
        <v>91.55</v>
      </c>
      <c r="I109" s="62">
        <v>4.8032000000000004</v>
      </c>
      <c r="J109" s="16">
        <v>45549</v>
      </c>
      <c r="K109" s="18">
        <v>0.90993055555555558</v>
      </c>
      <c r="L109">
        <v>0</v>
      </c>
      <c r="M109">
        <v>0</v>
      </c>
      <c r="N109">
        <v>0</v>
      </c>
      <c r="O109" s="80">
        <f t="shared" ref="O109" si="134">AVERAGE(I109:I113)</f>
        <v>4.7935800000000004</v>
      </c>
      <c r="R109" t="s">
        <v>111</v>
      </c>
      <c r="S109">
        <v>0</v>
      </c>
      <c r="T109" t="s">
        <v>7</v>
      </c>
      <c r="U109">
        <v>8704</v>
      </c>
      <c r="V109">
        <v>128</v>
      </c>
      <c r="W109">
        <v>2</v>
      </c>
      <c r="X109">
        <v>2</v>
      </c>
      <c r="Y109">
        <v>91.25</v>
      </c>
      <c r="Z109" s="62">
        <v>4.819</v>
      </c>
      <c r="AA109" s="16">
        <v>45559</v>
      </c>
      <c r="AB109" s="18">
        <v>0.55405092592592597</v>
      </c>
      <c r="AC109">
        <v>0</v>
      </c>
      <c r="AD109">
        <v>0</v>
      </c>
      <c r="AE109">
        <v>0</v>
      </c>
      <c r="AF109" s="80">
        <f>AF108</f>
        <v>4.7516400000000001</v>
      </c>
      <c r="AI109" t="s">
        <v>149</v>
      </c>
      <c r="AJ109">
        <v>0</v>
      </c>
      <c r="AK109" t="s">
        <v>7</v>
      </c>
      <c r="AL109">
        <v>8704</v>
      </c>
      <c r="AM109">
        <v>128</v>
      </c>
      <c r="AN109">
        <v>2</v>
      </c>
      <c r="AO109">
        <v>2</v>
      </c>
      <c r="AP109">
        <v>70.58</v>
      </c>
      <c r="AQ109" s="62">
        <v>6.2302</v>
      </c>
      <c r="AR109" s="16">
        <v>45559</v>
      </c>
      <c r="AS109" s="18">
        <v>0.53571759259259255</v>
      </c>
      <c r="AT109">
        <v>0</v>
      </c>
      <c r="AU109">
        <v>0</v>
      </c>
      <c r="AV109">
        <v>0</v>
      </c>
      <c r="AW109" s="80">
        <f t="shared" ref="AW109" si="135">AVERAGE(AQ109:AQ113)</f>
        <v>6.2040800000000003</v>
      </c>
      <c r="AZ109" t="s">
        <v>149</v>
      </c>
      <c r="BA109">
        <v>0</v>
      </c>
      <c r="BB109" t="s">
        <v>7</v>
      </c>
      <c r="BC109">
        <v>8704</v>
      </c>
      <c r="BD109">
        <v>128</v>
      </c>
      <c r="BE109">
        <v>2</v>
      </c>
      <c r="BF109">
        <v>2</v>
      </c>
      <c r="BG109">
        <v>148.05000000000001</v>
      </c>
      <c r="BH109" s="62">
        <v>2.9701</v>
      </c>
      <c r="BI109" s="16">
        <v>45559</v>
      </c>
      <c r="BJ109" s="18">
        <v>0.63023148148148145</v>
      </c>
      <c r="BK109">
        <v>0</v>
      </c>
      <c r="BL109">
        <v>0</v>
      </c>
      <c r="BM109">
        <v>0</v>
      </c>
      <c r="BN109" s="80">
        <f t="shared" ref="BN109" si="136">AVERAGE(BH109:BH113)</f>
        <v>2.8968400000000001</v>
      </c>
    </row>
    <row r="110" spans="1:66" x14ac:dyDescent="0.25">
      <c r="A110" t="s">
        <v>111</v>
      </c>
      <c r="B110">
        <v>1</v>
      </c>
      <c r="C110" t="s">
        <v>7</v>
      </c>
      <c r="D110">
        <v>8704</v>
      </c>
      <c r="E110">
        <v>128</v>
      </c>
      <c r="F110">
        <v>2</v>
      </c>
      <c r="G110">
        <v>2</v>
      </c>
      <c r="H110">
        <v>91.65</v>
      </c>
      <c r="I110" s="62">
        <v>4.7979000000000003</v>
      </c>
      <c r="J110" s="16">
        <v>45549</v>
      </c>
      <c r="K110" s="18">
        <v>0.98120370370370369</v>
      </c>
      <c r="L110">
        <v>0</v>
      </c>
      <c r="M110">
        <v>0</v>
      </c>
      <c r="N110">
        <v>0</v>
      </c>
      <c r="O110" s="80">
        <f t="shared" ref="O110" si="137">O109</f>
        <v>4.7935800000000004</v>
      </c>
      <c r="R110" t="s">
        <v>111</v>
      </c>
      <c r="S110">
        <v>1</v>
      </c>
      <c r="T110" t="s">
        <v>7</v>
      </c>
      <c r="U110">
        <v>8704</v>
      </c>
      <c r="V110">
        <v>128</v>
      </c>
      <c r="W110">
        <v>2</v>
      </c>
      <c r="X110">
        <v>2</v>
      </c>
      <c r="Y110">
        <v>91.23</v>
      </c>
      <c r="Z110" s="62">
        <v>4.8197000000000001</v>
      </c>
      <c r="AA110" s="16">
        <v>45559</v>
      </c>
      <c r="AB110" s="18">
        <v>0.6253009259259259</v>
      </c>
      <c r="AC110">
        <v>0</v>
      </c>
      <c r="AD110">
        <v>0</v>
      </c>
      <c r="AE110">
        <v>0</v>
      </c>
      <c r="AF110" s="80">
        <f>AVERAGE(Z110:Z114)</f>
        <v>4.8007800000000005</v>
      </c>
      <c r="AI110" t="s">
        <v>149</v>
      </c>
      <c r="AJ110">
        <v>1</v>
      </c>
      <c r="AK110" t="s">
        <v>7</v>
      </c>
      <c r="AL110">
        <v>8704</v>
      </c>
      <c r="AM110">
        <v>128</v>
      </c>
      <c r="AN110">
        <v>2</v>
      </c>
      <c r="AO110">
        <v>2</v>
      </c>
      <c r="AP110">
        <v>70.77</v>
      </c>
      <c r="AQ110" s="62">
        <v>6.2135999999999996</v>
      </c>
      <c r="AR110" s="16">
        <v>45559</v>
      </c>
      <c r="AS110" s="18">
        <v>0.58984953703703702</v>
      </c>
      <c r="AT110">
        <v>0</v>
      </c>
      <c r="AU110">
        <v>0</v>
      </c>
      <c r="AV110">
        <v>0</v>
      </c>
      <c r="AW110" s="80">
        <f t="shared" ref="AW110:AW113" si="138">AW109</f>
        <v>6.2040800000000003</v>
      </c>
      <c r="AZ110" t="s">
        <v>149</v>
      </c>
      <c r="BA110">
        <v>1</v>
      </c>
      <c r="BB110" t="s">
        <v>7</v>
      </c>
      <c r="BC110">
        <v>8704</v>
      </c>
      <c r="BD110">
        <v>128</v>
      </c>
      <c r="BE110">
        <v>2</v>
      </c>
      <c r="BF110">
        <v>2</v>
      </c>
      <c r="BG110">
        <v>158.1</v>
      </c>
      <c r="BH110" s="62">
        <v>2.7812000000000001</v>
      </c>
      <c r="BI110" s="16">
        <v>45559</v>
      </c>
      <c r="BJ110" s="18">
        <v>0.72568287037037038</v>
      </c>
      <c r="BK110">
        <v>0</v>
      </c>
      <c r="BL110">
        <v>0</v>
      </c>
      <c r="BM110">
        <v>0</v>
      </c>
      <c r="BN110" s="80">
        <f t="shared" ref="BN110:BN113" si="139">BN109</f>
        <v>2.8968400000000001</v>
      </c>
    </row>
    <row r="111" spans="1:66" x14ac:dyDescent="0.25">
      <c r="A111" t="s">
        <v>111</v>
      </c>
      <c r="B111">
        <v>2</v>
      </c>
      <c r="C111" t="s">
        <v>7</v>
      </c>
      <c r="D111">
        <v>8704</v>
      </c>
      <c r="E111">
        <v>128</v>
      </c>
      <c r="F111">
        <v>2</v>
      </c>
      <c r="G111">
        <v>2</v>
      </c>
      <c r="H111">
        <v>91.86</v>
      </c>
      <c r="I111" s="62">
        <v>4.7869999999999999</v>
      </c>
      <c r="J111" s="16">
        <v>45550</v>
      </c>
      <c r="K111" s="18">
        <v>5.2349537037037035E-2</v>
      </c>
      <c r="L111">
        <v>0</v>
      </c>
      <c r="M111">
        <v>0</v>
      </c>
      <c r="N111">
        <v>0</v>
      </c>
      <c r="O111" s="80">
        <f t="shared" si="98"/>
        <v>4.7935800000000004</v>
      </c>
      <c r="R111" t="s">
        <v>111</v>
      </c>
      <c r="S111">
        <v>2</v>
      </c>
      <c r="T111" t="s">
        <v>7</v>
      </c>
      <c r="U111">
        <v>8704</v>
      </c>
      <c r="V111">
        <v>128</v>
      </c>
      <c r="W111">
        <v>2</v>
      </c>
      <c r="X111">
        <v>2</v>
      </c>
      <c r="Y111">
        <v>91.25</v>
      </c>
      <c r="Z111" s="62">
        <v>4.8190999999999997</v>
      </c>
      <c r="AA111" s="16">
        <v>45559</v>
      </c>
      <c r="AB111" s="18">
        <v>0.6965393518518519</v>
      </c>
      <c r="AC111">
        <v>0</v>
      </c>
      <c r="AD111">
        <v>0</v>
      </c>
      <c r="AE111">
        <v>0</v>
      </c>
      <c r="AF111" s="80">
        <f t="shared" ref="AF111:AF117" si="140">AF110</f>
        <v>4.8007800000000005</v>
      </c>
      <c r="AI111" t="s">
        <v>149</v>
      </c>
      <c r="AJ111">
        <v>2</v>
      </c>
      <c r="AK111" t="s">
        <v>7</v>
      </c>
      <c r="AL111">
        <v>8704</v>
      </c>
      <c r="AM111">
        <v>128</v>
      </c>
      <c r="AN111">
        <v>2</v>
      </c>
      <c r="AO111">
        <v>2</v>
      </c>
      <c r="AP111">
        <v>70.88</v>
      </c>
      <c r="AQ111" s="62">
        <v>6.2042000000000002</v>
      </c>
      <c r="AR111" s="16">
        <v>45559</v>
      </c>
      <c r="AS111" s="18">
        <v>0.64408564814814817</v>
      </c>
      <c r="AT111">
        <v>0</v>
      </c>
      <c r="AU111">
        <v>0</v>
      </c>
      <c r="AV111">
        <v>0</v>
      </c>
      <c r="AW111" s="80">
        <f t="shared" si="138"/>
        <v>6.2040800000000003</v>
      </c>
      <c r="AZ111" t="s">
        <v>149</v>
      </c>
      <c r="BA111">
        <v>2</v>
      </c>
      <c r="BB111" t="s">
        <v>7</v>
      </c>
      <c r="BC111">
        <v>8704</v>
      </c>
      <c r="BD111">
        <v>128</v>
      </c>
      <c r="BE111">
        <v>2</v>
      </c>
      <c r="BF111">
        <v>2</v>
      </c>
      <c r="BG111">
        <v>155.66</v>
      </c>
      <c r="BH111" s="62">
        <v>2.8249</v>
      </c>
      <c r="BI111" s="16">
        <v>45559</v>
      </c>
      <c r="BJ111" s="18">
        <v>0.82105324074074071</v>
      </c>
      <c r="BK111">
        <v>0</v>
      </c>
      <c r="BL111">
        <v>0</v>
      </c>
      <c r="BM111">
        <v>0</v>
      </c>
      <c r="BN111" s="80">
        <f t="shared" si="139"/>
        <v>2.8968400000000001</v>
      </c>
    </row>
    <row r="112" spans="1:66" x14ac:dyDescent="0.25">
      <c r="A112" t="s">
        <v>111</v>
      </c>
      <c r="B112">
        <v>3</v>
      </c>
      <c r="C112" t="s">
        <v>7</v>
      </c>
      <c r="D112">
        <v>8704</v>
      </c>
      <c r="E112">
        <v>128</v>
      </c>
      <c r="F112">
        <v>2</v>
      </c>
      <c r="G112">
        <v>2</v>
      </c>
      <c r="H112">
        <v>91.94</v>
      </c>
      <c r="I112" s="62">
        <v>4.7827000000000002</v>
      </c>
      <c r="J112" s="16">
        <v>45550</v>
      </c>
      <c r="K112" s="18">
        <v>0.12350694444444445</v>
      </c>
      <c r="L112">
        <v>0</v>
      </c>
      <c r="M112">
        <v>0</v>
      </c>
      <c r="N112">
        <v>0</v>
      </c>
      <c r="O112" s="80">
        <f t="shared" si="98"/>
        <v>4.7935800000000004</v>
      </c>
      <c r="R112" t="s">
        <v>111</v>
      </c>
      <c r="S112">
        <v>3</v>
      </c>
      <c r="T112" t="s">
        <v>7</v>
      </c>
      <c r="U112">
        <v>8704</v>
      </c>
      <c r="V112">
        <v>128</v>
      </c>
      <c r="W112">
        <v>2</v>
      </c>
      <c r="X112">
        <v>2</v>
      </c>
      <c r="Y112">
        <v>91.25</v>
      </c>
      <c r="Z112" s="62">
        <v>4.8189000000000002</v>
      </c>
      <c r="AA112" s="16">
        <v>45559</v>
      </c>
      <c r="AB112" s="18">
        <v>0.76782407407407405</v>
      </c>
      <c r="AC112">
        <v>0</v>
      </c>
      <c r="AD112">
        <v>0</v>
      </c>
      <c r="AE112">
        <v>0</v>
      </c>
      <c r="AF112" s="80">
        <f t="shared" si="140"/>
        <v>4.8007800000000005</v>
      </c>
      <c r="AI112" t="s">
        <v>149</v>
      </c>
      <c r="AJ112">
        <v>3</v>
      </c>
      <c r="AK112" t="s">
        <v>7</v>
      </c>
      <c r="AL112">
        <v>8704</v>
      </c>
      <c r="AM112">
        <v>128</v>
      </c>
      <c r="AN112">
        <v>2</v>
      </c>
      <c r="AO112">
        <v>2</v>
      </c>
      <c r="AP112">
        <v>71.09</v>
      </c>
      <c r="AQ112" s="62">
        <v>6.1856999999999998</v>
      </c>
      <c r="AR112" s="16">
        <v>45559</v>
      </c>
      <c r="AS112" s="18">
        <v>0.69822916666666668</v>
      </c>
      <c r="AT112">
        <v>0</v>
      </c>
      <c r="AU112">
        <v>0</v>
      </c>
      <c r="AV112">
        <v>0</v>
      </c>
      <c r="AW112" s="80">
        <f t="shared" si="138"/>
        <v>6.2040800000000003</v>
      </c>
      <c r="AZ112" t="s">
        <v>149</v>
      </c>
      <c r="BA112">
        <v>3</v>
      </c>
      <c r="BB112" t="s">
        <v>7</v>
      </c>
      <c r="BC112">
        <v>8704</v>
      </c>
      <c r="BD112">
        <v>128</v>
      </c>
      <c r="BE112">
        <v>2</v>
      </c>
      <c r="BF112">
        <v>2</v>
      </c>
      <c r="BG112">
        <v>144.05000000000001</v>
      </c>
      <c r="BH112" s="62">
        <v>3.0525000000000002</v>
      </c>
      <c r="BI112" s="16">
        <v>45559</v>
      </c>
      <c r="BJ112" s="18">
        <v>0.91671296296296301</v>
      </c>
      <c r="BK112">
        <v>0</v>
      </c>
      <c r="BL112">
        <v>0</v>
      </c>
      <c r="BM112">
        <v>0</v>
      </c>
      <c r="BN112" s="80">
        <f t="shared" si="139"/>
        <v>2.8968400000000001</v>
      </c>
    </row>
    <row r="113" spans="1:66" x14ac:dyDescent="0.25">
      <c r="A113" t="s">
        <v>111</v>
      </c>
      <c r="B113">
        <v>4</v>
      </c>
      <c r="C113" t="s">
        <v>7</v>
      </c>
      <c r="D113">
        <v>8704</v>
      </c>
      <c r="E113">
        <v>128</v>
      </c>
      <c r="F113">
        <v>2</v>
      </c>
      <c r="G113">
        <v>2</v>
      </c>
      <c r="H113">
        <v>91.66</v>
      </c>
      <c r="I113" s="62">
        <v>4.7971000000000004</v>
      </c>
      <c r="J113" s="16">
        <v>45550</v>
      </c>
      <c r="K113" s="18">
        <v>0.19469907407407408</v>
      </c>
      <c r="L113">
        <v>0</v>
      </c>
      <c r="M113">
        <v>0</v>
      </c>
      <c r="N113">
        <v>0</v>
      </c>
      <c r="O113" s="80">
        <f t="shared" si="98"/>
        <v>4.7935800000000004</v>
      </c>
      <c r="R113" t="s">
        <v>111</v>
      </c>
      <c r="S113">
        <v>4</v>
      </c>
      <c r="T113" t="s">
        <v>7</v>
      </c>
      <c r="U113">
        <v>8704</v>
      </c>
      <c r="V113">
        <v>128</v>
      </c>
      <c r="W113">
        <v>2</v>
      </c>
      <c r="X113">
        <v>2</v>
      </c>
      <c r="Y113">
        <v>91.24</v>
      </c>
      <c r="Z113" s="62">
        <v>4.8193000000000001</v>
      </c>
      <c r="AA113" s="16">
        <v>45559</v>
      </c>
      <c r="AB113" s="18">
        <v>0.83905092592592589</v>
      </c>
      <c r="AC113">
        <v>0</v>
      </c>
      <c r="AD113">
        <v>0</v>
      </c>
      <c r="AE113">
        <v>0</v>
      </c>
      <c r="AF113" s="80">
        <f t="shared" si="140"/>
        <v>4.8007800000000005</v>
      </c>
      <c r="AI113" t="s">
        <v>149</v>
      </c>
      <c r="AJ113">
        <v>4</v>
      </c>
      <c r="AK113" t="s">
        <v>7</v>
      </c>
      <c r="AL113">
        <v>8704</v>
      </c>
      <c r="AM113">
        <v>128</v>
      </c>
      <c r="AN113">
        <v>2</v>
      </c>
      <c r="AO113">
        <v>2</v>
      </c>
      <c r="AP113">
        <v>71.08</v>
      </c>
      <c r="AQ113" s="62">
        <v>6.1867000000000001</v>
      </c>
      <c r="AR113" s="16">
        <v>45559</v>
      </c>
      <c r="AS113" s="18">
        <v>0.75253472222222217</v>
      </c>
      <c r="AT113">
        <v>0</v>
      </c>
      <c r="AU113">
        <v>0</v>
      </c>
      <c r="AV113">
        <v>0</v>
      </c>
      <c r="AW113" s="80">
        <f t="shared" si="138"/>
        <v>6.2040800000000003</v>
      </c>
      <c r="AZ113" t="s">
        <v>149</v>
      </c>
      <c r="BA113">
        <v>4</v>
      </c>
      <c r="BB113" t="s">
        <v>7</v>
      </c>
      <c r="BC113">
        <v>8704</v>
      </c>
      <c r="BD113">
        <v>128</v>
      </c>
      <c r="BE113">
        <v>2</v>
      </c>
      <c r="BF113">
        <v>2</v>
      </c>
      <c r="BG113">
        <v>153.99</v>
      </c>
      <c r="BH113" s="62">
        <v>2.8555000000000001</v>
      </c>
      <c r="BI113" s="16">
        <v>45560</v>
      </c>
      <c r="BJ113" s="18">
        <v>1.2199074074074074E-2</v>
      </c>
      <c r="BK113">
        <v>0</v>
      </c>
      <c r="BL113">
        <v>0</v>
      </c>
      <c r="BM113">
        <v>0</v>
      </c>
      <c r="BN113" s="80">
        <f t="shared" si="139"/>
        <v>2.8968400000000001</v>
      </c>
    </row>
    <row r="114" spans="1:66" x14ac:dyDescent="0.25">
      <c r="A114" t="s">
        <v>111</v>
      </c>
      <c r="B114">
        <v>0</v>
      </c>
      <c r="C114" t="s">
        <v>7</v>
      </c>
      <c r="D114">
        <v>9216</v>
      </c>
      <c r="E114">
        <v>128</v>
      </c>
      <c r="F114">
        <v>2</v>
      </c>
      <c r="G114">
        <v>2</v>
      </c>
      <c r="H114">
        <v>111.21</v>
      </c>
      <c r="I114" s="62">
        <v>4.6935000000000002</v>
      </c>
      <c r="J114" s="16">
        <v>45549</v>
      </c>
      <c r="K114" s="18">
        <v>0.93190972222222224</v>
      </c>
      <c r="L114">
        <v>0</v>
      </c>
      <c r="M114">
        <v>0</v>
      </c>
      <c r="N114">
        <v>0</v>
      </c>
      <c r="O114" s="80">
        <f t="shared" ref="O114" si="141">AVERAGE(I114:I118)</f>
        <v>4.7069999999999999</v>
      </c>
      <c r="R114" t="s">
        <v>111</v>
      </c>
      <c r="S114">
        <v>0</v>
      </c>
      <c r="T114" t="s">
        <v>7</v>
      </c>
      <c r="U114">
        <v>9216</v>
      </c>
      <c r="V114">
        <v>128</v>
      </c>
      <c r="W114">
        <v>2</v>
      </c>
      <c r="X114">
        <v>2</v>
      </c>
      <c r="Y114">
        <v>110.43</v>
      </c>
      <c r="Z114" s="62">
        <v>4.7268999999999997</v>
      </c>
      <c r="AA114" s="16">
        <v>45559</v>
      </c>
      <c r="AB114" s="18">
        <v>0.57608796296296294</v>
      </c>
      <c r="AC114">
        <v>0</v>
      </c>
      <c r="AD114">
        <v>0</v>
      </c>
      <c r="AE114">
        <v>0</v>
      </c>
      <c r="AF114" s="80">
        <f t="shared" si="140"/>
        <v>4.8007800000000005</v>
      </c>
      <c r="AI114" t="s">
        <v>149</v>
      </c>
      <c r="AJ114">
        <v>0</v>
      </c>
      <c r="AK114" t="s">
        <v>7</v>
      </c>
      <c r="AL114">
        <v>9216</v>
      </c>
      <c r="AM114">
        <v>128</v>
      </c>
      <c r="AN114">
        <v>2</v>
      </c>
      <c r="AO114">
        <v>2</v>
      </c>
      <c r="AP114">
        <v>83.24</v>
      </c>
      <c r="AQ114" s="62">
        <v>6.2709000000000001</v>
      </c>
      <c r="AR114" s="16">
        <v>45559</v>
      </c>
      <c r="AS114" s="18">
        <v>0.55232638888888885</v>
      </c>
      <c r="AT114">
        <v>0</v>
      </c>
      <c r="AU114">
        <v>0</v>
      </c>
      <c r="AV114">
        <v>0</v>
      </c>
      <c r="AW114" s="80">
        <f t="shared" ref="AW114" si="142">AVERAGE(AQ114:AQ118)</f>
        <v>6.2664</v>
      </c>
      <c r="AZ114" t="s">
        <v>149</v>
      </c>
      <c r="BA114">
        <v>0</v>
      </c>
      <c r="BB114" t="s">
        <v>7</v>
      </c>
      <c r="BC114">
        <v>9216</v>
      </c>
      <c r="BD114">
        <v>128</v>
      </c>
      <c r="BE114">
        <v>2</v>
      </c>
      <c r="BF114">
        <v>2</v>
      </c>
      <c r="BG114">
        <v>172.09</v>
      </c>
      <c r="BH114" s="62">
        <v>3.0331000000000001</v>
      </c>
      <c r="BI114" s="16">
        <v>45559</v>
      </c>
      <c r="BJ114" s="18">
        <v>0.66010416666666671</v>
      </c>
      <c r="BK114">
        <v>0</v>
      </c>
      <c r="BL114">
        <v>0</v>
      </c>
      <c r="BM114">
        <v>0</v>
      </c>
      <c r="BN114" s="80">
        <f t="shared" ref="BN114" si="143">AVERAGE(BH114:BH118)</f>
        <v>3.15808</v>
      </c>
    </row>
    <row r="115" spans="1:66" x14ac:dyDescent="0.25">
      <c r="A115" t="s">
        <v>111</v>
      </c>
      <c r="B115">
        <v>1</v>
      </c>
      <c r="C115" t="s">
        <v>7</v>
      </c>
      <c r="D115">
        <v>9216</v>
      </c>
      <c r="E115">
        <v>128</v>
      </c>
      <c r="F115">
        <v>2</v>
      </c>
      <c r="G115">
        <v>2</v>
      </c>
      <c r="H115">
        <v>110.82</v>
      </c>
      <c r="I115" s="62">
        <v>4.71</v>
      </c>
      <c r="J115" s="16">
        <v>45550</v>
      </c>
      <c r="K115" s="18">
        <v>3.1828703703703702E-3</v>
      </c>
      <c r="L115">
        <v>0</v>
      </c>
      <c r="M115">
        <v>0</v>
      </c>
      <c r="N115">
        <v>0</v>
      </c>
      <c r="O115" s="80">
        <f t="shared" ref="O115" si="144">O114</f>
        <v>4.7069999999999999</v>
      </c>
      <c r="R115" t="s">
        <v>111</v>
      </c>
      <c r="S115">
        <v>1</v>
      </c>
      <c r="T115" t="s">
        <v>7</v>
      </c>
      <c r="U115">
        <v>9216</v>
      </c>
      <c r="V115">
        <v>128</v>
      </c>
      <c r="W115">
        <v>2</v>
      </c>
      <c r="X115">
        <v>2</v>
      </c>
      <c r="Y115">
        <v>110.46</v>
      </c>
      <c r="Z115" s="62">
        <v>4.7252999999999998</v>
      </c>
      <c r="AA115" s="16">
        <v>45559</v>
      </c>
      <c r="AB115" s="18">
        <v>0.64733796296296298</v>
      </c>
      <c r="AC115">
        <v>0</v>
      </c>
      <c r="AD115">
        <v>0</v>
      </c>
      <c r="AE115">
        <v>0</v>
      </c>
      <c r="AF115" s="80">
        <f t="shared" si="140"/>
        <v>4.8007800000000005</v>
      </c>
      <c r="AI115" t="s">
        <v>149</v>
      </c>
      <c r="AJ115">
        <v>1</v>
      </c>
      <c r="AK115" t="s">
        <v>7</v>
      </c>
      <c r="AL115">
        <v>9216</v>
      </c>
      <c r="AM115">
        <v>128</v>
      </c>
      <c r="AN115">
        <v>2</v>
      </c>
      <c r="AO115">
        <v>2</v>
      </c>
      <c r="AP115">
        <v>83.07</v>
      </c>
      <c r="AQ115" s="62">
        <v>6.2836999999999996</v>
      </c>
      <c r="AR115" s="16">
        <v>45559</v>
      </c>
      <c r="AS115" s="18">
        <v>0.60648148148148151</v>
      </c>
      <c r="AT115">
        <v>0</v>
      </c>
      <c r="AU115">
        <v>0</v>
      </c>
      <c r="AV115">
        <v>0</v>
      </c>
      <c r="AW115" s="80">
        <f t="shared" ref="AW115:AW118" si="145">AW114</f>
        <v>6.2664</v>
      </c>
      <c r="AZ115" t="s">
        <v>149</v>
      </c>
      <c r="BA115">
        <v>1</v>
      </c>
      <c r="BB115" t="s">
        <v>7</v>
      </c>
      <c r="BC115">
        <v>9216</v>
      </c>
      <c r="BD115">
        <v>128</v>
      </c>
      <c r="BE115">
        <v>2</v>
      </c>
      <c r="BF115">
        <v>2</v>
      </c>
      <c r="BG115">
        <v>169.88</v>
      </c>
      <c r="BH115" s="62">
        <v>3.0724999999999998</v>
      </c>
      <c r="BI115" s="16">
        <v>45559</v>
      </c>
      <c r="BJ115" s="18">
        <v>0.75565972222222222</v>
      </c>
      <c r="BK115">
        <v>0</v>
      </c>
      <c r="BL115">
        <v>0</v>
      </c>
      <c r="BM115">
        <v>0</v>
      </c>
      <c r="BN115" s="80">
        <f t="shared" ref="BN115:BN118" si="146">BN114</f>
        <v>3.15808</v>
      </c>
    </row>
    <row r="116" spans="1:66" x14ac:dyDescent="0.25">
      <c r="A116" t="s">
        <v>111</v>
      </c>
      <c r="B116">
        <v>2</v>
      </c>
      <c r="C116" t="s">
        <v>7</v>
      </c>
      <c r="D116">
        <v>9216</v>
      </c>
      <c r="E116">
        <v>128</v>
      </c>
      <c r="F116">
        <v>2</v>
      </c>
      <c r="G116">
        <v>2</v>
      </c>
      <c r="H116">
        <v>110.81</v>
      </c>
      <c r="I116" s="62">
        <v>4.7104999999999997</v>
      </c>
      <c r="J116" s="16">
        <v>45550</v>
      </c>
      <c r="K116" s="18">
        <v>7.4305555555555555E-2</v>
      </c>
      <c r="L116">
        <v>0</v>
      </c>
      <c r="M116">
        <v>0</v>
      </c>
      <c r="N116">
        <v>0</v>
      </c>
      <c r="O116" s="80">
        <f t="shared" si="98"/>
        <v>4.7069999999999999</v>
      </c>
      <c r="R116" t="s">
        <v>111</v>
      </c>
      <c r="S116">
        <v>2</v>
      </c>
      <c r="T116" t="s">
        <v>7</v>
      </c>
      <c r="U116">
        <v>9216</v>
      </c>
      <c r="V116">
        <v>128</v>
      </c>
      <c r="W116">
        <v>2</v>
      </c>
      <c r="X116">
        <v>2</v>
      </c>
      <c r="Y116">
        <v>110.47</v>
      </c>
      <c r="Z116" s="62">
        <v>4.7248000000000001</v>
      </c>
      <c r="AA116" s="16">
        <v>45559</v>
      </c>
      <c r="AB116" s="18">
        <v>0.71857638888888886</v>
      </c>
      <c r="AC116">
        <v>0</v>
      </c>
      <c r="AD116">
        <v>0</v>
      </c>
      <c r="AE116">
        <v>0</v>
      </c>
      <c r="AF116" s="80">
        <f t="shared" si="140"/>
        <v>4.8007800000000005</v>
      </c>
      <c r="AI116" t="s">
        <v>149</v>
      </c>
      <c r="AJ116">
        <v>2</v>
      </c>
      <c r="AK116" t="s">
        <v>7</v>
      </c>
      <c r="AL116">
        <v>9216</v>
      </c>
      <c r="AM116">
        <v>128</v>
      </c>
      <c r="AN116">
        <v>2</v>
      </c>
      <c r="AO116">
        <v>2</v>
      </c>
      <c r="AP116">
        <v>83.29</v>
      </c>
      <c r="AQ116" s="62">
        <v>6.2667999999999999</v>
      </c>
      <c r="AR116" s="16">
        <v>45559</v>
      </c>
      <c r="AS116" s="18">
        <v>0.66071759259259255</v>
      </c>
      <c r="AT116">
        <v>0</v>
      </c>
      <c r="AU116">
        <v>0</v>
      </c>
      <c r="AV116">
        <v>0</v>
      </c>
      <c r="AW116" s="80">
        <f t="shared" si="145"/>
        <v>6.2664</v>
      </c>
      <c r="AZ116" t="s">
        <v>149</v>
      </c>
      <c r="BA116">
        <v>2</v>
      </c>
      <c r="BB116" t="s">
        <v>7</v>
      </c>
      <c r="BC116">
        <v>9216</v>
      </c>
      <c r="BD116">
        <v>128</v>
      </c>
      <c r="BE116">
        <v>2</v>
      </c>
      <c r="BF116">
        <v>2</v>
      </c>
      <c r="BG116">
        <v>161.06</v>
      </c>
      <c r="BH116" s="62">
        <v>3.2408999999999999</v>
      </c>
      <c r="BI116" s="16">
        <v>45559</v>
      </c>
      <c r="BJ116" s="18">
        <v>0.85081018518518514</v>
      </c>
      <c r="BK116">
        <v>0</v>
      </c>
      <c r="BL116">
        <v>0</v>
      </c>
      <c r="BM116">
        <v>0</v>
      </c>
      <c r="BN116" s="80">
        <f t="shared" si="146"/>
        <v>3.15808</v>
      </c>
    </row>
    <row r="117" spans="1:66" x14ac:dyDescent="0.25">
      <c r="A117" t="s">
        <v>111</v>
      </c>
      <c r="B117">
        <v>3</v>
      </c>
      <c r="C117" t="s">
        <v>7</v>
      </c>
      <c r="D117">
        <v>9216</v>
      </c>
      <c r="E117">
        <v>128</v>
      </c>
      <c r="F117">
        <v>2</v>
      </c>
      <c r="G117">
        <v>2</v>
      </c>
      <c r="H117">
        <v>110.84</v>
      </c>
      <c r="I117" s="62">
        <v>4.7092999999999998</v>
      </c>
      <c r="J117" s="16">
        <v>45550</v>
      </c>
      <c r="K117" s="18">
        <v>0.14547453703703703</v>
      </c>
      <c r="L117">
        <v>0</v>
      </c>
      <c r="M117">
        <v>0</v>
      </c>
      <c r="N117">
        <v>0</v>
      </c>
      <c r="O117" s="80">
        <f t="shared" si="98"/>
        <v>4.7069999999999999</v>
      </c>
      <c r="R117" t="s">
        <v>111</v>
      </c>
      <c r="S117">
        <v>3</v>
      </c>
      <c r="T117" t="s">
        <v>7</v>
      </c>
      <c r="U117">
        <v>9216</v>
      </c>
      <c r="V117">
        <v>128</v>
      </c>
      <c r="W117">
        <v>2</v>
      </c>
      <c r="X117">
        <v>2</v>
      </c>
      <c r="Y117">
        <v>110.4</v>
      </c>
      <c r="Z117" s="62">
        <v>4.7278000000000002</v>
      </c>
      <c r="AA117" s="16">
        <v>45559</v>
      </c>
      <c r="AB117" s="18">
        <v>0.78984953703703709</v>
      </c>
      <c r="AC117">
        <v>0</v>
      </c>
      <c r="AD117">
        <v>0</v>
      </c>
      <c r="AE117">
        <v>0</v>
      </c>
      <c r="AF117" s="80">
        <f t="shared" si="140"/>
        <v>4.8007800000000005</v>
      </c>
      <c r="AI117" t="s">
        <v>149</v>
      </c>
      <c r="AJ117">
        <v>3</v>
      </c>
      <c r="AK117" t="s">
        <v>7</v>
      </c>
      <c r="AL117">
        <v>9216</v>
      </c>
      <c r="AM117">
        <v>128</v>
      </c>
      <c r="AN117">
        <v>2</v>
      </c>
      <c r="AO117">
        <v>2</v>
      </c>
      <c r="AP117">
        <v>83.31</v>
      </c>
      <c r="AQ117" s="62">
        <v>6.2656000000000001</v>
      </c>
      <c r="AR117" s="16">
        <v>45559</v>
      </c>
      <c r="AS117" s="18">
        <v>0.71486111111111106</v>
      </c>
      <c r="AT117">
        <v>0</v>
      </c>
      <c r="AU117">
        <v>0</v>
      </c>
      <c r="AV117">
        <v>0</v>
      </c>
      <c r="AW117" s="80">
        <f t="shared" si="145"/>
        <v>6.2664</v>
      </c>
      <c r="AZ117" t="s">
        <v>149</v>
      </c>
      <c r="BA117">
        <v>3</v>
      </c>
      <c r="BB117" t="s">
        <v>7</v>
      </c>
      <c r="BC117">
        <v>9216</v>
      </c>
      <c r="BD117">
        <v>128</v>
      </c>
      <c r="BE117">
        <v>2</v>
      </c>
      <c r="BF117">
        <v>2</v>
      </c>
      <c r="BG117">
        <v>162.83000000000001</v>
      </c>
      <c r="BH117" s="62">
        <v>3.2054999999999998</v>
      </c>
      <c r="BI117" s="16">
        <v>45559</v>
      </c>
      <c r="BJ117" s="18">
        <v>0.94625000000000004</v>
      </c>
      <c r="BK117">
        <v>0</v>
      </c>
      <c r="BL117">
        <v>0</v>
      </c>
      <c r="BM117">
        <v>0</v>
      </c>
      <c r="BN117" s="80">
        <f t="shared" si="146"/>
        <v>3.15808</v>
      </c>
    </row>
    <row r="118" spans="1:66" x14ac:dyDescent="0.25">
      <c r="A118" t="s">
        <v>111</v>
      </c>
      <c r="B118">
        <v>4</v>
      </c>
      <c r="C118" t="s">
        <v>7</v>
      </c>
      <c r="D118">
        <v>9216</v>
      </c>
      <c r="E118">
        <v>128</v>
      </c>
      <c r="F118">
        <v>2</v>
      </c>
      <c r="G118">
        <v>2</v>
      </c>
      <c r="H118">
        <v>110.78</v>
      </c>
      <c r="I118" s="62">
        <v>4.7117000000000004</v>
      </c>
      <c r="J118" s="16">
        <v>45550</v>
      </c>
      <c r="K118" s="18">
        <v>0.21666666666666667</v>
      </c>
      <c r="L118">
        <v>0</v>
      </c>
      <c r="M118">
        <v>0</v>
      </c>
      <c r="N118">
        <v>0</v>
      </c>
      <c r="O118" s="80">
        <f t="shared" si="98"/>
        <v>4.7069999999999999</v>
      </c>
      <c r="R118" t="s">
        <v>111</v>
      </c>
      <c r="S118">
        <v>4</v>
      </c>
      <c r="T118" t="s">
        <v>7</v>
      </c>
      <c r="U118">
        <v>9216</v>
      </c>
      <c r="V118">
        <v>128</v>
      </c>
      <c r="W118">
        <v>2</v>
      </c>
      <c r="X118">
        <v>2</v>
      </c>
      <c r="Y118">
        <v>110.37</v>
      </c>
      <c r="Z118" s="62">
        <v>4.7294</v>
      </c>
      <c r="AA118" s="16">
        <v>45559</v>
      </c>
      <c r="AB118" s="18">
        <v>0.8609606481481481</v>
      </c>
      <c r="AC118">
        <v>0</v>
      </c>
      <c r="AD118">
        <v>0</v>
      </c>
      <c r="AE118">
        <v>0</v>
      </c>
      <c r="AF118" s="80">
        <f>AVERAGE(Z118:Z122)</f>
        <v>4.8933599999999995</v>
      </c>
      <c r="AI118" t="s">
        <v>149</v>
      </c>
      <c r="AJ118">
        <v>4</v>
      </c>
      <c r="AK118" t="s">
        <v>7</v>
      </c>
      <c r="AL118">
        <v>9216</v>
      </c>
      <c r="AM118">
        <v>128</v>
      </c>
      <c r="AN118">
        <v>2</v>
      </c>
      <c r="AO118">
        <v>2</v>
      </c>
      <c r="AP118">
        <v>83.58</v>
      </c>
      <c r="AQ118" s="62">
        <v>6.2450000000000001</v>
      </c>
      <c r="AR118" s="16">
        <v>45559</v>
      </c>
      <c r="AS118" s="18">
        <v>0.7691782407407407</v>
      </c>
      <c r="AT118">
        <v>0</v>
      </c>
      <c r="AU118">
        <v>0</v>
      </c>
      <c r="AV118">
        <v>0</v>
      </c>
      <c r="AW118" s="80">
        <f t="shared" si="145"/>
        <v>6.2664</v>
      </c>
      <c r="AZ118" t="s">
        <v>149</v>
      </c>
      <c r="BA118">
        <v>4</v>
      </c>
      <c r="BB118" t="s">
        <v>7</v>
      </c>
      <c r="BC118">
        <v>9216</v>
      </c>
      <c r="BD118">
        <v>128</v>
      </c>
      <c r="BE118">
        <v>2</v>
      </c>
      <c r="BF118">
        <v>2</v>
      </c>
      <c r="BG118">
        <v>161.18</v>
      </c>
      <c r="BH118" s="62">
        <v>3.2383999999999999</v>
      </c>
      <c r="BI118" s="16">
        <v>45560</v>
      </c>
      <c r="BJ118" s="18">
        <v>4.1990740740740738E-2</v>
      </c>
      <c r="BK118">
        <v>0</v>
      </c>
      <c r="BL118">
        <v>0</v>
      </c>
      <c r="BM118">
        <v>0</v>
      </c>
      <c r="BN118" s="80">
        <f t="shared" si="146"/>
        <v>3.15808</v>
      </c>
    </row>
    <row r="119" spans="1:66" x14ac:dyDescent="0.25">
      <c r="A119" t="s">
        <v>111</v>
      </c>
      <c r="B119">
        <v>0</v>
      </c>
      <c r="C119" t="s">
        <v>7</v>
      </c>
      <c r="D119">
        <v>9728</v>
      </c>
      <c r="E119">
        <v>128</v>
      </c>
      <c r="F119">
        <v>2</v>
      </c>
      <c r="G119">
        <v>2</v>
      </c>
      <c r="H119">
        <v>125.8</v>
      </c>
      <c r="I119" s="62">
        <v>4.8796999999999997</v>
      </c>
      <c r="J119" s="16">
        <v>45549</v>
      </c>
      <c r="K119" s="18">
        <v>0.95759259259259255</v>
      </c>
      <c r="L119">
        <v>0</v>
      </c>
      <c r="M119">
        <v>0</v>
      </c>
      <c r="N119">
        <v>0</v>
      </c>
      <c r="O119" s="80">
        <f t="shared" ref="O119" si="147">AVERAGE(I119:I123)</f>
        <v>4.8894199999999994</v>
      </c>
      <c r="R119" t="s">
        <v>111</v>
      </c>
      <c r="S119">
        <v>0</v>
      </c>
      <c r="T119" t="s">
        <v>7</v>
      </c>
      <c r="U119">
        <v>9728</v>
      </c>
      <c r="V119">
        <v>128</v>
      </c>
      <c r="W119">
        <v>2</v>
      </c>
      <c r="X119">
        <v>2</v>
      </c>
      <c r="Y119">
        <v>124.41</v>
      </c>
      <c r="Z119" s="62">
        <v>4.9341999999999997</v>
      </c>
      <c r="AA119" s="16">
        <v>45559</v>
      </c>
      <c r="AB119" s="18">
        <v>0.60177083333333337</v>
      </c>
      <c r="AC119">
        <v>0</v>
      </c>
      <c r="AD119">
        <v>0</v>
      </c>
      <c r="AE119">
        <v>0</v>
      </c>
      <c r="AF119" s="80">
        <f>AF118</f>
        <v>4.8933599999999995</v>
      </c>
      <c r="AI119" t="s">
        <v>149</v>
      </c>
      <c r="AJ119">
        <v>0</v>
      </c>
      <c r="AK119" t="s">
        <v>7</v>
      </c>
      <c r="AL119">
        <v>9728</v>
      </c>
      <c r="AM119">
        <v>128</v>
      </c>
      <c r="AN119">
        <v>2</v>
      </c>
      <c r="AO119">
        <v>2</v>
      </c>
      <c r="AP119">
        <v>96.38</v>
      </c>
      <c r="AQ119" s="62">
        <v>6.3693999999999997</v>
      </c>
      <c r="AR119" s="16">
        <v>45559</v>
      </c>
      <c r="AS119" s="18">
        <v>0.57174768518518515</v>
      </c>
      <c r="AT119">
        <v>0</v>
      </c>
      <c r="AU119">
        <v>0</v>
      </c>
      <c r="AV119">
        <v>0</v>
      </c>
      <c r="AW119" s="80">
        <f t="shared" ref="AW119" si="148">AVERAGE(AQ119:AQ123)</f>
        <v>6.35398</v>
      </c>
      <c r="AZ119" t="s">
        <v>149</v>
      </c>
      <c r="BA119">
        <v>0</v>
      </c>
      <c r="BB119" t="s">
        <v>7</v>
      </c>
      <c r="BC119">
        <v>9728</v>
      </c>
      <c r="BD119">
        <v>128</v>
      </c>
      <c r="BE119">
        <v>2</v>
      </c>
      <c r="BF119">
        <v>2</v>
      </c>
      <c r="BG119">
        <v>184.65</v>
      </c>
      <c r="BH119" s="62">
        <v>3.3246000000000002</v>
      </c>
      <c r="BI119" s="16">
        <v>45559</v>
      </c>
      <c r="BJ119" s="18">
        <v>0.69362268518518522</v>
      </c>
      <c r="BK119">
        <v>0</v>
      </c>
      <c r="BL119">
        <v>0</v>
      </c>
      <c r="BM119">
        <v>0</v>
      </c>
      <c r="BN119" s="80">
        <f t="shared" ref="BN119" si="149">AVERAGE(BH119:BH123)</f>
        <v>3.2757399999999999</v>
      </c>
    </row>
    <row r="120" spans="1:66" x14ac:dyDescent="0.25">
      <c r="A120" t="s">
        <v>111</v>
      </c>
      <c r="B120">
        <v>1</v>
      </c>
      <c r="C120" t="s">
        <v>7</v>
      </c>
      <c r="D120">
        <v>9728</v>
      </c>
      <c r="E120">
        <v>128</v>
      </c>
      <c r="F120">
        <v>2</v>
      </c>
      <c r="G120">
        <v>2</v>
      </c>
      <c r="H120">
        <v>125.82</v>
      </c>
      <c r="I120" s="62">
        <v>4.8789999999999996</v>
      </c>
      <c r="J120" s="16">
        <v>45550</v>
      </c>
      <c r="K120" s="18">
        <v>2.8842592592592593E-2</v>
      </c>
      <c r="L120">
        <v>0</v>
      </c>
      <c r="M120">
        <v>0</v>
      </c>
      <c r="N120">
        <v>0</v>
      </c>
      <c r="O120" s="80">
        <f t="shared" ref="O120" si="150">O119</f>
        <v>4.8894199999999994</v>
      </c>
      <c r="R120" t="s">
        <v>111</v>
      </c>
      <c r="S120">
        <v>1</v>
      </c>
      <c r="T120" t="s">
        <v>7</v>
      </c>
      <c r="U120">
        <v>9728</v>
      </c>
      <c r="V120">
        <v>128</v>
      </c>
      <c r="W120">
        <v>2</v>
      </c>
      <c r="X120">
        <v>2</v>
      </c>
      <c r="Y120">
        <v>124.34</v>
      </c>
      <c r="Z120" s="62">
        <v>4.9371</v>
      </c>
      <c r="AA120" s="16">
        <v>45559</v>
      </c>
      <c r="AB120" s="18">
        <v>0.67300925925925925</v>
      </c>
      <c r="AC120">
        <v>0</v>
      </c>
      <c r="AD120">
        <v>0</v>
      </c>
      <c r="AE120">
        <v>0</v>
      </c>
      <c r="AF120" s="80">
        <f>AF119</f>
        <v>4.8933599999999995</v>
      </c>
      <c r="AI120" t="s">
        <v>149</v>
      </c>
      <c r="AJ120">
        <v>1</v>
      </c>
      <c r="AK120" t="s">
        <v>7</v>
      </c>
      <c r="AL120">
        <v>9728</v>
      </c>
      <c r="AM120">
        <v>128</v>
      </c>
      <c r="AN120">
        <v>2</v>
      </c>
      <c r="AO120">
        <v>2</v>
      </c>
      <c r="AP120">
        <v>96.76</v>
      </c>
      <c r="AQ120" s="62">
        <v>6.3440000000000003</v>
      </c>
      <c r="AR120" s="16">
        <v>45559</v>
      </c>
      <c r="AS120" s="18">
        <v>0.62592592592592589</v>
      </c>
      <c r="AT120">
        <v>0</v>
      </c>
      <c r="AU120">
        <v>0</v>
      </c>
      <c r="AV120">
        <v>0</v>
      </c>
      <c r="AW120" s="80">
        <f t="shared" ref="AW120:AW123" si="151">AW119</f>
        <v>6.35398</v>
      </c>
      <c r="AZ120" t="s">
        <v>149</v>
      </c>
      <c r="BA120">
        <v>1</v>
      </c>
      <c r="BB120" t="s">
        <v>7</v>
      </c>
      <c r="BC120">
        <v>9728</v>
      </c>
      <c r="BD120">
        <v>128</v>
      </c>
      <c r="BE120">
        <v>2</v>
      </c>
      <c r="BF120">
        <v>2</v>
      </c>
      <c r="BG120">
        <v>189.69</v>
      </c>
      <c r="BH120" s="62">
        <v>3.2361</v>
      </c>
      <c r="BI120" s="16">
        <v>45559</v>
      </c>
      <c r="BJ120" s="18">
        <v>0.78917824074074072</v>
      </c>
      <c r="BK120">
        <v>0</v>
      </c>
      <c r="BL120">
        <v>0</v>
      </c>
      <c r="BM120">
        <v>0</v>
      </c>
      <c r="BN120" s="80">
        <f t="shared" ref="BN120:BN123" si="152">BN119</f>
        <v>3.2757399999999999</v>
      </c>
    </row>
    <row r="121" spans="1:66" x14ac:dyDescent="0.25">
      <c r="A121" t="s">
        <v>111</v>
      </c>
      <c r="B121">
        <v>2</v>
      </c>
      <c r="C121" t="s">
        <v>7</v>
      </c>
      <c r="D121">
        <v>9728</v>
      </c>
      <c r="E121">
        <v>128</v>
      </c>
      <c r="F121">
        <v>2</v>
      </c>
      <c r="G121">
        <v>2</v>
      </c>
      <c r="H121">
        <v>125.15</v>
      </c>
      <c r="I121" s="62">
        <v>4.9051999999999998</v>
      </c>
      <c r="J121" s="16">
        <v>45550</v>
      </c>
      <c r="K121" s="18">
        <v>9.9942129629629631E-2</v>
      </c>
      <c r="L121">
        <v>0</v>
      </c>
      <c r="M121">
        <v>0</v>
      </c>
      <c r="N121">
        <v>0</v>
      </c>
      <c r="O121" s="80">
        <f t="shared" si="98"/>
        <v>4.8894199999999994</v>
      </c>
      <c r="R121" t="s">
        <v>111</v>
      </c>
      <c r="S121">
        <v>2</v>
      </c>
      <c r="T121" t="s">
        <v>7</v>
      </c>
      <c r="U121">
        <v>9728</v>
      </c>
      <c r="V121">
        <v>128</v>
      </c>
      <c r="W121">
        <v>2</v>
      </c>
      <c r="X121">
        <v>2</v>
      </c>
      <c r="Y121">
        <v>124.41</v>
      </c>
      <c r="Z121" s="62">
        <v>4.9344000000000001</v>
      </c>
      <c r="AA121" s="16">
        <v>45559</v>
      </c>
      <c r="AB121" s="18">
        <v>0.74427083333333333</v>
      </c>
      <c r="AC121">
        <v>0</v>
      </c>
      <c r="AD121">
        <v>0</v>
      </c>
      <c r="AE121">
        <v>0</v>
      </c>
      <c r="AF121" s="80">
        <f>AVERAGE(Z121:Z125)</f>
        <v>4.9046399999999988</v>
      </c>
      <c r="AI121" t="s">
        <v>149</v>
      </c>
      <c r="AJ121">
        <v>2</v>
      </c>
      <c r="AK121" t="s">
        <v>7</v>
      </c>
      <c r="AL121">
        <v>9728</v>
      </c>
      <c r="AM121">
        <v>128</v>
      </c>
      <c r="AN121">
        <v>2</v>
      </c>
      <c r="AO121">
        <v>2</v>
      </c>
      <c r="AP121">
        <v>96.48</v>
      </c>
      <c r="AQ121" s="62">
        <v>6.3625999999999996</v>
      </c>
      <c r="AR121" s="16">
        <v>45559</v>
      </c>
      <c r="AS121" s="18">
        <v>0.68017361111111108</v>
      </c>
      <c r="AT121">
        <v>0</v>
      </c>
      <c r="AU121">
        <v>0</v>
      </c>
      <c r="AV121">
        <v>0</v>
      </c>
      <c r="AW121" s="80">
        <f t="shared" si="151"/>
        <v>6.35398</v>
      </c>
      <c r="AZ121" t="s">
        <v>149</v>
      </c>
      <c r="BA121">
        <v>2</v>
      </c>
      <c r="BB121" t="s">
        <v>7</v>
      </c>
      <c r="BC121">
        <v>9728</v>
      </c>
      <c r="BD121">
        <v>128</v>
      </c>
      <c r="BE121">
        <v>2</v>
      </c>
      <c r="BF121">
        <v>2</v>
      </c>
      <c r="BG121">
        <v>183.86</v>
      </c>
      <c r="BH121" s="62">
        <v>3.3388</v>
      </c>
      <c r="BI121" s="16">
        <v>45559</v>
      </c>
      <c r="BJ121" s="18">
        <v>0.88483796296296291</v>
      </c>
      <c r="BK121">
        <v>0</v>
      </c>
      <c r="BL121">
        <v>0</v>
      </c>
      <c r="BM121">
        <v>0</v>
      </c>
      <c r="BN121" s="80">
        <f t="shared" si="152"/>
        <v>3.2757399999999999</v>
      </c>
    </row>
    <row r="122" spans="1:66" x14ac:dyDescent="0.25">
      <c r="A122" t="s">
        <v>111</v>
      </c>
      <c r="B122">
        <v>3</v>
      </c>
      <c r="C122" t="s">
        <v>7</v>
      </c>
      <c r="D122">
        <v>9728</v>
      </c>
      <c r="E122">
        <v>128</v>
      </c>
      <c r="F122">
        <v>2</v>
      </c>
      <c r="G122">
        <v>2</v>
      </c>
      <c r="H122">
        <v>125.34</v>
      </c>
      <c r="I122" s="62">
        <v>4.8975999999999997</v>
      </c>
      <c r="J122" s="16">
        <v>45550</v>
      </c>
      <c r="K122" s="18">
        <v>0.1711226851851852</v>
      </c>
      <c r="L122">
        <v>0</v>
      </c>
      <c r="M122">
        <v>0</v>
      </c>
      <c r="N122">
        <v>0</v>
      </c>
      <c r="O122" s="80">
        <f t="shared" si="98"/>
        <v>4.8894199999999994</v>
      </c>
      <c r="R122" t="s">
        <v>111</v>
      </c>
      <c r="S122">
        <v>3</v>
      </c>
      <c r="T122" t="s">
        <v>7</v>
      </c>
      <c r="U122">
        <v>9728</v>
      </c>
      <c r="V122">
        <v>128</v>
      </c>
      <c r="W122">
        <v>2</v>
      </c>
      <c r="X122">
        <v>2</v>
      </c>
      <c r="Y122">
        <v>124.48</v>
      </c>
      <c r="Z122" s="62">
        <v>4.9317000000000002</v>
      </c>
      <c r="AA122" s="16">
        <v>45559</v>
      </c>
      <c r="AB122" s="18">
        <v>0.81559027777777782</v>
      </c>
      <c r="AC122">
        <v>0</v>
      </c>
      <c r="AD122">
        <v>0</v>
      </c>
      <c r="AE122">
        <v>0</v>
      </c>
      <c r="AF122" s="80">
        <f t="shared" ref="AF122:AF127" si="153">AF121</f>
        <v>4.9046399999999988</v>
      </c>
      <c r="AI122" t="s">
        <v>149</v>
      </c>
      <c r="AJ122">
        <v>3</v>
      </c>
      <c r="AK122" t="s">
        <v>7</v>
      </c>
      <c r="AL122">
        <v>9728</v>
      </c>
      <c r="AM122">
        <v>128</v>
      </c>
      <c r="AN122">
        <v>2</v>
      </c>
      <c r="AO122">
        <v>2</v>
      </c>
      <c r="AP122">
        <v>96.81</v>
      </c>
      <c r="AQ122" s="62">
        <v>6.3407</v>
      </c>
      <c r="AR122" s="16">
        <v>45559</v>
      </c>
      <c r="AS122" s="18">
        <v>0.73432870370370373</v>
      </c>
      <c r="AT122">
        <v>0</v>
      </c>
      <c r="AU122">
        <v>0</v>
      </c>
      <c r="AV122">
        <v>0</v>
      </c>
      <c r="AW122" s="80">
        <f t="shared" si="151"/>
        <v>6.35398</v>
      </c>
      <c r="AZ122" t="s">
        <v>149</v>
      </c>
      <c r="BA122">
        <v>3</v>
      </c>
      <c r="BB122" t="s">
        <v>7</v>
      </c>
      <c r="BC122">
        <v>9728</v>
      </c>
      <c r="BD122">
        <v>128</v>
      </c>
      <c r="BE122">
        <v>2</v>
      </c>
      <c r="BF122">
        <v>2</v>
      </c>
      <c r="BG122">
        <v>190.89</v>
      </c>
      <c r="BH122" s="62">
        <v>3.2159</v>
      </c>
      <c r="BI122" s="16">
        <v>45559</v>
      </c>
      <c r="BJ122" s="18">
        <v>0.98016203703703708</v>
      </c>
      <c r="BK122">
        <v>0</v>
      </c>
      <c r="BL122">
        <v>0</v>
      </c>
      <c r="BM122">
        <v>0</v>
      </c>
      <c r="BN122" s="80">
        <f t="shared" si="152"/>
        <v>3.2757399999999999</v>
      </c>
    </row>
    <row r="123" spans="1:66" x14ac:dyDescent="0.25">
      <c r="A123" t="s">
        <v>111</v>
      </c>
      <c r="B123">
        <v>4</v>
      </c>
      <c r="C123" t="s">
        <v>7</v>
      </c>
      <c r="D123">
        <v>9728</v>
      </c>
      <c r="E123">
        <v>128</v>
      </c>
      <c r="F123">
        <v>2</v>
      </c>
      <c r="G123">
        <v>2</v>
      </c>
      <c r="H123">
        <v>125.65</v>
      </c>
      <c r="I123" s="62">
        <v>4.8856000000000002</v>
      </c>
      <c r="J123" s="16">
        <v>45550</v>
      </c>
      <c r="K123" s="18">
        <v>0.24231481481481482</v>
      </c>
      <c r="L123">
        <v>0</v>
      </c>
      <c r="M123">
        <v>0</v>
      </c>
      <c r="N123">
        <v>0</v>
      </c>
      <c r="O123" s="80">
        <f t="shared" si="98"/>
        <v>4.8894199999999994</v>
      </c>
      <c r="R123" t="s">
        <v>111</v>
      </c>
      <c r="S123">
        <v>4</v>
      </c>
      <c r="T123" t="s">
        <v>7</v>
      </c>
      <c r="U123">
        <v>9728</v>
      </c>
      <c r="V123">
        <v>128</v>
      </c>
      <c r="W123">
        <v>2</v>
      </c>
      <c r="X123">
        <v>2</v>
      </c>
      <c r="Y123">
        <v>124.39</v>
      </c>
      <c r="Z123" s="62">
        <v>4.9349999999999996</v>
      </c>
      <c r="AA123" s="16">
        <v>45559</v>
      </c>
      <c r="AB123" s="18">
        <v>0.8865277777777778</v>
      </c>
      <c r="AC123">
        <v>0</v>
      </c>
      <c r="AD123">
        <v>0</v>
      </c>
      <c r="AE123">
        <v>0</v>
      </c>
      <c r="AF123" s="80">
        <f t="shared" si="153"/>
        <v>4.9046399999999988</v>
      </c>
      <c r="AI123" t="s">
        <v>149</v>
      </c>
      <c r="AJ123">
        <v>4</v>
      </c>
      <c r="AK123" t="s">
        <v>7</v>
      </c>
      <c r="AL123">
        <v>9728</v>
      </c>
      <c r="AM123">
        <v>128</v>
      </c>
      <c r="AN123">
        <v>2</v>
      </c>
      <c r="AO123">
        <v>2</v>
      </c>
      <c r="AP123">
        <v>96.63</v>
      </c>
      <c r="AQ123" s="62">
        <v>6.3532000000000002</v>
      </c>
      <c r="AR123" s="16">
        <v>45559</v>
      </c>
      <c r="AS123" s="18">
        <v>0.78863425925925923</v>
      </c>
      <c r="AT123">
        <v>0</v>
      </c>
      <c r="AU123">
        <v>0</v>
      </c>
      <c r="AV123">
        <v>0</v>
      </c>
      <c r="AW123" s="80">
        <f t="shared" si="151"/>
        <v>6.35398</v>
      </c>
      <c r="AZ123" t="s">
        <v>149</v>
      </c>
      <c r="BA123">
        <v>4</v>
      </c>
      <c r="BB123" t="s">
        <v>7</v>
      </c>
      <c r="BC123">
        <v>9728</v>
      </c>
      <c r="BD123">
        <v>128</v>
      </c>
      <c r="BE123">
        <v>2</v>
      </c>
      <c r="BF123">
        <v>2</v>
      </c>
      <c r="BG123">
        <v>188.12</v>
      </c>
      <c r="BH123" s="62">
        <v>3.2633000000000001</v>
      </c>
      <c r="BI123" s="16">
        <v>45560</v>
      </c>
      <c r="BJ123" s="18">
        <v>7.6099537037037035E-2</v>
      </c>
      <c r="BK123">
        <v>0</v>
      </c>
      <c r="BL123">
        <v>0</v>
      </c>
      <c r="BM123">
        <v>0</v>
      </c>
      <c r="BN123" s="80">
        <f t="shared" si="152"/>
        <v>3.2757399999999999</v>
      </c>
    </row>
    <row r="124" spans="1:66" x14ac:dyDescent="0.25">
      <c r="A124" t="s">
        <v>111</v>
      </c>
      <c r="B124">
        <v>0</v>
      </c>
      <c r="C124" t="s">
        <v>7</v>
      </c>
      <c r="D124">
        <v>8640</v>
      </c>
      <c r="E124">
        <v>160</v>
      </c>
      <c r="F124">
        <v>1</v>
      </c>
      <c r="G124">
        <v>4</v>
      </c>
      <c r="H124">
        <v>88.68</v>
      </c>
      <c r="I124" s="62">
        <v>4.8502000000000001</v>
      </c>
      <c r="J124" s="16">
        <v>45549</v>
      </c>
      <c r="K124" s="18">
        <v>0.91107638888888887</v>
      </c>
      <c r="L124">
        <v>0</v>
      </c>
      <c r="M124">
        <v>0</v>
      </c>
      <c r="N124">
        <v>0</v>
      </c>
      <c r="O124" s="80">
        <f t="shared" ref="O124" si="154">AVERAGE(I124:I128)</f>
        <v>4.8507400000000001</v>
      </c>
      <c r="R124" t="s">
        <v>111</v>
      </c>
      <c r="S124">
        <v>0</v>
      </c>
      <c r="T124" t="s">
        <v>7</v>
      </c>
      <c r="U124">
        <v>8640</v>
      </c>
      <c r="V124">
        <v>160</v>
      </c>
      <c r="W124">
        <v>1</v>
      </c>
      <c r="X124">
        <v>4</v>
      </c>
      <c r="Y124">
        <v>88.49</v>
      </c>
      <c r="Z124" s="62">
        <v>4.8601999999999999</v>
      </c>
      <c r="AA124" s="16">
        <v>45559</v>
      </c>
      <c r="AB124" s="18">
        <v>0.5552083333333333</v>
      </c>
      <c r="AC124">
        <v>0</v>
      </c>
      <c r="AD124">
        <v>0</v>
      </c>
      <c r="AE124">
        <v>0</v>
      </c>
      <c r="AF124" s="80">
        <f t="shared" si="153"/>
        <v>4.9046399999999988</v>
      </c>
      <c r="AI124" t="s">
        <v>149</v>
      </c>
      <c r="AJ124">
        <v>0</v>
      </c>
      <c r="AK124" t="s">
        <v>7</v>
      </c>
      <c r="AL124">
        <v>8640</v>
      </c>
      <c r="AM124">
        <v>160</v>
      </c>
      <c r="AN124">
        <v>1</v>
      </c>
      <c r="AO124">
        <v>4</v>
      </c>
      <c r="AP124">
        <v>68.03</v>
      </c>
      <c r="AQ124" s="62">
        <v>6.3219000000000003</v>
      </c>
      <c r="AR124" s="16">
        <v>45559</v>
      </c>
      <c r="AS124" s="18">
        <v>0.5366319444444444</v>
      </c>
      <c r="AT124">
        <v>0</v>
      </c>
      <c r="AU124">
        <v>0</v>
      </c>
      <c r="AV124">
        <v>0</v>
      </c>
      <c r="AW124" s="80">
        <f t="shared" ref="AW124" si="155">AVERAGE(AQ124:AQ128)</f>
        <v>6.3119399999999999</v>
      </c>
      <c r="AZ124" t="s">
        <v>149</v>
      </c>
      <c r="BA124">
        <v>0</v>
      </c>
      <c r="BB124" t="s">
        <v>7</v>
      </c>
      <c r="BC124">
        <v>8640</v>
      </c>
      <c r="BD124">
        <v>160</v>
      </c>
      <c r="BE124">
        <v>1</v>
      </c>
      <c r="BF124">
        <v>4</v>
      </c>
      <c r="BG124">
        <v>123.05</v>
      </c>
      <c r="BH124" s="62">
        <v>3.4952999999999999</v>
      </c>
      <c r="BI124" s="16">
        <v>45559</v>
      </c>
      <c r="BJ124" s="18">
        <v>0.63179398148148147</v>
      </c>
      <c r="BK124">
        <v>0</v>
      </c>
      <c r="BL124">
        <v>0</v>
      </c>
      <c r="BM124">
        <v>0</v>
      </c>
      <c r="BN124" s="80">
        <f t="shared" ref="BN124" si="156">AVERAGE(BH124:BH128)</f>
        <v>3.4402400000000002</v>
      </c>
    </row>
    <row r="125" spans="1:66" x14ac:dyDescent="0.25">
      <c r="A125" t="s">
        <v>111</v>
      </c>
      <c r="B125">
        <v>1</v>
      </c>
      <c r="C125" t="s">
        <v>7</v>
      </c>
      <c r="D125">
        <v>8640</v>
      </c>
      <c r="E125">
        <v>160</v>
      </c>
      <c r="F125">
        <v>1</v>
      </c>
      <c r="G125">
        <v>4</v>
      </c>
      <c r="H125">
        <v>88.66</v>
      </c>
      <c r="I125" s="62">
        <v>4.8507999999999996</v>
      </c>
      <c r="J125" s="16">
        <v>45549</v>
      </c>
      <c r="K125" s="18">
        <v>0.98234953703703709</v>
      </c>
      <c r="L125">
        <v>0</v>
      </c>
      <c r="M125">
        <v>0</v>
      </c>
      <c r="N125">
        <v>0</v>
      </c>
      <c r="O125" s="80">
        <f t="shared" ref="O125" si="157">O124</f>
        <v>4.8507400000000001</v>
      </c>
      <c r="R125" t="s">
        <v>111</v>
      </c>
      <c r="S125">
        <v>1</v>
      </c>
      <c r="T125" t="s">
        <v>7</v>
      </c>
      <c r="U125">
        <v>8640</v>
      </c>
      <c r="V125">
        <v>160</v>
      </c>
      <c r="W125">
        <v>1</v>
      </c>
      <c r="X125">
        <v>4</v>
      </c>
      <c r="Y125">
        <v>88.46</v>
      </c>
      <c r="Z125" s="62">
        <v>4.8619000000000003</v>
      </c>
      <c r="AA125" s="16">
        <v>45559</v>
      </c>
      <c r="AB125" s="18">
        <v>0.62645833333333334</v>
      </c>
      <c r="AC125">
        <v>0</v>
      </c>
      <c r="AD125">
        <v>0</v>
      </c>
      <c r="AE125">
        <v>0</v>
      </c>
      <c r="AF125" s="80">
        <f t="shared" si="153"/>
        <v>4.9046399999999988</v>
      </c>
      <c r="AI125" t="s">
        <v>149</v>
      </c>
      <c r="AJ125">
        <v>1</v>
      </c>
      <c r="AK125" t="s">
        <v>7</v>
      </c>
      <c r="AL125">
        <v>8640</v>
      </c>
      <c r="AM125">
        <v>160</v>
      </c>
      <c r="AN125">
        <v>1</v>
      </c>
      <c r="AO125">
        <v>4</v>
      </c>
      <c r="AP125">
        <v>68.02</v>
      </c>
      <c r="AQ125" s="62">
        <v>6.3231000000000002</v>
      </c>
      <c r="AR125" s="16">
        <v>45559</v>
      </c>
      <c r="AS125" s="18">
        <v>0.59076388888888887</v>
      </c>
      <c r="AT125">
        <v>0</v>
      </c>
      <c r="AU125">
        <v>0</v>
      </c>
      <c r="AV125">
        <v>0</v>
      </c>
      <c r="AW125" s="80">
        <f t="shared" ref="AW125:AW128" si="158">AW124</f>
        <v>6.3119399999999999</v>
      </c>
      <c r="AZ125" t="s">
        <v>149</v>
      </c>
      <c r="BA125">
        <v>1</v>
      </c>
      <c r="BB125" t="s">
        <v>7</v>
      </c>
      <c r="BC125">
        <v>8640</v>
      </c>
      <c r="BD125">
        <v>160</v>
      </c>
      <c r="BE125">
        <v>1</v>
      </c>
      <c r="BF125">
        <v>4</v>
      </c>
      <c r="BG125">
        <v>129.63</v>
      </c>
      <c r="BH125" s="62">
        <v>3.3178000000000001</v>
      </c>
      <c r="BI125" s="16">
        <v>45559</v>
      </c>
      <c r="BJ125" s="18">
        <v>0.7273263888888889</v>
      </c>
      <c r="BK125">
        <v>0</v>
      </c>
      <c r="BL125">
        <v>0</v>
      </c>
      <c r="BM125">
        <v>0</v>
      </c>
      <c r="BN125" s="80">
        <f t="shared" ref="BN125:BN128" si="159">BN124</f>
        <v>3.4402400000000002</v>
      </c>
    </row>
    <row r="126" spans="1:66" x14ac:dyDescent="0.25">
      <c r="A126" t="s">
        <v>111</v>
      </c>
      <c r="B126">
        <v>2</v>
      </c>
      <c r="C126" t="s">
        <v>7</v>
      </c>
      <c r="D126">
        <v>8640</v>
      </c>
      <c r="E126">
        <v>160</v>
      </c>
      <c r="F126">
        <v>1</v>
      </c>
      <c r="G126">
        <v>4</v>
      </c>
      <c r="H126">
        <v>88.65</v>
      </c>
      <c r="I126" s="62">
        <v>4.8517000000000001</v>
      </c>
      <c r="J126" s="16">
        <v>45550</v>
      </c>
      <c r="K126" s="18">
        <v>5.3506944444444447E-2</v>
      </c>
      <c r="L126">
        <v>0</v>
      </c>
      <c r="M126">
        <v>0</v>
      </c>
      <c r="N126">
        <v>0</v>
      </c>
      <c r="O126" s="80">
        <f t="shared" si="98"/>
        <v>4.8507400000000001</v>
      </c>
      <c r="R126" t="s">
        <v>111</v>
      </c>
      <c r="S126">
        <v>2</v>
      </c>
      <c r="T126" t="s">
        <v>7</v>
      </c>
      <c r="U126">
        <v>8640</v>
      </c>
      <c r="V126">
        <v>160</v>
      </c>
      <c r="W126">
        <v>1</v>
      </c>
      <c r="X126">
        <v>4</v>
      </c>
      <c r="Y126">
        <v>88.46</v>
      </c>
      <c r="Z126" s="62">
        <v>4.8619000000000003</v>
      </c>
      <c r="AA126" s="16">
        <v>45559</v>
      </c>
      <c r="AB126" s="18">
        <v>0.69769675925925922</v>
      </c>
      <c r="AC126">
        <v>0</v>
      </c>
      <c r="AD126">
        <v>0</v>
      </c>
      <c r="AE126">
        <v>0</v>
      </c>
      <c r="AF126" s="80">
        <f t="shared" si="153"/>
        <v>4.9046399999999988</v>
      </c>
      <c r="AI126" t="s">
        <v>149</v>
      </c>
      <c r="AJ126">
        <v>2</v>
      </c>
      <c r="AK126" t="s">
        <v>7</v>
      </c>
      <c r="AL126">
        <v>8640</v>
      </c>
      <c r="AM126">
        <v>160</v>
      </c>
      <c r="AN126">
        <v>1</v>
      </c>
      <c r="AO126">
        <v>4</v>
      </c>
      <c r="AP126">
        <v>68.34</v>
      </c>
      <c r="AQ126" s="62">
        <v>6.2935999999999996</v>
      </c>
      <c r="AR126" s="16">
        <v>45559</v>
      </c>
      <c r="AS126" s="18">
        <v>0.64500000000000002</v>
      </c>
      <c r="AT126">
        <v>0</v>
      </c>
      <c r="AU126">
        <v>0</v>
      </c>
      <c r="AV126">
        <v>0</v>
      </c>
      <c r="AW126" s="80">
        <f t="shared" si="158"/>
        <v>6.3119399999999999</v>
      </c>
      <c r="AZ126" t="s">
        <v>149</v>
      </c>
      <c r="BA126">
        <v>2</v>
      </c>
      <c r="BB126" t="s">
        <v>7</v>
      </c>
      <c r="BC126">
        <v>8640</v>
      </c>
      <c r="BD126">
        <v>160</v>
      </c>
      <c r="BE126">
        <v>1</v>
      </c>
      <c r="BF126">
        <v>4</v>
      </c>
      <c r="BG126">
        <v>121.5</v>
      </c>
      <c r="BH126" s="62">
        <v>3.54</v>
      </c>
      <c r="BI126" s="16">
        <v>45559</v>
      </c>
      <c r="BJ126" s="18">
        <v>0.82260416666666669</v>
      </c>
      <c r="BK126">
        <v>0</v>
      </c>
      <c r="BL126">
        <v>0</v>
      </c>
      <c r="BM126">
        <v>0</v>
      </c>
      <c r="BN126" s="80">
        <f t="shared" si="159"/>
        <v>3.4402400000000002</v>
      </c>
    </row>
    <row r="127" spans="1:66" x14ac:dyDescent="0.25">
      <c r="A127" t="s">
        <v>111</v>
      </c>
      <c r="B127">
        <v>3</v>
      </c>
      <c r="C127" t="s">
        <v>7</v>
      </c>
      <c r="D127">
        <v>8640</v>
      </c>
      <c r="E127">
        <v>160</v>
      </c>
      <c r="F127">
        <v>1</v>
      </c>
      <c r="G127">
        <v>4</v>
      </c>
      <c r="H127">
        <v>88.67</v>
      </c>
      <c r="I127" s="62">
        <v>4.8505000000000003</v>
      </c>
      <c r="J127" s="16">
        <v>45550</v>
      </c>
      <c r="K127" s="18">
        <v>0.12466435185185185</v>
      </c>
      <c r="L127">
        <v>0</v>
      </c>
      <c r="M127">
        <v>0</v>
      </c>
      <c r="N127">
        <v>0</v>
      </c>
      <c r="O127" s="80">
        <f t="shared" si="98"/>
        <v>4.8507400000000001</v>
      </c>
      <c r="R127" t="s">
        <v>111</v>
      </c>
      <c r="S127">
        <v>3</v>
      </c>
      <c r="T127" t="s">
        <v>7</v>
      </c>
      <c r="U127">
        <v>8640</v>
      </c>
      <c r="V127">
        <v>160</v>
      </c>
      <c r="W127">
        <v>1</v>
      </c>
      <c r="X127">
        <v>4</v>
      </c>
      <c r="Y127">
        <v>88.52</v>
      </c>
      <c r="Z127" s="62">
        <v>4.8586999999999998</v>
      </c>
      <c r="AA127" s="16">
        <v>45559</v>
      </c>
      <c r="AB127" s="18">
        <v>0.76898148148148149</v>
      </c>
      <c r="AC127">
        <v>0</v>
      </c>
      <c r="AD127">
        <v>0</v>
      </c>
      <c r="AE127">
        <v>0</v>
      </c>
      <c r="AF127" s="80">
        <f t="shared" si="153"/>
        <v>4.9046399999999988</v>
      </c>
      <c r="AI127" t="s">
        <v>149</v>
      </c>
      <c r="AJ127">
        <v>3</v>
      </c>
      <c r="AK127" t="s">
        <v>7</v>
      </c>
      <c r="AL127">
        <v>8640</v>
      </c>
      <c r="AM127">
        <v>160</v>
      </c>
      <c r="AN127">
        <v>1</v>
      </c>
      <c r="AO127">
        <v>4</v>
      </c>
      <c r="AP127">
        <v>68.25</v>
      </c>
      <c r="AQ127" s="62">
        <v>6.3018000000000001</v>
      </c>
      <c r="AR127" s="16">
        <v>45559</v>
      </c>
      <c r="AS127" s="18">
        <v>0.69914351851851853</v>
      </c>
      <c r="AT127">
        <v>0</v>
      </c>
      <c r="AU127">
        <v>0</v>
      </c>
      <c r="AV127">
        <v>0</v>
      </c>
      <c r="AW127" s="80">
        <f t="shared" si="158"/>
        <v>6.3119399999999999</v>
      </c>
      <c r="AZ127" t="s">
        <v>149</v>
      </c>
      <c r="BA127">
        <v>3</v>
      </c>
      <c r="BB127" t="s">
        <v>7</v>
      </c>
      <c r="BC127">
        <v>8640</v>
      </c>
      <c r="BD127">
        <v>160</v>
      </c>
      <c r="BE127">
        <v>1</v>
      </c>
      <c r="BF127">
        <v>4</v>
      </c>
      <c r="BG127">
        <v>123.36</v>
      </c>
      <c r="BH127" s="62">
        <v>3.4864000000000002</v>
      </c>
      <c r="BI127" s="16">
        <v>45559</v>
      </c>
      <c r="BJ127" s="18">
        <v>0.91827546296296292</v>
      </c>
      <c r="BK127">
        <v>0</v>
      </c>
      <c r="BL127">
        <v>0</v>
      </c>
      <c r="BM127">
        <v>0</v>
      </c>
      <c r="BN127" s="80">
        <f t="shared" si="159"/>
        <v>3.4402400000000002</v>
      </c>
    </row>
    <row r="128" spans="1:66" x14ac:dyDescent="0.25">
      <c r="A128" t="s">
        <v>111</v>
      </c>
      <c r="B128">
        <v>4</v>
      </c>
      <c r="C128" t="s">
        <v>7</v>
      </c>
      <c r="D128">
        <v>8640</v>
      </c>
      <c r="E128">
        <v>160</v>
      </c>
      <c r="F128">
        <v>1</v>
      </c>
      <c r="G128">
        <v>4</v>
      </c>
      <c r="H128">
        <v>88.67</v>
      </c>
      <c r="I128" s="62">
        <v>4.8505000000000003</v>
      </c>
      <c r="J128" s="16">
        <v>45550</v>
      </c>
      <c r="K128" s="18">
        <v>0.1958449074074074</v>
      </c>
      <c r="L128">
        <v>0</v>
      </c>
      <c r="M128">
        <v>0</v>
      </c>
      <c r="N128">
        <v>0</v>
      </c>
      <c r="O128" s="80">
        <f t="shared" si="98"/>
        <v>4.8507400000000001</v>
      </c>
      <c r="R128" t="s">
        <v>111</v>
      </c>
      <c r="S128">
        <v>4</v>
      </c>
      <c r="T128" t="s">
        <v>7</v>
      </c>
      <c r="U128">
        <v>8640</v>
      </c>
      <c r="V128">
        <v>160</v>
      </c>
      <c r="W128">
        <v>1</v>
      </c>
      <c r="X128">
        <v>4</v>
      </c>
      <c r="Y128">
        <v>88.52</v>
      </c>
      <c r="Z128" s="62">
        <v>4.8586</v>
      </c>
      <c r="AA128" s="16">
        <v>45559</v>
      </c>
      <c r="AB128" s="18">
        <v>0.8401967592592593</v>
      </c>
      <c r="AC128">
        <v>0</v>
      </c>
      <c r="AD128">
        <v>0</v>
      </c>
      <c r="AE128">
        <v>0</v>
      </c>
      <c r="AF128" s="80">
        <f>AVERAGE(Z128:Z132)</f>
        <v>4.9138999999999999</v>
      </c>
      <c r="AI128" t="s">
        <v>149</v>
      </c>
      <c r="AJ128">
        <v>4</v>
      </c>
      <c r="AK128" t="s">
        <v>7</v>
      </c>
      <c r="AL128">
        <v>8640</v>
      </c>
      <c r="AM128">
        <v>160</v>
      </c>
      <c r="AN128">
        <v>1</v>
      </c>
      <c r="AO128">
        <v>4</v>
      </c>
      <c r="AP128">
        <v>68.06</v>
      </c>
      <c r="AQ128" s="62">
        <v>6.3193000000000001</v>
      </c>
      <c r="AR128" s="16">
        <v>45559</v>
      </c>
      <c r="AS128" s="18">
        <v>0.75344907407407402</v>
      </c>
      <c r="AT128">
        <v>0</v>
      </c>
      <c r="AU128">
        <v>0</v>
      </c>
      <c r="AV128">
        <v>0</v>
      </c>
      <c r="AW128" s="80">
        <f t="shared" si="158"/>
        <v>6.3119399999999999</v>
      </c>
      <c r="AZ128" t="s">
        <v>149</v>
      </c>
      <c r="BA128">
        <v>4</v>
      </c>
      <c r="BB128" t="s">
        <v>7</v>
      </c>
      <c r="BC128">
        <v>8640</v>
      </c>
      <c r="BD128">
        <v>160</v>
      </c>
      <c r="BE128">
        <v>1</v>
      </c>
      <c r="BF128">
        <v>4</v>
      </c>
      <c r="BG128">
        <v>127.94</v>
      </c>
      <c r="BH128" s="62">
        <v>3.3616999999999999</v>
      </c>
      <c r="BI128" s="16">
        <v>45560</v>
      </c>
      <c r="BJ128" s="18">
        <v>1.380787037037037E-2</v>
      </c>
      <c r="BK128">
        <v>0</v>
      </c>
      <c r="BL128">
        <v>0</v>
      </c>
      <c r="BM128">
        <v>0</v>
      </c>
      <c r="BN128" s="80">
        <f t="shared" si="159"/>
        <v>3.4402400000000002</v>
      </c>
    </row>
    <row r="129" spans="1:66" x14ac:dyDescent="0.25">
      <c r="A129" t="s">
        <v>111</v>
      </c>
      <c r="B129">
        <v>0</v>
      </c>
      <c r="C129" t="s">
        <v>7</v>
      </c>
      <c r="D129">
        <v>9280</v>
      </c>
      <c r="E129">
        <v>160</v>
      </c>
      <c r="F129">
        <v>1</v>
      </c>
      <c r="G129">
        <v>4</v>
      </c>
      <c r="H129">
        <v>108.25</v>
      </c>
      <c r="I129" s="62">
        <v>4.9230999999999998</v>
      </c>
      <c r="J129" s="16">
        <v>45549</v>
      </c>
      <c r="K129" s="18">
        <v>0.93329861111111112</v>
      </c>
      <c r="L129">
        <v>0</v>
      </c>
      <c r="M129">
        <v>0</v>
      </c>
      <c r="N129">
        <v>0</v>
      </c>
      <c r="O129" s="80">
        <f t="shared" ref="O129" si="160">AVERAGE(I129:I133)</f>
        <v>4.9196200000000001</v>
      </c>
      <c r="R129" t="s">
        <v>111</v>
      </c>
      <c r="S129">
        <v>0</v>
      </c>
      <c r="T129" t="s">
        <v>7</v>
      </c>
      <c r="U129">
        <v>9280</v>
      </c>
      <c r="V129">
        <v>160</v>
      </c>
      <c r="W129">
        <v>1</v>
      </c>
      <c r="X129">
        <v>4</v>
      </c>
      <c r="Y129">
        <v>108.14</v>
      </c>
      <c r="Z129" s="62">
        <v>4.9279999999999999</v>
      </c>
      <c r="AA129" s="16">
        <v>45559</v>
      </c>
      <c r="AB129" s="18">
        <v>0.57748842592592597</v>
      </c>
      <c r="AC129">
        <v>0</v>
      </c>
      <c r="AD129">
        <v>0</v>
      </c>
      <c r="AE129">
        <v>0</v>
      </c>
      <c r="AF129" s="80">
        <f>AF128</f>
        <v>4.9138999999999999</v>
      </c>
      <c r="AI129" t="s">
        <v>149</v>
      </c>
      <c r="AJ129">
        <v>0</v>
      </c>
      <c r="AK129" t="s">
        <v>7</v>
      </c>
      <c r="AL129">
        <v>9280</v>
      </c>
      <c r="AM129">
        <v>160</v>
      </c>
      <c r="AN129">
        <v>1</v>
      </c>
      <c r="AO129">
        <v>4</v>
      </c>
      <c r="AP129">
        <v>82.64</v>
      </c>
      <c r="AQ129" s="62">
        <v>6.4486999999999997</v>
      </c>
      <c r="AR129" s="16">
        <v>45559</v>
      </c>
      <c r="AS129" s="18">
        <v>0.55342592592592588</v>
      </c>
      <c r="AT129">
        <v>0</v>
      </c>
      <c r="AU129">
        <v>0</v>
      </c>
      <c r="AV129">
        <v>0</v>
      </c>
      <c r="AW129" s="80">
        <f t="shared" ref="AW129" si="161">AVERAGE(AQ129:AQ133)</f>
        <v>6.4484200000000005</v>
      </c>
      <c r="AZ129" t="s">
        <v>149</v>
      </c>
      <c r="BA129">
        <v>0</v>
      </c>
      <c r="BB129" t="s">
        <v>7</v>
      </c>
      <c r="BC129">
        <v>9280</v>
      </c>
      <c r="BD129">
        <v>160</v>
      </c>
      <c r="BE129">
        <v>1</v>
      </c>
      <c r="BF129">
        <v>4</v>
      </c>
      <c r="BG129">
        <v>144</v>
      </c>
      <c r="BH129" s="62">
        <v>3.7008000000000001</v>
      </c>
      <c r="BI129" s="16">
        <v>45559</v>
      </c>
      <c r="BJ129" s="18">
        <v>0.66193287037037041</v>
      </c>
      <c r="BK129">
        <v>0</v>
      </c>
      <c r="BL129">
        <v>0</v>
      </c>
      <c r="BM129">
        <v>0</v>
      </c>
      <c r="BN129" s="80">
        <f t="shared" ref="BN129" si="162">AVERAGE(BH129:BH133)</f>
        <v>3.6667399999999999</v>
      </c>
    </row>
    <row r="130" spans="1:66" x14ac:dyDescent="0.25">
      <c r="A130" t="s">
        <v>111</v>
      </c>
      <c r="B130">
        <v>1</v>
      </c>
      <c r="C130" t="s">
        <v>7</v>
      </c>
      <c r="D130">
        <v>9280</v>
      </c>
      <c r="E130">
        <v>160</v>
      </c>
      <c r="F130">
        <v>1</v>
      </c>
      <c r="G130">
        <v>4</v>
      </c>
      <c r="H130">
        <v>108.36</v>
      </c>
      <c r="I130" s="62">
        <v>4.9180000000000001</v>
      </c>
      <c r="J130" s="16">
        <v>45550</v>
      </c>
      <c r="K130" s="18">
        <v>4.5833333333333334E-3</v>
      </c>
      <c r="L130">
        <v>0</v>
      </c>
      <c r="M130">
        <v>0</v>
      </c>
      <c r="N130">
        <v>0</v>
      </c>
      <c r="O130" s="80">
        <f t="shared" ref="O130" si="163">O129</f>
        <v>4.9196200000000001</v>
      </c>
      <c r="R130" t="s">
        <v>111</v>
      </c>
      <c r="S130">
        <v>1</v>
      </c>
      <c r="T130" t="s">
        <v>7</v>
      </c>
      <c r="U130">
        <v>9280</v>
      </c>
      <c r="V130">
        <v>160</v>
      </c>
      <c r="W130">
        <v>1</v>
      </c>
      <c r="X130">
        <v>4</v>
      </c>
      <c r="Y130">
        <v>108.14</v>
      </c>
      <c r="Z130" s="62">
        <v>4.9279999999999999</v>
      </c>
      <c r="AA130" s="16">
        <v>45559</v>
      </c>
      <c r="AB130" s="18">
        <v>0.64872685185185186</v>
      </c>
      <c r="AC130">
        <v>0</v>
      </c>
      <c r="AD130">
        <v>0</v>
      </c>
      <c r="AE130">
        <v>0</v>
      </c>
      <c r="AF130" s="80">
        <f>AF129</f>
        <v>4.9138999999999999</v>
      </c>
      <c r="AI130" t="s">
        <v>149</v>
      </c>
      <c r="AJ130">
        <v>1</v>
      </c>
      <c r="AK130" t="s">
        <v>7</v>
      </c>
      <c r="AL130">
        <v>9280</v>
      </c>
      <c r="AM130">
        <v>160</v>
      </c>
      <c r="AN130">
        <v>1</v>
      </c>
      <c r="AO130">
        <v>4</v>
      </c>
      <c r="AP130">
        <v>82.67</v>
      </c>
      <c r="AQ130" s="62">
        <v>6.4463999999999997</v>
      </c>
      <c r="AR130" s="16">
        <v>45559</v>
      </c>
      <c r="AS130" s="18">
        <v>0.60758101851851853</v>
      </c>
      <c r="AT130">
        <v>0</v>
      </c>
      <c r="AU130">
        <v>0</v>
      </c>
      <c r="AV130">
        <v>0</v>
      </c>
      <c r="AW130" s="80">
        <f t="shared" ref="AW130:AW133" si="164">AW129</f>
        <v>6.4484200000000005</v>
      </c>
      <c r="AZ130" t="s">
        <v>149</v>
      </c>
      <c r="BA130">
        <v>1</v>
      </c>
      <c r="BB130" t="s">
        <v>7</v>
      </c>
      <c r="BC130">
        <v>9280</v>
      </c>
      <c r="BD130">
        <v>160</v>
      </c>
      <c r="BE130">
        <v>1</v>
      </c>
      <c r="BF130">
        <v>4</v>
      </c>
      <c r="BG130">
        <v>138.47999999999999</v>
      </c>
      <c r="BH130" s="62">
        <v>3.8483000000000001</v>
      </c>
      <c r="BI130" s="16">
        <v>45559</v>
      </c>
      <c r="BJ130" s="18">
        <v>0.75741898148148146</v>
      </c>
      <c r="BK130">
        <v>0</v>
      </c>
      <c r="BL130">
        <v>0</v>
      </c>
      <c r="BM130">
        <v>0</v>
      </c>
      <c r="BN130" s="80">
        <f t="shared" ref="BN130:BN133" si="165">BN129</f>
        <v>3.6667399999999999</v>
      </c>
    </row>
    <row r="131" spans="1:66" x14ac:dyDescent="0.25">
      <c r="A131" t="s">
        <v>111</v>
      </c>
      <c r="B131">
        <v>2</v>
      </c>
      <c r="C131" t="s">
        <v>7</v>
      </c>
      <c r="D131">
        <v>9280</v>
      </c>
      <c r="E131">
        <v>160</v>
      </c>
      <c r="F131">
        <v>1</v>
      </c>
      <c r="G131">
        <v>4</v>
      </c>
      <c r="H131">
        <v>108.33</v>
      </c>
      <c r="I131" s="62">
        <v>4.9194000000000004</v>
      </c>
      <c r="J131" s="16">
        <v>45550</v>
      </c>
      <c r="K131" s="18">
        <v>7.570601851851852E-2</v>
      </c>
      <c r="L131">
        <v>0</v>
      </c>
      <c r="M131">
        <v>0</v>
      </c>
      <c r="N131">
        <v>0</v>
      </c>
      <c r="O131" s="80">
        <f t="shared" si="98"/>
        <v>4.9196200000000001</v>
      </c>
      <c r="R131" t="s">
        <v>111</v>
      </c>
      <c r="S131">
        <v>2</v>
      </c>
      <c r="T131" t="s">
        <v>7</v>
      </c>
      <c r="U131">
        <v>9280</v>
      </c>
      <c r="V131">
        <v>160</v>
      </c>
      <c r="W131">
        <v>1</v>
      </c>
      <c r="X131">
        <v>4</v>
      </c>
      <c r="Y131">
        <v>108.15</v>
      </c>
      <c r="Z131" s="62">
        <v>4.9273999999999996</v>
      </c>
      <c r="AA131" s="16">
        <v>45559</v>
      </c>
      <c r="AB131" s="18">
        <v>0.7199768518518519</v>
      </c>
      <c r="AC131">
        <v>0</v>
      </c>
      <c r="AD131">
        <v>0</v>
      </c>
      <c r="AE131">
        <v>0</v>
      </c>
      <c r="AF131" s="80">
        <f>AVERAGE(Z131:Z135)</f>
        <v>4.9487399999999999</v>
      </c>
      <c r="AI131" t="s">
        <v>149</v>
      </c>
      <c r="AJ131">
        <v>2</v>
      </c>
      <c r="AK131" t="s">
        <v>7</v>
      </c>
      <c r="AL131">
        <v>9280</v>
      </c>
      <c r="AM131">
        <v>160</v>
      </c>
      <c r="AN131">
        <v>1</v>
      </c>
      <c r="AO131">
        <v>4</v>
      </c>
      <c r="AP131">
        <v>82.39</v>
      </c>
      <c r="AQ131" s="62">
        <v>6.4684999999999997</v>
      </c>
      <c r="AR131" s="16">
        <v>45559</v>
      </c>
      <c r="AS131" s="18">
        <v>0.66181712962962957</v>
      </c>
      <c r="AT131">
        <v>0</v>
      </c>
      <c r="AU131">
        <v>0</v>
      </c>
      <c r="AV131">
        <v>0</v>
      </c>
      <c r="AW131" s="80">
        <f t="shared" si="164"/>
        <v>6.4484200000000005</v>
      </c>
      <c r="AZ131" t="s">
        <v>149</v>
      </c>
      <c r="BA131">
        <v>2</v>
      </c>
      <c r="BB131" t="s">
        <v>7</v>
      </c>
      <c r="BC131">
        <v>9280</v>
      </c>
      <c r="BD131">
        <v>160</v>
      </c>
      <c r="BE131">
        <v>1</v>
      </c>
      <c r="BF131">
        <v>4</v>
      </c>
      <c r="BG131">
        <v>144.15</v>
      </c>
      <c r="BH131" s="62">
        <v>3.6970000000000001</v>
      </c>
      <c r="BI131" s="16">
        <v>45559</v>
      </c>
      <c r="BJ131" s="18">
        <v>0.8526273148148148</v>
      </c>
      <c r="BK131">
        <v>0</v>
      </c>
      <c r="BL131">
        <v>0</v>
      </c>
      <c r="BM131">
        <v>0</v>
      </c>
      <c r="BN131" s="80">
        <f t="shared" si="165"/>
        <v>3.6667399999999999</v>
      </c>
    </row>
    <row r="132" spans="1:66" x14ac:dyDescent="0.25">
      <c r="A132" t="s">
        <v>111</v>
      </c>
      <c r="B132">
        <v>3</v>
      </c>
      <c r="C132" t="s">
        <v>7</v>
      </c>
      <c r="D132">
        <v>9280</v>
      </c>
      <c r="E132">
        <v>160</v>
      </c>
      <c r="F132">
        <v>1</v>
      </c>
      <c r="G132">
        <v>4</v>
      </c>
      <c r="H132">
        <v>108.31</v>
      </c>
      <c r="I132" s="62">
        <v>4.9203999999999999</v>
      </c>
      <c r="J132" s="16">
        <v>45550</v>
      </c>
      <c r="K132" s="18">
        <v>0.14687500000000001</v>
      </c>
      <c r="L132">
        <v>0</v>
      </c>
      <c r="M132">
        <v>0</v>
      </c>
      <c r="N132">
        <v>0</v>
      </c>
      <c r="O132" s="80">
        <f t="shared" si="98"/>
        <v>4.9196200000000001</v>
      </c>
      <c r="R132" t="s">
        <v>111</v>
      </c>
      <c r="S132">
        <v>3</v>
      </c>
      <c r="T132" t="s">
        <v>7</v>
      </c>
      <c r="U132">
        <v>9280</v>
      </c>
      <c r="V132">
        <v>160</v>
      </c>
      <c r="W132">
        <v>1</v>
      </c>
      <c r="X132">
        <v>4</v>
      </c>
      <c r="Y132">
        <v>108.15</v>
      </c>
      <c r="Z132" s="62">
        <v>4.9275000000000002</v>
      </c>
      <c r="AA132" s="16">
        <v>45559</v>
      </c>
      <c r="AB132" s="18">
        <v>0.79125000000000001</v>
      </c>
      <c r="AC132">
        <v>0</v>
      </c>
      <c r="AD132">
        <v>0</v>
      </c>
      <c r="AE132">
        <v>0</v>
      </c>
      <c r="AF132" s="80">
        <f>AF131</f>
        <v>4.9487399999999999</v>
      </c>
      <c r="AI132" t="s">
        <v>149</v>
      </c>
      <c r="AJ132">
        <v>3</v>
      </c>
      <c r="AK132" t="s">
        <v>7</v>
      </c>
      <c r="AL132">
        <v>9280</v>
      </c>
      <c r="AM132">
        <v>160</v>
      </c>
      <c r="AN132">
        <v>1</v>
      </c>
      <c r="AO132">
        <v>4</v>
      </c>
      <c r="AP132">
        <v>82.84</v>
      </c>
      <c r="AQ132" s="62">
        <v>6.4329999999999998</v>
      </c>
      <c r="AR132" s="16">
        <v>45559</v>
      </c>
      <c r="AS132" s="18">
        <v>0.71597222222222223</v>
      </c>
      <c r="AT132">
        <v>0</v>
      </c>
      <c r="AU132">
        <v>0</v>
      </c>
      <c r="AV132">
        <v>0</v>
      </c>
      <c r="AW132" s="80">
        <f t="shared" si="164"/>
        <v>6.4484200000000005</v>
      </c>
      <c r="AZ132" t="s">
        <v>149</v>
      </c>
      <c r="BA132">
        <v>3</v>
      </c>
      <c r="BB132" t="s">
        <v>7</v>
      </c>
      <c r="BC132">
        <v>9280</v>
      </c>
      <c r="BD132">
        <v>160</v>
      </c>
      <c r="BE132">
        <v>1</v>
      </c>
      <c r="BF132">
        <v>4</v>
      </c>
      <c r="BG132">
        <v>151.44999999999999</v>
      </c>
      <c r="BH132" s="62">
        <v>3.5186999999999999</v>
      </c>
      <c r="BI132" s="16">
        <v>45559</v>
      </c>
      <c r="BJ132" s="18">
        <v>0.94815972222222222</v>
      </c>
      <c r="BK132">
        <v>0</v>
      </c>
      <c r="BL132">
        <v>0</v>
      </c>
      <c r="BM132">
        <v>0</v>
      </c>
      <c r="BN132" s="80">
        <f t="shared" si="165"/>
        <v>3.6667399999999999</v>
      </c>
    </row>
    <row r="133" spans="1:66" x14ac:dyDescent="0.25">
      <c r="A133" t="s">
        <v>111</v>
      </c>
      <c r="B133">
        <v>4</v>
      </c>
      <c r="C133" t="s">
        <v>7</v>
      </c>
      <c r="D133">
        <v>9280</v>
      </c>
      <c r="E133">
        <v>160</v>
      </c>
      <c r="F133">
        <v>1</v>
      </c>
      <c r="G133">
        <v>4</v>
      </c>
      <c r="H133">
        <v>108.38</v>
      </c>
      <c r="I133" s="62">
        <v>4.9172000000000002</v>
      </c>
      <c r="J133" s="16">
        <v>45550</v>
      </c>
      <c r="K133" s="18">
        <v>0.21806712962962962</v>
      </c>
      <c r="L133">
        <v>0</v>
      </c>
      <c r="M133">
        <v>0</v>
      </c>
      <c r="N133">
        <v>0</v>
      </c>
      <c r="O133" s="80">
        <f t="shared" si="98"/>
        <v>4.9196200000000001</v>
      </c>
      <c r="R133" t="s">
        <v>111</v>
      </c>
      <c r="S133">
        <v>4</v>
      </c>
      <c r="T133" t="s">
        <v>7</v>
      </c>
      <c r="U133">
        <v>9280</v>
      </c>
      <c r="V133">
        <v>160</v>
      </c>
      <c r="W133">
        <v>1</v>
      </c>
      <c r="X133">
        <v>4</v>
      </c>
      <c r="Y133">
        <v>108.19</v>
      </c>
      <c r="Z133" s="62">
        <v>4.9259000000000004</v>
      </c>
      <c r="AA133" s="16">
        <v>45559</v>
      </c>
      <c r="AB133" s="18">
        <v>0.86236111111111113</v>
      </c>
      <c r="AC133">
        <v>0</v>
      </c>
      <c r="AD133">
        <v>0</v>
      </c>
      <c r="AE133">
        <v>0</v>
      </c>
      <c r="AF133" s="80">
        <f>AF132</f>
        <v>4.9487399999999999</v>
      </c>
      <c r="AI133" t="s">
        <v>149</v>
      </c>
      <c r="AJ133">
        <v>4</v>
      </c>
      <c r="AK133" t="s">
        <v>7</v>
      </c>
      <c r="AL133">
        <v>9280</v>
      </c>
      <c r="AM133">
        <v>160</v>
      </c>
      <c r="AN133">
        <v>1</v>
      </c>
      <c r="AO133">
        <v>4</v>
      </c>
      <c r="AP133">
        <v>82.68</v>
      </c>
      <c r="AQ133" s="62">
        <v>6.4455</v>
      </c>
      <c r="AR133" s="16">
        <v>45559</v>
      </c>
      <c r="AS133" s="18">
        <v>0.77027777777777773</v>
      </c>
      <c r="AT133">
        <v>0</v>
      </c>
      <c r="AU133">
        <v>0</v>
      </c>
      <c r="AV133">
        <v>0</v>
      </c>
      <c r="AW133" s="80">
        <f t="shared" si="164"/>
        <v>6.4484200000000005</v>
      </c>
      <c r="AZ133" t="s">
        <v>149</v>
      </c>
      <c r="BA133">
        <v>4</v>
      </c>
      <c r="BB133" t="s">
        <v>7</v>
      </c>
      <c r="BC133">
        <v>9280</v>
      </c>
      <c r="BD133">
        <v>160</v>
      </c>
      <c r="BE133">
        <v>1</v>
      </c>
      <c r="BF133">
        <v>4</v>
      </c>
      <c r="BG133">
        <v>149.32</v>
      </c>
      <c r="BH133" s="62">
        <v>3.5689000000000002</v>
      </c>
      <c r="BI133" s="16">
        <v>45560</v>
      </c>
      <c r="BJ133" s="18">
        <v>4.3877314814814813E-2</v>
      </c>
      <c r="BK133">
        <v>0</v>
      </c>
      <c r="BL133">
        <v>0</v>
      </c>
      <c r="BM133">
        <v>0</v>
      </c>
      <c r="BN133" s="80">
        <f t="shared" si="165"/>
        <v>3.6667399999999999</v>
      </c>
    </row>
    <row r="134" spans="1:66" x14ac:dyDescent="0.25">
      <c r="A134" t="s">
        <v>111</v>
      </c>
      <c r="B134">
        <v>0</v>
      </c>
      <c r="C134" t="s">
        <v>7</v>
      </c>
      <c r="D134">
        <v>9760</v>
      </c>
      <c r="E134">
        <v>160</v>
      </c>
      <c r="F134">
        <v>1</v>
      </c>
      <c r="G134">
        <v>4</v>
      </c>
      <c r="H134">
        <v>124.94</v>
      </c>
      <c r="I134" s="62">
        <v>4.9619</v>
      </c>
      <c r="J134" s="16">
        <v>45549</v>
      </c>
      <c r="K134" s="18">
        <v>0.9591898148148148</v>
      </c>
      <c r="L134">
        <v>0</v>
      </c>
      <c r="M134">
        <v>0</v>
      </c>
      <c r="N134">
        <v>0</v>
      </c>
      <c r="O134" s="80">
        <f t="shared" ref="O134" si="166">AVERAGE(I134:I138)</f>
        <v>4.9629999999999992</v>
      </c>
      <c r="R134" t="s">
        <v>111</v>
      </c>
      <c r="S134">
        <v>0</v>
      </c>
      <c r="T134" t="s">
        <v>7</v>
      </c>
      <c r="U134">
        <v>9760</v>
      </c>
      <c r="V134">
        <v>160</v>
      </c>
      <c r="W134">
        <v>1</v>
      </c>
      <c r="X134">
        <v>4</v>
      </c>
      <c r="Y134">
        <v>124.47</v>
      </c>
      <c r="Z134" s="62">
        <v>4.9808000000000003</v>
      </c>
      <c r="AA134" s="16">
        <v>45559</v>
      </c>
      <c r="AB134" s="18">
        <v>0.60337962962962965</v>
      </c>
      <c r="AC134">
        <v>0</v>
      </c>
      <c r="AD134">
        <v>0</v>
      </c>
      <c r="AE134">
        <v>0</v>
      </c>
      <c r="AF134" s="80">
        <f>AVERAGE(Z134:Z138)</f>
        <v>4.9805600000000005</v>
      </c>
      <c r="AI134" t="s">
        <v>149</v>
      </c>
      <c r="AJ134">
        <v>0</v>
      </c>
      <c r="AK134" t="s">
        <v>7</v>
      </c>
      <c r="AL134">
        <v>9760</v>
      </c>
      <c r="AM134">
        <v>160</v>
      </c>
      <c r="AN134">
        <v>1</v>
      </c>
      <c r="AO134">
        <v>4</v>
      </c>
      <c r="AP134">
        <v>94.95</v>
      </c>
      <c r="AQ134" s="62">
        <v>6.5292000000000003</v>
      </c>
      <c r="AR134" s="16">
        <v>45559</v>
      </c>
      <c r="AS134" s="18">
        <v>0.57300925925925927</v>
      </c>
      <c r="AT134">
        <v>0</v>
      </c>
      <c r="AU134">
        <v>0</v>
      </c>
      <c r="AV134">
        <v>0</v>
      </c>
      <c r="AW134" s="80">
        <f t="shared" ref="AW134" si="167">AVERAGE(AQ134:AQ138)</f>
        <v>6.5122600000000004</v>
      </c>
      <c r="AZ134" t="s">
        <v>149</v>
      </c>
      <c r="BA134">
        <v>0</v>
      </c>
      <c r="BB134" t="s">
        <v>7</v>
      </c>
      <c r="BC134">
        <v>9760</v>
      </c>
      <c r="BD134">
        <v>160</v>
      </c>
      <c r="BE134">
        <v>1</v>
      </c>
      <c r="BF134">
        <v>4</v>
      </c>
      <c r="BG134">
        <v>157.87</v>
      </c>
      <c r="BH134" s="62">
        <v>3.9270999999999998</v>
      </c>
      <c r="BI134" s="16">
        <v>45559</v>
      </c>
      <c r="BJ134" s="18">
        <v>0.69562500000000005</v>
      </c>
      <c r="BK134">
        <v>0</v>
      </c>
      <c r="BL134">
        <v>0</v>
      </c>
      <c r="BM134">
        <v>0</v>
      </c>
      <c r="BN134" s="80">
        <f t="shared" ref="BN134" si="168">AVERAGE(BH134:BH138)</f>
        <v>3.8089200000000005</v>
      </c>
    </row>
    <row r="135" spans="1:66" x14ac:dyDescent="0.25">
      <c r="A135" t="s">
        <v>111</v>
      </c>
      <c r="B135">
        <v>1</v>
      </c>
      <c r="C135" t="s">
        <v>7</v>
      </c>
      <c r="D135">
        <v>9760</v>
      </c>
      <c r="E135">
        <v>160</v>
      </c>
      <c r="F135">
        <v>1</v>
      </c>
      <c r="G135">
        <v>4</v>
      </c>
      <c r="H135">
        <v>124.85</v>
      </c>
      <c r="I135" s="62">
        <v>4.9653999999999998</v>
      </c>
      <c r="J135" s="16">
        <v>45550</v>
      </c>
      <c r="K135" s="18">
        <v>3.0439814814814815E-2</v>
      </c>
      <c r="L135">
        <v>0</v>
      </c>
      <c r="M135">
        <v>0</v>
      </c>
      <c r="N135">
        <v>0</v>
      </c>
      <c r="O135" s="80">
        <f t="shared" ref="O135" si="169">O134</f>
        <v>4.9629999999999992</v>
      </c>
      <c r="R135" t="s">
        <v>111</v>
      </c>
      <c r="S135">
        <v>1</v>
      </c>
      <c r="T135" t="s">
        <v>7</v>
      </c>
      <c r="U135">
        <v>9760</v>
      </c>
      <c r="V135">
        <v>160</v>
      </c>
      <c r="W135">
        <v>1</v>
      </c>
      <c r="X135">
        <v>4</v>
      </c>
      <c r="Y135">
        <v>124.44</v>
      </c>
      <c r="Z135" s="62">
        <v>4.9821</v>
      </c>
      <c r="AA135" s="16">
        <v>45559</v>
      </c>
      <c r="AB135" s="18">
        <v>0.6746064814814815</v>
      </c>
      <c r="AC135">
        <v>0</v>
      </c>
      <c r="AD135">
        <v>0</v>
      </c>
      <c r="AE135">
        <v>0</v>
      </c>
      <c r="AF135" s="80">
        <f t="shared" ref="AF135:AF140" si="170">AF134</f>
        <v>4.9805600000000005</v>
      </c>
      <c r="AI135" t="s">
        <v>149</v>
      </c>
      <c r="AJ135">
        <v>1</v>
      </c>
      <c r="AK135" t="s">
        <v>7</v>
      </c>
      <c r="AL135">
        <v>9760</v>
      </c>
      <c r="AM135">
        <v>160</v>
      </c>
      <c r="AN135">
        <v>1</v>
      </c>
      <c r="AO135">
        <v>4</v>
      </c>
      <c r="AP135">
        <v>95.42</v>
      </c>
      <c r="AQ135" s="62">
        <v>6.4970999999999997</v>
      </c>
      <c r="AR135" s="16">
        <v>45559</v>
      </c>
      <c r="AS135" s="18">
        <v>0.62719907407407405</v>
      </c>
      <c r="AT135">
        <v>0</v>
      </c>
      <c r="AU135">
        <v>0</v>
      </c>
      <c r="AV135">
        <v>0</v>
      </c>
      <c r="AW135" s="80">
        <f t="shared" ref="AW135:AW138" si="171">AW134</f>
        <v>6.5122600000000004</v>
      </c>
      <c r="AZ135" t="s">
        <v>149</v>
      </c>
      <c r="BA135">
        <v>1</v>
      </c>
      <c r="BB135" t="s">
        <v>7</v>
      </c>
      <c r="BC135">
        <v>9760</v>
      </c>
      <c r="BD135">
        <v>160</v>
      </c>
      <c r="BE135">
        <v>1</v>
      </c>
      <c r="BF135">
        <v>4</v>
      </c>
      <c r="BG135">
        <v>162.79</v>
      </c>
      <c r="BH135" s="62">
        <v>3.8081999999999998</v>
      </c>
      <c r="BI135" s="16">
        <v>45559</v>
      </c>
      <c r="BJ135" s="18">
        <v>0.79123842592592597</v>
      </c>
      <c r="BK135">
        <v>0</v>
      </c>
      <c r="BL135">
        <v>0</v>
      </c>
      <c r="BM135">
        <v>0</v>
      </c>
      <c r="BN135" s="80">
        <f t="shared" ref="BN135:BN138" si="172">BN134</f>
        <v>3.8089200000000005</v>
      </c>
    </row>
    <row r="136" spans="1:66" x14ac:dyDescent="0.25">
      <c r="A136" t="s">
        <v>111</v>
      </c>
      <c r="B136">
        <v>2</v>
      </c>
      <c r="C136" t="s">
        <v>7</v>
      </c>
      <c r="D136">
        <v>9760</v>
      </c>
      <c r="E136">
        <v>160</v>
      </c>
      <c r="F136">
        <v>1</v>
      </c>
      <c r="G136">
        <v>4</v>
      </c>
      <c r="H136">
        <v>124.83</v>
      </c>
      <c r="I136" s="62">
        <v>4.9663000000000004</v>
      </c>
      <c r="J136" s="16">
        <v>45550</v>
      </c>
      <c r="K136" s="18">
        <v>0.10155092592592592</v>
      </c>
      <c r="L136">
        <v>0</v>
      </c>
      <c r="M136">
        <v>0</v>
      </c>
      <c r="N136">
        <v>0</v>
      </c>
      <c r="O136" s="80">
        <f t="shared" si="98"/>
        <v>4.9629999999999992</v>
      </c>
      <c r="R136" t="s">
        <v>111</v>
      </c>
      <c r="S136">
        <v>2</v>
      </c>
      <c r="T136" t="s">
        <v>7</v>
      </c>
      <c r="U136">
        <v>9760</v>
      </c>
      <c r="V136">
        <v>160</v>
      </c>
      <c r="W136">
        <v>1</v>
      </c>
      <c r="X136">
        <v>4</v>
      </c>
      <c r="Y136">
        <v>124.47</v>
      </c>
      <c r="Z136" s="62">
        <v>4.9808000000000003</v>
      </c>
      <c r="AA136" s="16">
        <v>45559</v>
      </c>
      <c r="AB136" s="18">
        <v>0.74587962962962961</v>
      </c>
      <c r="AC136">
        <v>0</v>
      </c>
      <c r="AD136">
        <v>0</v>
      </c>
      <c r="AE136">
        <v>0</v>
      </c>
      <c r="AF136" s="80">
        <f t="shared" si="170"/>
        <v>4.9805600000000005</v>
      </c>
      <c r="AI136" t="s">
        <v>149</v>
      </c>
      <c r="AJ136">
        <v>2</v>
      </c>
      <c r="AK136" t="s">
        <v>7</v>
      </c>
      <c r="AL136">
        <v>9760</v>
      </c>
      <c r="AM136">
        <v>160</v>
      </c>
      <c r="AN136">
        <v>1</v>
      </c>
      <c r="AO136">
        <v>4</v>
      </c>
      <c r="AP136">
        <v>95.48</v>
      </c>
      <c r="AQ136" s="62">
        <v>6.4930000000000003</v>
      </c>
      <c r="AR136" s="16">
        <v>45559</v>
      </c>
      <c r="AS136" s="18">
        <v>0.6814351851851852</v>
      </c>
      <c r="AT136">
        <v>0</v>
      </c>
      <c r="AU136">
        <v>0</v>
      </c>
      <c r="AV136">
        <v>0</v>
      </c>
      <c r="AW136" s="80">
        <f t="shared" si="171"/>
        <v>6.5122600000000004</v>
      </c>
      <c r="AZ136" t="s">
        <v>149</v>
      </c>
      <c r="BA136">
        <v>2</v>
      </c>
      <c r="BB136" t="s">
        <v>7</v>
      </c>
      <c r="BC136">
        <v>9760</v>
      </c>
      <c r="BD136">
        <v>160</v>
      </c>
      <c r="BE136">
        <v>1</v>
      </c>
      <c r="BF136">
        <v>4</v>
      </c>
      <c r="BG136">
        <v>161.93</v>
      </c>
      <c r="BH136" s="62">
        <v>3.8285</v>
      </c>
      <c r="BI136" s="16">
        <v>45559</v>
      </c>
      <c r="BJ136" s="18">
        <v>0.88687499999999997</v>
      </c>
      <c r="BK136">
        <v>0</v>
      </c>
      <c r="BL136">
        <v>0</v>
      </c>
      <c r="BM136">
        <v>0</v>
      </c>
      <c r="BN136" s="80">
        <f t="shared" si="172"/>
        <v>3.8089200000000005</v>
      </c>
    </row>
    <row r="137" spans="1:66" x14ac:dyDescent="0.25">
      <c r="A137" t="s">
        <v>111</v>
      </c>
      <c r="B137">
        <v>3</v>
      </c>
      <c r="C137" t="s">
        <v>7</v>
      </c>
      <c r="D137">
        <v>9760</v>
      </c>
      <c r="E137">
        <v>160</v>
      </c>
      <c r="F137">
        <v>1</v>
      </c>
      <c r="G137">
        <v>4</v>
      </c>
      <c r="H137">
        <v>124.98</v>
      </c>
      <c r="I137" s="62">
        <v>4.9604999999999997</v>
      </c>
      <c r="J137" s="16">
        <v>45550</v>
      </c>
      <c r="K137" s="18">
        <v>0.17273148148148149</v>
      </c>
      <c r="L137">
        <v>0</v>
      </c>
      <c r="M137">
        <v>0</v>
      </c>
      <c r="N137">
        <v>0</v>
      </c>
      <c r="O137" s="80">
        <f t="shared" si="98"/>
        <v>4.9629999999999992</v>
      </c>
      <c r="R137" t="s">
        <v>111</v>
      </c>
      <c r="S137">
        <v>3</v>
      </c>
      <c r="T137" t="s">
        <v>7</v>
      </c>
      <c r="U137">
        <v>9760</v>
      </c>
      <c r="V137">
        <v>160</v>
      </c>
      <c r="W137">
        <v>1</v>
      </c>
      <c r="X137">
        <v>4</v>
      </c>
      <c r="Y137">
        <v>124.54</v>
      </c>
      <c r="Z137" s="62">
        <v>4.9778000000000002</v>
      </c>
      <c r="AA137" s="16">
        <v>45559</v>
      </c>
      <c r="AB137" s="18">
        <v>0.81718749999999996</v>
      </c>
      <c r="AC137">
        <v>0</v>
      </c>
      <c r="AD137">
        <v>0</v>
      </c>
      <c r="AE137">
        <v>0</v>
      </c>
      <c r="AF137" s="80">
        <f t="shared" si="170"/>
        <v>4.9805600000000005</v>
      </c>
      <c r="AI137" t="s">
        <v>149</v>
      </c>
      <c r="AJ137">
        <v>3</v>
      </c>
      <c r="AK137" t="s">
        <v>7</v>
      </c>
      <c r="AL137">
        <v>9760</v>
      </c>
      <c r="AM137">
        <v>160</v>
      </c>
      <c r="AN137">
        <v>1</v>
      </c>
      <c r="AO137">
        <v>4</v>
      </c>
      <c r="AP137">
        <v>94.97</v>
      </c>
      <c r="AQ137" s="62">
        <v>6.5282</v>
      </c>
      <c r="AR137" s="16">
        <v>45559</v>
      </c>
      <c r="AS137" s="18">
        <v>0.73557870370370371</v>
      </c>
      <c r="AT137">
        <v>0</v>
      </c>
      <c r="AU137">
        <v>0</v>
      </c>
      <c r="AV137">
        <v>0</v>
      </c>
      <c r="AW137" s="80">
        <f t="shared" si="171"/>
        <v>6.5122600000000004</v>
      </c>
      <c r="AZ137" t="s">
        <v>149</v>
      </c>
      <c r="BA137">
        <v>3</v>
      </c>
      <c r="BB137" t="s">
        <v>7</v>
      </c>
      <c r="BC137">
        <v>9760</v>
      </c>
      <c r="BD137">
        <v>160</v>
      </c>
      <c r="BE137">
        <v>1</v>
      </c>
      <c r="BF137">
        <v>4</v>
      </c>
      <c r="BG137">
        <v>166.24</v>
      </c>
      <c r="BH137" s="62">
        <v>3.7292000000000001</v>
      </c>
      <c r="BI137" s="16">
        <v>45559</v>
      </c>
      <c r="BJ137" s="18">
        <v>0.98225694444444445</v>
      </c>
      <c r="BK137">
        <v>0</v>
      </c>
      <c r="BL137">
        <v>0</v>
      </c>
      <c r="BM137">
        <v>0</v>
      </c>
      <c r="BN137" s="80">
        <f t="shared" si="172"/>
        <v>3.8089200000000005</v>
      </c>
    </row>
    <row r="138" spans="1:66" x14ac:dyDescent="0.25">
      <c r="A138" t="s">
        <v>111</v>
      </c>
      <c r="B138">
        <v>4</v>
      </c>
      <c r="C138" t="s">
        <v>7</v>
      </c>
      <c r="D138">
        <v>9760</v>
      </c>
      <c r="E138">
        <v>160</v>
      </c>
      <c r="F138">
        <v>1</v>
      </c>
      <c r="G138">
        <v>4</v>
      </c>
      <c r="H138">
        <v>124.97</v>
      </c>
      <c r="I138" s="62">
        <v>4.9608999999999996</v>
      </c>
      <c r="J138" s="16">
        <v>45550</v>
      </c>
      <c r="K138" s="18">
        <v>0.2439236111111111</v>
      </c>
      <c r="L138">
        <v>0</v>
      </c>
      <c r="M138">
        <v>0</v>
      </c>
      <c r="N138">
        <v>0</v>
      </c>
      <c r="O138" s="80">
        <f t="shared" si="98"/>
        <v>4.9629999999999992</v>
      </c>
      <c r="R138" t="s">
        <v>111</v>
      </c>
      <c r="S138">
        <v>4</v>
      </c>
      <c r="T138" t="s">
        <v>7</v>
      </c>
      <c r="U138">
        <v>9760</v>
      </c>
      <c r="V138">
        <v>160</v>
      </c>
      <c r="W138">
        <v>1</v>
      </c>
      <c r="X138">
        <v>4</v>
      </c>
      <c r="Y138">
        <v>124.46</v>
      </c>
      <c r="Z138" s="62">
        <v>4.9813000000000001</v>
      </c>
      <c r="AA138" s="16">
        <v>45559</v>
      </c>
      <c r="AB138" s="18">
        <v>0.88812500000000005</v>
      </c>
      <c r="AC138">
        <v>0</v>
      </c>
      <c r="AD138">
        <v>0</v>
      </c>
      <c r="AE138">
        <v>0</v>
      </c>
      <c r="AF138" s="80">
        <f t="shared" si="170"/>
        <v>4.9805600000000005</v>
      </c>
      <c r="AI138" t="s">
        <v>149</v>
      </c>
      <c r="AJ138">
        <v>4</v>
      </c>
      <c r="AK138" t="s">
        <v>7</v>
      </c>
      <c r="AL138">
        <v>9760</v>
      </c>
      <c r="AM138">
        <v>160</v>
      </c>
      <c r="AN138">
        <v>1</v>
      </c>
      <c r="AO138">
        <v>4</v>
      </c>
      <c r="AP138">
        <v>95.18</v>
      </c>
      <c r="AQ138" s="62">
        <v>6.5137999999999998</v>
      </c>
      <c r="AR138" s="16">
        <v>45559</v>
      </c>
      <c r="AS138" s="18">
        <v>0.78989583333333335</v>
      </c>
      <c r="AT138">
        <v>0</v>
      </c>
      <c r="AU138">
        <v>0</v>
      </c>
      <c r="AV138">
        <v>0</v>
      </c>
      <c r="AW138" s="80">
        <f t="shared" si="171"/>
        <v>6.5122600000000004</v>
      </c>
      <c r="AZ138" t="s">
        <v>149</v>
      </c>
      <c r="BA138">
        <v>4</v>
      </c>
      <c r="BB138" t="s">
        <v>7</v>
      </c>
      <c r="BC138">
        <v>9760</v>
      </c>
      <c r="BD138">
        <v>160</v>
      </c>
      <c r="BE138">
        <v>1</v>
      </c>
      <c r="BF138">
        <v>4</v>
      </c>
      <c r="BG138">
        <v>165.25</v>
      </c>
      <c r="BH138" s="62">
        <v>3.7515999999999998</v>
      </c>
      <c r="BI138" s="16">
        <v>45560</v>
      </c>
      <c r="BJ138" s="18">
        <v>7.8171296296296294E-2</v>
      </c>
      <c r="BK138">
        <v>0</v>
      </c>
      <c r="BL138">
        <v>0</v>
      </c>
      <c r="BM138">
        <v>0</v>
      </c>
      <c r="BN138" s="80">
        <f t="shared" si="172"/>
        <v>3.8089200000000005</v>
      </c>
    </row>
    <row r="139" spans="1:66" x14ac:dyDescent="0.25">
      <c r="A139" t="s">
        <v>111</v>
      </c>
      <c r="B139">
        <v>0</v>
      </c>
      <c r="C139" t="s">
        <v>7</v>
      </c>
      <c r="D139">
        <v>8640</v>
      </c>
      <c r="E139">
        <v>160</v>
      </c>
      <c r="F139">
        <v>2</v>
      </c>
      <c r="G139">
        <v>2</v>
      </c>
      <c r="H139">
        <v>88.3</v>
      </c>
      <c r="I139" s="62">
        <v>4.8708</v>
      </c>
      <c r="J139" s="16">
        <v>45549</v>
      </c>
      <c r="K139" s="18">
        <v>0.91222222222222227</v>
      </c>
      <c r="L139">
        <v>0</v>
      </c>
      <c r="M139">
        <v>0</v>
      </c>
      <c r="N139">
        <v>0</v>
      </c>
      <c r="O139" s="80">
        <f t="shared" ref="O139" si="173">AVERAGE(I139:I143)</f>
        <v>4.863760000000001</v>
      </c>
      <c r="R139" t="s">
        <v>111</v>
      </c>
      <c r="S139">
        <v>0</v>
      </c>
      <c r="T139" t="s">
        <v>7</v>
      </c>
      <c r="U139">
        <v>8640</v>
      </c>
      <c r="V139">
        <v>160</v>
      </c>
      <c r="W139">
        <v>2</v>
      </c>
      <c r="X139">
        <v>2</v>
      </c>
      <c r="Y139">
        <v>87.79</v>
      </c>
      <c r="Z139" s="62">
        <v>4.8993000000000002</v>
      </c>
      <c r="AA139" s="16">
        <v>45559</v>
      </c>
      <c r="AB139" s="18">
        <v>0.55635416666666671</v>
      </c>
      <c r="AC139">
        <v>0</v>
      </c>
      <c r="AD139">
        <v>0</v>
      </c>
      <c r="AE139">
        <v>0</v>
      </c>
      <c r="AF139" s="80">
        <f t="shared" si="170"/>
        <v>4.9805600000000005</v>
      </c>
      <c r="AI139" t="s">
        <v>149</v>
      </c>
      <c r="AJ139">
        <v>0</v>
      </c>
      <c r="AK139" t="s">
        <v>7</v>
      </c>
      <c r="AL139">
        <v>8640</v>
      </c>
      <c r="AM139">
        <v>160</v>
      </c>
      <c r="AN139">
        <v>2</v>
      </c>
      <c r="AO139">
        <v>2</v>
      </c>
      <c r="AP139">
        <v>68.05</v>
      </c>
      <c r="AQ139" s="62">
        <v>6.3204000000000002</v>
      </c>
      <c r="AR139" s="16">
        <v>45559</v>
      </c>
      <c r="AS139" s="18">
        <v>0.53753472222222221</v>
      </c>
      <c r="AT139">
        <v>0</v>
      </c>
      <c r="AU139">
        <v>0</v>
      </c>
      <c r="AV139">
        <v>0</v>
      </c>
      <c r="AW139" s="80">
        <f t="shared" ref="AW139" si="174">AVERAGE(AQ139:AQ143)</f>
        <v>6.30138</v>
      </c>
      <c r="AZ139" t="s">
        <v>149</v>
      </c>
      <c r="BA139">
        <v>0</v>
      </c>
      <c r="BB139" t="s">
        <v>7</v>
      </c>
      <c r="BC139">
        <v>8640</v>
      </c>
      <c r="BD139">
        <v>160</v>
      </c>
      <c r="BE139">
        <v>2</v>
      </c>
      <c r="BF139">
        <v>2</v>
      </c>
      <c r="BG139">
        <v>133.77000000000001</v>
      </c>
      <c r="BH139" s="62">
        <v>3.2151000000000001</v>
      </c>
      <c r="BI139" s="16">
        <v>45559</v>
      </c>
      <c r="BJ139" s="18">
        <v>0.63348379629629625</v>
      </c>
      <c r="BK139">
        <v>0</v>
      </c>
      <c r="BL139">
        <v>0</v>
      </c>
      <c r="BM139">
        <v>0</v>
      </c>
      <c r="BN139" s="80">
        <f t="shared" ref="BN139" si="175">AVERAGE(BH139:BH143)</f>
        <v>3.0543199999999997</v>
      </c>
    </row>
    <row r="140" spans="1:66" x14ac:dyDescent="0.25">
      <c r="A140" t="s">
        <v>111</v>
      </c>
      <c r="B140">
        <v>1</v>
      </c>
      <c r="C140" t="s">
        <v>7</v>
      </c>
      <c r="D140">
        <v>8640</v>
      </c>
      <c r="E140">
        <v>160</v>
      </c>
      <c r="F140">
        <v>2</v>
      </c>
      <c r="G140">
        <v>2</v>
      </c>
      <c r="H140">
        <v>88.54</v>
      </c>
      <c r="I140" s="62">
        <v>4.8574000000000002</v>
      </c>
      <c r="J140" s="16">
        <v>45549</v>
      </c>
      <c r="K140" s="18">
        <v>0.98349537037037038</v>
      </c>
      <c r="L140">
        <v>0</v>
      </c>
      <c r="M140">
        <v>0</v>
      </c>
      <c r="N140">
        <v>0</v>
      </c>
      <c r="O140" s="80">
        <f t="shared" ref="O140" si="176">O139</f>
        <v>4.863760000000001</v>
      </c>
      <c r="R140" t="s">
        <v>111</v>
      </c>
      <c r="S140">
        <v>1</v>
      </c>
      <c r="T140" t="s">
        <v>7</v>
      </c>
      <c r="U140">
        <v>8640</v>
      </c>
      <c r="V140">
        <v>160</v>
      </c>
      <c r="W140">
        <v>2</v>
      </c>
      <c r="X140">
        <v>2</v>
      </c>
      <c r="Y140">
        <v>87.78</v>
      </c>
      <c r="Z140" s="62">
        <v>4.8994999999999997</v>
      </c>
      <c r="AA140" s="16">
        <v>45559</v>
      </c>
      <c r="AB140" s="18">
        <v>0.62760416666666663</v>
      </c>
      <c r="AC140">
        <v>0</v>
      </c>
      <c r="AD140">
        <v>0</v>
      </c>
      <c r="AE140">
        <v>0</v>
      </c>
      <c r="AF140" s="80">
        <f t="shared" si="170"/>
        <v>4.9805600000000005</v>
      </c>
      <c r="AI140" t="s">
        <v>149</v>
      </c>
      <c r="AJ140">
        <v>1</v>
      </c>
      <c r="AK140" t="s">
        <v>7</v>
      </c>
      <c r="AL140">
        <v>8640</v>
      </c>
      <c r="AM140">
        <v>160</v>
      </c>
      <c r="AN140">
        <v>2</v>
      </c>
      <c r="AO140">
        <v>2</v>
      </c>
      <c r="AP140">
        <v>68.38</v>
      </c>
      <c r="AQ140" s="62">
        <v>6.2896999999999998</v>
      </c>
      <c r="AR140" s="16">
        <v>45559</v>
      </c>
      <c r="AS140" s="18">
        <v>0.59167824074074071</v>
      </c>
      <c r="AT140">
        <v>0</v>
      </c>
      <c r="AU140">
        <v>0</v>
      </c>
      <c r="AV140">
        <v>0</v>
      </c>
      <c r="AW140" s="80">
        <f t="shared" ref="AW140:AW143" si="177">AW139</f>
        <v>6.30138</v>
      </c>
      <c r="AZ140" t="s">
        <v>149</v>
      </c>
      <c r="BA140">
        <v>1</v>
      </c>
      <c r="BB140" t="s">
        <v>7</v>
      </c>
      <c r="BC140">
        <v>8640</v>
      </c>
      <c r="BD140">
        <v>160</v>
      </c>
      <c r="BE140">
        <v>2</v>
      </c>
      <c r="BF140">
        <v>2</v>
      </c>
      <c r="BG140">
        <v>139.37</v>
      </c>
      <c r="BH140" s="62">
        <v>3.0859999999999999</v>
      </c>
      <c r="BI140" s="16">
        <v>45559</v>
      </c>
      <c r="BJ140" s="18">
        <v>0.7290740740740741</v>
      </c>
      <c r="BK140">
        <v>0</v>
      </c>
      <c r="BL140">
        <v>0</v>
      </c>
      <c r="BM140">
        <v>0</v>
      </c>
      <c r="BN140" s="80">
        <f t="shared" ref="BN140:BN143" si="178">BN139</f>
        <v>3.0543199999999997</v>
      </c>
    </row>
    <row r="141" spans="1:66" x14ac:dyDescent="0.25">
      <c r="A141" t="s">
        <v>111</v>
      </c>
      <c r="B141">
        <v>2</v>
      </c>
      <c r="C141" t="s">
        <v>7</v>
      </c>
      <c r="D141">
        <v>8640</v>
      </c>
      <c r="E141">
        <v>160</v>
      </c>
      <c r="F141">
        <v>2</v>
      </c>
      <c r="G141">
        <v>2</v>
      </c>
      <c r="H141">
        <v>88.37</v>
      </c>
      <c r="I141" s="62">
        <v>4.8670999999999998</v>
      </c>
      <c r="J141" s="16">
        <v>45550</v>
      </c>
      <c r="K141" s="18">
        <v>5.4652777777777779E-2</v>
      </c>
      <c r="L141">
        <v>0</v>
      </c>
      <c r="M141">
        <v>0</v>
      </c>
      <c r="N141">
        <v>0</v>
      </c>
      <c r="O141" s="80">
        <f t="shared" si="98"/>
        <v>4.863760000000001</v>
      </c>
      <c r="R141" t="s">
        <v>111</v>
      </c>
      <c r="S141">
        <v>2</v>
      </c>
      <c r="T141" t="s">
        <v>7</v>
      </c>
      <c r="U141">
        <v>8640</v>
      </c>
      <c r="V141">
        <v>160</v>
      </c>
      <c r="W141">
        <v>2</v>
      </c>
      <c r="X141">
        <v>2</v>
      </c>
      <c r="Y141">
        <v>87.74</v>
      </c>
      <c r="Z141" s="62">
        <v>4.9019000000000004</v>
      </c>
      <c r="AA141" s="16">
        <v>45559</v>
      </c>
      <c r="AB141" s="18">
        <v>0.69884259259259263</v>
      </c>
      <c r="AC141">
        <v>0</v>
      </c>
      <c r="AD141">
        <v>0</v>
      </c>
      <c r="AE141">
        <v>0</v>
      </c>
      <c r="AF141" s="80">
        <f>AVERAGE(Z141:Z145)</f>
        <v>4.9290399999999996</v>
      </c>
      <c r="AI141" t="s">
        <v>149</v>
      </c>
      <c r="AJ141">
        <v>2</v>
      </c>
      <c r="AK141" t="s">
        <v>7</v>
      </c>
      <c r="AL141">
        <v>8640</v>
      </c>
      <c r="AM141">
        <v>160</v>
      </c>
      <c r="AN141">
        <v>2</v>
      </c>
      <c r="AO141">
        <v>2</v>
      </c>
      <c r="AP141">
        <v>68.040000000000006</v>
      </c>
      <c r="AQ141" s="62">
        <v>6.3209</v>
      </c>
      <c r="AR141" s="16">
        <v>45559</v>
      </c>
      <c r="AS141" s="18">
        <v>0.64591435185185186</v>
      </c>
      <c r="AT141">
        <v>0</v>
      </c>
      <c r="AU141">
        <v>0</v>
      </c>
      <c r="AV141">
        <v>0</v>
      </c>
      <c r="AW141" s="80">
        <f t="shared" si="177"/>
        <v>6.30138</v>
      </c>
      <c r="AZ141" t="s">
        <v>149</v>
      </c>
      <c r="BA141">
        <v>2</v>
      </c>
      <c r="BB141" t="s">
        <v>7</v>
      </c>
      <c r="BC141">
        <v>8640</v>
      </c>
      <c r="BD141">
        <v>160</v>
      </c>
      <c r="BE141">
        <v>2</v>
      </c>
      <c r="BF141">
        <v>2</v>
      </c>
      <c r="BG141">
        <v>142.36000000000001</v>
      </c>
      <c r="BH141" s="62">
        <v>3.0211000000000001</v>
      </c>
      <c r="BI141" s="16">
        <v>45559</v>
      </c>
      <c r="BJ141" s="18">
        <v>0.82437499999999997</v>
      </c>
      <c r="BK141">
        <v>0</v>
      </c>
      <c r="BL141">
        <v>0</v>
      </c>
      <c r="BM141">
        <v>0</v>
      </c>
      <c r="BN141" s="80">
        <f t="shared" si="178"/>
        <v>3.0543199999999997</v>
      </c>
    </row>
    <row r="142" spans="1:66" x14ac:dyDescent="0.25">
      <c r="A142" t="s">
        <v>111</v>
      </c>
      <c r="B142">
        <v>3</v>
      </c>
      <c r="C142" t="s">
        <v>7</v>
      </c>
      <c r="D142">
        <v>8640</v>
      </c>
      <c r="E142">
        <v>160</v>
      </c>
      <c r="F142">
        <v>2</v>
      </c>
      <c r="G142">
        <v>2</v>
      </c>
      <c r="H142">
        <v>88.48</v>
      </c>
      <c r="I142" s="62">
        <v>4.8609999999999998</v>
      </c>
      <c r="J142" s="16">
        <v>45550</v>
      </c>
      <c r="K142" s="18">
        <v>0.12581018518518519</v>
      </c>
      <c r="L142">
        <v>0</v>
      </c>
      <c r="M142">
        <v>0</v>
      </c>
      <c r="N142">
        <v>0</v>
      </c>
      <c r="O142" s="80">
        <f t="shared" si="98"/>
        <v>4.863760000000001</v>
      </c>
      <c r="R142" t="s">
        <v>111</v>
      </c>
      <c r="S142">
        <v>3</v>
      </c>
      <c r="T142" t="s">
        <v>7</v>
      </c>
      <c r="U142">
        <v>8640</v>
      </c>
      <c r="V142">
        <v>160</v>
      </c>
      <c r="W142">
        <v>2</v>
      </c>
      <c r="X142">
        <v>2</v>
      </c>
      <c r="Y142">
        <v>87.88</v>
      </c>
      <c r="Z142" s="62">
        <v>4.8940999999999999</v>
      </c>
      <c r="AA142" s="16">
        <v>45559</v>
      </c>
      <c r="AB142" s="18">
        <v>0.77012731481481478</v>
      </c>
      <c r="AC142">
        <v>0</v>
      </c>
      <c r="AD142">
        <v>0</v>
      </c>
      <c r="AE142">
        <v>0</v>
      </c>
      <c r="AF142" s="80">
        <f>AF141</f>
        <v>4.9290399999999996</v>
      </c>
      <c r="AI142" t="s">
        <v>149</v>
      </c>
      <c r="AJ142">
        <v>3</v>
      </c>
      <c r="AK142" t="s">
        <v>7</v>
      </c>
      <c r="AL142">
        <v>8640</v>
      </c>
      <c r="AM142">
        <v>160</v>
      </c>
      <c r="AN142">
        <v>2</v>
      </c>
      <c r="AO142">
        <v>2</v>
      </c>
      <c r="AP142">
        <v>68.3</v>
      </c>
      <c r="AQ142" s="62">
        <v>6.2969999999999997</v>
      </c>
      <c r="AR142" s="16">
        <v>45559</v>
      </c>
      <c r="AS142" s="18">
        <v>0.70005787037037037</v>
      </c>
      <c r="AT142">
        <v>0</v>
      </c>
      <c r="AU142">
        <v>0</v>
      </c>
      <c r="AV142">
        <v>0</v>
      </c>
      <c r="AW142" s="80">
        <f t="shared" si="177"/>
        <v>6.30138</v>
      </c>
      <c r="AZ142" t="s">
        <v>149</v>
      </c>
      <c r="BA142">
        <v>3</v>
      </c>
      <c r="BB142" t="s">
        <v>7</v>
      </c>
      <c r="BC142">
        <v>8640</v>
      </c>
      <c r="BD142">
        <v>160</v>
      </c>
      <c r="BE142">
        <v>2</v>
      </c>
      <c r="BF142">
        <v>2</v>
      </c>
      <c r="BG142">
        <v>141.44999999999999</v>
      </c>
      <c r="BH142" s="62">
        <v>3.0406</v>
      </c>
      <c r="BI142" s="16">
        <v>45559</v>
      </c>
      <c r="BJ142" s="18">
        <v>0.92004629629629631</v>
      </c>
      <c r="BK142">
        <v>0</v>
      </c>
      <c r="BL142">
        <v>0</v>
      </c>
      <c r="BM142">
        <v>0</v>
      </c>
      <c r="BN142" s="80">
        <f t="shared" si="178"/>
        <v>3.0543199999999997</v>
      </c>
    </row>
    <row r="143" spans="1:66" x14ac:dyDescent="0.25">
      <c r="A143" t="s">
        <v>111</v>
      </c>
      <c r="B143">
        <v>4</v>
      </c>
      <c r="C143" t="s">
        <v>7</v>
      </c>
      <c r="D143">
        <v>8640</v>
      </c>
      <c r="E143">
        <v>160</v>
      </c>
      <c r="F143">
        <v>2</v>
      </c>
      <c r="G143">
        <v>2</v>
      </c>
      <c r="H143">
        <v>88.45</v>
      </c>
      <c r="I143" s="62">
        <v>4.8624999999999998</v>
      </c>
      <c r="J143" s="16">
        <v>45550</v>
      </c>
      <c r="K143" s="18">
        <v>0.19699074074074074</v>
      </c>
      <c r="L143">
        <v>0</v>
      </c>
      <c r="M143">
        <v>0</v>
      </c>
      <c r="N143">
        <v>0</v>
      </c>
      <c r="O143" s="80">
        <f t="shared" si="98"/>
        <v>4.863760000000001</v>
      </c>
      <c r="R143" t="s">
        <v>111</v>
      </c>
      <c r="S143">
        <v>4</v>
      </c>
      <c r="T143" t="s">
        <v>7</v>
      </c>
      <c r="U143">
        <v>8640</v>
      </c>
      <c r="V143">
        <v>160</v>
      </c>
      <c r="W143">
        <v>2</v>
      </c>
      <c r="X143">
        <v>2</v>
      </c>
      <c r="Y143">
        <v>87.8</v>
      </c>
      <c r="Z143" s="62">
        <v>4.8985000000000003</v>
      </c>
      <c r="AA143" s="16">
        <v>45559</v>
      </c>
      <c r="AB143" s="18">
        <v>0.84133101851851855</v>
      </c>
      <c r="AC143">
        <v>0</v>
      </c>
      <c r="AD143">
        <v>0</v>
      </c>
      <c r="AE143">
        <v>0</v>
      </c>
      <c r="AF143" s="80">
        <f>AF142</f>
        <v>4.9290399999999996</v>
      </c>
      <c r="AI143" t="s">
        <v>149</v>
      </c>
      <c r="AJ143">
        <v>4</v>
      </c>
      <c r="AK143" t="s">
        <v>7</v>
      </c>
      <c r="AL143">
        <v>8640</v>
      </c>
      <c r="AM143">
        <v>160</v>
      </c>
      <c r="AN143">
        <v>2</v>
      </c>
      <c r="AO143">
        <v>2</v>
      </c>
      <c r="AP143">
        <v>68.5</v>
      </c>
      <c r="AQ143" s="62">
        <v>6.2789000000000001</v>
      </c>
      <c r="AR143" s="16">
        <v>45559</v>
      </c>
      <c r="AS143" s="18">
        <v>0.75436342592592598</v>
      </c>
      <c r="AT143">
        <v>0</v>
      </c>
      <c r="AU143">
        <v>0</v>
      </c>
      <c r="AV143">
        <v>0</v>
      </c>
      <c r="AW143" s="80">
        <f t="shared" si="177"/>
        <v>6.30138</v>
      </c>
      <c r="AZ143" t="s">
        <v>149</v>
      </c>
      <c r="BA143">
        <v>4</v>
      </c>
      <c r="BB143" t="s">
        <v>7</v>
      </c>
      <c r="BC143">
        <v>8640</v>
      </c>
      <c r="BD143">
        <v>160</v>
      </c>
      <c r="BE143">
        <v>2</v>
      </c>
      <c r="BF143">
        <v>2</v>
      </c>
      <c r="BG143">
        <v>147.86000000000001</v>
      </c>
      <c r="BH143" s="62">
        <v>2.9087999999999998</v>
      </c>
      <c r="BI143" s="16">
        <v>45560</v>
      </c>
      <c r="BJ143" s="18">
        <v>1.5648148148148147E-2</v>
      </c>
      <c r="BK143">
        <v>0</v>
      </c>
      <c r="BL143">
        <v>0</v>
      </c>
      <c r="BM143">
        <v>0</v>
      </c>
      <c r="BN143" s="80">
        <f t="shared" si="178"/>
        <v>3.0543199999999997</v>
      </c>
    </row>
    <row r="144" spans="1:66" x14ac:dyDescent="0.25">
      <c r="A144" t="s">
        <v>111</v>
      </c>
      <c r="B144">
        <v>0</v>
      </c>
      <c r="C144" t="s">
        <v>7</v>
      </c>
      <c r="D144">
        <v>9280</v>
      </c>
      <c r="E144">
        <v>160</v>
      </c>
      <c r="F144">
        <v>2</v>
      </c>
      <c r="G144">
        <v>2</v>
      </c>
      <c r="H144">
        <v>107.32</v>
      </c>
      <c r="I144" s="62">
        <v>4.9654999999999996</v>
      </c>
      <c r="J144" s="16">
        <v>45549</v>
      </c>
      <c r="K144" s="18">
        <v>0.9346875</v>
      </c>
      <c r="L144">
        <v>0</v>
      </c>
      <c r="M144">
        <v>0</v>
      </c>
      <c r="N144">
        <v>0</v>
      </c>
      <c r="O144" s="80">
        <f t="shared" ref="O144" si="179">AVERAGE(I144:I148)</f>
        <v>4.9509400000000001</v>
      </c>
      <c r="R144" t="s">
        <v>111</v>
      </c>
      <c r="S144">
        <v>0</v>
      </c>
      <c r="T144" t="s">
        <v>7</v>
      </c>
      <c r="U144">
        <v>9280</v>
      </c>
      <c r="V144">
        <v>160</v>
      </c>
      <c r="W144">
        <v>2</v>
      </c>
      <c r="X144">
        <v>2</v>
      </c>
      <c r="Y144">
        <v>107.21</v>
      </c>
      <c r="Z144" s="62">
        <v>4.9707999999999997</v>
      </c>
      <c r="AA144" s="16">
        <v>45559</v>
      </c>
      <c r="AB144" s="18">
        <v>0.57887731481481486</v>
      </c>
      <c r="AC144">
        <v>0</v>
      </c>
      <c r="AD144">
        <v>0</v>
      </c>
      <c r="AE144">
        <v>0</v>
      </c>
      <c r="AF144" s="80">
        <f>AVERAGE(Z144:Z148)</f>
        <v>4.9788999999999994</v>
      </c>
      <c r="AI144" t="s">
        <v>149</v>
      </c>
      <c r="AJ144">
        <v>0</v>
      </c>
      <c r="AK144" t="s">
        <v>7</v>
      </c>
      <c r="AL144">
        <v>9280</v>
      </c>
      <c r="AM144">
        <v>160</v>
      </c>
      <c r="AN144">
        <v>2</v>
      </c>
      <c r="AO144">
        <v>2</v>
      </c>
      <c r="AP144">
        <v>83.16</v>
      </c>
      <c r="AQ144" s="62">
        <v>6.4081999999999999</v>
      </c>
      <c r="AR144" s="16">
        <v>45559</v>
      </c>
      <c r="AS144" s="18">
        <v>0.55453703703703705</v>
      </c>
      <c r="AT144">
        <v>0</v>
      </c>
      <c r="AU144">
        <v>0</v>
      </c>
      <c r="AV144">
        <v>0</v>
      </c>
      <c r="AW144" s="80">
        <f t="shared" ref="AW144" si="180">AVERAGE(AQ144:AQ148)</f>
        <v>6.4059799999999996</v>
      </c>
      <c r="AZ144" t="s">
        <v>149</v>
      </c>
      <c r="BA144">
        <v>0</v>
      </c>
      <c r="BB144" t="s">
        <v>7</v>
      </c>
      <c r="BC144">
        <v>9280</v>
      </c>
      <c r="BD144">
        <v>160</v>
      </c>
      <c r="BE144">
        <v>2</v>
      </c>
      <c r="BF144">
        <v>2</v>
      </c>
      <c r="BG144">
        <v>162.94999999999999</v>
      </c>
      <c r="BH144" s="62">
        <v>3.2704</v>
      </c>
      <c r="BI144" s="16">
        <v>45559</v>
      </c>
      <c r="BJ144" s="18">
        <v>0.66396990740740736</v>
      </c>
      <c r="BK144">
        <v>0</v>
      </c>
      <c r="BL144">
        <v>0</v>
      </c>
      <c r="BM144">
        <v>0</v>
      </c>
      <c r="BN144" s="80">
        <f t="shared" ref="BN144" si="181">AVERAGE(BH144:BH148)</f>
        <v>3.2405999999999997</v>
      </c>
    </row>
    <row r="145" spans="1:66" x14ac:dyDescent="0.25">
      <c r="A145" t="s">
        <v>111</v>
      </c>
      <c r="B145">
        <v>1</v>
      </c>
      <c r="C145" t="s">
        <v>7</v>
      </c>
      <c r="D145">
        <v>9280</v>
      </c>
      <c r="E145">
        <v>160</v>
      </c>
      <c r="F145">
        <v>2</v>
      </c>
      <c r="G145">
        <v>2</v>
      </c>
      <c r="H145">
        <v>107.96</v>
      </c>
      <c r="I145" s="62">
        <v>4.9362000000000004</v>
      </c>
      <c r="J145" s="16">
        <v>45550</v>
      </c>
      <c r="K145" s="18">
        <v>5.9722222222222225E-3</v>
      </c>
      <c r="L145">
        <v>0</v>
      </c>
      <c r="M145">
        <v>0</v>
      </c>
      <c r="N145">
        <v>0</v>
      </c>
      <c r="O145" s="80">
        <f t="shared" ref="O145:O208" si="182">O144</f>
        <v>4.9509400000000001</v>
      </c>
      <c r="R145" t="s">
        <v>111</v>
      </c>
      <c r="S145">
        <v>1</v>
      </c>
      <c r="T145" t="s">
        <v>7</v>
      </c>
      <c r="U145">
        <v>9280</v>
      </c>
      <c r="V145">
        <v>160</v>
      </c>
      <c r="W145">
        <v>2</v>
      </c>
      <c r="X145">
        <v>2</v>
      </c>
      <c r="Y145">
        <v>107.01</v>
      </c>
      <c r="Z145" s="62">
        <v>4.9798999999999998</v>
      </c>
      <c r="AA145" s="16">
        <v>45559</v>
      </c>
      <c r="AB145" s="18">
        <v>0.65011574074074074</v>
      </c>
      <c r="AC145">
        <v>0</v>
      </c>
      <c r="AD145">
        <v>0</v>
      </c>
      <c r="AE145">
        <v>0</v>
      </c>
      <c r="AF145" s="80">
        <f t="shared" ref="AF145:AF151" si="183">AF144</f>
        <v>4.9788999999999994</v>
      </c>
      <c r="AI145" t="s">
        <v>149</v>
      </c>
      <c r="AJ145">
        <v>1</v>
      </c>
      <c r="AK145" t="s">
        <v>7</v>
      </c>
      <c r="AL145">
        <v>9280</v>
      </c>
      <c r="AM145">
        <v>160</v>
      </c>
      <c r="AN145">
        <v>2</v>
      </c>
      <c r="AO145">
        <v>2</v>
      </c>
      <c r="AP145">
        <v>83.19</v>
      </c>
      <c r="AQ145" s="62">
        <v>6.4058000000000002</v>
      </c>
      <c r="AR145" s="16">
        <v>45559</v>
      </c>
      <c r="AS145" s="18">
        <v>0.60868055555555556</v>
      </c>
      <c r="AT145">
        <v>0</v>
      </c>
      <c r="AU145">
        <v>0</v>
      </c>
      <c r="AV145">
        <v>0</v>
      </c>
      <c r="AW145" s="80">
        <f t="shared" ref="AW145:AW148" si="184">AW144</f>
        <v>6.4059799999999996</v>
      </c>
      <c r="AZ145" t="s">
        <v>149</v>
      </c>
      <c r="BA145">
        <v>1</v>
      </c>
      <c r="BB145" t="s">
        <v>7</v>
      </c>
      <c r="BC145">
        <v>9280</v>
      </c>
      <c r="BD145">
        <v>160</v>
      </c>
      <c r="BE145">
        <v>2</v>
      </c>
      <c r="BF145">
        <v>2</v>
      </c>
      <c r="BG145">
        <v>169.02</v>
      </c>
      <c r="BH145" s="62">
        <v>3.1528999999999998</v>
      </c>
      <c r="BI145" s="16">
        <v>45559</v>
      </c>
      <c r="BJ145" s="18">
        <v>0.75952546296296297</v>
      </c>
      <c r="BK145">
        <v>0</v>
      </c>
      <c r="BL145">
        <v>0</v>
      </c>
      <c r="BM145">
        <v>0</v>
      </c>
      <c r="BN145" s="80">
        <f t="shared" ref="BN145:BN148" si="185">BN144</f>
        <v>3.2405999999999997</v>
      </c>
    </row>
    <row r="146" spans="1:66" x14ac:dyDescent="0.25">
      <c r="A146" t="s">
        <v>111</v>
      </c>
      <c r="B146">
        <v>2</v>
      </c>
      <c r="C146" t="s">
        <v>7</v>
      </c>
      <c r="D146">
        <v>9280</v>
      </c>
      <c r="E146">
        <v>160</v>
      </c>
      <c r="F146">
        <v>2</v>
      </c>
      <c r="G146">
        <v>2</v>
      </c>
      <c r="H146">
        <v>107.82</v>
      </c>
      <c r="I146" s="62">
        <v>4.9425999999999997</v>
      </c>
      <c r="J146" s="16">
        <v>45550</v>
      </c>
      <c r="K146" s="18">
        <v>7.7094907407407404E-2</v>
      </c>
      <c r="L146">
        <v>0</v>
      </c>
      <c r="M146">
        <v>0</v>
      </c>
      <c r="N146">
        <v>0</v>
      </c>
      <c r="O146" s="80">
        <f t="shared" si="182"/>
        <v>4.9509400000000001</v>
      </c>
      <c r="R146" t="s">
        <v>111</v>
      </c>
      <c r="S146">
        <v>2</v>
      </c>
      <c r="T146" t="s">
        <v>7</v>
      </c>
      <c r="U146">
        <v>9280</v>
      </c>
      <c r="V146">
        <v>160</v>
      </c>
      <c r="W146">
        <v>2</v>
      </c>
      <c r="X146">
        <v>2</v>
      </c>
      <c r="Y146">
        <v>106.96</v>
      </c>
      <c r="Z146" s="62">
        <v>4.9824999999999999</v>
      </c>
      <c r="AA146" s="16">
        <v>45559</v>
      </c>
      <c r="AB146" s="18">
        <v>0.72136574074074078</v>
      </c>
      <c r="AC146">
        <v>0</v>
      </c>
      <c r="AD146">
        <v>0</v>
      </c>
      <c r="AE146">
        <v>0</v>
      </c>
      <c r="AF146" s="80">
        <f t="shared" si="183"/>
        <v>4.9788999999999994</v>
      </c>
      <c r="AI146" t="s">
        <v>149</v>
      </c>
      <c r="AJ146">
        <v>2</v>
      </c>
      <c r="AK146" t="s">
        <v>7</v>
      </c>
      <c r="AL146">
        <v>9280</v>
      </c>
      <c r="AM146">
        <v>160</v>
      </c>
      <c r="AN146">
        <v>2</v>
      </c>
      <c r="AO146">
        <v>2</v>
      </c>
      <c r="AP146">
        <v>83.32</v>
      </c>
      <c r="AQ146" s="62">
        <v>6.3963000000000001</v>
      </c>
      <c r="AR146" s="16">
        <v>45559</v>
      </c>
      <c r="AS146" s="18">
        <v>0.66292824074074075</v>
      </c>
      <c r="AT146">
        <v>0</v>
      </c>
      <c r="AU146">
        <v>0</v>
      </c>
      <c r="AV146">
        <v>0</v>
      </c>
      <c r="AW146" s="80">
        <f t="shared" si="184"/>
        <v>6.4059799999999996</v>
      </c>
      <c r="AZ146" t="s">
        <v>149</v>
      </c>
      <c r="BA146">
        <v>2</v>
      </c>
      <c r="BB146" t="s">
        <v>7</v>
      </c>
      <c r="BC146">
        <v>9280</v>
      </c>
      <c r="BD146">
        <v>160</v>
      </c>
      <c r="BE146">
        <v>2</v>
      </c>
      <c r="BF146">
        <v>2</v>
      </c>
      <c r="BG146">
        <v>162.07</v>
      </c>
      <c r="BH146" s="62">
        <v>3.2881999999999998</v>
      </c>
      <c r="BI146" s="16">
        <v>45559</v>
      </c>
      <c r="BJ146" s="18">
        <v>0.85465277777777782</v>
      </c>
      <c r="BK146">
        <v>0</v>
      </c>
      <c r="BL146">
        <v>0</v>
      </c>
      <c r="BM146">
        <v>0</v>
      </c>
      <c r="BN146" s="80">
        <f t="shared" si="185"/>
        <v>3.2405999999999997</v>
      </c>
    </row>
    <row r="147" spans="1:66" x14ac:dyDescent="0.25">
      <c r="A147" t="s">
        <v>111</v>
      </c>
      <c r="B147">
        <v>3</v>
      </c>
      <c r="C147" t="s">
        <v>7</v>
      </c>
      <c r="D147">
        <v>9280</v>
      </c>
      <c r="E147">
        <v>160</v>
      </c>
      <c r="F147">
        <v>2</v>
      </c>
      <c r="G147">
        <v>2</v>
      </c>
      <c r="H147">
        <v>107.46</v>
      </c>
      <c r="I147" s="62">
        <v>4.9593999999999996</v>
      </c>
      <c r="J147" s="16">
        <v>45550</v>
      </c>
      <c r="K147" s="18">
        <v>0.14825231481481482</v>
      </c>
      <c r="L147">
        <v>0</v>
      </c>
      <c r="M147">
        <v>0</v>
      </c>
      <c r="N147">
        <v>0</v>
      </c>
      <c r="O147" s="80">
        <f t="shared" si="182"/>
        <v>4.9509400000000001</v>
      </c>
      <c r="R147" t="s">
        <v>111</v>
      </c>
      <c r="S147">
        <v>3</v>
      </c>
      <c r="T147" t="s">
        <v>7</v>
      </c>
      <c r="U147">
        <v>9280</v>
      </c>
      <c r="V147">
        <v>160</v>
      </c>
      <c r="W147">
        <v>2</v>
      </c>
      <c r="X147">
        <v>2</v>
      </c>
      <c r="Y147">
        <v>106.99</v>
      </c>
      <c r="Z147" s="62">
        <v>4.9809000000000001</v>
      </c>
      <c r="AA147" s="16">
        <v>45559</v>
      </c>
      <c r="AB147" s="18">
        <v>0.79275462962962961</v>
      </c>
      <c r="AC147">
        <v>0</v>
      </c>
      <c r="AD147">
        <v>0</v>
      </c>
      <c r="AE147">
        <v>0</v>
      </c>
      <c r="AF147" s="80">
        <f t="shared" si="183"/>
        <v>4.9788999999999994</v>
      </c>
      <c r="AI147" t="s">
        <v>149</v>
      </c>
      <c r="AJ147">
        <v>3</v>
      </c>
      <c r="AK147" t="s">
        <v>7</v>
      </c>
      <c r="AL147">
        <v>9280</v>
      </c>
      <c r="AM147">
        <v>160</v>
      </c>
      <c r="AN147">
        <v>2</v>
      </c>
      <c r="AO147">
        <v>2</v>
      </c>
      <c r="AP147">
        <v>82.94</v>
      </c>
      <c r="AQ147" s="62">
        <v>6.4255000000000004</v>
      </c>
      <c r="AR147" s="16">
        <v>45559</v>
      </c>
      <c r="AS147" s="18">
        <v>0.71707175925925926</v>
      </c>
      <c r="AT147">
        <v>0</v>
      </c>
      <c r="AU147">
        <v>0</v>
      </c>
      <c r="AV147">
        <v>0</v>
      </c>
      <c r="AW147" s="80">
        <f t="shared" si="184"/>
        <v>6.4059799999999996</v>
      </c>
      <c r="AZ147" t="s">
        <v>149</v>
      </c>
      <c r="BA147">
        <v>3</v>
      </c>
      <c r="BB147" t="s">
        <v>7</v>
      </c>
      <c r="BC147">
        <v>9280</v>
      </c>
      <c r="BD147">
        <v>160</v>
      </c>
      <c r="BE147">
        <v>2</v>
      </c>
      <c r="BF147">
        <v>2</v>
      </c>
      <c r="BG147">
        <v>160.33000000000001</v>
      </c>
      <c r="BH147" s="62">
        <v>3.3237999999999999</v>
      </c>
      <c r="BI147" s="16">
        <v>45559</v>
      </c>
      <c r="BJ147" s="18">
        <v>0.95016203703703705</v>
      </c>
      <c r="BK147">
        <v>0</v>
      </c>
      <c r="BL147">
        <v>0</v>
      </c>
      <c r="BM147">
        <v>0</v>
      </c>
      <c r="BN147" s="80">
        <f t="shared" si="185"/>
        <v>3.2405999999999997</v>
      </c>
    </row>
    <row r="148" spans="1:66" x14ac:dyDescent="0.25">
      <c r="A148" t="s">
        <v>111</v>
      </c>
      <c r="B148">
        <v>4</v>
      </c>
      <c r="C148" t="s">
        <v>7</v>
      </c>
      <c r="D148">
        <v>9280</v>
      </c>
      <c r="E148">
        <v>160</v>
      </c>
      <c r="F148">
        <v>2</v>
      </c>
      <c r="G148">
        <v>2</v>
      </c>
      <c r="H148">
        <v>107.64</v>
      </c>
      <c r="I148" s="62">
        <v>4.9509999999999996</v>
      </c>
      <c r="J148" s="16">
        <v>45550</v>
      </c>
      <c r="K148" s="18">
        <v>0.21944444444444444</v>
      </c>
      <c r="L148">
        <v>0</v>
      </c>
      <c r="M148">
        <v>0</v>
      </c>
      <c r="N148">
        <v>0</v>
      </c>
      <c r="O148" s="80">
        <f t="shared" si="182"/>
        <v>4.9509400000000001</v>
      </c>
      <c r="R148" t="s">
        <v>111</v>
      </c>
      <c r="S148">
        <v>4</v>
      </c>
      <c r="T148" t="s">
        <v>7</v>
      </c>
      <c r="U148">
        <v>9280</v>
      </c>
      <c r="V148">
        <v>160</v>
      </c>
      <c r="W148">
        <v>2</v>
      </c>
      <c r="X148">
        <v>2</v>
      </c>
      <c r="Y148">
        <v>107</v>
      </c>
      <c r="Z148" s="62">
        <v>4.9804000000000004</v>
      </c>
      <c r="AA148" s="16">
        <v>45559</v>
      </c>
      <c r="AB148" s="18">
        <v>0.86373842592592598</v>
      </c>
      <c r="AC148">
        <v>0</v>
      </c>
      <c r="AD148">
        <v>0</v>
      </c>
      <c r="AE148">
        <v>0</v>
      </c>
      <c r="AF148" s="80">
        <f t="shared" si="183"/>
        <v>4.9788999999999994</v>
      </c>
      <c r="AI148" t="s">
        <v>149</v>
      </c>
      <c r="AJ148">
        <v>4</v>
      </c>
      <c r="AK148" t="s">
        <v>7</v>
      </c>
      <c r="AL148">
        <v>9280</v>
      </c>
      <c r="AM148">
        <v>160</v>
      </c>
      <c r="AN148">
        <v>2</v>
      </c>
      <c r="AO148">
        <v>2</v>
      </c>
      <c r="AP148">
        <v>83.34</v>
      </c>
      <c r="AQ148" s="62">
        <v>6.3940999999999999</v>
      </c>
      <c r="AR148" s="16">
        <v>45559</v>
      </c>
      <c r="AS148" s="18">
        <v>0.7713888888888889</v>
      </c>
      <c r="AT148">
        <v>0</v>
      </c>
      <c r="AU148">
        <v>0</v>
      </c>
      <c r="AV148">
        <v>0</v>
      </c>
      <c r="AW148" s="80">
        <f t="shared" si="184"/>
        <v>6.4059799999999996</v>
      </c>
      <c r="AZ148" t="s">
        <v>149</v>
      </c>
      <c r="BA148">
        <v>4</v>
      </c>
      <c r="BB148" t="s">
        <v>7</v>
      </c>
      <c r="BC148">
        <v>9280</v>
      </c>
      <c r="BD148">
        <v>160</v>
      </c>
      <c r="BE148">
        <v>2</v>
      </c>
      <c r="BF148">
        <v>2</v>
      </c>
      <c r="BG148">
        <v>168.23</v>
      </c>
      <c r="BH148" s="62">
        <v>3.1677</v>
      </c>
      <c r="BI148" s="16">
        <v>45560</v>
      </c>
      <c r="BJ148" s="18">
        <v>4.5960648148148146E-2</v>
      </c>
      <c r="BK148">
        <v>0</v>
      </c>
      <c r="BL148">
        <v>0</v>
      </c>
      <c r="BM148">
        <v>0</v>
      </c>
      <c r="BN148" s="80">
        <f t="shared" si="185"/>
        <v>3.2405999999999997</v>
      </c>
    </row>
    <row r="149" spans="1:66" x14ac:dyDescent="0.25">
      <c r="A149" t="s">
        <v>111</v>
      </c>
      <c r="B149">
        <v>0</v>
      </c>
      <c r="C149" t="s">
        <v>7</v>
      </c>
      <c r="D149">
        <v>9760</v>
      </c>
      <c r="E149">
        <v>160</v>
      </c>
      <c r="F149">
        <v>2</v>
      </c>
      <c r="G149">
        <v>2</v>
      </c>
      <c r="H149">
        <v>125.83</v>
      </c>
      <c r="I149" s="62">
        <v>4.9269999999999996</v>
      </c>
      <c r="J149" s="16">
        <v>45549</v>
      </c>
      <c r="K149" s="18">
        <v>0.96081018518518524</v>
      </c>
      <c r="L149">
        <v>0</v>
      </c>
      <c r="M149">
        <v>0</v>
      </c>
      <c r="N149">
        <v>0</v>
      </c>
      <c r="O149" s="80">
        <f t="shared" ref="O149" si="186">AVERAGE(I149:I153)</f>
        <v>4.94306</v>
      </c>
      <c r="R149" t="s">
        <v>111</v>
      </c>
      <c r="S149">
        <v>0</v>
      </c>
      <c r="T149" t="s">
        <v>7</v>
      </c>
      <c r="U149">
        <v>9760</v>
      </c>
      <c r="V149">
        <v>160</v>
      </c>
      <c r="W149">
        <v>2</v>
      </c>
      <c r="X149">
        <v>2</v>
      </c>
      <c r="Y149">
        <v>124.83</v>
      </c>
      <c r="Z149" s="62">
        <v>4.9664999999999999</v>
      </c>
      <c r="AA149" s="16">
        <v>45559</v>
      </c>
      <c r="AB149" s="18">
        <v>0.60498842592592594</v>
      </c>
      <c r="AC149">
        <v>0</v>
      </c>
      <c r="AD149">
        <v>0</v>
      </c>
      <c r="AE149">
        <v>0</v>
      </c>
      <c r="AF149" s="80">
        <f t="shared" si="183"/>
        <v>4.9788999999999994</v>
      </c>
      <c r="AI149" t="s">
        <v>149</v>
      </c>
      <c r="AJ149">
        <v>0</v>
      </c>
      <c r="AK149" t="s">
        <v>7</v>
      </c>
      <c r="AL149">
        <v>9760</v>
      </c>
      <c r="AM149">
        <v>160</v>
      </c>
      <c r="AN149">
        <v>2</v>
      </c>
      <c r="AO149">
        <v>2</v>
      </c>
      <c r="AP149">
        <v>96.34</v>
      </c>
      <c r="AQ149" s="62">
        <v>6.4353999999999996</v>
      </c>
      <c r="AR149" s="16">
        <v>45559</v>
      </c>
      <c r="AS149" s="18">
        <v>0.57428240740740744</v>
      </c>
      <c r="AT149">
        <v>0</v>
      </c>
      <c r="AU149">
        <v>0</v>
      </c>
      <c r="AV149">
        <v>0</v>
      </c>
      <c r="AW149" s="80">
        <f t="shared" ref="AW149" si="187">AVERAGE(AQ149:AQ153)</f>
        <v>6.4301000000000004</v>
      </c>
      <c r="AZ149" t="s">
        <v>149</v>
      </c>
      <c r="BA149">
        <v>0</v>
      </c>
      <c r="BB149" t="s">
        <v>7</v>
      </c>
      <c r="BC149">
        <v>9760</v>
      </c>
      <c r="BD149">
        <v>160</v>
      </c>
      <c r="BE149">
        <v>2</v>
      </c>
      <c r="BF149">
        <v>2</v>
      </c>
      <c r="BG149">
        <v>183.79</v>
      </c>
      <c r="BH149" s="62">
        <v>3.3732000000000002</v>
      </c>
      <c r="BI149" s="16">
        <v>45559</v>
      </c>
      <c r="BJ149" s="18">
        <v>0.69791666666666663</v>
      </c>
      <c r="BK149">
        <v>0</v>
      </c>
      <c r="BL149">
        <v>0</v>
      </c>
      <c r="BM149">
        <v>0</v>
      </c>
      <c r="BN149" s="80">
        <f t="shared" ref="BN149" si="188">AVERAGE(BH149:BH153)</f>
        <v>3.4506799999999997</v>
      </c>
    </row>
    <row r="150" spans="1:66" x14ac:dyDescent="0.25">
      <c r="A150" t="s">
        <v>111</v>
      </c>
      <c r="B150">
        <v>1</v>
      </c>
      <c r="C150" t="s">
        <v>7</v>
      </c>
      <c r="D150">
        <v>9760</v>
      </c>
      <c r="E150">
        <v>160</v>
      </c>
      <c r="F150">
        <v>2</v>
      </c>
      <c r="G150">
        <v>2</v>
      </c>
      <c r="H150">
        <v>125.79</v>
      </c>
      <c r="I150" s="62">
        <v>4.9284999999999997</v>
      </c>
      <c r="J150" s="16">
        <v>45550</v>
      </c>
      <c r="K150" s="18">
        <v>3.2060185185185185E-2</v>
      </c>
      <c r="L150">
        <v>0</v>
      </c>
      <c r="M150">
        <v>0</v>
      </c>
      <c r="N150">
        <v>0</v>
      </c>
      <c r="O150" s="80">
        <f t="shared" ref="O150" si="189">O149</f>
        <v>4.94306</v>
      </c>
      <c r="R150" t="s">
        <v>111</v>
      </c>
      <c r="S150">
        <v>1</v>
      </c>
      <c r="T150" t="s">
        <v>7</v>
      </c>
      <c r="U150">
        <v>9760</v>
      </c>
      <c r="V150">
        <v>160</v>
      </c>
      <c r="W150">
        <v>2</v>
      </c>
      <c r="X150">
        <v>2</v>
      </c>
      <c r="Y150">
        <v>124.78</v>
      </c>
      <c r="Z150" s="62">
        <v>4.9684999999999997</v>
      </c>
      <c r="AA150" s="16">
        <v>45559</v>
      </c>
      <c r="AB150" s="18">
        <v>0.67621527777777779</v>
      </c>
      <c r="AC150">
        <v>0</v>
      </c>
      <c r="AD150">
        <v>0</v>
      </c>
      <c r="AE150">
        <v>0</v>
      </c>
      <c r="AF150" s="80">
        <f t="shared" si="183"/>
        <v>4.9788999999999994</v>
      </c>
      <c r="AI150" t="s">
        <v>149</v>
      </c>
      <c r="AJ150">
        <v>1</v>
      </c>
      <c r="AK150" t="s">
        <v>7</v>
      </c>
      <c r="AL150">
        <v>9760</v>
      </c>
      <c r="AM150">
        <v>160</v>
      </c>
      <c r="AN150">
        <v>2</v>
      </c>
      <c r="AO150">
        <v>2</v>
      </c>
      <c r="AP150">
        <v>96.76</v>
      </c>
      <c r="AQ150" s="62">
        <v>6.4073000000000002</v>
      </c>
      <c r="AR150" s="16">
        <v>45559</v>
      </c>
      <c r="AS150" s="18">
        <v>0.62847222222222221</v>
      </c>
      <c r="AT150">
        <v>0</v>
      </c>
      <c r="AU150">
        <v>0</v>
      </c>
      <c r="AV150">
        <v>0</v>
      </c>
      <c r="AW150" s="80">
        <f t="shared" ref="AW150:AW153" si="190">AW149</f>
        <v>6.4301000000000004</v>
      </c>
      <c r="AZ150" t="s">
        <v>149</v>
      </c>
      <c r="BA150">
        <v>1</v>
      </c>
      <c r="BB150" t="s">
        <v>7</v>
      </c>
      <c r="BC150">
        <v>9760</v>
      </c>
      <c r="BD150">
        <v>160</v>
      </c>
      <c r="BE150">
        <v>2</v>
      </c>
      <c r="BF150">
        <v>2</v>
      </c>
      <c r="BG150">
        <v>177.59</v>
      </c>
      <c r="BH150" s="62">
        <v>3.4908999999999999</v>
      </c>
      <c r="BI150" s="16">
        <v>45559</v>
      </c>
      <c r="BJ150" s="18">
        <v>0.7934606481481481</v>
      </c>
      <c r="BK150">
        <v>0</v>
      </c>
      <c r="BL150">
        <v>0</v>
      </c>
      <c r="BM150">
        <v>0</v>
      </c>
      <c r="BN150" s="80">
        <f t="shared" ref="BN150:BN153" si="191">BN149</f>
        <v>3.4506799999999997</v>
      </c>
    </row>
    <row r="151" spans="1:66" x14ac:dyDescent="0.25">
      <c r="A151" t="s">
        <v>111</v>
      </c>
      <c r="B151">
        <v>2</v>
      </c>
      <c r="C151" t="s">
        <v>7</v>
      </c>
      <c r="D151">
        <v>9760</v>
      </c>
      <c r="E151">
        <v>160</v>
      </c>
      <c r="F151">
        <v>2</v>
      </c>
      <c r="G151">
        <v>2</v>
      </c>
      <c r="H151">
        <v>125.12</v>
      </c>
      <c r="I151" s="62">
        <v>4.9547999999999996</v>
      </c>
      <c r="J151" s="16">
        <v>45550</v>
      </c>
      <c r="K151" s="18">
        <v>0.10314814814814814</v>
      </c>
      <c r="L151">
        <v>0</v>
      </c>
      <c r="M151">
        <v>0</v>
      </c>
      <c r="N151">
        <v>0</v>
      </c>
      <c r="O151" s="80">
        <f t="shared" si="182"/>
        <v>4.94306</v>
      </c>
      <c r="R151" t="s">
        <v>111</v>
      </c>
      <c r="S151">
        <v>2</v>
      </c>
      <c r="T151" t="s">
        <v>7</v>
      </c>
      <c r="U151">
        <v>9760</v>
      </c>
      <c r="V151">
        <v>160</v>
      </c>
      <c r="W151">
        <v>2</v>
      </c>
      <c r="X151">
        <v>2</v>
      </c>
      <c r="Y151">
        <v>124.76</v>
      </c>
      <c r="Z151" s="62">
        <v>4.9691999999999998</v>
      </c>
      <c r="AA151" s="16">
        <v>45559</v>
      </c>
      <c r="AB151" s="18">
        <v>0.7474884259259259</v>
      </c>
      <c r="AC151">
        <v>0</v>
      </c>
      <c r="AD151">
        <v>0</v>
      </c>
      <c r="AE151">
        <v>0</v>
      </c>
      <c r="AF151" s="80">
        <f t="shared" si="183"/>
        <v>4.9788999999999994</v>
      </c>
      <c r="AI151" t="s">
        <v>149</v>
      </c>
      <c r="AJ151">
        <v>2</v>
      </c>
      <c r="AK151" t="s">
        <v>7</v>
      </c>
      <c r="AL151">
        <v>9760</v>
      </c>
      <c r="AM151">
        <v>160</v>
      </c>
      <c r="AN151">
        <v>2</v>
      </c>
      <c r="AO151">
        <v>2</v>
      </c>
      <c r="AP151">
        <v>96.17</v>
      </c>
      <c r="AQ151" s="62">
        <v>6.4466999999999999</v>
      </c>
      <c r="AR151" s="16">
        <v>45559</v>
      </c>
      <c r="AS151" s="18">
        <v>0.68270833333333336</v>
      </c>
      <c r="AT151">
        <v>0</v>
      </c>
      <c r="AU151">
        <v>0</v>
      </c>
      <c r="AV151">
        <v>0</v>
      </c>
      <c r="AW151" s="80">
        <f t="shared" si="190"/>
        <v>6.4301000000000004</v>
      </c>
      <c r="AZ151" t="s">
        <v>149</v>
      </c>
      <c r="BA151">
        <v>2</v>
      </c>
      <c r="BB151" t="s">
        <v>7</v>
      </c>
      <c r="BC151">
        <v>9760</v>
      </c>
      <c r="BD151">
        <v>160</v>
      </c>
      <c r="BE151">
        <v>2</v>
      </c>
      <c r="BF151">
        <v>2</v>
      </c>
      <c r="BG151">
        <v>181.29</v>
      </c>
      <c r="BH151" s="62">
        <v>3.4196</v>
      </c>
      <c r="BI151" s="16">
        <v>45559</v>
      </c>
      <c r="BJ151" s="18">
        <v>0.88913194444444443</v>
      </c>
      <c r="BK151">
        <v>0</v>
      </c>
      <c r="BL151">
        <v>0</v>
      </c>
      <c r="BM151">
        <v>0</v>
      </c>
      <c r="BN151" s="80">
        <f t="shared" si="191"/>
        <v>3.4506799999999997</v>
      </c>
    </row>
    <row r="152" spans="1:66" x14ac:dyDescent="0.25">
      <c r="A152" t="s">
        <v>111</v>
      </c>
      <c r="B152">
        <v>3</v>
      </c>
      <c r="C152" t="s">
        <v>7</v>
      </c>
      <c r="D152">
        <v>9760</v>
      </c>
      <c r="E152">
        <v>160</v>
      </c>
      <c r="F152">
        <v>2</v>
      </c>
      <c r="G152">
        <v>2</v>
      </c>
      <c r="H152">
        <v>125.18</v>
      </c>
      <c r="I152" s="62">
        <v>4.9523999999999999</v>
      </c>
      <c r="J152" s="16">
        <v>45550</v>
      </c>
      <c r="K152" s="18">
        <v>0.17432870370370371</v>
      </c>
      <c r="L152">
        <v>0</v>
      </c>
      <c r="M152">
        <v>0</v>
      </c>
      <c r="N152">
        <v>0</v>
      </c>
      <c r="O152" s="80">
        <f t="shared" si="182"/>
        <v>4.94306</v>
      </c>
      <c r="R152" t="s">
        <v>111</v>
      </c>
      <c r="S152">
        <v>3</v>
      </c>
      <c r="T152" t="s">
        <v>7</v>
      </c>
      <c r="U152">
        <v>9760</v>
      </c>
      <c r="V152">
        <v>160</v>
      </c>
      <c r="W152">
        <v>2</v>
      </c>
      <c r="X152">
        <v>2</v>
      </c>
      <c r="Y152">
        <v>124.88</v>
      </c>
      <c r="Z152" s="62">
        <v>4.9641999999999999</v>
      </c>
      <c r="AA152" s="16">
        <v>45559</v>
      </c>
      <c r="AB152" s="18">
        <v>0.81879629629629624</v>
      </c>
      <c r="AC152">
        <v>0</v>
      </c>
      <c r="AD152">
        <v>0</v>
      </c>
      <c r="AE152">
        <v>0</v>
      </c>
      <c r="AF152" s="80">
        <f>AVERAGE(Z152:Z156)</f>
        <v>4.9014800000000003</v>
      </c>
      <c r="AI152" t="s">
        <v>149</v>
      </c>
      <c r="AJ152">
        <v>3</v>
      </c>
      <c r="AK152" t="s">
        <v>7</v>
      </c>
      <c r="AL152">
        <v>9760</v>
      </c>
      <c r="AM152">
        <v>160</v>
      </c>
      <c r="AN152">
        <v>2</v>
      </c>
      <c r="AO152">
        <v>2</v>
      </c>
      <c r="AP152">
        <v>96.56</v>
      </c>
      <c r="AQ152" s="62">
        <v>6.4203999999999999</v>
      </c>
      <c r="AR152" s="16">
        <v>45559</v>
      </c>
      <c r="AS152" s="18">
        <v>0.73686342592592591</v>
      </c>
      <c r="AT152">
        <v>0</v>
      </c>
      <c r="AU152">
        <v>0</v>
      </c>
      <c r="AV152">
        <v>0</v>
      </c>
      <c r="AW152" s="80">
        <f t="shared" si="190"/>
        <v>6.4301000000000004</v>
      </c>
      <c r="AZ152" t="s">
        <v>149</v>
      </c>
      <c r="BA152">
        <v>3</v>
      </c>
      <c r="BB152" t="s">
        <v>7</v>
      </c>
      <c r="BC152">
        <v>9760</v>
      </c>
      <c r="BD152">
        <v>160</v>
      </c>
      <c r="BE152">
        <v>2</v>
      </c>
      <c r="BF152">
        <v>2</v>
      </c>
      <c r="BG152">
        <v>183.02</v>
      </c>
      <c r="BH152" s="62">
        <v>3.3874</v>
      </c>
      <c r="BI152" s="16">
        <v>45559</v>
      </c>
      <c r="BJ152" s="18">
        <v>0.98453703703703699</v>
      </c>
      <c r="BK152">
        <v>0</v>
      </c>
      <c r="BL152">
        <v>0</v>
      </c>
      <c r="BM152">
        <v>0</v>
      </c>
      <c r="BN152" s="80">
        <f t="shared" si="191"/>
        <v>3.4506799999999997</v>
      </c>
    </row>
    <row r="153" spans="1:66" x14ac:dyDescent="0.25">
      <c r="A153" t="s">
        <v>111</v>
      </c>
      <c r="B153">
        <v>4</v>
      </c>
      <c r="C153" t="s">
        <v>7</v>
      </c>
      <c r="D153">
        <v>9760</v>
      </c>
      <c r="E153">
        <v>160</v>
      </c>
      <c r="F153">
        <v>2</v>
      </c>
      <c r="G153">
        <v>2</v>
      </c>
      <c r="H153">
        <v>125.18</v>
      </c>
      <c r="I153" s="62">
        <v>4.9526000000000003</v>
      </c>
      <c r="J153" s="16">
        <v>45550</v>
      </c>
      <c r="K153" s="18">
        <v>0.24552083333333333</v>
      </c>
      <c r="L153">
        <v>0</v>
      </c>
      <c r="M153">
        <v>0</v>
      </c>
      <c r="N153">
        <v>0</v>
      </c>
      <c r="O153" s="80">
        <f t="shared" si="182"/>
        <v>4.94306</v>
      </c>
      <c r="R153" t="s">
        <v>111</v>
      </c>
      <c r="S153">
        <v>4</v>
      </c>
      <c r="T153" t="s">
        <v>7</v>
      </c>
      <c r="U153">
        <v>9760</v>
      </c>
      <c r="V153">
        <v>160</v>
      </c>
      <c r="W153">
        <v>2</v>
      </c>
      <c r="X153">
        <v>2</v>
      </c>
      <c r="Y153">
        <v>124.89</v>
      </c>
      <c r="Z153" s="62">
        <v>4.9638999999999998</v>
      </c>
      <c r="AA153" s="16">
        <v>45559</v>
      </c>
      <c r="AB153" s="18">
        <v>0.88972222222222219</v>
      </c>
      <c r="AC153">
        <v>0</v>
      </c>
      <c r="AD153">
        <v>0</v>
      </c>
      <c r="AE153">
        <v>0</v>
      </c>
      <c r="AF153" s="80">
        <f>AF152</f>
        <v>4.9014800000000003</v>
      </c>
      <c r="AI153" t="s">
        <v>149</v>
      </c>
      <c r="AJ153">
        <v>4</v>
      </c>
      <c r="AK153" t="s">
        <v>7</v>
      </c>
      <c r="AL153">
        <v>9760</v>
      </c>
      <c r="AM153">
        <v>160</v>
      </c>
      <c r="AN153">
        <v>2</v>
      </c>
      <c r="AO153">
        <v>2</v>
      </c>
      <c r="AP153">
        <v>96.26</v>
      </c>
      <c r="AQ153" s="62">
        <v>6.4406999999999996</v>
      </c>
      <c r="AR153" s="16">
        <v>45559</v>
      </c>
      <c r="AS153" s="18">
        <v>0.79116898148148151</v>
      </c>
      <c r="AT153">
        <v>0</v>
      </c>
      <c r="AU153">
        <v>0</v>
      </c>
      <c r="AV153">
        <v>0</v>
      </c>
      <c r="AW153" s="80">
        <f t="shared" si="190"/>
        <v>6.4301000000000004</v>
      </c>
      <c r="AZ153" t="s">
        <v>149</v>
      </c>
      <c r="BA153">
        <v>4</v>
      </c>
      <c r="BB153" t="s">
        <v>7</v>
      </c>
      <c r="BC153">
        <v>9760</v>
      </c>
      <c r="BD153">
        <v>160</v>
      </c>
      <c r="BE153">
        <v>2</v>
      </c>
      <c r="BF153">
        <v>2</v>
      </c>
      <c r="BG153">
        <v>173.06</v>
      </c>
      <c r="BH153" s="62">
        <v>3.5823</v>
      </c>
      <c r="BI153" s="16">
        <v>45560</v>
      </c>
      <c r="BJ153" s="18">
        <v>8.0335648148148142E-2</v>
      </c>
      <c r="BK153">
        <v>0</v>
      </c>
      <c r="BL153">
        <v>0</v>
      </c>
      <c r="BM153">
        <v>0</v>
      </c>
      <c r="BN153" s="80">
        <f t="shared" si="191"/>
        <v>3.4506799999999997</v>
      </c>
    </row>
    <row r="154" spans="1:66" x14ac:dyDescent="0.25">
      <c r="A154" t="s">
        <v>111</v>
      </c>
      <c r="B154">
        <v>0</v>
      </c>
      <c r="C154" t="s">
        <v>7</v>
      </c>
      <c r="D154">
        <v>8640</v>
      </c>
      <c r="E154">
        <v>192</v>
      </c>
      <c r="F154">
        <v>1</v>
      </c>
      <c r="G154">
        <v>4</v>
      </c>
      <c r="H154">
        <v>88.71</v>
      </c>
      <c r="I154" s="62">
        <v>4.8483999999999998</v>
      </c>
      <c r="J154" s="16">
        <v>45549</v>
      </c>
      <c r="K154" s="18">
        <v>0.9133796296296296</v>
      </c>
      <c r="L154">
        <v>0</v>
      </c>
      <c r="M154">
        <v>0</v>
      </c>
      <c r="N154">
        <v>0</v>
      </c>
      <c r="O154" s="80">
        <f t="shared" ref="O154" si="192">AVERAGE(I154:I158)</f>
        <v>4.8509799999999998</v>
      </c>
      <c r="R154" t="s">
        <v>111</v>
      </c>
      <c r="S154">
        <v>0</v>
      </c>
      <c r="T154" t="s">
        <v>7</v>
      </c>
      <c r="U154">
        <v>8640</v>
      </c>
      <c r="V154">
        <v>192</v>
      </c>
      <c r="W154">
        <v>1</v>
      </c>
      <c r="X154">
        <v>4</v>
      </c>
      <c r="Y154">
        <v>88.53</v>
      </c>
      <c r="Z154" s="62">
        <v>4.8583999999999996</v>
      </c>
      <c r="AA154" s="16">
        <v>45559</v>
      </c>
      <c r="AB154" s="18">
        <v>0.55751157407407403</v>
      </c>
      <c r="AC154">
        <v>0</v>
      </c>
      <c r="AD154">
        <v>0</v>
      </c>
      <c r="AE154">
        <v>0</v>
      </c>
      <c r="AF154" s="80">
        <f>AVERAGE(Z154:Z158)</f>
        <v>4.8594799999999996</v>
      </c>
      <c r="AI154" t="s">
        <v>149</v>
      </c>
      <c r="AJ154">
        <v>0</v>
      </c>
      <c r="AK154" t="s">
        <v>7</v>
      </c>
      <c r="AL154">
        <v>8640</v>
      </c>
      <c r="AM154">
        <v>192</v>
      </c>
      <c r="AN154">
        <v>1</v>
      </c>
      <c r="AO154">
        <v>4</v>
      </c>
      <c r="AP154">
        <v>67.73</v>
      </c>
      <c r="AQ154" s="62">
        <v>6.3502999999999998</v>
      </c>
      <c r="AR154" s="16">
        <v>45559</v>
      </c>
      <c r="AS154" s="18">
        <v>0.53844907407407405</v>
      </c>
      <c r="AT154">
        <v>0</v>
      </c>
      <c r="AU154">
        <v>0</v>
      </c>
      <c r="AV154">
        <v>0</v>
      </c>
      <c r="AW154" s="80">
        <f t="shared" ref="AW154" si="193">AVERAGE(AQ154:AQ158)</f>
        <v>6.3439600000000009</v>
      </c>
      <c r="AZ154" t="s">
        <v>149</v>
      </c>
      <c r="BA154">
        <v>0</v>
      </c>
      <c r="BB154" t="s">
        <v>7</v>
      </c>
      <c r="BC154">
        <v>8640</v>
      </c>
      <c r="BD154">
        <v>192</v>
      </c>
      <c r="BE154">
        <v>1</v>
      </c>
      <c r="BF154">
        <v>4</v>
      </c>
      <c r="BG154">
        <v>122.7</v>
      </c>
      <c r="BH154" s="62">
        <v>3.5053000000000001</v>
      </c>
      <c r="BI154" s="16">
        <v>45559</v>
      </c>
      <c r="BJ154" s="18">
        <v>0.63509259259259254</v>
      </c>
      <c r="BK154">
        <v>0</v>
      </c>
      <c r="BL154">
        <v>0</v>
      </c>
      <c r="BM154">
        <v>0</v>
      </c>
      <c r="BN154" s="80">
        <f t="shared" ref="BN154" si="194">AVERAGE(BH154:BH158)</f>
        <v>3.5726399999999998</v>
      </c>
    </row>
    <row r="155" spans="1:66" x14ac:dyDescent="0.25">
      <c r="A155" t="s">
        <v>111</v>
      </c>
      <c r="B155">
        <v>1</v>
      </c>
      <c r="C155" t="s">
        <v>7</v>
      </c>
      <c r="D155">
        <v>8640</v>
      </c>
      <c r="E155">
        <v>192</v>
      </c>
      <c r="F155">
        <v>1</v>
      </c>
      <c r="G155">
        <v>4</v>
      </c>
      <c r="H155">
        <v>88.63</v>
      </c>
      <c r="I155" s="62">
        <v>4.8529</v>
      </c>
      <c r="J155" s="16">
        <v>45549</v>
      </c>
      <c r="K155" s="18">
        <v>0.98465277777777782</v>
      </c>
      <c r="L155">
        <v>0</v>
      </c>
      <c r="M155">
        <v>0</v>
      </c>
      <c r="N155">
        <v>0</v>
      </c>
      <c r="O155" s="80">
        <f t="shared" ref="O155" si="195">O154</f>
        <v>4.8509799999999998</v>
      </c>
      <c r="R155" t="s">
        <v>111</v>
      </c>
      <c r="S155">
        <v>1</v>
      </c>
      <c r="T155" t="s">
        <v>7</v>
      </c>
      <c r="U155">
        <v>8640</v>
      </c>
      <c r="V155">
        <v>192</v>
      </c>
      <c r="W155">
        <v>1</v>
      </c>
      <c r="X155">
        <v>4</v>
      </c>
      <c r="Y155">
        <v>88.51</v>
      </c>
      <c r="Z155" s="62">
        <v>4.8592000000000004</v>
      </c>
      <c r="AA155" s="16">
        <v>45559</v>
      </c>
      <c r="AB155" s="18">
        <v>0.62876157407407407</v>
      </c>
      <c r="AC155">
        <v>0</v>
      </c>
      <c r="AD155">
        <v>0</v>
      </c>
      <c r="AE155">
        <v>0</v>
      </c>
      <c r="AF155" s="80">
        <f t="shared" ref="AF155:AF161" si="196">AF154</f>
        <v>4.8594799999999996</v>
      </c>
      <c r="AI155" t="s">
        <v>149</v>
      </c>
      <c r="AJ155">
        <v>1</v>
      </c>
      <c r="AK155" t="s">
        <v>7</v>
      </c>
      <c r="AL155">
        <v>8640</v>
      </c>
      <c r="AM155">
        <v>192</v>
      </c>
      <c r="AN155">
        <v>1</v>
      </c>
      <c r="AO155">
        <v>4</v>
      </c>
      <c r="AP155">
        <v>67.790000000000006</v>
      </c>
      <c r="AQ155" s="62">
        <v>6.3444000000000003</v>
      </c>
      <c r="AR155" s="16">
        <v>45559</v>
      </c>
      <c r="AS155" s="18">
        <v>0.59260416666666671</v>
      </c>
      <c r="AT155">
        <v>0</v>
      </c>
      <c r="AU155">
        <v>0</v>
      </c>
      <c r="AV155">
        <v>0</v>
      </c>
      <c r="AW155" s="80">
        <f t="shared" ref="AW155:AW158" si="197">AW154</f>
        <v>6.3439600000000009</v>
      </c>
      <c r="AZ155" t="s">
        <v>149</v>
      </c>
      <c r="BA155">
        <v>1</v>
      </c>
      <c r="BB155" t="s">
        <v>7</v>
      </c>
      <c r="BC155">
        <v>8640</v>
      </c>
      <c r="BD155">
        <v>192</v>
      </c>
      <c r="BE155">
        <v>1</v>
      </c>
      <c r="BF155">
        <v>4</v>
      </c>
      <c r="BG155">
        <v>122.82</v>
      </c>
      <c r="BH155" s="62">
        <v>3.5019</v>
      </c>
      <c r="BI155" s="16">
        <v>45559</v>
      </c>
      <c r="BJ155" s="18">
        <v>0.73063657407407412</v>
      </c>
      <c r="BK155">
        <v>0</v>
      </c>
      <c r="BL155">
        <v>0</v>
      </c>
      <c r="BM155">
        <v>0</v>
      </c>
      <c r="BN155" s="80">
        <f t="shared" ref="BN155:BN158" si="198">BN154</f>
        <v>3.5726399999999998</v>
      </c>
    </row>
    <row r="156" spans="1:66" x14ac:dyDescent="0.25">
      <c r="A156" t="s">
        <v>111</v>
      </c>
      <c r="B156">
        <v>2</v>
      </c>
      <c r="C156" t="s">
        <v>7</v>
      </c>
      <c r="D156">
        <v>8640</v>
      </c>
      <c r="E156">
        <v>192</v>
      </c>
      <c r="F156">
        <v>1</v>
      </c>
      <c r="G156">
        <v>4</v>
      </c>
      <c r="H156">
        <v>88.62</v>
      </c>
      <c r="I156" s="62">
        <v>4.8532999999999999</v>
      </c>
      <c r="J156" s="16">
        <v>45550</v>
      </c>
      <c r="K156" s="18">
        <v>5.5798611111111111E-2</v>
      </c>
      <c r="L156">
        <v>0</v>
      </c>
      <c r="M156">
        <v>0</v>
      </c>
      <c r="N156">
        <v>0</v>
      </c>
      <c r="O156" s="80">
        <f t="shared" si="182"/>
        <v>4.8509799999999998</v>
      </c>
      <c r="R156" t="s">
        <v>111</v>
      </c>
      <c r="S156">
        <v>2</v>
      </c>
      <c r="T156" t="s">
        <v>7</v>
      </c>
      <c r="U156">
        <v>8640</v>
      </c>
      <c r="V156">
        <v>192</v>
      </c>
      <c r="W156">
        <v>1</v>
      </c>
      <c r="X156">
        <v>4</v>
      </c>
      <c r="Y156">
        <v>88.46</v>
      </c>
      <c r="Z156" s="62">
        <v>4.8616999999999999</v>
      </c>
      <c r="AA156" s="16">
        <v>45559</v>
      </c>
      <c r="AB156" s="18">
        <v>0.7</v>
      </c>
      <c r="AC156">
        <v>0</v>
      </c>
      <c r="AD156">
        <v>0</v>
      </c>
      <c r="AE156">
        <v>0</v>
      </c>
      <c r="AF156" s="80">
        <f t="shared" si="196"/>
        <v>4.8594799999999996</v>
      </c>
      <c r="AI156" t="s">
        <v>149</v>
      </c>
      <c r="AJ156">
        <v>2</v>
      </c>
      <c r="AK156" t="s">
        <v>7</v>
      </c>
      <c r="AL156">
        <v>8640</v>
      </c>
      <c r="AM156">
        <v>192</v>
      </c>
      <c r="AN156">
        <v>1</v>
      </c>
      <c r="AO156">
        <v>4</v>
      </c>
      <c r="AP156">
        <v>67.97</v>
      </c>
      <c r="AQ156" s="62">
        <v>6.3277000000000001</v>
      </c>
      <c r="AR156" s="16">
        <v>45559</v>
      </c>
      <c r="AS156" s="18">
        <v>0.64682870370370371</v>
      </c>
      <c r="AT156">
        <v>0</v>
      </c>
      <c r="AU156">
        <v>0</v>
      </c>
      <c r="AV156">
        <v>0</v>
      </c>
      <c r="AW156" s="80">
        <f t="shared" si="197"/>
        <v>6.3439600000000009</v>
      </c>
      <c r="AZ156" t="s">
        <v>149</v>
      </c>
      <c r="BA156">
        <v>2</v>
      </c>
      <c r="BB156" t="s">
        <v>7</v>
      </c>
      <c r="BC156">
        <v>8640</v>
      </c>
      <c r="BD156">
        <v>192</v>
      </c>
      <c r="BE156">
        <v>1</v>
      </c>
      <c r="BF156">
        <v>4</v>
      </c>
      <c r="BG156">
        <v>120.03</v>
      </c>
      <c r="BH156" s="62">
        <v>3.5831</v>
      </c>
      <c r="BI156" s="16">
        <v>45559</v>
      </c>
      <c r="BJ156" s="18">
        <v>0.82590277777777776</v>
      </c>
      <c r="BK156">
        <v>0</v>
      </c>
      <c r="BL156">
        <v>0</v>
      </c>
      <c r="BM156">
        <v>0</v>
      </c>
      <c r="BN156" s="80">
        <f t="shared" si="198"/>
        <v>3.5726399999999998</v>
      </c>
    </row>
    <row r="157" spans="1:66" x14ac:dyDescent="0.25">
      <c r="A157" t="s">
        <v>111</v>
      </c>
      <c r="B157">
        <v>3</v>
      </c>
      <c r="C157" t="s">
        <v>7</v>
      </c>
      <c r="D157">
        <v>8640</v>
      </c>
      <c r="E157">
        <v>192</v>
      </c>
      <c r="F157">
        <v>1</v>
      </c>
      <c r="G157">
        <v>4</v>
      </c>
      <c r="H157">
        <v>88.64</v>
      </c>
      <c r="I157" s="62">
        <v>4.8520000000000003</v>
      </c>
      <c r="J157" s="16">
        <v>45550</v>
      </c>
      <c r="K157" s="18">
        <v>0.1269675925925926</v>
      </c>
      <c r="L157">
        <v>0</v>
      </c>
      <c r="M157">
        <v>0</v>
      </c>
      <c r="N157">
        <v>0</v>
      </c>
      <c r="O157" s="80">
        <f t="shared" si="182"/>
        <v>4.8509799999999998</v>
      </c>
      <c r="R157" t="s">
        <v>111</v>
      </c>
      <c r="S157">
        <v>3</v>
      </c>
      <c r="T157" t="s">
        <v>7</v>
      </c>
      <c r="U157">
        <v>8640</v>
      </c>
      <c r="V157">
        <v>192</v>
      </c>
      <c r="W157">
        <v>1</v>
      </c>
      <c r="X157">
        <v>4</v>
      </c>
      <c r="Y157">
        <v>88.5</v>
      </c>
      <c r="Z157" s="62">
        <v>4.8598999999999997</v>
      </c>
      <c r="AA157" s="16">
        <v>45559</v>
      </c>
      <c r="AB157" s="18">
        <v>0.77128472222222222</v>
      </c>
      <c r="AC157">
        <v>0</v>
      </c>
      <c r="AD157">
        <v>0</v>
      </c>
      <c r="AE157">
        <v>0</v>
      </c>
      <c r="AF157" s="80">
        <f t="shared" si="196"/>
        <v>4.8594799999999996</v>
      </c>
      <c r="AI157" t="s">
        <v>149</v>
      </c>
      <c r="AJ157">
        <v>3</v>
      </c>
      <c r="AK157" t="s">
        <v>7</v>
      </c>
      <c r="AL157">
        <v>8640</v>
      </c>
      <c r="AM157">
        <v>192</v>
      </c>
      <c r="AN157">
        <v>1</v>
      </c>
      <c r="AO157">
        <v>4</v>
      </c>
      <c r="AP157">
        <v>67.8</v>
      </c>
      <c r="AQ157" s="62">
        <v>6.3440000000000003</v>
      </c>
      <c r="AR157" s="16">
        <v>45559</v>
      </c>
      <c r="AS157" s="18">
        <v>0.70097222222222222</v>
      </c>
      <c r="AT157">
        <v>0</v>
      </c>
      <c r="AU157">
        <v>0</v>
      </c>
      <c r="AV157">
        <v>0</v>
      </c>
      <c r="AW157" s="80">
        <f t="shared" si="197"/>
        <v>6.3439600000000009</v>
      </c>
      <c r="AZ157" t="s">
        <v>149</v>
      </c>
      <c r="BA157">
        <v>3</v>
      </c>
      <c r="BB157" t="s">
        <v>7</v>
      </c>
      <c r="BC157">
        <v>8640</v>
      </c>
      <c r="BD157">
        <v>192</v>
      </c>
      <c r="BE157">
        <v>1</v>
      </c>
      <c r="BF157">
        <v>4</v>
      </c>
      <c r="BG157">
        <v>115.41</v>
      </c>
      <c r="BH157" s="62">
        <v>3.7265999999999999</v>
      </c>
      <c r="BI157" s="16">
        <v>45559</v>
      </c>
      <c r="BJ157" s="18">
        <v>0.92151620370370368</v>
      </c>
      <c r="BK157">
        <v>0</v>
      </c>
      <c r="BL157">
        <v>0</v>
      </c>
      <c r="BM157">
        <v>0</v>
      </c>
      <c r="BN157" s="80">
        <f t="shared" si="198"/>
        <v>3.5726399999999998</v>
      </c>
    </row>
    <row r="158" spans="1:66" x14ac:dyDescent="0.25">
      <c r="A158" t="s">
        <v>111</v>
      </c>
      <c r="B158">
        <v>4</v>
      </c>
      <c r="C158" t="s">
        <v>7</v>
      </c>
      <c r="D158">
        <v>8640</v>
      </c>
      <c r="E158">
        <v>192</v>
      </c>
      <c r="F158">
        <v>1</v>
      </c>
      <c r="G158">
        <v>4</v>
      </c>
      <c r="H158">
        <v>88.71</v>
      </c>
      <c r="I158" s="62">
        <v>4.8483000000000001</v>
      </c>
      <c r="J158" s="16">
        <v>45550</v>
      </c>
      <c r="K158" s="18">
        <v>0.19814814814814816</v>
      </c>
      <c r="L158">
        <v>0</v>
      </c>
      <c r="M158">
        <v>0</v>
      </c>
      <c r="N158">
        <v>0</v>
      </c>
      <c r="O158" s="80">
        <f t="shared" si="182"/>
        <v>4.8509799999999998</v>
      </c>
      <c r="R158" t="s">
        <v>111</v>
      </c>
      <c r="S158">
        <v>4</v>
      </c>
      <c r="T158" t="s">
        <v>7</v>
      </c>
      <c r="U158">
        <v>8640</v>
      </c>
      <c r="V158">
        <v>192</v>
      </c>
      <c r="W158">
        <v>1</v>
      </c>
      <c r="X158">
        <v>4</v>
      </c>
      <c r="Y158">
        <v>88.53</v>
      </c>
      <c r="Z158" s="62">
        <v>4.8582000000000001</v>
      </c>
      <c r="AA158" s="16">
        <v>45559</v>
      </c>
      <c r="AB158" s="18">
        <v>0.84248842592592588</v>
      </c>
      <c r="AC158">
        <v>0</v>
      </c>
      <c r="AD158">
        <v>0</v>
      </c>
      <c r="AE158">
        <v>0</v>
      </c>
      <c r="AF158" s="80">
        <f t="shared" si="196"/>
        <v>4.8594799999999996</v>
      </c>
      <c r="AI158" t="s">
        <v>149</v>
      </c>
      <c r="AJ158">
        <v>4</v>
      </c>
      <c r="AK158" t="s">
        <v>7</v>
      </c>
      <c r="AL158">
        <v>8640</v>
      </c>
      <c r="AM158">
        <v>192</v>
      </c>
      <c r="AN158">
        <v>1</v>
      </c>
      <c r="AO158">
        <v>4</v>
      </c>
      <c r="AP158">
        <v>67.69</v>
      </c>
      <c r="AQ158" s="62">
        <v>6.3533999999999997</v>
      </c>
      <c r="AR158" s="16">
        <v>45559</v>
      </c>
      <c r="AS158" s="18">
        <v>0.75527777777777783</v>
      </c>
      <c r="AT158">
        <v>0</v>
      </c>
      <c r="AU158">
        <v>0</v>
      </c>
      <c r="AV158">
        <v>0</v>
      </c>
      <c r="AW158" s="80">
        <f t="shared" si="197"/>
        <v>6.3439600000000009</v>
      </c>
      <c r="AZ158" t="s">
        <v>149</v>
      </c>
      <c r="BA158">
        <v>4</v>
      </c>
      <c r="BB158" t="s">
        <v>7</v>
      </c>
      <c r="BC158">
        <v>8640</v>
      </c>
      <c r="BD158">
        <v>192</v>
      </c>
      <c r="BE158">
        <v>1</v>
      </c>
      <c r="BF158">
        <v>4</v>
      </c>
      <c r="BG158">
        <v>121.28</v>
      </c>
      <c r="BH158" s="62">
        <v>3.5463</v>
      </c>
      <c r="BI158" s="16">
        <v>45560</v>
      </c>
      <c r="BJ158" s="18">
        <v>1.7187500000000001E-2</v>
      </c>
      <c r="BK158">
        <v>0</v>
      </c>
      <c r="BL158">
        <v>0</v>
      </c>
      <c r="BM158">
        <v>0</v>
      </c>
      <c r="BN158" s="80">
        <f t="shared" si="198"/>
        <v>3.5726399999999998</v>
      </c>
    </row>
    <row r="159" spans="1:66" x14ac:dyDescent="0.25">
      <c r="A159" t="s">
        <v>111</v>
      </c>
      <c r="B159">
        <v>0</v>
      </c>
      <c r="C159" t="s">
        <v>7</v>
      </c>
      <c r="D159">
        <v>9216</v>
      </c>
      <c r="E159">
        <v>192</v>
      </c>
      <c r="F159">
        <v>1</v>
      </c>
      <c r="G159">
        <v>4</v>
      </c>
      <c r="H159">
        <v>113.84</v>
      </c>
      <c r="I159" s="62">
        <v>4.5852000000000004</v>
      </c>
      <c r="J159" s="16">
        <v>45549</v>
      </c>
      <c r="K159" s="18">
        <v>0.9361342592592593</v>
      </c>
      <c r="L159">
        <v>0</v>
      </c>
      <c r="M159">
        <v>0</v>
      </c>
      <c r="N159">
        <v>0</v>
      </c>
      <c r="O159" s="80">
        <f t="shared" ref="O159" si="199">AVERAGE(I159:I163)</f>
        <v>4.5831800000000005</v>
      </c>
      <c r="R159" t="s">
        <v>111</v>
      </c>
      <c r="S159">
        <v>0</v>
      </c>
      <c r="T159" t="s">
        <v>7</v>
      </c>
      <c r="U159">
        <v>9216</v>
      </c>
      <c r="V159">
        <v>192</v>
      </c>
      <c r="W159">
        <v>1</v>
      </c>
      <c r="X159">
        <v>4</v>
      </c>
      <c r="Y159">
        <v>113.43</v>
      </c>
      <c r="Z159" s="62">
        <v>4.6018999999999997</v>
      </c>
      <c r="AA159" s="16">
        <v>45559</v>
      </c>
      <c r="AB159" s="18">
        <v>0.5803356481481482</v>
      </c>
      <c r="AC159">
        <v>0</v>
      </c>
      <c r="AD159">
        <v>0</v>
      </c>
      <c r="AE159">
        <v>0</v>
      </c>
      <c r="AF159" s="80">
        <f t="shared" si="196"/>
        <v>4.8594799999999996</v>
      </c>
      <c r="AI159" t="s">
        <v>149</v>
      </c>
      <c r="AJ159">
        <v>0</v>
      </c>
      <c r="AK159" t="s">
        <v>7</v>
      </c>
      <c r="AL159">
        <v>9216</v>
      </c>
      <c r="AM159">
        <v>192</v>
      </c>
      <c r="AN159">
        <v>1</v>
      </c>
      <c r="AO159">
        <v>4</v>
      </c>
      <c r="AP159">
        <v>82.12</v>
      </c>
      <c r="AQ159" s="62">
        <v>6.3564999999999996</v>
      </c>
      <c r="AR159" s="16">
        <v>45559</v>
      </c>
      <c r="AS159" s="18">
        <v>0.55562500000000004</v>
      </c>
      <c r="AT159">
        <v>0</v>
      </c>
      <c r="AU159">
        <v>0</v>
      </c>
      <c r="AV159">
        <v>0</v>
      </c>
      <c r="AW159" s="80">
        <f t="shared" ref="AW159" si="200">AVERAGE(AQ159:AQ163)</f>
        <v>6.3543199999999995</v>
      </c>
      <c r="AZ159" t="s">
        <v>149</v>
      </c>
      <c r="BA159">
        <v>0</v>
      </c>
      <c r="BB159" t="s">
        <v>7</v>
      </c>
      <c r="BC159">
        <v>9216</v>
      </c>
      <c r="BD159">
        <v>192</v>
      </c>
      <c r="BE159">
        <v>1</v>
      </c>
      <c r="BF159">
        <v>4</v>
      </c>
      <c r="BG159">
        <v>138.31</v>
      </c>
      <c r="BH159" s="62">
        <v>3.774</v>
      </c>
      <c r="BI159" s="16">
        <v>45559</v>
      </c>
      <c r="BJ159" s="18">
        <v>0.66571759259259256</v>
      </c>
      <c r="BK159">
        <v>0</v>
      </c>
      <c r="BL159">
        <v>0</v>
      </c>
      <c r="BM159">
        <v>0</v>
      </c>
      <c r="BN159" s="80">
        <f t="shared" ref="BN159" si="201">AVERAGE(BH159:BH163)</f>
        <v>3.7086800000000002</v>
      </c>
    </row>
    <row r="160" spans="1:66" x14ac:dyDescent="0.25">
      <c r="A160" t="s">
        <v>111</v>
      </c>
      <c r="B160">
        <v>1</v>
      </c>
      <c r="C160" t="s">
        <v>7</v>
      </c>
      <c r="D160">
        <v>9216</v>
      </c>
      <c r="E160">
        <v>192</v>
      </c>
      <c r="F160">
        <v>1</v>
      </c>
      <c r="G160">
        <v>4</v>
      </c>
      <c r="H160">
        <v>113.64</v>
      </c>
      <c r="I160" s="62">
        <v>4.5932000000000004</v>
      </c>
      <c r="J160" s="16">
        <v>45550</v>
      </c>
      <c r="K160" s="18">
        <v>7.4189814814814813E-3</v>
      </c>
      <c r="L160">
        <v>0</v>
      </c>
      <c r="M160">
        <v>0</v>
      </c>
      <c r="N160">
        <v>0</v>
      </c>
      <c r="O160" s="80">
        <f t="shared" ref="O160" si="202">O159</f>
        <v>4.5831800000000005</v>
      </c>
      <c r="R160" t="s">
        <v>111</v>
      </c>
      <c r="S160">
        <v>1</v>
      </c>
      <c r="T160" t="s">
        <v>7</v>
      </c>
      <c r="U160">
        <v>9216</v>
      </c>
      <c r="V160">
        <v>192</v>
      </c>
      <c r="W160">
        <v>1</v>
      </c>
      <c r="X160">
        <v>4</v>
      </c>
      <c r="Y160">
        <v>113.49</v>
      </c>
      <c r="Z160" s="62">
        <v>4.5991999999999997</v>
      </c>
      <c r="AA160" s="16">
        <v>45559</v>
      </c>
      <c r="AB160" s="18">
        <v>0.65157407407407408</v>
      </c>
      <c r="AC160">
        <v>0</v>
      </c>
      <c r="AD160">
        <v>0</v>
      </c>
      <c r="AE160">
        <v>0</v>
      </c>
      <c r="AF160" s="80">
        <f t="shared" si="196"/>
        <v>4.8594799999999996</v>
      </c>
      <c r="AI160" t="s">
        <v>149</v>
      </c>
      <c r="AJ160">
        <v>1</v>
      </c>
      <c r="AK160" t="s">
        <v>7</v>
      </c>
      <c r="AL160">
        <v>9216</v>
      </c>
      <c r="AM160">
        <v>192</v>
      </c>
      <c r="AN160">
        <v>1</v>
      </c>
      <c r="AO160">
        <v>4</v>
      </c>
      <c r="AP160">
        <v>81.99</v>
      </c>
      <c r="AQ160" s="62">
        <v>6.3662000000000001</v>
      </c>
      <c r="AR160" s="16">
        <v>45559</v>
      </c>
      <c r="AS160" s="18">
        <v>0.60978009259259258</v>
      </c>
      <c r="AT160">
        <v>0</v>
      </c>
      <c r="AU160">
        <v>0</v>
      </c>
      <c r="AV160">
        <v>0</v>
      </c>
      <c r="AW160" s="80">
        <f t="shared" ref="AW160:AW163" si="203">AW159</f>
        <v>6.3543199999999995</v>
      </c>
      <c r="AZ160" t="s">
        <v>149</v>
      </c>
      <c r="BA160">
        <v>1</v>
      </c>
      <c r="BB160" t="s">
        <v>7</v>
      </c>
      <c r="BC160">
        <v>9216</v>
      </c>
      <c r="BD160">
        <v>192</v>
      </c>
      <c r="BE160">
        <v>1</v>
      </c>
      <c r="BF160">
        <v>4</v>
      </c>
      <c r="BG160">
        <v>134.86000000000001</v>
      </c>
      <c r="BH160" s="62">
        <v>3.8706</v>
      </c>
      <c r="BI160" s="16">
        <v>45559</v>
      </c>
      <c r="BJ160" s="18">
        <v>0.76123842592592594</v>
      </c>
      <c r="BK160">
        <v>0</v>
      </c>
      <c r="BL160">
        <v>0</v>
      </c>
      <c r="BM160">
        <v>0</v>
      </c>
      <c r="BN160" s="80">
        <f t="shared" ref="BN160:BN163" si="204">BN159</f>
        <v>3.7086800000000002</v>
      </c>
    </row>
    <row r="161" spans="1:66" x14ac:dyDescent="0.25">
      <c r="A161" t="s">
        <v>111</v>
      </c>
      <c r="B161">
        <v>2</v>
      </c>
      <c r="C161" t="s">
        <v>7</v>
      </c>
      <c r="D161">
        <v>9216</v>
      </c>
      <c r="E161">
        <v>192</v>
      </c>
      <c r="F161">
        <v>1</v>
      </c>
      <c r="G161">
        <v>4</v>
      </c>
      <c r="H161">
        <v>114.19</v>
      </c>
      <c r="I161" s="62">
        <v>4.5709</v>
      </c>
      <c r="J161" s="16">
        <v>45550</v>
      </c>
      <c r="K161" s="18">
        <v>7.8553240740740743E-2</v>
      </c>
      <c r="L161">
        <v>0</v>
      </c>
      <c r="M161">
        <v>0</v>
      </c>
      <c r="N161">
        <v>0</v>
      </c>
      <c r="O161" s="80">
        <f t="shared" si="182"/>
        <v>4.5831800000000005</v>
      </c>
      <c r="R161" t="s">
        <v>111</v>
      </c>
      <c r="S161">
        <v>2</v>
      </c>
      <c r="T161" t="s">
        <v>7</v>
      </c>
      <c r="U161">
        <v>9216</v>
      </c>
      <c r="V161">
        <v>192</v>
      </c>
      <c r="W161">
        <v>1</v>
      </c>
      <c r="X161">
        <v>4</v>
      </c>
      <c r="Y161">
        <v>113.47</v>
      </c>
      <c r="Z161" s="62">
        <v>4.6001000000000003</v>
      </c>
      <c r="AA161" s="16">
        <v>45559</v>
      </c>
      <c r="AB161" s="18">
        <v>0.72281249999999997</v>
      </c>
      <c r="AC161">
        <v>0</v>
      </c>
      <c r="AD161">
        <v>0</v>
      </c>
      <c r="AE161">
        <v>0</v>
      </c>
      <c r="AF161" s="80">
        <f t="shared" si="196"/>
        <v>4.8594799999999996</v>
      </c>
      <c r="AI161" t="s">
        <v>149</v>
      </c>
      <c r="AJ161">
        <v>2</v>
      </c>
      <c r="AK161" t="s">
        <v>7</v>
      </c>
      <c r="AL161">
        <v>9216</v>
      </c>
      <c r="AM161">
        <v>192</v>
      </c>
      <c r="AN161">
        <v>1</v>
      </c>
      <c r="AO161">
        <v>4</v>
      </c>
      <c r="AP161">
        <v>82.03</v>
      </c>
      <c r="AQ161" s="62">
        <v>6.3630000000000004</v>
      </c>
      <c r="AR161" s="16">
        <v>45559</v>
      </c>
      <c r="AS161" s="18">
        <v>0.66401620370370373</v>
      </c>
      <c r="AT161">
        <v>0</v>
      </c>
      <c r="AU161">
        <v>0</v>
      </c>
      <c r="AV161">
        <v>0</v>
      </c>
      <c r="AW161" s="80">
        <f t="shared" si="203"/>
        <v>6.3543199999999995</v>
      </c>
      <c r="AZ161" t="s">
        <v>149</v>
      </c>
      <c r="BA161">
        <v>2</v>
      </c>
      <c r="BB161" t="s">
        <v>7</v>
      </c>
      <c r="BC161">
        <v>9216</v>
      </c>
      <c r="BD161">
        <v>192</v>
      </c>
      <c r="BE161">
        <v>1</v>
      </c>
      <c r="BF161">
        <v>4</v>
      </c>
      <c r="BG161">
        <v>147.25</v>
      </c>
      <c r="BH161" s="62">
        <v>3.5447000000000002</v>
      </c>
      <c r="BI161" s="16">
        <v>45559</v>
      </c>
      <c r="BJ161" s="18">
        <v>0.85650462962962959</v>
      </c>
      <c r="BK161">
        <v>0</v>
      </c>
      <c r="BL161">
        <v>0</v>
      </c>
      <c r="BM161">
        <v>0</v>
      </c>
      <c r="BN161" s="80">
        <f t="shared" si="204"/>
        <v>3.7086800000000002</v>
      </c>
    </row>
    <row r="162" spans="1:66" x14ac:dyDescent="0.25">
      <c r="A162" t="s">
        <v>111</v>
      </c>
      <c r="B162">
        <v>3</v>
      </c>
      <c r="C162" t="s">
        <v>7</v>
      </c>
      <c r="D162">
        <v>9216</v>
      </c>
      <c r="E162">
        <v>192</v>
      </c>
      <c r="F162">
        <v>1</v>
      </c>
      <c r="G162">
        <v>4</v>
      </c>
      <c r="H162">
        <v>113.77</v>
      </c>
      <c r="I162" s="62">
        <v>4.5879000000000003</v>
      </c>
      <c r="J162" s="16">
        <v>45550</v>
      </c>
      <c r="K162" s="18">
        <v>0.14971064814814813</v>
      </c>
      <c r="L162">
        <v>0</v>
      </c>
      <c r="M162">
        <v>0</v>
      </c>
      <c r="N162">
        <v>0</v>
      </c>
      <c r="O162" s="80">
        <f t="shared" si="182"/>
        <v>4.5831800000000005</v>
      </c>
      <c r="R162" t="s">
        <v>111</v>
      </c>
      <c r="S162">
        <v>3</v>
      </c>
      <c r="T162" t="s">
        <v>7</v>
      </c>
      <c r="U162">
        <v>9216</v>
      </c>
      <c r="V162">
        <v>192</v>
      </c>
      <c r="W162">
        <v>1</v>
      </c>
      <c r="X162">
        <v>4</v>
      </c>
      <c r="Y162">
        <v>113.51</v>
      </c>
      <c r="Z162" s="62">
        <v>4.5982000000000003</v>
      </c>
      <c r="AA162" s="16">
        <v>45559</v>
      </c>
      <c r="AB162" s="18">
        <v>0.79421296296296295</v>
      </c>
      <c r="AC162">
        <v>0</v>
      </c>
      <c r="AD162">
        <v>0</v>
      </c>
      <c r="AE162">
        <v>0</v>
      </c>
      <c r="AF162" s="80">
        <f>AVERAGE(Z162:Z166)</f>
        <v>4.8176000000000005</v>
      </c>
      <c r="AI162" t="s">
        <v>149</v>
      </c>
      <c r="AJ162">
        <v>3</v>
      </c>
      <c r="AK162" t="s">
        <v>7</v>
      </c>
      <c r="AL162">
        <v>9216</v>
      </c>
      <c r="AM162">
        <v>192</v>
      </c>
      <c r="AN162">
        <v>1</v>
      </c>
      <c r="AO162">
        <v>4</v>
      </c>
      <c r="AP162">
        <v>82.49</v>
      </c>
      <c r="AQ162" s="62">
        <v>6.3273000000000001</v>
      </c>
      <c r="AR162" s="16">
        <v>45559</v>
      </c>
      <c r="AS162" s="18">
        <v>0.71815972222222224</v>
      </c>
      <c r="AT162">
        <v>0</v>
      </c>
      <c r="AU162">
        <v>0</v>
      </c>
      <c r="AV162">
        <v>0</v>
      </c>
      <c r="AW162" s="80">
        <f t="shared" si="203"/>
        <v>6.3543199999999995</v>
      </c>
      <c r="AZ162" t="s">
        <v>149</v>
      </c>
      <c r="BA162">
        <v>3</v>
      </c>
      <c r="BB162" t="s">
        <v>7</v>
      </c>
      <c r="BC162">
        <v>9216</v>
      </c>
      <c r="BD162">
        <v>192</v>
      </c>
      <c r="BE162">
        <v>1</v>
      </c>
      <c r="BF162">
        <v>4</v>
      </c>
      <c r="BG162">
        <v>140.82</v>
      </c>
      <c r="BH162" s="62">
        <v>3.7065000000000001</v>
      </c>
      <c r="BI162" s="16">
        <v>45559</v>
      </c>
      <c r="BJ162" s="18">
        <v>0.95193287037037033</v>
      </c>
      <c r="BK162">
        <v>0</v>
      </c>
      <c r="BL162">
        <v>0</v>
      </c>
      <c r="BM162">
        <v>0</v>
      </c>
      <c r="BN162" s="80">
        <f t="shared" si="204"/>
        <v>3.7086800000000002</v>
      </c>
    </row>
    <row r="163" spans="1:66" x14ac:dyDescent="0.25">
      <c r="A163" t="s">
        <v>111</v>
      </c>
      <c r="B163">
        <v>4</v>
      </c>
      <c r="C163" t="s">
        <v>7</v>
      </c>
      <c r="D163">
        <v>9216</v>
      </c>
      <c r="E163">
        <v>192</v>
      </c>
      <c r="F163">
        <v>1</v>
      </c>
      <c r="G163">
        <v>4</v>
      </c>
      <c r="H163">
        <v>114</v>
      </c>
      <c r="I163" s="62">
        <v>4.5787000000000004</v>
      </c>
      <c r="J163" s="16">
        <v>45550</v>
      </c>
      <c r="K163" s="18">
        <v>0.22090277777777778</v>
      </c>
      <c r="L163">
        <v>0</v>
      </c>
      <c r="M163">
        <v>0</v>
      </c>
      <c r="N163">
        <v>0</v>
      </c>
      <c r="O163" s="80">
        <f t="shared" si="182"/>
        <v>4.5831800000000005</v>
      </c>
      <c r="R163" t="s">
        <v>111</v>
      </c>
      <c r="S163">
        <v>4</v>
      </c>
      <c r="T163" t="s">
        <v>7</v>
      </c>
      <c r="U163">
        <v>9216</v>
      </c>
      <c r="V163">
        <v>192</v>
      </c>
      <c r="W163">
        <v>1</v>
      </c>
      <c r="X163">
        <v>4</v>
      </c>
      <c r="Y163">
        <v>113.43</v>
      </c>
      <c r="Z163" s="62">
        <v>4.6014999999999997</v>
      </c>
      <c r="AA163" s="16">
        <v>45559</v>
      </c>
      <c r="AB163" s="18">
        <v>0.86518518518518517</v>
      </c>
      <c r="AC163">
        <v>0</v>
      </c>
      <c r="AD163">
        <v>0</v>
      </c>
      <c r="AE163">
        <v>0</v>
      </c>
      <c r="AF163" s="80">
        <f>AF162</f>
        <v>4.8176000000000005</v>
      </c>
      <c r="AI163" t="s">
        <v>149</v>
      </c>
      <c r="AJ163">
        <v>4</v>
      </c>
      <c r="AK163" t="s">
        <v>7</v>
      </c>
      <c r="AL163">
        <v>9216</v>
      </c>
      <c r="AM163">
        <v>192</v>
      </c>
      <c r="AN163">
        <v>1</v>
      </c>
      <c r="AO163">
        <v>4</v>
      </c>
      <c r="AP163">
        <v>82.09</v>
      </c>
      <c r="AQ163" s="62">
        <v>6.3586</v>
      </c>
      <c r="AR163" s="16">
        <v>45559</v>
      </c>
      <c r="AS163" s="18">
        <v>0.77247685185185189</v>
      </c>
      <c r="AT163">
        <v>0</v>
      </c>
      <c r="AU163">
        <v>0</v>
      </c>
      <c r="AV163">
        <v>0</v>
      </c>
      <c r="AW163" s="80">
        <f t="shared" si="203"/>
        <v>6.3543199999999995</v>
      </c>
      <c r="AZ163" t="s">
        <v>149</v>
      </c>
      <c r="BA163">
        <v>4</v>
      </c>
      <c r="BB163" t="s">
        <v>7</v>
      </c>
      <c r="BC163">
        <v>9216</v>
      </c>
      <c r="BD163">
        <v>192</v>
      </c>
      <c r="BE163">
        <v>1</v>
      </c>
      <c r="BF163">
        <v>4</v>
      </c>
      <c r="BG163">
        <v>143.1</v>
      </c>
      <c r="BH163" s="62">
        <v>3.6476000000000002</v>
      </c>
      <c r="BI163" s="16">
        <v>45560</v>
      </c>
      <c r="BJ163" s="18">
        <v>4.7766203703703707E-2</v>
      </c>
      <c r="BK163">
        <v>0</v>
      </c>
      <c r="BL163">
        <v>0</v>
      </c>
      <c r="BM163">
        <v>0</v>
      </c>
      <c r="BN163" s="80">
        <f t="shared" si="204"/>
        <v>3.7086800000000002</v>
      </c>
    </row>
    <row r="164" spans="1:66" x14ac:dyDescent="0.25">
      <c r="A164" t="s">
        <v>111</v>
      </c>
      <c r="B164">
        <v>0</v>
      </c>
      <c r="C164" t="s">
        <v>7</v>
      </c>
      <c r="D164">
        <v>9792</v>
      </c>
      <c r="E164">
        <v>192</v>
      </c>
      <c r="F164">
        <v>1</v>
      </c>
      <c r="G164">
        <v>4</v>
      </c>
      <c r="H164">
        <v>126.67</v>
      </c>
      <c r="I164" s="62">
        <v>4.9424999999999999</v>
      </c>
      <c r="J164" s="16">
        <v>45549</v>
      </c>
      <c r="K164" s="18">
        <v>0.96243055555555557</v>
      </c>
      <c r="L164">
        <v>0</v>
      </c>
      <c r="M164">
        <v>0</v>
      </c>
      <c r="N164">
        <v>0</v>
      </c>
      <c r="O164" s="80">
        <f t="shared" ref="O164" si="205">AVERAGE(I164:I168)</f>
        <v>4.9417600000000004</v>
      </c>
      <c r="R164" t="s">
        <v>111</v>
      </c>
      <c r="S164">
        <v>0</v>
      </c>
      <c r="T164" t="s">
        <v>7</v>
      </c>
      <c r="U164">
        <v>9792</v>
      </c>
      <c r="V164">
        <v>192</v>
      </c>
      <c r="W164">
        <v>1</v>
      </c>
      <c r="X164">
        <v>4</v>
      </c>
      <c r="Y164">
        <v>126.19</v>
      </c>
      <c r="Z164" s="62">
        <v>4.9615</v>
      </c>
      <c r="AA164" s="16">
        <v>45559</v>
      </c>
      <c r="AB164" s="18">
        <v>0.60660879629629627</v>
      </c>
      <c r="AC164">
        <v>0</v>
      </c>
      <c r="AD164">
        <v>0</v>
      </c>
      <c r="AE164">
        <v>0</v>
      </c>
      <c r="AF164" s="80">
        <f>AF163</f>
        <v>4.8176000000000005</v>
      </c>
      <c r="AI164" t="s">
        <v>149</v>
      </c>
      <c r="AJ164">
        <v>0</v>
      </c>
      <c r="AK164" t="s">
        <v>7</v>
      </c>
      <c r="AL164">
        <v>9792</v>
      </c>
      <c r="AM164">
        <v>192</v>
      </c>
      <c r="AN164">
        <v>1</v>
      </c>
      <c r="AO164">
        <v>4</v>
      </c>
      <c r="AP164">
        <v>96.21</v>
      </c>
      <c r="AQ164" s="62">
        <v>6.5076000000000001</v>
      </c>
      <c r="AR164" s="16">
        <v>45559</v>
      </c>
      <c r="AS164" s="18">
        <v>0.5755555555555556</v>
      </c>
      <c r="AT164">
        <v>0</v>
      </c>
      <c r="AU164">
        <v>0</v>
      </c>
      <c r="AV164">
        <v>0</v>
      </c>
      <c r="AW164" s="80">
        <f t="shared" ref="AW164" si="206">AVERAGE(AQ164:AQ168)</f>
        <v>6.3913599999999997</v>
      </c>
      <c r="AZ164" t="s">
        <v>149</v>
      </c>
      <c r="BA164">
        <v>0</v>
      </c>
      <c r="BB164" t="s">
        <v>7</v>
      </c>
      <c r="BC164">
        <v>9792</v>
      </c>
      <c r="BD164">
        <v>192</v>
      </c>
      <c r="BE164">
        <v>1</v>
      </c>
      <c r="BF164">
        <v>4</v>
      </c>
      <c r="BG164">
        <v>159.61000000000001</v>
      </c>
      <c r="BH164" s="62">
        <v>3.9224999999999999</v>
      </c>
      <c r="BI164" s="16">
        <v>45559</v>
      </c>
      <c r="BJ164" s="18">
        <v>0.69994212962962965</v>
      </c>
      <c r="BK164">
        <v>0</v>
      </c>
      <c r="BL164">
        <v>0</v>
      </c>
      <c r="BM164">
        <v>0</v>
      </c>
      <c r="BN164" s="80">
        <f t="shared" ref="BN164" si="207">AVERAGE(BH164:BH168)</f>
        <v>3.9325600000000001</v>
      </c>
    </row>
    <row r="165" spans="1:66" x14ac:dyDescent="0.25">
      <c r="A165" t="s">
        <v>111</v>
      </c>
      <c r="B165">
        <v>1</v>
      </c>
      <c r="C165" t="s">
        <v>7</v>
      </c>
      <c r="D165">
        <v>9792</v>
      </c>
      <c r="E165">
        <v>192</v>
      </c>
      <c r="F165">
        <v>1</v>
      </c>
      <c r="G165">
        <v>4</v>
      </c>
      <c r="H165">
        <v>126.52</v>
      </c>
      <c r="I165" s="62">
        <v>4.9482999999999997</v>
      </c>
      <c r="J165" s="16">
        <v>45550</v>
      </c>
      <c r="K165" s="18">
        <v>3.3680555555555554E-2</v>
      </c>
      <c r="L165">
        <v>0</v>
      </c>
      <c r="M165">
        <v>0</v>
      </c>
      <c r="N165">
        <v>0</v>
      </c>
      <c r="O165" s="80">
        <f t="shared" ref="O165" si="208">O164</f>
        <v>4.9417600000000004</v>
      </c>
      <c r="R165" t="s">
        <v>111</v>
      </c>
      <c r="S165">
        <v>1</v>
      </c>
      <c r="T165" t="s">
        <v>7</v>
      </c>
      <c r="U165">
        <v>9792</v>
      </c>
      <c r="V165">
        <v>192</v>
      </c>
      <c r="W165">
        <v>1</v>
      </c>
      <c r="X165">
        <v>4</v>
      </c>
      <c r="Y165">
        <v>126.15</v>
      </c>
      <c r="Z165" s="62">
        <v>4.9630000000000001</v>
      </c>
      <c r="AA165" s="16">
        <v>45559</v>
      </c>
      <c r="AB165" s="18">
        <v>0.67783564814814812</v>
      </c>
      <c r="AC165">
        <v>0</v>
      </c>
      <c r="AD165">
        <v>0</v>
      </c>
      <c r="AE165">
        <v>0</v>
      </c>
      <c r="AF165" s="80">
        <f>AVERAGE(Z165:Z169)</f>
        <v>4.9231999999999996</v>
      </c>
      <c r="AI165" t="s">
        <v>149</v>
      </c>
      <c r="AJ165">
        <v>1</v>
      </c>
      <c r="AK165" t="s">
        <v>7</v>
      </c>
      <c r="AL165">
        <v>9792</v>
      </c>
      <c r="AM165">
        <v>192</v>
      </c>
      <c r="AN165">
        <v>1</v>
      </c>
      <c r="AO165">
        <v>4</v>
      </c>
      <c r="AP165">
        <v>97.18</v>
      </c>
      <c r="AQ165" s="62">
        <v>6.4420999999999999</v>
      </c>
      <c r="AR165" s="16">
        <v>45559</v>
      </c>
      <c r="AS165" s="18">
        <v>0.62975694444444441</v>
      </c>
      <c r="AT165">
        <v>0</v>
      </c>
      <c r="AU165">
        <v>0</v>
      </c>
      <c r="AV165">
        <v>0</v>
      </c>
      <c r="AW165" s="80">
        <f t="shared" ref="AW165:AW168" si="209">AW164</f>
        <v>6.3913599999999997</v>
      </c>
      <c r="AZ165" t="s">
        <v>149</v>
      </c>
      <c r="BA165">
        <v>1</v>
      </c>
      <c r="BB165" t="s">
        <v>7</v>
      </c>
      <c r="BC165">
        <v>9792</v>
      </c>
      <c r="BD165">
        <v>192</v>
      </c>
      <c r="BE165">
        <v>1</v>
      </c>
      <c r="BF165">
        <v>4</v>
      </c>
      <c r="BG165">
        <v>157.16</v>
      </c>
      <c r="BH165" s="62">
        <v>3.9838</v>
      </c>
      <c r="BI165" s="16">
        <v>45559</v>
      </c>
      <c r="BJ165" s="18">
        <v>0.79546296296296293</v>
      </c>
      <c r="BK165">
        <v>0</v>
      </c>
      <c r="BL165">
        <v>0</v>
      </c>
      <c r="BM165">
        <v>0</v>
      </c>
      <c r="BN165" s="80">
        <f t="shared" ref="BN165:BN168" si="210">BN164</f>
        <v>3.9325600000000001</v>
      </c>
    </row>
    <row r="166" spans="1:66" x14ac:dyDescent="0.25">
      <c r="A166" t="s">
        <v>111</v>
      </c>
      <c r="B166">
        <v>2</v>
      </c>
      <c r="C166" t="s">
        <v>7</v>
      </c>
      <c r="D166">
        <v>9792</v>
      </c>
      <c r="E166">
        <v>192</v>
      </c>
      <c r="F166">
        <v>1</v>
      </c>
      <c r="G166">
        <v>4</v>
      </c>
      <c r="H166">
        <v>126.39</v>
      </c>
      <c r="I166" s="62">
        <v>4.9535999999999998</v>
      </c>
      <c r="J166" s="16">
        <v>45550</v>
      </c>
      <c r="K166" s="18">
        <v>0.10476851851851852</v>
      </c>
      <c r="L166">
        <v>0</v>
      </c>
      <c r="M166">
        <v>0</v>
      </c>
      <c r="N166">
        <v>0</v>
      </c>
      <c r="O166" s="80">
        <f t="shared" si="182"/>
        <v>4.9417600000000004</v>
      </c>
      <c r="R166" t="s">
        <v>111</v>
      </c>
      <c r="S166">
        <v>2</v>
      </c>
      <c r="T166" t="s">
        <v>7</v>
      </c>
      <c r="U166">
        <v>9792</v>
      </c>
      <c r="V166">
        <v>192</v>
      </c>
      <c r="W166">
        <v>1</v>
      </c>
      <c r="X166">
        <v>4</v>
      </c>
      <c r="Y166">
        <v>126.13</v>
      </c>
      <c r="Z166" s="62">
        <v>4.9638</v>
      </c>
      <c r="AA166" s="16">
        <v>45559</v>
      </c>
      <c r="AB166" s="18">
        <v>0.74910879629629634</v>
      </c>
      <c r="AC166">
        <v>0</v>
      </c>
      <c r="AD166">
        <v>0</v>
      </c>
      <c r="AE166">
        <v>0</v>
      </c>
      <c r="AF166" s="80">
        <f t="shared" ref="AF166:AF171" si="211">AF165</f>
        <v>4.9231999999999996</v>
      </c>
      <c r="AI166" t="s">
        <v>149</v>
      </c>
      <c r="AJ166">
        <v>2</v>
      </c>
      <c r="AK166" t="s">
        <v>7</v>
      </c>
      <c r="AL166">
        <v>9792</v>
      </c>
      <c r="AM166">
        <v>192</v>
      </c>
      <c r="AN166">
        <v>1</v>
      </c>
      <c r="AO166">
        <v>4</v>
      </c>
      <c r="AP166">
        <v>96.04</v>
      </c>
      <c r="AQ166" s="62">
        <v>6.5186999999999999</v>
      </c>
      <c r="AR166" s="16">
        <v>45559</v>
      </c>
      <c r="AS166" s="18">
        <v>0.68398148148148152</v>
      </c>
      <c r="AT166">
        <v>0</v>
      </c>
      <c r="AU166">
        <v>0</v>
      </c>
      <c r="AV166">
        <v>0</v>
      </c>
      <c r="AW166" s="80">
        <f t="shared" si="209"/>
        <v>6.3913599999999997</v>
      </c>
      <c r="AZ166" t="s">
        <v>149</v>
      </c>
      <c r="BA166">
        <v>2</v>
      </c>
      <c r="BB166" t="s">
        <v>7</v>
      </c>
      <c r="BC166">
        <v>9792</v>
      </c>
      <c r="BD166">
        <v>192</v>
      </c>
      <c r="BE166">
        <v>1</v>
      </c>
      <c r="BF166">
        <v>4</v>
      </c>
      <c r="BG166">
        <v>162.41</v>
      </c>
      <c r="BH166" s="62">
        <v>3.8549000000000002</v>
      </c>
      <c r="BI166" s="16">
        <v>45559</v>
      </c>
      <c r="BJ166" s="18">
        <v>0.89118055555555553</v>
      </c>
      <c r="BK166">
        <v>0</v>
      </c>
      <c r="BL166">
        <v>0</v>
      </c>
      <c r="BM166">
        <v>0</v>
      </c>
      <c r="BN166" s="80">
        <f t="shared" si="210"/>
        <v>3.9325600000000001</v>
      </c>
    </row>
    <row r="167" spans="1:66" x14ac:dyDescent="0.25">
      <c r="A167" t="s">
        <v>111</v>
      </c>
      <c r="B167">
        <v>3</v>
      </c>
      <c r="C167" t="s">
        <v>7</v>
      </c>
      <c r="D167">
        <v>9792</v>
      </c>
      <c r="E167">
        <v>192</v>
      </c>
      <c r="F167">
        <v>1</v>
      </c>
      <c r="G167">
        <v>4</v>
      </c>
      <c r="H167">
        <v>126.91</v>
      </c>
      <c r="I167" s="62">
        <v>4.9333</v>
      </c>
      <c r="J167" s="16">
        <v>45550</v>
      </c>
      <c r="K167" s="18">
        <v>0.17596064814814816</v>
      </c>
      <c r="L167">
        <v>0</v>
      </c>
      <c r="M167">
        <v>0</v>
      </c>
      <c r="N167">
        <v>0</v>
      </c>
      <c r="O167" s="80">
        <f t="shared" si="182"/>
        <v>4.9417600000000004</v>
      </c>
      <c r="R167" t="s">
        <v>111</v>
      </c>
      <c r="S167">
        <v>3</v>
      </c>
      <c r="T167" t="s">
        <v>7</v>
      </c>
      <c r="U167">
        <v>9792</v>
      </c>
      <c r="V167">
        <v>192</v>
      </c>
      <c r="W167">
        <v>1</v>
      </c>
      <c r="X167">
        <v>4</v>
      </c>
      <c r="Y167">
        <v>126.29</v>
      </c>
      <c r="Z167" s="62">
        <v>4.9574999999999996</v>
      </c>
      <c r="AA167" s="16">
        <v>45559</v>
      </c>
      <c r="AB167" s="18">
        <v>0.82040509259259264</v>
      </c>
      <c r="AC167">
        <v>0</v>
      </c>
      <c r="AD167">
        <v>0</v>
      </c>
      <c r="AE167">
        <v>0</v>
      </c>
      <c r="AF167" s="80">
        <f t="shared" si="211"/>
        <v>4.9231999999999996</v>
      </c>
      <c r="AI167" t="s">
        <v>149</v>
      </c>
      <c r="AJ167">
        <v>3</v>
      </c>
      <c r="AK167" t="s">
        <v>7</v>
      </c>
      <c r="AL167">
        <v>9792</v>
      </c>
      <c r="AM167">
        <v>192</v>
      </c>
      <c r="AN167">
        <v>1</v>
      </c>
      <c r="AO167">
        <v>4</v>
      </c>
      <c r="AP167">
        <v>96.5</v>
      </c>
      <c r="AQ167" s="62">
        <v>6.4880000000000004</v>
      </c>
      <c r="AR167" s="16">
        <v>45559</v>
      </c>
      <c r="AS167" s="18">
        <v>0.73813657407407407</v>
      </c>
      <c r="AT167">
        <v>0</v>
      </c>
      <c r="AU167">
        <v>0</v>
      </c>
      <c r="AV167">
        <v>0</v>
      </c>
      <c r="AW167" s="80">
        <f t="shared" si="209"/>
        <v>6.3913599999999997</v>
      </c>
      <c r="AZ167" t="s">
        <v>149</v>
      </c>
      <c r="BA167">
        <v>3</v>
      </c>
      <c r="BB167" t="s">
        <v>7</v>
      </c>
      <c r="BC167">
        <v>9792</v>
      </c>
      <c r="BD167">
        <v>192</v>
      </c>
      <c r="BE167">
        <v>1</v>
      </c>
      <c r="BF167">
        <v>4</v>
      </c>
      <c r="BG167">
        <v>154.63</v>
      </c>
      <c r="BH167" s="62">
        <v>4.0488</v>
      </c>
      <c r="BI167" s="16">
        <v>45559</v>
      </c>
      <c r="BJ167" s="18">
        <v>0.98649305555555555</v>
      </c>
      <c r="BK167">
        <v>0</v>
      </c>
      <c r="BL167">
        <v>0</v>
      </c>
      <c r="BM167">
        <v>0</v>
      </c>
      <c r="BN167" s="80">
        <f t="shared" si="210"/>
        <v>3.9325600000000001</v>
      </c>
    </row>
    <row r="168" spans="1:66" x14ac:dyDescent="0.25">
      <c r="A168" t="s">
        <v>111</v>
      </c>
      <c r="B168">
        <v>4</v>
      </c>
      <c r="C168" t="s">
        <v>7</v>
      </c>
      <c r="D168">
        <v>9792</v>
      </c>
      <c r="E168">
        <v>192</v>
      </c>
      <c r="F168">
        <v>1</v>
      </c>
      <c r="G168">
        <v>4</v>
      </c>
      <c r="H168">
        <v>126.96</v>
      </c>
      <c r="I168" s="62">
        <v>4.9310999999999998</v>
      </c>
      <c r="J168" s="16">
        <v>45550</v>
      </c>
      <c r="K168" s="18">
        <v>0.24716435185185184</v>
      </c>
      <c r="L168">
        <v>0</v>
      </c>
      <c r="M168">
        <v>0</v>
      </c>
      <c r="N168">
        <v>0</v>
      </c>
      <c r="O168" s="80">
        <f t="shared" si="182"/>
        <v>4.9417600000000004</v>
      </c>
      <c r="R168" t="s">
        <v>111</v>
      </c>
      <c r="S168">
        <v>4</v>
      </c>
      <c r="T168" t="s">
        <v>7</v>
      </c>
      <c r="U168">
        <v>9792</v>
      </c>
      <c r="V168">
        <v>192</v>
      </c>
      <c r="W168">
        <v>1</v>
      </c>
      <c r="X168">
        <v>4</v>
      </c>
      <c r="Y168">
        <v>126.18</v>
      </c>
      <c r="Z168" s="62">
        <v>4.9618000000000002</v>
      </c>
      <c r="AA168" s="16">
        <v>45559</v>
      </c>
      <c r="AB168" s="18">
        <v>0.89134259259259263</v>
      </c>
      <c r="AC168">
        <v>0</v>
      </c>
      <c r="AD168">
        <v>0</v>
      </c>
      <c r="AE168">
        <v>0</v>
      </c>
      <c r="AF168" s="80">
        <f t="shared" si="211"/>
        <v>4.9231999999999996</v>
      </c>
      <c r="AI168" t="s">
        <v>149</v>
      </c>
      <c r="AJ168">
        <v>4</v>
      </c>
      <c r="AK168" t="s">
        <v>7</v>
      </c>
      <c r="AL168">
        <v>9792</v>
      </c>
      <c r="AM168">
        <v>192</v>
      </c>
      <c r="AN168">
        <v>1</v>
      </c>
      <c r="AO168">
        <v>4</v>
      </c>
      <c r="AP168">
        <v>104.34</v>
      </c>
      <c r="AQ168" s="62">
        <v>6.0004</v>
      </c>
      <c r="AR168" s="16">
        <v>45559</v>
      </c>
      <c r="AS168" s="18">
        <v>0.79254629629629625</v>
      </c>
      <c r="AT168">
        <v>0</v>
      </c>
      <c r="AU168">
        <v>0</v>
      </c>
      <c r="AV168">
        <v>0</v>
      </c>
      <c r="AW168" s="80">
        <f t="shared" si="209"/>
        <v>6.3913599999999997</v>
      </c>
      <c r="AZ168" t="s">
        <v>149</v>
      </c>
      <c r="BA168">
        <v>4</v>
      </c>
      <c r="BB168" t="s">
        <v>7</v>
      </c>
      <c r="BC168">
        <v>9792</v>
      </c>
      <c r="BD168">
        <v>192</v>
      </c>
      <c r="BE168">
        <v>1</v>
      </c>
      <c r="BF168">
        <v>4</v>
      </c>
      <c r="BG168">
        <v>162.5</v>
      </c>
      <c r="BH168" s="62">
        <v>3.8527999999999998</v>
      </c>
      <c r="BI168" s="16">
        <v>45560</v>
      </c>
      <c r="BJ168" s="18">
        <v>8.2395833333333335E-2</v>
      </c>
      <c r="BK168">
        <v>0</v>
      </c>
      <c r="BL168">
        <v>0</v>
      </c>
      <c r="BM168">
        <v>0</v>
      </c>
      <c r="BN168" s="80">
        <f t="shared" si="210"/>
        <v>3.9325600000000001</v>
      </c>
    </row>
    <row r="169" spans="1:66" x14ac:dyDescent="0.25">
      <c r="A169" t="s">
        <v>111</v>
      </c>
      <c r="B169">
        <v>0</v>
      </c>
      <c r="C169" t="s">
        <v>7</v>
      </c>
      <c r="D169">
        <v>8640</v>
      </c>
      <c r="E169">
        <v>192</v>
      </c>
      <c r="F169">
        <v>2</v>
      </c>
      <c r="G169">
        <v>2</v>
      </c>
      <c r="H169">
        <v>90.45</v>
      </c>
      <c r="I169" s="62">
        <v>4.7548000000000004</v>
      </c>
      <c r="J169" s="16">
        <v>45549</v>
      </c>
      <c r="K169" s="18">
        <v>0.91454861111111108</v>
      </c>
      <c r="L169">
        <v>0</v>
      </c>
      <c r="M169">
        <v>0</v>
      </c>
      <c r="N169">
        <v>0</v>
      </c>
      <c r="O169" s="80">
        <f t="shared" ref="O169" si="212">AVERAGE(I169:I173)</f>
        <v>4.7614399999999995</v>
      </c>
      <c r="R169" t="s">
        <v>111</v>
      </c>
      <c r="S169">
        <v>0</v>
      </c>
      <c r="T169" t="s">
        <v>7</v>
      </c>
      <c r="U169">
        <v>8640</v>
      </c>
      <c r="V169">
        <v>192</v>
      </c>
      <c r="W169">
        <v>2</v>
      </c>
      <c r="X169">
        <v>2</v>
      </c>
      <c r="Y169">
        <v>90.17</v>
      </c>
      <c r="Z169" s="62">
        <v>4.7698999999999998</v>
      </c>
      <c r="AA169" s="16">
        <v>45559</v>
      </c>
      <c r="AB169" s="18">
        <v>0.55869212962962966</v>
      </c>
      <c r="AC169">
        <v>0</v>
      </c>
      <c r="AD169">
        <v>0</v>
      </c>
      <c r="AE169">
        <v>0</v>
      </c>
      <c r="AF169" s="80">
        <f t="shared" si="211"/>
        <v>4.9231999999999996</v>
      </c>
      <c r="AI169" t="s">
        <v>149</v>
      </c>
      <c r="AJ169">
        <v>0</v>
      </c>
      <c r="AK169" t="s">
        <v>7</v>
      </c>
      <c r="AL169">
        <v>8640</v>
      </c>
      <c r="AM169">
        <v>192</v>
      </c>
      <c r="AN169">
        <v>2</v>
      </c>
      <c r="AO169">
        <v>2</v>
      </c>
      <c r="AP169">
        <v>68.58</v>
      </c>
      <c r="AQ169" s="62">
        <v>6.2713000000000001</v>
      </c>
      <c r="AR169" s="16">
        <v>45559</v>
      </c>
      <c r="AS169" s="18">
        <v>0.53937500000000005</v>
      </c>
      <c r="AT169">
        <v>0</v>
      </c>
      <c r="AU169">
        <v>0</v>
      </c>
      <c r="AV169">
        <v>0</v>
      </c>
      <c r="AW169" s="80">
        <f t="shared" ref="AW169" si="213">AVERAGE(AQ169:AQ173)</f>
        <v>6.2584600000000012</v>
      </c>
      <c r="AZ169" t="s">
        <v>149</v>
      </c>
      <c r="BA169">
        <v>0</v>
      </c>
      <c r="BB169" t="s">
        <v>7</v>
      </c>
      <c r="BC169">
        <v>8640</v>
      </c>
      <c r="BD169">
        <v>192</v>
      </c>
      <c r="BE169">
        <v>2</v>
      </c>
      <c r="BF169">
        <v>2</v>
      </c>
      <c r="BG169">
        <v>139.57</v>
      </c>
      <c r="BH169" s="62">
        <v>3.0815999999999999</v>
      </c>
      <c r="BI169" s="16">
        <v>45559</v>
      </c>
      <c r="BJ169" s="18">
        <v>0.63684027777777774</v>
      </c>
      <c r="BK169">
        <v>0</v>
      </c>
      <c r="BL169">
        <v>0</v>
      </c>
      <c r="BM169">
        <v>0</v>
      </c>
      <c r="BN169" s="80">
        <f t="shared" ref="BN169" si="214">AVERAGE(BH169:BH173)</f>
        <v>3.0827200000000001</v>
      </c>
    </row>
    <row r="170" spans="1:66" x14ac:dyDescent="0.25">
      <c r="A170" t="s">
        <v>111</v>
      </c>
      <c r="B170">
        <v>1</v>
      </c>
      <c r="C170" t="s">
        <v>7</v>
      </c>
      <c r="D170">
        <v>8640</v>
      </c>
      <c r="E170">
        <v>192</v>
      </c>
      <c r="F170">
        <v>2</v>
      </c>
      <c r="G170">
        <v>2</v>
      </c>
      <c r="H170">
        <v>90.2</v>
      </c>
      <c r="I170" s="62">
        <v>4.7683</v>
      </c>
      <c r="J170" s="16">
        <v>45549</v>
      </c>
      <c r="K170" s="18">
        <v>0.9858217592592593</v>
      </c>
      <c r="L170">
        <v>0</v>
      </c>
      <c r="M170">
        <v>0</v>
      </c>
      <c r="N170">
        <v>0</v>
      </c>
      <c r="O170" s="80">
        <f t="shared" ref="O170" si="215">O169</f>
        <v>4.7614399999999995</v>
      </c>
      <c r="R170" t="s">
        <v>111</v>
      </c>
      <c r="S170">
        <v>1</v>
      </c>
      <c r="T170" t="s">
        <v>7</v>
      </c>
      <c r="U170">
        <v>8640</v>
      </c>
      <c r="V170">
        <v>192</v>
      </c>
      <c r="W170">
        <v>2</v>
      </c>
      <c r="X170">
        <v>2</v>
      </c>
      <c r="Y170">
        <v>90.22</v>
      </c>
      <c r="Z170" s="62">
        <v>4.7672999999999996</v>
      </c>
      <c r="AA170" s="16">
        <v>45559</v>
      </c>
      <c r="AB170" s="18">
        <v>0.62994212962962959</v>
      </c>
      <c r="AC170">
        <v>0</v>
      </c>
      <c r="AD170">
        <v>0</v>
      </c>
      <c r="AE170">
        <v>0</v>
      </c>
      <c r="AF170" s="80">
        <f t="shared" si="211"/>
        <v>4.9231999999999996</v>
      </c>
      <c r="AI170" t="s">
        <v>149</v>
      </c>
      <c r="AJ170">
        <v>1</v>
      </c>
      <c r="AK170" t="s">
        <v>7</v>
      </c>
      <c r="AL170">
        <v>8640</v>
      </c>
      <c r="AM170">
        <v>192</v>
      </c>
      <c r="AN170">
        <v>2</v>
      </c>
      <c r="AO170">
        <v>2</v>
      </c>
      <c r="AP170">
        <v>68.67</v>
      </c>
      <c r="AQ170" s="62">
        <v>6.2632000000000003</v>
      </c>
      <c r="AR170" s="16">
        <v>45559</v>
      </c>
      <c r="AS170" s="18">
        <v>0.59351851851851856</v>
      </c>
      <c r="AT170">
        <v>0</v>
      </c>
      <c r="AU170">
        <v>0</v>
      </c>
      <c r="AV170">
        <v>0</v>
      </c>
      <c r="AW170" s="80">
        <f t="shared" ref="AW170:AW173" si="216">AW169</f>
        <v>6.2584600000000012</v>
      </c>
      <c r="AZ170" t="s">
        <v>149</v>
      </c>
      <c r="BA170">
        <v>1</v>
      </c>
      <c r="BB170" t="s">
        <v>7</v>
      </c>
      <c r="BC170">
        <v>8640</v>
      </c>
      <c r="BD170">
        <v>192</v>
      </c>
      <c r="BE170">
        <v>2</v>
      </c>
      <c r="BF170">
        <v>2</v>
      </c>
      <c r="BG170">
        <v>139.11000000000001</v>
      </c>
      <c r="BH170" s="62">
        <v>3.0918000000000001</v>
      </c>
      <c r="BI170" s="16">
        <v>45559</v>
      </c>
      <c r="BJ170" s="18">
        <v>0.73238425925925921</v>
      </c>
      <c r="BK170">
        <v>0</v>
      </c>
      <c r="BL170">
        <v>0</v>
      </c>
      <c r="BM170">
        <v>0</v>
      </c>
      <c r="BN170" s="80">
        <f t="shared" ref="BN170:BN173" si="217">BN169</f>
        <v>3.0827200000000001</v>
      </c>
    </row>
    <row r="171" spans="1:66" x14ac:dyDescent="0.25">
      <c r="A171" t="s">
        <v>111</v>
      </c>
      <c r="B171">
        <v>2</v>
      </c>
      <c r="C171" t="s">
        <v>7</v>
      </c>
      <c r="D171">
        <v>8640</v>
      </c>
      <c r="E171">
        <v>192</v>
      </c>
      <c r="F171">
        <v>2</v>
      </c>
      <c r="G171">
        <v>2</v>
      </c>
      <c r="H171">
        <v>90.07</v>
      </c>
      <c r="I171" s="62">
        <v>4.7750000000000004</v>
      </c>
      <c r="J171" s="16">
        <v>45550</v>
      </c>
      <c r="K171" s="18">
        <v>5.6967592592592591E-2</v>
      </c>
      <c r="L171">
        <v>0</v>
      </c>
      <c r="M171">
        <v>0</v>
      </c>
      <c r="N171">
        <v>0</v>
      </c>
      <c r="O171" s="80">
        <f t="shared" si="182"/>
        <v>4.7614399999999995</v>
      </c>
      <c r="R171" t="s">
        <v>111</v>
      </c>
      <c r="S171">
        <v>2</v>
      </c>
      <c r="T171" t="s">
        <v>7</v>
      </c>
      <c r="U171">
        <v>8640</v>
      </c>
      <c r="V171">
        <v>192</v>
      </c>
      <c r="W171">
        <v>2</v>
      </c>
      <c r="X171">
        <v>2</v>
      </c>
      <c r="Y171">
        <v>90.23</v>
      </c>
      <c r="Z171" s="62">
        <v>4.7667000000000002</v>
      </c>
      <c r="AA171" s="16">
        <v>45559</v>
      </c>
      <c r="AB171" s="18">
        <v>0.70116898148148143</v>
      </c>
      <c r="AC171">
        <v>0</v>
      </c>
      <c r="AD171">
        <v>0</v>
      </c>
      <c r="AE171">
        <v>0</v>
      </c>
      <c r="AF171" s="80">
        <f t="shared" si="211"/>
        <v>4.9231999999999996</v>
      </c>
      <c r="AI171" t="s">
        <v>149</v>
      </c>
      <c r="AJ171">
        <v>2</v>
      </c>
      <c r="AK171" t="s">
        <v>7</v>
      </c>
      <c r="AL171">
        <v>8640</v>
      </c>
      <c r="AM171">
        <v>192</v>
      </c>
      <c r="AN171">
        <v>2</v>
      </c>
      <c r="AO171">
        <v>2</v>
      </c>
      <c r="AP171">
        <v>68.64</v>
      </c>
      <c r="AQ171" s="62">
        <v>6.2662000000000004</v>
      </c>
      <c r="AR171" s="16">
        <v>45559</v>
      </c>
      <c r="AS171" s="18">
        <v>0.64774305555555556</v>
      </c>
      <c r="AT171">
        <v>0</v>
      </c>
      <c r="AU171">
        <v>0</v>
      </c>
      <c r="AV171">
        <v>0</v>
      </c>
      <c r="AW171" s="80">
        <f t="shared" si="216"/>
        <v>6.2584600000000012</v>
      </c>
      <c r="AZ171" t="s">
        <v>149</v>
      </c>
      <c r="BA171">
        <v>2</v>
      </c>
      <c r="BB171" t="s">
        <v>7</v>
      </c>
      <c r="BC171">
        <v>8640</v>
      </c>
      <c r="BD171">
        <v>192</v>
      </c>
      <c r="BE171">
        <v>2</v>
      </c>
      <c r="BF171">
        <v>2</v>
      </c>
      <c r="BG171">
        <v>136.78</v>
      </c>
      <c r="BH171" s="62">
        <v>3.1442999999999999</v>
      </c>
      <c r="BI171" s="16">
        <v>45559</v>
      </c>
      <c r="BJ171" s="18">
        <v>0.82761574074074074</v>
      </c>
      <c r="BK171">
        <v>0</v>
      </c>
      <c r="BL171">
        <v>0</v>
      </c>
      <c r="BM171">
        <v>0</v>
      </c>
      <c r="BN171" s="80">
        <f t="shared" si="217"/>
        <v>3.0827200000000001</v>
      </c>
    </row>
    <row r="172" spans="1:66" x14ac:dyDescent="0.25">
      <c r="A172" t="s">
        <v>111</v>
      </c>
      <c r="B172">
        <v>3</v>
      </c>
      <c r="C172" t="s">
        <v>7</v>
      </c>
      <c r="D172">
        <v>8640</v>
      </c>
      <c r="E172">
        <v>192</v>
      </c>
      <c r="F172">
        <v>2</v>
      </c>
      <c r="G172">
        <v>2</v>
      </c>
      <c r="H172">
        <v>90.49</v>
      </c>
      <c r="I172" s="62">
        <v>4.7531999999999996</v>
      </c>
      <c r="J172" s="16">
        <v>45550</v>
      </c>
      <c r="K172" s="18">
        <v>0.12813657407407408</v>
      </c>
      <c r="L172">
        <v>0</v>
      </c>
      <c r="M172">
        <v>0</v>
      </c>
      <c r="N172">
        <v>0</v>
      </c>
      <c r="O172" s="80">
        <f t="shared" si="182"/>
        <v>4.7614399999999995</v>
      </c>
      <c r="R172" t="s">
        <v>111</v>
      </c>
      <c r="S172">
        <v>3</v>
      </c>
      <c r="T172" t="s">
        <v>7</v>
      </c>
      <c r="U172">
        <v>8640</v>
      </c>
      <c r="V172">
        <v>192</v>
      </c>
      <c r="W172">
        <v>2</v>
      </c>
      <c r="X172">
        <v>2</v>
      </c>
      <c r="Y172">
        <v>90.23</v>
      </c>
      <c r="Z172" s="62">
        <v>4.7668999999999997</v>
      </c>
      <c r="AA172" s="16">
        <v>45559</v>
      </c>
      <c r="AB172" s="18">
        <v>0.7724537037037037</v>
      </c>
      <c r="AC172">
        <v>0</v>
      </c>
      <c r="AD172">
        <v>0</v>
      </c>
      <c r="AE172">
        <v>0</v>
      </c>
      <c r="AF172" s="80">
        <f>AVERAGE(Z172:Z176)</f>
        <v>4.7143200000000007</v>
      </c>
      <c r="AI172" t="s">
        <v>149</v>
      </c>
      <c r="AJ172">
        <v>3</v>
      </c>
      <c r="AK172" t="s">
        <v>7</v>
      </c>
      <c r="AL172">
        <v>8640</v>
      </c>
      <c r="AM172">
        <v>192</v>
      </c>
      <c r="AN172">
        <v>2</v>
      </c>
      <c r="AO172">
        <v>2</v>
      </c>
      <c r="AP172">
        <v>68.650000000000006</v>
      </c>
      <c r="AQ172" s="62">
        <v>6.2652999999999999</v>
      </c>
      <c r="AR172" s="16">
        <v>45559</v>
      </c>
      <c r="AS172" s="18">
        <v>0.7018981481481481</v>
      </c>
      <c r="AT172">
        <v>0</v>
      </c>
      <c r="AU172">
        <v>0</v>
      </c>
      <c r="AV172">
        <v>0</v>
      </c>
      <c r="AW172" s="80">
        <f t="shared" si="216"/>
        <v>6.2584600000000012</v>
      </c>
      <c r="AZ172" t="s">
        <v>149</v>
      </c>
      <c r="BA172">
        <v>3</v>
      </c>
      <c r="BB172" t="s">
        <v>7</v>
      </c>
      <c r="BC172">
        <v>8640</v>
      </c>
      <c r="BD172">
        <v>192</v>
      </c>
      <c r="BE172">
        <v>2</v>
      </c>
      <c r="BF172">
        <v>2</v>
      </c>
      <c r="BG172">
        <v>138.99</v>
      </c>
      <c r="BH172" s="62">
        <v>3.0943000000000001</v>
      </c>
      <c r="BI172" s="16">
        <v>45559</v>
      </c>
      <c r="BJ172" s="18">
        <v>0.92325231481481485</v>
      </c>
      <c r="BK172">
        <v>0</v>
      </c>
      <c r="BL172">
        <v>0</v>
      </c>
      <c r="BM172">
        <v>0</v>
      </c>
      <c r="BN172" s="80">
        <f t="shared" si="217"/>
        <v>3.0827200000000001</v>
      </c>
    </row>
    <row r="173" spans="1:66" x14ac:dyDescent="0.25">
      <c r="A173" t="s">
        <v>111</v>
      </c>
      <c r="B173">
        <v>4</v>
      </c>
      <c r="C173" t="s">
        <v>7</v>
      </c>
      <c r="D173">
        <v>8640</v>
      </c>
      <c r="E173">
        <v>192</v>
      </c>
      <c r="F173">
        <v>2</v>
      </c>
      <c r="G173">
        <v>2</v>
      </c>
      <c r="H173">
        <v>90.43</v>
      </c>
      <c r="I173" s="62">
        <v>4.7558999999999996</v>
      </c>
      <c r="J173" s="16">
        <v>45550</v>
      </c>
      <c r="K173" s="18">
        <v>0.19931712962962964</v>
      </c>
      <c r="L173">
        <v>0</v>
      </c>
      <c r="M173">
        <v>0</v>
      </c>
      <c r="N173">
        <v>0</v>
      </c>
      <c r="O173" s="80">
        <f t="shared" si="182"/>
        <v>4.7614399999999995</v>
      </c>
      <c r="R173" t="s">
        <v>111</v>
      </c>
      <c r="S173">
        <v>4</v>
      </c>
      <c r="T173" t="s">
        <v>7</v>
      </c>
      <c r="U173">
        <v>8640</v>
      </c>
      <c r="V173">
        <v>192</v>
      </c>
      <c r="W173">
        <v>2</v>
      </c>
      <c r="X173">
        <v>2</v>
      </c>
      <c r="Y173">
        <v>90.21</v>
      </c>
      <c r="Z173" s="62">
        <v>4.7678000000000003</v>
      </c>
      <c r="AA173" s="16">
        <v>45559</v>
      </c>
      <c r="AB173" s="18">
        <v>0.84365740740740736</v>
      </c>
      <c r="AC173">
        <v>0</v>
      </c>
      <c r="AD173">
        <v>0</v>
      </c>
      <c r="AE173">
        <v>0</v>
      </c>
      <c r="AF173" s="80">
        <f>AF172</f>
        <v>4.7143200000000007</v>
      </c>
      <c r="AI173" t="s">
        <v>149</v>
      </c>
      <c r="AJ173">
        <v>4</v>
      </c>
      <c r="AK173" t="s">
        <v>7</v>
      </c>
      <c r="AL173">
        <v>8640</v>
      </c>
      <c r="AM173">
        <v>192</v>
      </c>
      <c r="AN173">
        <v>2</v>
      </c>
      <c r="AO173">
        <v>2</v>
      </c>
      <c r="AP173">
        <v>69.08</v>
      </c>
      <c r="AQ173" s="62">
        <v>6.2263000000000002</v>
      </c>
      <c r="AR173" s="16">
        <v>45559</v>
      </c>
      <c r="AS173" s="18">
        <v>0.75620370370370371</v>
      </c>
      <c r="AT173">
        <v>0</v>
      </c>
      <c r="AU173">
        <v>0</v>
      </c>
      <c r="AV173">
        <v>0</v>
      </c>
      <c r="AW173" s="80">
        <f t="shared" si="216"/>
        <v>6.2584600000000012</v>
      </c>
      <c r="AZ173" t="s">
        <v>149</v>
      </c>
      <c r="BA173">
        <v>4</v>
      </c>
      <c r="BB173" t="s">
        <v>7</v>
      </c>
      <c r="BC173">
        <v>8640</v>
      </c>
      <c r="BD173">
        <v>192</v>
      </c>
      <c r="BE173">
        <v>2</v>
      </c>
      <c r="BF173">
        <v>2</v>
      </c>
      <c r="BG173">
        <v>143.29</v>
      </c>
      <c r="BH173" s="62">
        <v>3.0015999999999998</v>
      </c>
      <c r="BI173" s="16">
        <v>45560</v>
      </c>
      <c r="BJ173" s="18">
        <v>1.8981481481481481E-2</v>
      </c>
      <c r="BK173">
        <v>0</v>
      </c>
      <c r="BL173">
        <v>0</v>
      </c>
      <c r="BM173">
        <v>0</v>
      </c>
      <c r="BN173" s="80">
        <f t="shared" si="217"/>
        <v>3.0827200000000001</v>
      </c>
    </row>
    <row r="174" spans="1:66" x14ac:dyDescent="0.25">
      <c r="A174" t="s">
        <v>111</v>
      </c>
      <c r="B174">
        <v>0</v>
      </c>
      <c r="C174" t="s">
        <v>7</v>
      </c>
      <c r="D174">
        <v>9216</v>
      </c>
      <c r="E174">
        <v>192</v>
      </c>
      <c r="F174">
        <v>2</v>
      </c>
      <c r="G174">
        <v>2</v>
      </c>
      <c r="H174">
        <v>111.87</v>
      </c>
      <c r="I174" s="62">
        <v>4.6657000000000002</v>
      </c>
      <c r="J174" s="16">
        <v>45549</v>
      </c>
      <c r="K174" s="18">
        <v>0.93756944444444446</v>
      </c>
      <c r="L174">
        <v>0</v>
      </c>
      <c r="M174">
        <v>0</v>
      </c>
      <c r="N174">
        <v>0</v>
      </c>
      <c r="O174" s="80">
        <f t="shared" ref="O174" si="218">AVERAGE(I174:I178)</f>
        <v>4.6602399999999999</v>
      </c>
      <c r="R174" t="s">
        <v>111</v>
      </c>
      <c r="S174">
        <v>0</v>
      </c>
      <c r="T174" t="s">
        <v>7</v>
      </c>
      <c r="U174">
        <v>9216</v>
      </c>
      <c r="V174">
        <v>192</v>
      </c>
      <c r="W174">
        <v>2</v>
      </c>
      <c r="X174">
        <v>2</v>
      </c>
      <c r="Y174">
        <v>111.53</v>
      </c>
      <c r="Z174" s="62">
        <v>4.68</v>
      </c>
      <c r="AA174" s="16">
        <v>45559</v>
      </c>
      <c r="AB174" s="18">
        <v>0.58178240740740739</v>
      </c>
      <c r="AC174">
        <v>0</v>
      </c>
      <c r="AD174">
        <v>0</v>
      </c>
      <c r="AE174">
        <v>0</v>
      </c>
      <c r="AF174" s="80">
        <f>AF173</f>
        <v>4.7143200000000007</v>
      </c>
      <c r="AI174" t="s">
        <v>149</v>
      </c>
      <c r="AJ174">
        <v>0</v>
      </c>
      <c r="AK174" t="s">
        <v>7</v>
      </c>
      <c r="AL174">
        <v>9216</v>
      </c>
      <c r="AM174">
        <v>192</v>
      </c>
      <c r="AN174">
        <v>2</v>
      </c>
      <c r="AO174">
        <v>2</v>
      </c>
      <c r="AP174">
        <v>82.39</v>
      </c>
      <c r="AQ174" s="62">
        <v>6.3353999999999999</v>
      </c>
      <c r="AR174" s="16">
        <v>45559</v>
      </c>
      <c r="AS174" s="18">
        <v>0.55671296296296291</v>
      </c>
      <c r="AT174">
        <v>0</v>
      </c>
      <c r="AU174">
        <v>0</v>
      </c>
      <c r="AV174">
        <v>0</v>
      </c>
      <c r="AW174" s="80">
        <f t="shared" ref="AW174" si="219">AVERAGE(AQ174:AQ178)</f>
        <v>6.3288200000000003</v>
      </c>
      <c r="AZ174" t="s">
        <v>149</v>
      </c>
      <c r="BA174">
        <v>0</v>
      </c>
      <c r="BB174" t="s">
        <v>7</v>
      </c>
      <c r="BC174">
        <v>9216</v>
      </c>
      <c r="BD174">
        <v>192</v>
      </c>
      <c r="BE174">
        <v>2</v>
      </c>
      <c r="BF174">
        <v>2</v>
      </c>
      <c r="BG174">
        <v>164.87</v>
      </c>
      <c r="BH174" s="62">
        <v>3.1659000000000002</v>
      </c>
      <c r="BI174" s="16">
        <v>45559</v>
      </c>
      <c r="BJ174" s="18">
        <v>0.6677777777777778</v>
      </c>
      <c r="BK174">
        <v>0</v>
      </c>
      <c r="BL174">
        <v>0</v>
      </c>
      <c r="BM174">
        <v>0</v>
      </c>
      <c r="BN174" s="80">
        <f t="shared" ref="BN174" si="220">AVERAGE(BH174:BH178)</f>
        <v>3.2022200000000005</v>
      </c>
    </row>
    <row r="175" spans="1:66" x14ac:dyDescent="0.25">
      <c r="A175" t="s">
        <v>111</v>
      </c>
      <c r="B175">
        <v>1</v>
      </c>
      <c r="C175" t="s">
        <v>7</v>
      </c>
      <c r="D175">
        <v>9216</v>
      </c>
      <c r="E175">
        <v>192</v>
      </c>
      <c r="F175">
        <v>2</v>
      </c>
      <c r="G175">
        <v>2</v>
      </c>
      <c r="H175">
        <v>111.97</v>
      </c>
      <c r="I175" s="62">
        <v>4.6616</v>
      </c>
      <c r="J175" s="16">
        <v>45550</v>
      </c>
      <c r="K175" s="18">
        <v>8.8541666666666664E-3</v>
      </c>
      <c r="L175">
        <v>0</v>
      </c>
      <c r="M175">
        <v>0</v>
      </c>
      <c r="N175">
        <v>0</v>
      </c>
      <c r="O175" s="80">
        <f t="shared" ref="O175" si="221">O174</f>
        <v>4.6602399999999999</v>
      </c>
      <c r="R175" t="s">
        <v>111</v>
      </c>
      <c r="S175">
        <v>1</v>
      </c>
      <c r="T175" t="s">
        <v>7</v>
      </c>
      <c r="U175">
        <v>9216</v>
      </c>
      <c r="V175">
        <v>192</v>
      </c>
      <c r="W175">
        <v>2</v>
      </c>
      <c r="X175">
        <v>2</v>
      </c>
      <c r="Y175">
        <v>111.55</v>
      </c>
      <c r="Z175" s="62">
        <v>4.6794000000000002</v>
      </c>
      <c r="AA175" s="16">
        <v>45559</v>
      </c>
      <c r="AB175" s="18">
        <v>0.65300925925925923</v>
      </c>
      <c r="AC175">
        <v>0</v>
      </c>
      <c r="AD175">
        <v>0</v>
      </c>
      <c r="AE175">
        <v>0</v>
      </c>
      <c r="AF175" s="80">
        <f>AVERAGE(Z175:Z179)</f>
        <v>4.7152599999999998</v>
      </c>
      <c r="AI175" t="s">
        <v>149</v>
      </c>
      <c r="AJ175">
        <v>1</v>
      </c>
      <c r="AK175" t="s">
        <v>7</v>
      </c>
      <c r="AL175">
        <v>9216</v>
      </c>
      <c r="AM175">
        <v>192</v>
      </c>
      <c r="AN175">
        <v>2</v>
      </c>
      <c r="AO175">
        <v>2</v>
      </c>
      <c r="AP175">
        <v>82.15</v>
      </c>
      <c r="AQ175" s="62">
        <v>6.3536000000000001</v>
      </c>
      <c r="AR175" s="16">
        <v>45559</v>
      </c>
      <c r="AS175" s="18">
        <v>0.61086805555555557</v>
      </c>
      <c r="AT175">
        <v>0</v>
      </c>
      <c r="AU175">
        <v>0</v>
      </c>
      <c r="AV175">
        <v>0</v>
      </c>
      <c r="AW175" s="80">
        <f t="shared" ref="AW175:AW178" si="222">AW174</f>
        <v>6.3288200000000003</v>
      </c>
      <c r="AZ175" t="s">
        <v>149</v>
      </c>
      <c r="BA175">
        <v>1</v>
      </c>
      <c r="BB175" t="s">
        <v>7</v>
      </c>
      <c r="BC175">
        <v>9216</v>
      </c>
      <c r="BD175">
        <v>192</v>
      </c>
      <c r="BE175">
        <v>2</v>
      </c>
      <c r="BF175">
        <v>2</v>
      </c>
      <c r="BG175">
        <v>155.36000000000001</v>
      </c>
      <c r="BH175" s="62">
        <v>3.3597999999999999</v>
      </c>
      <c r="BI175" s="16">
        <v>45559</v>
      </c>
      <c r="BJ175" s="18">
        <v>0.7631944444444444</v>
      </c>
      <c r="BK175">
        <v>0</v>
      </c>
      <c r="BL175">
        <v>0</v>
      </c>
      <c r="BM175">
        <v>0</v>
      </c>
      <c r="BN175" s="80">
        <f t="shared" ref="BN175:BN178" si="223">BN174</f>
        <v>3.2022200000000005</v>
      </c>
    </row>
    <row r="176" spans="1:66" x14ac:dyDescent="0.25">
      <c r="A176" t="s">
        <v>111</v>
      </c>
      <c r="B176">
        <v>2</v>
      </c>
      <c r="C176" t="s">
        <v>7</v>
      </c>
      <c r="D176">
        <v>9216</v>
      </c>
      <c r="E176">
        <v>192</v>
      </c>
      <c r="F176">
        <v>2</v>
      </c>
      <c r="G176">
        <v>2</v>
      </c>
      <c r="H176">
        <v>112.27</v>
      </c>
      <c r="I176" s="62">
        <v>4.6492000000000004</v>
      </c>
      <c r="J176" s="16">
        <v>45550</v>
      </c>
      <c r="K176" s="18">
        <v>7.9988425925925921E-2</v>
      </c>
      <c r="L176">
        <v>0</v>
      </c>
      <c r="M176">
        <v>0</v>
      </c>
      <c r="N176">
        <v>0</v>
      </c>
      <c r="O176" s="80">
        <f t="shared" si="182"/>
        <v>4.6602399999999999</v>
      </c>
      <c r="R176" t="s">
        <v>111</v>
      </c>
      <c r="S176">
        <v>2</v>
      </c>
      <c r="T176" t="s">
        <v>7</v>
      </c>
      <c r="U176">
        <v>9216</v>
      </c>
      <c r="V176">
        <v>192</v>
      </c>
      <c r="W176">
        <v>2</v>
      </c>
      <c r="X176">
        <v>2</v>
      </c>
      <c r="Y176">
        <v>111.59</v>
      </c>
      <c r="Z176" s="62">
        <v>4.6775000000000002</v>
      </c>
      <c r="AA176" s="16">
        <v>45559</v>
      </c>
      <c r="AB176" s="18">
        <v>0.72425925925925927</v>
      </c>
      <c r="AC176">
        <v>0</v>
      </c>
      <c r="AD176">
        <v>0</v>
      </c>
      <c r="AE176">
        <v>0</v>
      </c>
      <c r="AF176" s="80">
        <f t="shared" ref="AF176:AF182" si="224">AF175</f>
        <v>4.7152599999999998</v>
      </c>
      <c r="AI176" t="s">
        <v>149</v>
      </c>
      <c r="AJ176">
        <v>2</v>
      </c>
      <c r="AK176" t="s">
        <v>7</v>
      </c>
      <c r="AL176">
        <v>9216</v>
      </c>
      <c r="AM176">
        <v>192</v>
      </c>
      <c r="AN176">
        <v>2</v>
      </c>
      <c r="AO176">
        <v>2</v>
      </c>
      <c r="AP176">
        <v>82.55</v>
      </c>
      <c r="AQ176" s="62">
        <v>6.3228999999999997</v>
      </c>
      <c r="AR176" s="16">
        <v>45559</v>
      </c>
      <c r="AS176" s="18">
        <v>0.66510416666666672</v>
      </c>
      <c r="AT176">
        <v>0</v>
      </c>
      <c r="AU176">
        <v>0</v>
      </c>
      <c r="AV176">
        <v>0</v>
      </c>
      <c r="AW176" s="80">
        <f t="shared" si="222"/>
        <v>6.3288200000000003</v>
      </c>
      <c r="AZ176" t="s">
        <v>149</v>
      </c>
      <c r="BA176">
        <v>2</v>
      </c>
      <c r="BB176" t="s">
        <v>7</v>
      </c>
      <c r="BC176">
        <v>9216</v>
      </c>
      <c r="BD176">
        <v>192</v>
      </c>
      <c r="BE176">
        <v>2</v>
      </c>
      <c r="BF176">
        <v>2</v>
      </c>
      <c r="BG176">
        <v>164.71</v>
      </c>
      <c r="BH176" s="62">
        <v>3.169</v>
      </c>
      <c r="BI176" s="16">
        <v>45559</v>
      </c>
      <c r="BJ176" s="18">
        <v>0.85855324074074069</v>
      </c>
      <c r="BK176">
        <v>0</v>
      </c>
      <c r="BL176">
        <v>0</v>
      </c>
      <c r="BM176">
        <v>0</v>
      </c>
      <c r="BN176" s="80">
        <f t="shared" si="223"/>
        <v>3.2022200000000005</v>
      </c>
    </row>
    <row r="177" spans="1:66" x14ac:dyDescent="0.25">
      <c r="A177" t="s">
        <v>111</v>
      </c>
      <c r="B177">
        <v>3</v>
      </c>
      <c r="C177" t="s">
        <v>7</v>
      </c>
      <c r="D177">
        <v>9216</v>
      </c>
      <c r="E177">
        <v>192</v>
      </c>
      <c r="F177">
        <v>2</v>
      </c>
      <c r="G177">
        <v>2</v>
      </c>
      <c r="H177">
        <v>112.06</v>
      </c>
      <c r="I177" s="62">
        <v>4.6578999999999997</v>
      </c>
      <c r="J177" s="16">
        <v>45550</v>
      </c>
      <c r="K177" s="18">
        <v>0.15114583333333334</v>
      </c>
      <c r="L177">
        <v>0</v>
      </c>
      <c r="M177">
        <v>0</v>
      </c>
      <c r="N177">
        <v>0</v>
      </c>
      <c r="O177" s="80">
        <f t="shared" si="182"/>
        <v>4.6602399999999999</v>
      </c>
      <c r="R177" t="s">
        <v>111</v>
      </c>
      <c r="S177">
        <v>3</v>
      </c>
      <c r="T177" t="s">
        <v>7</v>
      </c>
      <c r="U177">
        <v>9216</v>
      </c>
      <c r="V177">
        <v>192</v>
      </c>
      <c r="W177">
        <v>2</v>
      </c>
      <c r="X177">
        <v>2</v>
      </c>
      <c r="Y177">
        <v>111.5</v>
      </c>
      <c r="Z177" s="62">
        <v>4.6814</v>
      </c>
      <c r="AA177" s="16">
        <v>45559</v>
      </c>
      <c r="AB177" s="18">
        <v>0.7956481481481481</v>
      </c>
      <c r="AC177">
        <v>0</v>
      </c>
      <c r="AD177">
        <v>0</v>
      </c>
      <c r="AE177">
        <v>0</v>
      </c>
      <c r="AF177" s="80">
        <f t="shared" si="224"/>
        <v>4.7152599999999998</v>
      </c>
      <c r="AI177" t="s">
        <v>149</v>
      </c>
      <c r="AJ177">
        <v>3</v>
      </c>
      <c r="AK177" t="s">
        <v>7</v>
      </c>
      <c r="AL177">
        <v>9216</v>
      </c>
      <c r="AM177">
        <v>192</v>
      </c>
      <c r="AN177">
        <v>2</v>
      </c>
      <c r="AO177">
        <v>2</v>
      </c>
      <c r="AP177">
        <v>82.93</v>
      </c>
      <c r="AQ177" s="62">
        <v>6.2938999999999998</v>
      </c>
      <c r="AR177" s="16">
        <v>45559</v>
      </c>
      <c r="AS177" s="18">
        <v>0.71925925925925926</v>
      </c>
      <c r="AT177">
        <v>0</v>
      </c>
      <c r="AU177">
        <v>0</v>
      </c>
      <c r="AV177">
        <v>0</v>
      </c>
      <c r="AW177" s="80">
        <f t="shared" si="222"/>
        <v>6.3288200000000003</v>
      </c>
      <c r="AZ177" t="s">
        <v>149</v>
      </c>
      <c r="BA177">
        <v>3</v>
      </c>
      <c r="BB177" t="s">
        <v>7</v>
      </c>
      <c r="BC177">
        <v>9216</v>
      </c>
      <c r="BD177">
        <v>192</v>
      </c>
      <c r="BE177">
        <v>2</v>
      </c>
      <c r="BF177">
        <v>2</v>
      </c>
      <c r="BG177">
        <v>161.91</v>
      </c>
      <c r="BH177" s="62">
        <v>3.2238000000000002</v>
      </c>
      <c r="BI177" s="16">
        <v>45559</v>
      </c>
      <c r="BJ177" s="18">
        <v>0.95394675925925931</v>
      </c>
      <c r="BK177">
        <v>0</v>
      </c>
      <c r="BL177">
        <v>0</v>
      </c>
      <c r="BM177">
        <v>0</v>
      </c>
      <c r="BN177" s="80">
        <f t="shared" si="223"/>
        <v>3.2022200000000005</v>
      </c>
    </row>
    <row r="178" spans="1:66" x14ac:dyDescent="0.25">
      <c r="A178" t="s">
        <v>111</v>
      </c>
      <c r="B178">
        <v>4</v>
      </c>
      <c r="C178" t="s">
        <v>7</v>
      </c>
      <c r="D178">
        <v>9216</v>
      </c>
      <c r="E178">
        <v>192</v>
      </c>
      <c r="F178">
        <v>2</v>
      </c>
      <c r="G178">
        <v>2</v>
      </c>
      <c r="H178">
        <v>111.85</v>
      </c>
      <c r="I178" s="62">
        <v>4.6668000000000003</v>
      </c>
      <c r="J178" s="16">
        <v>45550</v>
      </c>
      <c r="K178" s="18">
        <v>0.22233796296296296</v>
      </c>
      <c r="L178">
        <v>0</v>
      </c>
      <c r="M178">
        <v>0</v>
      </c>
      <c r="N178">
        <v>0</v>
      </c>
      <c r="O178" s="80">
        <f t="shared" si="182"/>
        <v>4.6602399999999999</v>
      </c>
      <c r="R178" t="s">
        <v>111</v>
      </c>
      <c r="S178">
        <v>4</v>
      </c>
      <c r="T178" t="s">
        <v>7</v>
      </c>
      <c r="U178">
        <v>9216</v>
      </c>
      <c r="V178">
        <v>192</v>
      </c>
      <c r="W178">
        <v>2</v>
      </c>
      <c r="X178">
        <v>2</v>
      </c>
      <c r="Y178">
        <v>111.58</v>
      </c>
      <c r="Z178" s="62">
        <v>4.6778000000000004</v>
      </c>
      <c r="AA178" s="16">
        <v>45559</v>
      </c>
      <c r="AB178" s="18">
        <v>0.86660879629629628</v>
      </c>
      <c r="AC178">
        <v>0</v>
      </c>
      <c r="AD178">
        <v>0</v>
      </c>
      <c r="AE178">
        <v>0</v>
      </c>
      <c r="AF178" s="80">
        <f t="shared" si="224"/>
        <v>4.7152599999999998</v>
      </c>
      <c r="AI178" t="s">
        <v>149</v>
      </c>
      <c r="AJ178">
        <v>4</v>
      </c>
      <c r="AK178" t="s">
        <v>7</v>
      </c>
      <c r="AL178">
        <v>9216</v>
      </c>
      <c r="AM178">
        <v>192</v>
      </c>
      <c r="AN178">
        <v>2</v>
      </c>
      <c r="AO178">
        <v>2</v>
      </c>
      <c r="AP178">
        <v>82.35</v>
      </c>
      <c r="AQ178" s="62">
        <v>6.3383000000000003</v>
      </c>
      <c r="AR178" s="16">
        <v>45559</v>
      </c>
      <c r="AS178" s="18">
        <v>0.77357638888888891</v>
      </c>
      <c r="AT178">
        <v>0</v>
      </c>
      <c r="AU178">
        <v>0</v>
      </c>
      <c r="AV178">
        <v>0</v>
      </c>
      <c r="AW178" s="80">
        <f t="shared" si="222"/>
        <v>6.3288200000000003</v>
      </c>
      <c r="AZ178" t="s">
        <v>149</v>
      </c>
      <c r="BA178">
        <v>4</v>
      </c>
      <c r="BB178" t="s">
        <v>7</v>
      </c>
      <c r="BC178">
        <v>9216</v>
      </c>
      <c r="BD178">
        <v>192</v>
      </c>
      <c r="BE178">
        <v>2</v>
      </c>
      <c r="BF178">
        <v>2</v>
      </c>
      <c r="BG178">
        <v>168.78</v>
      </c>
      <c r="BH178" s="62">
        <v>3.0926</v>
      </c>
      <c r="BI178" s="16">
        <v>45560</v>
      </c>
      <c r="BJ178" s="18">
        <v>4.9861111111111113E-2</v>
      </c>
      <c r="BK178">
        <v>0</v>
      </c>
      <c r="BL178">
        <v>0</v>
      </c>
      <c r="BM178">
        <v>0</v>
      </c>
      <c r="BN178" s="80">
        <f t="shared" si="223"/>
        <v>3.2022200000000005</v>
      </c>
    </row>
    <row r="179" spans="1:66" x14ac:dyDescent="0.25">
      <c r="A179" t="s">
        <v>111</v>
      </c>
      <c r="B179">
        <v>0</v>
      </c>
      <c r="C179" t="s">
        <v>7</v>
      </c>
      <c r="D179">
        <v>9792</v>
      </c>
      <c r="E179">
        <v>192</v>
      </c>
      <c r="F179">
        <v>2</v>
      </c>
      <c r="G179">
        <v>2</v>
      </c>
      <c r="H179">
        <v>129.08000000000001</v>
      </c>
      <c r="I179" s="62">
        <v>4.8502000000000001</v>
      </c>
      <c r="J179" s="16">
        <v>45549</v>
      </c>
      <c r="K179" s="18">
        <v>0.96408564814814812</v>
      </c>
      <c r="L179">
        <v>0</v>
      </c>
      <c r="M179">
        <v>0</v>
      </c>
      <c r="N179">
        <v>0</v>
      </c>
      <c r="O179" s="80">
        <f t="shared" ref="O179" si="225">AVERAGE(I179:I183)</f>
        <v>4.8442000000000007</v>
      </c>
      <c r="R179" t="s">
        <v>111</v>
      </c>
      <c r="S179">
        <v>0</v>
      </c>
      <c r="T179" t="s">
        <v>7</v>
      </c>
      <c r="U179">
        <v>9792</v>
      </c>
      <c r="V179">
        <v>192</v>
      </c>
      <c r="W179">
        <v>2</v>
      </c>
      <c r="X179">
        <v>2</v>
      </c>
      <c r="Y179">
        <v>128.82</v>
      </c>
      <c r="Z179" s="62">
        <v>4.8601999999999999</v>
      </c>
      <c r="AA179" s="16">
        <v>45559</v>
      </c>
      <c r="AB179" s="18">
        <v>0.60826388888888894</v>
      </c>
      <c r="AC179">
        <v>0</v>
      </c>
      <c r="AD179">
        <v>0</v>
      </c>
      <c r="AE179">
        <v>0</v>
      </c>
      <c r="AF179" s="80">
        <f t="shared" si="224"/>
        <v>4.7152599999999998</v>
      </c>
      <c r="AI179" t="s">
        <v>149</v>
      </c>
      <c r="AJ179">
        <v>0</v>
      </c>
      <c r="AK179" t="s">
        <v>7</v>
      </c>
      <c r="AL179">
        <v>9792</v>
      </c>
      <c r="AM179">
        <v>192</v>
      </c>
      <c r="AN179">
        <v>2</v>
      </c>
      <c r="AO179">
        <v>2</v>
      </c>
      <c r="AP179">
        <v>97.44</v>
      </c>
      <c r="AQ179" s="62">
        <v>6.4250999999999996</v>
      </c>
      <c r="AR179" s="16">
        <v>45559</v>
      </c>
      <c r="AS179" s="18">
        <v>0.5768402777777778</v>
      </c>
      <c r="AT179">
        <v>0</v>
      </c>
      <c r="AU179">
        <v>0</v>
      </c>
      <c r="AV179">
        <v>0</v>
      </c>
      <c r="AW179" s="80">
        <f t="shared" ref="AW179" si="226">AVERAGE(AQ179:AQ183)</f>
        <v>6.4006400000000001</v>
      </c>
      <c r="AZ179" t="s">
        <v>149</v>
      </c>
      <c r="BA179">
        <v>0</v>
      </c>
      <c r="BB179" t="s">
        <v>7</v>
      </c>
      <c r="BC179">
        <v>9792</v>
      </c>
      <c r="BD179">
        <v>192</v>
      </c>
      <c r="BE179">
        <v>2</v>
      </c>
      <c r="BF179">
        <v>2</v>
      </c>
      <c r="BG179">
        <v>188.11</v>
      </c>
      <c r="BH179" s="62">
        <v>3.3283</v>
      </c>
      <c r="BI179" s="16">
        <v>45559</v>
      </c>
      <c r="BJ179" s="18">
        <v>0.70229166666666665</v>
      </c>
      <c r="BK179">
        <v>0</v>
      </c>
      <c r="BL179">
        <v>0</v>
      </c>
      <c r="BM179">
        <v>0</v>
      </c>
      <c r="BN179" s="80">
        <f t="shared" ref="BN179" si="227">AVERAGE(BH179:BH183)</f>
        <v>3.3434799999999996</v>
      </c>
    </row>
    <row r="180" spans="1:66" x14ac:dyDescent="0.25">
      <c r="A180" t="s">
        <v>111</v>
      </c>
      <c r="B180">
        <v>1</v>
      </c>
      <c r="C180" t="s">
        <v>7</v>
      </c>
      <c r="D180">
        <v>9792</v>
      </c>
      <c r="E180">
        <v>192</v>
      </c>
      <c r="F180">
        <v>2</v>
      </c>
      <c r="G180">
        <v>2</v>
      </c>
      <c r="H180">
        <v>129.56</v>
      </c>
      <c r="I180" s="62">
        <v>4.8322000000000003</v>
      </c>
      <c r="J180" s="16">
        <v>45550</v>
      </c>
      <c r="K180" s="18">
        <v>3.5347222222222224E-2</v>
      </c>
      <c r="L180">
        <v>0</v>
      </c>
      <c r="M180">
        <v>0</v>
      </c>
      <c r="N180">
        <v>0</v>
      </c>
      <c r="O180" s="80">
        <f t="shared" ref="O180" si="228">O179</f>
        <v>4.8442000000000007</v>
      </c>
      <c r="R180" t="s">
        <v>111</v>
      </c>
      <c r="S180">
        <v>1</v>
      </c>
      <c r="T180" t="s">
        <v>7</v>
      </c>
      <c r="U180">
        <v>9792</v>
      </c>
      <c r="V180">
        <v>192</v>
      </c>
      <c r="W180">
        <v>2</v>
      </c>
      <c r="X180">
        <v>2</v>
      </c>
      <c r="Y180">
        <v>130.84</v>
      </c>
      <c r="Z180" s="62">
        <v>4.7850999999999999</v>
      </c>
      <c r="AA180" s="16">
        <v>45559</v>
      </c>
      <c r="AB180" s="18">
        <v>0.67952546296296301</v>
      </c>
      <c r="AC180">
        <v>0</v>
      </c>
      <c r="AD180">
        <v>0</v>
      </c>
      <c r="AE180">
        <v>0</v>
      </c>
      <c r="AF180" s="80">
        <f t="shared" si="224"/>
        <v>4.7152599999999998</v>
      </c>
      <c r="AI180" t="s">
        <v>149</v>
      </c>
      <c r="AJ180">
        <v>1</v>
      </c>
      <c r="AK180" t="s">
        <v>7</v>
      </c>
      <c r="AL180">
        <v>9792</v>
      </c>
      <c r="AM180">
        <v>192</v>
      </c>
      <c r="AN180">
        <v>2</v>
      </c>
      <c r="AO180">
        <v>2</v>
      </c>
      <c r="AP180">
        <v>97.41</v>
      </c>
      <c r="AQ180" s="62">
        <v>6.4269999999999996</v>
      </c>
      <c r="AR180" s="16">
        <v>45559</v>
      </c>
      <c r="AS180" s="18">
        <v>0.63105324074074076</v>
      </c>
      <c r="AT180">
        <v>0</v>
      </c>
      <c r="AU180">
        <v>0</v>
      </c>
      <c r="AV180">
        <v>0</v>
      </c>
      <c r="AW180" s="80">
        <f t="shared" ref="AW180:AW183" si="229">AW179</f>
        <v>6.4006400000000001</v>
      </c>
      <c r="AZ180" t="s">
        <v>149</v>
      </c>
      <c r="BA180">
        <v>1</v>
      </c>
      <c r="BB180" t="s">
        <v>7</v>
      </c>
      <c r="BC180">
        <v>9792</v>
      </c>
      <c r="BD180">
        <v>192</v>
      </c>
      <c r="BE180">
        <v>2</v>
      </c>
      <c r="BF180">
        <v>2</v>
      </c>
      <c r="BG180">
        <v>187.21</v>
      </c>
      <c r="BH180" s="62">
        <v>3.3441999999999998</v>
      </c>
      <c r="BI180" s="16">
        <v>45559</v>
      </c>
      <c r="BJ180" s="18">
        <v>0.79780092592592589</v>
      </c>
      <c r="BK180">
        <v>0</v>
      </c>
      <c r="BL180">
        <v>0</v>
      </c>
      <c r="BM180">
        <v>0</v>
      </c>
      <c r="BN180" s="80">
        <f t="shared" ref="BN180:BN183" si="230">BN179</f>
        <v>3.3434799999999996</v>
      </c>
    </row>
    <row r="181" spans="1:66" x14ac:dyDescent="0.25">
      <c r="A181" t="s">
        <v>111</v>
      </c>
      <c r="B181">
        <v>2</v>
      </c>
      <c r="C181" t="s">
        <v>7</v>
      </c>
      <c r="D181">
        <v>9792</v>
      </c>
      <c r="E181">
        <v>192</v>
      </c>
      <c r="F181">
        <v>2</v>
      </c>
      <c r="G181">
        <v>2</v>
      </c>
      <c r="H181">
        <v>128.91999999999999</v>
      </c>
      <c r="I181" s="62">
        <v>4.8563999999999998</v>
      </c>
      <c r="J181" s="16">
        <v>45550</v>
      </c>
      <c r="K181" s="18">
        <v>0.10642361111111111</v>
      </c>
      <c r="L181">
        <v>0</v>
      </c>
      <c r="M181">
        <v>0</v>
      </c>
      <c r="N181">
        <v>0</v>
      </c>
      <c r="O181" s="80">
        <f t="shared" si="182"/>
        <v>4.8442000000000007</v>
      </c>
      <c r="R181" t="s">
        <v>111</v>
      </c>
      <c r="S181">
        <v>2</v>
      </c>
      <c r="T181" t="s">
        <v>7</v>
      </c>
      <c r="U181">
        <v>9792</v>
      </c>
      <c r="V181">
        <v>192</v>
      </c>
      <c r="W181">
        <v>2</v>
      </c>
      <c r="X181">
        <v>2</v>
      </c>
      <c r="Y181">
        <v>129.11000000000001</v>
      </c>
      <c r="Z181" s="62">
        <v>4.8491</v>
      </c>
      <c r="AA181" s="16">
        <v>45559</v>
      </c>
      <c r="AB181" s="18">
        <v>0.75077546296296294</v>
      </c>
      <c r="AC181">
        <v>0</v>
      </c>
      <c r="AD181">
        <v>0</v>
      </c>
      <c r="AE181">
        <v>0</v>
      </c>
      <c r="AF181" s="80">
        <f t="shared" si="224"/>
        <v>4.7152599999999998</v>
      </c>
      <c r="AI181" t="s">
        <v>149</v>
      </c>
      <c r="AJ181">
        <v>2</v>
      </c>
      <c r="AK181" t="s">
        <v>7</v>
      </c>
      <c r="AL181">
        <v>9792</v>
      </c>
      <c r="AM181">
        <v>192</v>
      </c>
      <c r="AN181">
        <v>2</v>
      </c>
      <c r="AO181">
        <v>2</v>
      </c>
      <c r="AP181">
        <v>97.62</v>
      </c>
      <c r="AQ181" s="62">
        <v>6.4135999999999997</v>
      </c>
      <c r="AR181" s="16">
        <v>45559</v>
      </c>
      <c r="AS181" s="18">
        <v>0.68526620370370372</v>
      </c>
      <c r="AT181">
        <v>0</v>
      </c>
      <c r="AU181">
        <v>0</v>
      </c>
      <c r="AV181">
        <v>0</v>
      </c>
      <c r="AW181" s="80">
        <f t="shared" si="229"/>
        <v>6.4006400000000001</v>
      </c>
      <c r="AZ181" t="s">
        <v>149</v>
      </c>
      <c r="BA181">
        <v>2</v>
      </c>
      <c r="BB181" t="s">
        <v>7</v>
      </c>
      <c r="BC181">
        <v>9792</v>
      </c>
      <c r="BD181">
        <v>192</v>
      </c>
      <c r="BE181">
        <v>2</v>
      </c>
      <c r="BF181">
        <v>2</v>
      </c>
      <c r="BG181">
        <v>184.95</v>
      </c>
      <c r="BH181" s="62">
        <v>3.3849999999999998</v>
      </c>
      <c r="BI181" s="16">
        <v>45559</v>
      </c>
      <c r="BJ181" s="18">
        <v>0.89348379629629626</v>
      </c>
      <c r="BK181">
        <v>0</v>
      </c>
      <c r="BL181">
        <v>0</v>
      </c>
      <c r="BM181">
        <v>0</v>
      </c>
      <c r="BN181" s="80">
        <f t="shared" si="230"/>
        <v>3.3434799999999996</v>
      </c>
    </row>
    <row r="182" spans="1:66" x14ac:dyDescent="0.25">
      <c r="A182" t="s">
        <v>111</v>
      </c>
      <c r="B182">
        <v>3</v>
      </c>
      <c r="C182" t="s">
        <v>7</v>
      </c>
      <c r="D182">
        <v>9792</v>
      </c>
      <c r="E182">
        <v>192</v>
      </c>
      <c r="F182">
        <v>2</v>
      </c>
      <c r="G182">
        <v>2</v>
      </c>
      <c r="H182">
        <v>129.62</v>
      </c>
      <c r="I182" s="62">
        <v>4.8300999999999998</v>
      </c>
      <c r="J182" s="16">
        <v>45550</v>
      </c>
      <c r="K182" s="18">
        <v>0.17762731481481481</v>
      </c>
      <c r="L182">
        <v>0</v>
      </c>
      <c r="M182">
        <v>0</v>
      </c>
      <c r="N182">
        <v>0</v>
      </c>
      <c r="O182" s="80">
        <f t="shared" si="182"/>
        <v>4.8442000000000007</v>
      </c>
      <c r="R182" t="s">
        <v>111</v>
      </c>
      <c r="S182">
        <v>3</v>
      </c>
      <c r="T182" t="s">
        <v>7</v>
      </c>
      <c r="U182">
        <v>9792</v>
      </c>
      <c r="V182">
        <v>192</v>
      </c>
      <c r="W182">
        <v>2</v>
      </c>
      <c r="X182">
        <v>2</v>
      </c>
      <c r="Y182">
        <v>129.1</v>
      </c>
      <c r="Z182" s="62">
        <v>4.8494999999999999</v>
      </c>
      <c r="AA182" s="16">
        <v>45559</v>
      </c>
      <c r="AB182" s="18">
        <v>0.8220601851851852</v>
      </c>
      <c r="AC182">
        <v>0</v>
      </c>
      <c r="AD182">
        <v>0</v>
      </c>
      <c r="AE182">
        <v>0</v>
      </c>
      <c r="AF182" s="80">
        <f t="shared" si="224"/>
        <v>4.7152599999999998</v>
      </c>
      <c r="AI182" t="s">
        <v>149</v>
      </c>
      <c r="AJ182">
        <v>3</v>
      </c>
      <c r="AK182" t="s">
        <v>7</v>
      </c>
      <c r="AL182">
        <v>9792</v>
      </c>
      <c r="AM182">
        <v>192</v>
      </c>
      <c r="AN182">
        <v>2</v>
      </c>
      <c r="AO182">
        <v>2</v>
      </c>
      <c r="AP182">
        <v>97.33</v>
      </c>
      <c r="AQ182" s="62">
        <v>6.4321999999999999</v>
      </c>
      <c r="AR182" s="16">
        <v>45559</v>
      </c>
      <c r="AS182" s="18">
        <v>0.73942129629629627</v>
      </c>
      <c r="AT182">
        <v>0</v>
      </c>
      <c r="AU182">
        <v>0</v>
      </c>
      <c r="AV182">
        <v>0</v>
      </c>
      <c r="AW182" s="80">
        <f t="shared" si="229"/>
        <v>6.4006400000000001</v>
      </c>
      <c r="AZ182" t="s">
        <v>149</v>
      </c>
      <c r="BA182">
        <v>3</v>
      </c>
      <c r="BB182" t="s">
        <v>7</v>
      </c>
      <c r="BC182">
        <v>9792</v>
      </c>
      <c r="BD182">
        <v>192</v>
      </c>
      <c r="BE182">
        <v>2</v>
      </c>
      <c r="BF182">
        <v>2</v>
      </c>
      <c r="BG182">
        <v>186.22</v>
      </c>
      <c r="BH182" s="62">
        <v>3.3620000000000001</v>
      </c>
      <c r="BI182" s="16">
        <v>45559</v>
      </c>
      <c r="BJ182" s="18">
        <v>0.98880787037037032</v>
      </c>
      <c r="BK182">
        <v>0</v>
      </c>
      <c r="BL182">
        <v>0</v>
      </c>
      <c r="BM182">
        <v>0</v>
      </c>
      <c r="BN182" s="80">
        <f t="shared" si="230"/>
        <v>3.3434799999999996</v>
      </c>
    </row>
    <row r="183" spans="1:66" x14ac:dyDescent="0.25">
      <c r="A183" t="s">
        <v>111</v>
      </c>
      <c r="B183">
        <v>4</v>
      </c>
      <c r="C183" t="s">
        <v>7</v>
      </c>
      <c r="D183">
        <v>9792</v>
      </c>
      <c r="E183">
        <v>192</v>
      </c>
      <c r="F183">
        <v>2</v>
      </c>
      <c r="G183">
        <v>2</v>
      </c>
      <c r="H183">
        <v>129.03</v>
      </c>
      <c r="I183" s="62">
        <v>4.8521000000000001</v>
      </c>
      <c r="J183" s="16">
        <v>45550</v>
      </c>
      <c r="K183" s="18">
        <v>0.24881944444444445</v>
      </c>
      <c r="L183">
        <v>0</v>
      </c>
      <c r="M183">
        <v>0</v>
      </c>
      <c r="N183">
        <v>0</v>
      </c>
      <c r="O183" s="80">
        <f t="shared" si="182"/>
        <v>4.8442000000000007</v>
      </c>
      <c r="R183" t="s">
        <v>111</v>
      </c>
      <c r="S183">
        <v>4</v>
      </c>
      <c r="T183" t="s">
        <v>7</v>
      </c>
      <c r="U183">
        <v>9792</v>
      </c>
      <c r="V183">
        <v>192</v>
      </c>
      <c r="W183">
        <v>2</v>
      </c>
      <c r="X183">
        <v>2</v>
      </c>
      <c r="Y183">
        <v>128.94</v>
      </c>
      <c r="Z183" s="62">
        <v>4.8554000000000004</v>
      </c>
      <c r="AA183" s="16">
        <v>45559</v>
      </c>
      <c r="AB183" s="18">
        <v>0.89299768518518519</v>
      </c>
      <c r="AC183">
        <v>0</v>
      </c>
      <c r="AD183">
        <v>0</v>
      </c>
      <c r="AE183">
        <v>0</v>
      </c>
      <c r="AF183" s="80">
        <f>AVERAGE(Z183:Z187)</f>
        <v>4.8275200000000007</v>
      </c>
      <c r="AI183" t="s">
        <v>149</v>
      </c>
      <c r="AJ183">
        <v>4</v>
      </c>
      <c r="AK183" t="s">
        <v>7</v>
      </c>
      <c r="AL183">
        <v>9792</v>
      </c>
      <c r="AM183">
        <v>192</v>
      </c>
      <c r="AN183">
        <v>2</v>
      </c>
      <c r="AO183">
        <v>2</v>
      </c>
      <c r="AP183">
        <v>99.29</v>
      </c>
      <c r="AQ183" s="62">
        <v>6.3052999999999999</v>
      </c>
      <c r="AR183" s="16">
        <v>45559</v>
      </c>
      <c r="AS183" s="18">
        <v>0.79386574074074079</v>
      </c>
      <c r="AT183">
        <v>0</v>
      </c>
      <c r="AU183">
        <v>0</v>
      </c>
      <c r="AV183">
        <v>0</v>
      </c>
      <c r="AW183" s="80">
        <f t="shared" si="229"/>
        <v>6.4006400000000001</v>
      </c>
      <c r="AZ183" t="s">
        <v>149</v>
      </c>
      <c r="BA183">
        <v>4</v>
      </c>
      <c r="BB183" t="s">
        <v>7</v>
      </c>
      <c r="BC183">
        <v>9792</v>
      </c>
      <c r="BD183">
        <v>192</v>
      </c>
      <c r="BE183">
        <v>2</v>
      </c>
      <c r="BF183">
        <v>2</v>
      </c>
      <c r="BG183">
        <v>189.84</v>
      </c>
      <c r="BH183" s="62">
        <v>3.2978999999999998</v>
      </c>
      <c r="BI183" s="16">
        <v>45560</v>
      </c>
      <c r="BJ183" s="18">
        <v>8.475694444444444E-2</v>
      </c>
      <c r="BK183">
        <v>0</v>
      </c>
      <c r="BL183">
        <v>0</v>
      </c>
      <c r="BM183">
        <v>0</v>
      </c>
      <c r="BN183" s="80">
        <f t="shared" si="230"/>
        <v>3.3434799999999996</v>
      </c>
    </row>
    <row r="184" spans="1:66" x14ac:dyDescent="0.25">
      <c r="A184" t="s">
        <v>111</v>
      </c>
      <c r="B184">
        <v>0</v>
      </c>
      <c r="C184" t="s">
        <v>7</v>
      </c>
      <c r="D184">
        <v>8736</v>
      </c>
      <c r="E184">
        <v>224</v>
      </c>
      <c r="F184">
        <v>1</v>
      </c>
      <c r="G184">
        <v>4</v>
      </c>
      <c r="H184">
        <v>92.34</v>
      </c>
      <c r="I184" s="62">
        <v>4.8147000000000002</v>
      </c>
      <c r="J184" s="16">
        <v>45549</v>
      </c>
      <c r="K184" s="18">
        <v>0.91574074074074074</v>
      </c>
      <c r="L184">
        <v>0</v>
      </c>
      <c r="M184">
        <v>0</v>
      </c>
      <c r="N184">
        <v>0</v>
      </c>
      <c r="O184" s="80">
        <f t="shared" ref="O184" si="231">AVERAGE(I184:I188)</f>
        <v>4.8106400000000002</v>
      </c>
      <c r="R184" t="s">
        <v>111</v>
      </c>
      <c r="S184">
        <v>0</v>
      </c>
      <c r="T184" t="s">
        <v>7</v>
      </c>
      <c r="U184">
        <v>8736</v>
      </c>
      <c r="V184">
        <v>224</v>
      </c>
      <c r="W184">
        <v>1</v>
      </c>
      <c r="X184">
        <v>4</v>
      </c>
      <c r="Y184">
        <v>92.23</v>
      </c>
      <c r="Z184" s="62">
        <v>4.8205999999999998</v>
      </c>
      <c r="AA184" s="16">
        <v>45559</v>
      </c>
      <c r="AB184" s="18">
        <v>0.55989583333333337</v>
      </c>
      <c r="AC184">
        <v>0</v>
      </c>
      <c r="AD184">
        <v>0</v>
      </c>
      <c r="AE184">
        <v>0</v>
      </c>
      <c r="AF184" s="80">
        <f>AF183</f>
        <v>4.8275200000000007</v>
      </c>
      <c r="AI184" t="s">
        <v>149</v>
      </c>
      <c r="AJ184">
        <v>0</v>
      </c>
      <c r="AK184" t="s">
        <v>7</v>
      </c>
      <c r="AL184">
        <v>8736</v>
      </c>
      <c r="AM184">
        <v>224</v>
      </c>
      <c r="AN184">
        <v>1</v>
      </c>
      <c r="AO184">
        <v>4</v>
      </c>
      <c r="AP184">
        <v>70.58</v>
      </c>
      <c r="AQ184" s="62">
        <v>6.2992999999999997</v>
      </c>
      <c r="AR184" s="16">
        <v>45559</v>
      </c>
      <c r="AS184" s="18">
        <v>0.54032407407407412</v>
      </c>
      <c r="AT184">
        <v>0</v>
      </c>
      <c r="AU184">
        <v>0</v>
      </c>
      <c r="AV184">
        <v>0</v>
      </c>
      <c r="AW184" s="80">
        <f t="shared" ref="AW184" si="232">AVERAGE(AQ184:AQ188)</f>
        <v>6.3003799999999996</v>
      </c>
      <c r="AZ184" t="s">
        <v>149</v>
      </c>
      <c r="BA184">
        <v>0</v>
      </c>
      <c r="BB184" t="s">
        <v>7</v>
      </c>
      <c r="BC184">
        <v>8736</v>
      </c>
      <c r="BD184">
        <v>224</v>
      </c>
      <c r="BE184">
        <v>1</v>
      </c>
      <c r="BF184">
        <v>4</v>
      </c>
      <c r="BG184">
        <v>118.73</v>
      </c>
      <c r="BH184" s="62">
        <v>3.7444000000000002</v>
      </c>
      <c r="BI184" s="16">
        <v>45559</v>
      </c>
      <c r="BJ184" s="18">
        <v>0.6383564814814815</v>
      </c>
      <c r="BK184">
        <v>0</v>
      </c>
      <c r="BL184">
        <v>0</v>
      </c>
      <c r="BM184">
        <v>0</v>
      </c>
      <c r="BN184" s="80">
        <f t="shared" ref="BN184" si="233">AVERAGE(BH184:BH188)</f>
        <v>3.6758600000000001</v>
      </c>
    </row>
    <row r="185" spans="1:66" x14ac:dyDescent="0.25">
      <c r="A185" t="s">
        <v>111</v>
      </c>
      <c r="B185">
        <v>1</v>
      </c>
      <c r="C185" t="s">
        <v>7</v>
      </c>
      <c r="D185">
        <v>8736</v>
      </c>
      <c r="E185">
        <v>224</v>
      </c>
      <c r="F185">
        <v>1</v>
      </c>
      <c r="G185">
        <v>4</v>
      </c>
      <c r="H185">
        <v>92.42</v>
      </c>
      <c r="I185" s="62">
        <v>4.8105000000000002</v>
      </c>
      <c r="J185" s="16">
        <v>45549</v>
      </c>
      <c r="K185" s="18">
        <v>0.98701388888888886</v>
      </c>
      <c r="L185">
        <v>0</v>
      </c>
      <c r="M185">
        <v>0</v>
      </c>
      <c r="N185">
        <v>0</v>
      </c>
      <c r="O185" s="80">
        <f t="shared" ref="O185" si="234">O184</f>
        <v>4.8106400000000002</v>
      </c>
      <c r="R185" t="s">
        <v>111</v>
      </c>
      <c r="S185">
        <v>1</v>
      </c>
      <c r="T185" t="s">
        <v>7</v>
      </c>
      <c r="U185">
        <v>8736</v>
      </c>
      <c r="V185">
        <v>224</v>
      </c>
      <c r="W185">
        <v>1</v>
      </c>
      <c r="X185">
        <v>4</v>
      </c>
      <c r="Y185">
        <v>92.23</v>
      </c>
      <c r="Z185" s="62">
        <v>4.8205999999999998</v>
      </c>
      <c r="AA185" s="16">
        <v>45559</v>
      </c>
      <c r="AB185" s="18">
        <v>0.63114583333333329</v>
      </c>
      <c r="AC185">
        <v>0</v>
      </c>
      <c r="AD185">
        <v>0</v>
      </c>
      <c r="AE185">
        <v>0</v>
      </c>
      <c r="AF185" s="80">
        <f>AVERAGE(Z185:Z189)</f>
        <v>4.8334200000000003</v>
      </c>
      <c r="AI185" t="s">
        <v>149</v>
      </c>
      <c r="AJ185">
        <v>1</v>
      </c>
      <c r="AK185" t="s">
        <v>7</v>
      </c>
      <c r="AL185">
        <v>8736</v>
      </c>
      <c r="AM185">
        <v>224</v>
      </c>
      <c r="AN185">
        <v>1</v>
      </c>
      <c r="AO185">
        <v>4</v>
      </c>
      <c r="AP185">
        <v>70.66</v>
      </c>
      <c r="AQ185" s="62">
        <v>6.2922000000000002</v>
      </c>
      <c r="AR185" s="16">
        <v>45559</v>
      </c>
      <c r="AS185" s="18">
        <v>0.59446759259259263</v>
      </c>
      <c r="AT185">
        <v>0</v>
      </c>
      <c r="AU185">
        <v>0</v>
      </c>
      <c r="AV185">
        <v>0</v>
      </c>
      <c r="AW185" s="80">
        <f t="shared" ref="AW185:AW188" si="235">AW184</f>
        <v>6.3003799999999996</v>
      </c>
      <c r="AZ185" t="s">
        <v>149</v>
      </c>
      <c r="BA185">
        <v>1</v>
      </c>
      <c r="BB185" t="s">
        <v>7</v>
      </c>
      <c r="BC185">
        <v>8736</v>
      </c>
      <c r="BD185">
        <v>224</v>
      </c>
      <c r="BE185">
        <v>1</v>
      </c>
      <c r="BF185">
        <v>4</v>
      </c>
      <c r="BG185">
        <v>116.85</v>
      </c>
      <c r="BH185" s="62">
        <v>3.8048999999999999</v>
      </c>
      <c r="BI185" s="16">
        <v>45559</v>
      </c>
      <c r="BJ185" s="18">
        <v>0.73387731481481477</v>
      </c>
      <c r="BK185">
        <v>0</v>
      </c>
      <c r="BL185">
        <v>0</v>
      </c>
      <c r="BM185">
        <v>0</v>
      </c>
      <c r="BN185" s="80">
        <f t="shared" ref="BN185:BN188" si="236">BN184</f>
        <v>3.6758600000000001</v>
      </c>
    </row>
    <row r="186" spans="1:66" x14ac:dyDescent="0.25">
      <c r="A186" t="s">
        <v>111</v>
      </c>
      <c r="B186">
        <v>2</v>
      </c>
      <c r="C186" t="s">
        <v>7</v>
      </c>
      <c r="D186">
        <v>8736</v>
      </c>
      <c r="E186">
        <v>224</v>
      </c>
      <c r="F186">
        <v>1</v>
      </c>
      <c r="G186">
        <v>4</v>
      </c>
      <c r="H186">
        <v>92.41</v>
      </c>
      <c r="I186" s="62">
        <v>4.8109999999999999</v>
      </c>
      <c r="J186" s="16">
        <v>45550</v>
      </c>
      <c r="K186" s="18">
        <v>5.8159722222222224E-2</v>
      </c>
      <c r="L186">
        <v>0</v>
      </c>
      <c r="M186">
        <v>0</v>
      </c>
      <c r="N186">
        <v>0</v>
      </c>
      <c r="O186" s="80">
        <f t="shared" si="182"/>
        <v>4.8106400000000002</v>
      </c>
      <c r="R186" t="s">
        <v>111</v>
      </c>
      <c r="S186">
        <v>2</v>
      </c>
      <c r="T186" t="s">
        <v>7</v>
      </c>
      <c r="U186">
        <v>8736</v>
      </c>
      <c r="V186">
        <v>224</v>
      </c>
      <c r="W186">
        <v>1</v>
      </c>
      <c r="X186">
        <v>4</v>
      </c>
      <c r="Y186">
        <v>92.22</v>
      </c>
      <c r="Z186" s="62">
        <v>4.8209</v>
      </c>
      <c r="AA186" s="16">
        <v>45559</v>
      </c>
      <c r="AB186" s="18">
        <v>0.70237268518518514</v>
      </c>
      <c r="AC186">
        <v>0</v>
      </c>
      <c r="AD186">
        <v>0</v>
      </c>
      <c r="AE186">
        <v>0</v>
      </c>
      <c r="AF186" s="80">
        <f t="shared" ref="AF186:AF192" si="237">AF185</f>
        <v>4.8334200000000003</v>
      </c>
      <c r="AI186" t="s">
        <v>149</v>
      </c>
      <c r="AJ186">
        <v>2</v>
      </c>
      <c r="AK186" t="s">
        <v>7</v>
      </c>
      <c r="AL186">
        <v>8736</v>
      </c>
      <c r="AM186">
        <v>224</v>
      </c>
      <c r="AN186">
        <v>1</v>
      </c>
      <c r="AO186">
        <v>4</v>
      </c>
      <c r="AP186">
        <v>70.42</v>
      </c>
      <c r="AQ186" s="62">
        <v>6.3132999999999999</v>
      </c>
      <c r="AR186" s="16">
        <v>45559</v>
      </c>
      <c r="AS186" s="18">
        <v>0.64869212962962963</v>
      </c>
      <c r="AT186">
        <v>0</v>
      </c>
      <c r="AU186">
        <v>0</v>
      </c>
      <c r="AV186">
        <v>0</v>
      </c>
      <c r="AW186" s="80">
        <f t="shared" si="235"/>
        <v>6.3003799999999996</v>
      </c>
      <c r="AZ186" t="s">
        <v>149</v>
      </c>
      <c r="BA186">
        <v>2</v>
      </c>
      <c r="BB186" t="s">
        <v>7</v>
      </c>
      <c r="BC186">
        <v>8736</v>
      </c>
      <c r="BD186">
        <v>224</v>
      </c>
      <c r="BE186">
        <v>1</v>
      </c>
      <c r="BF186">
        <v>4</v>
      </c>
      <c r="BG186">
        <v>128.49</v>
      </c>
      <c r="BH186" s="62">
        <v>3.4601999999999999</v>
      </c>
      <c r="BI186" s="16">
        <v>45559</v>
      </c>
      <c r="BJ186" s="18">
        <v>0.82923611111111106</v>
      </c>
      <c r="BK186">
        <v>0</v>
      </c>
      <c r="BL186">
        <v>0</v>
      </c>
      <c r="BM186">
        <v>0</v>
      </c>
      <c r="BN186" s="80">
        <f t="shared" si="236"/>
        <v>3.6758600000000001</v>
      </c>
    </row>
    <row r="187" spans="1:66" x14ac:dyDescent="0.25">
      <c r="A187" t="s">
        <v>111</v>
      </c>
      <c r="B187">
        <v>3</v>
      </c>
      <c r="C187" t="s">
        <v>7</v>
      </c>
      <c r="D187">
        <v>8736</v>
      </c>
      <c r="E187">
        <v>224</v>
      </c>
      <c r="F187">
        <v>1</v>
      </c>
      <c r="G187">
        <v>4</v>
      </c>
      <c r="H187">
        <v>92.44</v>
      </c>
      <c r="I187" s="62">
        <v>4.8091999999999997</v>
      </c>
      <c r="J187" s="16">
        <v>45550</v>
      </c>
      <c r="K187" s="18">
        <v>0.1293287037037037</v>
      </c>
      <c r="L187">
        <v>0</v>
      </c>
      <c r="M187">
        <v>0</v>
      </c>
      <c r="N187">
        <v>0</v>
      </c>
      <c r="O187" s="80">
        <f t="shared" si="182"/>
        <v>4.8106400000000002</v>
      </c>
      <c r="R187" t="s">
        <v>111</v>
      </c>
      <c r="S187">
        <v>3</v>
      </c>
      <c r="T187" t="s">
        <v>7</v>
      </c>
      <c r="U187">
        <v>8736</v>
      </c>
      <c r="V187">
        <v>224</v>
      </c>
      <c r="W187">
        <v>1</v>
      </c>
      <c r="X187">
        <v>4</v>
      </c>
      <c r="Y187">
        <v>92.24</v>
      </c>
      <c r="Z187" s="62">
        <v>4.8201000000000001</v>
      </c>
      <c r="AA187" s="16">
        <v>45559</v>
      </c>
      <c r="AB187" s="18">
        <v>0.7736574074074074</v>
      </c>
      <c r="AC187">
        <v>0</v>
      </c>
      <c r="AD187">
        <v>0</v>
      </c>
      <c r="AE187">
        <v>0</v>
      </c>
      <c r="AF187" s="80">
        <f t="shared" si="237"/>
        <v>4.8334200000000003</v>
      </c>
      <c r="AI187" t="s">
        <v>149</v>
      </c>
      <c r="AJ187">
        <v>3</v>
      </c>
      <c r="AK187" t="s">
        <v>7</v>
      </c>
      <c r="AL187">
        <v>8736</v>
      </c>
      <c r="AM187">
        <v>224</v>
      </c>
      <c r="AN187">
        <v>1</v>
      </c>
      <c r="AO187">
        <v>4</v>
      </c>
      <c r="AP187">
        <v>70.78</v>
      </c>
      <c r="AQ187" s="62">
        <v>6.2808999999999999</v>
      </c>
      <c r="AR187" s="16">
        <v>45559</v>
      </c>
      <c r="AS187" s="18">
        <v>0.70284722222222218</v>
      </c>
      <c r="AT187">
        <v>0</v>
      </c>
      <c r="AU187">
        <v>0</v>
      </c>
      <c r="AV187">
        <v>0</v>
      </c>
      <c r="AW187" s="80">
        <f t="shared" si="235"/>
        <v>6.3003799999999996</v>
      </c>
      <c r="AZ187" t="s">
        <v>149</v>
      </c>
      <c r="BA187">
        <v>3</v>
      </c>
      <c r="BB187" t="s">
        <v>7</v>
      </c>
      <c r="BC187">
        <v>8736</v>
      </c>
      <c r="BD187">
        <v>224</v>
      </c>
      <c r="BE187">
        <v>1</v>
      </c>
      <c r="BF187">
        <v>4</v>
      </c>
      <c r="BG187">
        <v>117.89</v>
      </c>
      <c r="BH187" s="62">
        <v>3.7711000000000001</v>
      </c>
      <c r="BI187" s="16">
        <v>45559</v>
      </c>
      <c r="BJ187" s="18">
        <v>0.92475694444444445</v>
      </c>
      <c r="BK187">
        <v>0</v>
      </c>
      <c r="BL187">
        <v>0</v>
      </c>
      <c r="BM187">
        <v>0</v>
      </c>
      <c r="BN187" s="80">
        <f t="shared" si="236"/>
        <v>3.6758600000000001</v>
      </c>
    </row>
    <row r="188" spans="1:66" x14ac:dyDescent="0.25">
      <c r="A188" t="s">
        <v>111</v>
      </c>
      <c r="B188">
        <v>4</v>
      </c>
      <c r="C188" t="s">
        <v>7</v>
      </c>
      <c r="D188">
        <v>8736</v>
      </c>
      <c r="E188">
        <v>224</v>
      </c>
      <c r="F188">
        <v>1</v>
      </c>
      <c r="G188">
        <v>4</v>
      </c>
      <c r="H188">
        <v>92.47</v>
      </c>
      <c r="I188" s="62">
        <v>4.8078000000000003</v>
      </c>
      <c r="J188" s="16">
        <v>45550</v>
      </c>
      <c r="K188" s="18">
        <v>0.20052083333333334</v>
      </c>
      <c r="L188">
        <v>0</v>
      </c>
      <c r="M188">
        <v>0</v>
      </c>
      <c r="N188">
        <v>0</v>
      </c>
      <c r="O188" s="80">
        <f t="shared" si="182"/>
        <v>4.8106400000000002</v>
      </c>
      <c r="R188" t="s">
        <v>111</v>
      </c>
      <c r="S188">
        <v>4</v>
      </c>
      <c r="T188" t="s">
        <v>7</v>
      </c>
      <c r="U188">
        <v>8736</v>
      </c>
      <c r="V188">
        <v>224</v>
      </c>
      <c r="W188">
        <v>1</v>
      </c>
      <c r="X188">
        <v>4</v>
      </c>
      <c r="Y188">
        <v>92.22</v>
      </c>
      <c r="Z188" s="62">
        <v>4.8211000000000004</v>
      </c>
      <c r="AA188" s="16">
        <v>45559</v>
      </c>
      <c r="AB188" s="18">
        <v>0.84484953703703702</v>
      </c>
      <c r="AC188">
        <v>0</v>
      </c>
      <c r="AD188">
        <v>0</v>
      </c>
      <c r="AE188">
        <v>0</v>
      </c>
      <c r="AF188" s="80">
        <f t="shared" si="237"/>
        <v>4.8334200000000003</v>
      </c>
      <c r="AI188" t="s">
        <v>149</v>
      </c>
      <c r="AJ188">
        <v>4</v>
      </c>
      <c r="AK188" t="s">
        <v>7</v>
      </c>
      <c r="AL188">
        <v>8736</v>
      </c>
      <c r="AM188">
        <v>224</v>
      </c>
      <c r="AN188">
        <v>1</v>
      </c>
      <c r="AO188">
        <v>4</v>
      </c>
      <c r="AP188">
        <v>70.39</v>
      </c>
      <c r="AQ188" s="62">
        <v>6.3162000000000003</v>
      </c>
      <c r="AR188" s="16">
        <v>45559</v>
      </c>
      <c r="AS188" s="18">
        <v>0.75714120370370375</v>
      </c>
      <c r="AT188">
        <v>0</v>
      </c>
      <c r="AU188">
        <v>0</v>
      </c>
      <c r="AV188">
        <v>0</v>
      </c>
      <c r="AW188" s="80">
        <f t="shared" si="235"/>
        <v>6.3003799999999996</v>
      </c>
      <c r="AZ188" t="s">
        <v>149</v>
      </c>
      <c r="BA188">
        <v>4</v>
      </c>
      <c r="BB188" t="s">
        <v>7</v>
      </c>
      <c r="BC188">
        <v>8736</v>
      </c>
      <c r="BD188">
        <v>224</v>
      </c>
      <c r="BE188">
        <v>1</v>
      </c>
      <c r="BF188">
        <v>4</v>
      </c>
      <c r="BG188">
        <v>123.54</v>
      </c>
      <c r="BH188" s="62">
        <v>3.5987</v>
      </c>
      <c r="BI188" s="16">
        <v>45560</v>
      </c>
      <c r="BJ188" s="18">
        <v>2.0543981481481483E-2</v>
      </c>
      <c r="BK188">
        <v>0</v>
      </c>
      <c r="BL188">
        <v>0</v>
      </c>
      <c r="BM188">
        <v>0</v>
      </c>
      <c r="BN188" s="80">
        <f t="shared" si="236"/>
        <v>3.6758600000000001</v>
      </c>
    </row>
    <row r="189" spans="1:66" x14ac:dyDescent="0.25">
      <c r="A189" t="s">
        <v>111</v>
      </c>
      <c r="B189">
        <v>0</v>
      </c>
      <c r="C189" t="s">
        <v>7</v>
      </c>
      <c r="D189">
        <v>9184</v>
      </c>
      <c r="E189">
        <v>224</v>
      </c>
      <c r="F189">
        <v>1</v>
      </c>
      <c r="G189">
        <v>4</v>
      </c>
      <c r="H189">
        <v>105.84</v>
      </c>
      <c r="I189" s="62">
        <v>4.8806000000000003</v>
      </c>
      <c r="J189" s="16">
        <v>45549</v>
      </c>
      <c r="K189" s="18">
        <v>0.93893518518518515</v>
      </c>
      <c r="L189">
        <v>0</v>
      </c>
      <c r="M189">
        <v>0</v>
      </c>
      <c r="N189">
        <v>0</v>
      </c>
      <c r="O189" s="80">
        <f t="shared" ref="O189" si="238">AVERAGE(I189:I193)</f>
        <v>4.8799400000000004</v>
      </c>
      <c r="R189" t="s">
        <v>111</v>
      </c>
      <c r="S189">
        <v>0</v>
      </c>
      <c r="T189" t="s">
        <v>7</v>
      </c>
      <c r="U189">
        <v>9184</v>
      </c>
      <c r="V189">
        <v>224</v>
      </c>
      <c r="W189">
        <v>1</v>
      </c>
      <c r="X189">
        <v>4</v>
      </c>
      <c r="Y189">
        <v>105.76</v>
      </c>
      <c r="Z189" s="62">
        <v>4.8844000000000003</v>
      </c>
      <c r="AA189" s="16">
        <v>45559</v>
      </c>
      <c r="AB189" s="18">
        <v>0.58315972222222223</v>
      </c>
      <c r="AC189">
        <v>0</v>
      </c>
      <c r="AD189">
        <v>0</v>
      </c>
      <c r="AE189">
        <v>0</v>
      </c>
      <c r="AF189" s="80">
        <f t="shared" si="237"/>
        <v>4.8334200000000003</v>
      </c>
      <c r="AI189" t="s">
        <v>149</v>
      </c>
      <c r="AJ189">
        <v>0</v>
      </c>
      <c r="AK189" t="s">
        <v>7</v>
      </c>
      <c r="AL189">
        <v>9184</v>
      </c>
      <c r="AM189">
        <v>224</v>
      </c>
      <c r="AN189">
        <v>1</v>
      </c>
      <c r="AO189">
        <v>4</v>
      </c>
      <c r="AP189">
        <v>80.5</v>
      </c>
      <c r="AQ189" s="62">
        <v>6.4169</v>
      </c>
      <c r="AR189" s="16">
        <v>45559</v>
      </c>
      <c r="AS189" s="18">
        <v>0.55778935185185186</v>
      </c>
      <c r="AT189">
        <v>0</v>
      </c>
      <c r="AU189">
        <v>0</v>
      </c>
      <c r="AV189">
        <v>0</v>
      </c>
      <c r="AW189" s="80">
        <f t="shared" ref="AW189" si="239">AVERAGE(AQ189:AQ193)</f>
        <v>6.4117599999999992</v>
      </c>
      <c r="AZ189" t="s">
        <v>149</v>
      </c>
      <c r="BA189">
        <v>0</v>
      </c>
      <c r="BB189" t="s">
        <v>7</v>
      </c>
      <c r="BC189">
        <v>9184</v>
      </c>
      <c r="BD189">
        <v>224</v>
      </c>
      <c r="BE189">
        <v>1</v>
      </c>
      <c r="BF189">
        <v>4</v>
      </c>
      <c r="BG189">
        <v>129.88</v>
      </c>
      <c r="BH189" s="62">
        <v>3.9771999999999998</v>
      </c>
      <c r="BI189" s="16">
        <v>45559</v>
      </c>
      <c r="BJ189" s="18">
        <v>0.6694444444444444</v>
      </c>
      <c r="BK189">
        <v>0</v>
      </c>
      <c r="BL189">
        <v>0</v>
      </c>
      <c r="BM189">
        <v>0</v>
      </c>
      <c r="BN189" s="80">
        <f t="shared" ref="BN189" si="240">AVERAGE(BH189:BH193)</f>
        <v>3.8518400000000002</v>
      </c>
    </row>
    <row r="190" spans="1:66" x14ac:dyDescent="0.25">
      <c r="A190" t="s">
        <v>111</v>
      </c>
      <c r="B190">
        <v>1</v>
      </c>
      <c r="C190" t="s">
        <v>7</v>
      </c>
      <c r="D190">
        <v>9184</v>
      </c>
      <c r="E190">
        <v>224</v>
      </c>
      <c r="F190">
        <v>1</v>
      </c>
      <c r="G190">
        <v>4</v>
      </c>
      <c r="H190">
        <v>105.81</v>
      </c>
      <c r="I190" s="62">
        <v>4.8815999999999997</v>
      </c>
      <c r="J190" s="16">
        <v>45550</v>
      </c>
      <c r="K190" s="18">
        <v>1.0219907407407407E-2</v>
      </c>
      <c r="L190">
        <v>0</v>
      </c>
      <c r="M190">
        <v>0</v>
      </c>
      <c r="N190">
        <v>0</v>
      </c>
      <c r="O190" s="80">
        <f t="shared" ref="O190" si="241">O189</f>
        <v>4.8799400000000004</v>
      </c>
      <c r="R190" t="s">
        <v>111</v>
      </c>
      <c r="S190">
        <v>1</v>
      </c>
      <c r="T190" t="s">
        <v>7</v>
      </c>
      <c r="U190">
        <v>9184</v>
      </c>
      <c r="V190">
        <v>224</v>
      </c>
      <c r="W190">
        <v>1</v>
      </c>
      <c r="X190">
        <v>4</v>
      </c>
      <c r="Y190">
        <v>105.62</v>
      </c>
      <c r="Z190" s="62">
        <v>4.8906999999999998</v>
      </c>
      <c r="AA190" s="16">
        <v>45559</v>
      </c>
      <c r="AB190" s="18">
        <v>0.65437500000000004</v>
      </c>
      <c r="AC190">
        <v>0</v>
      </c>
      <c r="AD190">
        <v>0</v>
      </c>
      <c r="AE190">
        <v>0</v>
      </c>
      <c r="AF190" s="80">
        <f t="shared" si="237"/>
        <v>4.8334200000000003</v>
      </c>
      <c r="AI190" t="s">
        <v>149</v>
      </c>
      <c r="AJ190">
        <v>1</v>
      </c>
      <c r="AK190" t="s">
        <v>7</v>
      </c>
      <c r="AL190">
        <v>9184</v>
      </c>
      <c r="AM190">
        <v>224</v>
      </c>
      <c r="AN190">
        <v>1</v>
      </c>
      <c r="AO190">
        <v>4</v>
      </c>
      <c r="AP190">
        <v>80.63</v>
      </c>
      <c r="AQ190" s="62">
        <v>6.4061000000000003</v>
      </c>
      <c r="AR190" s="16">
        <v>45559</v>
      </c>
      <c r="AS190" s="18">
        <v>0.6119444444444444</v>
      </c>
      <c r="AT190">
        <v>0</v>
      </c>
      <c r="AU190">
        <v>0</v>
      </c>
      <c r="AV190">
        <v>0</v>
      </c>
      <c r="AW190" s="80">
        <f t="shared" ref="AW190:AW193" si="242">AW189</f>
        <v>6.4117599999999992</v>
      </c>
      <c r="AZ190" t="s">
        <v>149</v>
      </c>
      <c r="BA190">
        <v>1</v>
      </c>
      <c r="BB190" t="s">
        <v>7</v>
      </c>
      <c r="BC190">
        <v>9184</v>
      </c>
      <c r="BD190">
        <v>224</v>
      </c>
      <c r="BE190">
        <v>1</v>
      </c>
      <c r="BF190">
        <v>4</v>
      </c>
      <c r="BG190">
        <v>140.34</v>
      </c>
      <c r="BH190" s="62">
        <v>3.6806999999999999</v>
      </c>
      <c r="BI190" s="16">
        <v>45559</v>
      </c>
      <c r="BJ190" s="18">
        <v>0.76497685185185182</v>
      </c>
      <c r="BK190">
        <v>0</v>
      </c>
      <c r="BL190">
        <v>0</v>
      </c>
      <c r="BM190">
        <v>0</v>
      </c>
      <c r="BN190" s="80">
        <f t="shared" ref="BN190:BN193" si="243">BN189</f>
        <v>3.8518400000000002</v>
      </c>
    </row>
    <row r="191" spans="1:66" x14ac:dyDescent="0.25">
      <c r="A191" t="s">
        <v>111</v>
      </c>
      <c r="B191">
        <v>2</v>
      </c>
      <c r="C191" t="s">
        <v>7</v>
      </c>
      <c r="D191">
        <v>9184</v>
      </c>
      <c r="E191">
        <v>224</v>
      </c>
      <c r="F191">
        <v>1</v>
      </c>
      <c r="G191">
        <v>4</v>
      </c>
      <c r="H191">
        <v>105.87</v>
      </c>
      <c r="I191" s="62">
        <v>4.8789999999999996</v>
      </c>
      <c r="J191" s="16">
        <v>45550</v>
      </c>
      <c r="K191" s="18">
        <v>8.1354166666666672E-2</v>
      </c>
      <c r="L191">
        <v>0</v>
      </c>
      <c r="M191">
        <v>0</v>
      </c>
      <c r="N191">
        <v>0</v>
      </c>
      <c r="O191" s="80">
        <f t="shared" si="182"/>
        <v>4.8799400000000004</v>
      </c>
      <c r="R191" t="s">
        <v>111</v>
      </c>
      <c r="S191">
        <v>2</v>
      </c>
      <c r="T191" t="s">
        <v>7</v>
      </c>
      <c r="U191">
        <v>9184</v>
      </c>
      <c r="V191">
        <v>224</v>
      </c>
      <c r="W191">
        <v>1</v>
      </c>
      <c r="X191">
        <v>4</v>
      </c>
      <c r="Y191">
        <v>105.62</v>
      </c>
      <c r="Z191" s="62">
        <v>4.8906000000000001</v>
      </c>
      <c r="AA191" s="16">
        <v>45559</v>
      </c>
      <c r="AB191" s="18">
        <v>0.72562499999999996</v>
      </c>
      <c r="AC191">
        <v>0</v>
      </c>
      <c r="AD191">
        <v>0</v>
      </c>
      <c r="AE191">
        <v>0</v>
      </c>
      <c r="AF191" s="80">
        <f t="shared" si="237"/>
        <v>4.8334200000000003</v>
      </c>
      <c r="AI191" t="s">
        <v>149</v>
      </c>
      <c r="AJ191">
        <v>2</v>
      </c>
      <c r="AK191" t="s">
        <v>7</v>
      </c>
      <c r="AL191">
        <v>9184</v>
      </c>
      <c r="AM191">
        <v>224</v>
      </c>
      <c r="AN191">
        <v>1</v>
      </c>
      <c r="AO191">
        <v>4</v>
      </c>
      <c r="AP191">
        <v>80.459999999999994</v>
      </c>
      <c r="AQ191" s="62">
        <v>6.4196</v>
      </c>
      <c r="AR191" s="16">
        <v>45559</v>
      </c>
      <c r="AS191" s="18">
        <v>0.66619212962962959</v>
      </c>
      <c r="AT191">
        <v>0</v>
      </c>
      <c r="AU191">
        <v>0</v>
      </c>
      <c r="AV191">
        <v>0</v>
      </c>
      <c r="AW191" s="80">
        <f t="shared" si="242"/>
        <v>6.4117599999999992</v>
      </c>
      <c r="AZ191" t="s">
        <v>149</v>
      </c>
      <c r="BA191">
        <v>2</v>
      </c>
      <c r="BB191" t="s">
        <v>7</v>
      </c>
      <c r="BC191">
        <v>9184</v>
      </c>
      <c r="BD191">
        <v>224</v>
      </c>
      <c r="BE191">
        <v>1</v>
      </c>
      <c r="BF191">
        <v>4</v>
      </c>
      <c r="BG191">
        <v>136.71</v>
      </c>
      <c r="BH191" s="62">
        <v>3.7784</v>
      </c>
      <c r="BI191" s="16">
        <v>45559</v>
      </c>
      <c r="BJ191" s="18">
        <v>0.86028935185185185</v>
      </c>
      <c r="BK191">
        <v>0</v>
      </c>
      <c r="BL191">
        <v>0</v>
      </c>
      <c r="BM191">
        <v>0</v>
      </c>
      <c r="BN191" s="80">
        <f t="shared" si="243"/>
        <v>3.8518400000000002</v>
      </c>
    </row>
    <row r="192" spans="1:66" x14ac:dyDescent="0.25">
      <c r="A192" t="s">
        <v>111</v>
      </c>
      <c r="B192">
        <v>3</v>
      </c>
      <c r="C192" t="s">
        <v>7</v>
      </c>
      <c r="D192">
        <v>9184</v>
      </c>
      <c r="E192">
        <v>224</v>
      </c>
      <c r="F192">
        <v>1</v>
      </c>
      <c r="G192">
        <v>4</v>
      </c>
      <c r="H192">
        <v>105.86</v>
      </c>
      <c r="I192" s="62">
        <v>4.8795999999999999</v>
      </c>
      <c r="J192" s="16">
        <v>45550</v>
      </c>
      <c r="K192" s="18">
        <v>0.15251157407407406</v>
      </c>
      <c r="L192">
        <v>0</v>
      </c>
      <c r="M192">
        <v>0</v>
      </c>
      <c r="N192">
        <v>0</v>
      </c>
      <c r="O192" s="80">
        <f t="shared" si="182"/>
        <v>4.8799400000000004</v>
      </c>
      <c r="R192" t="s">
        <v>111</v>
      </c>
      <c r="S192">
        <v>3</v>
      </c>
      <c r="T192" t="s">
        <v>7</v>
      </c>
      <c r="U192">
        <v>9184</v>
      </c>
      <c r="V192">
        <v>224</v>
      </c>
      <c r="W192">
        <v>1</v>
      </c>
      <c r="X192">
        <v>4</v>
      </c>
      <c r="Y192">
        <v>105.59</v>
      </c>
      <c r="Z192" s="62">
        <v>4.8921000000000001</v>
      </c>
      <c r="AA192" s="16">
        <v>45559</v>
      </c>
      <c r="AB192" s="18">
        <v>0.79703703703703699</v>
      </c>
      <c r="AC192">
        <v>0</v>
      </c>
      <c r="AD192">
        <v>0</v>
      </c>
      <c r="AE192">
        <v>0</v>
      </c>
      <c r="AF192" s="80">
        <f t="shared" si="237"/>
        <v>4.8334200000000003</v>
      </c>
      <c r="AI192" t="s">
        <v>149</v>
      </c>
      <c r="AJ192">
        <v>3</v>
      </c>
      <c r="AK192" t="s">
        <v>7</v>
      </c>
      <c r="AL192">
        <v>9184</v>
      </c>
      <c r="AM192">
        <v>224</v>
      </c>
      <c r="AN192">
        <v>1</v>
      </c>
      <c r="AO192">
        <v>4</v>
      </c>
      <c r="AP192">
        <v>80.47</v>
      </c>
      <c r="AQ192" s="62">
        <v>6.4188999999999998</v>
      </c>
      <c r="AR192" s="16">
        <v>45559</v>
      </c>
      <c r="AS192" s="18">
        <v>0.7203356481481481</v>
      </c>
      <c r="AT192">
        <v>0</v>
      </c>
      <c r="AU192">
        <v>0</v>
      </c>
      <c r="AV192">
        <v>0</v>
      </c>
      <c r="AW192" s="80">
        <f t="shared" si="242"/>
        <v>6.4117599999999992</v>
      </c>
      <c r="AZ192" t="s">
        <v>149</v>
      </c>
      <c r="BA192">
        <v>3</v>
      </c>
      <c r="BB192" t="s">
        <v>7</v>
      </c>
      <c r="BC192">
        <v>9184</v>
      </c>
      <c r="BD192">
        <v>224</v>
      </c>
      <c r="BE192">
        <v>1</v>
      </c>
      <c r="BF192">
        <v>4</v>
      </c>
      <c r="BG192">
        <v>132.12</v>
      </c>
      <c r="BH192" s="62">
        <v>3.9096000000000002</v>
      </c>
      <c r="BI192" s="16">
        <v>45559</v>
      </c>
      <c r="BJ192" s="18">
        <v>0.9556365740740741</v>
      </c>
      <c r="BK192">
        <v>0</v>
      </c>
      <c r="BL192">
        <v>0</v>
      </c>
      <c r="BM192">
        <v>0</v>
      </c>
      <c r="BN192" s="80">
        <f t="shared" si="243"/>
        <v>3.8518400000000002</v>
      </c>
    </row>
    <row r="193" spans="1:66" x14ac:dyDescent="0.25">
      <c r="A193" t="s">
        <v>111</v>
      </c>
      <c r="B193">
        <v>4</v>
      </c>
      <c r="C193" t="s">
        <v>7</v>
      </c>
      <c r="D193">
        <v>9184</v>
      </c>
      <c r="E193">
        <v>224</v>
      </c>
      <c r="F193">
        <v>1</v>
      </c>
      <c r="G193">
        <v>4</v>
      </c>
      <c r="H193">
        <v>105.87</v>
      </c>
      <c r="I193" s="62">
        <v>4.8788999999999998</v>
      </c>
      <c r="J193" s="16">
        <v>45550</v>
      </c>
      <c r="K193" s="18">
        <v>0.22370370370370371</v>
      </c>
      <c r="L193">
        <v>0</v>
      </c>
      <c r="M193">
        <v>0</v>
      </c>
      <c r="N193">
        <v>0</v>
      </c>
      <c r="O193" s="80">
        <f t="shared" si="182"/>
        <v>4.8799400000000004</v>
      </c>
      <c r="R193" t="s">
        <v>111</v>
      </c>
      <c r="S193">
        <v>4</v>
      </c>
      <c r="T193" t="s">
        <v>7</v>
      </c>
      <c r="U193">
        <v>9184</v>
      </c>
      <c r="V193">
        <v>224</v>
      </c>
      <c r="W193">
        <v>1</v>
      </c>
      <c r="X193">
        <v>4</v>
      </c>
      <c r="Y193">
        <v>105.65</v>
      </c>
      <c r="Z193" s="62">
        <v>4.8891999999999998</v>
      </c>
      <c r="AA193" s="16">
        <v>45559</v>
      </c>
      <c r="AB193" s="18">
        <v>0.86797453703703709</v>
      </c>
      <c r="AC193">
        <v>0</v>
      </c>
      <c r="AD193">
        <v>0</v>
      </c>
      <c r="AE193">
        <v>0</v>
      </c>
      <c r="AF193" s="80">
        <f>AVERAGE(Z193:Z197)</f>
        <v>4.9128400000000001</v>
      </c>
      <c r="AI193" t="s">
        <v>149</v>
      </c>
      <c r="AJ193">
        <v>4</v>
      </c>
      <c r="AK193" t="s">
        <v>7</v>
      </c>
      <c r="AL193">
        <v>9184</v>
      </c>
      <c r="AM193">
        <v>224</v>
      </c>
      <c r="AN193">
        <v>1</v>
      </c>
      <c r="AO193">
        <v>4</v>
      </c>
      <c r="AP193">
        <v>80.739999999999995</v>
      </c>
      <c r="AQ193" s="62">
        <v>6.3973000000000004</v>
      </c>
      <c r="AR193" s="16">
        <v>45559</v>
      </c>
      <c r="AS193" s="18">
        <v>0.77465277777777775</v>
      </c>
      <c r="AT193">
        <v>0</v>
      </c>
      <c r="AU193">
        <v>0</v>
      </c>
      <c r="AV193">
        <v>0</v>
      </c>
      <c r="AW193" s="80">
        <f t="shared" si="242"/>
        <v>6.4117599999999992</v>
      </c>
      <c r="AZ193" t="s">
        <v>149</v>
      </c>
      <c r="BA193">
        <v>4</v>
      </c>
      <c r="BB193" t="s">
        <v>7</v>
      </c>
      <c r="BC193">
        <v>9184</v>
      </c>
      <c r="BD193">
        <v>224</v>
      </c>
      <c r="BE193">
        <v>1</v>
      </c>
      <c r="BF193">
        <v>4</v>
      </c>
      <c r="BG193">
        <v>132</v>
      </c>
      <c r="BH193" s="62">
        <v>3.9133</v>
      </c>
      <c r="BI193" s="16">
        <v>45560</v>
      </c>
      <c r="BJ193" s="18">
        <v>5.1550925925925924E-2</v>
      </c>
      <c r="BK193">
        <v>0</v>
      </c>
      <c r="BL193">
        <v>0</v>
      </c>
      <c r="BM193">
        <v>0</v>
      </c>
      <c r="BN193" s="80">
        <f t="shared" si="243"/>
        <v>3.8518400000000002</v>
      </c>
    </row>
    <row r="194" spans="1:66" x14ac:dyDescent="0.25">
      <c r="A194" t="s">
        <v>111</v>
      </c>
      <c r="B194">
        <v>0</v>
      </c>
      <c r="C194" t="s">
        <v>7</v>
      </c>
      <c r="D194">
        <v>9632</v>
      </c>
      <c r="E194">
        <v>224</v>
      </c>
      <c r="F194">
        <v>1</v>
      </c>
      <c r="G194">
        <v>4</v>
      </c>
      <c r="H194">
        <v>121.68</v>
      </c>
      <c r="I194" s="62">
        <v>4.8973000000000004</v>
      </c>
      <c r="J194" s="16">
        <v>45549</v>
      </c>
      <c r="K194" s="18">
        <v>0.96564814814814814</v>
      </c>
      <c r="L194">
        <v>0</v>
      </c>
      <c r="M194">
        <v>0</v>
      </c>
      <c r="N194">
        <v>0</v>
      </c>
      <c r="O194" s="80">
        <f t="shared" ref="O194" si="244">AVERAGE(I194:I198)</f>
        <v>4.8978200000000003</v>
      </c>
      <c r="R194" t="s">
        <v>111</v>
      </c>
      <c r="S194">
        <v>0</v>
      </c>
      <c r="T194" t="s">
        <v>7</v>
      </c>
      <c r="U194">
        <v>9632</v>
      </c>
      <c r="V194">
        <v>224</v>
      </c>
      <c r="W194">
        <v>1</v>
      </c>
      <c r="X194">
        <v>4</v>
      </c>
      <c r="Y194">
        <v>121.11</v>
      </c>
      <c r="Z194" s="62">
        <v>4.9200999999999997</v>
      </c>
      <c r="AA194" s="16">
        <v>45559</v>
      </c>
      <c r="AB194" s="18">
        <v>0.60982638888888885</v>
      </c>
      <c r="AC194">
        <v>0</v>
      </c>
      <c r="AD194">
        <v>0</v>
      </c>
      <c r="AE194">
        <v>0</v>
      </c>
      <c r="AF194" s="80">
        <f>AF193</f>
        <v>4.9128400000000001</v>
      </c>
      <c r="AI194" t="s">
        <v>149</v>
      </c>
      <c r="AJ194">
        <v>0</v>
      </c>
      <c r="AK194" t="s">
        <v>7</v>
      </c>
      <c r="AL194">
        <v>9632</v>
      </c>
      <c r="AM194">
        <v>224</v>
      </c>
      <c r="AN194">
        <v>1</v>
      </c>
      <c r="AO194">
        <v>4</v>
      </c>
      <c r="AP194">
        <v>92.29</v>
      </c>
      <c r="AQ194" s="62">
        <v>6.4568000000000003</v>
      </c>
      <c r="AR194" s="16">
        <v>45559</v>
      </c>
      <c r="AS194" s="18">
        <v>0.57806712962962958</v>
      </c>
      <c r="AT194">
        <v>0</v>
      </c>
      <c r="AU194">
        <v>0</v>
      </c>
      <c r="AV194">
        <v>0</v>
      </c>
      <c r="AW194" s="80">
        <f t="shared" ref="AW194" si="245">AVERAGE(AQ194:AQ198)</f>
        <v>6.36904</v>
      </c>
      <c r="AZ194" t="s">
        <v>149</v>
      </c>
      <c r="BA194">
        <v>0</v>
      </c>
      <c r="BB194" t="s">
        <v>7</v>
      </c>
      <c r="BC194">
        <v>9632</v>
      </c>
      <c r="BD194">
        <v>224</v>
      </c>
      <c r="BE194">
        <v>1</v>
      </c>
      <c r="BF194">
        <v>4</v>
      </c>
      <c r="BG194">
        <v>157.72999999999999</v>
      </c>
      <c r="BH194" s="62">
        <v>3.7778</v>
      </c>
      <c r="BI194" s="16">
        <v>45559</v>
      </c>
      <c r="BJ194" s="18">
        <v>0.70428240740740744</v>
      </c>
      <c r="BK194">
        <v>0</v>
      </c>
      <c r="BL194">
        <v>0</v>
      </c>
      <c r="BM194">
        <v>0</v>
      </c>
      <c r="BN194" s="80">
        <f t="shared" ref="BN194" si="246">AVERAGE(BH194:BH198)</f>
        <v>3.9248600000000002</v>
      </c>
    </row>
    <row r="195" spans="1:66" x14ac:dyDescent="0.25">
      <c r="A195" t="s">
        <v>111</v>
      </c>
      <c r="B195">
        <v>1</v>
      </c>
      <c r="C195" t="s">
        <v>7</v>
      </c>
      <c r="D195">
        <v>9632</v>
      </c>
      <c r="E195">
        <v>224</v>
      </c>
      <c r="F195">
        <v>1</v>
      </c>
      <c r="G195">
        <v>4</v>
      </c>
      <c r="H195">
        <v>121.63</v>
      </c>
      <c r="I195" s="62">
        <v>4.899</v>
      </c>
      <c r="J195" s="16">
        <v>45550</v>
      </c>
      <c r="K195" s="18">
        <v>3.6909722222222219E-2</v>
      </c>
      <c r="L195">
        <v>0</v>
      </c>
      <c r="M195">
        <v>0</v>
      </c>
      <c r="N195">
        <v>0</v>
      </c>
      <c r="O195" s="80">
        <f t="shared" ref="O195" si="247">O194</f>
        <v>4.8978200000000003</v>
      </c>
      <c r="R195" t="s">
        <v>111</v>
      </c>
      <c r="S195">
        <v>1</v>
      </c>
      <c r="T195" t="s">
        <v>7</v>
      </c>
      <c r="U195">
        <v>9632</v>
      </c>
      <c r="V195">
        <v>224</v>
      </c>
      <c r="W195">
        <v>1</v>
      </c>
      <c r="X195">
        <v>4</v>
      </c>
      <c r="Y195">
        <v>121.09</v>
      </c>
      <c r="Z195" s="62">
        <v>4.9211</v>
      </c>
      <c r="AA195" s="16">
        <v>45559</v>
      </c>
      <c r="AB195" s="18">
        <v>0.68108796296296292</v>
      </c>
      <c r="AC195">
        <v>0</v>
      </c>
      <c r="AD195">
        <v>0</v>
      </c>
      <c r="AE195">
        <v>0</v>
      </c>
      <c r="AF195" s="80">
        <f>AF194</f>
        <v>4.9128400000000001</v>
      </c>
      <c r="AI195" t="s">
        <v>149</v>
      </c>
      <c r="AJ195">
        <v>1</v>
      </c>
      <c r="AK195" t="s">
        <v>7</v>
      </c>
      <c r="AL195">
        <v>9632</v>
      </c>
      <c r="AM195">
        <v>224</v>
      </c>
      <c r="AN195">
        <v>1</v>
      </c>
      <c r="AO195">
        <v>4</v>
      </c>
      <c r="AP195">
        <v>96.38</v>
      </c>
      <c r="AQ195" s="62">
        <v>6.1826999999999996</v>
      </c>
      <c r="AR195" s="16">
        <v>45559</v>
      </c>
      <c r="AS195" s="18">
        <v>0.63232638888888892</v>
      </c>
      <c r="AT195">
        <v>0</v>
      </c>
      <c r="AU195">
        <v>0</v>
      </c>
      <c r="AV195">
        <v>0</v>
      </c>
      <c r="AW195" s="80">
        <f t="shared" ref="AW195:AW198" si="248">AW194</f>
        <v>6.36904</v>
      </c>
      <c r="AZ195" t="s">
        <v>149</v>
      </c>
      <c r="BA195">
        <v>1</v>
      </c>
      <c r="BB195" t="s">
        <v>7</v>
      </c>
      <c r="BC195">
        <v>9632</v>
      </c>
      <c r="BD195">
        <v>224</v>
      </c>
      <c r="BE195">
        <v>1</v>
      </c>
      <c r="BF195">
        <v>4</v>
      </c>
      <c r="BG195">
        <v>151.54</v>
      </c>
      <c r="BH195" s="62">
        <v>3.9321000000000002</v>
      </c>
      <c r="BI195" s="16">
        <v>45559</v>
      </c>
      <c r="BJ195" s="18">
        <v>0.79972222222222222</v>
      </c>
      <c r="BK195">
        <v>0</v>
      </c>
      <c r="BL195">
        <v>0</v>
      </c>
      <c r="BM195">
        <v>0</v>
      </c>
      <c r="BN195" s="80">
        <f t="shared" ref="BN195:BN198" si="249">BN194</f>
        <v>3.9248600000000002</v>
      </c>
    </row>
    <row r="196" spans="1:66" x14ac:dyDescent="0.25">
      <c r="A196" t="s">
        <v>111</v>
      </c>
      <c r="B196">
        <v>2</v>
      </c>
      <c r="C196" t="s">
        <v>7</v>
      </c>
      <c r="D196">
        <v>9632</v>
      </c>
      <c r="E196">
        <v>224</v>
      </c>
      <c r="F196">
        <v>1</v>
      </c>
      <c r="G196">
        <v>4</v>
      </c>
      <c r="H196">
        <v>121.74</v>
      </c>
      <c r="I196" s="62">
        <v>4.8948999999999998</v>
      </c>
      <c r="J196" s="16">
        <v>45550</v>
      </c>
      <c r="K196" s="18">
        <v>0.10799768518518518</v>
      </c>
      <c r="L196">
        <v>0</v>
      </c>
      <c r="M196">
        <v>0</v>
      </c>
      <c r="N196">
        <v>0</v>
      </c>
      <c r="O196" s="80">
        <f t="shared" si="182"/>
        <v>4.8978200000000003</v>
      </c>
      <c r="R196" t="s">
        <v>111</v>
      </c>
      <c r="S196">
        <v>2</v>
      </c>
      <c r="T196" t="s">
        <v>7</v>
      </c>
      <c r="U196">
        <v>9632</v>
      </c>
      <c r="V196">
        <v>224</v>
      </c>
      <c r="W196">
        <v>1</v>
      </c>
      <c r="X196">
        <v>4</v>
      </c>
      <c r="Y196">
        <v>121.1</v>
      </c>
      <c r="Z196" s="62">
        <v>4.9203999999999999</v>
      </c>
      <c r="AA196" s="16">
        <v>45559</v>
      </c>
      <c r="AB196" s="18">
        <v>0.75233796296296296</v>
      </c>
      <c r="AC196">
        <v>0</v>
      </c>
      <c r="AD196">
        <v>0</v>
      </c>
      <c r="AE196">
        <v>0</v>
      </c>
      <c r="AF196" s="80">
        <f>AVERAGE(Z196:Z200)</f>
        <v>4.8354799999999996</v>
      </c>
      <c r="AI196" t="s">
        <v>149</v>
      </c>
      <c r="AJ196">
        <v>2</v>
      </c>
      <c r="AK196" t="s">
        <v>7</v>
      </c>
      <c r="AL196">
        <v>9632</v>
      </c>
      <c r="AM196">
        <v>224</v>
      </c>
      <c r="AN196">
        <v>1</v>
      </c>
      <c r="AO196">
        <v>4</v>
      </c>
      <c r="AP196">
        <v>92.64</v>
      </c>
      <c r="AQ196" s="62">
        <v>6.4321999999999999</v>
      </c>
      <c r="AR196" s="16">
        <v>45559</v>
      </c>
      <c r="AS196" s="18">
        <v>0.68649305555555551</v>
      </c>
      <c r="AT196">
        <v>0</v>
      </c>
      <c r="AU196">
        <v>0</v>
      </c>
      <c r="AV196">
        <v>0</v>
      </c>
      <c r="AW196" s="80">
        <f t="shared" si="248"/>
        <v>6.36904</v>
      </c>
      <c r="AZ196" t="s">
        <v>149</v>
      </c>
      <c r="BA196">
        <v>2</v>
      </c>
      <c r="BB196" t="s">
        <v>7</v>
      </c>
      <c r="BC196">
        <v>9632</v>
      </c>
      <c r="BD196">
        <v>224</v>
      </c>
      <c r="BE196">
        <v>1</v>
      </c>
      <c r="BF196">
        <v>4</v>
      </c>
      <c r="BG196">
        <v>146.07</v>
      </c>
      <c r="BH196" s="62">
        <v>4.0795000000000003</v>
      </c>
      <c r="BI196" s="16">
        <v>45559</v>
      </c>
      <c r="BJ196" s="18">
        <v>0.89533564814814814</v>
      </c>
      <c r="BK196">
        <v>0</v>
      </c>
      <c r="BL196">
        <v>0</v>
      </c>
      <c r="BM196">
        <v>0</v>
      </c>
      <c r="BN196" s="80">
        <f t="shared" si="249"/>
        <v>3.9248600000000002</v>
      </c>
    </row>
    <row r="197" spans="1:66" x14ac:dyDescent="0.25">
      <c r="A197" t="s">
        <v>111</v>
      </c>
      <c r="B197">
        <v>3</v>
      </c>
      <c r="C197" t="s">
        <v>7</v>
      </c>
      <c r="D197">
        <v>9632</v>
      </c>
      <c r="E197">
        <v>224</v>
      </c>
      <c r="F197">
        <v>1</v>
      </c>
      <c r="G197">
        <v>4</v>
      </c>
      <c r="H197">
        <v>121.81</v>
      </c>
      <c r="I197" s="62">
        <v>4.8918999999999997</v>
      </c>
      <c r="J197" s="16">
        <v>45550</v>
      </c>
      <c r="K197" s="18">
        <v>0.1791898148148148</v>
      </c>
      <c r="L197">
        <v>0</v>
      </c>
      <c r="M197">
        <v>0</v>
      </c>
      <c r="N197">
        <v>0</v>
      </c>
      <c r="O197" s="80">
        <f t="shared" si="182"/>
        <v>4.8978200000000003</v>
      </c>
      <c r="R197" t="s">
        <v>111</v>
      </c>
      <c r="S197">
        <v>3</v>
      </c>
      <c r="T197" t="s">
        <v>7</v>
      </c>
      <c r="U197">
        <v>9632</v>
      </c>
      <c r="V197">
        <v>224</v>
      </c>
      <c r="W197">
        <v>1</v>
      </c>
      <c r="X197">
        <v>4</v>
      </c>
      <c r="Y197">
        <v>121.28</v>
      </c>
      <c r="Z197" s="62">
        <v>4.9134000000000002</v>
      </c>
      <c r="AA197" s="16">
        <v>45559</v>
      </c>
      <c r="AB197" s="18">
        <v>0.82362268518518522</v>
      </c>
      <c r="AC197">
        <v>0</v>
      </c>
      <c r="AD197">
        <v>0</v>
      </c>
      <c r="AE197">
        <v>0</v>
      </c>
      <c r="AF197" s="80">
        <f t="shared" ref="AF197:AF202" si="250">AF196</f>
        <v>4.8354799999999996</v>
      </c>
      <c r="AI197" t="s">
        <v>149</v>
      </c>
      <c r="AJ197">
        <v>3</v>
      </c>
      <c r="AK197" t="s">
        <v>7</v>
      </c>
      <c r="AL197">
        <v>9632</v>
      </c>
      <c r="AM197">
        <v>224</v>
      </c>
      <c r="AN197">
        <v>1</v>
      </c>
      <c r="AO197">
        <v>4</v>
      </c>
      <c r="AP197">
        <v>94.39</v>
      </c>
      <c r="AQ197" s="62">
        <v>6.3129999999999997</v>
      </c>
      <c r="AR197" s="16">
        <v>45559</v>
      </c>
      <c r="AS197" s="18">
        <v>0.74067129629629624</v>
      </c>
      <c r="AT197">
        <v>0</v>
      </c>
      <c r="AU197">
        <v>0</v>
      </c>
      <c r="AV197">
        <v>0</v>
      </c>
      <c r="AW197" s="80">
        <f t="shared" si="248"/>
        <v>6.36904</v>
      </c>
      <c r="AZ197" t="s">
        <v>149</v>
      </c>
      <c r="BA197">
        <v>3</v>
      </c>
      <c r="BB197" t="s">
        <v>7</v>
      </c>
      <c r="BC197">
        <v>9632</v>
      </c>
      <c r="BD197">
        <v>224</v>
      </c>
      <c r="BE197">
        <v>1</v>
      </c>
      <c r="BF197">
        <v>4</v>
      </c>
      <c r="BG197">
        <v>158.19999999999999</v>
      </c>
      <c r="BH197" s="62">
        <v>3.7665000000000002</v>
      </c>
      <c r="BI197" s="16">
        <v>45559</v>
      </c>
      <c r="BJ197" s="18">
        <v>0.99079861111111112</v>
      </c>
      <c r="BK197">
        <v>0</v>
      </c>
      <c r="BL197">
        <v>0</v>
      </c>
      <c r="BM197">
        <v>0</v>
      </c>
      <c r="BN197" s="80">
        <f t="shared" si="249"/>
        <v>3.9248600000000002</v>
      </c>
    </row>
    <row r="198" spans="1:66" x14ac:dyDescent="0.25">
      <c r="A198" t="s">
        <v>111</v>
      </c>
      <c r="B198">
        <v>4</v>
      </c>
      <c r="C198" t="s">
        <v>7</v>
      </c>
      <c r="D198">
        <v>9632</v>
      </c>
      <c r="E198">
        <v>224</v>
      </c>
      <c r="F198">
        <v>1</v>
      </c>
      <c r="G198">
        <v>4</v>
      </c>
      <c r="H198">
        <v>121.46</v>
      </c>
      <c r="I198" s="62">
        <v>4.9059999999999997</v>
      </c>
      <c r="J198" s="16">
        <v>45550</v>
      </c>
      <c r="K198" s="18">
        <v>0.25038194444444445</v>
      </c>
      <c r="L198">
        <v>0</v>
      </c>
      <c r="M198">
        <v>0</v>
      </c>
      <c r="N198">
        <v>0</v>
      </c>
      <c r="O198" s="80">
        <f t="shared" si="182"/>
        <v>4.8978200000000003</v>
      </c>
      <c r="R198" t="s">
        <v>111</v>
      </c>
      <c r="S198">
        <v>4</v>
      </c>
      <c r="T198" t="s">
        <v>7</v>
      </c>
      <c r="U198">
        <v>9632</v>
      </c>
      <c r="V198">
        <v>224</v>
      </c>
      <c r="W198">
        <v>1</v>
      </c>
      <c r="X198">
        <v>4</v>
      </c>
      <c r="Y198">
        <v>121.23</v>
      </c>
      <c r="Z198" s="62">
        <v>4.9153000000000002</v>
      </c>
      <c r="AA198" s="16">
        <v>45559</v>
      </c>
      <c r="AB198" s="18">
        <v>0.89454861111111106</v>
      </c>
      <c r="AC198">
        <v>0</v>
      </c>
      <c r="AD198">
        <v>0</v>
      </c>
      <c r="AE198">
        <v>0</v>
      </c>
      <c r="AF198" s="80">
        <f t="shared" si="250"/>
        <v>4.8354799999999996</v>
      </c>
      <c r="AI198" t="s">
        <v>149</v>
      </c>
      <c r="AJ198">
        <v>4</v>
      </c>
      <c r="AK198" t="s">
        <v>7</v>
      </c>
      <c r="AL198">
        <v>9632</v>
      </c>
      <c r="AM198">
        <v>224</v>
      </c>
      <c r="AN198">
        <v>1</v>
      </c>
      <c r="AO198">
        <v>4</v>
      </c>
      <c r="AP198">
        <v>92.23</v>
      </c>
      <c r="AQ198" s="62">
        <v>6.4604999999999997</v>
      </c>
      <c r="AR198" s="16">
        <v>45559</v>
      </c>
      <c r="AS198" s="18">
        <v>0.79509259259259257</v>
      </c>
      <c r="AT198">
        <v>0</v>
      </c>
      <c r="AU198">
        <v>0</v>
      </c>
      <c r="AV198">
        <v>0</v>
      </c>
      <c r="AW198" s="80">
        <f t="shared" si="248"/>
        <v>6.36904</v>
      </c>
      <c r="AZ198" t="s">
        <v>149</v>
      </c>
      <c r="BA198">
        <v>4</v>
      </c>
      <c r="BB198" t="s">
        <v>7</v>
      </c>
      <c r="BC198">
        <v>9632</v>
      </c>
      <c r="BD198">
        <v>224</v>
      </c>
      <c r="BE198">
        <v>1</v>
      </c>
      <c r="BF198">
        <v>4</v>
      </c>
      <c r="BG198">
        <v>146.47</v>
      </c>
      <c r="BH198" s="62">
        <v>4.0683999999999996</v>
      </c>
      <c r="BI198" s="16">
        <v>45560</v>
      </c>
      <c r="BJ198" s="18">
        <v>8.6608796296296295E-2</v>
      </c>
      <c r="BK198">
        <v>0</v>
      </c>
      <c r="BL198">
        <v>0</v>
      </c>
      <c r="BM198">
        <v>0</v>
      </c>
      <c r="BN198" s="80">
        <f t="shared" si="249"/>
        <v>3.9248600000000002</v>
      </c>
    </row>
    <row r="199" spans="1:66" x14ac:dyDescent="0.25">
      <c r="A199" t="s">
        <v>111</v>
      </c>
      <c r="B199">
        <v>0</v>
      </c>
      <c r="C199" t="s">
        <v>7</v>
      </c>
      <c r="D199">
        <v>8736</v>
      </c>
      <c r="E199">
        <v>224</v>
      </c>
      <c r="F199">
        <v>2</v>
      </c>
      <c r="G199">
        <v>2</v>
      </c>
      <c r="H199">
        <v>94.42</v>
      </c>
      <c r="I199" s="62">
        <v>4.7084000000000001</v>
      </c>
      <c r="J199" s="16">
        <v>45549</v>
      </c>
      <c r="K199" s="18">
        <v>0.91696759259259264</v>
      </c>
      <c r="L199">
        <v>0</v>
      </c>
      <c r="M199">
        <v>0</v>
      </c>
      <c r="N199">
        <v>0</v>
      </c>
      <c r="O199" s="80">
        <f t="shared" ref="O199" si="251">AVERAGE(I199:I203)</f>
        <v>4.7117800000000001</v>
      </c>
      <c r="R199" t="s">
        <v>111</v>
      </c>
      <c r="S199">
        <v>0</v>
      </c>
      <c r="T199" t="s">
        <v>7</v>
      </c>
      <c r="U199">
        <v>8736</v>
      </c>
      <c r="V199">
        <v>224</v>
      </c>
      <c r="W199">
        <v>2</v>
      </c>
      <c r="X199">
        <v>2</v>
      </c>
      <c r="Y199">
        <v>94.34</v>
      </c>
      <c r="Z199" s="62">
        <v>4.7126000000000001</v>
      </c>
      <c r="AA199" s="16">
        <v>45559</v>
      </c>
      <c r="AB199" s="18">
        <v>0.56112268518518515</v>
      </c>
      <c r="AC199">
        <v>0</v>
      </c>
      <c r="AD199">
        <v>0</v>
      </c>
      <c r="AE199">
        <v>0</v>
      </c>
      <c r="AF199" s="80">
        <f t="shared" si="250"/>
        <v>4.8354799999999996</v>
      </c>
      <c r="AI199" t="s">
        <v>149</v>
      </c>
      <c r="AJ199">
        <v>0</v>
      </c>
      <c r="AK199" t="s">
        <v>7</v>
      </c>
      <c r="AL199">
        <v>8736</v>
      </c>
      <c r="AM199">
        <v>224</v>
      </c>
      <c r="AN199">
        <v>2</v>
      </c>
      <c r="AO199">
        <v>2</v>
      </c>
      <c r="AP199">
        <v>71.27</v>
      </c>
      <c r="AQ199" s="62">
        <v>6.2385000000000002</v>
      </c>
      <c r="AR199" s="16">
        <v>45559</v>
      </c>
      <c r="AS199" s="18">
        <v>0.5412731481481482</v>
      </c>
      <c r="AT199">
        <v>0</v>
      </c>
      <c r="AU199">
        <v>0</v>
      </c>
      <c r="AV199">
        <v>0</v>
      </c>
      <c r="AW199" s="80">
        <f t="shared" ref="AW199" si="252">AVERAGE(AQ199:AQ203)</f>
        <v>6.2106399999999997</v>
      </c>
      <c r="AZ199" t="s">
        <v>149</v>
      </c>
      <c r="BA199">
        <v>0</v>
      </c>
      <c r="BB199" t="s">
        <v>7</v>
      </c>
      <c r="BC199">
        <v>8736</v>
      </c>
      <c r="BD199">
        <v>224</v>
      </c>
      <c r="BE199">
        <v>2</v>
      </c>
      <c r="BF199">
        <v>2</v>
      </c>
      <c r="BG199">
        <v>145.38</v>
      </c>
      <c r="BH199" s="62">
        <v>3.0579999999999998</v>
      </c>
      <c r="BI199" s="16">
        <v>45559</v>
      </c>
      <c r="BJ199" s="18">
        <v>0.64018518518518519</v>
      </c>
      <c r="BK199">
        <v>0</v>
      </c>
      <c r="BL199">
        <v>0</v>
      </c>
      <c r="BM199">
        <v>0</v>
      </c>
      <c r="BN199" s="80">
        <f t="shared" ref="BN199" si="253">AVERAGE(BH199:BH203)</f>
        <v>2.9668599999999996</v>
      </c>
    </row>
    <row r="200" spans="1:66" x14ac:dyDescent="0.25">
      <c r="A200" t="s">
        <v>111</v>
      </c>
      <c r="B200">
        <v>1</v>
      </c>
      <c r="C200" t="s">
        <v>7</v>
      </c>
      <c r="D200">
        <v>8736</v>
      </c>
      <c r="E200">
        <v>224</v>
      </c>
      <c r="F200">
        <v>2</v>
      </c>
      <c r="G200">
        <v>2</v>
      </c>
      <c r="H200">
        <v>94.3</v>
      </c>
      <c r="I200" s="62">
        <v>4.7145999999999999</v>
      </c>
      <c r="J200" s="16">
        <v>45549</v>
      </c>
      <c r="K200" s="18">
        <v>0.98824074074074075</v>
      </c>
      <c r="L200">
        <v>0</v>
      </c>
      <c r="M200">
        <v>0</v>
      </c>
      <c r="N200">
        <v>0</v>
      </c>
      <c r="O200" s="80">
        <f t="shared" ref="O200" si="254">O199</f>
        <v>4.7117800000000001</v>
      </c>
      <c r="R200" t="s">
        <v>111</v>
      </c>
      <c r="S200">
        <v>1</v>
      </c>
      <c r="T200" t="s">
        <v>7</v>
      </c>
      <c r="U200">
        <v>8736</v>
      </c>
      <c r="V200">
        <v>224</v>
      </c>
      <c r="W200">
        <v>2</v>
      </c>
      <c r="X200">
        <v>2</v>
      </c>
      <c r="Y200">
        <v>94.28</v>
      </c>
      <c r="Z200" s="62">
        <v>4.7157</v>
      </c>
      <c r="AA200" s="16">
        <v>45559</v>
      </c>
      <c r="AB200" s="18">
        <v>0.63237268518518519</v>
      </c>
      <c r="AC200">
        <v>0</v>
      </c>
      <c r="AD200">
        <v>0</v>
      </c>
      <c r="AE200">
        <v>0</v>
      </c>
      <c r="AF200" s="80">
        <f t="shared" si="250"/>
        <v>4.8354799999999996</v>
      </c>
      <c r="AI200" t="s">
        <v>149</v>
      </c>
      <c r="AJ200">
        <v>1</v>
      </c>
      <c r="AK200" t="s">
        <v>7</v>
      </c>
      <c r="AL200">
        <v>8736</v>
      </c>
      <c r="AM200">
        <v>224</v>
      </c>
      <c r="AN200">
        <v>2</v>
      </c>
      <c r="AO200">
        <v>2</v>
      </c>
      <c r="AP200">
        <v>71.7</v>
      </c>
      <c r="AQ200" s="62">
        <v>6.2005999999999997</v>
      </c>
      <c r="AR200" s="16">
        <v>45559</v>
      </c>
      <c r="AS200" s="18">
        <v>0.59542824074074074</v>
      </c>
      <c r="AT200">
        <v>0</v>
      </c>
      <c r="AU200">
        <v>0</v>
      </c>
      <c r="AV200">
        <v>0</v>
      </c>
      <c r="AW200" s="80">
        <f t="shared" ref="AW200:AW203" si="255">AW199</f>
        <v>6.2106399999999997</v>
      </c>
      <c r="AZ200" t="s">
        <v>149</v>
      </c>
      <c r="BA200">
        <v>1</v>
      </c>
      <c r="BB200" t="s">
        <v>7</v>
      </c>
      <c r="BC200">
        <v>8736</v>
      </c>
      <c r="BD200">
        <v>224</v>
      </c>
      <c r="BE200">
        <v>2</v>
      </c>
      <c r="BF200">
        <v>2</v>
      </c>
      <c r="BG200">
        <v>154.66</v>
      </c>
      <c r="BH200" s="62">
        <v>2.8746999999999998</v>
      </c>
      <c r="BI200" s="16">
        <v>45559</v>
      </c>
      <c r="BJ200" s="18">
        <v>0.73581018518518515</v>
      </c>
      <c r="BK200">
        <v>0</v>
      </c>
      <c r="BL200">
        <v>0</v>
      </c>
      <c r="BM200">
        <v>0</v>
      </c>
      <c r="BN200" s="80">
        <f t="shared" ref="BN200:BN203" si="256">BN199</f>
        <v>2.9668599999999996</v>
      </c>
    </row>
    <row r="201" spans="1:66" x14ac:dyDescent="0.25">
      <c r="A201" t="s">
        <v>111</v>
      </c>
      <c r="B201">
        <v>2</v>
      </c>
      <c r="C201" t="s">
        <v>7</v>
      </c>
      <c r="D201">
        <v>8736</v>
      </c>
      <c r="E201">
        <v>224</v>
      </c>
      <c r="F201">
        <v>2</v>
      </c>
      <c r="G201">
        <v>2</v>
      </c>
      <c r="H201">
        <v>94.24</v>
      </c>
      <c r="I201" s="62">
        <v>4.7173999999999996</v>
      </c>
      <c r="J201" s="16">
        <v>45550</v>
      </c>
      <c r="K201" s="18">
        <v>5.9386574074074071E-2</v>
      </c>
      <c r="L201">
        <v>0</v>
      </c>
      <c r="M201">
        <v>0</v>
      </c>
      <c r="N201">
        <v>0</v>
      </c>
      <c r="O201" s="80">
        <f t="shared" si="182"/>
        <v>4.7117800000000001</v>
      </c>
      <c r="R201" t="s">
        <v>111</v>
      </c>
      <c r="S201">
        <v>2</v>
      </c>
      <c r="T201" t="s">
        <v>7</v>
      </c>
      <c r="U201">
        <v>8736</v>
      </c>
      <c r="V201">
        <v>224</v>
      </c>
      <c r="W201">
        <v>2</v>
      </c>
      <c r="X201">
        <v>2</v>
      </c>
      <c r="Y201">
        <v>94.35</v>
      </c>
      <c r="Z201" s="62">
        <v>4.7122999999999999</v>
      </c>
      <c r="AA201" s="16">
        <v>45559</v>
      </c>
      <c r="AB201" s="18">
        <v>0.70359953703703704</v>
      </c>
      <c r="AC201">
        <v>0</v>
      </c>
      <c r="AD201">
        <v>0</v>
      </c>
      <c r="AE201">
        <v>0</v>
      </c>
      <c r="AF201" s="80">
        <f t="shared" si="250"/>
        <v>4.8354799999999996</v>
      </c>
      <c r="AI201" t="s">
        <v>149</v>
      </c>
      <c r="AJ201">
        <v>2</v>
      </c>
      <c r="AK201" t="s">
        <v>7</v>
      </c>
      <c r="AL201">
        <v>8736</v>
      </c>
      <c r="AM201">
        <v>224</v>
      </c>
      <c r="AN201">
        <v>2</v>
      </c>
      <c r="AO201">
        <v>2</v>
      </c>
      <c r="AP201">
        <v>71.569999999999993</v>
      </c>
      <c r="AQ201" s="62">
        <v>6.2115999999999998</v>
      </c>
      <c r="AR201" s="16">
        <v>45559</v>
      </c>
      <c r="AS201" s="18">
        <v>0.64965277777777775</v>
      </c>
      <c r="AT201">
        <v>0</v>
      </c>
      <c r="AU201">
        <v>0</v>
      </c>
      <c r="AV201">
        <v>0</v>
      </c>
      <c r="AW201" s="80">
        <f t="shared" si="255"/>
        <v>6.2106399999999997</v>
      </c>
      <c r="AZ201" t="s">
        <v>149</v>
      </c>
      <c r="BA201">
        <v>2</v>
      </c>
      <c r="BB201" t="s">
        <v>7</v>
      </c>
      <c r="BC201">
        <v>8736</v>
      </c>
      <c r="BD201">
        <v>224</v>
      </c>
      <c r="BE201">
        <v>2</v>
      </c>
      <c r="BF201">
        <v>2</v>
      </c>
      <c r="BG201">
        <v>152.72999999999999</v>
      </c>
      <c r="BH201" s="62">
        <v>2.9108999999999998</v>
      </c>
      <c r="BI201" s="16">
        <v>45559</v>
      </c>
      <c r="BJ201" s="18">
        <v>0.83114583333333336</v>
      </c>
      <c r="BK201">
        <v>0</v>
      </c>
      <c r="BL201">
        <v>0</v>
      </c>
      <c r="BM201">
        <v>0</v>
      </c>
      <c r="BN201" s="80">
        <f t="shared" si="256"/>
        <v>2.9668599999999996</v>
      </c>
    </row>
    <row r="202" spans="1:66" x14ac:dyDescent="0.25">
      <c r="A202" t="s">
        <v>111</v>
      </c>
      <c r="B202">
        <v>3</v>
      </c>
      <c r="C202" t="s">
        <v>7</v>
      </c>
      <c r="D202">
        <v>8736</v>
      </c>
      <c r="E202">
        <v>224</v>
      </c>
      <c r="F202">
        <v>2</v>
      </c>
      <c r="G202">
        <v>2</v>
      </c>
      <c r="H202">
        <v>94.43</v>
      </c>
      <c r="I202" s="62">
        <v>4.7079000000000004</v>
      </c>
      <c r="J202" s="16">
        <v>45550</v>
      </c>
      <c r="K202" s="18">
        <v>0.13055555555555556</v>
      </c>
      <c r="L202">
        <v>0</v>
      </c>
      <c r="M202">
        <v>0</v>
      </c>
      <c r="N202">
        <v>0</v>
      </c>
      <c r="O202" s="80">
        <f t="shared" si="182"/>
        <v>4.7117800000000001</v>
      </c>
      <c r="R202" t="s">
        <v>111</v>
      </c>
      <c r="S202">
        <v>3</v>
      </c>
      <c r="T202" t="s">
        <v>7</v>
      </c>
      <c r="U202">
        <v>8736</v>
      </c>
      <c r="V202">
        <v>224</v>
      </c>
      <c r="W202">
        <v>2</v>
      </c>
      <c r="X202">
        <v>2</v>
      </c>
      <c r="Y202">
        <v>94.32</v>
      </c>
      <c r="Z202" s="62">
        <v>4.7135999999999996</v>
      </c>
      <c r="AA202" s="16">
        <v>45559</v>
      </c>
      <c r="AB202" s="18">
        <v>0.7748842592592593</v>
      </c>
      <c r="AC202">
        <v>0</v>
      </c>
      <c r="AD202">
        <v>0</v>
      </c>
      <c r="AE202">
        <v>0</v>
      </c>
      <c r="AF202" s="80">
        <f t="shared" si="250"/>
        <v>4.8354799999999996</v>
      </c>
      <c r="AI202" t="s">
        <v>149</v>
      </c>
      <c r="AJ202">
        <v>3</v>
      </c>
      <c r="AK202" t="s">
        <v>7</v>
      </c>
      <c r="AL202">
        <v>8736</v>
      </c>
      <c r="AM202">
        <v>224</v>
      </c>
      <c r="AN202">
        <v>2</v>
      </c>
      <c r="AO202">
        <v>2</v>
      </c>
      <c r="AP202">
        <v>71.430000000000007</v>
      </c>
      <c r="AQ202" s="62">
        <v>6.2240000000000002</v>
      </c>
      <c r="AR202" s="16">
        <v>45559</v>
      </c>
      <c r="AS202" s="18">
        <v>0.70379629629629625</v>
      </c>
      <c r="AT202">
        <v>0</v>
      </c>
      <c r="AU202">
        <v>0</v>
      </c>
      <c r="AV202">
        <v>0</v>
      </c>
      <c r="AW202" s="80">
        <f t="shared" si="255"/>
        <v>6.2106399999999997</v>
      </c>
      <c r="AZ202" t="s">
        <v>149</v>
      </c>
      <c r="BA202">
        <v>3</v>
      </c>
      <c r="BB202" t="s">
        <v>7</v>
      </c>
      <c r="BC202">
        <v>8736</v>
      </c>
      <c r="BD202">
        <v>224</v>
      </c>
      <c r="BE202">
        <v>2</v>
      </c>
      <c r="BF202">
        <v>2</v>
      </c>
      <c r="BG202">
        <v>146.51</v>
      </c>
      <c r="BH202" s="62">
        <v>3.0345</v>
      </c>
      <c r="BI202" s="16">
        <v>45559</v>
      </c>
      <c r="BJ202" s="18">
        <v>0.92658564814814814</v>
      </c>
      <c r="BK202">
        <v>0</v>
      </c>
      <c r="BL202">
        <v>0</v>
      </c>
      <c r="BM202">
        <v>0</v>
      </c>
      <c r="BN202" s="80">
        <f t="shared" si="256"/>
        <v>2.9668599999999996</v>
      </c>
    </row>
    <row r="203" spans="1:66" x14ac:dyDescent="0.25">
      <c r="A203" t="s">
        <v>111</v>
      </c>
      <c r="B203">
        <v>4</v>
      </c>
      <c r="C203" t="s">
        <v>7</v>
      </c>
      <c r="D203">
        <v>8736</v>
      </c>
      <c r="E203">
        <v>224</v>
      </c>
      <c r="F203">
        <v>2</v>
      </c>
      <c r="G203">
        <v>2</v>
      </c>
      <c r="H203">
        <v>94.38</v>
      </c>
      <c r="I203" s="62">
        <v>4.7106000000000003</v>
      </c>
      <c r="J203" s="16">
        <v>45550</v>
      </c>
      <c r="K203" s="18">
        <v>0.20173611111111112</v>
      </c>
      <c r="L203">
        <v>0</v>
      </c>
      <c r="M203">
        <v>0</v>
      </c>
      <c r="N203">
        <v>0</v>
      </c>
      <c r="O203" s="80">
        <f t="shared" si="182"/>
        <v>4.7117800000000001</v>
      </c>
      <c r="R203" t="s">
        <v>111</v>
      </c>
      <c r="S203">
        <v>4</v>
      </c>
      <c r="T203" t="s">
        <v>7</v>
      </c>
      <c r="U203">
        <v>8736</v>
      </c>
      <c r="V203">
        <v>224</v>
      </c>
      <c r="W203">
        <v>2</v>
      </c>
      <c r="X203">
        <v>2</v>
      </c>
      <c r="Y203">
        <v>94.38</v>
      </c>
      <c r="Z203" s="62">
        <v>4.7104999999999997</v>
      </c>
      <c r="AA203" s="16">
        <v>45559</v>
      </c>
      <c r="AB203" s="18">
        <v>0.84606481481481477</v>
      </c>
      <c r="AC203">
        <v>0</v>
      </c>
      <c r="AD203">
        <v>0</v>
      </c>
      <c r="AE203">
        <v>0</v>
      </c>
      <c r="AF203" s="80">
        <f>AVERAGE(Z203:Z207)</f>
        <v>4.7604799999999994</v>
      </c>
      <c r="AI203" t="s">
        <v>149</v>
      </c>
      <c r="AJ203">
        <v>4</v>
      </c>
      <c r="AK203" t="s">
        <v>7</v>
      </c>
      <c r="AL203">
        <v>8736</v>
      </c>
      <c r="AM203">
        <v>224</v>
      </c>
      <c r="AN203">
        <v>2</v>
      </c>
      <c r="AO203">
        <v>2</v>
      </c>
      <c r="AP203">
        <v>71.959999999999994</v>
      </c>
      <c r="AQ203" s="62">
        <v>6.1784999999999997</v>
      </c>
      <c r="AR203" s="16">
        <v>45559</v>
      </c>
      <c r="AS203" s="18">
        <v>0.7581134259259259</v>
      </c>
      <c r="AT203">
        <v>0</v>
      </c>
      <c r="AU203">
        <v>0</v>
      </c>
      <c r="AV203">
        <v>0</v>
      </c>
      <c r="AW203" s="80">
        <f t="shared" si="255"/>
        <v>6.2106399999999997</v>
      </c>
      <c r="AZ203" t="s">
        <v>149</v>
      </c>
      <c r="BA203">
        <v>4</v>
      </c>
      <c r="BB203" t="s">
        <v>7</v>
      </c>
      <c r="BC203">
        <v>8736</v>
      </c>
      <c r="BD203">
        <v>224</v>
      </c>
      <c r="BE203">
        <v>2</v>
      </c>
      <c r="BF203">
        <v>2</v>
      </c>
      <c r="BG203">
        <v>150.38999999999999</v>
      </c>
      <c r="BH203" s="62">
        <v>2.9561999999999999</v>
      </c>
      <c r="BI203" s="16">
        <v>45560</v>
      </c>
      <c r="BJ203" s="18">
        <v>2.2418981481481481E-2</v>
      </c>
      <c r="BK203">
        <v>0</v>
      </c>
      <c r="BL203">
        <v>0</v>
      </c>
      <c r="BM203">
        <v>0</v>
      </c>
      <c r="BN203" s="80">
        <f t="shared" si="256"/>
        <v>2.9668599999999996</v>
      </c>
    </row>
    <row r="204" spans="1:66" x14ac:dyDescent="0.25">
      <c r="A204" t="s">
        <v>111</v>
      </c>
      <c r="B204">
        <v>0</v>
      </c>
      <c r="C204" t="s">
        <v>7</v>
      </c>
      <c r="D204">
        <v>9184</v>
      </c>
      <c r="E204">
        <v>224</v>
      </c>
      <c r="F204">
        <v>2</v>
      </c>
      <c r="G204">
        <v>2</v>
      </c>
      <c r="H204">
        <v>108.36</v>
      </c>
      <c r="I204" s="62">
        <v>4.7671999999999999</v>
      </c>
      <c r="J204" s="16">
        <v>45549</v>
      </c>
      <c r="K204" s="18">
        <v>0.94033564814814818</v>
      </c>
      <c r="L204">
        <v>0</v>
      </c>
      <c r="M204">
        <v>0</v>
      </c>
      <c r="N204">
        <v>0</v>
      </c>
      <c r="O204" s="80">
        <f t="shared" ref="O204" si="257">AVERAGE(I204:I208)</f>
        <v>4.7649799999999995</v>
      </c>
      <c r="R204" t="s">
        <v>111</v>
      </c>
      <c r="S204">
        <v>0</v>
      </c>
      <c r="T204" t="s">
        <v>7</v>
      </c>
      <c r="U204">
        <v>9184</v>
      </c>
      <c r="V204">
        <v>224</v>
      </c>
      <c r="W204">
        <v>2</v>
      </c>
      <c r="X204">
        <v>2</v>
      </c>
      <c r="Y204">
        <v>108.19</v>
      </c>
      <c r="Z204" s="62">
        <v>4.7744</v>
      </c>
      <c r="AA204" s="16">
        <v>45559</v>
      </c>
      <c r="AB204" s="18">
        <v>0.58454861111111112</v>
      </c>
      <c r="AC204">
        <v>0</v>
      </c>
      <c r="AD204">
        <v>0</v>
      </c>
      <c r="AE204">
        <v>0</v>
      </c>
      <c r="AF204" s="80">
        <f>AF203</f>
        <v>4.7604799999999994</v>
      </c>
      <c r="AI204" t="s">
        <v>149</v>
      </c>
      <c r="AJ204">
        <v>0</v>
      </c>
      <c r="AK204" t="s">
        <v>7</v>
      </c>
      <c r="AL204">
        <v>9184</v>
      </c>
      <c r="AM204">
        <v>224</v>
      </c>
      <c r="AN204">
        <v>2</v>
      </c>
      <c r="AO204">
        <v>2</v>
      </c>
      <c r="AP204">
        <v>82.37</v>
      </c>
      <c r="AQ204" s="62">
        <v>6.2709999999999999</v>
      </c>
      <c r="AR204" s="16">
        <v>45559</v>
      </c>
      <c r="AS204" s="18">
        <v>0.55888888888888888</v>
      </c>
      <c r="AT204">
        <v>0</v>
      </c>
      <c r="AU204">
        <v>0</v>
      </c>
      <c r="AV204">
        <v>0</v>
      </c>
      <c r="AW204" s="80">
        <f t="shared" ref="AW204" si="258">AVERAGE(AQ204:AQ208)</f>
        <v>6.2761799999999992</v>
      </c>
      <c r="AZ204" t="s">
        <v>149</v>
      </c>
      <c r="BA204">
        <v>0</v>
      </c>
      <c r="BB204" t="s">
        <v>7</v>
      </c>
      <c r="BC204">
        <v>9184</v>
      </c>
      <c r="BD204">
        <v>224</v>
      </c>
      <c r="BE204">
        <v>2</v>
      </c>
      <c r="BF204">
        <v>2</v>
      </c>
      <c r="BG204">
        <v>161.82</v>
      </c>
      <c r="BH204" s="62">
        <v>3.1922000000000001</v>
      </c>
      <c r="BI204" s="16">
        <v>45559</v>
      </c>
      <c r="BJ204" s="18">
        <v>0.67146990740740742</v>
      </c>
      <c r="BK204">
        <v>0</v>
      </c>
      <c r="BL204">
        <v>0</v>
      </c>
      <c r="BM204">
        <v>0</v>
      </c>
      <c r="BN204" s="80">
        <f t="shared" ref="BN204" si="259">AVERAGE(BH204:BH208)</f>
        <v>3.1682600000000001</v>
      </c>
    </row>
    <row r="205" spans="1:66" x14ac:dyDescent="0.25">
      <c r="A205" t="s">
        <v>111</v>
      </c>
      <c r="B205">
        <v>1</v>
      </c>
      <c r="C205" t="s">
        <v>7</v>
      </c>
      <c r="D205">
        <v>9184</v>
      </c>
      <c r="E205">
        <v>224</v>
      </c>
      <c r="F205">
        <v>2</v>
      </c>
      <c r="G205">
        <v>2</v>
      </c>
      <c r="H205">
        <v>108.63</v>
      </c>
      <c r="I205" s="62">
        <v>4.7549000000000001</v>
      </c>
      <c r="J205" s="16">
        <v>45550</v>
      </c>
      <c r="K205" s="18">
        <v>1.1620370370370371E-2</v>
      </c>
      <c r="L205">
        <v>0</v>
      </c>
      <c r="M205">
        <v>0</v>
      </c>
      <c r="N205">
        <v>0</v>
      </c>
      <c r="O205" s="80">
        <f t="shared" ref="O205" si="260">O204</f>
        <v>4.7649799999999995</v>
      </c>
      <c r="R205" t="s">
        <v>111</v>
      </c>
      <c r="S205">
        <v>1</v>
      </c>
      <c r="T205" t="s">
        <v>7</v>
      </c>
      <c r="U205">
        <v>9184</v>
      </c>
      <c r="V205">
        <v>224</v>
      </c>
      <c r="W205">
        <v>2</v>
      </c>
      <c r="X205">
        <v>2</v>
      </c>
      <c r="Y205">
        <v>108.23</v>
      </c>
      <c r="Z205" s="62">
        <v>4.7725</v>
      </c>
      <c r="AA205" s="16">
        <v>45559</v>
      </c>
      <c r="AB205" s="18">
        <v>0.65577546296296296</v>
      </c>
      <c r="AC205">
        <v>0</v>
      </c>
      <c r="AD205">
        <v>0</v>
      </c>
      <c r="AE205">
        <v>0</v>
      </c>
      <c r="AF205" s="80">
        <f>AF204</f>
        <v>4.7604799999999994</v>
      </c>
      <c r="AI205" t="s">
        <v>149</v>
      </c>
      <c r="AJ205">
        <v>1</v>
      </c>
      <c r="AK205" t="s">
        <v>7</v>
      </c>
      <c r="AL205">
        <v>9184</v>
      </c>
      <c r="AM205">
        <v>224</v>
      </c>
      <c r="AN205">
        <v>2</v>
      </c>
      <c r="AO205">
        <v>2</v>
      </c>
      <c r="AP205">
        <v>82.05</v>
      </c>
      <c r="AQ205" s="62">
        <v>6.2953000000000001</v>
      </c>
      <c r="AR205" s="16">
        <v>45559</v>
      </c>
      <c r="AS205" s="18">
        <v>0.61303240740740739</v>
      </c>
      <c r="AT205">
        <v>0</v>
      </c>
      <c r="AU205">
        <v>0</v>
      </c>
      <c r="AV205">
        <v>0</v>
      </c>
      <c r="AW205" s="80">
        <f t="shared" ref="AW205:AW208" si="261">AW204</f>
        <v>6.2761799999999992</v>
      </c>
      <c r="AZ205" t="s">
        <v>149</v>
      </c>
      <c r="BA205">
        <v>1</v>
      </c>
      <c r="BB205" t="s">
        <v>7</v>
      </c>
      <c r="BC205">
        <v>9184</v>
      </c>
      <c r="BD205">
        <v>224</v>
      </c>
      <c r="BE205">
        <v>2</v>
      </c>
      <c r="BF205">
        <v>2</v>
      </c>
      <c r="BG205">
        <v>159.24</v>
      </c>
      <c r="BH205" s="62">
        <v>3.2439</v>
      </c>
      <c r="BI205" s="16">
        <v>45559</v>
      </c>
      <c r="BJ205" s="18">
        <v>0.76696759259259262</v>
      </c>
      <c r="BK205">
        <v>0</v>
      </c>
      <c r="BL205">
        <v>0</v>
      </c>
      <c r="BM205">
        <v>0</v>
      </c>
      <c r="BN205" s="80">
        <f t="shared" ref="BN205:BN208" si="262">BN204</f>
        <v>3.1682600000000001</v>
      </c>
    </row>
    <row r="206" spans="1:66" x14ac:dyDescent="0.25">
      <c r="A206" t="s">
        <v>111</v>
      </c>
      <c r="B206">
        <v>2</v>
      </c>
      <c r="C206" t="s">
        <v>7</v>
      </c>
      <c r="D206">
        <v>9184</v>
      </c>
      <c r="E206">
        <v>224</v>
      </c>
      <c r="F206">
        <v>2</v>
      </c>
      <c r="G206">
        <v>2</v>
      </c>
      <c r="H206">
        <v>108.25</v>
      </c>
      <c r="I206" s="62">
        <v>4.7717999999999998</v>
      </c>
      <c r="J206" s="16">
        <v>45550</v>
      </c>
      <c r="K206" s="18">
        <v>8.2743055555555556E-2</v>
      </c>
      <c r="L206">
        <v>0</v>
      </c>
      <c r="M206">
        <v>0</v>
      </c>
      <c r="N206">
        <v>0</v>
      </c>
      <c r="O206" s="80">
        <f t="shared" si="182"/>
        <v>4.7649799999999995</v>
      </c>
      <c r="R206" t="s">
        <v>111</v>
      </c>
      <c r="S206">
        <v>2</v>
      </c>
      <c r="T206" t="s">
        <v>7</v>
      </c>
      <c r="U206">
        <v>9184</v>
      </c>
      <c r="V206">
        <v>224</v>
      </c>
      <c r="W206">
        <v>2</v>
      </c>
      <c r="X206">
        <v>2</v>
      </c>
      <c r="Y206">
        <v>108.19</v>
      </c>
      <c r="Z206" s="62">
        <v>4.7743000000000002</v>
      </c>
      <c r="AA206" s="16">
        <v>45559</v>
      </c>
      <c r="AB206" s="18">
        <v>0.727025462962963</v>
      </c>
      <c r="AC206">
        <v>0</v>
      </c>
      <c r="AD206">
        <v>0</v>
      </c>
      <c r="AE206">
        <v>0</v>
      </c>
      <c r="AF206" s="80">
        <f>AVERAGE(Z206:Z210)</f>
        <v>4.7872000000000003</v>
      </c>
      <c r="AI206" t="s">
        <v>149</v>
      </c>
      <c r="AJ206">
        <v>2</v>
      </c>
      <c r="AK206" t="s">
        <v>7</v>
      </c>
      <c r="AL206">
        <v>9184</v>
      </c>
      <c r="AM206">
        <v>224</v>
      </c>
      <c r="AN206">
        <v>2</v>
      </c>
      <c r="AO206">
        <v>2</v>
      </c>
      <c r="AP206">
        <v>82.21</v>
      </c>
      <c r="AQ206" s="62">
        <v>6.2830000000000004</v>
      </c>
      <c r="AR206" s="16">
        <v>45559</v>
      </c>
      <c r="AS206" s="18">
        <v>0.66728009259259258</v>
      </c>
      <c r="AT206">
        <v>0</v>
      </c>
      <c r="AU206">
        <v>0</v>
      </c>
      <c r="AV206">
        <v>0</v>
      </c>
      <c r="AW206" s="80">
        <f t="shared" si="261"/>
        <v>6.2761799999999992</v>
      </c>
      <c r="AZ206" t="s">
        <v>149</v>
      </c>
      <c r="BA206">
        <v>2</v>
      </c>
      <c r="BB206" t="s">
        <v>7</v>
      </c>
      <c r="BC206">
        <v>9184</v>
      </c>
      <c r="BD206">
        <v>224</v>
      </c>
      <c r="BE206">
        <v>2</v>
      </c>
      <c r="BF206">
        <v>2</v>
      </c>
      <c r="BG206">
        <v>164.42</v>
      </c>
      <c r="BH206" s="62">
        <v>3.1417000000000002</v>
      </c>
      <c r="BI206" s="16">
        <v>45559</v>
      </c>
      <c r="BJ206" s="18">
        <v>0.86233796296296295</v>
      </c>
      <c r="BK206">
        <v>0</v>
      </c>
      <c r="BL206">
        <v>0</v>
      </c>
      <c r="BM206">
        <v>0</v>
      </c>
      <c r="BN206" s="80">
        <f t="shared" si="262"/>
        <v>3.1682600000000001</v>
      </c>
    </row>
    <row r="207" spans="1:66" x14ac:dyDescent="0.25">
      <c r="A207" t="s">
        <v>111</v>
      </c>
      <c r="B207">
        <v>3</v>
      </c>
      <c r="C207" t="s">
        <v>7</v>
      </c>
      <c r="D207">
        <v>9184</v>
      </c>
      <c r="E207">
        <v>224</v>
      </c>
      <c r="F207">
        <v>2</v>
      </c>
      <c r="G207">
        <v>2</v>
      </c>
      <c r="H207">
        <v>108.29</v>
      </c>
      <c r="I207" s="62">
        <v>4.7698999999999998</v>
      </c>
      <c r="J207" s="16">
        <v>45550</v>
      </c>
      <c r="K207" s="18">
        <v>0.15390046296296298</v>
      </c>
      <c r="L207">
        <v>0</v>
      </c>
      <c r="M207">
        <v>0</v>
      </c>
      <c r="N207">
        <v>0</v>
      </c>
      <c r="O207" s="80">
        <f t="shared" si="182"/>
        <v>4.7649799999999995</v>
      </c>
      <c r="R207" t="s">
        <v>111</v>
      </c>
      <c r="S207">
        <v>3</v>
      </c>
      <c r="T207" t="s">
        <v>7</v>
      </c>
      <c r="U207">
        <v>9184</v>
      </c>
      <c r="V207">
        <v>224</v>
      </c>
      <c r="W207">
        <v>2</v>
      </c>
      <c r="X207">
        <v>2</v>
      </c>
      <c r="Y207">
        <v>108.27</v>
      </c>
      <c r="Z207" s="62">
        <v>4.7706999999999997</v>
      </c>
      <c r="AA207" s="16">
        <v>45559</v>
      </c>
      <c r="AB207" s="18">
        <v>0.79843750000000002</v>
      </c>
      <c r="AC207">
        <v>0</v>
      </c>
      <c r="AD207">
        <v>0</v>
      </c>
      <c r="AE207">
        <v>0</v>
      </c>
      <c r="AF207" s="80">
        <f>AF206</f>
        <v>4.7872000000000003</v>
      </c>
      <c r="AI207" t="s">
        <v>149</v>
      </c>
      <c r="AJ207">
        <v>3</v>
      </c>
      <c r="AK207" t="s">
        <v>7</v>
      </c>
      <c r="AL207">
        <v>9184</v>
      </c>
      <c r="AM207">
        <v>224</v>
      </c>
      <c r="AN207">
        <v>2</v>
      </c>
      <c r="AO207">
        <v>2</v>
      </c>
      <c r="AP207">
        <v>82.58</v>
      </c>
      <c r="AQ207" s="62">
        <v>6.2549999999999999</v>
      </c>
      <c r="AR207" s="16">
        <v>45559</v>
      </c>
      <c r="AS207" s="18">
        <v>0.72143518518518523</v>
      </c>
      <c r="AT207">
        <v>0</v>
      </c>
      <c r="AU207">
        <v>0</v>
      </c>
      <c r="AV207">
        <v>0</v>
      </c>
      <c r="AW207" s="80">
        <f t="shared" si="261"/>
        <v>6.2761799999999992</v>
      </c>
      <c r="AZ207" t="s">
        <v>149</v>
      </c>
      <c r="BA207">
        <v>3</v>
      </c>
      <c r="BB207" t="s">
        <v>7</v>
      </c>
      <c r="BC207">
        <v>9184</v>
      </c>
      <c r="BD207">
        <v>224</v>
      </c>
      <c r="BE207">
        <v>2</v>
      </c>
      <c r="BF207">
        <v>2</v>
      </c>
      <c r="BG207">
        <v>162.86000000000001</v>
      </c>
      <c r="BH207" s="62">
        <v>3.1718000000000002</v>
      </c>
      <c r="BI207" s="16">
        <v>45559</v>
      </c>
      <c r="BJ207" s="18">
        <v>0.95766203703703701</v>
      </c>
      <c r="BK207">
        <v>0</v>
      </c>
      <c r="BL207">
        <v>0</v>
      </c>
      <c r="BM207">
        <v>0</v>
      </c>
      <c r="BN207" s="80">
        <f t="shared" si="262"/>
        <v>3.1682600000000001</v>
      </c>
    </row>
    <row r="208" spans="1:66" x14ac:dyDescent="0.25">
      <c r="A208" t="s">
        <v>111</v>
      </c>
      <c r="B208">
        <v>4</v>
      </c>
      <c r="C208" t="s">
        <v>7</v>
      </c>
      <c r="D208">
        <v>9184</v>
      </c>
      <c r="E208">
        <v>224</v>
      </c>
      <c r="F208">
        <v>2</v>
      </c>
      <c r="G208">
        <v>2</v>
      </c>
      <c r="H208">
        <v>108.49</v>
      </c>
      <c r="I208" s="62">
        <v>4.7610999999999999</v>
      </c>
      <c r="J208" s="16">
        <v>45550</v>
      </c>
      <c r="K208" s="18">
        <v>0.22510416666666666</v>
      </c>
      <c r="L208">
        <v>0</v>
      </c>
      <c r="M208">
        <v>0</v>
      </c>
      <c r="N208">
        <v>0</v>
      </c>
      <c r="O208" s="80">
        <f t="shared" si="182"/>
        <v>4.7649799999999995</v>
      </c>
      <c r="R208" t="s">
        <v>111</v>
      </c>
      <c r="S208">
        <v>4</v>
      </c>
      <c r="T208" t="s">
        <v>7</v>
      </c>
      <c r="U208">
        <v>9184</v>
      </c>
      <c r="V208">
        <v>224</v>
      </c>
      <c r="W208">
        <v>2</v>
      </c>
      <c r="X208">
        <v>2</v>
      </c>
      <c r="Y208">
        <v>108.31</v>
      </c>
      <c r="Z208" s="62">
        <v>4.7690999999999999</v>
      </c>
      <c r="AA208" s="16">
        <v>45559</v>
      </c>
      <c r="AB208" s="18">
        <v>0.86937500000000001</v>
      </c>
      <c r="AC208">
        <v>0</v>
      </c>
      <c r="AD208">
        <v>0</v>
      </c>
      <c r="AE208">
        <v>0</v>
      </c>
      <c r="AF208" s="80">
        <f>AF207</f>
        <v>4.7872000000000003</v>
      </c>
      <c r="AI208" t="s">
        <v>149</v>
      </c>
      <c r="AJ208">
        <v>4</v>
      </c>
      <c r="AK208" t="s">
        <v>7</v>
      </c>
      <c r="AL208">
        <v>9184</v>
      </c>
      <c r="AM208">
        <v>224</v>
      </c>
      <c r="AN208">
        <v>2</v>
      </c>
      <c r="AO208">
        <v>2</v>
      </c>
      <c r="AP208">
        <v>82.3</v>
      </c>
      <c r="AQ208" s="62">
        <v>6.2766000000000002</v>
      </c>
      <c r="AR208" s="16">
        <v>45559</v>
      </c>
      <c r="AS208" s="18">
        <v>0.77575231481481477</v>
      </c>
      <c r="AT208">
        <v>0</v>
      </c>
      <c r="AU208">
        <v>0</v>
      </c>
      <c r="AV208">
        <v>0</v>
      </c>
      <c r="AW208" s="80">
        <f t="shared" si="261"/>
        <v>6.2761799999999992</v>
      </c>
      <c r="AZ208" t="s">
        <v>149</v>
      </c>
      <c r="BA208">
        <v>4</v>
      </c>
      <c r="BB208" t="s">
        <v>7</v>
      </c>
      <c r="BC208">
        <v>9184</v>
      </c>
      <c r="BD208">
        <v>224</v>
      </c>
      <c r="BE208">
        <v>2</v>
      </c>
      <c r="BF208">
        <v>2</v>
      </c>
      <c r="BG208">
        <v>167.08</v>
      </c>
      <c r="BH208" s="62">
        <v>3.0916999999999999</v>
      </c>
      <c r="BI208" s="16">
        <v>45560</v>
      </c>
      <c r="BJ208" s="18">
        <v>5.3622685185185183E-2</v>
      </c>
      <c r="BK208">
        <v>0</v>
      </c>
      <c r="BL208">
        <v>0</v>
      </c>
      <c r="BM208">
        <v>0</v>
      </c>
      <c r="BN208" s="80">
        <f t="shared" si="262"/>
        <v>3.1682600000000001</v>
      </c>
    </row>
    <row r="209" spans="1:66" x14ac:dyDescent="0.25">
      <c r="A209" t="s">
        <v>111</v>
      </c>
      <c r="B209">
        <v>0</v>
      </c>
      <c r="C209" t="s">
        <v>7</v>
      </c>
      <c r="D209">
        <v>9632</v>
      </c>
      <c r="E209">
        <v>224</v>
      </c>
      <c r="F209">
        <v>2</v>
      </c>
      <c r="G209">
        <v>2</v>
      </c>
      <c r="H209">
        <v>124.08</v>
      </c>
      <c r="I209" s="62">
        <v>4.8025000000000002</v>
      </c>
      <c r="J209" s="16">
        <v>45549</v>
      </c>
      <c r="K209" s="18">
        <v>0.96723379629629624</v>
      </c>
      <c r="L209">
        <v>0</v>
      </c>
      <c r="M209">
        <v>0</v>
      </c>
      <c r="N209">
        <v>0</v>
      </c>
      <c r="O209" s="80">
        <f t="shared" ref="O209" si="263">AVERAGE(I209:I213)</f>
        <v>4.8019800000000004</v>
      </c>
      <c r="R209" t="s">
        <v>111</v>
      </c>
      <c r="S209">
        <v>0</v>
      </c>
      <c r="T209" t="s">
        <v>7</v>
      </c>
      <c r="U209">
        <v>9632</v>
      </c>
      <c r="V209">
        <v>224</v>
      </c>
      <c r="W209">
        <v>2</v>
      </c>
      <c r="X209">
        <v>2</v>
      </c>
      <c r="Y209">
        <v>123.87</v>
      </c>
      <c r="Z209" s="62">
        <v>4.8106</v>
      </c>
      <c r="AA209" s="16">
        <v>45559</v>
      </c>
      <c r="AB209" s="18">
        <v>0.6114236111111111</v>
      </c>
      <c r="AC209">
        <v>0</v>
      </c>
      <c r="AD209">
        <v>0</v>
      </c>
      <c r="AE209">
        <v>0</v>
      </c>
      <c r="AF209" s="80">
        <f>AVERAGE(Z209:Z213)</f>
        <v>4.8125599999999995</v>
      </c>
      <c r="AI209" t="s">
        <v>149</v>
      </c>
      <c r="AJ209">
        <v>0</v>
      </c>
      <c r="AK209" t="s">
        <v>7</v>
      </c>
      <c r="AL209">
        <v>9632</v>
      </c>
      <c r="AM209">
        <v>224</v>
      </c>
      <c r="AN209">
        <v>2</v>
      </c>
      <c r="AO209">
        <v>2</v>
      </c>
      <c r="AP209">
        <v>93.46</v>
      </c>
      <c r="AQ209" s="62">
        <v>6.3761000000000001</v>
      </c>
      <c r="AR209" s="16">
        <v>45559</v>
      </c>
      <c r="AS209" s="18">
        <v>0.57930555555555552</v>
      </c>
      <c r="AT209">
        <v>0</v>
      </c>
      <c r="AU209">
        <v>0</v>
      </c>
      <c r="AV209">
        <v>0</v>
      </c>
      <c r="AW209" s="80">
        <f t="shared" ref="AW209" si="264">AVERAGE(AQ209:AQ213)</f>
        <v>6.3280799999999999</v>
      </c>
      <c r="AZ209" t="s">
        <v>149</v>
      </c>
      <c r="BA209">
        <v>0</v>
      </c>
      <c r="BB209" t="s">
        <v>7</v>
      </c>
      <c r="BC209">
        <v>9632</v>
      </c>
      <c r="BD209">
        <v>224</v>
      </c>
      <c r="BE209">
        <v>2</v>
      </c>
      <c r="BF209">
        <v>2</v>
      </c>
      <c r="BG209">
        <v>188.56</v>
      </c>
      <c r="BH209" s="62">
        <v>3.1600999999999999</v>
      </c>
      <c r="BI209" s="16">
        <v>45559</v>
      </c>
      <c r="BJ209" s="18">
        <v>0.70663194444444444</v>
      </c>
      <c r="BK209">
        <v>0</v>
      </c>
      <c r="BL209">
        <v>0</v>
      </c>
      <c r="BM209">
        <v>0</v>
      </c>
      <c r="BN209" s="80">
        <f t="shared" ref="BN209" si="265">AVERAGE(BH209:BH213)</f>
        <v>3.2835000000000001</v>
      </c>
    </row>
    <row r="210" spans="1:66" x14ac:dyDescent="0.25">
      <c r="A210" t="s">
        <v>111</v>
      </c>
      <c r="B210">
        <v>1</v>
      </c>
      <c r="C210" t="s">
        <v>7</v>
      </c>
      <c r="D210">
        <v>9632</v>
      </c>
      <c r="E210">
        <v>224</v>
      </c>
      <c r="F210">
        <v>2</v>
      </c>
      <c r="G210">
        <v>2</v>
      </c>
      <c r="H210">
        <v>124.08</v>
      </c>
      <c r="I210" s="62">
        <v>4.8025000000000002</v>
      </c>
      <c r="J210" s="16">
        <v>45550</v>
      </c>
      <c r="K210" s="18">
        <v>3.8495370370370367E-2</v>
      </c>
      <c r="L210">
        <v>0</v>
      </c>
      <c r="M210">
        <v>0</v>
      </c>
      <c r="N210">
        <v>0</v>
      </c>
      <c r="O210" s="80">
        <f t="shared" ref="O210:O243" si="266">O209</f>
        <v>4.8019800000000004</v>
      </c>
      <c r="R210" t="s">
        <v>111</v>
      </c>
      <c r="S210">
        <v>1</v>
      </c>
      <c r="T210" t="s">
        <v>7</v>
      </c>
      <c r="U210">
        <v>9632</v>
      </c>
      <c r="V210">
        <v>224</v>
      </c>
      <c r="W210">
        <v>2</v>
      </c>
      <c r="X210">
        <v>2</v>
      </c>
      <c r="Y210">
        <v>123.85</v>
      </c>
      <c r="Z210" s="62">
        <v>4.8113000000000001</v>
      </c>
      <c r="AA210" s="16">
        <v>45559</v>
      </c>
      <c r="AB210" s="18">
        <v>0.68267361111111113</v>
      </c>
      <c r="AC210">
        <v>0</v>
      </c>
      <c r="AD210">
        <v>0</v>
      </c>
      <c r="AE210">
        <v>0</v>
      </c>
      <c r="AF210" s="80">
        <f t="shared" ref="AF210:AF215" si="267">AF209</f>
        <v>4.8125599999999995</v>
      </c>
      <c r="AI210" t="s">
        <v>149</v>
      </c>
      <c r="AJ210">
        <v>1</v>
      </c>
      <c r="AK210" t="s">
        <v>7</v>
      </c>
      <c r="AL210">
        <v>9632</v>
      </c>
      <c r="AM210">
        <v>224</v>
      </c>
      <c r="AN210">
        <v>2</v>
      </c>
      <c r="AO210">
        <v>2</v>
      </c>
      <c r="AP210">
        <v>94.94</v>
      </c>
      <c r="AQ210" s="62">
        <v>6.2762000000000002</v>
      </c>
      <c r="AR210" s="16">
        <v>45559</v>
      </c>
      <c r="AS210" s="18">
        <v>0.6335763888888889</v>
      </c>
      <c r="AT210">
        <v>0</v>
      </c>
      <c r="AU210">
        <v>0</v>
      </c>
      <c r="AV210">
        <v>0</v>
      </c>
      <c r="AW210" s="80">
        <f t="shared" ref="AW210:AW213" si="268">AW209</f>
        <v>6.3280799999999999</v>
      </c>
      <c r="AZ210" t="s">
        <v>149</v>
      </c>
      <c r="BA210">
        <v>1</v>
      </c>
      <c r="BB210" t="s">
        <v>7</v>
      </c>
      <c r="BC210">
        <v>9632</v>
      </c>
      <c r="BD210">
        <v>224</v>
      </c>
      <c r="BE210">
        <v>2</v>
      </c>
      <c r="BF210">
        <v>2</v>
      </c>
      <c r="BG210">
        <v>179.39</v>
      </c>
      <c r="BH210" s="62">
        <v>3.3216000000000001</v>
      </c>
      <c r="BI210" s="16">
        <v>45559</v>
      </c>
      <c r="BJ210" s="18">
        <v>0.8019560185185185</v>
      </c>
      <c r="BK210">
        <v>0</v>
      </c>
      <c r="BL210">
        <v>0</v>
      </c>
      <c r="BM210">
        <v>0</v>
      </c>
      <c r="BN210" s="80">
        <f t="shared" ref="BN210:BN213" si="269">BN209</f>
        <v>3.2835000000000001</v>
      </c>
    </row>
    <row r="211" spans="1:66" x14ac:dyDescent="0.25">
      <c r="A211" t="s">
        <v>111</v>
      </c>
      <c r="B211">
        <v>2</v>
      </c>
      <c r="C211" t="s">
        <v>7</v>
      </c>
      <c r="D211">
        <v>9632</v>
      </c>
      <c r="E211">
        <v>224</v>
      </c>
      <c r="F211">
        <v>2</v>
      </c>
      <c r="G211">
        <v>2</v>
      </c>
      <c r="H211">
        <v>124.25</v>
      </c>
      <c r="I211" s="62">
        <v>4.7956000000000003</v>
      </c>
      <c r="J211" s="16">
        <v>45550</v>
      </c>
      <c r="K211" s="18">
        <v>0.10958333333333334</v>
      </c>
      <c r="L211">
        <v>0</v>
      </c>
      <c r="M211">
        <v>0</v>
      </c>
      <c r="N211">
        <v>0</v>
      </c>
      <c r="O211" s="80">
        <f t="shared" si="266"/>
        <v>4.8019800000000004</v>
      </c>
      <c r="R211" t="s">
        <v>111</v>
      </c>
      <c r="S211">
        <v>2</v>
      </c>
      <c r="T211" t="s">
        <v>7</v>
      </c>
      <c r="U211">
        <v>9632</v>
      </c>
      <c r="V211">
        <v>224</v>
      </c>
      <c r="W211">
        <v>2</v>
      </c>
      <c r="X211">
        <v>2</v>
      </c>
      <c r="Y211">
        <v>123.77</v>
      </c>
      <c r="Z211" s="62">
        <v>4.8144</v>
      </c>
      <c r="AA211" s="16">
        <v>45559</v>
      </c>
      <c r="AB211" s="18">
        <v>0.75393518518518521</v>
      </c>
      <c r="AC211">
        <v>0</v>
      </c>
      <c r="AD211">
        <v>0</v>
      </c>
      <c r="AE211">
        <v>0</v>
      </c>
      <c r="AF211" s="80">
        <f t="shared" si="267"/>
        <v>4.8125599999999995</v>
      </c>
      <c r="AI211" t="s">
        <v>149</v>
      </c>
      <c r="AJ211">
        <v>2</v>
      </c>
      <c r="AK211" t="s">
        <v>7</v>
      </c>
      <c r="AL211">
        <v>9632</v>
      </c>
      <c r="AM211">
        <v>224</v>
      </c>
      <c r="AN211">
        <v>2</v>
      </c>
      <c r="AO211">
        <v>2</v>
      </c>
      <c r="AP211">
        <v>94.1</v>
      </c>
      <c r="AQ211" s="62">
        <v>6.3327</v>
      </c>
      <c r="AR211" s="16">
        <v>45559</v>
      </c>
      <c r="AS211" s="18">
        <v>0.68774305555555559</v>
      </c>
      <c r="AT211">
        <v>0</v>
      </c>
      <c r="AU211">
        <v>0</v>
      </c>
      <c r="AV211">
        <v>0</v>
      </c>
      <c r="AW211" s="80">
        <f t="shared" si="268"/>
        <v>6.3280799999999999</v>
      </c>
      <c r="AZ211" t="s">
        <v>149</v>
      </c>
      <c r="BA211">
        <v>2</v>
      </c>
      <c r="BB211" t="s">
        <v>7</v>
      </c>
      <c r="BC211">
        <v>9632</v>
      </c>
      <c r="BD211">
        <v>224</v>
      </c>
      <c r="BE211">
        <v>2</v>
      </c>
      <c r="BF211">
        <v>2</v>
      </c>
      <c r="BG211">
        <v>181.69</v>
      </c>
      <c r="BH211" s="62">
        <v>3.2795999999999998</v>
      </c>
      <c r="BI211" s="16">
        <v>45559</v>
      </c>
      <c r="BJ211" s="18">
        <v>0.89760416666666665</v>
      </c>
      <c r="BK211">
        <v>0</v>
      </c>
      <c r="BL211">
        <v>0</v>
      </c>
      <c r="BM211">
        <v>0</v>
      </c>
      <c r="BN211" s="80">
        <f t="shared" si="269"/>
        <v>3.2835000000000001</v>
      </c>
    </row>
    <row r="212" spans="1:66" x14ac:dyDescent="0.25">
      <c r="A212" t="s">
        <v>111</v>
      </c>
      <c r="B212">
        <v>3</v>
      </c>
      <c r="C212" t="s">
        <v>7</v>
      </c>
      <c r="D212">
        <v>9632</v>
      </c>
      <c r="E212">
        <v>224</v>
      </c>
      <c r="F212">
        <v>2</v>
      </c>
      <c r="G212">
        <v>2</v>
      </c>
      <c r="H212">
        <v>124.04</v>
      </c>
      <c r="I212" s="62">
        <v>4.8037999999999998</v>
      </c>
      <c r="J212" s="16">
        <v>45550</v>
      </c>
      <c r="K212" s="18">
        <v>0.18077546296296296</v>
      </c>
      <c r="L212">
        <v>0</v>
      </c>
      <c r="M212">
        <v>0</v>
      </c>
      <c r="N212">
        <v>0</v>
      </c>
      <c r="O212" s="80">
        <f t="shared" si="266"/>
        <v>4.8019800000000004</v>
      </c>
      <c r="R212" t="s">
        <v>111</v>
      </c>
      <c r="S212">
        <v>3</v>
      </c>
      <c r="T212" t="s">
        <v>7</v>
      </c>
      <c r="U212">
        <v>9632</v>
      </c>
      <c r="V212">
        <v>224</v>
      </c>
      <c r="W212">
        <v>2</v>
      </c>
      <c r="X212">
        <v>2</v>
      </c>
      <c r="Y212">
        <v>123.8</v>
      </c>
      <c r="Z212" s="62">
        <v>4.8133999999999997</v>
      </c>
      <c r="AA212" s="16">
        <v>45559</v>
      </c>
      <c r="AB212" s="18">
        <v>0.82520833333333332</v>
      </c>
      <c r="AC212">
        <v>0</v>
      </c>
      <c r="AD212">
        <v>0</v>
      </c>
      <c r="AE212">
        <v>0</v>
      </c>
      <c r="AF212" s="80">
        <f t="shared" si="267"/>
        <v>4.8125599999999995</v>
      </c>
      <c r="AI212" t="s">
        <v>149</v>
      </c>
      <c r="AJ212">
        <v>3</v>
      </c>
      <c r="AK212" t="s">
        <v>7</v>
      </c>
      <c r="AL212">
        <v>9632</v>
      </c>
      <c r="AM212">
        <v>224</v>
      </c>
      <c r="AN212">
        <v>2</v>
      </c>
      <c r="AO212">
        <v>2</v>
      </c>
      <c r="AP212">
        <v>94.09</v>
      </c>
      <c r="AQ212" s="62">
        <v>6.3327999999999998</v>
      </c>
      <c r="AR212" s="16">
        <v>45559</v>
      </c>
      <c r="AS212" s="18">
        <v>0.74190972222222218</v>
      </c>
      <c r="AT212">
        <v>0</v>
      </c>
      <c r="AU212">
        <v>0</v>
      </c>
      <c r="AV212">
        <v>0</v>
      </c>
      <c r="AW212" s="80">
        <f t="shared" si="268"/>
        <v>6.3280799999999999</v>
      </c>
      <c r="AZ212" t="s">
        <v>149</v>
      </c>
      <c r="BA212">
        <v>3</v>
      </c>
      <c r="BB212" t="s">
        <v>7</v>
      </c>
      <c r="BC212">
        <v>9632</v>
      </c>
      <c r="BD212">
        <v>224</v>
      </c>
      <c r="BE212">
        <v>2</v>
      </c>
      <c r="BF212">
        <v>2</v>
      </c>
      <c r="BG212">
        <v>179</v>
      </c>
      <c r="BH212" s="62">
        <v>3.3290000000000002</v>
      </c>
      <c r="BI212" s="16">
        <v>45559</v>
      </c>
      <c r="BJ212" s="18">
        <v>0.99303240740740739</v>
      </c>
      <c r="BK212">
        <v>0</v>
      </c>
      <c r="BL212">
        <v>0</v>
      </c>
      <c r="BM212">
        <v>0</v>
      </c>
      <c r="BN212" s="80">
        <f t="shared" si="269"/>
        <v>3.2835000000000001</v>
      </c>
    </row>
    <row r="213" spans="1:66" x14ac:dyDescent="0.25">
      <c r="A213" t="s">
        <v>111</v>
      </c>
      <c r="B213">
        <v>4</v>
      </c>
      <c r="C213" t="s">
        <v>7</v>
      </c>
      <c r="D213">
        <v>9632</v>
      </c>
      <c r="E213">
        <v>224</v>
      </c>
      <c r="F213">
        <v>2</v>
      </c>
      <c r="G213">
        <v>2</v>
      </c>
      <c r="H213">
        <v>124</v>
      </c>
      <c r="I213" s="62">
        <v>4.8055000000000003</v>
      </c>
      <c r="J213" s="16">
        <v>45550</v>
      </c>
      <c r="K213" s="18">
        <v>0.25197916666666664</v>
      </c>
      <c r="L213">
        <v>0</v>
      </c>
      <c r="M213">
        <v>0</v>
      </c>
      <c r="N213">
        <v>0</v>
      </c>
      <c r="O213" s="80">
        <f t="shared" si="266"/>
        <v>4.8019800000000004</v>
      </c>
      <c r="R213" t="s">
        <v>111</v>
      </c>
      <c r="S213">
        <v>4</v>
      </c>
      <c r="T213" t="s">
        <v>7</v>
      </c>
      <c r="U213">
        <v>9632</v>
      </c>
      <c r="V213">
        <v>224</v>
      </c>
      <c r="W213">
        <v>2</v>
      </c>
      <c r="X213">
        <v>2</v>
      </c>
      <c r="Y213">
        <v>123.81</v>
      </c>
      <c r="Z213" s="62">
        <v>4.8131000000000004</v>
      </c>
      <c r="AA213" s="16">
        <v>45559</v>
      </c>
      <c r="AB213" s="18">
        <v>0.89613425925925927</v>
      </c>
      <c r="AC213">
        <v>0</v>
      </c>
      <c r="AD213">
        <v>0</v>
      </c>
      <c r="AE213">
        <v>0</v>
      </c>
      <c r="AF213" s="80">
        <f t="shared" si="267"/>
        <v>4.8125599999999995</v>
      </c>
      <c r="AI213" t="s">
        <v>149</v>
      </c>
      <c r="AJ213">
        <v>4</v>
      </c>
      <c r="AK213" t="s">
        <v>7</v>
      </c>
      <c r="AL213">
        <v>9632</v>
      </c>
      <c r="AM213">
        <v>224</v>
      </c>
      <c r="AN213">
        <v>2</v>
      </c>
      <c r="AO213">
        <v>2</v>
      </c>
      <c r="AP213">
        <v>94.25</v>
      </c>
      <c r="AQ213" s="62">
        <v>6.3226000000000004</v>
      </c>
      <c r="AR213" s="16">
        <v>45559</v>
      </c>
      <c r="AS213" s="18">
        <v>0.79633101851851851</v>
      </c>
      <c r="AT213">
        <v>0</v>
      </c>
      <c r="AU213">
        <v>0</v>
      </c>
      <c r="AV213">
        <v>0</v>
      </c>
      <c r="AW213" s="80">
        <f t="shared" si="268"/>
        <v>6.3280799999999999</v>
      </c>
      <c r="AZ213" t="s">
        <v>149</v>
      </c>
      <c r="BA213">
        <v>4</v>
      </c>
      <c r="BB213" t="s">
        <v>7</v>
      </c>
      <c r="BC213">
        <v>9632</v>
      </c>
      <c r="BD213">
        <v>224</v>
      </c>
      <c r="BE213">
        <v>2</v>
      </c>
      <c r="BF213">
        <v>2</v>
      </c>
      <c r="BG213">
        <v>179.09</v>
      </c>
      <c r="BH213" s="62">
        <v>3.3271999999999999</v>
      </c>
      <c r="BI213" s="16">
        <v>45560</v>
      </c>
      <c r="BJ213" s="18">
        <v>8.8842592592592598E-2</v>
      </c>
      <c r="BK213">
        <v>0</v>
      </c>
      <c r="BL213">
        <v>0</v>
      </c>
      <c r="BM213">
        <v>0</v>
      </c>
      <c r="BN213" s="80">
        <f t="shared" si="269"/>
        <v>3.2835000000000001</v>
      </c>
    </row>
    <row r="214" spans="1:66" x14ac:dyDescent="0.25">
      <c r="A214" t="s">
        <v>111</v>
      </c>
      <c r="B214">
        <v>0</v>
      </c>
      <c r="C214" t="s">
        <v>7</v>
      </c>
      <c r="D214">
        <v>8704</v>
      </c>
      <c r="E214">
        <v>256</v>
      </c>
      <c r="F214">
        <v>1</v>
      </c>
      <c r="G214">
        <v>4</v>
      </c>
      <c r="H214">
        <v>97.67</v>
      </c>
      <c r="I214" s="62">
        <v>4.5023</v>
      </c>
      <c r="J214" s="16">
        <v>45549</v>
      </c>
      <c r="K214" s="18">
        <v>0.91821759259259261</v>
      </c>
      <c r="L214">
        <v>0</v>
      </c>
      <c r="M214">
        <v>0</v>
      </c>
      <c r="N214">
        <v>0</v>
      </c>
      <c r="O214" s="80">
        <f t="shared" ref="O214" si="270">AVERAGE(I214:I218)</f>
        <v>4.4995400000000005</v>
      </c>
      <c r="R214" t="s">
        <v>111</v>
      </c>
      <c r="S214">
        <v>0</v>
      </c>
      <c r="T214" t="s">
        <v>7</v>
      </c>
      <c r="U214">
        <v>8704</v>
      </c>
      <c r="V214">
        <v>256</v>
      </c>
      <c r="W214">
        <v>1</v>
      </c>
      <c r="X214">
        <v>4</v>
      </c>
      <c r="Y214">
        <v>97.68</v>
      </c>
      <c r="Z214" s="62">
        <v>4.5016999999999996</v>
      </c>
      <c r="AA214" s="16">
        <v>45559</v>
      </c>
      <c r="AB214" s="18">
        <v>0.56238425925925928</v>
      </c>
      <c r="AC214">
        <v>0</v>
      </c>
      <c r="AD214">
        <v>0</v>
      </c>
      <c r="AE214">
        <v>0</v>
      </c>
      <c r="AF214" s="80">
        <f t="shared" si="267"/>
        <v>4.8125599999999995</v>
      </c>
      <c r="AI214" t="s">
        <v>149</v>
      </c>
      <c r="AJ214">
        <v>0</v>
      </c>
      <c r="AK214" t="s">
        <v>7</v>
      </c>
      <c r="AL214">
        <v>8704</v>
      </c>
      <c r="AM214">
        <v>256</v>
      </c>
      <c r="AN214">
        <v>1</v>
      </c>
      <c r="AO214">
        <v>4</v>
      </c>
      <c r="AP214">
        <v>74.239999999999995</v>
      </c>
      <c r="AQ214" s="62">
        <v>5.9233000000000002</v>
      </c>
      <c r="AR214" s="16">
        <v>45559</v>
      </c>
      <c r="AS214" s="18">
        <v>0.54226851851851854</v>
      </c>
      <c r="AT214">
        <v>0</v>
      </c>
      <c r="AU214">
        <v>0</v>
      </c>
      <c r="AV214">
        <v>0</v>
      </c>
      <c r="AW214" s="80">
        <f t="shared" ref="AW214" si="271">AVERAGE(AQ214:AQ218)</f>
        <v>5.9102200000000007</v>
      </c>
      <c r="AZ214" t="s">
        <v>149</v>
      </c>
      <c r="BA214">
        <v>0</v>
      </c>
      <c r="BB214" t="s">
        <v>7</v>
      </c>
      <c r="BC214">
        <v>8704</v>
      </c>
      <c r="BD214">
        <v>256</v>
      </c>
      <c r="BE214">
        <v>1</v>
      </c>
      <c r="BF214">
        <v>4</v>
      </c>
      <c r="BG214">
        <v>126.46</v>
      </c>
      <c r="BH214" s="62">
        <v>3.4771999999999998</v>
      </c>
      <c r="BI214" s="16">
        <v>45559</v>
      </c>
      <c r="BJ214" s="18">
        <v>0.64179398148148148</v>
      </c>
      <c r="BK214">
        <v>0</v>
      </c>
      <c r="BL214">
        <v>0</v>
      </c>
      <c r="BM214">
        <v>0</v>
      </c>
      <c r="BN214" s="80">
        <f t="shared" ref="BN214" si="272">AVERAGE(BH214:BH218)</f>
        <v>3.3663600000000002</v>
      </c>
    </row>
    <row r="215" spans="1:66" x14ac:dyDescent="0.25">
      <c r="A215" t="s">
        <v>111</v>
      </c>
      <c r="B215">
        <v>1</v>
      </c>
      <c r="C215" t="s">
        <v>7</v>
      </c>
      <c r="D215">
        <v>8704</v>
      </c>
      <c r="E215">
        <v>256</v>
      </c>
      <c r="F215">
        <v>1</v>
      </c>
      <c r="G215">
        <v>4</v>
      </c>
      <c r="H215">
        <v>97.84</v>
      </c>
      <c r="I215" s="62">
        <v>4.4943999999999997</v>
      </c>
      <c r="J215" s="16">
        <v>45549</v>
      </c>
      <c r="K215" s="18">
        <v>0.98949074074074073</v>
      </c>
      <c r="L215">
        <v>0</v>
      </c>
      <c r="M215">
        <v>0</v>
      </c>
      <c r="N215">
        <v>0</v>
      </c>
      <c r="O215" s="80">
        <f t="shared" ref="O215" si="273">O214</f>
        <v>4.4995400000000005</v>
      </c>
      <c r="R215" t="s">
        <v>111</v>
      </c>
      <c r="S215">
        <v>1</v>
      </c>
      <c r="T215" t="s">
        <v>7</v>
      </c>
      <c r="U215">
        <v>8704</v>
      </c>
      <c r="V215">
        <v>256</v>
      </c>
      <c r="W215">
        <v>1</v>
      </c>
      <c r="X215">
        <v>4</v>
      </c>
      <c r="Y215">
        <v>97.58</v>
      </c>
      <c r="Z215" s="62">
        <v>4.5061</v>
      </c>
      <c r="AA215" s="16">
        <v>45559</v>
      </c>
      <c r="AB215" s="18">
        <v>0.63363425925925931</v>
      </c>
      <c r="AC215">
        <v>0</v>
      </c>
      <c r="AD215">
        <v>0</v>
      </c>
      <c r="AE215">
        <v>0</v>
      </c>
      <c r="AF215" s="80">
        <f t="shared" si="267"/>
        <v>4.8125599999999995</v>
      </c>
      <c r="AI215" t="s">
        <v>149</v>
      </c>
      <c r="AJ215">
        <v>1</v>
      </c>
      <c r="AK215" t="s">
        <v>7</v>
      </c>
      <c r="AL215">
        <v>8704</v>
      </c>
      <c r="AM215">
        <v>256</v>
      </c>
      <c r="AN215">
        <v>1</v>
      </c>
      <c r="AO215">
        <v>4</v>
      </c>
      <c r="AP215">
        <v>74.069999999999993</v>
      </c>
      <c r="AQ215" s="62">
        <v>5.9364999999999997</v>
      </c>
      <c r="AR215" s="16">
        <v>45559</v>
      </c>
      <c r="AS215" s="18">
        <v>0.59641203703703705</v>
      </c>
      <c r="AT215">
        <v>0</v>
      </c>
      <c r="AU215">
        <v>0</v>
      </c>
      <c r="AV215">
        <v>0</v>
      </c>
      <c r="AW215" s="80">
        <f t="shared" ref="AW215:AW218" si="274">AW214</f>
        <v>5.9102200000000007</v>
      </c>
      <c r="AZ215" t="s">
        <v>149</v>
      </c>
      <c r="BA215">
        <v>1</v>
      </c>
      <c r="BB215" t="s">
        <v>7</v>
      </c>
      <c r="BC215">
        <v>8704</v>
      </c>
      <c r="BD215">
        <v>256</v>
      </c>
      <c r="BE215">
        <v>1</v>
      </c>
      <c r="BF215">
        <v>4</v>
      </c>
      <c r="BG215">
        <v>130.55000000000001</v>
      </c>
      <c r="BH215" s="62">
        <v>3.3681999999999999</v>
      </c>
      <c r="BI215" s="16">
        <v>45559</v>
      </c>
      <c r="BJ215" s="18">
        <v>0.73747685185185186</v>
      </c>
      <c r="BK215">
        <v>0</v>
      </c>
      <c r="BL215">
        <v>0</v>
      </c>
      <c r="BM215">
        <v>0</v>
      </c>
      <c r="BN215" s="80">
        <f t="shared" ref="BN215:BN218" si="275">BN214</f>
        <v>3.3663600000000002</v>
      </c>
    </row>
    <row r="216" spans="1:66" x14ac:dyDescent="0.25">
      <c r="A216" t="s">
        <v>111</v>
      </c>
      <c r="B216">
        <v>2</v>
      </c>
      <c r="C216" t="s">
        <v>7</v>
      </c>
      <c r="D216">
        <v>8704</v>
      </c>
      <c r="E216">
        <v>256</v>
      </c>
      <c r="F216">
        <v>1</v>
      </c>
      <c r="G216">
        <v>4</v>
      </c>
      <c r="H216">
        <v>97.96</v>
      </c>
      <c r="I216" s="62">
        <v>4.4889000000000001</v>
      </c>
      <c r="J216" s="16">
        <v>45550</v>
      </c>
      <c r="K216" s="18">
        <v>6.0648148148148145E-2</v>
      </c>
      <c r="L216">
        <v>0</v>
      </c>
      <c r="M216">
        <v>0</v>
      </c>
      <c r="N216">
        <v>0</v>
      </c>
      <c r="O216" s="80">
        <f t="shared" si="266"/>
        <v>4.4995400000000005</v>
      </c>
      <c r="R216" t="s">
        <v>111</v>
      </c>
      <c r="S216">
        <v>2</v>
      </c>
      <c r="T216" t="s">
        <v>7</v>
      </c>
      <c r="U216">
        <v>8704</v>
      </c>
      <c r="V216">
        <v>256</v>
      </c>
      <c r="W216">
        <v>1</v>
      </c>
      <c r="X216">
        <v>4</v>
      </c>
      <c r="Y216">
        <v>97.53</v>
      </c>
      <c r="Z216" s="62">
        <v>4.5087999999999999</v>
      </c>
      <c r="AA216" s="16">
        <v>45559</v>
      </c>
      <c r="AB216" s="18">
        <v>0.7048726851851852</v>
      </c>
      <c r="AC216">
        <v>0</v>
      </c>
      <c r="AD216">
        <v>0</v>
      </c>
      <c r="AE216">
        <v>0</v>
      </c>
      <c r="AF216" s="80">
        <f>AVERAGE(Z216:Z220)</f>
        <v>4.5111000000000008</v>
      </c>
      <c r="AI216" t="s">
        <v>149</v>
      </c>
      <c r="AJ216">
        <v>2</v>
      </c>
      <c r="AK216" t="s">
        <v>7</v>
      </c>
      <c r="AL216">
        <v>8704</v>
      </c>
      <c r="AM216">
        <v>256</v>
      </c>
      <c r="AN216">
        <v>1</v>
      </c>
      <c r="AO216">
        <v>4</v>
      </c>
      <c r="AP216">
        <v>74.56</v>
      </c>
      <c r="AQ216" s="62">
        <v>5.8973000000000004</v>
      </c>
      <c r="AR216" s="16">
        <v>45559</v>
      </c>
      <c r="AS216" s="18">
        <v>0.6506481481481482</v>
      </c>
      <c r="AT216">
        <v>0</v>
      </c>
      <c r="AU216">
        <v>0</v>
      </c>
      <c r="AV216">
        <v>0</v>
      </c>
      <c r="AW216" s="80">
        <f t="shared" si="274"/>
        <v>5.9102200000000007</v>
      </c>
      <c r="AZ216" t="s">
        <v>149</v>
      </c>
      <c r="BA216">
        <v>2</v>
      </c>
      <c r="BB216" t="s">
        <v>7</v>
      </c>
      <c r="BC216">
        <v>8704</v>
      </c>
      <c r="BD216">
        <v>256</v>
      </c>
      <c r="BE216">
        <v>1</v>
      </c>
      <c r="BF216">
        <v>4</v>
      </c>
      <c r="BG216">
        <v>132.47999999999999</v>
      </c>
      <c r="BH216" s="62">
        <v>3.3191999999999999</v>
      </c>
      <c r="BI216" s="16">
        <v>45559</v>
      </c>
      <c r="BJ216" s="18">
        <v>0.83281249999999996</v>
      </c>
      <c r="BK216">
        <v>0</v>
      </c>
      <c r="BL216">
        <v>0</v>
      </c>
      <c r="BM216">
        <v>0</v>
      </c>
      <c r="BN216" s="80">
        <f t="shared" si="275"/>
        <v>3.3663600000000002</v>
      </c>
    </row>
    <row r="217" spans="1:66" x14ac:dyDescent="0.25">
      <c r="A217" t="s">
        <v>111</v>
      </c>
      <c r="B217">
        <v>3</v>
      </c>
      <c r="C217" t="s">
        <v>7</v>
      </c>
      <c r="D217">
        <v>8704</v>
      </c>
      <c r="E217">
        <v>256</v>
      </c>
      <c r="F217">
        <v>1</v>
      </c>
      <c r="G217">
        <v>4</v>
      </c>
      <c r="H217">
        <v>97.47</v>
      </c>
      <c r="I217" s="62">
        <v>4.5113000000000003</v>
      </c>
      <c r="J217" s="16">
        <v>45550</v>
      </c>
      <c r="K217" s="18">
        <v>0.13180555555555556</v>
      </c>
      <c r="L217">
        <v>0</v>
      </c>
      <c r="M217">
        <v>0</v>
      </c>
      <c r="N217">
        <v>0</v>
      </c>
      <c r="O217" s="80">
        <f t="shared" si="266"/>
        <v>4.4995400000000005</v>
      </c>
      <c r="R217" t="s">
        <v>111</v>
      </c>
      <c r="S217">
        <v>3</v>
      </c>
      <c r="T217" t="s">
        <v>7</v>
      </c>
      <c r="U217">
        <v>8704</v>
      </c>
      <c r="V217">
        <v>256</v>
      </c>
      <c r="W217">
        <v>1</v>
      </c>
      <c r="X217">
        <v>4</v>
      </c>
      <c r="Y217">
        <v>97.56</v>
      </c>
      <c r="Z217" s="62">
        <v>4.5071000000000003</v>
      </c>
      <c r="AA217" s="16">
        <v>45559</v>
      </c>
      <c r="AB217" s="18">
        <v>0.77615740740740746</v>
      </c>
      <c r="AC217">
        <v>0</v>
      </c>
      <c r="AD217">
        <v>0</v>
      </c>
      <c r="AE217">
        <v>0</v>
      </c>
      <c r="AF217" s="80">
        <f>AF216</f>
        <v>4.5111000000000008</v>
      </c>
      <c r="AI217" t="s">
        <v>149</v>
      </c>
      <c r="AJ217">
        <v>3</v>
      </c>
      <c r="AK217" t="s">
        <v>7</v>
      </c>
      <c r="AL217">
        <v>8704</v>
      </c>
      <c r="AM217">
        <v>256</v>
      </c>
      <c r="AN217">
        <v>1</v>
      </c>
      <c r="AO217">
        <v>4</v>
      </c>
      <c r="AP217">
        <v>74.5</v>
      </c>
      <c r="AQ217" s="62">
        <v>5.9023000000000003</v>
      </c>
      <c r="AR217" s="16">
        <v>45559</v>
      </c>
      <c r="AS217" s="18">
        <v>0.70479166666666671</v>
      </c>
      <c r="AT217">
        <v>0</v>
      </c>
      <c r="AU217">
        <v>0</v>
      </c>
      <c r="AV217">
        <v>0</v>
      </c>
      <c r="AW217" s="80">
        <f t="shared" si="274"/>
        <v>5.9102200000000007</v>
      </c>
      <c r="AZ217" t="s">
        <v>149</v>
      </c>
      <c r="BA217">
        <v>3</v>
      </c>
      <c r="BB217" t="s">
        <v>7</v>
      </c>
      <c r="BC217">
        <v>8704</v>
      </c>
      <c r="BD217">
        <v>256</v>
      </c>
      <c r="BE217">
        <v>1</v>
      </c>
      <c r="BF217">
        <v>4</v>
      </c>
      <c r="BG217">
        <v>129.54</v>
      </c>
      <c r="BH217" s="62">
        <v>3.3946000000000001</v>
      </c>
      <c r="BI217" s="16">
        <v>45559</v>
      </c>
      <c r="BJ217" s="18">
        <v>0.92821759259259262</v>
      </c>
      <c r="BK217">
        <v>0</v>
      </c>
      <c r="BL217">
        <v>0</v>
      </c>
      <c r="BM217">
        <v>0</v>
      </c>
      <c r="BN217" s="80">
        <f t="shared" si="275"/>
        <v>3.3663600000000002</v>
      </c>
    </row>
    <row r="218" spans="1:66" x14ac:dyDescent="0.25">
      <c r="A218" t="s">
        <v>111</v>
      </c>
      <c r="B218">
        <v>4</v>
      </c>
      <c r="C218" t="s">
        <v>7</v>
      </c>
      <c r="D218">
        <v>8704</v>
      </c>
      <c r="E218">
        <v>256</v>
      </c>
      <c r="F218">
        <v>1</v>
      </c>
      <c r="G218">
        <v>4</v>
      </c>
      <c r="H218">
        <v>97.7</v>
      </c>
      <c r="I218" s="62">
        <v>4.5007999999999999</v>
      </c>
      <c r="J218" s="16">
        <v>45550</v>
      </c>
      <c r="K218" s="18">
        <v>0.20299768518518518</v>
      </c>
      <c r="L218">
        <v>0</v>
      </c>
      <c r="M218">
        <v>0</v>
      </c>
      <c r="N218">
        <v>0</v>
      </c>
      <c r="O218" s="80">
        <f t="shared" si="266"/>
        <v>4.4995400000000005</v>
      </c>
      <c r="R218" t="s">
        <v>111</v>
      </c>
      <c r="S218">
        <v>4</v>
      </c>
      <c r="T218" t="s">
        <v>7</v>
      </c>
      <c r="U218">
        <v>8704</v>
      </c>
      <c r="V218">
        <v>256</v>
      </c>
      <c r="W218">
        <v>1</v>
      </c>
      <c r="X218">
        <v>4</v>
      </c>
      <c r="Y218">
        <v>97.67</v>
      </c>
      <c r="Z218" s="62">
        <v>4.5023</v>
      </c>
      <c r="AA218" s="16">
        <v>45559</v>
      </c>
      <c r="AB218" s="18">
        <v>0.84732638888888889</v>
      </c>
      <c r="AC218">
        <v>0</v>
      </c>
      <c r="AD218">
        <v>0</v>
      </c>
      <c r="AE218">
        <v>0</v>
      </c>
      <c r="AF218" s="80">
        <f>AF217</f>
        <v>4.5111000000000008</v>
      </c>
      <c r="AI218" t="s">
        <v>149</v>
      </c>
      <c r="AJ218">
        <v>4</v>
      </c>
      <c r="AK218" t="s">
        <v>7</v>
      </c>
      <c r="AL218">
        <v>8704</v>
      </c>
      <c r="AM218">
        <v>256</v>
      </c>
      <c r="AN218">
        <v>1</v>
      </c>
      <c r="AO218">
        <v>4</v>
      </c>
      <c r="AP218">
        <v>74.63</v>
      </c>
      <c r="AQ218" s="62">
        <v>5.8917000000000002</v>
      </c>
      <c r="AR218" s="16">
        <v>45559</v>
      </c>
      <c r="AS218" s="18">
        <v>0.7590972222222222</v>
      </c>
      <c r="AT218">
        <v>0</v>
      </c>
      <c r="AU218">
        <v>0</v>
      </c>
      <c r="AV218">
        <v>0</v>
      </c>
      <c r="AW218" s="80">
        <f t="shared" si="274"/>
        <v>5.9102200000000007</v>
      </c>
      <c r="AZ218" t="s">
        <v>149</v>
      </c>
      <c r="BA218">
        <v>4</v>
      </c>
      <c r="BB218" t="s">
        <v>7</v>
      </c>
      <c r="BC218">
        <v>8704</v>
      </c>
      <c r="BD218">
        <v>256</v>
      </c>
      <c r="BE218">
        <v>1</v>
      </c>
      <c r="BF218">
        <v>4</v>
      </c>
      <c r="BG218">
        <v>134.37</v>
      </c>
      <c r="BH218" s="62">
        <v>3.2726000000000002</v>
      </c>
      <c r="BI218" s="16">
        <v>45560</v>
      </c>
      <c r="BJ218" s="18">
        <v>2.4120370370370372E-2</v>
      </c>
      <c r="BK218">
        <v>0</v>
      </c>
      <c r="BL218">
        <v>0</v>
      </c>
      <c r="BM218">
        <v>0</v>
      </c>
      <c r="BN218" s="80">
        <f t="shared" si="275"/>
        <v>3.3663600000000002</v>
      </c>
    </row>
    <row r="219" spans="1:66" x14ac:dyDescent="0.25">
      <c r="A219" t="s">
        <v>111</v>
      </c>
      <c r="B219">
        <v>0</v>
      </c>
      <c r="C219" t="s">
        <v>7</v>
      </c>
      <c r="D219">
        <v>9216</v>
      </c>
      <c r="E219">
        <v>256</v>
      </c>
      <c r="F219">
        <v>1</v>
      </c>
      <c r="G219">
        <v>4</v>
      </c>
      <c r="H219">
        <v>115.91</v>
      </c>
      <c r="I219" s="62">
        <v>4.5030000000000001</v>
      </c>
      <c r="J219" s="16">
        <v>45549</v>
      </c>
      <c r="K219" s="18">
        <v>0.9418171296296296</v>
      </c>
      <c r="L219">
        <v>0</v>
      </c>
      <c r="M219">
        <v>0</v>
      </c>
      <c r="N219">
        <v>0</v>
      </c>
      <c r="O219" s="80">
        <f t="shared" ref="O219" si="276">AVERAGE(I219:I223)</f>
        <v>4.5158800000000001</v>
      </c>
      <c r="R219" t="s">
        <v>111</v>
      </c>
      <c r="S219">
        <v>0</v>
      </c>
      <c r="T219" t="s">
        <v>7</v>
      </c>
      <c r="U219">
        <v>9216</v>
      </c>
      <c r="V219">
        <v>256</v>
      </c>
      <c r="W219">
        <v>1</v>
      </c>
      <c r="X219">
        <v>4</v>
      </c>
      <c r="Y219">
        <v>115.46</v>
      </c>
      <c r="Z219" s="62">
        <v>4.5208000000000004</v>
      </c>
      <c r="AA219" s="16">
        <v>45559</v>
      </c>
      <c r="AB219" s="18">
        <v>0.58603009259259264</v>
      </c>
      <c r="AC219">
        <v>0</v>
      </c>
      <c r="AD219">
        <v>0</v>
      </c>
      <c r="AE219">
        <v>0</v>
      </c>
      <c r="AF219" s="80">
        <f>AVERAGE(Z219:Z223)</f>
        <v>4.5186799999999998</v>
      </c>
      <c r="AI219" t="s">
        <v>149</v>
      </c>
      <c r="AJ219">
        <v>0</v>
      </c>
      <c r="AK219" t="s">
        <v>7</v>
      </c>
      <c r="AL219">
        <v>9216</v>
      </c>
      <c r="AM219">
        <v>256</v>
      </c>
      <c r="AN219">
        <v>1</v>
      </c>
      <c r="AO219">
        <v>4</v>
      </c>
      <c r="AP219">
        <v>87.16</v>
      </c>
      <c r="AQ219" s="62">
        <v>5.9888000000000003</v>
      </c>
      <c r="AR219" s="16">
        <v>45559</v>
      </c>
      <c r="AS219" s="18">
        <v>0.56003472222222217</v>
      </c>
      <c r="AT219">
        <v>0</v>
      </c>
      <c r="AU219">
        <v>0</v>
      </c>
      <c r="AV219">
        <v>0</v>
      </c>
      <c r="AW219" s="80">
        <f t="shared" ref="AW219" si="277">AVERAGE(AQ219:AQ223)</f>
        <v>5.9939400000000003</v>
      </c>
      <c r="AZ219" t="s">
        <v>149</v>
      </c>
      <c r="BA219">
        <v>0</v>
      </c>
      <c r="BB219" t="s">
        <v>7</v>
      </c>
      <c r="BC219">
        <v>9216</v>
      </c>
      <c r="BD219">
        <v>256</v>
      </c>
      <c r="BE219">
        <v>1</v>
      </c>
      <c r="BF219">
        <v>4</v>
      </c>
      <c r="BG219">
        <v>149.52000000000001</v>
      </c>
      <c r="BH219" s="62">
        <v>3.4908000000000001</v>
      </c>
      <c r="BI219" s="16">
        <v>45559</v>
      </c>
      <c r="BJ219" s="18">
        <v>0.67335648148148153</v>
      </c>
      <c r="BK219">
        <v>0</v>
      </c>
      <c r="BL219">
        <v>0</v>
      </c>
      <c r="BM219">
        <v>0</v>
      </c>
      <c r="BN219" s="80">
        <f t="shared" ref="BN219" si="278">AVERAGE(BH219:BH223)</f>
        <v>3.5074599999999996</v>
      </c>
    </row>
    <row r="220" spans="1:66" x14ac:dyDescent="0.25">
      <c r="A220" t="s">
        <v>111</v>
      </c>
      <c r="B220">
        <v>1</v>
      </c>
      <c r="C220" t="s">
        <v>7</v>
      </c>
      <c r="D220">
        <v>9216</v>
      </c>
      <c r="E220">
        <v>256</v>
      </c>
      <c r="F220">
        <v>1</v>
      </c>
      <c r="G220">
        <v>4</v>
      </c>
      <c r="H220">
        <v>115.22</v>
      </c>
      <c r="I220" s="62">
        <v>4.5301999999999998</v>
      </c>
      <c r="J220" s="16">
        <v>45550</v>
      </c>
      <c r="K220" s="18">
        <v>1.3090277777777777E-2</v>
      </c>
      <c r="L220">
        <v>0</v>
      </c>
      <c r="M220">
        <v>0</v>
      </c>
      <c r="N220">
        <v>0</v>
      </c>
      <c r="O220" s="80">
        <f t="shared" ref="O220" si="279">O219</f>
        <v>4.5158800000000001</v>
      </c>
      <c r="R220" t="s">
        <v>111</v>
      </c>
      <c r="S220">
        <v>1</v>
      </c>
      <c r="T220" t="s">
        <v>7</v>
      </c>
      <c r="U220">
        <v>9216</v>
      </c>
      <c r="V220">
        <v>256</v>
      </c>
      <c r="W220">
        <v>1</v>
      </c>
      <c r="X220">
        <v>4</v>
      </c>
      <c r="Y220">
        <v>115.57</v>
      </c>
      <c r="Z220" s="62">
        <v>4.5164999999999997</v>
      </c>
      <c r="AA220" s="16">
        <v>45559</v>
      </c>
      <c r="AB220" s="18">
        <v>0.65725694444444449</v>
      </c>
      <c r="AC220">
        <v>0</v>
      </c>
      <c r="AD220">
        <v>0</v>
      </c>
      <c r="AE220">
        <v>0</v>
      </c>
      <c r="AF220" s="80">
        <f t="shared" ref="AF220:AF226" si="280">AF219</f>
        <v>4.5186799999999998</v>
      </c>
      <c r="AI220" t="s">
        <v>149</v>
      </c>
      <c r="AJ220">
        <v>1</v>
      </c>
      <c r="AK220" t="s">
        <v>7</v>
      </c>
      <c r="AL220">
        <v>9216</v>
      </c>
      <c r="AM220">
        <v>256</v>
      </c>
      <c r="AN220">
        <v>1</v>
      </c>
      <c r="AO220">
        <v>4</v>
      </c>
      <c r="AP220">
        <v>86.83</v>
      </c>
      <c r="AQ220" s="62">
        <v>6.0113000000000003</v>
      </c>
      <c r="AR220" s="16">
        <v>45559</v>
      </c>
      <c r="AS220" s="18">
        <v>0.61417824074074079</v>
      </c>
      <c r="AT220">
        <v>0</v>
      </c>
      <c r="AU220">
        <v>0</v>
      </c>
      <c r="AV220">
        <v>0</v>
      </c>
      <c r="AW220" s="80">
        <f t="shared" ref="AW220:AW223" si="281">AW219</f>
        <v>5.9939400000000003</v>
      </c>
      <c r="AZ220" t="s">
        <v>149</v>
      </c>
      <c r="BA220">
        <v>1</v>
      </c>
      <c r="BB220" t="s">
        <v>7</v>
      </c>
      <c r="BC220">
        <v>9216</v>
      </c>
      <c r="BD220">
        <v>256</v>
      </c>
      <c r="BE220">
        <v>1</v>
      </c>
      <c r="BF220">
        <v>4</v>
      </c>
      <c r="BG220">
        <v>153.80000000000001</v>
      </c>
      <c r="BH220" s="62">
        <v>3.3938999999999999</v>
      </c>
      <c r="BI220" s="16">
        <v>45559</v>
      </c>
      <c r="BJ220" s="18">
        <v>0.76890046296296299</v>
      </c>
      <c r="BK220">
        <v>0</v>
      </c>
      <c r="BL220">
        <v>0</v>
      </c>
      <c r="BM220">
        <v>0</v>
      </c>
      <c r="BN220" s="80">
        <f t="shared" ref="BN220:BN223" si="282">BN219</f>
        <v>3.5074599999999996</v>
      </c>
    </row>
    <row r="221" spans="1:66" x14ac:dyDescent="0.25">
      <c r="A221" t="s">
        <v>111</v>
      </c>
      <c r="B221">
        <v>2</v>
      </c>
      <c r="C221" t="s">
        <v>7</v>
      </c>
      <c r="D221">
        <v>9216</v>
      </c>
      <c r="E221">
        <v>256</v>
      </c>
      <c r="F221">
        <v>1</v>
      </c>
      <c r="G221">
        <v>4</v>
      </c>
      <c r="H221">
        <v>115.5</v>
      </c>
      <c r="I221" s="62">
        <v>4.5191999999999997</v>
      </c>
      <c r="J221" s="16">
        <v>45550</v>
      </c>
      <c r="K221" s="18">
        <v>8.4224537037037042E-2</v>
      </c>
      <c r="L221">
        <v>0</v>
      </c>
      <c r="M221">
        <v>0</v>
      </c>
      <c r="N221">
        <v>0</v>
      </c>
      <c r="O221" s="80">
        <f t="shared" si="266"/>
        <v>4.5158800000000001</v>
      </c>
      <c r="R221" t="s">
        <v>111</v>
      </c>
      <c r="S221">
        <v>2</v>
      </c>
      <c r="T221" t="s">
        <v>7</v>
      </c>
      <c r="U221">
        <v>9216</v>
      </c>
      <c r="V221">
        <v>256</v>
      </c>
      <c r="W221">
        <v>1</v>
      </c>
      <c r="X221">
        <v>4</v>
      </c>
      <c r="Y221">
        <v>115.43</v>
      </c>
      <c r="Z221" s="62">
        <v>4.5220000000000002</v>
      </c>
      <c r="AA221" s="16">
        <v>45559</v>
      </c>
      <c r="AB221" s="18">
        <v>0.72850694444444442</v>
      </c>
      <c r="AC221">
        <v>0</v>
      </c>
      <c r="AD221">
        <v>0</v>
      </c>
      <c r="AE221">
        <v>0</v>
      </c>
      <c r="AF221" s="80">
        <f t="shared" si="280"/>
        <v>4.5186799999999998</v>
      </c>
      <c r="AI221" t="s">
        <v>149</v>
      </c>
      <c r="AJ221">
        <v>2</v>
      </c>
      <c r="AK221" t="s">
        <v>7</v>
      </c>
      <c r="AL221">
        <v>9216</v>
      </c>
      <c r="AM221">
        <v>256</v>
      </c>
      <c r="AN221">
        <v>1</v>
      </c>
      <c r="AO221">
        <v>4</v>
      </c>
      <c r="AP221">
        <v>87.24</v>
      </c>
      <c r="AQ221" s="62">
        <v>5.9833999999999996</v>
      </c>
      <c r="AR221" s="16">
        <v>45559</v>
      </c>
      <c r="AS221" s="18">
        <v>0.66842592592592598</v>
      </c>
      <c r="AT221">
        <v>0</v>
      </c>
      <c r="AU221">
        <v>0</v>
      </c>
      <c r="AV221">
        <v>0</v>
      </c>
      <c r="AW221" s="80">
        <f t="shared" si="281"/>
        <v>5.9939400000000003</v>
      </c>
      <c r="AZ221" t="s">
        <v>149</v>
      </c>
      <c r="BA221">
        <v>2</v>
      </c>
      <c r="BB221" t="s">
        <v>7</v>
      </c>
      <c r="BC221">
        <v>9216</v>
      </c>
      <c r="BD221">
        <v>256</v>
      </c>
      <c r="BE221">
        <v>1</v>
      </c>
      <c r="BF221">
        <v>4</v>
      </c>
      <c r="BG221">
        <v>147.16999999999999</v>
      </c>
      <c r="BH221" s="62">
        <v>3.5467</v>
      </c>
      <c r="BI221" s="16">
        <v>45559</v>
      </c>
      <c r="BJ221" s="18">
        <v>0.86418981481481483</v>
      </c>
      <c r="BK221">
        <v>0</v>
      </c>
      <c r="BL221">
        <v>0</v>
      </c>
      <c r="BM221">
        <v>0</v>
      </c>
      <c r="BN221" s="80">
        <f t="shared" si="282"/>
        <v>3.5074599999999996</v>
      </c>
    </row>
    <row r="222" spans="1:66" x14ac:dyDescent="0.25">
      <c r="A222" t="s">
        <v>111</v>
      </c>
      <c r="B222">
        <v>3</v>
      </c>
      <c r="C222" t="s">
        <v>7</v>
      </c>
      <c r="D222">
        <v>9216</v>
      </c>
      <c r="E222">
        <v>256</v>
      </c>
      <c r="F222">
        <v>1</v>
      </c>
      <c r="G222">
        <v>4</v>
      </c>
      <c r="H222">
        <v>115.75</v>
      </c>
      <c r="I222" s="62">
        <v>4.5095000000000001</v>
      </c>
      <c r="J222" s="16">
        <v>45550</v>
      </c>
      <c r="K222" s="18">
        <v>0.15538194444444445</v>
      </c>
      <c r="L222">
        <v>0</v>
      </c>
      <c r="M222">
        <v>0</v>
      </c>
      <c r="N222">
        <v>0</v>
      </c>
      <c r="O222" s="80">
        <f t="shared" si="266"/>
        <v>4.5158800000000001</v>
      </c>
      <c r="R222" t="s">
        <v>111</v>
      </c>
      <c r="S222">
        <v>3</v>
      </c>
      <c r="T222" t="s">
        <v>7</v>
      </c>
      <c r="U222">
        <v>9216</v>
      </c>
      <c r="V222">
        <v>256</v>
      </c>
      <c r="W222">
        <v>1</v>
      </c>
      <c r="X222">
        <v>4</v>
      </c>
      <c r="Y222">
        <v>115.44</v>
      </c>
      <c r="Z222" s="62">
        <v>4.5213999999999999</v>
      </c>
      <c r="AA222" s="16">
        <v>45559</v>
      </c>
      <c r="AB222" s="18">
        <v>0.7999074074074074</v>
      </c>
      <c r="AC222">
        <v>0</v>
      </c>
      <c r="AD222">
        <v>0</v>
      </c>
      <c r="AE222">
        <v>0</v>
      </c>
      <c r="AF222" s="80">
        <f t="shared" si="280"/>
        <v>4.5186799999999998</v>
      </c>
      <c r="AI222" t="s">
        <v>149</v>
      </c>
      <c r="AJ222">
        <v>3</v>
      </c>
      <c r="AK222" t="s">
        <v>7</v>
      </c>
      <c r="AL222">
        <v>9216</v>
      </c>
      <c r="AM222">
        <v>256</v>
      </c>
      <c r="AN222">
        <v>1</v>
      </c>
      <c r="AO222">
        <v>4</v>
      </c>
      <c r="AP222">
        <v>86.94</v>
      </c>
      <c r="AQ222" s="62">
        <v>6.0034999999999998</v>
      </c>
      <c r="AR222" s="16">
        <v>45559</v>
      </c>
      <c r="AS222" s="18">
        <v>0.72258101851851853</v>
      </c>
      <c r="AT222">
        <v>0</v>
      </c>
      <c r="AU222">
        <v>0</v>
      </c>
      <c r="AV222">
        <v>0</v>
      </c>
      <c r="AW222" s="80">
        <f t="shared" si="281"/>
        <v>5.9939400000000003</v>
      </c>
      <c r="AZ222" t="s">
        <v>149</v>
      </c>
      <c r="BA222">
        <v>3</v>
      </c>
      <c r="BB222" t="s">
        <v>7</v>
      </c>
      <c r="BC222">
        <v>9216</v>
      </c>
      <c r="BD222">
        <v>256</v>
      </c>
      <c r="BE222">
        <v>1</v>
      </c>
      <c r="BF222">
        <v>4</v>
      </c>
      <c r="BG222">
        <v>149.55000000000001</v>
      </c>
      <c r="BH222" s="62">
        <v>3.4902000000000002</v>
      </c>
      <c r="BI222" s="16">
        <v>45559</v>
      </c>
      <c r="BJ222" s="18">
        <v>0.95953703703703708</v>
      </c>
      <c r="BK222">
        <v>0</v>
      </c>
      <c r="BL222">
        <v>0</v>
      </c>
      <c r="BM222">
        <v>0</v>
      </c>
      <c r="BN222" s="80">
        <f t="shared" si="282"/>
        <v>3.5074599999999996</v>
      </c>
    </row>
    <row r="223" spans="1:66" x14ac:dyDescent="0.25">
      <c r="A223" t="s">
        <v>111</v>
      </c>
      <c r="B223">
        <v>4</v>
      </c>
      <c r="C223" t="s">
        <v>7</v>
      </c>
      <c r="D223">
        <v>9216</v>
      </c>
      <c r="E223">
        <v>256</v>
      </c>
      <c r="F223">
        <v>1</v>
      </c>
      <c r="G223">
        <v>4</v>
      </c>
      <c r="H223">
        <v>115.54</v>
      </c>
      <c r="I223" s="62">
        <v>4.5175000000000001</v>
      </c>
      <c r="J223" s="16">
        <v>45550</v>
      </c>
      <c r="K223" s="18">
        <v>0.22657407407407407</v>
      </c>
      <c r="L223">
        <v>0</v>
      </c>
      <c r="M223">
        <v>0</v>
      </c>
      <c r="N223">
        <v>0</v>
      </c>
      <c r="O223" s="80">
        <f t="shared" si="266"/>
        <v>4.5158800000000001</v>
      </c>
      <c r="R223" t="s">
        <v>111</v>
      </c>
      <c r="S223">
        <v>4</v>
      </c>
      <c r="T223" t="s">
        <v>7</v>
      </c>
      <c r="U223">
        <v>9216</v>
      </c>
      <c r="V223">
        <v>256</v>
      </c>
      <c r="W223">
        <v>1</v>
      </c>
      <c r="X223">
        <v>4</v>
      </c>
      <c r="Y223">
        <v>115.67</v>
      </c>
      <c r="Z223" s="62">
        <v>4.5126999999999997</v>
      </c>
      <c r="AA223" s="16">
        <v>45559</v>
      </c>
      <c r="AB223" s="18">
        <v>0.87084490740740739</v>
      </c>
      <c r="AC223">
        <v>0</v>
      </c>
      <c r="AD223">
        <v>0</v>
      </c>
      <c r="AE223">
        <v>0</v>
      </c>
      <c r="AF223" s="80">
        <f t="shared" si="280"/>
        <v>4.5186799999999998</v>
      </c>
      <c r="AI223" t="s">
        <v>149</v>
      </c>
      <c r="AJ223">
        <v>4</v>
      </c>
      <c r="AK223" t="s">
        <v>7</v>
      </c>
      <c r="AL223">
        <v>9216</v>
      </c>
      <c r="AM223">
        <v>256</v>
      </c>
      <c r="AN223">
        <v>1</v>
      </c>
      <c r="AO223">
        <v>4</v>
      </c>
      <c r="AP223">
        <v>87.25</v>
      </c>
      <c r="AQ223" s="62">
        <v>5.9827000000000004</v>
      </c>
      <c r="AR223" s="16">
        <v>45559</v>
      </c>
      <c r="AS223" s="18">
        <v>0.77689814814814817</v>
      </c>
      <c r="AT223">
        <v>0</v>
      </c>
      <c r="AU223">
        <v>0</v>
      </c>
      <c r="AV223">
        <v>0</v>
      </c>
      <c r="AW223" s="80">
        <f t="shared" si="281"/>
        <v>5.9939400000000003</v>
      </c>
      <c r="AZ223" t="s">
        <v>149</v>
      </c>
      <c r="BA223">
        <v>4</v>
      </c>
      <c r="BB223" t="s">
        <v>7</v>
      </c>
      <c r="BC223">
        <v>9216</v>
      </c>
      <c r="BD223">
        <v>256</v>
      </c>
      <c r="BE223">
        <v>1</v>
      </c>
      <c r="BF223">
        <v>4</v>
      </c>
      <c r="BG223">
        <v>144.36000000000001</v>
      </c>
      <c r="BH223" s="62">
        <v>3.6156999999999999</v>
      </c>
      <c r="BI223" s="16">
        <v>45560</v>
      </c>
      <c r="BJ223" s="18">
        <v>5.5439814814814817E-2</v>
      </c>
      <c r="BK223">
        <v>0</v>
      </c>
      <c r="BL223">
        <v>0</v>
      </c>
      <c r="BM223">
        <v>0</v>
      </c>
      <c r="BN223" s="80">
        <f t="shared" si="282"/>
        <v>3.5074599999999996</v>
      </c>
    </row>
    <row r="224" spans="1:66" x14ac:dyDescent="0.25">
      <c r="A224" t="s">
        <v>111</v>
      </c>
      <c r="B224">
        <v>0</v>
      </c>
      <c r="C224" t="s">
        <v>7</v>
      </c>
      <c r="D224">
        <v>9728</v>
      </c>
      <c r="E224">
        <v>256</v>
      </c>
      <c r="F224">
        <v>1</v>
      </c>
      <c r="G224">
        <v>4</v>
      </c>
      <c r="H224">
        <v>133.88999999999999</v>
      </c>
      <c r="I224" s="62">
        <v>4.5850999999999997</v>
      </c>
      <c r="J224" s="16">
        <v>45549</v>
      </c>
      <c r="K224" s="18">
        <v>0.96894675925925922</v>
      </c>
      <c r="L224">
        <v>0</v>
      </c>
      <c r="M224">
        <v>0</v>
      </c>
      <c r="N224">
        <v>0</v>
      </c>
      <c r="O224" s="80">
        <f t="shared" ref="O224" si="283">AVERAGE(I224:I228)</f>
        <v>4.5907799999999996</v>
      </c>
      <c r="R224" t="s">
        <v>111</v>
      </c>
      <c r="S224">
        <v>0</v>
      </c>
      <c r="T224" t="s">
        <v>7</v>
      </c>
      <c r="U224">
        <v>9728</v>
      </c>
      <c r="V224">
        <v>256</v>
      </c>
      <c r="W224">
        <v>1</v>
      </c>
      <c r="X224">
        <v>4</v>
      </c>
      <c r="Y224">
        <v>133.22999999999999</v>
      </c>
      <c r="Z224" s="62">
        <v>4.6074999999999999</v>
      </c>
      <c r="AA224" s="16">
        <v>45559</v>
      </c>
      <c r="AB224" s="18">
        <v>0.61312500000000003</v>
      </c>
      <c r="AC224">
        <v>0</v>
      </c>
      <c r="AD224">
        <v>0</v>
      </c>
      <c r="AE224">
        <v>0</v>
      </c>
      <c r="AF224" s="80">
        <f t="shared" si="280"/>
        <v>4.5186799999999998</v>
      </c>
      <c r="AI224" t="s">
        <v>149</v>
      </c>
      <c r="AJ224">
        <v>0</v>
      </c>
      <c r="AK224" t="s">
        <v>7</v>
      </c>
      <c r="AL224">
        <v>9728</v>
      </c>
      <c r="AM224">
        <v>256</v>
      </c>
      <c r="AN224">
        <v>1</v>
      </c>
      <c r="AO224">
        <v>4</v>
      </c>
      <c r="AP224">
        <v>100.66</v>
      </c>
      <c r="AQ224" s="62">
        <v>6.0986000000000002</v>
      </c>
      <c r="AR224" s="16">
        <v>45559</v>
      </c>
      <c r="AS224" s="18">
        <v>0.58062499999999995</v>
      </c>
      <c r="AT224">
        <v>0</v>
      </c>
      <c r="AU224">
        <v>0</v>
      </c>
      <c r="AV224">
        <v>0</v>
      </c>
      <c r="AW224" s="80">
        <f t="shared" ref="AW224" si="284">AVERAGE(AQ224:AQ228)</f>
        <v>6.0814800000000009</v>
      </c>
      <c r="AZ224" t="s">
        <v>149</v>
      </c>
      <c r="BA224">
        <v>0</v>
      </c>
      <c r="BB224" t="s">
        <v>7</v>
      </c>
      <c r="BC224">
        <v>9728</v>
      </c>
      <c r="BD224">
        <v>256</v>
      </c>
      <c r="BE224">
        <v>1</v>
      </c>
      <c r="BF224">
        <v>4</v>
      </c>
      <c r="BG224">
        <v>167.67</v>
      </c>
      <c r="BH224" s="62">
        <v>3.6613000000000002</v>
      </c>
      <c r="BI224" s="16">
        <v>45559</v>
      </c>
      <c r="BJ224" s="18">
        <v>0.70874999999999999</v>
      </c>
      <c r="BK224">
        <v>0</v>
      </c>
      <c r="BL224">
        <v>0</v>
      </c>
      <c r="BM224">
        <v>0</v>
      </c>
      <c r="BN224" s="80">
        <f t="shared" ref="BN224" si="285">AVERAGE(BH224:BH228)</f>
        <v>3.60276</v>
      </c>
    </row>
    <row r="225" spans="1:66" x14ac:dyDescent="0.25">
      <c r="A225" t="s">
        <v>111</v>
      </c>
      <c r="B225">
        <v>1</v>
      </c>
      <c r="C225" t="s">
        <v>7</v>
      </c>
      <c r="D225">
        <v>9728</v>
      </c>
      <c r="E225">
        <v>256</v>
      </c>
      <c r="F225">
        <v>1</v>
      </c>
      <c r="G225">
        <v>4</v>
      </c>
      <c r="H225">
        <v>133.72</v>
      </c>
      <c r="I225" s="62">
        <v>4.5907999999999998</v>
      </c>
      <c r="J225" s="16">
        <v>45550</v>
      </c>
      <c r="K225" s="18">
        <v>4.0208333333333332E-2</v>
      </c>
      <c r="L225">
        <v>0</v>
      </c>
      <c r="M225">
        <v>0</v>
      </c>
      <c r="N225">
        <v>0</v>
      </c>
      <c r="O225" s="80">
        <f t="shared" ref="O225" si="286">O224</f>
        <v>4.5907799999999996</v>
      </c>
      <c r="R225" t="s">
        <v>111</v>
      </c>
      <c r="S225">
        <v>1</v>
      </c>
      <c r="T225" t="s">
        <v>7</v>
      </c>
      <c r="U225">
        <v>9728</v>
      </c>
      <c r="V225">
        <v>256</v>
      </c>
      <c r="W225">
        <v>1</v>
      </c>
      <c r="X225">
        <v>4</v>
      </c>
      <c r="Y225">
        <v>133.35</v>
      </c>
      <c r="Z225" s="62">
        <v>4.6032999999999999</v>
      </c>
      <c r="AA225" s="16">
        <v>45559</v>
      </c>
      <c r="AB225" s="18">
        <v>0.68438657407407411</v>
      </c>
      <c r="AC225">
        <v>0</v>
      </c>
      <c r="AD225">
        <v>0</v>
      </c>
      <c r="AE225">
        <v>0</v>
      </c>
      <c r="AF225" s="80">
        <f t="shared" si="280"/>
        <v>4.5186799999999998</v>
      </c>
      <c r="AI225" t="s">
        <v>149</v>
      </c>
      <c r="AJ225">
        <v>1</v>
      </c>
      <c r="AK225" t="s">
        <v>7</v>
      </c>
      <c r="AL225">
        <v>9728</v>
      </c>
      <c r="AM225">
        <v>256</v>
      </c>
      <c r="AN225">
        <v>1</v>
      </c>
      <c r="AO225">
        <v>4</v>
      </c>
      <c r="AP225">
        <v>100.43</v>
      </c>
      <c r="AQ225" s="62">
        <v>6.1123000000000003</v>
      </c>
      <c r="AR225" s="16">
        <v>45559</v>
      </c>
      <c r="AS225" s="18">
        <v>0.63490740740740736</v>
      </c>
      <c r="AT225">
        <v>0</v>
      </c>
      <c r="AU225">
        <v>0</v>
      </c>
      <c r="AV225">
        <v>0</v>
      </c>
      <c r="AW225" s="80">
        <f t="shared" ref="AW225:AW228" si="287">AW224</f>
        <v>6.0814800000000009</v>
      </c>
      <c r="AZ225" t="s">
        <v>149</v>
      </c>
      <c r="BA225">
        <v>1</v>
      </c>
      <c r="BB225" t="s">
        <v>7</v>
      </c>
      <c r="BC225">
        <v>9728</v>
      </c>
      <c r="BD225">
        <v>256</v>
      </c>
      <c r="BE225">
        <v>1</v>
      </c>
      <c r="BF225">
        <v>4</v>
      </c>
      <c r="BG225">
        <v>168.47</v>
      </c>
      <c r="BH225" s="62">
        <v>3.6438000000000001</v>
      </c>
      <c r="BI225" s="16">
        <v>45559</v>
      </c>
      <c r="BJ225" s="18">
        <v>0.80407407407407405</v>
      </c>
      <c r="BK225">
        <v>0</v>
      </c>
      <c r="BL225">
        <v>0</v>
      </c>
      <c r="BM225">
        <v>0</v>
      </c>
      <c r="BN225" s="80">
        <f t="shared" ref="BN225:BN228" si="288">BN224</f>
        <v>3.60276</v>
      </c>
    </row>
    <row r="226" spans="1:66" x14ac:dyDescent="0.25">
      <c r="A226" t="s">
        <v>111</v>
      </c>
      <c r="B226">
        <v>2</v>
      </c>
      <c r="C226" t="s">
        <v>7</v>
      </c>
      <c r="D226">
        <v>9728</v>
      </c>
      <c r="E226">
        <v>256</v>
      </c>
      <c r="F226">
        <v>1</v>
      </c>
      <c r="G226">
        <v>4</v>
      </c>
      <c r="H226">
        <v>133.66</v>
      </c>
      <c r="I226" s="62">
        <v>4.5928000000000004</v>
      </c>
      <c r="J226" s="16">
        <v>45550</v>
      </c>
      <c r="K226" s="18">
        <v>0.11128472222222222</v>
      </c>
      <c r="L226">
        <v>0</v>
      </c>
      <c r="M226">
        <v>0</v>
      </c>
      <c r="N226">
        <v>0</v>
      </c>
      <c r="O226" s="80">
        <f t="shared" si="266"/>
        <v>4.5907799999999996</v>
      </c>
      <c r="R226" t="s">
        <v>111</v>
      </c>
      <c r="S226">
        <v>2</v>
      </c>
      <c r="T226" t="s">
        <v>7</v>
      </c>
      <c r="U226">
        <v>9728</v>
      </c>
      <c r="V226">
        <v>256</v>
      </c>
      <c r="W226">
        <v>1</v>
      </c>
      <c r="X226">
        <v>4</v>
      </c>
      <c r="Y226">
        <v>133.37</v>
      </c>
      <c r="Z226" s="62">
        <v>4.6026999999999996</v>
      </c>
      <c r="AA226" s="16">
        <v>45559</v>
      </c>
      <c r="AB226" s="18">
        <v>0.75563657407407403</v>
      </c>
      <c r="AC226">
        <v>0</v>
      </c>
      <c r="AD226">
        <v>0</v>
      </c>
      <c r="AE226">
        <v>0</v>
      </c>
      <c r="AF226" s="80">
        <f t="shared" si="280"/>
        <v>4.5186799999999998</v>
      </c>
      <c r="AI226" t="s">
        <v>149</v>
      </c>
      <c r="AJ226">
        <v>2</v>
      </c>
      <c r="AK226" t="s">
        <v>7</v>
      </c>
      <c r="AL226">
        <v>9728</v>
      </c>
      <c r="AM226">
        <v>256</v>
      </c>
      <c r="AN226">
        <v>1</v>
      </c>
      <c r="AO226">
        <v>4</v>
      </c>
      <c r="AP226">
        <v>100.11</v>
      </c>
      <c r="AQ226" s="62">
        <v>6.1321000000000003</v>
      </c>
      <c r="AR226" s="16">
        <v>45559</v>
      </c>
      <c r="AS226" s="18">
        <v>0.68906250000000002</v>
      </c>
      <c r="AT226">
        <v>0</v>
      </c>
      <c r="AU226">
        <v>0</v>
      </c>
      <c r="AV226">
        <v>0</v>
      </c>
      <c r="AW226" s="80">
        <f t="shared" si="287"/>
        <v>6.0814800000000009</v>
      </c>
      <c r="AZ226" t="s">
        <v>149</v>
      </c>
      <c r="BA226">
        <v>2</v>
      </c>
      <c r="BB226" t="s">
        <v>7</v>
      </c>
      <c r="BC226">
        <v>9728</v>
      </c>
      <c r="BD226">
        <v>256</v>
      </c>
      <c r="BE226">
        <v>1</v>
      </c>
      <c r="BF226">
        <v>4</v>
      </c>
      <c r="BG226">
        <v>178.03</v>
      </c>
      <c r="BH226" s="62">
        <v>3.4481000000000002</v>
      </c>
      <c r="BI226" s="16">
        <v>45559</v>
      </c>
      <c r="BJ226" s="18">
        <v>0.89982638888888888</v>
      </c>
      <c r="BK226">
        <v>0</v>
      </c>
      <c r="BL226">
        <v>0</v>
      </c>
      <c r="BM226">
        <v>0</v>
      </c>
      <c r="BN226" s="80">
        <f t="shared" si="288"/>
        <v>3.60276</v>
      </c>
    </row>
    <row r="227" spans="1:66" x14ac:dyDescent="0.25">
      <c r="A227" t="s">
        <v>111</v>
      </c>
      <c r="B227">
        <v>3</v>
      </c>
      <c r="C227" t="s">
        <v>7</v>
      </c>
      <c r="D227">
        <v>9728</v>
      </c>
      <c r="E227">
        <v>256</v>
      </c>
      <c r="F227">
        <v>1</v>
      </c>
      <c r="G227">
        <v>4</v>
      </c>
      <c r="H227">
        <v>133.46</v>
      </c>
      <c r="I227" s="62">
        <v>4.5998000000000001</v>
      </c>
      <c r="J227" s="16">
        <v>45550</v>
      </c>
      <c r="K227" s="18">
        <v>0.18247685185185186</v>
      </c>
      <c r="L227">
        <v>0</v>
      </c>
      <c r="M227">
        <v>0</v>
      </c>
      <c r="N227">
        <v>0</v>
      </c>
      <c r="O227" s="80">
        <f t="shared" si="266"/>
        <v>4.5907799999999996</v>
      </c>
      <c r="R227" t="s">
        <v>111</v>
      </c>
      <c r="S227">
        <v>3</v>
      </c>
      <c r="T227" t="s">
        <v>7</v>
      </c>
      <c r="U227">
        <v>9728</v>
      </c>
      <c r="V227">
        <v>256</v>
      </c>
      <c r="W227">
        <v>1</v>
      </c>
      <c r="X227">
        <v>4</v>
      </c>
      <c r="Y227">
        <v>133.4</v>
      </c>
      <c r="Z227" s="62">
        <v>4.6016000000000004</v>
      </c>
      <c r="AA227" s="16">
        <v>45559</v>
      </c>
      <c r="AB227" s="18">
        <v>0.82690972222222225</v>
      </c>
      <c r="AC227">
        <v>0</v>
      </c>
      <c r="AD227">
        <v>0</v>
      </c>
      <c r="AE227">
        <v>0</v>
      </c>
      <c r="AF227" s="80">
        <f>AVERAGE(Z227:Z231)</f>
        <v>4.6037999999999997</v>
      </c>
      <c r="AI227" t="s">
        <v>149</v>
      </c>
      <c r="AJ227">
        <v>3</v>
      </c>
      <c r="AK227" t="s">
        <v>7</v>
      </c>
      <c r="AL227">
        <v>9728</v>
      </c>
      <c r="AM227">
        <v>256</v>
      </c>
      <c r="AN227">
        <v>1</v>
      </c>
      <c r="AO227">
        <v>4</v>
      </c>
      <c r="AP227">
        <v>102.5</v>
      </c>
      <c r="AQ227" s="62">
        <v>5.9888000000000003</v>
      </c>
      <c r="AR227" s="16">
        <v>45559</v>
      </c>
      <c r="AS227" s="18">
        <v>0.74326388888888884</v>
      </c>
      <c r="AT227">
        <v>0</v>
      </c>
      <c r="AU227">
        <v>0</v>
      </c>
      <c r="AV227">
        <v>0</v>
      </c>
      <c r="AW227" s="80">
        <f t="shared" si="287"/>
        <v>6.0814800000000009</v>
      </c>
      <c r="AZ227" t="s">
        <v>149</v>
      </c>
      <c r="BA227">
        <v>3</v>
      </c>
      <c r="BB227" t="s">
        <v>7</v>
      </c>
      <c r="BC227">
        <v>9728</v>
      </c>
      <c r="BD227">
        <v>256</v>
      </c>
      <c r="BE227">
        <v>1</v>
      </c>
      <c r="BF227">
        <v>4</v>
      </c>
      <c r="BG227">
        <v>164.5</v>
      </c>
      <c r="BH227" s="62">
        <v>3.7317999999999998</v>
      </c>
      <c r="BI227" s="16">
        <v>45559</v>
      </c>
      <c r="BJ227" s="18">
        <v>0.99510416666666668</v>
      </c>
      <c r="BK227">
        <v>0</v>
      </c>
      <c r="BL227">
        <v>0</v>
      </c>
      <c r="BM227">
        <v>0</v>
      </c>
      <c r="BN227" s="80">
        <f t="shared" si="288"/>
        <v>3.60276</v>
      </c>
    </row>
    <row r="228" spans="1:66" x14ac:dyDescent="0.25">
      <c r="A228" t="s">
        <v>111</v>
      </c>
      <c r="B228">
        <v>4</v>
      </c>
      <c r="C228" t="s">
        <v>7</v>
      </c>
      <c r="D228">
        <v>9728</v>
      </c>
      <c r="E228">
        <v>256</v>
      </c>
      <c r="F228">
        <v>1</v>
      </c>
      <c r="G228">
        <v>4</v>
      </c>
      <c r="H228">
        <v>133.88</v>
      </c>
      <c r="I228" s="62">
        <v>4.5853999999999999</v>
      </c>
      <c r="J228" s="16">
        <v>45550</v>
      </c>
      <c r="K228" s="18">
        <v>0.25368055555555558</v>
      </c>
      <c r="L228">
        <v>0</v>
      </c>
      <c r="M228">
        <v>0</v>
      </c>
      <c r="N228">
        <v>0</v>
      </c>
      <c r="O228" s="80">
        <f t="shared" si="266"/>
        <v>4.5907799999999996</v>
      </c>
      <c r="R228" t="s">
        <v>111</v>
      </c>
      <c r="S228">
        <v>4</v>
      </c>
      <c r="T228" t="s">
        <v>7</v>
      </c>
      <c r="U228">
        <v>9728</v>
      </c>
      <c r="V228">
        <v>256</v>
      </c>
      <c r="W228">
        <v>1</v>
      </c>
      <c r="X228">
        <v>4</v>
      </c>
      <c r="Y228">
        <v>133.47999999999999</v>
      </c>
      <c r="Z228" s="62">
        <v>4.5989000000000004</v>
      </c>
      <c r="AA228" s="16">
        <v>45559</v>
      </c>
      <c r="AB228" s="18">
        <v>0.8978356481481482</v>
      </c>
      <c r="AC228">
        <v>0</v>
      </c>
      <c r="AD228">
        <v>0</v>
      </c>
      <c r="AE228">
        <v>0</v>
      </c>
      <c r="AF228" s="80">
        <f>AF227</f>
        <v>4.6037999999999997</v>
      </c>
      <c r="AI228" t="s">
        <v>149</v>
      </c>
      <c r="AJ228">
        <v>4</v>
      </c>
      <c r="AK228" t="s">
        <v>7</v>
      </c>
      <c r="AL228">
        <v>9728</v>
      </c>
      <c r="AM228">
        <v>256</v>
      </c>
      <c r="AN228">
        <v>1</v>
      </c>
      <c r="AO228">
        <v>4</v>
      </c>
      <c r="AP228">
        <v>101.04</v>
      </c>
      <c r="AQ228" s="62">
        <v>6.0755999999999997</v>
      </c>
      <c r="AR228" s="16">
        <v>45559</v>
      </c>
      <c r="AS228" s="18">
        <v>0.79766203703703709</v>
      </c>
      <c r="AT228">
        <v>0</v>
      </c>
      <c r="AU228">
        <v>0</v>
      </c>
      <c r="AV228">
        <v>0</v>
      </c>
      <c r="AW228" s="80">
        <f t="shared" si="287"/>
        <v>6.0814800000000009</v>
      </c>
      <c r="AZ228" t="s">
        <v>149</v>
      </c>
      <c r="BA228">
        <v>4</v>
      </c>
      <c r="BB228" t="s">
        <v>7</v>
      </c>
      <c r="BC228">
        <v>9728</v>
      </c>
      <c r="BD228">
        <v>256</v>
      </c>
      <c r="BE228">
        <v>1</v>
      </c>
      <c r="BF228">
        <v>4</v>
      </c>
      <c r="BG228">
        <v>173.96</v>
      </c>
      <c r="BH228" s="62">
        <v>3.5287999999999999</v>
      </c>
      <c r="BI228" s="16">
        <v>45560</v>
      </c>
      <c r="BJ228" s="18">
        <v>9.1030092592592593E-2</v>
      </c>
      <c r="BK228">
        <v>0</v>
      </c>
      <c r="BL228">
        <v>0</v>
      </c>
      <c r="BM228">
        <v>0</v>
      </c>
      <c r="BN228" s="80">
        <f t="shared" si="288"/>
        <v>3.60276</v>
      </c>
    </row>
    <row r="229" spans="1:66" x14ac:dyDescent="0.25">
      <c r="A229" t="s">
        <v>111</v>
      </c>
      <c r="B229">
        <v>0</v>
      </c>
      <c r="C229" t="s">
        <v>7</v>
      </c>
      <c r="D229">
        <v>8704</v>
      </c>
      <c r="E229">
        <v>256</v>
      </c>
      <c r="F229">
        <v>2</v>
      </c>
      <c r="G229">
        <v>2</v>
      </c>
      <c r="H229">
        <v>96.21</v>
      </c>
      <c r="I229" s="62">
        <v>4.5705</v>
      </c>
      <c r="J229" s="16">
        <v>45549</v>
      </c>
      <c r="K229" s="18">
        <v>0.91945601851851855</v>
      </c>
      <c r="L229">
        <v>0</v>
      </c>
      <c r="M229">
        <v>0</v>
      </c>
      <c r="N229">
        <v>0</v>
      </c>
      <c r="O229" s="80">
        <f t="shared" ref="O229" si="289">AVERAGE(I229:I233)</f>
        <v>4.5791199999999996</v>
      </c>
      <c r="R229" t="s">
        <v>111</v>
      </c>
      <c r="S229">
        <v>0</v>
      </c>
      <c r="T229" t="s">
        <v>7</v>
      </c>
      <c r="U229">
        <v>8704</v>
      </c>
      <c r="V229">
        <v>256</v>
      </c>
      <c r="W229">
        <v>2</v>
      </c>
      <c r="X229">
        <v>2</v>
      </c>
      <c r="Y229">
        <v>95.46</v>
      </c>
      <c r="Z229" s="62">
        <v>4.6060999999999996</v>
      </c>
      <c r="AA229" s="16">
        <v>45559</v>
      </c>
      <c r="AB229" s="18">
        <v>0.56362268518518521</v>
      </c>
      <c r="AC229">
        <v>0</v>
      </c>
      <c r="AD229">
        <v>0</v>
      </c>
      <c r="AE229">
        <v>0</v>
      </c>
      <c r="AF229" s="80">
        <f>AVERAGE(Z229:Z233)</f>
        <v>4.6063400000000003</v>
      </c>
      <c r="AI229" t="s">
        <v>149</v>
      </c>
      <c r="AJ229">
        <v>0</v>
      </c>
      <c r="AK229" t="s">
        <v>7</v>
      </c>
      <c r="AL229">
        <v>8704</v>
      </c>
      <c r="AM229">
        <v>256</v>
      </c>
      <c r="AN229">
        <v>2</v>
      </c>
      <c r="AO229">
        <v>2</v>
      </c>
      <c r="AP229">
        <v>73.52</v>
      </c>
      <c r="AQ229" s="62">
        <v>5.9810999999999996</v>
      </c>
      <c r="AR229" s="16">
        <v>45559</v>
      </c>
      <c r="AS229" s="18">
        <v>0.54324074074074069</v>
      </c>
      <c r="AT229">
        <v>0</v>
      </c>
      <c r="AU229">
        <v>0</v>
      </c>
      <c r="AV229">
        <v>0</v>
      </c>
      <c r="AW229" s="80">
        <f t="shared" ref="AW229" si="290">AVERAGE(AQ229:AQ233)</f>
        <v>5.9747599999999998</v>
      </c>
      <c r="AZ229" t="s">
        <v>149</v>
      </c>
      <c r="BA229">
        <v>0</v>
      </c>
      <c r="BB229" t="s">
        <v>7</v>
      </c>
      <c r="BC229">
        <v>8704</v>
      </c>
      <c r="BD229">
        <v>256</v>
      </c>
      <c r="BE229">
        <v>2</v>
      </c>
      <c r="BF229">
        <v>2</v>
      </c>
      <c r="BG229">
        <v>162.25</v>
      </c>
      <c r="BH229" s="62">
        <v>2.7101999999999999</v>
      </c>
      <c r="BI229" s="16">
        <v>45559</v>
      </c>
      <c r="BJ229" s="18">
        <v>0.64380787037037035</v>
      </c>
      <c r="BK229">
        <v>0</v>
      </c>
      <c r="BL229">
        <v>0</v>
      </c>
      <c r="BM229">
        <v>0</v>
      </c>
      <c r="BN229" s="80">
        <f t="shared" ref="BN229" si="291">AVERAGE(BH229:BH233)</f>
        <v>2.79956</v>
      </c>
    </row>
    <row r="230" spans="1:66" x14ac:dyDescent="0.25">
      <c r="A230" t="s">
        <v>111</v>
      </c>
      <c r="B230">
        <v>1</v>
      </c>
      <c r="C230" t="s">
        <v>7</v>
      </c>
      <c r="D230">
        <v>8704</v>
      </c>
      <c r="E230">
        <v>256</v>
      </c>
      <c r="F230">
        <v>2</v>
      </c>
      <c r="G230">
        <v>2</v>
      </c>
      <c r="H230">
        <v>95.95</v>
      </c>
      <c r="I230" s="62">
        <v>4.5827</v>
      </c>
      <c r="J230" s="16">
        <v>45549</v>
      </c>
      <c r="K230" s="18">
        <v>0.99072916666666666</v>
      </c>
      <c r="L230">
        <v>0</v>
      </c>
      <c r="M230">
        <v>0</v>
      </c>
      <c r="N230">
        <v>0</v>
      </c>
      <c r="O230" s="80">
        <f t="shared" ref="O230" si="292">O229</f>
        <v>4.5791199999999996</v>
      </c>
      <c r="R230" t="s">
        <v>111</v>
      </c>
      <c r="S230">
        <v>1</v>
      </c>
      <c r="T230" t="s">
        <v>7</v>
      </c>
      <c r="U230">
        <v>8704</v>
      </c>
      <c r="V230">
        <v>256</v>
      </c>
      <c r="W230">
        <v>2</v>
      </c>
      <c r="X230">
        <v>2</v>
      </c>
      <c r="Y230">
        <v>95.46</v>
      </c>
      <c r="Z230" s="62">
        <v>4.6064999999999996</v>
      </c>
      <c r="AA230" s="16">
        <v>45559</v>
      </c>
      <c r="AB230" s="18">
        <v>0.63487268518518514</v>
      </c>
      <c r="AC230">
        <v>0</v>
      </c>
      <c r="AD230">
        <v>0</v>
      </c>
      <c r="AE230">
        <v>0</v>
      </c>
      <c r="AF230" s="80">
        <f t="shared" ref="AF230:AF236" si="293">AF229</f>
        <v>4.6063400000000003</v>
      </c>
      <c r="AI230" t="s">
        <v>149</v>
      </c>
      <c r="AJ230">
        <v>1</v>
      </c>
      <c r="AK230" t="s">
        <v>7</v>
      </c>
      <c r="AL230">
        <v>8704</v>
      </c>
      <c r="AM230">
        <v>256</v>
      </c>
      <c r="AN230">
        <v>2</v>
      </c>
      <c r="AO230">
        <v>2</v>
      </c>
      <c r="AP230">
        <v>73.819999999999993</v>
      </c>
      <c r="AQ230" s="62">
        <v>5.9569000000000001</v>
      </c>
      <c r="AR230" s="16">
        <v>45559</v>
      </c>
      <c r="AS230" s="18">
        <v>0.59739583333333335</v>
      </c>
      <c r="AT230">
        <v>0</v>
      </c>
      <c r="AU230">
        <v>0</v>
      </c>
      <c r="AV230">
        <v>0</v>
      </c>
      <c r="AW230" s="80">
        <f t="shared" ref="AW230:AW233" si="294">AW229</f>
        <v>5.9747599999999998</v>
      </c>
      <c r="AZ230" t="s">
        <v>149</v>
      </c>
      <c r="BA230">
        <v>1</v>
      </c>
      <c r="BB230" t="s">
        <v>7</v>
      </c>
      <c r="BC230">
        <v>8704</v>
      </c>
      <c r="BD230">
        <v>256</v>
      </c>
      <c r="BE230">
        <v>2</v>
      </c>
      <c r="BF230">
        <v>2</v>
      </c>
      <c r="BG230">
        <v>150.31</v>
      </c>
      <c r="BH230" s="62">
        <v>2.9255</v>
      </c>
      <c r="BI230" s="16">
        <v>45559</v>
      </c>
      <c r="BJ230" s="18">
        <v>0.73935185185185182</v>
      </c>
      <c r="BK230">
        <v>0</v>
      </c>
      <c r="BL230">
        <v>0</v>
      </c>
      <c r="BM230">
        <v>0</v>
      </c>
      <c r="BN230" s="80">
        <f t="shared" ref="BN230:BN233" si="295">BN229</f>
        <v>2.79956</v>
      </c>
    </row>
    <row r="231" spans="1:66" x14ac:dyDescent="0.25">
      <c r="A231" t="s">
        <v>111</v>
      </c>
      <c r="B231">
        <v>2</v>
      </c>
      <c r="C231" t="s">
        <v>7</v>
      </c>
      <c r="D231">
        <v>8704</v>
      </c>
      <c r="E231">
        <v>256</v>
      </c>
      <c r="F231">
        <v>2</v>
      </c>
      <c r="G231">
        <v>2</v>
      </c>
      <c r="H231">
        <v>96</v>
      </c>
      <c r="I231" s="62">
        <v>4.5804999999999998</v>
      </c>
      <c r="J231" s="16">
        <v>45550</v>
      </c>
      <c r="K231" s="18">
        <v>6.1874999999999999E-2</v>
      </c>
      <c r="L231">
        <v>0</v>
      </c>
      <c r="M231">
        <v>0</v>
      </c>
      <c r="N231">
        <v>0</v>
      </c>
      <c r="O231" s="80">
        <f t="shared" si="266"/>
        <v>4.5791199999999996</v>
      </c>
      <c r="R231" t="s">
        <v>111</v>
      </c>
      <c r="S231">
        <v>2</v>
      </c>
      <c r="T231" t="s">
        <v>7</v>
      </c>
      <c r="U231">
        <v>8704</v>
      </c>
      <c r="V231">
        <v>256</v>
      </c>
      <c r="W231">
        <v>2</v>
      </c>
      <c r="X231">
        <v>2</v>
      </c>
      <c r="Y231">
        <v>95.47</v>
      </c>
      <c r="Z231" s="62">
        <v>4.6059000000000001</v>
      </c>
      <c r="AA231" s="16">
        <v>45559</v>
      </c>
      <c r="AB231" s="18">
        <v>0.70609953703703698</v>
      </c>
      <c r="AC231">
        <v>0</v>
      </c>
      <c r="AD231">
        <v>0</v>
      </c>
      <c r="AE231">
        <v>0</v>
      </c>
      <c r="AF231" s="80">
        <f t="shared" si="293"/>
        <v>4.6063400000000003</v>
      </c>
      <c r="AI231" t="s">
        <v>149</v>
      </c>
      <c r="AJ231">
        <v>2</v>
      </c>
      <c r="AK231" t="s">
        <v>7</v>
      </c>
      <c r="AL231">
        <v>8704</v>
      </c>
      <c r="AM231">
        <v>256</v>
      </c>
      <c r="AN231">
        <v>2</v>
      </c>
      <c r="AO231">
        <v>2</v>
      </c>
      <c r="AP231">
        <v>73.260000000000005</v>
      </c>
      <c r="AQ231" s="62">
        <v>6.0025000000000004</v>
      </c>
      <c r="AR231" s="16">
        <v>45559</v>
      </c>
      <c r="AS231" s="18">
        <v>0.65162037037037035</v>
      </c>
      <c r="AT231">
        <v>0</v>
      </c>
      <c r="AU231">
        <v>0</v>
      </c>
      <c r="AV231">
        <v>0</v>
      </c>
      <c r="AW231" s="80">
        <f t="shared" si="294"/>
        <v>5.9747599999999998</v>
      </c>
      <c r="AZ231" t="s">
        <v>149</v>
      </c>
      <c r="BA231">
        <v>2</v>
      </c>
      <c r="BB231" t="s">
        <v>7</v>
      </c>
      <c r="BC231">
        <v>8704</v>
      </c>
      <c r="BD231">
        <v>256</v>
      </c>
      <c r="BE231">
        <v>2</v>
      </c>
      <c r="BF231">
        <v>2</v>
      </c>
      <c r="BG231">
        <v>153.34</v>
      </c>
      <c r="BH231" s="62">
        <v>2.8677000000000001</v>
      </c>
      <c r="BI231" s="16">
        <v>45559</v>
      </c>
      <c r="BJ231" s="18">
        <v>0.8347106481481481</v>
      </c>
      <c r="BK231">
        <v>0</v>
      </c>
      <c r="BL231">
        <v>0</v>
      </c>
      <c r="BM231">
        <v>0</v>
      </c>
      <c r="BN231" s="80">
        <f t="shared" si="295"/>
        <v>2.79956</v>
      </c>
    </row>
    <row r="232" spans="1:66" x14ac:dyDescent="0.25">
      <c r="A232" t="s">
        <v>111</v>
      </c>
      <c r="B232">
        <v>3</v>
      </c>
      <c r="C232" t="s">
        <v>7</v>
      </c>
      <c r="D232">
        <v>8704</v>
      </c>
      <c r="E232">
        <v>256</v>
      </c>
      <c r="F232">
        <v>2</v>
      </c>
      <c r="G232">
        <v>2</v>
      </c>
      <c r="H232">
        <v>95.9</v>
      </c>
      <c r="I232" s="62">
        <v>4.5853000000000002</v>
      </c>
      <c r="J232" s="16">
        <v>45550</v>
      </c>
      <c r="K232" s="18">
        <v>0.13304398148148147</v>
      </c>
      <c r="L232">
        <v>0</v>
      </c>
      <c r="M232">
        <v>0</v>
      </c>
      <c r="N232">
        <v>0</v>
      </c>
      <c r="O232" s="80">
        <f t="shared" si="266"/>
        <v>4.5791199999999996</v>
      </c>
      <c r="R232" t="s">
        <v>111</v>
      </c>
      <c r="S232">
        <v>3</v>
      </c>
      <c r="T232" t="s">
        <v>7</v>
      </c>
      <c r="U232">
        <v>8704</v>
      </c>
      <c r="V232">
        <v>256</v>
      </c>
      <c r="W232">
        <v>2</v>
      </c>
      <c r="X232">
        <v>2</v>
      </c>
      <c r="Y232">
        <v>95.45</v>
      </c>
      <c r="Z232" s="62">
        <v>4.6069000000000004</v>
      </c>
      <c r="AA232" s="16">
        <v>45559</v>
      </c>
      <c r="AB232" s="18">
        <v>0.77738425925925925</v>
      </c>
      <c r="AC232">
        <v>0</v>
      </c>
      <c r="AD232">
        <v>0</v>
      </c>
      <c r="AE232">
        <v>0</v>
      </c>
      <c r="AF232" s="80">
        <f t="shared" si="293"/>
        <v>4.6063400000000003</v>
      </c>
      <c r="AI232" t="s">
        <v>149</v>
      </c>
      <c r="AJ232">
        <v>3</v>
      </c>
      <c r="AK232" t="s">
        <v>7</v>
      </c>
      <c r="AL232">
        <v>8704</v>
      </c>
      <c r="AM232">
        <v>256</v>
      </c>
      <c r="AN232">
        <v>2</v>
      </c>
      <c r="AO232">
        <v>2</v>
      </c>
      <c r="AP232">
        <v>73.73</v>
      </c>
      <c r="AQ232" s="62">
        <v>5.9641999999999999</v>
      </c>
      <c r="AR232" s="16">
        <v>45559</v>
      </c>
      <c r="AS232" s="18">
        <v>0.70576388888888886</v>
      </c>
      <c r="AT232">
        <v>0</v>
      </c>
      <c r="AU232">
        <v>0</v>
      </c>
      <c r="AV232">
        <v>0</v>
      </c>
      <c r="AW232" s="80">
        <f t="shared" si="294"/>
        <v>5.9747599999999998</v>
      </c>
      <c r="AZ232" t="s">
        <v>149</v>
      </c>
      <c r="BA232">
        <v>3</v>
      </c>
      <c r="BB232" t="s">
        <v>7</v>
      </c>
      <c r="BC232">
        <v>8704</v>
      </c>
      <c r="BD232">
        <v>256</v>
      </c>
      <c r="BE232">
        <v>2</v>
      </c>
      <c r="BF232">
        <v>2</v>
      </c>
      <c r="BG232">
        <v>162.34</v>
      </c>
      <c r="BH232" s="62">
        <v>2.7086999999999999</v>
      </c>
      <c r="BI232" s="16">
        <v>45559</v>
      </c>
      <c r="BJ232" s="18">
        <v>0.93023148148148149</v>
      </c>
      <c r="BK232">
        <v>0</v>
      </c>
      <c r="BL232">
        <v>0</v>
      </c>
      <c r="BM232">
        <v>0</v>
      </c>
      <c r="BN232" s="80">
        <f t="shared" si="295"/>
        <v>2.79956</v>
      </c>
    </row>
    <row r="233" spans="1:66" x14ac:dyDescent="0.25">
      <c r="A233" t="s">
        <v>111</v>
      </c>
      <c r="B233">
        <v>4</v>
      </c>
      <c r="C233" t="s">
        <v>7</v>
      </c>
      <c r="D233">
        <v>8704</v>
      </c>
      <c r="E233">
        <v>256</v>
      </c>
      <c r="F233">
        <v>2</v>
      </c>
      <c r="G233">
        <v>2</v>
      </c>
      <c r="H233">
        <v>96.08</v>
      </c>
      <c r="I233" s="62">
        <v>4.5766</v>
      </c>
      <c r="J233" s="16">
        <v>45550</v>
      </c>
      <c r="K233" s="18">
        <v>0.20423611111111112</v>
      </c>
      <c r="L233">
        <v>0</v>
      </c>
      <c r="M233">
        <v>0</v>
      </c>
      <c r="N233">
        <v>0</v>
      </c>
      <c r="O233" s="80">
        <f t="shared" si="266"/>
        <v>4.5791199999999996</v>
      </c>
      <c r="R233" t="s">
        <v>111</v>
      </c>
      <c r="S233">
        <v>4</v>
      </c>
      <c r="T233" t="s">
        <v>7</v>
      </c>
      <c r="U233">
        <v>8704</v>
      </c>
      <c r="V233">
        <v>256</v>
      </c>
      <c r="W233">
        <v>2</v>
      </c>
      <c r="X233">
        <v>2</v>
      </c>
      <c r="Y233">
        <v>95.46</v>
      </c>
      <c r="Z233" s="62">
        <v>4.6063000000000001</v>
      </c>
      <c r="AA233" s="16">
        <v>45559</v>
      </c>
      <c r="AB233" s="18">
        <v>0.84855324074074079</v>
      </c>
      <c r="AC233">
        <v>0</v>
      </c>
      <c r="AD233">
        <v>0</v>
      </c>
      <c r="AE233">
        <v>0</v>
      </c>
      <c r="AF233" s="80">
        <f t="shared" si="293"/>
        <v>4.6063400000000003</v>
      </c>
      <c r="AI233" t="s">
        <v>149</v>
      </c>
      <c r="AJ233">
        <v>4</v>
      </c>
      <c r="AK233" t="s">
        <v>7</v>
      </c>
      <c r="AL233">
        <v>8704</v>
      </c>
      <c r="AM233">
        <v>256</v>
      </c>
      <c r="AN233">
        <v>2</v>
      </c>
      <c r="AO233">
        <v>2</v>
      </c>
      <c r="AP233">
        <v>73.67</v>
      </c>
      <c r="AQ233" s="62">
        <v>5.9691000000000001</v>
      </c>
      <c r="AR233" s="16">
        <v>45559</v>
      </c>
      <c r="AS233" s="18">
        <v>0.7600810185185185</v>
      </c>
      <c r="AT233">
        <v>0</v>
      </c>
      <c r="AU233">
        <v>0</v>
      </c>
      <c r="AV233">
        <v>0</v>
      </c>
      <c r="AW233" s="80">
        <f t="shared" si="294"/>
        <v>5.9747599999999998</v>
      </c>
      <c r="AZ233" t="s">
        <v>149</v>
      </c>
      <c r="BA233">
        <v>4</v>
      </c>
      <c r="BB233" t="s">
        <v>7</v>
      </c>
      <c r="BC233">
        <v>8704</v>
      </c>
      <c r="BD233">
        <v>256</v>
      </c>
      <c r="BE233">
        <v>2</v>
      </c>
      <c r="BF233">
        <v>2</v>
      </c>
      <c r="BG233">
        <v>157.85</v>
      </c>
      <c r="BH233" s="62">
        <v>2.7856999999999998</v>
      </c>
      <c r="BI233" s="16">
        <v>45560</v>
      </c>
      <c r="BJ233" s="18">
        <v>2.6076388888888889E-2</v>
      </c>
      <c r="BK233">
        <v>0</v>
      </c>
      <c r="BL233">
        <v>0</v>
      </c>
      <c r="BM233">
        <v>0</v>
      </c>
      <c r="BN233" s="80">
        <f t="shared" si="295"/>
        <v>2.79956</v>
      </c>
    </row>
    <row r="234" spans="1:66" x14ac:dyDescent="0.25">
      <c r="A234" t="s">
        <v>111</v>
      </c>
      <c r="B234">
        <v>0</v>
      </c>
      <c r="C234" t="s">
        <v>7</v>
      </c>
      <c r="D234">
        <v>9216</v>
      </c>
      <c r="E234">
        <v>256</v>
      </c>
      <c r="F234">
        <v>2</v>
      </c>
      <c r="G234">
        <v>2</v>
      </c>
      <c r="H234">
        <v>114.34</v>
      </c>
      <c r="I234" s="62">
        <v>4.5648</v>
      </c>
      <c r="J234" s="16">
        <v>45549</v>
      </c>
      <c r="K234" s="18">
        <v>0.94327546296296294</v>
      </c>
      <c r="L234">
        <v>0</v>
      </c>
      <c r="M234">
        <v>0</v>
      </c>
      <c r="N234">
        <v>0</v>
      </c>
      <c r="O234" s="80">
        <f t="shared" ref="O234" si="296">AVERAGE(I234:I238)</f>
        <v>4.5643799999999999</v>
      </c>
      <c r="R234" t="s">
        <v>111</v>
      </c>
      <c r="S234">
        <v>0</v>
      </c>
      <c r="T234" t="s">
        <v>7</v>
      </c>
      <c r="U234">
        <v>9216</v>
      </c>
      <c r="V234">
        <v>256</v>
      </c>
      <c r="W234">
        <v>2</v>
      </c>
      <c r="X234">
        <v>2</v>
      </c>
      <c r="Y234">
        <v>113.66</v>
      </c>
      <c r="Z234" s="62">
        <v>4.5925000000000002</v>
      </c>
      <c r="AA234" s="16">
        <v>45559</v>
      </c>
      <c r="AB234" s="18">
        <v>0.58748842592592587</v>
      </c>
      <c r="AC234">
        <v>0</v>
      </c>
      <c r="AD234">
        <v>0</v>
      </c>
      <c r="AE234">
        <v>0</v>
      </c>
      <c r="AF234" s="80">
        <f t="shared" si="293"/>
        <v>4.6063400000000003</v>
      </c>
      <c r="AI234" t="s">
        <v>149</v>
      </c>
      <c r="AJ234">
        <v>0</v>
      </c>
      <c r="AK234" t="s">
        <v>7</v>
      </c>
      <c r="AL234">
        <v>9216</v>
      </c>
      <c r="AM234">
        <v>256</v>
      </c>
      <c r="AN234">
        <v>2</v>
      </c>
      <c r="AO234">
        <v>2</v>
      </c>
      <c r="AP234">
        <v>86.22</v>
      </c>
      <c r="AQ234" s="62">
        <v>6.0537000000000001</v>
      </c>
      <c r="AR234" s="16">
        <v>45559</v>
      </c>
      <c r="AS234" s="18">
        <v>0.56116898148148153</v>
      </c>
      <c r="AT234">
        <v>0</v>
      </c>
      <c r="AU234">
        <v>0</v>
      </c>
      <c r="AV234">
        <v>0</v>
      </c>
      <c r="AW234" s="80">
        <f t="shared" ref="AW234" si="297">AVERAGE(AQ234:AQ238)</f>
        <v>6.03728</v>
      </c>
      <c r="AZ234" t="s">
        <v>149</v>
      </c>
      <c r="BA234">
        <v>0</v>
      </c>
      <c r="BB234" t="s">
        <v>7</v>
      </c>
      <c r="BC234">
        <v>9216</v>
      </c>
      <c r="BD234">
        <v>256</v>
      </c>
      <c r="BE234">
        <v>2</v>
      </c>
      <c r="BF234">
        <v>2</v>
      </c>
      <c r="BG234">
        <v>167.35</v>
      </c>
      <c r="BH234" s="62">
        <v>3.1190000000000002</v>
      </c>
      <c r="BI234" s="16">
        <v>45559</v>
      </c>
      <c r="BJ234" s="18">
        <v>0.67543981481481485</v>
      </c>
      <c r="BK234">
        <v>0</v>
      </c>
      <c r="BL234">
        <v>0</v>
      </c>
      <c r="BM234">
        <v>0</v>
      </c>
      <c r="BN234" s="80">
        <f t="shared" ref="BN234" si="298">AVERAGE(BH234:BH238)</f>
        <v>2.9890800000000004</v>
      </c>
    </row>
    <row r="235" spans="1:66" x14ac:dyDescent="0.25">
      <c r="A235" t="s">
        <v>111</v>
      </c>
      <c r="B235">
        <v>1</v>
      </c>
      <c r="C235" t="s">
        <v>7</v>
      </c>
      <c r="D235">
        <v>9216</v>
      </c>
      <c r="E235">
        <v>256</v>
      </c>
      <c r="F235">
        <v>2</v>
      </c>
      <c r="G235">
        <v>2</v>
      </c>
      <c r="H235">
        <v>114.29</v>
      </c>
      <c r="I235" s="62">
        <v>4.5670999999999999</v>
      </c>
      <c r="J235" s="16">
        <v>45550</v>
      </c>
      <c r="K235" s="18">
        <v>1.4548611111111111E-2</v>
      </c>
      <c r="L235">
        <v>0</v>
      </c>
      <c r="M235">
        <v>0</v>
      </c>
      <c r="N235">
        <v>0</v>
      </c>
      <c r="O235" s="80">
        <f t="shared" ref="O235" si="299">O234</f>
        <v>4.5643799999999999</v>
      </c>
      <c r="R235" t="s">
        <v>111</v>
      </c>
      <c r="S235">
        <v>1</v>
      </c>
      <c r="T235" t="s">
        <v>7</v>
      </c>
      <c r="U235">
        <v>9216</v>
      </c>
      <c r="V235">
        <v>256</v>
      </c>
      <c r="W235">
        <v>2</v>
      </c>
      <c r="X235">
        <v>2</v>
      </c>
      <c r="Y235">
        <v>113.73</v>
      </c>
      <c r="Z235" s="62">
        <v>4.5896999999999997</v>
      </c>
      <c r="AA235" s="16">
        <v>45559</v>
      </c>
      <c r="AB235" s="18">
        <v>0.65872685185185187</v>
      </c>
      <c r="AC235">
        <v>0</v>
      </c>
      <c r="AD235">
        <v>0</v>
      </c>
      <c r="AE235">
        <v>0</v>
      </c>
      <c r="AF235" s="80">
        <f t="shared" si="293"/>
        <v>4.6063400000000003</v>
      </c>
      <c r="AI235" t="s">
        <v>149</v>
      </c>
      <c r="AJ235">
        <v>1</v>
      </c>
      <c r="AK235" t="s">
        <v>7</v>
      </c>
      <c r="AL235">
        <v>9216</v>
      </c>
      <c r="AM235">
        <v>256</v>
      </c>
      <c r="AN235">
        <v>2</v>
      </c>
      <c r="AO235">
        <v>2</v>
      </c>
      <c r="AP235">
        <v>86.41</v>
      </c>
      <c r="AQ235" s="62">
        <v>6.0406000000000004</v>
      </c>
      <c r="AR235" s="16">
        <v>45559</v>
      </c>
      <c r="AS235" s="18">
        <v>0.61532407407407408</v>
      </c>
      <c r="AT235">
        <v>0</v>
      </c>
      <c r="AU235">
        <v>0</v>
      </c>
      <c r="AV235">
        <v>0</v>
      </c>
      <c r="AW235" s="80">
        <f t="shared" ref="AW235:AW238" si="300">AW234</f>
        <v>6.03728</v>
      </c>
      <c r="AZ235" t="s">
        <v>149</v>
      </c>
      <c r="BA235">
        <v>1</v>
      </c>
      <c r="BB235" t="s">
        <v>7</v>
      </c>
      <c r="BC235">
        <v>9216</v>
      </c>
      <c r="BD235">
        <v>256</v>
      </c>
      <c r="BE235">
        <v>2</v>
      </c>
      <c r="BF235">
        <v>2</v>
      </c>
      <c r="BG235">
        <v>174</v>
      </c>
      <c r="BH235" s="62">
        <v>2.9996999999999998</v>
      </c>
      <c r="BI235" s="16">
        <v>45559</v>
      </c>
      <c r="BJ235" s="18">
        <v>0.77106481481481481</v>
      </c>
      <c r="BK235">
        <v>0</v>
      </c>
      <c r="BL235">
        <v>0</v>
      </c>
      <c r="BM235">
        <v>0</v>
      </c>
      <c r="BN235" s="80">
        <f t="shared" ref="BN235:BN238" si="301">BN234</f>
        <v>2.9890800000000004</v>
      </c>
    </row>
    <row r="236" spans="1:66" x14ac:dyDescent="0.25">
      <c r="A236" t="s">
        <v>111</v>
      </c>
      <c r="B236">
        <v>2</v>
      </c>
      <c r="C236" t="s">
        <v>7</v>
      </c>
      <c r="D236">
        <v>9216</v>
      </c>
      <c r="E236">
        <v>256</v>
      </c>
      <c r="F236">
        <v>2</v>
      </c>
      <c r="G236">
        <v>2</v>
      </c>
      <c r="H236">
        <v>114.31</v>
      </c>
      <c r="I236" s="62">
        <v>4.5659999999999998</v>
      </c>
      <c r="J236" s="16">
        <v>45550</v>
      </c>
      <c r="K236" s="18">
        <v>8.5682870370370368E-2</v>
      </c>
      <c r="L236">
        <v>0</v>
      </c>
      <c r="M236">
        <v>0</v>
      </c>
      <c r="N236">
        <v>0</v>
      </c>
      <c r="O236" s="80">
        <f t="shared" si="266"/>
        <v>4.5643799999999999</v>
      </c>
      <c r="R236" t="s">
        <v>111</v>
      </c>
      <c r="S236">
        <v>2</v>
      </c>
      <c r="T236" t="s">
        <v>7</v>
      </c>
      <c r="U236">
        <v>9216</v>
      </c>
      <c r="V236">
        <v>256</v>
      </c>
      <c r="W236">
        <v>2</v>
      </c>
      <c r="X236">
        <v>2</v>
      </c>
      <c r="Y236">
        <v>113.77</v>
      </c>
      <c r="Z236" s="62">
        <v>4.5879000000000003</v>
      </c>
      <c r="AA236" s="16">
        <v>45559</v>
      </c>
      <c r="AB236" s="18">
        <v>0.7299768518518519</v>
      </c>
      <c r="AC236">
        <v>0</v>
      </c>
      <c r="AD236">
        <v>0</v>
      </c>
      <c r="AE236">
        <v>0</v>
      </c>
      <c r="AF236" s="80">
        <f t="shared" si="293"/>
        <v>4.6063400000000003</v>
      </c>
      <c r="AI236" t="s">
        <v>149</v>
      </c>
      <c r="AJ236">
        <v>2</v>
      </c>
      <c r="AK236" t="s">
        <v>7</v>
      </c>
      <c r="AL236">
        <v>9216</v>
      </c>
      <c r="AM236">
        <v>256</v>
      </c>
      <c r="AN236">
        <v>2</v>
      </c>
      <c r="AO236">
        <v>2</v>
      </c>
      <c r="AP236">
        <v>86.48</v>
      </c>
      <c r="AQ236" s="62">
        <v>6.0355999999999996</v>
      </c>
      <c r="AR236" s="16">
        <v>45559</v>
      </c>
      <c r="AS236" s="18">
        <v>0.66957175925925927</v>
      </c>
      <c r="AT236">
        <v>0</v>
      </c>
      <c r="AU236">
        <v>0</v>
      </c>
      <c r="AV236">
        <v>0</v>
      </c>
      <c r="AW236" s="80">
        <f t="shared" si="300"/>
        <v>6.03728</v>
      </c>
      <c r="AZ236" t="s">
        <v>149</v>
      </c>
      <c r="BA236">
        <v>2</v>
      </c>
      <c r="BB236" t="s">
        <v>7</v>
      </c>
      <c r="BC236">
        <v>9216</v>
      </c>
      <c r="BD236">
        <v>256</v>
      </c>
      <c r="BE236">
        <v>2</v>
      </c>
      <c r="BF236">
        <v>2</v>
      </c>
      <c r="BG236">
        <v>177.46</v>
      </c>
      <c r="BH236" s="62">
        <v>2.9413</v>
      </c>
      <c r="BI236" s="16">
        <v>45559</v>
      </c>
      <c r="BJ236" s="18">
        <v>0.86637731481481484</v>
      </c>
      <c r="BK236">
        <v>0</v>
      </c>
      <c r="BL236">
        <v>0</v>
      </c>
      <c r="BM236">
        <v>0</v>
      </c>
      <c r="BN236" s="80">
        <f t="shared" si="301"/>
        <v>2.9890800000000004</v>
      </c>
    </row>
    <row r="237" spans="1:66" x14ac:dyDescent="0.25">
      <c r="A237" t="s">
        <v>111</v>
      </c>
      <c r="B237">
        <v>3</v>
      </c>
      <c r="C237" t="s">
        <v>7</v>
      </c>
      <c r="D237">
        <v>9216</v>
      </c>
      <c r="E237">
        <v>256</v>
      </c>
      <c r="F237">
        <v>2</v>
      </c>
      <c r="G237">
        <v>2</v>
      </c>
      <c r="H237">
        <v>114.59</v>
      </c>
      <c r="I237" s="62">
        <v>4.5551000000000004</v>
      </c>
      <c r="J237" s="16">
        <v>45550</v>
      </c>
      <c r="K237" s="18">
        <v>0.15684027777777779</v>
      </c>
      <c r="L237">
        <v>0</v>
      </c>
      <c r="M237">
        <v>0</v>
      </c>
      <c r="N237">
        <v>0</v>
      </c>
      <c r="O237" s="80">
        <f t="shared" si="266"/>
        <v>4.5643799999999999</v>
      </c>
      <c r="R237" t="s">
        <v>111</v>
      </c>
      <c r="S237">
        <v>3</v>
      </c>
      <c r="T237" t="s">
        <v>7</v>
      </c>
      <c r="U237">
        <v>9216</v>
      </c>
      <c r="V237">
        <v>256</v>
      </c>
      <c r="W237">
        <v>2</v>
      </c>
      <c r="X237">
        <v>2</v>
      </c>
      <c r="Y237">
        <v>113.72</v>
      </c>
      <c r="Z237" s="62">
        <v>4.5898000000000003</v>
      </c>
      <c r="AA237" s="16">
        <v>45559</v>
      </c>
      <c r="AB237" s="18">
        <v>0.80136574074074074</v>
      </c>
      <c r="AC237">
        <v>0</v>
      </c>
      <c r="AD237">
        <v>0</v>
      </c>
      <c r="AE237">
        <v>0</v>
      </c>
      <c r="AF237" s="80">
        <f>AVERAGE(Z237:Z241)</f>
        <v>4.6688000000000001</v>
      </c>
      <c r="AI237" t="s">
        <v>149</v>
      </c>
      <c r="AJ237">
        <v>3</v>
      </c>
      <c r="AK237" t="s">
        <v>7</v>
      </c>
      <c r="AL237">
        <v>9216</v>
      </c>
      <c r="AM237">
        <v>256</v>
      </c>
      <c r="AN237">
        <v>2</v>
      </c>
      <c r="AO237">
        <v>2</v>
      </c>
      <c r="AP237">
        <v>86.45</v>
      </c>
      <c r="AQ237" s="62">
        <v>6.0373999999999999</v>
      </c>
      <c r="AR237" s="16">
        <v>45559</v>
      </c>
      <c r="AS237" s="18">
        <v>0.72372685185185182</v>
      </c>
      <c r="AT237">
        <v>0</v>
      </c>
      <c r="AU237">
        <v>0</v>
      </c>
      <c r="AV237">
        <v>0</v>
      </c>
      <c r="AW237" s="80">
        <f t="shared" si="300"/>
        <v>6.03728</v>
      </c>
      <c r="AZ237" t="s">
        <v>149</v>
      </c>
      <c r="BA237">
        <v>3</v>
      </c>
      <c r="BB237" t="s">
        <v>7</v>
      </c>
      <c r="BC237">
        <v>9216</v>
      </c>
      <c r="BD237">
        <v>256</v>
      </c>
      <c r="BE237">
        <v>2</v>
      </c>
      <c r="BF237">
        <v>2</v>
      </c>
      <c r="BG237">
        <v>174.04</v>
      </c>
      <c r="BH237" s="62">
        <v>2.9990000000000001</v>
      </c>
      <c r="BI237" s="16">
        <v>45559</v>
      </c>
      <c r="BJ237" s="18">
        <v>0.9617013888888889</v>
      </c>
      <c r="BK237">
        <v>0</v>
      </c>
      <c r="BL237">
        <v>0</v>
      </c>
      <c r="BM237">
        <v>0</v>
      </c>
      <c r="BN237" s="80">
        <f t="shared" si="301"/>
        <v>2.9890800000000004</v>
      </c>
    </row>
    <row r="238" spans="1:66" x14ac:dyDescent="0.25">
      <c r="A238" t="s">
        <v>111</v>
      </c>
      <c r="B238">
        <v>4</v>
      </c>
      <c r="C238" t="s">
        <v>7</v>
      </c>
      <c r="D238">
        <v>9216</v>
      </c>
      <c r="E238">
        <v>256</v>
      </c>
      <c r="F238">
        <v>2</v>
      </c>
      <c r="G238">
        <v>2</v>
      </c>
      <c r="H238">
        <v>114.24</v>
      </c>
      <c r="I238" s="62">
        <v>4.5689000000000002</v>
      </c>
      <c r="J238" s="16">
        <v>45550</v>
      </c>
      <c r="K238" s="18">
        <v>0.22803240740740741</v>
      </c>
      <c r="L238">
        <v>0</v>
      </c>
      <c r="M238">
        <v>0</v>
      </c>
      <c r="N238">
        <v>0</v>
      </c>
      <c r="O238" s="80">
        <f t="shared" si="266"/>
        <v>4.5643799999999999</v>
      </c>
      <c r="R238" t="s">
        <v>111</v>
      </c>
      <c r="S238">
        <v>4</v>
      </c>
      <c r="T238" t="s">
        <v>7</v>
      </c>
      <c r="U238">
        <v>9216</v>
      </c>
      <c r="V238">
        <v>256</v>
      </c>
      <c r="W238">
        <v>2</v>
      </c>
      <c r="X238">
        <v>2</v>
      </c>
      <c r="Y238">
        <v>113.75</v>
      </c>
      <c r="Z238" s="62">
        <v>4.5888</v>
      </c>
      <c r="AA238" s="16">
        <v>45559</v>
      </c>
      <c r="AB238" s="18">
        <v>0.87230324074074073</v>
      </c>
      <c r="AC238">
        <v>0</v>
      </c>
      <c r="AD238">
        <v>0</v>
      </c>
      <c r="AE238">
        <v>0</v>
      </c>
      <c r="AF238" s="80">
        <f>AF237</f>
        <v>4.6688000000000001</v>
      </c>
      <c r="AI238" t="s">
        <v>149</v>
      </c>
      <c r="AJ238">
        <v>4</v>
      </c>
      <c r="AK238" t="s">
        <v>7</v>
      </c>
      <c r="AL238">
        <v>9216</v>
      </c>
      <c r="AM238">
        <v>256</v>
      </c>
      <c r="AN238">
        <v>2</v>
      </c>
      <c r="AO238">
        <v>2</v>
      </c>
      <c r="AP238">
        <v>86.72</v>
      </c>
      <c r="AQ238" s="62">
        <v>6.0190999999999999</v>
      </c>
      <c r="AR238" s="16">
        <v>45559</v>
      </c>
      <c r="AS238" s="18">
        <v>0.77804398148148146</v>
      </c>
      <c r="AT238">
        <v>0</v>
      </c>
      <c r="AU238">
        <v>0</v>
      </c>
      <c r="AV238">
        <v>0</v>
      </c>
      <c r="AW238" s="80">
        <f t="shared" si="300"/>
        <v>6.03728</v>
      </c>
      <c r="AZ238" t="s">
        <v>149</v>
      </c>
      <c r="BA238">
        <v>4</v>
      </c>
      <c r="BB238" t="s">
        <v>7</v>
      </c>
      <c r="BC238">
        <v>9216</v>
      </c>
      <c r="BD238">
        <v>256</v>
      </c>
      <c r="BE238">
        <v>2</v>
      </c>
      <c r="BF238">
        <v>2</v>
      </c>
      <c r="BG238">
        <v>180.84</v>
      </c>
      <c r="BH238" s="62">
        <v>2.8864000000000001</v>
      </c>
      <c r="BI238" s="16">
        <v>45560</v>
      </c>
      <c r="BJ238" s="18">
        <v>5.7685185185185187E-2</v>
      </c>
      <c r="BK238">
        <v>0</v>
      </c>
      <c r="BL238">
        <v>0</v>
      </c>
      <c r="BM238">
        <v>0</v>
      </c>
      <c r="BN238" s="80">
        <f t="shared" si="301"/>
        <v>2.9890800000000004</v>
      </c>
    </row>
    <row r="239" spans="1:66" x14ac:dyDescent="0.25">
      <c r="A239" t="s">
        <v>111</v>
      </c>
      <c r="B239">
        <v>0</v>
      </c>
      <c r="C239" t="s">
        <v>7</v>
      </c>
      <c r="D239">
        <v>9728</v>
      </c>
      <c r="E239">
        <v>256</v>
      </c>
      <c r="F239">
        <v>2</v>
      </c>
      <c r="G239">
        <v>2</v>
      </c>
      <c r="H239">
        <v>140.21</v>
      </c>
      <c r="I239" s="62">
        <v>4.3783000000000003</v>
      </c>
      <c r="J239" s="16">
        <v>45549</v>
      </c>
      <c r="K239" s="18">
        <v>0.97074074074074079</v>
      </c>
      <c r="L239">
        <v>0</v>
      </c>
      <c r="M239">
        <v>0</v>
      </c>
      <c r="N239">
        <v>0</v>
      </c>
      <c r="O239" s="80">
        <f t="shared" ref="O239" si="302">AVERAGE(I239:I243)</f>
        <v>4.5400000000000009</v>
      </c>
      <c r="R239" t="s">
        <v>111</v>
      </c>
      <c r="S239">
        <v>0</v>
      </c>
      <c r="T239" t="s">
        <v>7</v>
      </c>
      <c r="U239">
        <v>9728</v>
      </c>
      <c r="V239">
        <v>256</v>
      </c>
      <c r="W239">
        <v>2</v>
      </c>
      <c r="X239">
        <v>2</v>
      </c>
      <c r="Y239">
        <v>129.99</v>
      </c>
      <c r="Z239" s="62">
        <v>4.7224000000000004</v>
      </c>
      <c r="AA239" s="16">
        <v>45559</v>
      </c>
      <c r="AB239" s="18">
        <v>0.61480324074074078</v>
      </c>
      <c r="AC239">
        <v>0</v>
      </c>
      <c r="AD239">
        <v>0</v>
      </c>
      <c r="AE239">
        <v>0</v>
      </c>
      <c r="AF239" s="80">
        <f>AF238</f>
        <v>4.6688000000000001</v>
      </c>
      <c r="AI239" t="s">
        <v>149</v>
      </c>
      <c r="AJ239">
        <v>0</v>
      </c>
      <c r="AK239" t="s">
        <v>7</v>
      </c>
      <c r="AL239">
        <v>9728</v>
      </c>
      <c r="AM239">
        <v>256</v>
      </c>
      <c r="AN239">
        <v>2</v>
      </c>
      <c r="AO239">
        <v>2</v>
      </c>
      <c r="AP239">
        <v>106.76</v>
      </c>
      <c r="AQ239" s="62">
        <v>5.7499000000000002</v>
      </c>
      <c r="AR239" s="16">
        <v>45559</v>
      </c>
      <c r="AS239" s="18">
        <v>0.58202546296296298</v>
      </c>
      <c r="AT239">
        <v>0</v>
      </c>
      <c r="AU239">
        <v>0</v>
      </c>
      <c r="AV239">
        <v>0</v>
      </c>
      <c r="AW239" s="80">
        <f t="shared" ref="AW239" si="303">AVERAGE(AQ239:AQ243)</f>
        <v>5.9237000000000002</v>
      </c>
      <c r="AZ239" t="s">
        <v>149</v>
      </c>
      <c r="BA239">
        <v>0</v>
      </c>
      <c r="BB239" t="s">
        <v>7</v>
      </c>
      <c r="BC239">
        <v>9728</v>
      </c>
      <c r="BD239">
        <v>256</v>
      </c>
      <c r="BE239">
        <v>2</v>
      </c>
      <c r="BF239">
        <v>2</v>
      </c>
      <c r="BG239">
        <v>204.88</v>
      </c>
      <c r="BH239" s="62">
        <v>2.9963000000000002</v>
      </c>
      <c r="BI239" s="16">
        <v>45559</v>
      </c>
      <c r="BJ239" s="18">
        <v>0.71128472222222228</v>
      </c>
      <c r="BK239">
        <v>0</v>
      </c>
      <c r="BL239">
        <v>0</v>
      </c>
      <c r="BM239">
        <v>0</v>
      </c>
      <c r="BN239" s="80">
        <f t="shared" ref="BN239" si="304">AVERAGE(BH239:BH243)</f>
        <v>3.0828999999999995</v>
      </c>
    </row>
    <row r="240" spans="1:66" x14ac:dyDescent="0.25">
      <c r="A240" t="s">
        <v>111</v>
      </c>
      <c r="B240">
        <v>1</v>
      </c>
      <c r="C240" t="s">
        <v>7</v>
      </c>
      <c r="D240">
        <v>9728</v>
      </c>
      <c r="E240">
        <v>256</v>
      </c>
      <c r="F240">
        <v>2</v>
      </c>
      <c r="G240">
        <v>2</v>
      </c>
      <c r="H240">
        <v>130.66999999999999</v>
      </c>
      <c r="I240" s="62">
        <v>4.6978</v>
      </c>
      <c r="J240" s="16">
        <v>45550</v>
      </c>
      <c r="K240" s="18">
        <v>4.1886574074074076E-2</v>
      </c>
      <c r="L240">
        <v>0</v>
      </c>
      <c r="M240">
        <v>0</v>
      </c>
      <c r="N240">
        <v>0</v>
      </c>
      <c r="O240" s="80">
        <f t="shared" ref="O240" si="305">O239</f>
        <v>4.5400000000000009</v>
      </c>
      <c r="R240" t="s">
        <v>111</v>
      </c>
      <c r="S240">
        <v>1</v>
      </c>
      <c r="T240" t="s">
        <v>7</v>
      </c>
      <c r="U240">
        <v>9728</v>
      </c>
      <c r="V240">
        <v>256</v>
      </c>
      <c r="W240">
        <v>2</v>
      </c>
      <c r="X240">
        <v>2</v>
      </c>
      <c r="Y240">
        <v>129.88</v>
      </c>
      <c r="Z240" s="62">
        <v>4.7263999999999999</v>
      </c>
      <c r="AA240" s="16">
        <v>45559</v>
      </c>
      <c r="AB240" s="18">
        <v>0.6860532407407407</v>
      </c>
      <c r="AC240">
        <v>0</v>
      </c>
      <c r="AD240">
        <v>0</v>
      </c>
      <c r="AE240">
        <v>0</v>
      </c>
      <c r="AF240" s="80">
        <f>AVERAGE(Z240:Z244)</f>
        <v>4.6954750000000001</v>
      </c>
      <c r="AI240" t="s">
        <v>149</v>
      </c>
      <c r="AJ240">
        <v>1</v>
      </c>
      <c r="AK240" t="s">
        <v>7</v>
      </c>
      <c r="AL240">
        <v>9728</v>
      </c>
      <c r="AM240">
        <v>256</v>
      </c>
      <c r="AN240">
        <v>2</v>
      </c>
      <c r="AO240">
        <v>2</v>
      </c>
      <c r="AP240">
        <v>100.98</v>
      </c>
      <c r="AQ240" s="62">
        <v>6.0789999999999997</v>
      </c>
      <c r="AR240" s="16">
        <v>45559</v>
      </c>
      <c r="AS240" s="18">
        <v>0.6362268518518519</v>
      </c>
      <c r="AT240">
        <v>0</v>
      </c>
      <c r="AU240">
        <v>0</v>
      </c>
      <c r="AV240">
        <v>0</v>
      </c>
      <c r="AW240" s="80">
        <f t="shared" ref="AW240:AW243" si="306">AW239</f>
        <v>5.9237000000000002</v>
      </c>
      <c r="AZ240" t="s">
        <v>149</v>
      </c>
      <c r="BA240">
        <v>1</v>
      </c>
      <c r="BB240" t="s">
        <v>7</v>
      </c>
      <c r="BC240">
        <v>9728</v>
      </c>
      <c r="BD240">
        <v>256</v>
      </c>
      <c r="BE240">
        <v>2</v>
      </c>
      <c r="BF240">
        <v>2</v>
      </c>
      <c r="BG240">
        <v>194.07</v>
      </c>
      <c r="BH240" s="62">
        <v>3.1631999999999998</v>
      </c>
      <c r="BI240" s="16">
        <v>45559</v>
      </c>
      <c r="BJ240" s="18">
        <v>0.80648148148148147</v>
      </c>
      <c r="BK240">
        <v>0</v>
      </c>
      <c r="BL240">
        <v>0</v>
      </c>
      <c r="BM240">
        <v>0</v>
      </c>
      <c r="BN240" s="80">
        <f t="shared" ref="BN240:BN243" si="307">BN239</f>
        <v>3.0828999999999995</v>
      </c>
    </row>
    <row r="241" spans="1:66" x14ac:dyDescent="0.25">
      <c r="A241" t="s">
        <v>111</v>
      </c>
      <c r="B241">
        <v>2</v>
      </c>
      <c r="C241" t="s">
        <v>7</v>
      </c>
      <c r="D241">
        <v>9728</v>
      </c>
      <c r="E241">
        <v>256</v>
      </c>
      <c r="F241">
        <v>2</v>
      </c>
      <c r="G241">
        <v>2</v>
      </c>
      <c r="H241">
        <v>136.63</v>
      </c>
      <c r="I241" s="62">
        <v>4.4931000000000001</v>
      </c>
      <c r="J241" s="16">
        <v>45550</v>
      </c>
      <c r="K241" s="18">
        <v>0.11304398148148148</v>
      </c>
      <c r="L241">
        <v>0</v>
      </c>
      <c r="M241">
        <v>0</v>
      </c>
      <c r="N241">
        <v>0</v>
      </c>
      <c r="O241" s="80">
        <f t="shared" si="266"/>
        <v>4.5400000000000009</v>
      </c>
      <c r="R241" t="s">
        <v>111</v>
      </c>
      <c r="S241">
        <v>2</v>
      </c>
      <c r="T241" t="s">
        <v>7</v>
      </c>
      <c r="U241">
        <v>9728</v>
      </c>
      <c r="V241">
        <v>256</v>
      </c>
      <c r="W241">
        <v>2</v>
      </c>
      <c r="X241">
        <v>2</v>
      </c>
      <c r="Y241">
        <v>130.15</v>
      </c>
      <c r="Z241" s="62">
        <v>4.7165999999999997</v>
      </c>
      <c r="AA241" s="16">
        <v>45559</v>
      </c>
      <c r="AB241" s="18">
        <v>0.75731481481481477</v>
      </c>
      <c r="AC241">
        <v>0</v>
      </c>
      <c r="AD241">
        <v>0</v>
      </c>
      <c r="AE241">
        <v>0</v>
      </c>
      <c r="AF241" s="80">
        <f>AF240</f>
        <v>4.6954750000000001</v>
      </c>
      <c r="AI241" t="s">
        <v>149</v>
      </c>
      <c r="AJ241">
        <v>2</v>
      </c>
      <c r="AK241" t="s">
        <v>7</v>
      </c>
      <c r="AL241">
        <v>9728</v>
      </c>
      <c r="AM241">
        <v>256</v>
      </c>
      <c r="AN241">
        <v>2</v>
      </c>
      <c r="AO241">
        <v>2</v>
      </c>
      <c r="AP241">
        <v>100.1</v>
      </c>
      <c r="AQ241" s="62">
        <v>6.1326999999999998</v>
      </c>
      <c r="AR241" s="16">
        <v>45559</v>
      </c>
      <c r="AS241" s="18">
        <v>0.69037037037037041</v>
      </c>
      <c r="AT241">
        <v>0</v>
      </c>
      <c r="AU241">
        <v>0</v>
      </c>
      <c r="AV241">
        <v>0</v>
      </c>
      <c r="AW241" s="80">
        <f t="shared" si="306"/>
        <v>5.9237000000000002</v>
      </c>
      <c r="AZ241" t="s">
        <v>149</v>
      </c>
      <c r="BA241">
        <v>2</v>
      </c>
      <c r="BB241" t="s">
        <v>7</v>
      </c>
      <c r="BC241">
        <v>9728</v>
      </c>
      <c r="BD241">
        <v>256</v>
      </c>
      <c r="BE241">
        <v>2</v>
      </c>
      <c r="BF241">
        <v>2</v>
      </c>
      <c r="BG241">
        <v>200.17</v>
      </c>
      <c r="BH241" s="62">
        <v>3.0667</v>
      </c>
      <c r="BI241" s="16">
        <v>45559</v>
      </c>
      <c r="BJ241" s="18">
        <v>0.90230324074074075</v>
      </c>
      <c r="BK241">
        <v>0</v>
      </c>
      <c r="BL241">
        <v>0</v>
      </c>
      <c r="BM241">
        <v>0</v>
      </c>
      <c r="BN241" s="80">
        <f t="shared" si="307"/>
        <v>3.0828999999999995</v>
      </c>
    </row>
    <row r="242" spans="1:66" x14ac:dyDescent="0.25">
      <c r="A242" t="s">
        <v>111</v>
      </c>
      <c r="B242">
        <v>3</v>
      </c>
      <c r="C242" t="s">
        <v>7</v>
      </c>
      <c r="D242">
        <v>9728</v>
      </c>
      <c r="E242">
        <v>256</v>
      </c>
      <c r="F242">
        <v>2</v>
      </c>
      <c r="G242">
        <v>2</v>
      </c>
      <c r="H242">
        <v>137.62</v>
      </c>
      <c r="I242" s="62">
        <v>4.4607999999999999</v>
      </c>
      <c r="J242" s="16">
        <v>45550</v>
      </c>
      <c r="K242" s="18">
        <v>0.18424768518518519</v>
      </c>
      <c r="L242">
        <v>0</v>
      </c>
      <c r="M242">
        <v>0</v>
      </c>
      <c r="N242">
        <v>0</v>
      </c>
      <c r="O242" s="80">
        <f t="shared" si="266"/>
        <v>4.5400000000000009</v>
      </c>
      <c r="R242" t="s">
        <v>111</v>
      </c>
      <c r="S242">
        <v>3</v>
      </c>
      <c r="T242" t="s">
        <v>7</v>
      </c>
      <c r="U242">
        <v>9728</v>
      </c>
      <c r="V242">
        <v>256</v>
      </c>
      <c r="W242">
        <v>2</v>
      </c>
      <c r="X242">
        <v>2</v>
      </c>
      <c r="Y242">
        <v>132.29</v>
      </c>
      <c r="Z242" s="62">
        <v>4.6403999999999996</v>
      </c>
      <c r="AA242" s="16">
        <v>45559</v>
      </c>
      <c r="AB242" s="18">
        <v>0.82861111111111108</v>
      </c>
      <c r="AC242">
        <v>0</v>
      </c>
      <c r="AD242">
        <v>0</v>
      </c>
      <c r="AE242">
        <v>0</v>
      </c>
      <c r="AF242" s="80">
        <f>AF241</f>
        <v>4.6954750000000001</v>
      </c>
      <c r="AI242" t="s">
        <v>149</v>
      </c>
      <c r="AJ242">
        <v>3</v>
      </c>
      <c r="AK242" t="s">
        <v>7</v>
      </c>
      <c r="AL242">
        <v>9728</v>
      </c>
      <c r="AM242">
        <v>256</v>
      </c>
      <c r="AN242">
        <v>2</v>
      </c>
      <c r="AO242">
        <v>2</v>
      </c>
      <c r="AP242">
        <v>109.44</v>
      </c>
      <c r="AQ242" s="62">
        <v>5.6093999999999999</v>
      </c>
      <c r="AR242" s="16">
        <v>45559</v>
      </c>
      <c r="AS242" s="18">
        <v>0.74468749999999995</v>
      </c>
      <c r="AT242">
        <v>0</v>
      </c>
      <c r="AU242">
        <v>0</v>
      </c>
      <c r="AV242">
        <v>0</v>
      </c>
      <c r="AW242" s="80">
        <f t="shared" si="306"/>
        <v>5.9237000000000002</v>
      </c>
      <c r="AZ242" t="s">
        <v>149</v>
      </c>
      <c r="BA242">
        <v>3</v>
      </c>
      <c r="BB242" t="s">
        <v>7</v>
      </c>
      <c r="BC242">
        <v>9728</v>
      </c>
      <c r="BD242">
        <v>256</v>
      </c>
      <c r="BE242">
        <v>2</v>
      </c>
      <c r="BF242">
        <v>2</v>
      </c>
      <c r="BG242">
        <v>201.12</v>
      </c>
      <c r="BH242" s="62">
        <v>3.0522999999999998</v>
      </c>
      <c r="BI242" s="16">
        <v>45559</v>
      </c>
      <c r="BJ242" s="18">
        <v>0.99759259259259259</v>
      </c>
      <c r="BK242">
        <v>0</v>
      </c>
      <c r="BL242">
        <v>0</v>
      </c>
      <c r="BM242">
        <v>0</v>
      </c>
      <c r="BN242" s="80">
        <f t="shared" si="307"/>
        <v>3.0828999999999995</v>
      </c>
    </row>
    <row r="243" spans="1:66" x14ac:dyDescent="0.25">
      <c r="A243" t="s">
        <v>111</v>
      </c>
      <c r="B243">
        <v>4</v>
      </c>
      <c r="C243" t="s">
        <v>7</v>
      </c>
      <c r="D243">
        <v>9728</v>
      </c>
      <c r="E243">
        <v>256</v>
      </c>
      <c r="F243">
        <v>2</v>
      </c>
      <c r="G243">
        <v>2</v>
      </c>
      <c r="H243">
        <v>131.44999999999999</v>
      </c>
      <c r="I243" s="62">
        <v>4.67</v>
      </c>
      <c r="J243" s="16">
        <v>45550</v>
      </c>
      <c r="K243" s="18">
        <v>0.25537037037037036</v>
      </c>
      <c r="L243">
        <v>0</v>
      </c>
      <c r="M243">
        <v>0</v>
      </c>
      <c r="N243">
        <v>0</v>
      </c>
      <c r="O243" s="80">
        <f t="shared" si="266"/>
        <v>4.5400000000000009</v>
      </c>
      <c r="R243" t="s">
        <v>111</v>
      </c>
      <c r="S243">
        <v>4</v>
      </c>
      <c r="T243" t="s">
        <v>7</v>
      </c>
      <c r="U243">
        <v>9728</v>
      </c>
      <c r="V243">
        <v>256</v>
      </c>
      <c r="W243">
        <v>2</v>
      </c>
      <c r="X243">
        <v>2</v>
      </c>
      <c r="Y243">
        <v>130.65</v>
      </c>
      <c r="Z243" s="62">
        <v>4.6985000000000001</v>
      </c>
      <c r="AA243" s="16">
        <v>45559</v>
      </c>
      <c r="AB243" s="18">
        <v>0.89951388888888884</v>
      </c>
      <c r="AC243">
        <v>0</v>
      </c>
      <c r="AD243">
        <v>0</v>
      </c>
      <c r="AE243">
        <v>0</v>
      </c>
      <c r="AF243" s="80">
        <f>AF242</f>
        <v>4.6954750000000001</v>
      </c>
      <c r="AI243" t="s">
        <v>149</v>
      </c>
      <c r="AJ243">
        <v>4</v>
      </c>
      <c r="AK243" t="s">
        <v>7</v>
      </c>
      <c r="AL243">
        <v>9728</v>
      </c>
      <c r="AM243">
        <v>256</v>
      </c>
      <c r="AN243">
        <v>2</v>
      </c>
      <c r="AO243">
        <v>2</v>
      </c>
      <c r="AP243">
        <v>101.51</v>
      </c>
      <c r="AQ243" s="62">
        <v>6.0475000000000003</v>
      </c>
      <c r="AR243" s="16">
        <v>45559</v>
      </c>
      <c r="AS243" s="18">
        <v>0.79900462962962959</v>
      </c>
      <c r="AT243">
        <v>0</v>
      </c>
      <c r="AU243">
        <v>0</v>
      </c>
      <c r="AV243">
        <v>0</v>
      </c>
      <c r="AW243" s="80">
        <f t="shared" si="306"/>
        <v>5.9237000000000002</v>
      </c>
      <c r="AZ243" t="s">
        <v>149</v>
      </c>
      <c r="BA243">
        <v>4</v>
      </c>
      <c r="BB243" t="s">
        <v>7</v>
      </c>
      <c r="BC243">
        <v>9728</v>
      </c>
      <c r="BD243">
        <v>256</v>
      </c>
      <c r="BE243">
        <v>2</v>
      </c>
      <c r="BF243">
        <v>2</v>
      </c>
      <c r="BG243">
        <v>195.75</v>
      </c>
      <c r="BH243" s="62">
        <v>3.1360000000000001</v>
      </c>
      <c r="BI243" s="16">
        <v>45560</v>
      </c>
      <c r="BJ243" s="18">
        <v>9.3449074074074073E-2</v>
      </c>
      <c r="BK243">
        <v>0</v>
      </c>
      <c r="BL243">
        <v>0</v>
      </c>
      <c r="BM243">
        <v>0</v>
      </c>
      <c r="BN243" s="80">
        <f t="shared" si="307"/>
        <v>3.0828999999999995</v>
      </c>
    </row>
    <row r="245" spans="1:66" x14ac:dyDescent="0.25">
      <c r="A245" t="s">
        <v>111</v>
      </c>
      <c r="B245">
        <v>0</v>
      </c>
      <c r="C245" t="s">
        <v>7</v>
      </c>
      <c r="D245">
        <v>9760</v>
      </c>
      <c r="E245">
        <v>160</v>
      </c>
      <c r="F245">
        <v>1</v>
      </c>
      <c r="G245">
        <v>4</v>
      </c>
      <c r="H245">
        <v>124.75</v>
      </c>
      <c r="I245" s="62">
        <v>4.9695999999999998</v>
      </c>
      <c r="J245" s="16">
        <v>45560</v>
      </c>
      <c r="K245" s="18">
        <v>0.37806712962962963</v>
      </c>
      <c r="L245">
        <v>0</v>
      </c>
      <c r="M245">
        <v>0</v>
      </c>
      <c r="N245">
        <v>0</v>
      </c>
      <c r="O245" s="80">
        <f t="shared" ref="O245" si="308">AVERAGE(I245:I249)</f>
        <v>4.9740599999999997</v>
      </c>
    </row>
    <row r="246" spans="1:66" x14ac:dyDescent="0.25">
      <c r="A246" t="s">
        <v>111</v>
      </c>
      <c r="B246">
        <v>1</v>
      </c>
      <c r="C246" t="s">
        <v>7</v>
      </c>
      <c r="D246">
        <v>9760</v>
      </c>
      <c r="E246">
        <v>160</v>
      </c>
      <c r="F246">
        <v>1</v>
      </c>
      <c r="G246">
        <v>4</v>
      </c>
      <c r="H246">
        <v>124.67</v>
      </c>
      <c r="I246" s="62">
        <v>4.9726999999999997</v>
      </c>
      <c r="J246" s="16">
        <v>45560</v>
      </c>
      <c r="K246" s="18">
        <v>0.37967592592592592</v>
      </c>
      <c r="L246">
        <v>0</v>
      </c>
      <c r="M246">
        <v>0</v>
      </c>
      <c r="N246">
        <v>0</v>
      </c>
      <c r="O246" s="80">
        <f t="shared" ref="O246:O249" si="309">O245</f>
        <v>4.9740599999999997</v>
      </c>
    </row>
    <row r="247" spans="1:66" x14ac:dyDescent="0.25">
      <c r="A247" t="s">
        <v>111</v>
      </c>
      <c r="B247">
        <v>2</v>
      </c>
      <c r="C247" t="s">
        <v>7</v>
      </c>
      <c r="D247">
        <v>9760</v>
      </c>
      <c r="E247">
        <v>160</v>
      </c>
      <c r="F247">
        <v>1</v>
      </c>
      <c r="G247">
        <v>4</v>
      </c>
      <c r="H247">
        <v>124.57</v>
      </c>
      <c r="I247" s="62">
        <v>4.9767999999999999</v>
      </c>
      <c r="J247" s="16">
        <v>45560</v>
      </c>
      <c r="K247" s="18">
        <v>0.38127314814814817</v>
      </c>
      <c r="L247">
        <v>0</v>
      </c>
      <c r="M247">
        <v>0</v>
      </c>
      <c r="N247">
        <v>0</v>
      </c>
      <c r="O247" s="80">
        <f t="shared" si="309"/>
        <v>4.9740599999999997</v>
      </c>
    </row>
    <row r="248" spans="1:66" x14ac:dyDescent="0.25">
      <c r="A248" t="s">
        <v>111</v>
      </c>
      <c r="B248">
        <v>3</v>
      </c>
      <c r="C248" t="s">
        <v>7</v>
      </c>
      <c r="D248">
        <v>9760</v>
      </c>
      <c r="E248">
        <v>160</v>
      </c>
      <c r="F248">
        <v>1</v>
      </c>
      <c r="G248">
        <v>4</v>
      </c>
      <c r="H248">
        <v>124.61</v>
      </c>
      <c r="I248" s="62">
        <v>4.9749999999999996</v>
      </c>
      <c r="J248" s="16">
        <v>45560</v>
      </c>
      <c r="K248" s="18">
        <v>0.38287037037037036</v>
      </c>
      <c r="L248">
        <v>0</v>
      </c>
      <c r="M248">
        <v>0</v>
      </c>
      <c r="N248">
        <v>0</v>
      </c>
      <c r="O248" s="80">
        <f t="shared" si="309"/>
        <v>4.9740599999999997</v>
      </c>
    </row>
    <row r="249" spans="1:66" x14ac:dyDescent="0.25">
      <c r="A249" t="s">
        <v>111</v>
      </c>
      <c r="B249">
        <v>4</v>
      </c>
      <c r="C249" t="s">
        <v>7</v>
      </c>
      <c r="D249">
        <v>9760</v>
      </c>
      <c r="E249">
        <v>160</v>
      </c>
      <c r="F249">
        <v>1</v>
      </c>
      <c r="G249">
        <v>4</v>
      </c>
      <c r="H249">
        <v>124.58</v>
      </c>
      <c r="I249" s="62">
        <v>4.9762000000000004</v>
      </c>
      <c r="J249" s="16">
        <v>45560</v>
      </c>
      <c r="K249" s="18">
        <v>0.38446759259259261</v>
      </c>
      <c r="L249">
        <v>0</v>
      </c>
      <c r="M249">
        <v>0</v>
      </c>
      <c r="N249">
        <v>0</v>
      </c>
      <c r="O249" s="80">
        <f t="shared" si="309"/>
        <v>4.9740599999999997</v>
      </c>
    </row>
  </sheetData>
  <sortState xmlns:xlrd2="http://schemas.microsoft.com/office/spreadsheetml/2017/richdata2" ref="AZ4:BM243">
    <sortCondition ref="BD4:BD243"/>
    <sortCondition ref="BE4:BE243"/>
    <sortCondition ref="BC4:BC243"/>
    <sortCondition ref="BA4:BA243"/>
  </sortState>
  <mergeCells count="20">
    <mergeCell ref="A1:E1"/>
    <mergeCell ref="O1:O3"/>
    <mergeCell ref="A2:C2"/>
    <mergeCell ref="L2:N2"/>
    <mergeCell ref="K1:N1"/>
    <mergeCell ref="R1:V1"/>
    <mergeCell ref="AB1:AE1"/>
    <mergeCell ref="AF1:AF3"/>
    <mergeCell ref="R2:T2"/>
    <mergeCell ref="AC2:AE2"/>
    <mergeCell ref="AI1:AM1"/>
    <mergeCell ref="AS1:AV1"/>
    <mergeCell ref="AW1:AW3"/>
    <mergeCell ref="AI2:AK2"/>
    <mergeCell ref="AT2:AV2"/>
    <mergeCell ref="AZ1:BD1"/>
    <mergeCell ref="BJ1:BM1"/>
    <mergeCell ref="BN1:BN3"/>
    <mergeCell ref="AZ2:BB2"/>
    <mergeCell ref="BK2:BM2"/>
  </mergeCells>
  <conditionalFormatting sqref="I3">
    <cfRule type="colorScale" priority="14">
      <colorScale>
        <cfvo type="min"/>
        <cfvo type="percentile" val="50"/>
        <cfvo type="max"/>
        <color rgb="FFF8696B"/>
        <color rgb="FFFFEB84"/>
        <color rgb="FF63BE7B"/>
      </colorScale>
    </cfRule>
  </conditionalFormatting>
  <conditionalFormatting sqref="O1">
    <cfRule type="colorScale" priority="15">
      <colorScale>
        <cfvo type="min"/>
        <cfvo type="percentile" val="50"/>
        <cfvo type="max"/>
        <color rgb="FFF8696B"/>
        <color rgb="FFFFEB84"/>
        <color rgb="FF63BE7B"/>
      </colorScale>
    </cfRule>
  </conditionalFormatting>
  <conditionalFormatting sqref="O1:O1048576">
    <cfRule type="colorScale" priority="13">
      <colorScale>
        <cfvo type="min"/>
        <cfvo type="percentile" val="50"/>
        <cfvo type="max"/>
        <color rgb="FFF8696B"/>
        <color rgb="FFFFEB84"/>
        <color rgb="FF63BE7B"/>
      </colorScale>
    </cfRule>
  </conditionalFormatting>
  <conditionalFormatting sqref="Z3">
    <cfRule type="colorScale" priority="11">
      <colorScale>
        <cfvo type="min"/>
        <cfvo type="percentile" val="50"/>
        <cfvo type="max"/>
        <color rgb="FFF8696B"/>
        <color rgb="FFFFEB84"/>
        <color rgb="FF63BE7B"/>
      </colorScale>
    </cfRule>
  </conditionalFormatting>
  <conditionalFormatting sqref="AF1">
    <cfRule type="colorScale" priority="12">
      <colorScale>
        <cfvo type="min"/>
        <cfvo type="percentile" val="50"/>
        <cfvo type="max"/>
        <color rgb="FFF8696B"/>
        <color rgb="FFFFEB84"/>
        <color rgb="FF63BE7B"/>
      </colorScale>
    </cfRule>
  </conditionalFormatting>
  <conditionalFormatting sqref="AF1:AF3">
    <cfRule type="colorScale" priority="10">
      <colorScale>
        <cfvo type="min"/>
        <cfvo type="percentile" val="50"/>
        <cfvo type="max"/>
        <color rgb="FFF8696B"/>
        <color rgb="FFFFEB84"/>
        <color rgb="FF63BE7B"/>
      </colorScale>
    </cfRule>
  </conditionalFormatting>
  <conditionalFormatting sqref="AF4:AF243">
    <cfRule type="colorScale" priority="9">
      <colorScale>
        <cfvo type="min"/>
        <cfvo type="percentile" val="50"/>
        <cfvo type="max"/>
        <color rgb="FFF8696B"/>
        <color rgb="FFFFEB84"/>
        <color rgb="FF63BE7B"/>
      </colorScale>
    </cfRule>
  </conditionalFormatting>
  <conditionalFormatting sqref="AQ3">
    <cfRule type="colorScale" priority="7">
      <colorScale>
        <cfvo type="min"/>
        <cfvo type="percentile" val="50"/>
        <cfvo type="max"/>
        <color rgb="FFF8696B"/>
        <color rgb="FFFFEB84"/>
        <color rgb="FF63BE7B"/>
      </colorScale>
    </cfRule>
  </conditionalFormatting>
  <conditionalFormatting sqref="AW1">
    <cfRule type="colorScale" priority="8">
      <colorScale>
        <cfvo type="min"/>
        <cfvo type="percentile" val="50"/>
        <cfvo type="max"/>
        <color rgb="FFF8696B"/>
        <color rgb="FFFFEB84"/>
        <color rgb="FF63BE7B"/>
      </colorScale>
    </cfRule>
  </conditionalFormatting>
  <conditionalFormatting sqref="AW1:AW3">
    <cfRule type="colorScale" priority="6">
      <colorScale>
        <cfvo type="min"/>
        <cfvo type="percentile" val="50"/>
        <cfvo type="max"/>
        <color rgb="FFF8696B"/>
        <color rgb="FFFFEB84"/>
        <color rgb="FF63BE7B"/>
      </colorScale>
    </cfRule>
  </conditionalFormatting>
  <conditionalFormatting sqref="AW4:AW243">
    <cfRule type="colorScale" priority="5">
      <colorScale>
        <cfvo type="min"/>
        <cfvo type="percentile" val="50"/>
        <cfvo type="max"/>
        <color rgb="FFF8696B"/>
        <color rgb="FFFFEB84"/>
        <color rgb="FF63BE7B"/>
      </colorScale>
    </cfRule>
  </conditionalFormatting>
  <conditionalFormatting sqref="BH3">
    <cfRule type="colorScale" priority="3">
      <colorScale>
        <cfvo type="min"/>
        <cfvo type="percentile" val="50"/>
        <cfvo type="max"/>
        <color rgb="FFF8696B"/>
        <color rgb="FFFFEB84"/>
        <color rgb="FF63BE7B"/>
      </colorScale>
    </cfRule>
  </conditionalFormatting>
  <conditionalFormatting sqref="BN1">
    <cfRule type="colorScale" priority="4">
      <colorScale>
        <cfvo type="min"/>
        <cfvo type="percentile" val="50"/>
        <cfvo type="max"/>
        <color rgb="FFF8696B"/>
        <color rgb="FFFFEB84"/>
        <color rgb="FF63BE7B"/>
      </colorScale>
    </cfRule>
  </conditionalFormatting>
  <conditionalFormatting sqref="BN1:BN3">
    <cfRule type="colorScale" priority="2">
      <colorScale>
        <cfvo type="min"/>
        <cfvo type="percentile" val="50"/>
        <cfvo type="max"/>
        <color rgb="FFF8696B"/>
        <color rgb="FFFFEB84"/>
        <color rgb="FF63BE7B"/>
      </colorScale>
    </cfRule>
  </conditionalFormatting>
  <conditionalFormatting sqref="BN4:BN24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41EC-660F-4230-B007-A73B55E10021}">
  <dimension ref="A1:BV503"/>
  <sheetViews>
    <sheetView workbookViewId="0">
      <selection activeCell="H323" sqref="H323"/>
    </sheetView>
  </sheetViews>
  <sheetFormatPr defaultRowHeight="15" x14ac:dyDescent="0.25"/>
  <cols>
    <col min="4" max="4" width="9.5703125" bestFit="1" customWidth="1"/>
    <col min="8" max="8" width="9.140625" style="79"/>
    <col min="10" max="10" width="10.140625" bestFit="1" customWidth="1"/>
    <col min="29" max="29" width="9.5703125" bestFit="1" customWidth="1"/>
    <col min="33" max="33" width="9.140625" style="79"/>
    <col min="34" max="34" width="9.140625" style="23"/>
    <col min="58" max="58" width="9.140625" style="23"/>
  </cols>
  <sheetData>
    <row r="1" spans="1:74" x14ac:dyDescent="0.25">
      <c r="A1" s="105" t="s">
        <v>112</v>
      </c>
      <c r="B1" s="105"/>
      <c r="C1" s="105"/>
      <c r="D1" s="105"/>
      <c r="E1" s="105"/>
      <c r="F1" s="81">
        <f>MAX(X:X)</f>
        <v>12.011999999999999</v>
      </c>
      <c r="G1" s="30">
        <f>INDEX(D:D,MATCH(MAX($X:$X),$X:$X,0))</f>
        <v>19520</v>
      </c>
      <c r="H1" s="30">
        <f>INDEX(E:E,MATCH(MAX($X:$X),$X:$X,0))</f>
        <v>160</v>
      </c>
      <c r="I1" s="30">
        <f>INDEX(F:F,MATCH(MAX($X:$X),$X:$X,0))</f>
        <v>2</v>
      </c>
      <c r="J1" s="30">
        <f>INDEX(G:G,MATCH(MAX($X:$X),$X:$X,0))</f>
        <v>8</v>
      </c>
      <c r="K1" s="31"/>
      <c r="L1" s="114" t="s">
        <v>146</v>
      </c>
      <c r="M1" s="114"/>
      <c r="N1" s="114"/>
      <c r="O1" s="114"/>
      <c r="P1" s="114"/>
      <c r="Q1" s="114"/>
      <c r="R1" s="114"/>
      <c r="S1" s="114"/>
      <c r="T1" s="114"/>
      <c r="U1" s="114"/>
      <c r="V1" s="114"/>
      <c r="W1" s="114"/>
      <c r="X1" s="109" t="s">
        <v>113</v>
      </c>
      <c r="Z1" s="105" t="s">
        <v>112</v>
      </c>
      <c r="AA1" s="105"/>
      <c r="AB1" s="105"/>
      <c r="AC1" s="105"/>
      <c r="AD1" s="105"/>
      <c r="AE1" s="81">
        <f>MAX(AW:AW)</f>
        <v>13.911</v>
      </c>
      <c r="AF1" s="30">
        <f>INDEX(AC:AC,MATCH(MAX($AW:$AW),$AW:$AW,0))</f>
        <v>19584</v>
      </c>
      <c r="AG1" s="30">
        <f>INDEX(AD:AD,MATCH(MAX($AW:$AW),$AW:$AW,0))</f>
        <v>96</v>
      </c>
      <c r="AH1" s="30">
        <f>INDEX(AE:AE,MATCH(MAX($AW:$AW),$AW:$AW,0))</f>
        <v>2</v>
      </c>
      <c r="AI1" s="30">
        <f>INDEX(AF:AF,MATCH(MAX($AW:$AW),$AW:$AW,0))</f>
        <v>8</v>
      </c>
      <c r="AJ1" s="31"/>
      <c r="AK1" s="114" t="s">
        <v>148</v>
      </c>
      <c r="AL1" s="114"/>
      <c r="AM1" s="114"/>
      <c r="AN1" s="114"/>
      <c r="AO1" s="114"/>
      <c r="AP1" s="114"/>
      <c r="AQ1" s="114"/>
      <c r="AR1" s="114"/>
      <c r="AS1" s="114"/>
      <c r="AT1" s="114"/>
      <c r="AU1" s="114"/>
      <c r="AV1" s="114"/>
      <c r="AW1" s="109" t="s">
        <v>113</v>
      </c>
      <c r="AY1" s="105" t="s">
        <v>112</v>
      </c>
      <c r="AZ1" s="105"/>
      <c r="BA1" s="105"/>
      <c r="BB1" s="105"/>
      <c r="BC1" s="105"/>
      <c r="BD1" s="29">
        <f>MAX(BU:BU)</f>
        <v>0</v>
      </c>
      <c r="BE1" s="30" t="str">
        <f>INDEX(BA:BA,MATCH(MAX($BU:$BU),$BU:$BU,0))</f>
        <v>WR00L2L2</v>
      </c>
      <c r="BF1" s="30">
        <f>INDEX(BB:BB,MATCH(MAX($BU:$BU),$BU:$BU,0))</f>
        <v>17536</v>
      </c>
      <c r="BG1" s="38">
        <f>INDEX(BC:BC,MATCH(MAX($BU:$BU),$BU:$BU,0))</f>
        <v>32</v>
      </c>
      <c r="BH1" s="30">
        <f>INDEX(BD:BD,MATCH(MAX($BU:$BU),$BU:$BU,0))</f>
        <v>1</v>
      </c>
      <c r="BI1" s="31"/>
      <c r="BJ1" s="114" t="s">
        <v>147</v>
      </c>
      <c r="BK1" s="114"/>
      <c r="BL1" s="114"/>
      <c r="BM1" s="114"/>
      <c r="BN1" s="114"/>
      <c r="BO1" s="114"/>
      <c r="BP1" s="114"/>
      <c r="BQ1" s="114"/>
      <c r="BR1" s="114"/>
      <c r="BS1" s="114"/>
      <c r="BT1" s="114"/>
      <c r="BU1" s="114"/>
      <c r="BV1" s="109" t="s">
        <v>113</v>
      </c>
    </row>
    <row r="2" spans="1:74" x14ac:dyDescent="0.25">
      <c r="A2" s="101" t="s">
        <v>114</v>
      </c>
      <c r="B2" s="101"/>
      <c r="C2" s="101"/>
      <c r="D2" s="33">
        <f>MAX(I4:I856)</f>
        <v>12.246</v>
      </c>
      <c r="E2" s="34"/>
      <c r="F2" s="34"/>
      <c r="G2" s="34"/>
      <c r="H2" s="35"/>
      <c r="I2" s="63"/>
      <c r="J2" s="34"/>
      <c r="K2" s="31"/>
      <c r="L2" s="110" t="s">
        <v>100</v>
      </c>
      <c r="M2" s="110"/>
      <c r="N2" s="110"/>
      <c r="O2" s="110" t="s">
        <v>101</v>
      </c>
      <c r="P2" s="110"/>
      <c r="Q2" s="110"/>
      <c r="R2" s="110" t="s">
        <v>102</v>
      </c>
      <c r="S2" s="110"/>
      <c r="T2" s="110"/>
      <c r="U2" s="110" t="s">
        <v>103</v>
      </c>
      <c r="V2" s="110"/>
      <c r="W2" s="110"/>
      <c r="X2" s="109"/>
      <c r="Z2" s="101" t="s">
        <v>114</v>
      </c>
      <c r="AA2" s="101"/>
      <c r="AB2" s="101"/>
      <c r="AC2" s="33">
        <f>MAX(AH4:AH855)</f>
        <v>13.926</v>
      </c>
      <c r="AD2" s="34"/>
      <c r="AE2" s="34"/>
      <c r="AF2" s="34"/>
      <c r="AG2" s="35"/>
      <c r="AH2" s="63"/>
      <c r="AI2" s="34"/>
      <c r="AJ2" s="31"/>
      <c r="AK2" s="110" t="s">
        <v>100</v>
      </c>
      <c r="AL2" s="110"/>
      <c r="AM2" s="110"/>
      <c r="AN2" s="110" t="s">
        <v>101</v>
      </c>
      <c r="AO2" s="110"/>
      <c r="AP2" s="110"/>
      <c r="AQ2" s="110" t="s">
        <v>102</v>
      </c>
      <c r="AR2" s="110"/>
      <c r="AS2" s="110"/>
      <c r="AT2" s="110" t="s">
        <v>103</v>
      </c>
      <c r="AU2" s="110"/>
      <c r="AV2" s="110"/>
      <c r="AW2" s="109"/>
      <c r="AY2" s="101" t="s">
        <v>114</v>
      </c>
      <c r="AZ2" s="101"/>
      <c r="BA2" s="101"/>
      <c r="BB2" s="33">
        <f>MAX(BF4:BF856)</f>
        <v>7559.93</v>
      </c>
      <c r="BC2" s="34"/>
      <c r="BD2" s="34"/>
      <c r="BE2" s="34"/>
      <c r="BF2" s="35"/>
      <c r="BG2" s="63"/>
      <c r="BH2" s="34"/>
      <c r="BI2" s="31"/>
      <c r="BJ2" s="110" t="s">
        <v>100</v>
      </c>
      <c r="BK2" s="110"/>
      <c r="BL2" s="110"/>
      <c r="BM2" s="110" t="s">
        <v>101</v>
      </c>
      <c r="BN2" s="110"/>
      <c r="BO2" s="110"/>
      <c r="BP2" s="110" t="s">
        <v>102</v>
      </c>
      <c r="BQ2" s="110"/>
      <c r="BR2" s="110"/>
      <c r="BS2" s="110" t="s">
        <v>103</v>
      </c>
      <c r="BT2" s="110"/>
      <c r="BU2" s="110"/>
      <c r="BV2" s="109"/>
    </row>
    <row r="3" spans="1:74" x14ac:dyDescent="0.25">
      <c r="A3" s="36" t="s">
        <v>104</v>
      </c>
      <c r="B3" s="36" t="s">
        <v>96</v>
      </c>
      <c r="C3" s="36"/>
      <c r="D3" s="36" t="s">
        <v>1</v>
      </c>
      <c r="E3" s="36" t="s">
        <v>2</v>
      </c>
      <c r="F3" s="36" t="s">
        <v>3</v>
      </c>
      <c r="G3" s="36" t="s">
        <v>4</v>
      </c>
      <c r="H3" s="37" t="s">
        <v>5</v>
      </c>
      <c r="I3" s="38" t="s">
        <v>6</v>
      </c>
      <c r="J3" s="38" t="s">
        <v>97</v>
      </c>
      <c r="K3" s="39" t="s">
        <v>5</v>
      </c>
      <c r="L3" s="49" t="s">
        <v>117</v>
      </c>
      <c r="M3" s="49" t="s">
        <v>99</v>
      </c>
      <c r="N3" s="49" t="s">
        <v>98</v>
      </c>
      <c r="O3" s="49" t="s">
        <v>117</v>
      </c>
      <c r="P3" s="49" t="s">
        <v>99</v>
      </c>
      <c r="Q3" s="49" t="s">
        <v>98</v>
      </c>
      <c r="R3" s="49" t="s">
        <v>117</v>
      </c>
      <c r="S3" s="49" t="s">
        <v>99</v>
      </c>
      <c r="T3" s="49" t="s">
        <v>98</v>
      </c>
      <c r="U3" s="49" t="s">
        <v>117</v>
      </c>
      <c r="V3" s="49" t="s">
        <v>99</v>
      </c>
      <c r="W3" s="49" t="s">
        <v>98</v>
      </c>
      <c r="X3" s="109"/>
      <c r="Z3" s="36" t="s">
        <v>104</v>
      </c>
      <c r="AA3" s="36" t="s">
        <v>96</v>
      </c>
      <c r="AB3" s="36"/>
      <c r="AC3" s="36" t="s">
        <v>1</v>
      </c>
      <c r="AD3" s="36" t="s">
        <v>2</v>
      </c>
      <c r="AE3" s="36" t="s">
        <v>3</v>
      </c>
      <c r="AF3" s="36" t="s">
        <v>4</v>
      </c>
      <c r="AG3" s="37" t="s">
        <v>5</v>
      </c>
      <c r="AH3" s="38" t="s">
        <v>6</v>
      </c>
      <c r="AI3" s="38" t="s">
        <v>97</v>
      </c>
      <c r="AJ3" s="39" t="s">
        <v>5</v>
      </c>
      <c r="AK3" s="49" t="s">
        <v>117</v>
      </c>
      <c r="AL3" s="49" t="s">
        <v>99</v>
      </c>
      <c r="AM3" s="49" t="s">
        <v>98</v>
      </c>
      <c r="AN3" s="49" t="s">
        <v>117</v>
      </c>
      <c r="AO3" s="49" t="s">
        <v>99</v>
      </c>
      <c r="AP3" s="49" t="s">
        <v>98</v>
      </c>
      <c r="AQ3" s="49" t="s">
        <v>117</v>
      </c>
      <c r="AR3" s="49" t="s">
        <v>99</v>
      </c>
      <c r="AS3" s="49" t="s">
        <v>98</v>
      </c>
      <c r="AT3" s="49" t="s">
        <v>117</v>
      </c>
      <c r="AU3" s="49" t="s">
        <v>99</v>
      </c>
      <c r="AV3" s="49" t="s">
        <v>98</v>
      </c>
      <c r="AW3" s="109"/>
      <c r="AY3" s="101" t="s">
        <v>96</v>
      </c>
      <c r="AZ3" s="101"/>
      <c r="BA3" s="36"/>
      <c r="BB3" s="36" t="s">
        <v>1</v>
      </c>
      <c r="BC3" s="36" t="s">
        <v>2</v>
      </c>
      <c r="BD3" s="36" t="s">
        <v>3</v>
      </c>
      <c r="BE3" s="36" t="s">
        <v>4</v>
      </c>
      <c r="BF3" s="37" t="s">
        <v>5</v>
      </c>
      <c r="BG3" s="38" t="s">
        <v>6</v>
      </c>
      <c r="BH3" s="38" t="s">
        <v>97</v>
      </c>
      <c r="BI3" s="39" t="s">
        <v>5</v>
      </c>
      <c r="BJ3" s="49" t="s">
        <v>117</v>
      </c>
      <c r="BK3" s="49" t="s">
        <v>99</v>
      </c>
      <c r="BL3" s="49" t="s">
        <v>98</v>
      </c>
      <c r="BM3" s="49" t="s">
        <v>117</v>
      </c>
      <c r="BN3" s="49" t="s">
        <v>99</v>
      </c>
      <c r="BO3" s="49" t="s">
        <v>98</v>
      </c>
      <c r="BP3" s="49" t="s">
        <v>117</v>
      </c>
      <c r="BQ3" s="49" t="s">
        <v>99</v>
      </c>
      <c r="BR3" s="49" t="s">
        <v>98</v>
      </c>
      <c r="BS3" s="49" t="s">
        <v>117</v>
      </c>
      <c r="BT3" s="49" t="s">
        <v>99</v>
      </c>
      <c r="BU3" s="49" t="s">
        <v>98</v>
      </c>
      <c r="BV3" s="109"/>
    </row>
    <row r="4" spans="1:74" x14ac:dyDescent="0.25">
      <c r="A4" t="s">
        <v>111</v>
      </c>
      <c r="B4">
        <v>0</v>
      </c>
      <c r="C4" t="s">
        <v>7</v>
      </c>
      <c r="D4">
        <v>19520</v>
      </c>
      <c r="E4">
        <v>160</v>
      </c>
      <c r="F4">
        <v>2</v>
      </c>
      <c r="G4">
        <v>8</v>
      </c>
      <c r="H4" s="79">
        <v>413.67</v>
      </c>
      <c r="I4" s="61">
        <v>11.988</v>
      </c>
      <c r="J4" s="16">
        <v>45560</v>
      </c>
      <c r="K4" s="18">
        <v>0.42908564814814815</v>
      </c>
      <c r="L4">
        <v>0</v>
      </c>
      <c r="M4">
        <v>0</v>
      </c>
      <c r="N4">
        <v>0</v>
      </c>
      <c r="O4">
        <v>0</v>
      </c>
      <c r="P4">
        <v>0</v>
      </c>
      <c r="Q4">
        <v>0</v>
      </c>
      <c r="R4">
        <v>0</v>
      </c>
      <c r="S4">
        <v>0</v>
      </c>
      <c r="T4">
        <v>0</v>
      </c>
      <c r="U4">
        <v>0</v>
      </c>
      <c r="V4">
        <v>0</v>
      </c>
      <c r="W4">
        <v>0</v>
      </c>
      <c r="X4" s="82">
        <f>AVERAGE(I4:I8)</f>
        <v>12.011999999999999</v>
      </c>
      <c r="Z4" t="s">
        <v>149</v>
      </c>
      <c r="AA4">
        <v>0</v>
      </c>
      <c r="AB4" t="s">
        <v>7</v>
      </c>
      <c r="AC4">
        <v>19584</v>
      </c>
      <c r="AD4">
        <v>96</v>
      </c>
      <c r="AE4">
        <v>2</v>
      </c>
      <c r="AF4">
        <v>8</v>
      </c>
      <c r="AG4" s="79">
        <v>360.08</v>
      </c>
      <c r="AH4" s="61">
        <v>13.907999999999999</v>
      </c>
      <c r="AI4" s="16">
        <v>45559</v>
      </c>
      <c r="AJ4" s="18">
        <v>0.38366898148148149</v>
      </c>
      <c r="AK4">
        <v>0</v>
      </c>
      <c r="AL4">
        <v>0</v>
      </c>
      <c r="AM4">
        <v>0</v>
      </c>
      <c r="AN4">
        <v>0</v>
      </c>
      <c r="AO4">
        <v>0</v>
      </c>
      <c r="AP4">
        <v>0</v>
      </c>
      <c r="AQ4">
        <v>0</v>
      </c>
      <c r="AR4">
        <v>0</v>
      </c>
      <c r="AS4">
        <v>0</v>
      </c>
      <c r="AT4">
        <v>0</v>
      </c>
      <c r="AU4">
        <v>0</v>
      </c>
      <c r="AV4">
        <v>0</v>
      </c>
      <c r="AW4" s="82">
        <f>AVERAGE(AH4:AH7)</f>
        <v>13.911</v>
      </c>
      <c r="AZ4" s="40">
        <v>0</v>
      </c>
      <c r="BA4" s="40" t="s">
        <v>7</v>
      </c>
      <c r="BB4" s="41">
        <v>17536</v>
      </c>
      <c r="BC4" s="41">
        <v>32</v>
      </c>
      <c r="BD4" s="41">
        <v>1</v>
      </c>
      <c r="BE4" s="41">
        <v>16</v>
      </c>
      <c r="BF4" s="41">
        <v>394.79</v>
      </c>
      <c r="BG4" s="72">
        <v>9.1073000000000004</v>
      </c>
      <c r="BH4" s="42">
        <v>45472</v>
      </c>
      <c r="BI4" s="43">
        <v>0.32971064814814816</v>
      </c>
      <c r="BJ4" s="44">
        <v>0</v>
      </c>
      <c r="BK4" s="44">
        <v>0</v>
      </c>
      <c r="BL4" s="44">
        <v>0</v>
      </c>
      <c r="BM4" s="44">
        <v>0</v>
      </c>
      <c r="BN4" s="44">
        <v>0</v>
      </c>
      <c r="BO4" s="44">
        <v>0</v>
      </c>
      <c r="BP4" s="44">
        <v>0</v>
      </c>
      <c r="BQ4" s="44">
        <v>0</v>
      </c>
      <c r="BR4" s="44">
        <v>0</v>
      </c>
      <c r="BS4" s="44">
        <v>0</v>
      </c>
      <c r="BT4" s="4">
        <v>0</v>
      </c>
      <c r="BU4">
        <v>0</v>
      </c>
      <c r="BV4" s="75"/>
    </row>
    <row r="5" spans="1:74" x14ac:dyDescent="0.25">
      <c r="A5" t="s">
        <v>111</v>
      </c>
      <c r="B5">
        <v>1</v>
      </c>
      <c r="C5" t="s">
        <v>7</v>
      </c>
      <c r="D5">
        <v>19520</v>
      </c>
      <c r="E5">
        <v>160</v>
      </c>
      <c r="F5">
        <v>2</v>
      </c>
      <c r="G5">
        <v>8</v>
      </c>
      <c r="H5" s="79">
        <v>404.96</v>
      </c>
      <c r="I5" s="61">
        <v>12.246</v>
      </c>
      <c r="J5" s="16">
        <v>45560</v>
      </c>
      <c r="K5" s="18">
        <v>0.44442129629629629</v>
      </c>
      <c r="L5">
        <v>0</v>
      </c>
      <c r="M5">
        <v>0</v>
      </c>
      <c r="N5">
        <v>0</v>
      </c>
      <c r="O5">
        <v>0</v>
      </c>
      <c r="P5">
        <v>0</v>
      </c>
      <c r="Q5">
        <v>0</v>
      </c>
      <c r="R5">
        <v>0</v>
      </c>
      <c r="S5">
        <v>0</v>
      </c>
      <c r="T5">
        <v>0</v>
      </c>
      <c r="U5">
        <v>0</v>
      </c>
      <c r="V5">
        <v>0</v>
      </c>
      <c r="W5">
        <v>0</v>
      </c>
      <c r="X5" s="80">
        <f>X4</f>
        <v>12.011999999999999</v>
      </c>
      <c r="Z5" t="s">
        <v>149</v>
      </c>
      <c r="AA5">
        <v>1</v>
      </c>
      <c r="AB5" t="s">
        <v>7</v>
      </c>
      <c r="AC5">
        <v>19584</v>
      </c>
      <c r="AD5">
        <v>96</v>
      </c>
      <c r="AE5">
        <v>2</v>
      </c>
      <c r="AF5">
        <v>8</v>
      </c>
      <c r="AG5" s="79">
        <v>359.62</v>
      </c>
      <c r="AH5" s="61">
        <v>13.926</v>
      </c>
      <c r="AI5" s="16">
        <v>45559</v>
      </c>
      <c r="AJ5" s="18">
        <v>0.39690972222222221</v>
      </c>
      <c r="AK5">
        <v>0</v>
      </c>
      <c r="AL5">
        <v>0</v>
      </c>
      <c r="AM5">
        <v>0</v>
      </c>
      <c r="AN5">
        <v>0</v>
      </c>
      <c r="AO5">
        <v>0</v>
      </c>
      <c r="AP5">
        <v>0</v>
      </c>
      <c r="AQ5">
        <v>0</v>
      </c>
      <c r="AR5">
        <v>0</v>
      </c>
      <c r="AS5">
        <v>0</v>
      </c>
      <c r="AT5">
        <v>0</v>
      </c>
      <c r="AU5">
        <v>0</v>
      </c>
      <c r="AV5">
        <v>0</v>
      </c>
      <c r="AW5" s="80">
        <f>AW4</f>
        <v>13.911</v>
      </c>
      <c r="AZ5">
        <v>1</v>
      </c>
      <c r="BA5" t="s">
        <v>7</v>
      </c>
      <c r="BB5">
        <v>17536</v>
      </c>
      <c r="BC5">
        <v>32</v>
      </c>
      <c r="BD5">
        <v>1</v>
      </c>
      <c r="BE5">
        <v>16</v>
      </c>
      <c r="BF5">
        <v>562.61</v>
      </c>
      <c r="BG5" s="62">
        <v>6.3906999999999998</v>
      </c>
      <c r="BH5" s="16">
        <v>45474</v>
      </c>
      <c r="BI5" s="18">
        <v>0.11299768518518519</v>
      </c>
      <c r="BJ5">
        <v>0</v>
      </c>
      <c r="BK5">
        <v>0</v>
      </c>
      <c r="BL5">
        <v>0</v>
      </c>
      <c r="BM5">
        <v>0</v>
      </c>
      <c r="BN5">
        <v>0</v>
      </c>
      <c r="BO5">
        <v>0</v>
      </c>
      <c r="BP5">
        <v>0</v>
      </c>
      <c r="BQ5">
        <v>0</v>
      </c>
      <c r="BR5">
        <v>0</v>
      </c>
      <c r="BS5">
        <v>0</v>
      </c>
      <c r="BT5">
        <v>0</v>
      </c>
      <c r="BU5">
        <v>0</v>
      </c>
      <c r="BV5" s="74"/>
    </row>
    <row r="6" spans="1:74" x14ac:dyDescent="0.25">
      <c r="A6" t="s">
        <v>111</v>
      </c>
      <c r="B6">
        <v>2</v>
      </c>
      <c r="C6" t="s">
        <v>7</v>
      </c>
      <c r="D6">
        <v>19520</v>
      </c>
      <c r="E6">
        <v>160</v>
      </c>
      <c r="F6">
        <v>2</v>
      </c>
      <c r="G6">
        <v>8</v>
      </c>
      <c r="H6" s="79">
        <v>423.83</v>
      </c>
      <c r="I6" s="61">
        <v>11.7</v>
      </c>
      <c r="J6" s="16">
        <v>45560</v>
      </c>
      <c r="K6" s="18">
        <v>0.46003472222222225</v>
      </c>
      <c r="L6">
        <v>0</v>
      </c>
      <c r="M6">
        <v>0</v>
      </c>
      <c r="N6">
        <v>0</v>
      </c>
      <c r="O6">
        <v>0</v>
      </c>
      <c r="P6">
        <v>0</v>
      </c>
      <c r="Q6">
        <v>0</v>
      </c>
      <c r="R6">
        <v>0</v>
      </c>
      <c r="S6">
        <v>0</v>
      </c>
      <c r="T6">
        <v>0</v>
      </c>
      <c r="U6">
        <v>0</v>
      </c>
      <c r="V6">
        <v>0</v>
      </c>
      <c r="W6">
        <v>0</v>
      </c>
      <c r="X6" s="80">
        <f>X5</f>
        <v>12.011999999999999</v>
      </c>
      <c r="Z6" t="s">
        <v>149</v>
      </c>
      <c r="AA6">
        <v>2</v>
      </c>
      <c r="AB6" t="s">
        <v>7</v>
      </c>
      <c r="AC6">
        <v>19584</v>
      </c>
      <c r="AD6">
        <v>96</v>
      </c>
      <c r="AE6">
        <v>2</v>
      </c>
      <c r="AF6">
        <v>8</v>
      </c>
      <c r="AG6" s="79">
        <v>360.07</v>
      </c>
      <c r="AH6" s="61">
        <v>13.907999999999999</v>
      </c>
      <c r="AI6" s="16">
        <v>45559</v>
      </c>
      <c r="AJ6" s="18">
        <v>0.41020833333333334</v>
      </c>
      <c r="AK6">
        <v>0</v>
      </c>
      <c r="AL6">
        <v>0</v>
      </c>
      <c r="AM6">
        <v>0</v>
      </c>
      <c r="AN6">
        <v>0</v>
      </c>
      <c r="AO6">
        <v>0</v>
      </c>
      <c r="AP6">
        <v>0</v>
      </c>
      <c r="AQ6">
        <v>0</v>
      </c>
      <c r="AR6">
        <v>0</v>
      </c>
      <c r="AS6">
        <v>0</v>
      </c>
      <c r="AT6">
        <v>0</v>
      </c>
      <c r="AU6">
        <v>0</v>
      </c>
      <c r="AV6">
        <v>0</v>
      </c>
      <c r="AW6" s="80">
        <f>AW5</f>
        <v>13.911</v>
      </c>
      <c r="AZ6">
        <v>0</v>
      </c>
      <c r="BA6" t="s">
        <v>7</v>
      </c>
      <c r="BB6">
        <v>18560</v>
      </c>
      <c r="BC6">
        <v>32</v>
      </c>
      <c r="BD6">
        <v>1</v>
      </c>
      <c r="BE6">
        <v>16</v>
      </c>
      <c r="BF6">
        <v>453.67</v>
      </c>
      <c r="BG6" s="62">
        <v>9.3962000000000003</v>
      </c>
      <c r="BH6" s="16">
        <v>45472</v>
      </c>
      <c r="BI6" s="18">
        <v>0.44150462962962961</v>
      </c>
      <c r="BJ6">
        <v>0</v>
      </c>
      <c r="BK6">
        <v>0</v>
      </c>
      <c r="BL6">
        <v>0</v>
      </c>
      <c r="BM6">
        <v>0</v>
      </c>
      <c r="BN6">
        <v>0</v>
      </c>
      <c r="BO6">
        <v>0</v>
      </c>
      <c r="BP6">
        <v>0</v>
      </c>
      <c r="BQ6">
        <v>0</v>
      </c>
      <c r="BR6">
        <v>0</v>
      </c>
      <c r="BS6">
        <v>0</v>
      </c>
      <c r="BT6">
        <v>0</v>
      </c>
      <c r="BU6">
        <v>0</v>
      </c>
      <c r="BV6" s="75"/>
    </row>
    <row r="7" spans="1:74" x14ac:dyDescent="0.25">
      <c r="A7" t="s">
        <v>111</v>
      </c>
      <c r="B7">
        <v>3</v>
      </c>
      <c r="C7" t="s">
        <v>7</v>
      </c>
      <c r="D7">
        <v>19520</v>
      </c>
      <c r="E7">
        <v>160</v>
      </c>
      <c r="F7">
        <v>2</v>
      </c>
      <c r="G7">
        <v>8</v>
      </c>
      <c r="H7" s="79">
        <v>407.96</v>
      </c>
      <c r="I7" s="61">
        <v>12.156000000000001</v>
      </c>
      <c r="J7" s="16">
        <v>45560</v>
      </c>
      <c r="K7" s="18">
        <v>0.47535879629629629</v>
      </c>
      <c r="L7">
        <v>0</v>
      </c>
      <c r="M7">
        <v>0</v>
      </c>
      <c r="N7">
        <v>0</v>
      </c>
      <c r="O7">
        <v>0</v>
      </c>
      <c r="P7">
        <v>0</v>
      </c>
      <c r="Q7">
        <v>0</v>
      </c>
      <c r="R7">
        <v>0</v>
      </c>
      <c r="S7">
        <v>0</v>
      </c>
      <c r="T7">
        <v>0</v>
      </c>
      <c r="U7">
        <v>0</v>
      </c>
      <c r="V7">
        <v>0</v>
      </c>
      <c r="W7">
        <v>0</v>
      </c>
      <c r="X7" s="80">
        <f>X6</f>
        <v>12.011999999999999</v>
      </c>
      <c r="Z7" t="s">
        <v>149</v>
      </c>
      <c r="AA7">
        <v>3</v>
      </c>
      <c r="AB7" t="s">
        <v>7</v>
      </c>
      <c r="AC7">
        <v>19584</v>
      </c>
      <c r="AD7">
        <v>96</v>
      </c>
      <c r="AE7">
        <v>2</v>
      </c>
      <c r="AF7">
        <v>8</v>
      </c>
      <c r="AG7" s="79">
        <v>360.24</v>
      </c>
      <c r="AH7" s="61">
        <v>13.901999999999999</v>
      </c>
      <c r="AI7" s="16">
        <v>45559</v>
      </c>
      <c r="AJ7" s="18">
        <v>0.42346064814814816</v>
      </c>
      <c r="AK7">
        <v>0</v>
      </c>
      <c r="AL7">
        <v>0</v>
      </c>
      <c r="AM7">
        <v>0</v>
      </c>
      <c r="AN7">
        <v>0</v>
      </c>
      <c r="AO7">
        <v>0</v>
      </c>
      <c r="AP7">
        <v>0</v>
      </c>
      <c r="AQ7">
        <v>0</v>
      </c>
      <c r="AR7">
        <v>0</v>
      </c>
      <c r="AS7">
        <v>0</v>
      </c>
      <c r="AT7">
        <v>0</v>
      </c>
      <c r="AU7">
        <v>0</v>
      </c>
      <c r="AV7">
        <v>0</v>
      </c>
      <c r="AW7" s="80">
        <f>AW6</f>
        <v>13.911</v>
      </c>
      <c r="AZ7">
        <v>1</v>
      </c>
      <c r="BA7" t="s">
        <v>7</v>
      </c>
      <c r="BB7">
        <v>18560</v>
      </c>
      <c r="BC7">
        <v>32</v>
      </c>
      <c r="BD7">
        <v>1</v>
      </c>
      <c r="BE7">
        <v>16</v>
      </c>
      <c r="BF7">
        <v>654</v>
      </c>
      <c r="BG7" s="62">
        <v>6.5179999999999998</v>
      </c>
      <c r="BH7" s="16">
        <v>45474</v>
      </c>
      <c r="BI7" s="18">
        <v>0.27925925925925926</v>
      </c>
      <c r="BJ7">
        <v>0</v>
      </c>
      <c r="BK7">
        <v>0</v>
      </c>
      <c r="BL7">
        <v>0</v>
      </c>
      <c r="BM7">
        <v>0</v>
      </c>
      <c r="BN7">
        <v>0</v>
      </c>
      <c r="BO7">
        <v>0</v>
      </c>
      <c r="BP7">
        <v>0</v>
      </c>
      <c r="BQ7">
        <v>0</v>
      </c>
      <c r="BR7">
        <v>0</v>
      </c>
      <c r="BS7">
        <v>0</v>
      </c>
      <c r="BT7">
        <v>0</v>
      </c>
      <c r="BU7">
        <v>0</v>
      </c>
      <c r="BV7" s="74"/>
    </row>
    <row r="8" spans="1:74" x14ac:dyDescent="0.25">
      <c r="A8" t="s">
        <v>111</v>
      </c>
      <c r="B8">
        <v>4</v>
      </c>
      <c r="C8" t="s">
        <v>7</v>
      </c>
      <c r="D8">
        <v>19520</v>
      </c>
      <c r="E8">
        <v>160</v>
      </c>
      <c r="F8">
        <v>2</v>
      </c>
      <c r="G8">
        <v>8</v>
      </c>
      <c r="H8" s="79">
        <v>414.29</v>
      </c>
      <c r="I8" s="61">
        <v>11.97</v>
      </c>
      <c r="J8" s="16">
        <v>45560</v>
      </c>
      <c r="K8" s="18">
        <v>0.49064814814814817</v>
      </c>
      <c r="L8">
        <v>0</v>
      </c>
      <c r="M8">
        <v>0</v>
      </c>
      <c r="N8">
        <v>0</v>
      </c>
      <c r="O8">
        <v>0</v>
      </c>
      <c r="P8">
        <v>0</v>
      </c>
      <c r="Q8">
        <v>0</v>
      </c>
      <c r="R8">
        <v>0</v>
      </c>
      <c r="S8">
        <v>0</v>
      </c>
      <c r="T8">
        <v>0</v>
      </c>
      <c r="U8">
        <v>0</v>
      </c>
      <c r="V8">
        <v>0</v>
      </c>
      <c r="W8">
        <v>0</v>
      </c>
      <c r="X8" s="80">
        <f>X7</f>
        <v>12.011999999999999</v>
      </c>
      <c r="Z8" t="s">
        <v>149</v>
      </c>
      <c r="AA8">
        <v>4</v>
      </c>
      <c r="AB8" t="s">
        <v>7</v>
      </c>
      <c r="AC8">
        <v>19584</v>
      </c>
      <c r="AD8">
        <v>96</v>
      </c>
      <c r="AE8">
        <v>2</v>
      </c>
      <c r="AF8">
        <v>8</v>
      </c>
      <c r="AG8" s="79">
        <v>360.04</v>
      </c>
      <c r="AH8" s="61">
        <v>13.909000000000001</v>
      </c>
      <c r="AI8" s="16">
        <v>45559</v>
      </c>
      <c r="AJ8" s="18">
        <v>0.43680555555555556</v>
      </c>
      <c r="AK8">
        <v>0</v>
      </c>
      <c r="AL8">
        <v>0</v>
      </c>
      <c r="AM8">
        <v>0</v>
      </c>
      <c r="AN8">
        <v>0</v>
      </c>
      <c r="AO8">
        <v>0</v>
      </c>
      <c r="AP8">
        <v>0</v>
      </c>
      <c r="AQ8">
        <v>0</v>
      </c>
      <c r="AR8">
        <v>0</v>
      </c>
      <c r="AS8">
        <v>0</v>
      </c>
      <c r="AT8">
        <v>0</v>
      </c>
      <c r="AU8">
        <v>0</v>
      </c>
      <c r="AV8">
        <v>0</v>
      </c>
      <c r="AW8" s="80">
        <f>AW7</f>
        <v>13.911</v>
      </c>
      <c r="AZ8">
        <v>0</v>
      </c>
      <c r="BA8" t="s">
        <v>7</v>
      </c>
      <c r="BB8">
        <v>19584</v>
      </c>
      <c r="BC8">
        <v>32</v>
      </c>
      <c r="BD8">
        <v>1</v>
      </c>
      <c r="BE8">
        <v>16</v>
      </c>
      <c r="BF8">
        <v>691.32</v>
      </c>
      <c r="BG8" s="62">
        <v>7.2441000000000004</v>
      </c>
      <c r="BH8" s="16">
        <v>45473</v>
      </c>
      <c r="BI8" s="18">
        <v>0.52917824074074071</v>
      </c>
      <c r="BJ8">
        <v>0</v>
      </c>
      <c r="BK8">
        <v>0</v>
      </c>
      <c r="BL8">
        <v>0</v>
      </c>
      <c r="BM8">
        <v>0</v>
      </c>
      <c r="BN8">
        <v>0</v>
      </c>
      <c r="BO8">
        <v>0</v>
      </c>
      <c r="BP8">
        <v>0</v>
      </c>
      <c r="BQ8">
        <v>0</v>
      </c>
      <c r="BR8">
        <v>0</v>
      </c>
      <c r="BS8">
        <v>0</v>
      </c>
      <c r="BT8">
        <v>0</v>
      </c>
      <c r="BU8">
        <v>0</v>
      </c>
      <c r="BV8" s="74"/>
    </row>
    <row r="9" spans="1:74" x14ac:dyDescent="0.25">
      <c r="A9" t="s">
        <v>111</v>
      </c>
      <c r="B9">
        <v>0</v>
      </c>
      <c r="C9" t="s">
        <v>7</v>
      </c>
      <c r="D9">
        <v>19584</v>
      </c>
      <c r="E9">
        <v>64</v>
      </c>
      <c r="F9">
        <v>2</v>
      </c>
      <c r="G9">
        <v>8</v>
      </c>
      <c r="H9" s="23">
        <v>423.27</v>
      </c>
      <c r="I9" s="23">
        <v>11.832000000000001</v>
      </c>
      <c r="J9" s="16">
        <v>45545</v>
      </c>
      <c r="K9" s="18">
        <v>0.55593749999999997</v>
      </c>
      <c r="L9">
        <v>0</v>
      </c>
      <c r="M9">
        <v>0</v>
      </c>
      <c r="N9">
        <v>0</v>
      </c>
      <c r="O9">
        <v>0</v>
      </c>
      <c r="P9">
        <v>0</v>
      </c>
      <c r="Q9">
        <v>0</v>
      </c>
      <c r="R9">
        <v>0</v>
      </c>
      <c r="S9">
        <v>0</v>
      </c>
      <c r="T9">
        <v>0</v>
      </c>
      <c r="U9">
        <v>0</v>
      </c>
      <c r="V9">
        <v>0</v>
      </c>
      <c r="W9">
        <v>0</v>
      </c>
      <c r="X9" s="82">
        <f>AVERAGE(I9:I13)</f>
        <v>11.8208</v>
      </c>
      <c r="Z9" t="s">
        <v>149</v>
      </c>
      <c r="AA9">
        <v>0</v>
      </c>
      <c r="AB9" t="s">
        <v>7</v>
      </c>
      <c r="AC9">
        <v>19584</v>
      </c>
      <c r="AD9">
        <v>64</v>
      </c>
      <c r="AE9">
        <v>2</v>
      </c>
      <c r="AF9">
        <v>8</v>
      </c>
      <c r="AG9" s="79">
        <v>367.08</v>
      </c>
      <c r="AH9" s="61">
        <v>13.643000000000001</v>
      </c>
      <c r="AI9" s="16">
        <v>45559</v>
      </c>
      <c r="AJ9" s="18">
        <v>0.37929398148148147</v>
      </c>
      <c r="AK9">
        <v>0</v>
      </c>
      <c r="AL9">
        <v>0</v>
      </c>
      <c r="AM9">
        <v>0</v>
      </c>
      <c r="AN9">
        <v>0</v>
      </c>
      <c r="AO9">
        <v>0</v>
      </c>
      <c r="AP9">
        <v>0</v>
      </c>
      <c r="AQ9">
        <v>0</v>
      </c>
      <c r="AR9">
        <v>0</v>
      </c>
      <c r="AS9">
        <v>0</v>
      </c>
      <c r="AT9">
        <v>0</v>
      </c>
      <c r="AU9">
        <v>0</v>
      </c>
      <c r="AV9">
        <v>0</v>
      </c>
      <c r="AW9" s="82">
        <f>AVERAGE(AH9:AH12)</f>
        <v>13.653</v>
      </c>
      <c r="AZ9">
        <v>1</v>
      </c>
      <c r="BA9" t="s">
        <v>7</v>
      </c>
      <c r="BB9">
        <v>19584</v>
      </c>
      <c r="BC9">
        <v>32</v>
      </c>
      <c r="BD9">
        <v>1</v>
      </c>
      <c r="BE9">
        <v>16</v>
      </c>
      <c r="BF9">
        <v>774.54</v>
      </c>
      <c r="BG9" s="62">
        <v>6.4657</v>
      </c>
      <c r="BH9" s="16">
        <v>45474</v>
      </c>
      <c r="BI9" s="18">
        <v>0.48125000000000001</v>
      </c>
      <c r="BJ9">
        <v>0</v>
      </c>
      <c r="BK9">
        <v>0</v>
      </c>
      <c r="BL9">
        <v>0</v>
      </c>
      <c r="BM9">
        <v>0</v>
      </c>
      <c r="BN9">
        <v>0</v>
      </c>
      <c r="BO9">
        <v>0</v>
      </c>
      <c r="BP9">
        <v>0</v>
      </c>
      <c r="BQ9">
        <v>0</v>
      </c>
      <c r="BR9">
        <v>0</v>
      </c>
      <c r="BS9">
        <v>0</v>
      </c>
      <c r="BT9">
        <v>0</v>
      </c>
      <c r="BU9">
        <v>0</v>
      </c>
    </row>
    <row r="10" spans="1:74" x14ac:dyDescent="0.25">
      <c r="A10" t="s">
        <v>111</v>
      </c>
      <c r="B10">
        <v>1</v>
      </c>
      <c r="C10" t="s">
        <v>7</v>
      </c>
      <c r="D10" s="20">
        <v>19584</v>
      </c>
      <c r="E10" s="20">
        <v>64</v>
      </c>
      <c r="F10" s="20">
        <v>2</v>
      </c>
      <c r="G10" s="20">
        <v>8</v>
      </c>
      <c r="H10" s="79">
        <v>425.93</v>
      </c>
      <c r="I10" s="62">
        <v>11.757999999999999</v>
      </c>
      <c r="J10" s="16">
        <v>45547</v>
      </c>
      <c r="K10" s="25">
        <v>0.19516203703703705</v>
      </c>
      <c r="L10">
        <v>0</v>
      </c>
      <c r="M10">
        <v>0</v>
      </c>
      <c r="N10">
        <v>0</v>
      </c>
      <c r="O10">
        <v>0</v>
      </c>
      <c r="P10">
        <v>0</v>
      </c>
      <c r="Q10">
        <v>0</v>
      </c>
      <c r="R10">
        <v>0</v>
      </c>
      <c r="S10">
        <v>0</v>
      </c>
      <c r="T10">
        <v>0</v>
      </c>
      <c r="U10">
        <v>0</v>
      </c>
      <c r="V10">
        <v>0</v>
      </c>
      <c r="W10">
        <v>0</v>
      </c>
      <c r="X10" s="80">
        <f>X9</f>
        <v>11.8208</v>
      </c>
      <c r="Z10" t="s">
        <v>149</v>
      </c>
      <c r="AA10">
        <v>1</v>
      </c>
      <c r="AB10" t="s">
        <v>7</v>
      </c>
      <c r="AC10">
        <v>19584</v>
      </c>
      <c r="AD10">
        <v>64</v>
      </c>
      <c r="AE10">
        <v>2</v>
      </c>
      <c r="AF10">
        <v>8</v>
      </c>
      <c r="AG10" s="79">
        <v>366.93</v>
      </c>
      <c r="AH10" s="61">
        <v>13.648</v>
      </c>
      <c r="AI10" s="16">
        <v>45559</v>
      </c>
      <c r="AJ10" s="18">
        <v>0.39255787037037038</v>
      </c>
      <c r="AK10">
        <v>0</v>
      </c>
      <c r="AL10">
        <v>0</v>
      </c>
      <c r="AM10">
        <v>0</v>
      </c>
      <c r="AN10">
        <v>0</v>
      </c>
      <c r="AO10">
        <v>0</v>
      </c>
      <c r="AP10">
        <v>0</v>
      </c>
      <c r="AQ10">
        <v>0</v>
      </c>
      <c r="AR10">
        <v>0</v>
      </c>
      <c r="AS10">
        <v>0</v>
      </c>
      <c r="AT10">
        <v>0</v>
      </c>
      <c r="AU10">
        <v>0</v>
      </c>
      <c r="AV10">
        <v>0</v>
      </c>
      <c r="AW10" s="80">
        <f>AW9</f>
        <v>13.653</v>
      </c>
      <c r="AZ10" s="45">
        <v>0</v>
      </c>
      <c r="BA10" s="45" t="s">
        <v>7</v>
      </c>
      <c r="BB10" s="46">
        <v>17536</v>
      </c>
      <c r="BC10" s="46">
        <v>32</v>
      </c>
      <c r="BD10" s="46">
        <v>2</v>
      </c>
      <c r="BE10" s="46">
        <v>8</v>
      </c>
      <c r="BF10" s="46">
        <v>371.53</v>
      </c>
      <c r="BG10" s="73">
        <v>9.6776</v>
      </c>
      <c r="BH10" s="16">
        <v>45472</v>
      </c>
      <c r="BI10" s="18">
        <v>0.33429398148148148</v>
      </c>
      <c r="BJ10">
        <v>0</v>
      </c>
      <c r="BK10">
        <v>0</v>
      </c>
      <c r="BL10">
        <v>0</v>
      </c>
      <c r="BM10">
        <v>0</v>
      </c>
      <c r="BN10">
        <v>0</v>
      </c>
      <c r="BO10">
        <v>0</v>
      </c>
      <c r="BP10">
        <v>0</v>
      </c>
      <c r="BQ10">
        <v>0</v>
      </c>
      <c r="BR10">
        <v>0</v>
      </c>
      <c r="BS10">
        <v>0</v>
      </c>
      <c r="BT10">
        <v>0</v>
      </c>
      <c r="BU10">
        <v>0</v>
      </c>
    </row>
    <row r="11" spans="1:74" x14ac:dyDescent="0.25">
      <c r="A11" t="s">
        <v>111</v>
      </c>
      <c r="B11">
        <v>2</v>
      </c>
      <c r="C11" t="s">
        <v>7</v>
      </c>
      <c r="D11" s="20">
        <v>19584</v>
      </c>
      <c r="E11" s="20">
        <v>64</v>
      </c>
      <c r="F11" s="20">
        <v>2</v>
      </c>
      <c r="G11" s="20">
        <v>8</v>
      </c>
      <c r="H11" s="79">
        <v>420.31</v>
      </c>
      <c r="I11" s="62">
        <v>11.914999999999999</v>
      </c>
      <c r="J11" s="16">
        <v>45547</v>
      </c>
      <c r="K11" s="25">
        <v>0.80511574074074077</v>
      </c>
      <c r="L11">
        <v>0</v>
      </c>
      <c r="M11">
        <v>0</v>
      </c>
      <c r="N11">
        <v>0</v>
      </c>
      <c r="O11">
        <v>0</v>
      </c>
      <c r="P11">
        <v>0</v>
      </c>
      <c r="Q11">
        <v>0</v>
      </c>
      <c r="R11">
        <v>0</v>
      </c>
      <c r="S11">
        <v>0</v>
      </c>
      <c r="T11">
        <v>0</v>
      </c>
      <c r="U11">
        <v>0</v>
      </c>
      <c r="V11">
        <v>0</v>
      </c>
      <c r="W11">
        <v>0</v>
      </c>
      <c r="X11" s="80">
        <f>X10</f>
        <v>11.8208</v>
      </c>
      <c r="Z11" t="s">
        <v>149</v>
      </c>
      <c r="AA11">
        <v>2</v>
      </c>
      <c r="AB11" t="s">
        <v>7</v>
      </c>
      <c r="AC11">
        <v>19584</v>
      </c>
      <c r="AD11">
        <v>64</v>
      </c>
      <c r="AE11">
        <v>2</v>
      </c>
      <c r="AF11">
        <v>8</v>
      </c>
      <c r="AG11" s="79">
        <v>366.53</v>
      </c>
      <c r="AH11" s="61">
        <v>13.663</v>
      </c>
      <c r="AI11" s="16">
        <v>45559</v>
      </c>
      <c r="AJ11" s="18">
        <v>0.40584490740740742</v>
      </c>
      <c r="AK11">
        <v>0</v>
      </c>
      <c r="AL11">
        <v>0</v>
      </c>
      <c r="AM11">
        <v>0</v>
      </c>
      <c r="AN11">
        <v>0</v>
      </c>
      <c r="AO11">
        <v>0</v>
      </c>
      <c r="AP11">
        <v>0</v>
      </c>
      <c r="AQ11">
        <v>0</v>
      </c>
      <c r="AR11">
        <v>0</v>
      </c>
      <c r="AS11">
        <v>0</v>
      </c>
      <c r="AT11">
        <v>0</v>
      </c>
      <c r="AU11">
        <v>0</v>
      </c>
      <c r="AV11">
        <v>0</v>
      </c>
      <c r="AW11" s="80">
        <f>AW10</f>
        <v>13.653</v>
      </c>
      <c r="AZ11">
        <v>1</v>
      </c>
      <c r="BA11" t="s">
        <v>7</v>
      </c>
      <c r="BB11">
        <v>17536</v>
      </c>
      <c r="BC11">
        <v>32</v>
      </c>
      <c r="BD11">
        <v>2</v>
      </c>
      <c r="BE11">
        <v>8</v>
      </c>
      <c r="BF11">
        <v>568.01</v>
      </c>
      <c r="BG11" s="62">
        <v>6.33</v>
      </c>
      <c r="BH11" s="16">
        <v>45474</v>
      </c>
      <c r="BI11" s="18">
        <v>0.11993055555555555</v>
      </c>
      <c r="BJ11">
        <v>0</v>
      </c>
      <c r="BK11">
        <v>0</v>
      </c>
      <c r="BL11">
        <v>0</v>
      </c>
      <c r="BM11">
        <v>0</v>
      </c>
      <c r="BN11">
        <v>0</v>
      </c>
      <c r="BO11">
        <v>0</v>
      </c>
      <c r="BP11">
        <v>0</v>
      </c>
      <c r="BQ11">
        <v>0</v>
      </c>
      <c r="BR11">
        <v>0</v>
      </c>
      <c r="BS11">
        <v>0</v>
      </c>
      <c r="BT11">
        <v>0</v>
      </c>
      <c r="BU11">
        <v>0</v>
      </c>
    </row>
    <row r="12" spans="1:74" x14ac:dyDescent="0.25">
      <c r="A12" t="s">
        <v>111</v>
      </c>
      <c r="B12">
        <v>3</v>
      </c>
      <c r="C12" t="s">
        <v>7</v>
      </c>
      <c r="D12" s="20">
        <v>19584</v>
      </c>
      <c r="E12" s="20">
        <v>64</v>
      </c>
      <c r="F12" s="20">
        <v>2</v>
      </c>
      <c r="G12" s="20">
        <v>8</v>
      </c>
      <c r="H12" s="79">
        <v>424.14</v>
      </c>
      <c r="I12" s="62">
        <v>11.807</v>
      </c>
      <c r="J12" s="16">
        <v>45548</v>
      </c>
      <c r="K12" s="25">
        <v>0.46935185185185185</v>
      </c>
      <c r="L12">
        <v>0</v>
      </c>
      <c r="M12">
        <v>0</v>
      </c>
      <c r="N12">
        <v>0</v>
      </c>
      <c r="O12">
        <v>0</v>
      </c>
      <c r="P12">
        <v>0</v>
      </c>
      <c r="Q12">
        <v>0</v>
      </c>
      <c r="R12">
        <v>0</v>
      </c>
      <c r="S12">
        <v>0</v>
      </c>
      <c r="T12">
        <v>0</v>
      </c>
      <c r="U12">
        <v>0</v>
      </c>
      <c r="V12">
        <v>0</v>
      </c>
      <c r="W12">
        <v>0</v>
      </c>
      <c r="X12" s="80">
        <f>X11</f>
        <v>11.8208</v>
      </c>
      <c r="Z12" t="s">
        <v>149</v>
      </c>
      <c r="AA12">
        <v>3</v>
      </c>
      <c r="AB12" t="s">
        <v>7</v>
      </c>
      <c r="AC12">
        <v>19584</v>
      </c>
      <c r="AD12">
        <v>64</v>
      </c>
      <c r="AE12">
        <v>2</v>
      </c>
      <c r="AF12">
        <v>8</v>
      </c>
      <c r="AG12" s="79">
        <v>366.68</v>
      </c>
      <c r="AH12" s="61">
        <v>13.657999999999999</v>
      </c>
      <c r="AI12" s="16">
        <v>45559</v>
      </c>
      <c r="AJ12" s="18">
        <v>0.41909722222222223</v>
      </c>
      <c r="AK12">
        <v>0</v>
      </c>
      <c r="AL12">
        <v>0</v>
      </c>
      <c r="AM12">
        <v>0</v>
      </c>
      <c r="AN12">
        <v>0</v>
      </c>
      <c r="AO12">
        <v>0</v>
      </c>
      <c r="AP12">
        <v>0</v>
      </c>
      <c r="AQ12">
        <v>0</v>
      </c>
      <c r="AR12">
        <v>0</v>
      </c>
      <c r="AS12">
        <v>0</v>
      </c>
      <c r="AT12">
        <v>0</v>
      </c>
      <c r="AU12">
        <v>0</v>
      </c>
      <c r="AV12">
        <v>0</v>
      </c>
      <c r="AW12" s="80">
        <f>AW11</f>
        <v>13.653</v>
      </c>
      <c r="AZ12">
        <v>0</v>
      </c>
      <c r="BA12" t="s">
        <v>7</v>
      </c>
      <c r="BB12">
        <v>18560</v>
      </c>
      <c r="BC12">
        <v>32</v>
      </c>
      <c r="BD12">
        <v>2</v>
      </c>
      <c r="BE12">
        <v>8</v>
      </c>
      <c r="BF12">
        <v>426.16</v>
      </c>
      <c r="BG12" s="62">
        <v>10.003</v>
      </c>
      <c r="BH12" s="16">
        <v>45472</v>
      </c>
      <c r="BI12" s="18">
        <v>0.44677083333333334</v>
      </c>
      <c r="BJ12">
        <v>0</v>
      </c>
      <c r="BK12">
        <v>0</v>
      </c>
      <c r="BL12">
        <v>0</v>
      </c>
      <c r="BM12">
        <v>0</v>
      </c>
      <c r="BN12">
        <v>0</v>
      </c>
      <c r="BO12">
        <v>0</v>
      </c>
      <c r="BP12">
        <v>0</v>
      </c>
      <c r="BQ12">
        <v>0</v>
      </c>
      <c r="BR12">
        <v>0</v>
      </c>
      <c r="BS12">
        <v>0</v>
      </c>
      <c r="BT12">
        <v>0</v>
      </c>
      <c r="BU12">
        <v>0</v>
      </c>
    </row>
    <row r="13" spans="1:74" x14ac:dyDescent="0.25">
      <c r="A13" t="s">
        <v>111</v>
      </c>
      <c r="B13">
        <v>4</v>
      </c>
      <c r="C13" t="s">
        <v>7</v>
      </c>
      <c r="D13" s="20">
        <v>19584</v>
      </c>
      <c r="E13" s="20">
        <v>64</v>
      </c>
      <c r="F13" s="20">
        <v>2</v>
      </c>
      <c r="G13" s="20">
        <v>8</v>
      </c>
      <c r="H13" s="79">
        <v>424.71</v>
      </c>
      <c r="I13" s="62">
        <v>11.792</v>
      </c>
      <c r="J13" s="16">
        <v>45549</v>
      </c>
      <c r="K13" s="25">
        <v>0.10519675925925925</v>
      </c>
      <c r="L13">
        <v>0</v>
      </c>
      <c r="M13">
        <v>0</v>
      </c>
      <c r="N13">
        <v>0</v>
      </c>
      <c r="O13">
        <v>0</v>
      </c>
      <c r="P13">
        <v>0</v>
      </c>
      <c r="Q13">
        <v>0</v>
      </c>
      <c r="R13">
        <v>0</v>
      </c>
      <c r="S13">
        <v>0</v>
      </c>
      <c r="T13">
        <v>0</v>
      </c>
      <c r="U13">
        <v>0</v>
      </c>
      <c r="V13">
        <v>0</v>
      </c>
      <c r="W13">
        <v>0</v>
      </c>
      <c r="X13" s="80">
        <f>X12</f>
        <v>11.8208</v>
      </c>
      <c r="Z13" t="s">
        <v>149</v>
      </c>
      <c r="AA13">
        <v>4</v>
      </c>
      <c r="AB13" t="s">
        <v>7</v>
      </c>
      <c r="AC13">
        <v>19584</v>
      </c>
      <c r="AD13">
        <v>64</v>
      </c>
      <c r="AE13">
        <v>2</v>
      </c>
      <c r="AF13">
        <v>8</v>
      </c>
      <c r="AG13" s="79">
        <v>367.28</v>
      </c>
      <c r="AH13" s="61">
        <v>13.635</v>
      </c>
      <c r="AI13" s="16">
        <v>45559</v>
      </c>
      <c r="AJ13" s="18">
        <v>0.43245370370370373</v>
      </c>
      <c r="AK13">
        <v>0</v>
      </c>
      <c r="AL13">
        <v>0</v>
      </c>
      <c r="AM13">
        <v>0</v>
      </c>
      <c r="AN13">
        <v>0</v>
      </c>
      <c r="AO13">
        <v>0</v>
      </c>
      <c r="AP13">
        <v>0</v>
      </c>
      <c r="AQ13">
        <v>0</v>
      </c>
      <c r="AR13">
        <v>0</v>
      </c>
      <c r="AS13">
        <v>0</v>
      </c>
      <c r="AT13">
        <v>0</v>
      </c>
      <c r="AU13">
        <v>0</v>
      </c>
      <c r="AV13">
        <v>0</v>
      </c>
      <c r="AW13" s="80">
        <f>AW12</f>
        <v>13.653</v>
      </c>
      <c r="AZ13">
        <v>1</v>
      </c>
      <c r="BA13" t="s">
        <v>7</v>
      </c>
      <c r="BB13">
        <v>18560</v>
      </c>
      <c r="BC13">
        <v>32</v>
      </c>
      <c r="BD13">
        <v>2</v>
      </c>
      <c r="BE13">
        <v>8</v>
      </c>
      <c r="BF13">
        <v>640.58000000000004</v>
      </c>
      <c r="BG13" s="62">
        <v>6.6546000000000003</v>
      </c>
      <c r="BH13" s="16">
        <v>45474</v>
      </c>
      <c r="BI13" s="18">
        <v>0.28707175925925926</v>
      </c>
      <c r="BJ13">
        <v>0</v>
      </c>
      <c r="BK13">
        <v>0</v>
      </c>
      <c r="BL13">
        <v>0</v>
      </c>
      <c r="BM13">
        <v>0</v>
      </c>
      <c r="BN13">
        <v>0</v>
      </c>
      <c r="BO13">
        <v>0</v>
      </c>
      <c r="BP13">
        <v>0</v>
      </c>
      <c r="BQ13">
        <v>0</v>
      </c>
      <c r="BR13">
        <v>0</v>
      </c>
      <c r="BS13">
        <v>0</v>
      </c>
      <c r="BT13">
        <v>0</v>
      </c>
      <c r="BU13">
        <v>0</v>
      </c>
    </row>
    <row r="14" spans="1:74" x14ac:dyDescent="0.25">
      <c r="A14" t="s">
        <v>111</v>
      </c>
      <c r="B14">
        <v>0</v>
      </c>
      <c r="C14" t="s">
        <v>7</v>
      </c>
      <c r="D14" s="20">
        <v>18560</v>
      </c>
      <c r="E14" s="20">
        <v>160</v>
      </c>
      <c r="F14" s="20">
        <v>2</v>
      </c>
      <c r="G14" s="20">
        <v>8</v>
      </c>
      <c r="H14" s="79">
        <v>363.35</v>
      </c>
      <c r="I14" s="62">
        <v>11.731999999999999</v>
      </c>
      <c r="J14" s="16">
        <v>45546</v>
      </c>
      <c r="K14" s="25">
        <v>0.4767824074074074</v>
      </c>
      <c r="L14">
        <v>0</v>
      </c>
      <c r="M14">
        <v>0</v>
      </c>
      <c r="N14">
        <v>0</v>
      </c>
      <c r="O14">
        <v>0</v>
      </c>
      <c r="P14">
        <v>0</v>
      </c>
      <c r="Q14">
        <v>0</v>
      </c>
      <c r="R14">
        <v>0</v>
      </c>
      <c r="S14">
        <v>0</v>
      </c>
      <c r="T14">
        <v>0</v>
      </c>
      <c r="U14">
        <v>0</v>
      </c>
      <c r="V14">
        <v>0</v>
      </c>
      <c r="W14">
        <v>0</v>
      </c>
      <c r="X14" s="82">
        <f>AVERAGE(I14:I18)</f>
        <v>11.789</v>
      </c>
      <c r="Z14" t="s">
        <v>149</v>
      </c>
      <c r="AA14">
        <v>0</v>
      </c>
      <c r="AB14" t="s">
        <v>7</v>
      </c>
      <c r="AC14">
        <v>19520</v>
      </c>
      <c r="AD14">
        <v>160</v>
      </c>
      <c r="AE14">
        <v>2</v>
      </c>
      <c r="AF14">
        <v>8</v>
      </c>
      <c r="AG14" s="79">
        <v>366.83</v>
      </c>
      <c r="AH14" s="61">
        <v>13.519</v>
      </c>
      <c r="AI14" s="16">
        <v>45559</v>
      </c>
      <c r="AJ14" s="18">
        <v>0.3881134259259259</v>
      </c>
      <c r="AK14">
        <v>0</v>
      </c>
      <c r="AL14">
        <v>0</v>
      </c>
      <c r="AM14">
        <v>0</v>
      </c>
      <c r="AN14">
        <v>0</v>
      </c>
      <c r="AO14">
        <v>0</v>
      </c>
      <c r="AP14">
        <v>0</v>
      </c>
      <c r="AQ14">
        <v>0</v>
      </c>
      <c r="AR14">
        <v>0</v>
      </c>
      <c r="AS14">
        <v>0</v>
      </c>
      <c r="AT14">
        <v>0</v>
      </c>
      <c r="AU14">
        <v>0</v>
      </c>
      <c r="AV14">
        <v>0</v>
      </c>
      <c r="AW14" s="82">
        <f>AVERAGE(AH14:AH17)</f>
        <v>13.4305</v>
      </c>
      <c r="AZ14">
        <v>0</v>
      </c>
      <c r="BA14" t="s">
        <v>7</v>
      </c>
      <c r="BB14">
        <v>19584</v>
      </c>
      <c r="BC14">
        <v>32</v>
      </c>
      <c r="BD14">
        <v>2</v>
      </c>
      <c r="BE14">
        <v>8</v>
      </c>
      <c r="BF14">
        <v>663.1</v>
      </c>
      <c r="BG14" s="62">
        <v>7.5522999999999998</v>
      </c>
      <c r="BH14" s="16">
        <v>45473</v>
      </c>
      <c r="BI14" s="18">
        <v>0.53728009259259257</v>
      </c>
      <c r="BJ14">
        <v>0</v>
      </c>
      <c r="BK14">
        <v>0</v>
      </c>
      <c r="BL14">
        <v>0</v>
      </c>
      <c r="BM14">
        <v>0</v>
      </c>
      <c r="BN14">
        <v>0</v>
      </c>
      <c r="BO14">
        <v>0</v>
      </c>
      <c r="BP14">
        <v>0</v>
      </c>
      <c r="BQ14">
        <v>0</v>
      </c>
      <c r="BR14">
        <v>0</v>
      </c>
      <c r="BS14">
        <v>0</v>
      </c>
      <c r="BT14">
        <v>0</v>
      </c>
      <c r="BU14">
        <v>0</v>
      </c>
    </row>
    <row r="15" spans="1:74" x14ac:dyDescent="0.25">
      <c r="A15" t="s">
        <v>111</v>
      </c>
      <c r="B15">
        <v>1</v>
      </c>
      <c r="C15" t="s">
        <v>7</v>
      </c>
      <c r="D15" s="20">
        <v>18560</v>
      </c>
      <c r="E15" s="20">
        <v>160</v>
      </c>
      <c r="F15" s="20">
        <v>2</v>
      </c>
      <c r="G15" s="20">
        <v>8</v>
      </c>
      <c r="H15" s="79">
        <v>362.91</v>
      </c>
      <c r="I15" s="62">
        <v>11.746</v>
      </c>
      <c r="J15" s="16">
        <v>45547</v>
      </c>
      <c r="K15" s="25">
        <v>9.3124999999999999E-2</v>
      </c>
      <c r="L15">
        <v>0</v>
      </c>
      <c r="M15">
        <v>0</v>
      </c>
      <c r="N15">
        <v>0</v>
      </c>
      <c r="O15">
        <v>0</v>
      </c>
      <c r="P15">
        <v>0</v>
      </c>
      <c r="Q15">
        <v>0</v>
      </c>
      <c r="R15">
        <v>0</v>
      </c>
      <c r="S15">
        <v>0</v>
      </c>
      <c r="T15">
        <v>0</v>
      </c>
      <c r="U15">
        <v>0</v>
      </c>
      <c r="V15">
        <v>0</v>
      </c>
      <c r="W15">
        <v>0</v>
      </c>
      <c r="X15" s="80">
        <f>X14</f>
        <v>11.789</v>
      </c>
      <c r="Z15" t="s">
        <v>149</v>
      </c>
      <c r="AA15">
        <v>1</v>
      </c>
      <c r="AB15" t="s">
        <v>7</v>
      </c>
      <c r="AC15">
        <v>19520</v>
      </c>
      <c r="AD15">
        <v>160</v>
      </c>
      <c r="AE15">
        <v>2</v>
      </c>
      <c r="AF15">
        <v>8</v>
      </c>
      <c r="AG15" s="79">
        <v>369.98</v>
      </c>
      <c r="AH15" s="61">
        <v>13.404</v>
      </c>
      <c r="AI15" s="16">
        <v>45559</v>
      </c>
      <c r="AJ15" s="18">
        <v>0.40141203703703704</v>
      </c>
      <c r="AK15">
        <v>0</v>
      </c>
      <c r="AL15">
        <v>0</v>
      </c>
      <c r="AM15">
        <v>0</v>
      </c>
      <c r="AN15">
        <v>0</v>
      </c>
      <c r="AO15">
        <v>0</v>
      </c>
      <c r="AP15">
        <v>0</v>
      </c>
      <c r="AQ15">
        <v>0</v>
      </c>
      <c r="AR15">
        <v>0</v>
      </c>
      <c r="AS15">
        <v>0</v>
      </c>
      <c r="AT15">
        <v>0</v>
      </c>
      <c r="AU15">
        <v>0</v>
      </c>
      <c r="AV15">
        <v>0</v>
      </c>
      <c r="AW15" s="80">
        <f>AW14</f>
        <v>13.4305</v>
      </c>
      <c r="AZ15">
        <v>1</v>
      </c>
      <c r="BA15" t="s">
        <v>7</v>
      </c>
      <c r="BB15">
        <v>19584</v>
      </c>
      <c r="BC15">
        <v>32</v>
      </c>
      <c r="BD15">
        <v>2</v>
      </c>
      <c r="BE15">
        <v>8</v>
      </c>
      <c r="BF15">
        <v>759.85</v>
      </c>
      <c r="BG15" s="62">
        <v>6.5907</v>
      </c>
      <c r="BH15" s="16">
        <v>45474</v>
      </c>
      <c r="BI15" s="18">
        <v>0.49065972222222221</v>
      </c>
      <c r="BJ15">
        <v>0</v>
      </c>
      <c r="BK15">
        <v>0</v>
      </c>
      <c r="BL15">
        <v>0</v>
      </c>
      <c r="BM15">
        <v>0</v>
      </c>
      <c r="BN15">
        <v>0</v>
      </c>
      <c r="BO15">
        <v>0</v>
      </c>
      <c r="BP15">
        <v>0</v>
      </c>
      <c r="BQ15">
        <v>0</v>
      </c>
      <c r="BR15">
        <v>0</v>
      </c>
      <c r="BS15">
        <v>0</v>
      </c>
      <c r="BT15">
        <v>0</v>
      </c>
      <c r="BU15">
        <v>0</v>
      </c>
    </row>
    <row r="16" spans="1:74" x14ac:dyDescent="0.25">
      <c r="A16" t="s">
        <v>111</v>
      </c>
      <c r="B16">
        <v>2</v>
      </c>
      <c r="C16" t="s">
        <v>7</v>
      </c>
      <c r="D16" s="20">
        <v>18560</v>
      </c>
      <c r="E16" s="20">
        <v>160</v>
      </c>
      <c r="F16" s="20">
        <v>2</v>
      </c>
      <c r="G16" s="20">
        <v>8</v>
      </c>
      <c r="H16" s="79">
        <v>355.95</v>
      </c>
      <c r="I16" s="62">
        <v>11.976000000000001</v>
      </c>
      <c r="J16" s="16">
        <v>45547</v>
      </c>
      <c r="K16" s="25">
        <v>0.70711805555555551</v>
      </c>
      <c r="L16">
        <v>0</v>
      </c>
      <c r="M16">
        <v>0</v>
      </c>
      <c r="N16">
        <v>0</v>
      </c>
      <c r="O16">
        <v>0</v>
      </c>
      <c r="P16">
        <v>0</v>
      </c>
      <c r="Q16">
        <v>0</v>
      </c>
      <c r="R16">
        <v>0</v>
      </c>
      <c r="S16">
        <v>0</v>
      </c>
      <c r="T16">
        <v>0</v>
      </c>
      <c r="U16">
        <v>0</v>
      </c>
      <c r="V16">
        <v>0</v>
      </c>
      <c r="W16">
        <v>0</v>
      </c>
      <c r="X16" s="80">
        <f>X15</f>
        <v>11.789</v>
      </c>
      <c r="Z16" t="s">
        <v>149</v>
      </c>
      <c r="AA16">
        <v>2</v>
      </c>
      <c r="AB16" t="s">
        <v>7</v>
      </c>
      <c r="AC16">
        <v>19520</v>
      </c>
      <c r="AD16">
        <v>160</v>
      </c>
      <c r="AE16">
        <v>2</v>
      </c>
      <c r="AF16">
        <v>8</v>
      </c>
      <c r="AG16" s="79">
        <v>367.49</v>
      </c>
      <c r="AH16" s="61">
        <v>13.494999999999999</v>
      </c>
      <c r="AI16" s="16">
        <v>45559</v>
      </c>
      <c r="AJ16" s="18">
        <v>0.41466435185185185</v>
      </c>
      <c r="AK16">
        <v>0</v>
      </c>
      <c r="AL16">
        <v>0</v>
      </c>
      <c r="AM16">
        <v>0</v>
      </c>
      <c r="AN16">
        <v>0</v>
      </c>
      <c r="AO16">
        <v>0</v>
      </c>
      <c r="AP16">
        <v>0</v>
      </c>
      <c r="AQ16">
        <v>0</v>
      </c>
      <c r="AR16">
        <v>0</v>
      </c>
      <c r="AS16">
        <v>0</v>
      </c>
      <c r="AT16">
        <v>0</v>
      </c>
      <c r="AU16">
        <v>0</v>
      </c>
      <c r="AV16">
        <v>0</v>
      </c>
      <c r="AW16" s="80">
        <f>AW15</f>
        <v>13.4305</v>
      </c>
      <c r="AZ16" s="45">
        <v>0</v>
      </c>
      <c r="BA16" s="45" t="s">
        <v>7</v>
      </c>
      <c r="BB16" s="27">
        <v>17536</v>
      </c>
      <c r="BC16" s="27">
        <v>32</v>
      </c>
      <c r="BD16" s="27">
        <v>4</v>
      </c>
      <c r="BE16" s="27">
        <v>4</v>
      </c>
      <c r="BF16" s="47">
        <v>461.35</v>
      </c>
      <c r="BG16" s="73">
        <v>7.7933000000000003</v>
      </c>
      <c r="BH16" s="16">
        <v>45472</v>
      </c>
      <c r="BI16" s="18">
        <v>0.33993055555555557</v>
      </c>
      <c r="BJ16">
        <v>0</v>
      </c>
      <c r="BK16">
        <v>0</v>
      </c>
      <c r="BL16">
        <v>0</v>
      </c>
      <c r="BM16">
        <v>0</v>
      </c>
      <c r="BN16">
        <v>0</v>
      </c>
      <c r="BO16">
        <v>0</v>
      </c>
      <c r="BP16">
        <v>0</v>
      </c>
      <c r="BQ16">
        <v>0</v>
      </c>
      <c r="BR16">
        <v>0</v>
      </c>
      <c r="BS16">
        <v>0</v>
      </c>
      <c r="BT16">
        <v>0</v>
      </c>
      <c r="BU16">
        <v>0</v>
      </c>
    </row>
    <row r="17" spans="1:73" x14ac:dyDescent="0.25">
      <c r="A17" t="s">
        <v>111</v>
      </c>
      <c r="B17">
        <v>3</v>
      </c>
      <c r="C17" t="s">
        <v>7</v>
      </c>
      <c r="D17" s="20">
        <v>18560</v>
      </c>
      <c r="E17" s="20">
        <v>160</v>
      </c>
      <c r="F17" s="20">
        <v>2</v>
      </c>
      <c r="G17" s="20">
        <v>8</v>
      </c>
      <c r="H17" s="79">
        <v>361.79</v>
      </c>
      <c r="I17" s="62">
        <v>11.782999999999999</v>
      </c>
      <c r="J17" s="16">
        <v>45548</v>
      </c>
      <c r="K17" s="25">
        <v>0.36761574074074072</v>
      </c>
      <c r="L17">
        <v>0</v>
      </c>
      <c r="M17">
        <v>0</v>
      </c>
      <c r="N17">
        <v>0</v>
      </c>
      <c r="O17">
        <v>0</v>
      </c>
      <c r="P17">
        <v>0</v>
      </c>
      <c r="Q17">
        <v>0</v>
      </c>
      <c r="R17">
        <v>0</v>
      </c>
      <c r="S17">
        <v>0</v>
      </c>
      <c r="T17">
        <v>0</v>
      </c>
      <c r="U17">
        <v>0</v>
      </c>
      <c r="V17">
        <v>0</v>
      </c>
      <c r="W17">
        <v>0</v>
      </c>
      <c r="X17" s="80">
        <f>X16</f>
        <v>11.789</v>
      </c>
      <c r="Z17" t="s">
        <v>149</v>
      </c>
      <c r="AA17">
        <v>3</v>
      </c>
      <c r="AB17" t="s">
        <v>7</v>
      </c>
      <c r="AC17">
        <v>19520</v>
      </c>
      <c r="AD17">
        <v>160</v>
      </c>
      <c r="AE17">
        <v>2</v>
      </c>
      <c r="AF17">
        <v>8</v>
      </c>
      <c r="AG17" s="79">
        <v>372.74</v>
      </c>
      <c r="AH17" s="61">
        <v>13.304</v>
      </c>
      <c r="AI17" s="16">
        <v>45559</v>
      </c>
      <c r="AJ17" s="18">
        <v>0.42799768518518516</v>
      </c>
      <c r="AK17">
        <v>0</v>
      </c>
      <c r="AL17">
        <v>0</v>
      </c>
      <c r="AM17">
        <v>0</v>
      </c>
      <c r="AN17">
        <v>0</v>
      </c>
      <c r="AO17">
        <v>0</v>
      </c>
      <c r="AP17">
        <v>0</v>
      </c>
      <c r="AQ17">
        <v>0</v>
      </c>
      <c r="AR17">
        <v>0</v>
      </c>
      <c r="AS17">
        <v>0</v>
      </c>
      <c r="AT17">
        <v>0</v>
      </c>
      <c r="AU17">
        <v>0</v>
      </c>
      <c r="AV17">
        <v>0</v>
      </c>
      <c r="AW17" s="80">
        <f>AW16</f>
        <v>13.4305</v>
      </c>
      <c r="AZ17">
        <v>1</v>
      </c>
      <c r="BA17" t="s">
        <v>7</v>
      </c>
      <c r="BB17">
        <v>17536</v>
      </c>
      <c r="BC17">
        <v>32</v>
      </c>
      <c r="BD17">
        <v>4</v>
      </c>
      <c r="BE17">
        <v>4</v>
      </c>
      <c r="BF17">
        <v>721.53</v>
      </c>
      <c r="BG17" s="62">
        <v>4.9831000000000003</v>
      </c>
      <c r="BH17" s="16">
        <v>45474</v>
      </c>
      <c r="BI17" s="18">
        <v>0.12864583333333332</v>
      </c>
      <c r="BJ17">
        <v>0</v>
      </c>
      <c r="BK17">
        <v>0</v>
      </c>
      <c r="BL17">
        <v>0</v>
      </c>
      <c r="BM17">
        <v>0</v>
      </c>
      <c r="BN17">
        <v>0</v>
      </c>
      <c r="BO17">
        <v>0</v>
      </c>
      <c r="BP17">
        <v>0</v>
      </c>
      <c r="BQ17">
        <v>0</v>
      </c>
      <c r="BR17">
        <v>0</v>
      </c>
      <c r="BS17">
        <v>0</v>
      </c>
      <c r="BT17">
        <v>0</v>
      </c>
      <c r="BU17">
        <v>0</v>
      </c>
    </row>
    <row r="18" spans="1:73" x14ac:dyDescent="0.25">
      <c r="A18" t="s">
        <v>111</v>
      </c>
      <c r="B18">
        <v>4</v>
      </c>
      <c r="C18" t="s">
        <v>7</v>
      </c>
      <c r="D18" s="20">
        <v>18560</v>
      </c>
      <c r="E18" s="20">
        <v>160</v>
      </c>
      <c r="F18" s="20">
        <v>2</v>
      </c>
      <c r="G18" s="20">
        <v>8</v>
      </c>
      <c r="H18" s="79">
        <v>364.08</v>
      </c>
      <c r="I18" s="62">
        <v>11.708</v>
      </c>
      <c r="J18" s="16">
        <v>45548</v>
      </c>
      <c r="K18" s="25">
        <v>0.99690972222222218</v>
      </c>
      <c r="L18">
        <v>0</v>
      </c>
      <c r="M18">
        <v>0</v>
      </c>
      <c r="N18">
        <v>0</v>
      </c>
      <c r="O18">
        <v>0</v>
      </c>
      <c r="P18">
        <v>0</v>
      </c>
      <c r="Q18">
        <v>0</v>
      </c>
      <c r="R18">
        <v>0</v>
      </c>
      <c r="S18">
        <v>0</v>
      </c>
      <c r="T18">
        <v>0</v>
      </c>
      <c r="U18">
        <v>0</v>
      </c>
      <c r="V18">
        <v>0</v>
      </c>
      <c r="W18">
        <v>0</v>
      </c>
      <c r="X18" s="80">
        <f>X17</f>
        <v>11.789</v>
      </c>
      <c r="Z18" t="s">
        <v>149</v>
      </c>
      <c r="AA18">
        <v>4</v>
      </c>
      <c r="AB18" t="s">
        <v>7</v>
      </c>
      <c r="AC18">
        <v>19520</v>
      </c>
      <c r="AD18">
        <v>160</v>
      </c>
      <c r="AE18">
        <v>2</v>
      </c>
      <c r="AF18">
        <v>8</v>
      </c>
      <c r="AG18" s="79">
        <v>366.93</v>
      </c>
      <c r="AH18" s="61">
        <v>13.515000000000001</v>
      </c>
      <c r="AI18" s="16">
        <v>45559</v>
      </c>
      <c r="AJ18" s="18">
        <v>0.44126157407407407</v>
      </c>
      <c r="AK18">
        <v>0</v>
      </c>
      <c r="AL18">
        <v>0</v>
      </c>
      <c r="AM18">
        <v>0</v>
      </c>
      <c r="AN18">
        <v>0</v>
      </c>
      <c r="AO18">
        <v>0</v>
      </c>
      <c r="AP18">
        <v>0</v>
      </c>
      <c r="AQ18">
        <v>0</v>
      </c>
      <c r="AR18">
        <v>0</v>
      </c>
      <c r="AS18">
        <v>0</v>
      </c>
      <c r="AT18">
        <v>0</v>
      </c>
      <c r="AU18">
        <v>0</v>
      </c>
      <c r="AV18">
        <v>0</v>
      </c>
      <c r="AW18" s="80">
        <f>AW17</f>
        <v>13.4305</v>
      </c>
      <c r="AZ18">
        <v>0</v>
      </c>
      <c r="BA18" t="s">
        <v>7</v>
      </c>
      <c r="BB18">
        <v>18560</v>
      </c>
      <c r="BC18">
        <v>32</v>
      </c>
      <c r="BD18">
        <v>4</v>
      </c>
      <c r="BE18">
        <v>4</v>
      </c>
      <c r="BF18">
        <v>530.26</v>
      </c>
      <c r="BG18" s="62">
        <v>8.0390999999999995</v>
      </c>
      <c r="BH18" s="16">
        <v>45472</v>
      </c>
      <c r="BI18" s="18">
        <v>0.45321759259259259</v>
      </c>
      <c r="BJ18">
        <v>0</v>
      </c>
      <c r="BK18">
        <v>0</v>
      </c>
      <c r="BL18">
        <v>0</v>
      </c>
      <c r="BM18">
        <v>0</v>
      </c>
      <c r="BN18">
        <v>0</v>
      </c>
      <c r="BO18">
        <v>0</v>
      </c>
      <c r="BP18">
        <v>0</v>
      </c>
      <c r="BQ18">
        <v>0</v>
      </c>
      <c r="BR18">
        <v>0</v>
      </c>
      <c r="BS18">
        <v>0</v>
      </c>
      <c r="BT18">
        <v>0</v>
      </c>
      <c r="BU18">
        <v>0</v>
      </c>
    </row>
    <row r="19" spans="1:73" x14ac:dyDescent="0.25">
      <c r="A19" t="s">
        <v>111</v>
      </c>
      <c r="B19">
        <v>0</v>
      </c>
      <c r="C19" t="s">
        <v>7</v>
      </c>
      <c r="D19" s="20">
        <v>18368</v>
      </c>
      <c r="E19" s="20">
        <v>224</v>
      </c>
      <c r="F19" s="20">
        <v>2</v>
      </c>
      <c r="G19" s="20">
        <v>8</v>
      </c>
      <c r="H19" s="79">
        <v>348.61</v>
      </c>
      <c r="I19" s="62">
        <v>11.852</v>
      </c>
      <c r="J19" s="16">
        <v>45546</v>
      </c>
      <c r="K19" s="25">
        <v>0.50633101851851847</v>
      </c>
      <c r="L19">
        <v>0</v>
      </c>
      <c r="M19">
        <v>0</v>
      </c>
      <c r="N19">
        <v>0</v>
      </c>
      <c r="O19">
        <v>0</v>
      </c>
      <c r="P19">
        <v>0</v>
      </c>
      <c r="Q19">
        <v>0</v>
      </c>
      <c r="R19">
        <v>0</v>
      </c>
      <c r="S19">
        <v>0</v>
      </c>
      <c r="T19">
        <v>0</v>
      </c>
      <c r="U19">
        <v>0</v>
      </c>
      <c r="V19">
        <v>0</v>
      </c>
      <c r="W19">
        <v>0</v>
      </c>
      <c r="X19" s="82">
        <f>AVERAGE(I19:I23)</f>
        <v>11.7142</v>
      </c>
      <c r="Z19" t="s">
        <v>149</v>
      </c>
      <c r="AA19">
        <v>0</v>
      </c>
      <c r="AB19" t="s">
        <v>7</v>
      </c>
      <c r="AC19" s="20">
        <v>18528</v>
      </c>
      <c r="AD19" s="20">
        <v>96</v>
      </c>
      <c r="AE19" s="20">
        <v>2</v>
      </c>
      <c r="AF19" s="20">
        <v>8</v>
      </c>
      <c r="AG19" s="79">
        <v>318.33</v>
      </c>
      <c r="AH19" s="62">
        <v>13.321999999999999</v>
      </c>
      <c r="AI19" s="16">
        <v>45557</v>
      </c>
      <c r="AJ19" s="25">
        <v>0.99960648148148146</v>
      </c>
      <c r="AK19">
        <v>0</v>
      </c>
      <c r="AL19">
        <v>0</v>
      </c>
      <c r="AM19">
        <v>0</v>
      </c>
      <c r="AN19">
        <v>0</v>
      </c>
      <c r="AO19">
        <v>0</v>
      </c>
      <c r="AP19">
        <v>0</v>
      </c>
      <c r="AQ19">
        <v>0</v>
      </c>
      <c r="AR19">
        <v>0</v>
      </c>
      <c r="AS19">
        <v>0</v>
      </c>
      <c r="AT19">
        <v>0</v>
      </c>
      <c r="AU19">
        <v>0</v>
      </c>
      <c r="AV19">
        <v>0</v>
      </c>
      <c r="AW19" s="82">
        <f>AVERAGE(AH19:AH22)</f>
        <v>13.314499999999999</v>
      </c>
      <c r="AZ19">
        <v>1</v>
      </c>
      <c r="BA19" t="s">
        <v>7</v>
      </c>
      <c r="BB19">
        <v>18560</v>
      </c>
      <c r="BC19">
        <v>32</v>
      </c>
      <c r="BD19">
        <v>4</v>
      </c>
      <c r="BE19">
        <v>4</v>
      </c>
      <c r="BF19">
        <v>838.68</v>
      </c>
      <c r="BG19" s="62">
        <v>5.0827</v>
      </c>
      <c r="BH19" s="16">
        <v>45474</v>
      </c>
      <c r="BI19" s="18">
        <v>0.2971759259259259</v>
      </c>
      <c r="BJ19">
        <v>0</v>
      </c>
      <c r="BK19">
        <v>0</v>
      </c>
      <c r="BL19">
        <v>0</v>
      </c>
      <c r="BM19">
        <v>0</v>
      </c>
      <c r="BN19">
        <v>0</v>
      </c>
      <c r="BO19">
        <v>0</v>
      </c>
      <c r="BP19">
        <v>0</v>
      </c>
      <c r="BQ19">
        <v>0</v>
      </c>
      <c r="BR19">
        <v>0</v>
      </c>
      <c r="BS19">
        <v>0</v>
      </c>
      <c r="BT19">
        <v>0</v>
      </c>
      <c r="BU19">
        <v>0</v>
      </c>
    </row>
    <row r="20" spans="1:73" x14ac:dyDescent="0.25">
      <c r="A20" t="s">
        <v>111</v>
      </c>
      <c r="B20">
        <v>1</v>
      </c>
      <c r="C20" t="s">
        <v>7</v>
      </c>
      <c r="D20" s="20">
        <v>18368</v>
      </c>
      <c r="E20" s="20">
        <v>224</v>
      </c>
      <c r="F20" s="20">
        <v>2</v>
      </c>
      <c r="G20" s="20">
        <v>8</v>
      </c>
      <c r="H20" s="79">
        <v>350.92</v>
      </c>
      <c r="I20" s="62">
        <v>11.775</v>
      </c>
      <c r="J20" s="16">
        <v>45547</v>
      </c>
      <c r="K20" s="25">
        <v>0.12211805555555555</v>
      </c>
      <c r="L20">
        <v>0</v>
      </c>
      <c r="M20">
        <v>0</v>
      </c>
      <c r="N20">
        <v>0</v>
      </c>
      <c r="O20">
        <v>0</v>
      </c>
      <c r="P20">
        <v>0</v>
      </c>
      <c r="Q20">
        <v>0</v>
      </c>
      <c r="R20">
        <v>0</v>
      </c>
      <c r="S20">
        <v>0</v>
      </c>
      <c r="T20">
        <v>0</v>
      </c>
      <c r="U20">
        <v>0</v>
      </c>
      <c r="V20">
        <v>0</v>
      </c>
      <c r="W20">
        <v>0</v>
      </c>
      <c r="X20" s="80">
        <f>X19</f>
        <v>11.7142</v>
      </c>
      <c r="Z20" t="s">
        <v>149</v>
      </c>
      <c r="AA20">
        <v>1</v>
      </c>
      <c r="AB20" t="s">
        <v>7</v>
      </c>
      <c r="AC20" s="20">
        <v>18528</v>
      </c>
      <c r="AD20" s="20">
        <v>96</v>
      </c>
      <c r="AE20" s="20">
        <v>2</v>
      </c>
      <c r="AF20" s="20">
        <v>8</v>
      </c>
      <c r="AG20" s="79">
        <v>318.22000000000003</v>
      </c>
      <c r="AH20" s="62">
        <v>13.326000000000001</v>
      </c>
      <c r="AI20" s="16">
        <v>45558</v>
      </c>
      <c r="AJ20" s="25">
        <v>0.49895833333333334</v>
      </c>
      <c r="AK20">
        <v>0</v>
      </c>
      <c r="AL20">
        <v>0</v>
      </c>
      <c r="AM20">
        <v>0</v>
      </c>
      <c r="AN20">
        <v>0</v>
      </c>
      <c r="AO20">
        <v>0</v>
      </c>
      <c r="AP20">
        <v>0</v>
      </c>
      <c r="AQ20">
        <v>0</v>
      </c>
      <c r="AR20">
        <v>0</v>
      </c>
      <c r="AS20">
        <v>0</v>
      </c>
      <c r="AT20">
        <v>0</v>
      </c>
      <c r="AU20">
        <v>0</v>
      </c>
      <c r="AV20">
        <v>0</v>
      </c>
      <c r="AW20" s="80">
        <f>AW19</f>
        <v>13.314499999999999</v>
      </c>
      <c r="AZ20">
        <v>0</v>
      </c>
      <c r="BA20" t="s">
        <v>7</v>
      </c>
      <c r="BB20">
        <v>19584</v>
      </c>
      <c r="BC20">
        <v>32</v>
      </c>
      <c r="BD20">
        <v>4</v>
      </c>
      <c r="BE20">
        <v>4</v>
      </c>
      <c r="BF20">
        <v>778.96</v>
      </c>
      <c r="BG20" s="62">
        <v>6.4290000000000003</v>
      </c>
      <c r="BH20" s="16">
        <v>45473</v>
      </c>
      <c r="BI20" s="18">
        <v>0.54667824074074078</v>
      </c>
      <c r="BJ20">
        <v>0</v>
      </c>
      <c r="BK20">
        <v>0</v>
      </c>
      <c r="BL20">
        <v>0</v>
      </c>
      <c r="BM20">
        <v>0</v>
      </c>
      <c r="BN20">
        <v>0</v>
      </c>
      <c r="BO20">
        <v>0</v>
      </c>
      <c r="BP20">
        <v>0</v>
      </c>
      <c r="BQ20">
        <v>0</v>
      </c>
      <c r="BR20">
        <v>0</v>
      </c>
      <c r="BS20">
        <v>0</v>
      </c>
      <c r="BT20">
        <v>0</v>
      </c>
      <c r="BU20">
        <v>0</v>
      </c>
    </row>
    <row r="21" spans="1:73" x14ac:dyDescent="0.25">
      <c r="A21" t="s">
        <v>111</v>
      </c>
      <c r="B21">
        <v>2</v>
      </c>
      <c r="C21" t="s">
        <v>7</v>
      </c>
      <c r="D21" s="20">
        <v>18368</v>
      </c>
      <c r="E21" s="20">
        <v>224</v>
      </c>
      <c r="F21" s="20">
        <v>2</v>
      </c>
      <c r="G21" s="20">
        <v>8</v>
      </c>
      <c r="H21" s="79">
        <v>349.31</v>
      </c>
      <c r="I21" s="62">
        <v>11.829000000000001</v>
      </c>
      <c r="J21" s="16">
        <v>45547</v>
      </c>
      <c r="K21" s="25">
        <v>0.7368055555555556</v>
      </c>
      <c r="L21">
        <v>0</v>
      </c>
      <c r="M21">
        <v>0</v>
      </c>
      <c r="N21">
        <v>0</v>
      </c>
      <c r="O21">
        <v>0</v>
      </c>
      <c r="P21">
        <v>0</v>
      </c>
      <c r="Q21">
        <v>0</v>
      </c>
      <c r="R21">
        <v>0</v>
      </c>
      <c r="S21">
        <v>0</v>
      </c>
      <c r="T21">
        <v>0</v>
      </c>
      <c r="U21">
        <v>0</v>
      </c>
      <c r="V21">
        <v>0</v>
      </c>
      <c r="W21">
        <v>0</v>
      </c>
      <c r="X21" s="80">
        <f>X20</f>
        <v>11.7142</v>
      </c>
      <c r="Z21" t="s">
        <v>149</v>
      </c>
      <c r="AA21">
        <v>2</v>
      </c>
      <c r="AB21" t="s">
        <v>7</v>
      </c>
      <c r="AC21" s="20">
        <v>18528</v>
      </c>
      <c r="AD21" s="20">
        <v>96</v>
      </c>
      <c r="AE21" s="20">
        <v>2</v>
      </c>
      <c r="AF21" s="20">
        <v>8</v>
      </c>
      <c r="AG21" s="79">
        <v>318.75</v>
      </c>
      <c r="AH21" s="62">
        <v>13.304</v>
      </c>
      <c r="AI21" s="16">
        <v>45554</v>
      </c>
      <c r="AJ21" s="25">
        <v>0.64290509259259254</v>
      </c>
      <c r="AK21">
        <v>0</v>
      </c>
      <c r="AL21">
        <v>0</v>
      </c>
      <c r="AM21">
        <v>0</v>
      </c>
      <c r="AN21">
        <v>0</v>
      </c>
      <c r="AO21">
        <v>0</v>
      </c>
      <c r="AP21">
        <v>0</v>
      </c>
      <c r="AQ21">
        <v>0</v>
      </c>
      <c r="AR21">
        <v>0</v>
      </c>
      <c r="AS21">
        <v>0</v>
      </c>
      <c r="AT21">
        <v>0</v>
      </c>
      <c r="AU21">
        <v>0</v>
      </c>
      <c r="AV21">
        <v>0</v>
      </c>
      <c r="AW21" s="80">
        <f>AW20</f>
        <v>13.314499999999999</v>
      </c>
      <c r="AZ21">
        <v>1</v>
      </c>
      <c r="BA21" t="s">
        <v>7</v>
      </c>
      <c r="BB21">
        <v>19584</v>
      </c>
      <c r="BC21">
        <v>32</v>
      </c>
      <c r="BD21">
        <v>4</v>
      </c>
      <c r="BE21">
        <v>4</v>
      </c>
      <c r="BF21">
        <v>1004.59</v>
      </c>
      <c r="BG21" s="62">
        <v>4.9851000000000001</v>
      </c>
      <c r="BH21" s="16">
        <v>45474</v>
      </c>
      <c r="BI21" s="18">
        <v>0.50288194444444445</v>
      </c>
      <c r="BJ21">
        <v>0</v>
      </c>
      <c r="BK21">
        <v>0</v>
      </c>
      <c r="BL21">
        <v>0</v>
      </c>
      <c r="BM21">
        <v>0</v>
      </c>
      <c r="BN21">
        <v>0</v>
      </c>
      <c r="BO21">
        <v>0</v>
      </c>
      <c r="BP21">
        <v>0</v>
      </c>
      <c r="BQ21">
        <v>0</v>
      </c>
      <c r="BR21">
        <v>0</v>
      </c>
      <c r="BS21">
        <v>0</v>
      </c>
      <c r="BT21">
        <v>0</v>
      </c>
      <c r="BU21">
        <v>0</v>
      </c>
    </row>
    <row r="22" spans="1:73" x14ac:dyDescent="0.25">
      <c r="A22" t="s">
        <v>111</v>
      </c>
      <c r="B22">
        <v>3</v>
      </c>
      <c r="C22" t="s">
        <v>7</v>
      </c>
      <c r="D22" s="20">
        <v>18368</v>
      </c>
      <c r="E22" s="20">
        <v>224</v>
      </c>
      <c r="F22" s="20">
        <v>2</v>
      </c>
      <c r="G22" s="20">
        <v>8</v>
      </c>
      <c r="H22" s="79">
        <v>358.4</v>
      </c>
      <c r="I22" s="62">
        <v>11.529</v>
      </c>
      <c r="J22" s="16">
        <v>45548</v>
      </c>
      <c r="K22" s="25">
        <v>0.39703703703703702</v>
      </c>
      <c r="L22">
        <v>0</v>
      </c>
      <c r="M22">
        <v>0</v>
      </c>
      <c r="N22">
        <v>0</v>
      </c>
      <c r="O22">
        <v>0</v>
      </c>
      <c r="P22">
        <v>0</v>
      </c>
      <c r="Q22">
        <v>0</v>
      </c>
      <c r="R22">
        <v>0</v>
      </c>
      <c r="S22">
        <v>0</v>
      </c>
      <c r="T22">
        <v>0</v>
      </c>
      <c r="U22">
        <v>0</v>
      </c>
      <c r="V22">
        <v>0</v>
      </c>
      <c r="W22">
        <v>0</v>
      </c>
      <c r="X22" s="80">
        <f>X21</f>
        <v>11.7142</v>
      </c>
      <c r="Z22" t="s">
        <v>149</v>
      </c>
      <c r="AA22">
        <v>3</v>
      </c>
      <c r="AB22" t="s">
        <v>7</v>
      </c>
      <c r="AC22" s="20">
        <v>18528</v>
      </c>
      <c r="AD22" s="20">
        <v>96</v>
      </c>
      <c r="AE22" s="20">
        <v>2</v>
      </c>
      <c r="AF22" s="20">
        <v>8</v>
      </c>
      <c r="AG22" s="79">
        <v>318.72000000000003</v>
      </c>
      <c r="AH22" s="62">
        <v>13.305999999999999</v>
      </c>
      <c r="AI22" s="16">
        <v>45555</v>
      </c>
      <c r="AJ22" s="25">
        <v>0.1683912037037037</v>
      </c>
      <c r="AK22">
        <v>0</v>
      </c>
      <c r="AL22">
        <v>0</v>
      </c>
      <c r="AM22">
        <v>0</v>
      </c>
      <c r="AN22">
        <v>0</v>
      </c>
      <c r="AO22">
        <v>0</v>
      </c>
      <c r="AP22">
        <v>0</v>
      </c>
      <c r="AQ22">
        <v>0</v>
      </c>
      <c r="AR22">
        <v>0</v>
      </c>
      <c r="AS22">
        <v>0</v>
      </c>
      <c r="AT22">
        <v>0</v>
      </c>
      <c r="AU22">
        <v>0</v>
      </c>
      <c r="AV22">
        <v>0</v>
      </c>
      <c r="AW22" s="80">
        <f>AW21</f>
        <v>13.314499999999999</v>
      </c>
      <c r="AZ22" s="45">
        <v>0</v>
      </c>
      <c r="BA22" s="45" t="s">
        <v>7</v>
      </c>
      <c r="BB22" s="27">
        <v>17536</v>
      </c>
      <c r="BC22" s="27">
        <v>64</v>
      </c>
      <c r="BD22" s="27">
        <v>1</v>
      </c>
      <c r="BE22" s="27">
        <v>16</v>
      </c>
      <c r="BF22" s="47">
        <v>346</v>
      </c>
      <c r="BG22" s="73">
        <v>10.391999999999999</v>
      </c>
      <c r="BH22" s="16">
        <v>45472</v>
      </c>
      <c r="BI22" s="18">
        <v>0.34424768518518517</v>
      </c>
      <c r="BJ22">
        <v>0</v>
      </c>
      <c r="BK22">
        <v>0</v>
      </c>
      <c r="BL22">
        <v>0</v>
      </c>
      <c r="BM22">
        <v>0</v>
      </c>
      <c r="BN22">
        <v>0</v>
      </c>
      <c r="BO22">
        <v>0</v>
      </c>
      <c r="BP22">
        <v>0</v>
      </c>
      <c r="BQ22">
        <v>0</v>
      </c>
      <c r="BR22">
        <v>0</v>
      </c>
      <c r="BS22">
        <v>0</v>
      </c>
      <c r="BT22">
        <v>0</v>
      </c>
      <c r="BU22">
        <v>0</v>
      </c>
    </row>
    <row r="23" spans="1:73" x14ac:dyDescent="0.25">
      <c r="A23" t="s">
        <v>111</v>
      </c>
      <c r="B23">
        <v>4</v>
      </c>
      <c r="C23" t="s">
        <v>7</v>
      </c>
      <c r="D23" s="20">
        <v>18368</v>
      </c>
      <c r="E23" s="20">
        <v>224</v>
      </c>
      <c r="F23" s="20">
        <v>2</v>
      </c>
      <c r="G23" s="20">
        <v>8</v>
      </c>
      <c r="H23" s="79">
        <v>356.63</v>
      </c>
      <c r="I23" s="62">
        <v>11.586</v>
      </c>
      <c r="J23" s="16">
        <v>45549</v>
      </c>
      <c r="K23" s="25">
        <v>2.6435185185185187E-2</v>
      </c>
      <c r="L23">
        <v>0</v>
      </c>
      <c r="M23">
        <v>0</v>
      </c>
      <c r="N23">
        <v>0</v>
      </c>
      <c r="O23">
        <v>0</v>
      </c>
      <c r="P23">
        <v>0</v>
      </c>
      <c r="Q23">
        <v>0</v>
      </c>
      <c r="R23">
        <v>0</v>
      </c>
      <c r="S23">
        <v>0</v>
      </c>
      <c r="T23">
        <v>0</v>
      </c>
      <c r="U23">
        <v>0</v>
      </c>
      <c r="V23">
        <v>0</v>
      </c>
      <c r="W23">
        <v>0</v>
      </c>
      <c r="X23" s="80">
        <f>X22</f>
        <v>11.7142</v>
      </c>
      <c r="Z23" t="s">
        <v>149</v>
      </c>
      <c r="AA23">
        <v>4</v>
      </c>
      <c r="AB23" t="s">
        <v>7</v>
      </c>
      <c r="AC23" s="20">
        <v>18528</v>
      </c>
      <c r="AD23" s="20">
        <v>96</v>
      </c>
      <c r="AE23" s="20">
        <v>2</v>
      </c>
      <c r="AF23" s="20">
        <v>8</v>
      </c>
      <c r="AG23" s="79">
        <v>318.98</v>
      </c>
      <c r="AH23" s="62">
        <v>13.295</v>
      </c>
      <c r="AI23" s="16">
        <v>45555</v>
      </c>
      <c r="AJ23" s="25">
        <v>0.66853009259259255</v>
      </c>
      <c r="AK23">
        <v>0</v>
      </c>
      <c r="AL23">
        <v>0</v>
      </c>
      <c r="AM23">
        <v>0</v>
      </c>
      <c r="AN23">
        <v>0</v>
      </c>
      <c r="AO23">
        <v>0</v>
      </c>
      <c r="AP23">
        <v>0</v>
      </c>
      <c r="AQ23">
        <v>0</v>
      </c>
      <c r="AR23">
        <v>0</v>
      </c>
      <c r="AS23">
        <v>0</v>
      </c>
      <c r="AT23">
        <v>0</v>
      </c>
      <c r="AU23">
        <v>0</v>
      </c>
      <c r="AV23">
        <v>0</v>
      </c>
      <c r="AW23" s="80">
        <f>AW22</f>
        <v>13.314499999999999</v>
      </c>
      <c r="AZ23">
        <v>1</v>
      </c>
      <c r="BA23" t="s">
        <v>7</v>
      </c>
      <c r="BB23">
        <v>17536</v>
      </c>
      <c r="BC23">
        <v>64</v>
      </c>
      <c r="BD23">
        <v>1</v>
      </c>
      <c r="BE23">
        <v>16</v>
      </c>
      <c r="BF23">
        <v>501.09</v>
      </c>
      <c r="BG23" s="62">
        <v>7.1753</v>
      </c>
      <c r="BH23" s="16">
        <v>45474</v>
      </c>
      <c r="BI23" s="18">
        <v>0.1348148148148148</v>
      </c>
      <c r="BJ23">
        <v>0</v>
      </c>
      <c r="BK23">
        <v>0</v>
      </c>
      <c r="BL23">
        <v>0</v>
      </c>
      <c r="BM23">
        <v>0</v>
      </c>
      <c r="BN23">
        <v>0</v>
      </c>
      <c r="BO23">
        <v>0</v>
      </c>
      <c r="BP23">
        <v>0</v>
      </c>
      <c r="BQ23">
        <v>0</v>
      </c>
      <c r="BR23">
        <v>0</v>
      </c>
      <c r="BS23">
        <v>0</v>
      </c>
      <c r="BT23">
        <v>0</v>
      </c>
      <c r="BU23">
        <v>0</v>
      </c>
    </row>
    <row r="24" spans="1:73" x14ac:dyDescent="0.25">
      <c r="A24" t="s">
        <v>111</v>
      </c>
      <c r="B24">
        <v>0</v>
      </c>
      <c r="C24" t="s">
        <v>7</v>
      </c>
      <c r="D24">
        <v>19584</v>
      </c>
      <c r="E24">
        <v>192</v>
      </c>
      <c r="F24">
        <v>2</v>
      </c>
      <c r="G24">
        <v>8</v>
      </c>
      <c r="H24" s="23">
        <v>417.28</v>
      </c>
      <c r="I24" s="23">
        <v>12.000999999999999</v>
      </c>
      <c r="J24" s="16">
        <v>45545</v>
      </c>
      <c r="K24" s="18">
        <v>0.57127314814814811</v>
      </c>
      <c r="L24">
        <v>0</v>
      </c>
      <c r="M24">
        <v>0</v>
      </c>
      <c r="N24">
        <v>0</v>
      </c>
      <c r="O24">
        <v>0</v>
      </c>
      <c r="P24">
        <v>0</v>
      </c>
      <c r="Q24">
        <v>0</v>
      </c>
      <c r="R24">
        <v>0</v>
      </c>
      <c r="S24">
        <v>0</v>
      </c>
      <c r="T24">
        <v>0</v>
      </c>
      <c r="U24">
        <v>0</v>
      </c>
      <c r="V24">
        <v>0</v>
      </c>
      <c r="W24">
        <v>0</v>
      </c>
      <c r="X24" s="82">
        <f>AVERAGE(I24:I28)</f>
        <v>11.696400000000001</v>
      </c>
      <c r="Z24" t="s">
        <v>149</v>
      </c>
      <c r="AA24">
        <v>0</v>
      </c>
      <c r="AB24" t="s">
        <v>7</v>
      </c>
      <c r="AC24">
        <v>19584</v>
      </c>
      <c r="AD24">
        <v>128</v>
      </c>
      <c r="AE24">
        <v>2</v>
      </c>
      <c r="AF24">
        <v>8</v>
      </c>
      <c r="AG24" s="23">
        <v>388.37</v>
      </c>
      <c r="AH24" s="62">
        <v>12.895</v>
      </c>
      <c r="AI24" s="16">
        <v>45558</v>
      </c>
      <c r="AJ24" s="18">
        <v>0.17023148148148148</v>
      </c>
      <c r="AK24">
        <v>0</v>
      </c>
      <c r="AL24">
        <v>0</v>
      </c>
      <c r="AM24">
        <v>0</v>
      </c>
      <c r="AN24">
        <v>0</v>
      </c>
      <c r="AO24">
        <v>0</v>
      </c>
      <c r="AP24">
        <v>0</v>
      </c>
      <c r="AQ24">
        <v>0</v>
      </c>
      <c r="AR24">
        <v>0</v>
      </c>
      <c r="AS24">
        <v>0</v>
      </c>
      <c r="AT24">
        <v>0</v>
      </c>
      <c r="AU24">
        <v>0</v>
      </c>
      <c r="AV24">
        <v>0</v>
      </c>
      <c r="AW24" s="82">
        <f>AVERAGE(AH24:AH27)</f>
        <v>13.272</v>
      </c>
      <c r="AZ24">
        <v>0</v>
      </c>
      <c r="BA24" t="s">
        <v>7</v>
      </c>
      <c r="BB24">
        <v>18560</v>
      </c>
      <c r="BC24">
        <v>64</v>
      </c>
      <c r="BD24">
        <v>1</v>
      </c>
      <c r="BE24">
        <v>16</v>
      </c>
      <c r="BF24">
        <v>403.24</v>
      </c>
      <c r="BG24" s="62">
        <v>10.571</v>
      </c>
      <c r="BH24" s="16">
        <v>45472</v>
      </c>
      <c r="BI24" s="18">
        <v>0.45827546296296295</v>
      </c>
      <c r="BJ24">
        <v>0</v>
      </c>
      <c r="BK24">
        <v>0</v>
      </c>
      <c r="BL24">
        <v>0</v>
      </c>
      <c r="BM24">
        <v>0</v>
      </c>
      <c r="BN24">
        <v>0</v>
      </c>
      <c r="BO24">
        <v>0</v>
      </c>
      <c r="BP24">
        <v>0</v>
      </c>
      <c r="BQ24">
        <v>0</v>
      </c>
      <c r="BR24">
        <v>0</v>
      </c>
      <c r="BS24">
        <v>0</v>
      </c>
      <c r="BT24">
        <v>0</v>
      </c>
      <c r="BU24">
        <v>0</v>
      </c>
    </row>
    <row r="25" spans="1:73" x14ac:dyDescent="0.25">
      <c r="A25" t="s">
        <v>111</v>
      </c>
      <c r="B25">
        <v>1</v>
      </c>
      <c r="C25" t="s">
        <v>7</v>
      </c>
      <c r="D25" s="20">
        <v>19584</v>
      </c>
      <c r="E25" s="20">
        <v>192</v>
      </c>
      <c r="F25" s="20">
        <v>2</v>
      </c>
      <c r="G25" s="20">
        <v>8</v>
      </c>
      <c r="H25" s="79">
        <v>427.81</v>
      </c>
      <c r="I25" s="62">
        <v>11.706</v>
      </c>
      <c r="J25" s="16">
        <v>45547</v>
      </c>
      <c r="K25" s="25">
        <v>0.34945601851851854</v>
      </c>
      <c r="L25">
        <v>0</v>
      </c>
      <c r="M25">
        <v>0</v>
      </c>
      <c r="N25">
        <v>0</v>
      </c>
      <c r="O25">
        <v>0</v>
      </c>
      <c r="P25">
        <v>0</v>
      </c>
      <c r="Q25">
        <v>0</v>
      </c>
      <c r="R25">
        <v>0</v>
      </c>
      <c r="S25">
        <v>0</v>
      </c>
      <c r="T25">
        <v>0</v>
      </c>
      <c r="U25">
        <v>0</v>
      </c>
      <c r="V25">
        <v>0</v>
      </c>
      <c r="W25">
        <v>0</v>
      </c>
      <c r="X25" s="80">
        <f>X24</f>
        <v>11.696400000000001</v>
      </c>
      <c r="Z25" t="s">
        <v>149</v>
      </c>
      <c r="AA25">
        <v>1</v>
      </c>
      <c r="AB25" t="s">
        <v>7</v>
      </c>
      <c r="AC25" s="20">
        <v>19584</v>
      </c>
      <c r="AD25" s="20">
        <v>128</v>
      </c>
      <c r="AE25" s="20">
        <v>2</v>
      </c>
      <c r="AF25" s="20">
        <v>8</v>
      </c>
      <c r="AG25" s="79">
        <v>373.72</v>
      </c>
      <c r="AH25" s="62">
        <v>13.4</v>
      </c>
      <c r="AI25" s="16">
        <v>45558</v>
      </c>
      <c r="AJ25" s="25">
        <v>0.65145833333333336</v>
      </c>
      <c r="AK25">
        <v>0</v>
      </c>
      <c r="AL25">
        <v>0</v>
      </c>
      <c r="AM25">
        <v>0</v>
      </c>
      <c r="AN25">
        <v>0</v>
      </c>
      <c r="AO25">
        <v>0</v>
      </c>
      <c r="AP25">
        <v>0</v>
      </c>
      <c r="AQ25">
        <v>0</v>
      </c>
      <c r="AR25">
        <v>0</v>
      </c>
      <c r="AS25">
        <v>0</v>
      </c>
      <c r="AT25">
        <v>0</v>
      </c>
      <c r="AU25">
        <v>0</v>
      </c>
      <c r="AV25">
        <v>0</v>
      </c>
      <c r="AW25" s="80">
        <f>AW24</f>
        <v>13.272</v>
      </c>
      <c r="AZ25">
        <v>1</v>
      </c>
      <c r="BA25" t="s">
        <v>7</v>
      </c>
      <c r="BB25">
        <v>18560</v>
      </c>
      <c r="BC25">
        <v>64</v>
      </c>
      <c r="BD25">
        <v>1</v>
      </c>
      <c r="BE25">
        <v>16</v>
      </c>
      <c r="BF25">
        <v>575.19000000000005</v>
      </c>
      <c r="BG25" s="62">
        <v>7.4111000000000002</v>
      </c>
      <c r="BH25" s="16">
        <v>45474</v>
      </c>
      <c r="BI25" s="18">
        <v>0.30425925925925928</v>
      </c>
      <c r="BJ25">
        <v>0</v>
      </c>
      <c r="BK25">
        <v>0</v>
      </c>
      <c r="BL25">
        <v>0</v>
      </c>
      <c r="BM25">
        <v>0</v>
      </c>
      <c r="BN25">
        <v>0</v>
      </c>
      <c r="BO25">
        <v>0</v>
      </c>
      <c r="BP25">
        <v>0</v>
      </c>
      <c r="BQ25">
        <v>0</v>
      </c>
      <c r="BR25">
        <v>0</v>
      </c>
      <c r="BS25">
        <v>0</v>
      </c>
      <c r="BT25">
        <v>0</v>
      </c>
      <c r="BU25">
        <v>0</v>
      </c>
    </row>
    <row r="26" spans="1:73" x14ac:dyDescent="0.25">
      <c r="A26" t="s">
        <v>111</v>
      </c>
      <c r="B26">
        <v>2</v>
      </c>
      <c r="C26" t="s">
        <v>7</v>
      </c>
      <c r="D26" s="20">
        <v>19584</v>
      </c>
      <c r="E26" s="20">
        <v>192</v>
      </c>
      <c r="F26" s="20">
        <v>2</v>
      </c>
      <c r="G26" s="20">
        <v>8</v>
      </c>
      <c r="H26" s="79">
        <v>437.48</v>
      </c>
      <c r="I26" s="62">
        <v>11.446999999999999</v>
      </c>
      <c r="J26" s="16">
        <v>45547</v>
      </c>
      <c r="K26" s="25">
        <v>0.95799768518518513</v>
      </c>
      <c r="L26">
        <v>0</v>
      </c>
      <c r="M26">
        <v>0</v>
      </c>
      <c r="N26">
        <v>0</v>
      </c>
      <c r="O26">
        <v>0</v>
      </c>
      <c r="P26">
        <v>0</v>
      </c>
      <c r="Q26">
        <v>0</v>
      </c>
      <c r="R26">
        <v>0</v>
      </c>
      <c r="S26">
        <v>0</v>
      </c>
      <c r="T26">
        <v>0</v>
      </c>
      <c r="U26">
        <v>0</v>
      </c>
      <c r="V26">
        <v>0</v>
      </c>
      <c r="W26">
        <v>0</v>
      </c>
      <c r="X26" s="80">
        <f>X25</f>
        <v>11.696400000000001</v>
      </c>
      <c r="Z26" t="s">
        <v>149</v>
      </c>
      <c r="AA26">
        <v>2</v>
      </c>
      <c r="AB26" t="s">
        <v>7</v>
      </c>
      <c r="AC26" s="20">
        <v>19584</v>
      </c>
      <c r="AD26" s="20">
        <v>128</v>
      </c>
      <c r="AE26" s="20">
        <v>2</v>
      </c>
      <c r="AF26" s="20">
        <v>8</v>
      </c>
      <c r="AG26" s="79">
        <v>373.6</v>
      </c>
      <c r="AH26" s="62">
        <v>13.404999999999999</v>
      </c>
      <c r="AI26" s="16">
        <v>45554</v>
      </c>
      <c r="AJ26" s="25">
        <v>0.81157407407407411</v>
      </c>
      <c r="AK26">
        <v>0</v>
      </c>
      <c r="AL26">
        <v>0</v>
      </c>
      <c r="AM26">
        <v>0</v>
      </c>
      <c r="AN26">
        <v>0</v>
      </c>
      <c r="AO26">
        <v>0</v>
      </c>
      <c r="AP26">
        <v>0</v>
      </c>
      <c r="AQ26">
        <v>0</v>
      </c>
      <c r="AR26">
        <v>0</v>
      </c>
      <c r="AS26">
        <v>0</v>
      </c>
      <c r="AT26">
        <v>0</v>
      </c>
      <c r="AU26">
        <v>0</v>
      </c>
      <c r="AV26">
        <v>0</v>
      </c>
      <c r="AW26" s="80">
        <f>AW25</f>
        <v>13.272</v>
      </c>
      <c r="AZ26">
        <v>0</v>
      </c>
      <c r="BA26" t="s">
        <v>7</v>
      </c>
      <c r="BB26">
        <v>19584</v>
      </c>
      <c r="BC26">
        <v>64</v>
      </c>
      <c r="BD26">
        <v>1</v>
      </c>
      <c r="BE26">
        <v>16</v>
      </c>
      <c r="BF26">
        <v>2564.62</v>
      </c>
      <c r="BG26" s="62">
        <v>1.9527000000000001</v>
      </c>
      <c r="BH26" s="16">
        <v>45473</v>
      </c>
      <c r="BI26" s="18">
        <v>0.5799305555555555</v>
      </c>
      <c r="BJ26">
        <v>0</v>
      </c>
      <c r="BK26">
        <v>0</v>
      </c>
      <c r="BL26">
        <v>0</v>
      </c>
      <c r="BM26">
        <v>0</v>
      </c>
      <c r="BN26">
        <v>0</v>
      </c>
      <c r="BO26">
        <v>0</v>
      </c>
      <c r="BP26">
        <v>0</v>
      </c>
      <c r="BQ26">
        <v>0</v>
      </c>
      <c r="BR26">
        <v>0</v>
      </c>
      <c r="BS26">
        <v>0</v>
      </c>
      <c r="BT26">
        <v>0</v>
      </c>
      <c r="BU26">
        <v>0</v>
      </c>
    </row>
    <row r="27" spans="1:73" x14ac:dyDescent="0.25">
      <c r="A27" t="s">
        <v>111</v>
      </c>
      <c r="B27">
        <v>3</v>
      </c>
      <c r="C27" t="s">
        <v>7</v>
      </c>
      <c r="D27" s="20">
        <v>19584</v>
      </c>
      <c r="E27" s="20">
        <v>192</v>
      </c>
      <c r="F27" s="20">
        <v>2</v>
      </c>
      <c r="G27" s="20">
        <v>8</v>
      </c>
      <c r="H27" s="79">
        <v>429.81</v>
      </c>
      <c r="I27" s="62">
        <v>11.651999999999999</v>
      </c>
      <c r="J27" s="16">
        <v>45548</v>
      </c>
      <c r="K27" s="25">
        <v>0.61679398148148146</v>
      </c>
      <c r="L27">
        <v>0</v>
      </c>
      <c r="M27">
        <v>0</v>
      </c>
      <c r="N27">
        <v>0</v>
      </c>
      <c r="O27">
        <v>0</v>
      </c>
      <c r="P27">
        <v>0</v>
      </c>
      <c r="Q27">
        <v>0</v>
      </c>
      <c r="R27">
        <v>0</v>
      </c>
      <c r="S27">
        <v>0</v>
      </c>
      <c r="T27">
        <v>0</v>
      </c>
      <c r="U27">
        <v>0</v>
      </c>
      <c r="V27">
        <v>0</v>
      </c>
      <c r="W27">
        <v>0</v>
      </c>
      <c r="X27" s="80">
        <f>X26</f>
        <v>11.696400000000001</v>
      </c>
      <c r="Z27" t="s">
        <v>149</v>
      </c>
      <c r="AA27">
        <v>3</v>
      </c>
      <c r="AB27" t="s">
        <v>7</v>
      </c>
      <c r="AC27" s="20">
        <v>19584</v>
      </c>
      <c r="AD27" s="20">
        <v>128</v>
      </c>
      <c r="AE27" s="20">
        <v>2</v>
      </c>
      <c r="AF27" s="20">
        <v>8</v>
      </c>
      <c r="AG27" s="79">
        <v>374.08</v>
      </c>
      <c r="AH27" s="62">
        <v>13.388</v>
      </c>
      <c r="AI27" s="16">
        <v>45555</v>
      </c>
      <c r="AJ27" s="25">
        <v>0.3371527777777778</v>
      </c>
      <c r="AK27">
        <v>0</v>
      </c>
      <c r="AL27">
        <v>0</v>
      </c>
      <c r="AM27">
        <v>0</v>
      </c>
      <c r="AN27">
        <v>0</v>
      </c>
      <c r="AO27">
        <v>0</v>
      </c>
      <c r="AP27">
        <v>0</v>
      </c>
      <c r="AQ27">
        <v>0</v>
      </c>
      <c r="AR27">
        <v>0</v>
      </c>
      <c r="AS27">
        <v>0</v>
      </c>
      <c r="AT27">
        <v>0</v>
      </c>
      <c r="AU27">
        <v>0</v>
      </c>
      <c r="AV27">
        <v>0</v>
      </c>
      <c r="AW27" s="80">
        <f>AW26</f>
        <v>13.272</v>
      </c>
      <c r="AZ27">
        <v>1</v>
      </c>
      <c r="BA27" t="s">
        <v>7</v>
      </c>
      <c r="BB27">
        <v>19584</v>
      </c>
      <c r="BC27">
        <v>64</v>
      </c>
      <c r="BD27">
        <v>1</v>
      </c>
      <c r="BE27">
        <v>16</v>
      </c>
      <c r="BF27">
        <v>758.48</v>
      </c>
      <c r="BG27" s="62">
        <v>6.6026999999999996</v>
      </c>
      <c r="BH27" s="16">
        <v>45474</v>
      </c>
      <c r="BI27" s="18">
        <v>0.51254629629629633</v>
      </c>
      <c r="BJ27">
        <v>0</v>
      </c>
      <c r="BK27">
        <v>0</v>
      </c>
      <c r="BL27">
        <v>0</v>
      </c>
      <c r="BM27">
        <v>0</v>
      </c>
      <c r="BN27">
        <v>0</v>
      </c>
      <c r="BO27">
        <v>0</v>
      </c>
      <c r="BP27">
        <v>0</v>
      </c>
      <c r="BQ27">
        <v>0</v>
      </c>
      <c r="BR27">
        <v>0</v>
      </c>
      <c r="BS27">
        <v>0</v>
      </c>
      <c r="BT27">
        <v>0</v>
      </c>
      <c r="BU27">
        <v>0</v>
      </c>
    </row>
    <row r="28" spans="1:73" x14ac:dyDescent="0.25">
      <c r="A28" t="s">
        <v>111</v>
      </c>
      <c r="B28">
        <v>4</v>
      </c>
      <c r="C28" t="s">
        <v>7</v>
      </c>
      <c r="D28" s="20">
        <v>19584</v>
      </c>
      <c r="E28" s="20">
        <v>192</v>
      </c>
      <c r="F28" s="20">
        <v>2</v>
      </c>
      <c r="G28" s="20">
        <v>8</v>
      </c>
      <c r="H28" s="79">
        <v>428.91</v>
      </c>
      <c r="I28" s="62">
        <v>11.676</v>
      </c>
      <c r="J28" s="16">
        <v>45549</v>
      </c>
      <c r="K28" s="25">
        <v>0.26258101851851851</v>
      </c>
      <c r="L28">
        <v>0</v>
      </c>
      <c r="M28">
        <v>0</v>
      </c>
      <c r="N28">
        <v>0</v>
      </c>
      <c r="O28">
        <v>0</v>
      </c>
      <c r="P28">
        <v>0</v>
      </c>
      <c r="Q28">
        <v>0</v>
      </c>
      <c r="R28">
        <v>0</v>
      </c>
      <c r="S28">
        <v>0</v>
      </c>
      <c r="T28">
        <v>0</v>
      </c>
      <c r="U28">
        <v>0</v>
      </c>
      <c r="V28">
        <v>0</v>
      </c>
      <c r="W28">
        <v>0</v>
      </c>
      <c r="X28" s="80">
        <f>X27</f>
        <v>11.696400000000001</v>
      </c>
      <c r="Z28" t="s">
        <v>149</v>
      </c>
      <c r="AA28">
        <v>4</v>
      </c>
      <c r="AB28" t="s">
        <v>7</v>
      </c>
      <c r="AC28" s="20">
        <v>19584</v>
      </c>
      <c r="AD28" s="20">
        <v>128</v>
      </c>
      <c r="AE28" s="20">
        <v>2</v>
      </c>
      <c r="AF28" s="20">
        <v>8</v>
      </c>
      <c r="AG28" s="79">
        <v>373.37</v>
      </c>
      <c r="AH28" s="62">
        <v>13.413</v>
      </c>
      <c r="AI28" s="16">
        <v>45555</v>
      </c>
      <c r="AJ28" s="25">
        <v>0.83043981481481477</v>
      </c>
      <c r="AK28">
        <v>0</v>
      </c>
      <c r="AL28">
        <v>0</v>
      </c>
      <c r="AM28">
        <v>0</v>
      </c>
      <c r="AN28">
        <v>0</v>
      </c>
      <c r="AO28">
        <v>0</v>
      </c>
      <c r="AP28">
        <v>0</v>
      </c>
      <c r="AQ28">
        <v>0</v>
      </c>
      <c r="AR28">
        <v>0</v>
      </c>
      <c r="AS28">
        <v>0</v>
      </c>
      <c r="AT28">
        <v>0</v>
      </c>
      <c r="AU28">
        <v>0</v>
      </c>
      <c r="AV28">
        <v>0</v>
      </c>
      <c r="AW28" s="80">
        <f>AW27</f>
        <v>13.272</v>
      </c>
      <c r="AZ28" s="45">
        <v>0</v>
      </c>
      <c r="BA28" s="45" t="s">
        <v>7</v>
      </c>
      <c r="BB28" s="27">
        <v>17536</v>
      </c>
      <c r="BC28" s="27">
        <v>64</v>
      </c>
      <c r="BD28" s="27">
        <v>2</v>
      </c>
      <c r="BE28" s="27">
        <v>8</v>
      </c>
      <c r="BF28" s="47">
        <v>319.8</v>
      </c>
      <c r="BG28" s="73">
        <v>11.243</v>
      </c>
      <c r="BH28" s="16">
        <v>45472</v>
      </c>
      <c r="BI28" s="18">
        <v>0.34822916666666665</v>
      </c>
      <c r="BJ28">
        <v>0</v>
      </c>
      <c r="BK28">
        <v>0</v>
      </c>
      <c r="BL28">
        <v>0</v>
      </c>
      <c r="BM28">
        <v>0</v>
      </c>
      <c r="BN28">
        <v>0</v>
      </c>
      <c r="BO28">
        <v>0</v>
      </c>
      <c r="BP28">
        <v>0</v>
      </c>
      <c r="BQ28">
        <v>0</v>
      </c>
      <c r="BR28">
        <v>0</v>
      </c>
      <c r="BS28">
        <v>0</v>
      </c>
      <c r="BT28">
        <v>0</v>
      </c>
      <c r="BU28">
        <v>0</v>
      </c>
    </row>
    <row r="29" spans="1:73" x14ac:dyDescent="0.25">
      <c r="A29" t="s">
        <v>111</v>
      </c>
      <c r="B29">
        <v>0</v>
      </c>
      <c r="C29" t="s">
        <v>7</v>
      </c>
      <c r="D29">
        <v>19584</v>
      </c>
      <c r="E29">
        <v>96</v>
      </c>
      <c r="F29">
        <v>2</v>
      </c>
      <c r="G29">
        <v>8</v>
      </c>
      <c r="H29" s="79">
        <v>433.3</v>
      </c>
      <c r="I29" s="61">
        <v>11.558</v>
      </c>
      <c r="J29" s="16">
        <v>45560</v>
      </c>
      <c r="K29" s="18">
        <v>0.42408564814814814</v>
      </c>
      <c r="L29">
        <v>0</v>
      </c>
      <c r="M29">
        <v>0</v>
      </c>
      <c r="N29">
        <v>0</v>
      </c>
      <c r="O29">
        <v>0</v>
      </c>
      <c r="P29">
        <v>0</v>
      </c>
      <c r="Q29">
        <v>0</v>
      </c>
      <c r="R29">
        <v>0</v>
      </c>
      <c r="S29">
        <v>0</v>
      </c>
      <c r="T29">
        <v>0</v>
      </c>
      <c r="U29">
        <v>0</v>
      </c>
      <c r="V29">
        <v>0</v>
      </c>
      <c r="W29">
        <v>0</v>
      </c>
      <c r="X29" s="82">
        <f>AVERAGE(I29:I33)</f>
        <v>11.625600000000002</v>
      </c>
      <c r="Z29" t="s">
        <v>149</v>
      </c>
      <c r="AA29">
        <v>0</v>
      </c>
      <c r="AB29" t="s">
        <v>7</v>
      </c>
      <c r="AC29" s="20">
        <v>18560</v>
      </c>
      <c r="AD29" s="20">
        <v>160</v>
      </c>
      <c r="AE29" s="20">
        <v>2</v>
      </c>
      <c r="AF29" s="20">
        <v>8</v>
      </c>
      <c r="AG29" s="79">
        <v>321.92</v>
      </c>
      <c r="AH29" s="62">
        <v>13.242000000000001</v>
      </c>
      <c r="AI29" s="16">
        <v>45558</v>
      </c>
      <c r="AJ29" s="25">
        <v>2.6944444444444444E-2</v>
      </c>
      <c r="AK29">
        <v>0</v>
      </c>
      <c r="AL29">
        <v>0</v>
      </c>
      <c r="AM29">
        <v>0</v>
      </c>
      <c r="AN29">
        <v>0</v>
      </c>
      <c r="AO29">
        <v>0</v>
      </c>
      <c r="AP29">
        <v>0</v>
      </c>
      <c r="AQ29">
        <v>0</v>
      </c>
      <c r="AR29">
        <v>0</v>
      </c>
      <c r="AS29">
        <v>0</v>
      </c>
      <c r="AT29">
        <v>0</v>
      </c>
      <c r="AU29">
        <v>0</v>
      </c>
      <c r="AV29">
        <v>0</v>
      </c>
      <c r="AW29" s="82">
        <f>AVERAGE(AH29:AH32)</f>
        <v>13.237</v>
      </c>
      <c r="AZ29">
        <v>1</v>
      </c>
      <c r="BA29" t="s">
        <v>7</v>
      </c>
      <c r="BB29">
        <v>17536</v>
      </c>
      <c r="BC29">
        <v>64</v>
      </c>
      <c r="BD29">
        <v>2</v>
      </c>
      <c r="BE29">
        <v>8</v>
      </c>
      <c r="BF29">
        <v>494.97</v>
      </c>
      <c r="BG29" s="62">
        <v>7.2641</v>
      </c>
      <c r="BH29" s="16">
        <v>45474</v>
      </c>
      <c r="BI29" s="18">
        <v>0.14090277777777777</v>
      </c>
      <c r="BJ29">
        <v>0</v>
      </c>
      <c r="BK29">
        <v>0</v>
      </c>
      <c r="BL29">
        <v>0</v>
      </c>
      <c r="BM29">
        <v>0</v>
      </c>
      <c r="BN29">
        <v>0</v>
      </c>
      <c r="BO29">
        <v>0</v>
      </c>
      <c r="BP29">
        <v>0</v>
      </c>
      <c r="BQ29">
        <v>0</v>
      </c>
      <c r="BR29">
        <v>0</v>
      </c>
      <c r="BS29">
        <v>0</v>
      </c>
      <c r="BT29">
        <v>0</v>
      </c>
      <c r="BU29">
        <v>0</v>
      </c>
    </row>
    <row r="30" spans="1:73" x14ac:dyDescent="0.25">
      <c r="A30" t="s">
        <v>111</v>
      </c>
      <c r="B30">
        <v>1</v>
      </c>
      <c r="C30" t="s">
        <v>7</v>
      </c>
      <c r="D30">
        <v>19584</v>
      </c>
      <c r="E30">
        <v>96</v>
      </c>
      <c r="F30">
        <v>2</v>
      </c>
      <c r="G30">
        <v>8</v>
      </c>
      <c r="H30" s="79">
        <v>422.53</v>
      </c>
      <c r="I30" s="61">
        <v>11.852</v>
      </c>
      <c r="J30" s="16">
        <v>45560</v>
      </c>
      <c r="K30" s="18">
        <v>0.43952546296296297</v>
      </c>
      <c r="L30">
        <v>0</v>
      </c>
      <c r="M30">
        <v>0</v>
      </c>
      <c r="N30">
        <v>0</v>
      </c>
      <c r="O30">
        <v>0</v>
      </c>
      <c r="P30">
        <v>0</v>
      </c>
      <c r="Q30">
        <v>0</v>
      </c>
      <c r="R30">
        <v>0</v>
      </c>
      <c r="S30">
        <v>0</v>
      </c>
      <c r="T30">
        <v>0</v>
      </c>
      <c r="U30">
        <v>0</v>
      </c>
      <c r="V30">
        <v>0</v>
      </c>
      <c r="W30">
        <v>0</v>
      </c>
      <c r="X30" s="80">
        <f>X29</f>
        <v>11.625600000000002</v>
      </c>
      <c r="Z30" t="s">
        <v>149</v>
      </c>
      <c r="AA30">
        <v>1</v>
      </c>
      <c r="AB30" t="s">
        <v>7</v>
      </c>
      <c r="AC30" s="20">
        <v>18560</v>
      </c>
      <c r="AD30" s="20">
        <v>160</v>
      </c>
      <c r="AE30" s="20">
        <v>2</v>
      </c>
      <c r="AF30" s="20">
        <v>8</v>
      </c>
      <c r="AG30" s="79">
        <v>322.25</v>
      </c>
      <c r="AH30" s="62">
        <v>13.228</v>
      </c>
      <c r="AI30" s="16">
        <v>45558</v>
      </c>
      <c r="AJ30" s="25">
        <v>0.52611111111111108</v>
      </c>
      <c r="AK30">
        <v>0</v>
      </c>
      <c r="AL30">
        <v>0</v>
      </c>
      <c r="AM30">
        <v>0</v>
      </c>
      <c r="AN30">
        <v>0</v>
      </c>
      <c r="AO30">
        <v>0</v>
      </c>
      <c r="AP30">
        <v>0</v>
      </c>
      <c r="AQ30">
        <v>0</v>
      </c>
      <c r="AR30">
        <v>0</v>
      </c>
      <c r="AS30">
        <v>0</v>
      </c>
      <c r="AT30">
        <v>0</v>
      </c>
      <c r="AU30">
        <v>0</v>
      </c>
      <c r="AV30">
        <v>0</v>
      </c>
      <c r="AW30" s="80">
        <f>AW29</f>
        <v>13.237</v>
      </c>
      <c r="AZ30">
        <v>0</v>
      </c>
      <c r="BA30" t="s">
        <v>7</v>
      </c>
      <c r="BB30">
        <v>18560</v>
      </c>
      <c r="BC30">
        <v>64</v>
      </c>
      <c r="BD30">
        <v>2</v>
      </c>
      <c r="BE30">
        <v>8</v>
      </c>
      <c r="BF30">
        <v>366.89</v>
      </c>
      <c r="BG30" s="62">
        <v>11.619</v>
      </c>
      <c r="BH30" s="16">
        <v>45472</v>
      </c>
      <c r="BI30" s="18">
        <v>0.46283564814814815</v>
      </c>
      <c r="BJ30">
        <v>0</v>
      </c>
      <c r="BK30">
        <v>0</v>
      </c>
      <c r="BL30">
        <v>0</v>
      </c>
      <c r="BM30">
        <v>0</v>
      </c>
      <c r="BN30">
        <v>0</v>
      </c>
      <c r="BO30">
        <v>0</v>
      </c>
      <c r="BP30">
        <v>0</v>
      </c>
      <c r="BQ30">
        <v>0</v>
      </c>
      <c r="BR30">
        <v>0</v>
      </c>
      <c r="BS30">
        <v>0</v>
      </c>
      <c r="BT30">
        <v>0</v>
      </c>
      <c r="BU30">
        <v>0</v>
      </c>
    </row>
    <row r="31" spans="1:73" x14ac:dyDescent="0.25">
      <c r="A31" t="s">
        <v>111</v>
      </c>
      <c r="B31">
        <v>2</v>
      </c>
      <c r="C31" t="s">
        <v>7</v>
      </c>
      <c r="D31">
        <v>19584</v>
      </c>
      <c r="E31">
        <v>96</v>
      </c>
      <c r="F31">
        <v>2</v>
      </c>
      <c r="G31">
        <v>8</v>
      </c>
      <c r="H31" s="79">
        <v>434.87</v>
      </c>
      <c r="I31" s="61">
        <v>11.516</v>
      </c>
      <c r="J31" s="16">
        <v>45560</v>
      </c>
      <c r="K31" s="18">
        <v>0.45490740740740743</v>
      </c>
      <c r="L31">
        <v>0</v>
      </c>
      <c r="M31">
        <v>0</v>
      </c>
      <c r="N31">
        <v>0</v>
      </c>
      <c r="O31">
        <v>0</v>
      </c>
      <c r="P31">
        <v>0</v>
      </c>
      <c r="Q31">
        <v>0</v>
      </c>
      <c r="R31">
        <v>0</v>
      </c>
      <c r="S31">
        <v>0</v>
      </c>
      <c r="T31">
        <v>0</v>
      </c>
      <c r="U31">
        <v>0</v>
      </c>
      <c r="V31">
        <v>0</v>
      </c>
      <c r="W31">
        <v>0</v>
      </c>
      <c r="X31" s="80">
        <f>X30</f>
        <v>11.625600000000002</v>
      </c>
      <c r="Z31" t="s">
        <v>149</v>
      </c>
      <c r="AA31">
        <v>2</v>
      </c>
      <c r="AB31" t="s">
        <v>7</v>
      </c>
      <c r="AC31" s="20">
        <v>18560</v>
      </c>
      <c r="AD31" s="20">
        <v>160</v>
      </c>
      <c r="AE31" s="20">
        <v>2</v>
      </c>
      <c r="AF31" s="20">
        <v>8</v>
      </c>
      <c r="AG31" s="79">
        <v>322.20999999999998</v>
      </c>
      <c r="AH31" s="62">
        <v>13.23</v>
      </c>
      <c r="AI31" s="16">
        <v>45554</v>
      </c>
      <c r="AJ31" s="25">
        <v>0.67002314814814812</v>
      </c>
      <c r="AK31">
        <v>0</v>
      </c>
      <c r="AL31">
        <v>0</v>
      </c>
      <c r="AM31">
        <v>0</v>
      </c>
      <c r="AN31">
        <v>0</v>
      </c>
      <c r="AO31">
        <v>0</v>
      </c>
      <c r="AP31">
        <v>0</v>
      </c>
      <c r="AQ31">
        <v>0</v>
      </c>
      <c r="AR31">
        <v>0</v>
      </c>
      <c r="AS31">
        <v>0</v>
      </c>
      <c r="AT31">
        <v>0</v>
      </c>
      <c r="AU31">
        <v>0</v>
      </c>
      <c r="AV31">
        <v>0</v>
      </c>
      <c r="AW31" s="80">
        <f>AW30</f>
        <v>13.237</v>
      </c>
      <c r="AZ31">
        <v>1</v>
      </c>
      <c r="BA31" t="s">
        <v>7</v>
      </c>
      <c r="BB31">
        <v>18560</v>
      </c>
      <c r="BC31">
        <v>64</v>
      </c>
      <c r="BD31">
        <v>2</v>
      </c>
      <c r="BE31">
        <v>8</v>
      </c>
      <c r="BF31">
        <v>564.29</v>
      </c>
      <c r="BG31" s="62">
        <v>7.5542999999999996</v>
      </c>
      <c r="BH31" s="16">
        <v>45474</v>
      </c>
      <c r="BI31" s="18">
        <v>0.31119212962962961</v>
      </c>
      <c r="BJ31">
        <v>0</v>
      </c>
      <c r="BK31">
        <v>0</v>
      </c>
      <c r="BL31">
        <v>0</v>
      </c>
      <c r="BM31">
        <v>0</v>
      </c>
      <c r="BN31">
        <v>0</v>
      </c>
      <c r="BO31">
        <v>0</v>
      </c>
      <c r="BP31">
        <v>0</v>
      </c>
      <c r="BQ31">
        <v>0</v>
      </c>
      <c r="BR31">
        <v>0</v>
      </c>
      <c r="BS31">
        <v>0</v>
      </c>
      <c r="BT31">
        <v>0</v>
      </c>
      <c r="BU31">
        <v>0</v>
      </c>
    </row>
    <row r="32" spans="1:73" x14ac:dyDescent="0.25">
      <c r="A32" t="s">
        <v>111</v>
      </c>
      <c r="B32">
        <v>3</v>
      </c>
      <c r="C32" t="s">
        <v>7</v>
      </c>
      <c r="D32">
        <v>19584</v>
      </c>
      <c r="E32">
        <v>96</v>
      </c>
      <c r="F32">
        <v>2</v>
      </c>
      <c r="G32">
        <v>8</v>
      </c>
      <c r="H32" s="79">
        <v>432.55</v>
      </c>
      <c r="I32" s="61">
        <v>11.577999999999999</v>
      </c>
      <c r="J32" s="16">
        <v>45560</v>
      </c>
      <c r="K32" s="18">
        <v>0.47045138888888888</v>
      </c>
      <c r="L32">
        <v>0</v>
      </c>
      <c r="M32">
        <v>0</v>
      </c>
      <c r="N32">
        <v>0</v>
      </c>
      <c r="O32">
        <v>0</v>
      </c>
      <c r="P32">
        <v>0</v>
      </c>
      <c r="Q32">
        <v>0</v>
      </c>
      <c r="R32">
        <v>0</v>
      </c>
      <c r="S32">
        <v>0</v>
      </c>
      <c r="T32">
        <v>0</v>
      </c>
      <c r="U32">
        <v>0</v>
      </c>
      <c r="V32">
        <v>0</v>
      </c>
      <c r="W32">
        <v>0</v>
      </c>
      <c r="X32" s="80">
        <f>X31</f>
        <v>11.625600000000002</v>
      </c>
      <c r="Z32" t="s">
        <v>149</v>
      </c>
      <c r="AA32">
        <v>3</v>
      </c>
      <c r="AB32" t="s">
        <v>7</v>
      </c>
      <c r="AC32" s="20">
        <v>18560</v>
      </c>
      <c r="AD32" s="20">
        <v>160</v>
      </c>
      <c r="AE32" s="20">
        <v>2</v>
      </c>
      <c r="AF32" s="20">
        <v>8</v>
      </c>
      <c r="AG32" s="79">
        <v>321.77</v>
      </c>
      <c r="AH32" s="62">
        <v>13.247999999999999</v>
      </c>
      <c r="AI32" s="16">
        <v>45555</v>
      </c>
      <c r="AJ32" s="25">
        <v>0.19542824074074075</v>
      </c>
      <c r="AK32">
        <v>0</v>
      </c>
      <c r="AL32">
        <v>0</v>
      </c>
      <c r="AM32">
        <v>0</v>
      </c>
      <c r="AN32">
        <v>0</v>
      </c>
      <c r="AO32">
        <v>0</v>
      </c>
      <c r="AP32">
        <v>0</v>
      </c>
      <c r="AQ32">
        <v>0</v>
      </c>
      <c r="AR32">
        <v>0</v>
      </c>
      <c r="AS32">
        <v>0</v>
      </c>
      <c r="AT32">
        <v>0</v>
      </c>
      <c r="AU32">
        <v>0</v>
      </c>
      <c r="AV32">
        <v>0</v>
      </c>
      <c r="AW32" s="80">
        <f>AW31</f>
        <v>13.237</v>
      </c>
      <c r="AZ32">
        <v>0</v>
      </c>
      <c r="BA32" t="s">
        <v>7</v>
      </c>
      <c r="BB32">
        <v>19584</v>
      </c>
      <c r="BC32">
        <v>64</v>
      </c>
      <c r="BD32">
        <v>2</v>
      </c>
      <c r="BE32">
        <v>8</v>
      </c>
      <c r="BF32">
        <v>424.29</v>
      </c>
      <c r="BG32" s="62">
        <v>11.803000000000001</v>
      </c>
      <c r="BH32" s="16">
        <v>45473</v>
      </c>
      <c r="BI32" s="18">
        <v>0.88265046296296301</v>
      </c>
      <c r="BJ32">
        <v>0</v>
      </c>
      <c r="BK32">
        <v>0</v>
      </c>
      <c r="BL32">
        <v>0</v>
      </c>
      <c r="BM32">
        <v>0</v>
      </c>
      <c r="BN32">
        <v>0</v>
      </c>
      <c r="BO32">
        <v>0</v>
      </c>
      <c r="BP32">
        <v>0</v>
      </c>
      <c r="BQ32">
        <v>0</v>
      </c>
      <c r="BR32">
        <v>0</v>
      </c>
      <c r="BS32">
        <v>0</v>
      </c>
      <c r="BT32">
        <v>0</v>
      </c>
      <c r="BU32">
        <v>0</v>
      </c>
    </row>
    <row r="33" spans="1:73" x14ac:dyDescent="0.25">
      <c r="A33" t="s">
        <v>111</v>
      </c>
      <c r="B33">
        <v>4</v>
      </c>
      <c r="C33" t="s">
        <v>7</v>
      </c>
      <c r="D33">
        <v>19584</v>
      </c>
      <c r="E33">
        <v>96</v>
      </c>
      <c r="F33">
        <v>2</v>
      </c>
      <c r="G33">
        <v>8</v>
      </c>
      <c r="H33" s="79">
        <v>430.82</v>
      </c>
      <c r="I33" s="61">
        <v>11.624000000000001</v>
      </c>
      <c r="J33" s="16">
        <v>45560</v>
      </c>
      <c r="K33" s="18">
        <v>0.48563657407407407</v>
      </c>
      <c r="L33">
        <v>0</v>
      </c>
      <c r="M33">
        <v>0</v>
      </c>
      <c r="N33">
        <v>0</v>
      </c>
      <c r="O33">
        <v>0</v>
      </c>
      <c r="P33">
        <v>0</v>
      </c>
      <c r="Q33">
        <v>0</v>
      </c>
      <c r="R33">
        <v>0</v>
      </c>
      <c r="S33">
        <v>0</v>
      </c>
      <c r="T33">
        <v>0</v>
      </c>
      <c r="U33">
        <v>0</v>
      </c>
      <c r="V33">
        <v>0</v>
      </c>
      <c r="W33">
        <v>0</v>
      </c>
      <c r="X33" s="80">
        <f>X32</f>
        <v>11.625600000000002</v>
      </c>
      <c r="Z33" t="s">
        <v>149</v>
      </c>
      <c r="AA33">
        <v>4</v>
      </c>
      <c r="AB33" t="s">
        <v>7</v>
      </c>
      <c r="AC33" s="20">
        <v>18560</v>
      </c>
      <c r="AD33" s="20">
        <v>160</v>
      </c>
      <c r="AE33" s="20">
        <v>2</v>
      </c>
      <c r="AF33" s="20">
        <v>8</v>
      </c>
      <c r="AG33" s="79">
        <v>323.38</v>
      </c>
      <c r="AH33" s="62">
        <v>13.182</v>
      </c>
      <c r="AI33" s="16">
        <v>45555</v>
      </c>
      <c r="AJ33" s="25">
        <v>0.69568287037037035</v>
      </c>
      <c r="AK33">
        <v>0</v>
      </c>
      <c r="AL33">
        <v>0</v>
      </c>
      <c r="AM33">
        <v>0</v>
      </c>
      <c r="AN33">
        <v>0</v>
      </c>
      <c r="AO33">
        <v>0</v>
      </c>
      <c r="AP33">
        <v>0</v>
      </c>
      <c r="AQ33">
        <v>0</v>
      </c>
      <c r="AR33">
        <v>0</v>
      </c>
      <c r="AS33">
        <v>0</v>
      </c>
      <c r="AT33">
        <v>0</v>
      </c>
      <c r="AU33">
        <v>0</v>
      </c>
      <c r="AV33">
        <v>0</v>
      </c>
      <c r="AW33" s="80">
        <f>AW32</f>
        <v>13.237</v>
      </c>
      <c r="AZ33">
        <v>1</v>
      </c>
      <c r="BA33" t="s">
        <v>7</v>
      </c>
      <c r="BB33">
        <v>19584</v>
      </c>
      <c r="BC33">
        <v>64</v>
      </c>
      <c r="BD33">
        <v>2</v>
      </c>
      <c r="BE33">
        <v>8</v>
      </c>
      <c r="BF33">
        <v>676.2</v>
      </c>
      <c r="BG33" s="62">
        <v>7.4061000000000003</v>
      </c>
      <c r="BH33" s="16">
        <v>45474</v>
      </c>
      <c r="BI33" s="18">
        <v>0.52098379629629632</v>
      </c>
      <c r="BJ33">
        <v>0</v>
      </c>
      <c r="BK33">
        <v>0</v>
      </c>
      <c r="BL33">
        <v>0</v>
      </c>
      <c r="BM33">
        <v>0</v>
      </c>
      <c r="BN33">
        <v>0</v>
      </c>
      <c r="BO33">
        <v>0</v>
      </c>
      <c r="BP33">
        <v>0</v>
      </c>
      <c r="BQ33">
        <v>0</v>
      </c>
      <c r="BR33">
        <v>0</v>
      </c>
      <c r="BS33">
        <v>0</v>
      </c>
      <c r="BT33">
        <v>0</v>
      </c>
      <c r="BU33">
        <v>0</v>
      </c>
    </row>
    <row r="34" spans="1:73" x14ac:dyDescent="0.25">
      <c r="A34" t="s">
        <v>111</v>
      </c>
      <c r="B34">
        <v>0</v>
      </c>
      <c r="C34" t="s">
        <v>7</v>
      </c>
      <c r="D34" s="20">
        <v>19584</v>
      </c>
      <c r="E34" s="20">
        <v>128</v>
      </c>
      <c r="F34" s="20">
        <v>2</v>
      </c>
      <c r="G34" s="20">
        <v>8</v>
      </c>
      <c r="H34" s="79">
        <v>428.26</v>
      </c>
      <c r="I34" s="62">
        <v>11.694000000000001</v>
      </c>
      <c r="J34" s="16">
        <v>45546</v>
      </c>
      <c r="K34" s="25">
        <v>0.62679398148148147</v>
      </c>
      <c r="L34">
        <v>0</v>
      </c>
      <c r="M34">
        <v>0</v>
      </c>
      <c r="N34">
        <v>0</v>
      </c>
      <c r="O34">
        <v>0</v>
      </c>
      <c r="P34">
        <v>0</v>
      </c>
      <c r="Q34">
        <v>0</v>
      </c>
      <c r="R34">
        <v>0</v>
      </c>
      <c r="S34">
        <v>0</v>
      </c>
      <c r="T34">
        <v>0</v>
      </c>
      <c r="U34">
        <v>0</v>
      </c>
      <c r="V34">
        <v>0</v>
      </c>
      <c r="W34">
        <v>0</v>
      </c>
      <c r="X34" s="82">
        <f>AVERAGE(I34:I38)</f>
        <v>11.518599999999999</v>
      </c>
      <c r="Z34" t="s">
        <v>149</v>
      </c>
      <c r="AA34">
        <v>0</v>
      </c>
      <c r="AB34" t="s">
        <v>7</v>
      </c>
      <c r="AC34" s="20">
        <v>18560</v>
      </c>
      <c r="AD34" s="20">
        <v>64</v>
      </c>
      <c r="AE34" s="20">
        <v>2</v>
      </c>
      <c r="AF34" s="20">
        <v>8</v>
      </c>
      <c r="AG34" s="79">
        <v>321.89999999999998</v>
      </c>
      <c r="AH34" s="62">
        <v>13.243</v>
      </c>
      <c r="AI34" s="16">
        <v>45557</v>
      </c>
      <c r="AJ34" s="25">
        <v>0.9861805555555555</v>
      </c>
      <c r="AK34">
        <v>0</v>
      </c>
      <c r="AL34">
        <v>0</v>
      </c>
      <c r="AM34">
        <v>0</v>
      </c>
      <c r="AN34">
        <v>0</v>
      </c>
      <c r="AO34">
        <v>0</v>
      </c>
      <c r="AP34">
        <v>0</v>
      </c>
      <c r="AQ34">
        <v>0</v>
      </c>
      <c r="AR34">
        <v>0</v>
      </c>
      <c r="AS34">
        <v>0</v>
      </c>
      <c r="AT34">
        <v>0</v>
      </c>
      <c r="AU34">
        <v>0</v>
      </c>
      <c r="AV34">
        <v>0</v>
      </c>
      <c r="AW34" s="82">
        <f>AVERAGE(AH34:AH37)</f>
        <v>13.226500000000001</v>
      </c>
      <c r="AZ34">
        <v>0</v>
      </c>
      <c r="BA34" t="s">
        <v>7</v>
      </c>
      <c r="BB34">
        <v>17536</v>
      </c>
      <c r="BC34">
        <v>64</v>
      </c>
      <c r="BD34">
        <v>4</v>
      </c>
      <c r="BE34">
        <v>4</v>
      </c>
      <c r="BF34">
        <v>415.43</v>
      </c>
      <c r="BG34" s="62">
        <v>8.6547999999999998</v>
      </c>
      <c r="BH34" s="16">
        <v>45472</v>
      </c>
      <c r="BI34" s="18">
        <v>0.35332175925925924</v>
      </c>
      <c r="BJ34">
        <v>0</v>
      </c>
      <c r="BK34">
        <v>0</v>
      </c>
      <c r="BL34">
        <v>0</v>
      </c>
      <c r="BM34">
        <v>0</v>
      </c>
      <c r="BN34">
        <v>0</v>
      </c>
      <c r="BO34">
        <v>0</v>
      </c>
      <c r="BP34">
        <v>0</v>
      </c>
      <c r="BQ34">
        <v>0</v>
      </c>
      <c r="BR34">
        <v>0</v>
      </c>
      <c r="BS34">
        <v>0</v>
      </c>
      <c r="BT34">
        <v>0</v>
      </c>
      <c r="BU34">
        <v>0</v>
      </c>
    </row>
    <row r="35" spans="1:73" x14ac:dyDescent="0.25">
      <c r="A35" t="s">
        <v>111</v>
      </c>
      <c r="B35">
        <v>1</v>
      </c>
      <c r="C35" t="s">
        <v>7</v>
      </c>
      <c r="D35" s="20">
        <v>19584</v>
      </c>
      <c r="E35" s="20">
        <v>128</v>
      </c>
      <c r="F35" s="20">
        <v>2</v>
      </c>
      <c r="G35" s="20">
        <v>8</v>
      </c>
      <c r="H35" s="79">
        <v>427.69</v>
      </c>
      <c r="I35" s="62">
        <v>11.709</v>
      </c>
      <c r="J35" s="16">
        <v>45547</v>
      </c>
      <c r="K35" s="25">
        <v>0.25156250000000002</v>
      </c>
      <c r="L35">
        <v>0</v>
      </c>
      <c r="M35">
        <v>0</v>
      </c>
      <c r="N35">
        <v>0</v>
      </c>
      <c r="O35">
        <v>0</v>
      </c>
      <c r="P35">
        <v>0</v>
      </c>
      <c r="Q35">
        <v>0</v>
      </c>
      <c r="R35">
        <v>0</v>
      </c>
      <c r="S35">
        <v>0</v>
      </c>
      <c r="T35">
        <v>0</v>
      </c>
      <c r="U35">
        <v>0</v>
      </c>
      <c r="V35">
        <v>0</v>
      </c>
      <c r="W35">
        <v>0</v>
      </c>
      <c r="X35" s="80">
        <f>X34</f>
        <v>11.518599999999999</v>
      </c>
      <c r="Z35" t="s">
        <v>149</v>
      </c>
      <c r="AA35">
        <v>1</v>
      </c>
      <c r="AB35" t="s">
        <v>7</v>
      </c>
      <c r="AC35" s="20">
        <v>18560</v>
      </c>
      <c r="AD35" s="20">
        <v>64</v>
      </c>
      <c r="AE35" s="20">
        <v>2</v>
      </c>
      <c r="AF35" s="20">
        <v>8</v>
      </c>
      <c r="AG35" s="79">
        <v>322.92</v>
      </c>
      <c r="AH35" s="62">
        <v>13.201000000000001</v>
      </c>
      <c r="AI35" s="16">
        <v>45558</v>
      </c>
      <c r="AJ35" s="25">
        <v>0.48556712962962961</v>
      </c>
      <c r="AK35">
        <v>0</v>
      </c>
      <c r="AL35">
        <v>0</v>
      </c>
      <c r="AM35">
        <v>0</v>
      </c>
      <c r="AN35">
        <v>0</v>
      </c>
      <c r="AO35">
        <v>0</v>
      </c>
      <c r="AP35">
        <v>0</v>
      </c>
      <c r="AQ35">
        <v>0</v>
      </c>
      <c r="AR35">
        <v>0</v>
      </c>
      <c r="AS35">
        <v>0</v>
      </c>
      <c r="AT35">
        <v>0</v>
      </c>
      <c r="AU35">
        <v>0</v>
      </c>
      <c r="AV35">
        <v>0</v>
      </c>
      <c r="AW35" s="80">
        <f>AW34</f>
        <v>13.226500000000001</v>
      </c>
      <c r="AZ35">
        <v>1</v>
      </c>
      <c r="BA35" t="s">
        <v>7</v>
      </c>
      <c r="BB35">
        <v>17536</v>
      </c>
      <c r="BC35">
        <v>64</v>
      </c>
      <c r="BD35">
        <v>4</v>
      </c>
      <c r="BE35">
        <v>4</v>
      </c>
      <c r="BF35">
        <v>667.08</v>
      </c>
      <c r="BG35" s="62">
        <v>5.3898999999999999</v>
      </c>
      <c r="BH35" s="16">
        <v>45474</v>
      </c>
      <c r="BI35" s="18">
        <v>0.14898148148148149</v>
      </c>
      <c r="BJ35">
        <v>0</v>
      </c>
      <c r="BK35">
        <v>0</v>
      </c>
      <c r="BL35">
        <v>0</v>
      </c>
      <c r="BM35">
        <v>0</v>
      </c>
      <c r="BN35">
        <v>0</v>
      </c>
      <c r="BO35">
        <v>0</v>
      </c>
      <c r="BP35">
        <v>0</v>
      </c>
      <c r="BQ35">
        <v>0</v>
      </c>
      <c r="BR35">
        <v>0</v>
      </c>
      <c r="BS35">
        <v>0</v>
      </c>
      <c r="BT35">
        <v>0</v>
      </c>
      <c r="BU35">
        <v>0</v>
      </c>
    </row>
    <row r="36" spans="1:73" x14ac:dyDescent="0.25">
      <c r="A36" t="s">
        <v>111</v>
      </c>
      <c r="B36">
        <v>2</v>
      </c>
      <c r="C36" t="s">
        <v>7</v>
      </c>
      <c r="D36" s="20">
        <v>19584</v>
      </c>
      <c r="E36" s="20">
        <v>128</v>
      </c>
      <c r="F36" s="20">
        <v>2</v>
      </c>
      <c r="G36" s="20">
        <v>8</v>
      </c>
      <c r="H36" s="79">
        <v>432.38</v>
      </c>
      <c r="I36" s="62">
        <v>11.582000000000001</v>
      </c>
      <c r="J36" s="16">
        <v>45547</v>
      </c>
      <c r="K36" s="25">
        <v>0.86320601851851853</v>
      </c>
      <c r="L36">
        <v>0</v>
      </c>
      <c r="M36">
        <v>0</v>
      </c>
      <c r="N36">
        <v>0</v>
      </c>
      <c r="O36">
        <v>0</v>
      </c>
      <c r="P36">
        <v>0</v>
      </c>
      <c r="Q36">
        <v>0</v>
      </c>
      <c r="R36">
        <v>0</v>
      </c>
      <c r="S36">
        <v>0</v>
      </c>
      <c r="T36">
        <v>0</v>
      </c>
      <c r="U36">
        <v>0</v>
      </c>
      <c r="V36">
        <v>0</v>
      </c>
      <c r="W36">
        <v>0</v>
      </c>
      <c r="X36" s="80">
        <f>X35</f>
        <v>11.518599999999999</v>
      </c>
      <c r="Z36" t="s">
        <v>149</v>
      </c>
      <c r="AA36">
        <v>2</v>
      </c>
      <c r="AB36" t="s">
        <v>7</v>
      </c>
      <c r="AC36" s="20">
        <v>18560</v>
      </c>
      <c r="AD36" s="20">
        <v>64</v>
      </c>
      <c r="AE36" s="20">
        <v>2</v>
      </c>
      <c r="AF36" s="20">
        <v>8</v>
      </c>
      <c r="AG36" s="79">
        <v>322.22000000000003</v>
      </c>
      <c r="AH36" s="62">
        <v>13.228999999999999</v>
      </c>
      <c r="AI36" s="16">
        <v>45554</v>
      </c>
      <c r="AJ36" s="25">
        <v>0.62950231481481478</v>
      </c>
      <c r="AK36">
        <v>0</v>
      </c>
      <c r="AL36">
        <v>0</v>
      </c>
      <c r="AM36">
        <v>0</v>
      </c>
      <c r="AN36">
        <v>0</v>
      </c>
      <c r="AO36">
        <v>0</v>
      </c>
      <c r="AP36">
        <v>0</v>
      </c>
      <c r="AQ36">
        <v>0</v>
      </c>
      <c r="AR36">
        <v>0</v>
      </c>
      <c r="AS36">
        <v>0</v>
      </c>
      <c r="AT36">
        <v>0</v>
      </c>
      <c r="AU36">
        <v>0</v>
      </c>
      <c r="AV36">
        <v>0</v>
      </c>
      <c r="AW36" s="80">
        <f>AW35</f>
        <v>13.226500000000001</v>
      </c>
      <c r="AZ36">
        <v>0</v>
      </c>
      <c r="BA36" t="s">
        <v>7</v>
      </c>
      <c r="BB36">
        <v>18560</v>
      </c>
      <c r="BC36">
        <v>64</v>
      </c>
      <c r="BD36">
        <v>4</v>
      </c>
      <c r="BE36">
        <v>4</v>
      </c>
      <c r="BF36">
        <v>488.14</v>
      </c>
      <c r="BG36" s="62">
        <v>8.7326999999999995</v>
      </c>
      <c r="BH36" s="16">
        <v>45472</v>
      </c>
      <c r="BI36" s="18">
        <v>0.46879629629629632</v>
      </c>
      <c r="BJ36">
        <v>0</v>
      </c>
      <c r="BK36">
        <v>0</v>
      </c>
      <c r="BL36">
        <v>0</v>
      </c>
      <c r="BM36">
        <v>0</v>
      </c>
      <c r="BN36">
        <v>0</v>
      </c>
      <c r="BO36">
        <v>0</v>
      </c>
      <c r="BP36">
        <v>0</v>
      </c>
      <c r="BQ36">
        <v>0</v>
      </c>
      <c r="BR36">
        <v>0</v>
      </c>
      <c r="BS36">
        <v>0</v>
      </c>
      <c r="BT36">
        <v>0</v>
      </c>
      <c r="BU36">
        <v>0</v>
      </c>
    </row>
    <row r="37" spans="1:73" x14ac:dyDescent="0.25">
      <c r="A37" t="s">
        <v>111</v>
      </c>
      <c r="B37">
        <v>3</v>
      </c>
      <c r="C37" t="s">
        <v>7</v>
      </c>
      <c r="D37" s="20">
        <v>19584</v>
      </c>
      <c r="E37" s="20">
        <v>128</v>
      </c>
      <c r="F37" s="20">
        <v>2</v>
      </c>
      <c r="G37" s="20">
        <v>8</v>
      </c>
      <c r="H37" s="79">
        <v>451.15</v>
      </c>
      <c r="I37" s="62">
        <v>11.101000000000001</v>
      </c>
      <c r="J37" s="16">
        <v>45548</v>
      </c>
      <c r="K37" s="25">
        <v>0.52465277777777775</v>
      </c>
      <c r="L37">
        <v>0</v>
      </c>
      <c r="M37">
        <v>0</v>
      </c>
      <c r="N37">
        <v>0</v>
      </c>
      <c r="O37">
        <v>0</v>
      </c>
      <c r="P37">
        <v>0</v>
      </c>
      <c r="Q37">
        <v>0</v>
      </c>
      <c r="R37">
        <v>0</v>
      </c>
      <c r="S37">
        <v>0</v>
      </c>
      <c r="T37">
        <v>0</v>
      </c>
      <c r="U37">
        <v>0</v>
      </c>
      <c r="V37">
        <v>0</v>
      </c>
      <c r="W37">
        <v>0</v>
      </c>
      <c r="X37" s="80">
        <f>X36</f>
        <v>11.518599999999999</v>
      </c>
      <c r="Z37" t="s">
        <v>149</v>
      </c>
      <c r="AA37">
        <v>3</v>
      </c>
      <c r="AB37" t="s">
        <v>7</v>
      </c>
      <c r="AC37" s="20">
        <v>18560</v>
      </c>
      <c r="AD37" s="20">
        <v>64</v>
      </c>
      <c r="AE37" s="20">
        <v>2</v>
      </c>
      <c r="AF37" s="20">
        <v>8</v>
      </c>
      <c r="AG37" s="79">
        <v>322.13</v>
      </c>
      <c r="AH37" s="62">
        <v>13.233000000000001</v>
      </c>
      <c r="AI37" s="16">
        <v>45555</v>
      </c>
      <c r="AJ37" s="25">
        <v>0.155</v>
      </c>
      <c r="AK37">
        <v>0</v>
      </c>
      <c r="AL37">
        <v>0</v>
      </c>
      <c r="AM37">
        <v>0</v>
      </c>
      <c r="AN37">
        <v>0</v>
      </c>
      <c r="AO37">
        <v>0</v>
      </c>
      <c r="AP37">
        <v>0</v>
      </c>
      <c r="AQ37">
        <v>0</v>
      </c>
      <c r="AR37">
        <v>0</v>
      </c>
      <c r="AS37">
        <v>0</v>
      </c>
      <c r="AT37">
        <v>0</v>
      </c>
      <c r="AU37">
        <v>0</v>
      </c>
      <c r="AV37">
        <v>0</v>
      </c>
      <c r="AW37" s="80">
        <f>AW36</f>
        <v>13.226500000000001</v>
      </c>
      <c r="AZ37">
        <v>1</v>
      </c>
      <c r="BA37" t="s">
        <v>7</v>
      </c>
      <c r="BB37">
        <v>18560</v>
      </c>
      <c r="BC37">
        <v>64</v>
      </c>
      <c r="BD37">
        <v>4</v>
      </c>
      <c r="BE37">
        <v>4</v>
      </c>
      <c r="BF37">
        <v>758.58</v>
      </c>
      <c r="BG37" s="62">
        <v>5.6195000000000004</v>
      </c>
      <c r="BH37" s="16">
        <v>45474</v>
      </c>
      <c r="BI37" s="18">
        <v>0.32035879629629632</v>
      </c>
      <c r="BJ37">
        <v>0</v>
      </c>
      <c r="BK37">
        <v>0</v>
      </c>
      <c r="BL37">
        <v>0</v>
      </c>
      <c r="BM37">
        <v>0</v>
      </c>
      <c r="BN37">
        <v>0</v>
      </c>
      <c r="BO37">
        <v>0</v>
      </c>
      <c r="BP37">
        <v>0</v>
      </c>
      <c r="BQ37">
        <v>0</v>
      </c>
      <c r="BR37">
        <v>0</v>
      </c>
      <c r="BS37">
        <v>0</v>
      </c>
      <c r="BT37">
        <v>0</v>
      </c>
      <c r="BU37">
        <v>0</v>
      </c>
    </row>
    <row r="38" spans="1:73" x14ac:dyDescent="0.25">
      <c r="A38" t="s">
        <v>111</v>
      </c>
      <c r="B38">
        <v>4</v>
      </c>
      <c r="C38" t="s">
        <v>7</v>
      </c>
      <c r="D38" s="20">
        <v>19584</v>
      </c>
      <c r="E38" s="20">
        <v>128</v>
      </c>
      <c r="F38" s="20">
        <v>2</v>
      </c>
      <c r="G38" s="20">
        <v>8</v>
      </c>
      <c r="H38" s="79">
        <v>435.22</v>
      </c>
      <c r="I38" s="62">
        <v>11.507</v>
      </c>
      <c r="J38" s="16">
        <v>45549</v>
      </c>
      <c r="K38" s="25">
        <v>0.16253472222222223</v>
      </c>
      <c r="L38">
        <v>0</v>
      </c>
      <c r="M38">
        <v>0</v>
      </c>
      <c r="N38">
        <v>0</v>
      </c>
      <c r="O38">
        <v>0</v>
      </c>
      <c r="P38">
        <v>0</v>
      </c>
      <c r="Q38">
        <v>0</v>
      </c>
      <c r="R38">
        <v>0</v>
      </c>
      <c r="S38">
        <v>0</v>
      </c>
      <c r="T38">
        <v>0</v>
      </c>
      <c r="U38">
        <v>0</v>
      </c>
      <c r="V38">
        <v>0</v>
      </c>
      <c r="W38">
        <v>0</v>
      </c>
      <c r="X38" s="80">
        <f>X37</f>
        <v>11.518599999999999</v>
      </c>
      <c r="Z38" t="s">
        <v>149</v>
      </c>
      <c r="AA38">
        <v>4</v>
      </c>
      <c r="AB38" t="s">
        <v>7</v>
      </c>
      <c r="AC38" s="20">
        <v>18560</v>
      </c>
      <c r="AD38" s="20">
        <v>64</v>
      </c>
      <c r="AE38" s="20">
        <v>2</v>
      </c>
      <c r="AF38" s="20">
        <v>8</v>
      </c>
      <c r="AG38" s="79">
        <v>323.06</v>
      </c>
      <c r="AH38" s="62">
        <v>13.195</v>
      </c>
      <c r="AI38" s="16">
        <v>45555</v>
      </c>
      <c r="AJ38" s="25">
        <v>0.65511574074074075</v>
      </c>
      <c r="AK38">
        <v>0</v>
      </c>
      <c r="AL38">
        <v>0</v>
      </c>
      <c r="AM38">
        <v>0</v>
      </c>
      <c r="AN38">
        <v>0</v>
      </c>
      <c r="AO38">
        <v>0</v>
      </c>
      <c r="AP38">
        <v>0</v>
      </c>
      <c r="AQ38">
        <v>0</v>
      </c>
      <c r="AR38">
        <v>0</v>
      </c>
      <c r="AS38">
        <v>0</v>
      </c>
      <c r="AT38">
        <v>0</v>
      </c>
      <c r="AU38">
        <v>0</v>
      </c>
      <c r="AV38">
        <v>0</v>
      </c>
      <c r="AW38" s="80">
        <f>AW37</f>
        <v>13.226500000000001</v>
      </c>
      <c r="AZ38">
        <v>0</v>
      </c>
      <c r="BA38" t="s">
        <v>7</v>
      </c>
      <c r="BB38">
        <v>19584</v>
      </c>
      <c r="BC38">
        <v>64</v>
      </c>
      <c r="BD38">
        <v>4</v>
      </c>
      <c r="BE38">
        <v>4</v>
      </c>
      <c r="BF38">
        <v>1066.56</v>
      </c>
      <c r="BG38" s="62">
        <v>4.6955</v>
      </c>
      <c r="BH38" s="16">
        <v>45473</v>
      </c>
      <c r="BI38" s="18">
        <v>0.59562499999999996</v>
      </c>
      <c r="BJ38">
        <v>0</v>
      </c>
      <c r="BK38">
        <v>0</v>
      </c>
      <c r="BL38">
        <v>0</v>
      </c>
      <c r="BM38">
        <v>0</v>
      </c>
      <c r="BN38">
        <v>0</v>
      </c>
      <c r="BO38">
        <v>0</v>
      </c>
      <c r="BP38">
        <v>0</v>
      </c>
      <c r="BQ38">
        <v>0</v>
      </c>
      <c r="BR38">
        <v>0</v>
      </c>
      <c r="BS38">
        <v>0</v>
      </c>
      <c r="BT38">
        <v>0</v>
      </c>
      <c r="BU38">
        <v>0</v>
      </c>
    </row>
    <row r="39" spans="1:73" x14ac:dyDescent="0.25">
      <c r="A39" t="s">
        <v>111</v>
      </c>
      <c r="B39">
        <v>0</v>
      </c>
      <c r="C39" t="s">
        <v>7</v>
      </c>
      <c r="D39" s="20">
        <v>17440</v>
      </c>
      <c r="E39" s="20">
        <v>160</v>
      </c>
      <c r="F39" s="20">
        <v>2</v>
      </c>
      <c r="G39" s="20">
        <v>8</v>
      </c>
      <c r="H39" s="79">
        <v>314.97000000000003</v>
      </c>
      <c r="I39" s="62">
        <v>11.228999999999999</v>
      </c>
      <c r="J39" s="16">
        <v>45546</v>
      </c>
      <c r="K39" s="25">
        <v>0.3603703703703704</v>
      </c>
      <c r="L39">
        <v>0</v>
      </c>
      <c r="M39">
        <v>0</v>
      </c>
      <c r="N39">
        <v>0</v>
      </c>
      <c r="O39">
        <v>0</v>
      </c>
      <c r="P39">
        <v>0</v>
      </c>
      <c r="Q39">
        <v>0</v>
      </c>
      <c r="R39">
        <v>0</v>
      </c>
      <c r="S39">
        <v>0</v>
      </c>
      <c r="T39">
        <v>0</v>
      </c>
      <c r="U39">
        <v>0</v>
      </c>
      <c r="V39">
        <v>0</v>
      </c>
      <c r="W39">
        <v>0</v>
      </c>
      <c r="X39" s="82">
        <f>AVERAGE(I39:I43)</f>
        <v>11.4232</v>
      </c>
      <c r="Z39" t="s">
        <v>149</v>
      </c>
      <c r="AA39">
        <v>0</v>
      </c>
      <c r="AB39" t="s">
        <v>7</v>
      </c>
      <c r="AC39" s="20">
        <v>18432</v>
      </c>
      <c r="AD39" s="20">
        <v>192</v>
      </c>
      <c r="AE39" s="20">
        <v>2</v>
      </c>
      <c r="AF39" s="20">
        <v>8</v>
      </c>
      <c r="AG39" s="79">
        <v>320.33</v>
      </c>
      <c r="AH39" s="62">
        <v>13.034000000000001</v>
      </c>
      <c r="AI39" s="16">
        <v>45558</v>
      </c>
      <c r="AJ39" s="25">
        <v>4.0416666666666663E-2</v>
      </c>
      <c r="AK39">
        <v>0</v>
      </c>
      <c r="AL39">
        <v>0</v>
      </c>
      <c r="AM39">
        <v>0</v>
      </c>
      <c r="AN39">
        <v>0</v>
      </c>
      <c r="AO39">
        <v>0</v>
      </c>
      <c r="AP39">
        <v>0</v>
      </c>
      <c r="AQ39">
        <v>0</v>
      </c>
      <c r="AR39">
        <v>0</v>
      </c>
      <c r="AS39">
        <v>0</v>
      </c>
      <c r="AT39">
        <v>0</v>
      </c>
      <c r="AU39">
        <v>0</v>
      </c>
      <c r="AV39">
        <v>0</v>
      </c>
      <c r="AW39" s="82">
        <f>AVERAGE(AH39:AH42)</f>
        <v>13.036750000000001</v>
      </c>
      <c r="AZ39">
        <v>0</v>
      </c>
      <c r="BA39" t="s">
        <v>7</v>
      </c>
      <c r="BB39">
        <v>17568</v>
      </c>
      <c r="BC39">
        <v>96</v>
      </c>
      <c r="BD39">
        <v>1</v>
      </c>
      <c r="BE39">
        <v>16</v>
      </c>
      <c r="BF39">
        <v>330.59</v>
      </c>
      <c r="BG39" s="62">
        <v>10.936</v>
      </c>
      <c r="BH39" s="16">
        <v>45472</v>
      </c>
      <c r="BI39" s="18">
        <v>0.35747685185185185</v>
      </c>
      <c r="BJ39">
        <v>0</v>
      </c>
      <c r="BK39">
        <v>0</v>
      </c>
      <c r="BL39">
        <v>0</v>
      </c>
      <c r="BM39">
        <v>0</v>
      </c>
      <c r="BN39">
        <v>0</v>
      </c>
      <c r="BO39">
        <v>0</v>
      </c>
      <c r="BP39">
        <v>0</v>
      </c>
      <c r="BQ39">
        <v>0</v>
      </c>
      <c r="BR39">
        <v>0</v>
      </c>
      <c r="BS39">
        <v>0</v>
      </c>
      <c r="BT39">
        <v>0</v>
      </c>
      <c r="BU39">
        <v>0</v>
      </c>
    </row>
    <row r="40" spans="1:73" x14ac:dyDescent="0.25">
      <c r="A40" t="s">
        <v>111</v>
      </c>
      <c r="B40">
        <v>1</v>
      </c>
      <c r="C40" t="s">
        <v>7</v>
      </c>
      <c r="D40" s="20">
        <v>17440</v>
      </c>
      <c r="E40" s="20">
        <v>160</v>
      </c>
      <c r="F40" s="20">
        <v>2</v>
      </c>
      <c r="G40" s="20">
        <v>8</v>
      </c>
      <c r="H40" s="79">
        <v>310.77</v>
      </c>
      <c r="I40" s="62">
        <v>11.381</v>
      </c>
      <c r="J40" s="16">
        <v>45546</v>
      </c>
      <c r="K40" s="25">
        <v>0.97646990740740736</v>
      </c>
      <c r="L40">
        <v>0</v>
      </c>
      <c r="M40">
        <v>0</v>
      </c>
      <c r="N40">
        <v>0</v>
      </c>
      <c r="O40">
        <v>0</v>
      </c>
      <c r="P40">
        <v>0</v>
      </c>
      <c r="Q40">
        <v>0</v>
      </c>
      <c r="R40">
        <v>0</v>
      </c>
      <c r="S40">
        <v>0</v>
      </c>
      <c r="T40">
        <v>0</v>
      </c>
      <c r="U40">
        <v>0</v>
      </c>
      <c r="V40">
        <v>0</v>
      </c>
      <c r="W40">
        <v>0</v>
      </c>
      <c r="X40" s="80">
        <f>X39</f>
        <v>11.4232</v>
      </c>
      <c r="Z40" t="s">
        <v>149</v>
      </c>
      <c r="AA40">
        <v>1</v>
      </c>
      <c r="AB40" t="s">
        <v>7</v>
      </c>
      <c r="AC40" s="20">
        <v>18432</v>
      </c>
      <c r="AD40" s="20">
        <v>192</v>
      </c>
      <c r="AE40" s="20">
        <v>2</v>
      </c>
      <c r="AF40" s="20">
        <v>8</v>
      </c>
      <c r="AG40" s="79">
        <v>320.61</v>
      </c>
      <c r="AH40" s="62">
        <v>13.023</v>
      </c>
      <c r="AI40" s="16">
        <v>45558</v>
      </c>
      <c r="AJ40" s="25">
        <v>0.53954861111111108</v>
      </c>
      <c r="AK40">
        <v>0</v>
      </c>
      <c r="AL40">
        <v>0</v>
      </c>
      <c r="AM40">
        <v>0</v>
      </c>
      <c r="AN40">
        <v>0</v>
      </c>
      <c r="AO40">
        <v>0</v>
      </c>
      <c r="AP40">
        <v>0</v>
      </c>
      <c r="AQ40">
        <v>0</v>
      </c>
      <c r="AR40">
        <v>0</v>
      </c>
      <c r="AS40">
        <v>0</v>
      </c>
      <c r="AT40">
        <v>0</v>
      </c>
      <c r="AU40">
        <v>0</v>
      </c>
      <c r="AV40">
        <v>0</v>
      </c>
      <c r="AW40" s="80">
        <f>AW39</f>
        <v>13.036750000000001</v>
      </c>
      <c r="AZ40">
        <v>1</v>
      </c>
      <c r="BA40" t="s">
        <v>7</v>
      </c>
      <c r="BB40">
        <v>17568</v>
      </c>
      <c r="BC40">
        <v>96</v>
      </c>
      <c r="BD40">
        <v>1</v>
      </c>
      <c r="BE40">
        <v>16</v>
      </c>
      <c r="BF40">
        <v>472.35</v>
      </c>
      <c r="BG40" s="62">
        <v>7.6536999999999997</v>
      </c>
      <c r="BH40" s="16">
        <v>45474</v>
      </c>
      <c r="BI40" s="18">
        <v>0.15483796296296296</v>
      </c>
      <c r="BJ40">
        <v>0</v>
      </c>
      <c r="BK40">
        <v>0</v>
      </c>
      <c r="BL40">
        <v>0</v>
      </c>
      <c r="BM40">
        <v>0</v>
      </c>
      <c r="BN40">
        <v>0</v>
      </c>
      <c r="BO40">
        <v>0</v>
      </c>
      <c r="BP40">
        <v>0</v>
      </c>
      <c r="BQ40">
        <v>0</v>
      </c>
      <c r="BR40">
        <v>0</v>
      </c>
      <c r="BS40">
        <v>0</v>
      </c>
      <c r="BT40">
        <v>0</v>
      </c>
      <c r="BU40">
        <v>0</v>
      </c>
    </row>
    <row r="41" spans="1:73" x14ac:dyDescent="0.25">
      <c r="A41" t="s">
        <v>111</v>
      </c>
      <c r="B41">
        <v>2</v>
      </c>
      <c r="C41" t="s">
        <v>7</v>
      </c>
      <c r="D41" s="20">
        <v>17440</v>
      </c>
      <c r="E41" s="20">
        <v>160</v>
      </c>
      <c r="F41" s="20">
        <v>2</v>
      </c>
      <c r="G41" s="20">
        <v>8</v>
      </c>
      <c r="H41" s="79">
        <v>304.23</v>
      </c>
      <c r="I41" s="62">
        <v>11.625</v>
      </c>
      <c r="J41" s="16">
        <v>45547</v>
      </c>
      <c r="K41" s="25">
        <v>0.59156249999999999</v>
      </c>
      <c r="L41">
        <v>0</v>
      </c>
      <c r="M41">
        <v>0</v>
      </c>
      <c r="N41">
        <v>0</v>
      </c>
      <c r="O41">
        <v>0</v>
      </c>
      <c r="P41">
        <v>0</v>
      </c>
      <c r="Q41">
        <v>0</v>
      </c>
      <c r="R41">
        <v>0</v>
      </c>
      <c r="S41">
        <v>0</v>
      </c>
      <c r="T41">
        <v>0</v>
      </c>
      <c r="U41">
        <v>0</v>
      </c>
      <c r="V41">
        <v>0</v>
      </c>
      <c r="W41">
        <v>0</v>
      </c>
      <c r="X41" s="80">
        <f>X40</f>
        <v>11.4232</v>
      </c>
      <c r="Z41" t="s">
        <v>149</v>
      </c>
      <c r="AA41">
        <v>2</v>
      </c>
      <c r="AB41" t="s">
        <v>7</v>
      </c>
      <c r="AC41" s="20">
        <v>18432</v>
      </c>
      <c r="AD41" s="20">
        <v>192</v>
      </c>
      <c r="AE41" s="20">
        <v>2</v>
      </c>
      <c r="AF41" s="20">
        <v>8</v>
      </c>
      <c r="AG41" s="79">
        <v>319.63</v>
      </c>
      <c r="AH41" s="62">
        <v>13.063000000000001</v>
      </c>
      <c r="AI41" s="16">
        <v>45554</v>
      </c>
      <c r="AJ41" s="25">
        <v>0.68346064814814811</v>
      </c>
      <c r="AK41">
        <v>0</v>
      </c>
      <c r="AL41">
        <v>0</v>
      </c>
      <c r="AM41">
        <v>0</v>
      </c>
      <c r="AN41">
        <v>0</v>
      </c>
      <c r="AO41">
        <v>0</v>
      </c>
      <c r="AP41">
        <v>0</v>
      </c>
      <c r="AQ41">
        <v>0</v>
      </c>
      <c r="AR41">
        <v>0</v>
      </c>
      <c r="AS41">
        <v>0</v>
      </c>
      <c r="AT41">
        <v>0</v>
      </c>
      <c r="AU41">
        <v>0</v>
      </c>
      <c r="AV41">
        <v>0</v>
      </c>
      <c r="AW41" s="80">
        <f>AW40</f>
        <v>13.036750000000001</v>
      </c>
      <c r="AZ41">
        <v>0</v>
      </c>
      <c r="BA41" t="s">
        <v>7</v>
      </c>
      <c r="BB41">
        <v>18528</v>
      </c>
      <c r="BC41">
        <v>96</v>
      </c>
      <c r="BD41">
        <v>1</v>
      </c>
      <c r="BE41">
        <v>16</v>
      </c>
      <c r="BF41">
        <v>397.63</v>
      </c>
      <c r="BG41" s="62">
        <v>10.664999999999999</v>
      </c>
      <c r="BH41" s="16">
        <v>45472</v>
      </c>
      <c r="BI41" s="18">
        <v>0.47387731481481482</v>
      </c>
      <c r="BJ41">
        <v>0</v>
      </c>
      <c r="BK41">
        <v>0</v>
      </c>
      <c r="BL41">
        <v>0</v>
      </c>
      <c r="BM41">
        <v>0</v>
      </c>
      <c r="BN41">
        <v>0</v>
      </c>
      <c r="BO41">
        <v>0</v>
      </c>
      <c r="BP41">
        <v>0</v>
      </c>
      <c r="BQ41">
        <v>0</v>
      </c>
      <c r="BR41">
        <v>0</v>
      </c>
      <c r="BS41">
        <v>0</v>
      </c>
      <c r="BT41">
        <v>0</v>
      </c>
      <c r="BU41">
        <v>0</v>
      </c>
    </row>
    <row r="42" spans="1:73" x14ac:dyDescent="0.25">
      <c r="A42" t="s">
        <v>111</v>
      </c>
      <c r="B42">
        <v>3</v>
      </c>
      <c r="C42" t="s">
        <v>7</v>
      </c>
      <c r="D42" s="20">
        <v>17440</v>
      </c>
      <c r="E42" s="20">
        <v>160</v>
      </c>
      <c r="F42" s="20">
        <v>2</v>
      </c>
      <c r="G42" s="20">
        <v>8</v>
      </c>
      <c r="H42" s="79">
        <v>319.63</v>
      </c>
      <c r="I42" s="62">
        <v>11.065</v>
      </c>
      <c r="J42" s="16">
        <v>45548</v>
      </c>
      <c r="K42" s="25">
        <v>0.25229166666666669</v>
      </c>
      <c r="L42">
        <v>0</v>
      </c>
      <c r="M42">
        <v>0</v>
      </c>
      <c r="N42">
        <v>0</v>
      </c>
      <c r="O42">
        <v>0</v>
      </c>
      <c r="P42">
        <v>0</v>
      </c>
      <c r="Q42">
        <v>0</v>
      </c>
      <c r="R42">
        <v>0</v>
      </c>
      <c r="S42">
        <v>0</v>
      </c>
      <c r="T42">
        <v>0</v>
      </c>
      <c r="U42">
        <v>0</v>
      </c>
      <c r="V42">
        <v>0</v>
      </c>
      <c r="W42">
        <v>0</v>
      </c>
      <c r="X42" s="80">
        <f>X41</f>
        <v>11.4232</v>
      </c>
      <c r="Z42" t="s">
        <v>149</v>
      </c>
      <c r="AA42">
        <v>3</v>
      </c>
      <c r="AB42" t="s">
        <v>7</v>
      </c>
      <c r="AC42" s="20">
        <v>18432</v>
      </c>
      <c r="AD42" s="20">
        <v>192</v>
      </c>
      <c r="AE42" s="20">
        <v>2</v>
      </c>
      <c r="AF42" s="20">
        <v>8</v>
      </c>
      <c r="AG42" s="79">
        <v>320.5</v>
      </c>
      <c r="AH42" s="62">
        <v>13.026999999999999</v>
      </c>
      <c r="AI42" s="16">
        <v>45555</v>
      </c>
      <c r="AJ42" s="25">
        <v>0.20887731481481481</v>
      </c>
      <c r="AK42">
        <v>0</v>
      </c>
      <c r="AL42">
        <v>0</v>
      </c>
      <c r="AM42">
        <v>0</v>
      </c>
      <c r="AN42">
        <v>0</v>
      </c>
      <c r="AO42">
        <v>0</v>
      </c>
      <c r="AP42">
        <v>0</v>
      </c>
      <c r="AQ42">
        <v>0</v>
      </c>
      <c r="AR42">
        <v>0</v>
      </c>
      <c r="AS42">
        <v>0</v>
      </c>
      <c r="AT42">
        <v>0</v>
      </c>
      <c r="AU42">
        <v>0</v>
      </c>
      <c r="AV42">
        <v>0</v>
      </c>
      <c r="AW42" s="80">
        <f>AW41</f>
        <v>13.036750000000001</v>
      </c>
      <c r="AZ42">
        <v>1</v>
      </c>
      <c r="BA42" t="s">
        <v>7</v>
      </c>
      <c r="BB42">
        <v>18528</v>
      </c>
      <c r="BC42">
        <v>96</v>
      </c>
      <c r="BD42">
        <v>1</v>
      </c>
      <c r="BE42">
        <v>16</v>
      </c>
      <c r="BF42">
        <v>555.73</v>
      </c>
      <c r="BG42" s="62">
        <v>7.6310000000000002</v>
      </c>
      <c r="BH42" s="16">
        <v>45474</v>
      </c>
      <c r="BI42" s="18">
        <v>0.32729166666666665</v>
      </c>
      <c r="BJ42">
        <v>0</v>
      </c>
      <c r="BK42">
        <v>0</v>
      </c>
      <c r="BL42">
        <v>0</v>
      </c>
      <c r="BM42">
        <v>0</v>
      </c>
      <c r="BN42">
        <v>0</v>
      </c>
      <c r="BO42">
        <v>0</v>
      </c>
      <c r="BP42">
        <v>0</v>
      </c>
      <c r="BQ42">
        <v>0</v>
      </c>
      <c r="BR42">
        <v>0</v>
      </c>
      <c r="BS42">
        <v>0</v>
      </c>
      <c r="BT42">
        <v>0</v>
      </c>
      <c r="BU42">
        <v>0</v>
      </c>
    </row>
    <row r="43" spans="1:73" x14ac:dyDescent="0.25">
      <c r="A43" t="s">
        <v>111</v>
      </c>
      <c r="B43">
        <v>4</v>
      </c>
      <c r="C43" t="s">
        <v>7</v>
      </c>
      <c r="D43" s="20">
        <v>17440</v>
      </c>
      <c r="E43" s="20">
        <v>160</v>
      </c>
      <c r="F43" s="20">
        <v>2</v>
      </c>
      <c r="G43" s="20">
        <v>8</v>
      </c>
      <c r="H43" s="79">
        <v>299.32</v>
      </c>
      <c r="I43" s="62">
        <v>11.816000000000001</v>
      </c>
      <c r="J43" s="16">
        <v>45548</v>
      </c>
      <c r="K43" s="25">
        <v>0.88011574074074073</v>
      </c>
      <c r="L43">
        <v>0</v>
      </c>
      <c r="M43">
        <v>0</v>
      </c>
      <c r="N43">
        <v>0</v>
      </c>
      <c r="O43">
        <v>0</v>
      </c>
      <c r="P43">
        <v>0</v>
      </c>
      <c r="Q43">
        <v>0</v>
      </c>
      <c r="R43">
        <v>0</v>
      </c>
      <c r="S43">
        <v>0</v>
      </c>
      <c r="T43">
        <v>0</v>
      </c>
      <c r="U43">
        <v>0</v>
      </c>
      <c r="V43">
        <v>0</v>
      </c>
      <c r="W43">
        <v>0</v>
      </c>
      <c r="X43" s="80">
        <f>X42</f>
        <v>11.4232</v>
      </c>
      <c r="Z43" t="s">
        <v>149</v>
      </c>
      <c r="AA43">
        <v>4</v>
      </c>
      <c r="AB43" t="s">
        <v>7</v>
      </c>
      <c r="AC43" s="20">
        <v>18432</v>
      </c>
      <c r="AD43" s="20">
        <v>192</v>
      </c>
      <c r="AE43" s="20">
        <v>2</v>
      </c>
      <c r="AF43" s="20">
        <v>8</v>
      </c>
      <c r="AG43" s="79">
        <v>319.97000000000003</v>
      </c>
      <c r="AH43" s="62">
        <v>13.048999999999999</v>
      </c>
      <c r="AI43" s="16">
        <v>45555</v>
      </c>
      <c r="AJ43" s="25">
        <v>0.70909722222222227</v>
      </c>
      <c r="AK43">
        <v>0</v>
      </c>
      <c r="AL43">
        <v>0</v>
      </c>
      <c r="AM43">
        <v>0</v>
      </c>
      <c r="AN43">
        <v>0</v>
      </c>
      <c r="AO43">
        <v>0</v>
      </c>
      <c r="AP43">
        <v>0</v>
      </c>
      <c r="AQ43">
        <v>0</v>
      </c>
      <c r="AR43">
        <v>0</v>
      </c>
      <c r="AS43">
        <v>0</v>
      </c>
      <c r="AT43">
        <v>0</v>
      </c>
      <c r="AU43">
        <v>0</v>
      </c>
      <c r="AV43">
        <v>0</v>
      </c>
      <c r="AW43" s="80">
        <f>AW42</f>
        <v>13.036750000000001</v>
      </c>
      <c r="AZ43">
        <v>0</v>
      </c>
      <c r="BA43" t="s">
        <v>7</v>
      </c>
      <c r="BB43">
        <v>19584</v>
      </c>
      <c r="BC43">
        <v>96</v>
      </c>
      <c r="BD43">
        <v>1</v>
      </c>
      <c r="BE43">
        <v>16</v>
      </c>
      <c r="BF43">
        <v>3011.85</v>
      </c>
      <c r="BG43" s="62">
        <v>1.6628000000000001</v>
      </c>
      <c r="BH43" s="16">
        <v>45473</v>
      </c>
      <c r="BI43" s="18">
        <v>0.63346064814814818</v>
      </c>
      <c r="BJ43">
        <v>0</v>
      </c>
      <c r="BK43">
        <v>0</v>
      </c>
      <c r="BL43">
        <v>0</v>
      </c>
      <c r="BM43">
        <v>0</v>
      </c>
      <c r="BN43">
        <v>0</v>
      </c>
      <c r="BO43">
        <v>0</v>
      </c>
      <c r="BP43">
        <v>0</v>
      </c>
      <c r="BQ43">
        <v>0</v>
      </c>
      <c r="BR43">
        <v>0</v>
      </c>
      <c r="BS43">
        <v>0</v>
      </c>
      <c r="BT43">
        <v>0</v>
      </c>
      <c r="BU43">
        <v>0</v>
      </c>
    </row>
    <row r="44" spans="1:73" x14ac:dyDescent="0.25">
      <c r="A44" t="s">
        <v>111</v>
      </c>
      <c r="B44">
        <v>0</v>
      </c>
      <c r="C44" t="s">
        <v>7</v>
      </c>
      <c r="D44" s="20">
        <v>18432</v>
      </c>
      <c r="E44" s="20">
        <v>192</v>
      </c>
      <c r="F44" s="20">
        <v>2</v>
      </c>
      <c r="G44" s="20">
        <v>8</v>
      </c>
      <c r="H44" s="79">
        <v>370.21</v>
      </c>
      <c r="I44" s="62">
        <v>11.278</v>
      </c>
      <c r="J44" s="16">
        <v>45546</v>
      </c>
      <c r="K44" s="25">
        <v>0.49180555555555555</v>
      </c>
      <c r="L44">
        <v>0</v>
      </c>
      <c r="M44">
        <v>0</v>
      </c>
      <c r="N44">
        <v>0</v>
      </c>
      <c r="O44">
        <v>0</v>
      </c>
      <c r="P44">
        <v>0</v>
      </c>
      <c r="Q44">
        <v>0</v>
      </c>
      <c r="R44">
        <v>0</v>
      </c>
      <c r="S44">
        <v>0</v>
      </c>
      <c r="T44">
        <v>0</v>
      </c>
      <c r="U44">
        <v>0</v>
      </c>
      <c r="V44">
        <v>0</v>
      </c>
      <c r="W44">
        <v>0</v>
      </c>
      <c r="X44" s="82">
        <f>AVERAGE(I44:I48)</f>
        <v>11.293799999999999</v>
      </c>
      <c r="Z44" t="s">
        <v>149</v>
      </c>
      <c r="AA44">
        <v>0</v>
      </c>
      <c r="AB44" t="s">
        <v>7</v>
      </c>
      <c r="AC44" s="20">
        <v>18560</v>
      </c>
      <c r="AD44" s="20">
        <v>128</v>
      </c>
      <c r="AE44" s="20">
        <v>2</v>
      </c>
      <c r="AF44" s="20">
        <v>8</v>
      </c>
      <c r="AG44" s="79">
        <v>328.2</v>
      </c>
      <c r="AH44" s="62">
        <v>12.988</v>
      </c>
      <c r="AI44" s="16">
        <v>45558</v>
      </c>
      <c r="AJ44" s="25">
        <v>1.3136574074074075E-2</v>
      </c>
      <c r="AK44">
        <v>0</v>
      </c>
      <c r="AL44">
        <v>0</v>
      </c>
      <c r="AM44">
        <v>0</v>
      </c>
      <c r="AN44">
        <v>0</v>
      </c>
      <c r="AO44">
        <v>0</v>
      </c>
      <c r="AP44">
        <v>0</v>
      </c>
      <c r="AQ44">
        <v>0</v>
      </c>
      <c r="AR44">
        <v>0</v>
      </c>
      <c r="AS44">
        <v>0</v>
      </c>
      <c r="AT44">
        <v>0</v>
      </c>
      <c r="AU44">
        <v>0</v>
      </c>
      <c r="AV44">
        <v>0</v>
      </c>
      <c r="AW44" s="82">
        <f>AVERAGE(AH44:AH47)</f>
        <v>12.973500000000001</v>
      </c>
      <c r="BF44"/>
      <c r="BG44" s="62"/>
      <c r="BH44" s="16"/>
      <c r="BI44" s="18"/>
    </row>
    <row r="45" spans="1:73" x14ac:dyDescent="0.25">
      <c r="A45" t="s">
        <v>111</v>
      </c>
      <c r="B45">
        <v>1</v>
      </c>
      <c r="C45" t="s">
        <v>7</v>
      </c>
      <c r="D45" s="20">
        <v>18432</v>
      </c>
      <c r="E45" s="20">
        <v>192</v>
      </c>
      <c r="F45" s="20">
        <v>2</v>
      </c>
      <c r="G45" s="20">
        <v>8</v>
      </c>
      <c r="H45" s="79">
        <v>372.21</v>
      </c>
      <c r="I45" s="62">
        <v>11.217000000000001</v>
      </c>
      <c r="J45" s="16">
        <v>45547</v>
      </c>
      <c r="K45" s="25">
        <v>0.10777777777777778</v>
      </c>
      <c r="L45">
        <v>0</v>
      </c>
      <c r="M45">
        <v>0</v>
      </c>
      <c r="N45">
        <v>0</v>
      </c>
      <c r="O45">
        <v>0</v>
      </c>
      <c r="P45">
        <v>0</v>
      </c>
      <c r="Q45">
        <v>0</v>
      </c>
      <c r="R45">
        <v>0</v>
      </c>
      <c r="S45">
        <v>0</v>
      </c>
      <c r="T45">
        <v>0</v>
      </c>
      <c r="U45">
        <v>0</v>
      </c>
      <c r="V45">
        <v>0</v>
      </c>
      <c r="W45">
        <v>0</v>
      </c>
      <c r="X45" s="80">
        <f>X44</f>
        <v>11.293799999999999</v>
      </c>
      <c r="Z45" t="s">
        <v>149</v>
      </c>
      <c r="AA45">
        <v>1</v>
      </c>
      <c r="AB45" t="s">
        <v>7</v>
      </c>
      <c r="AC45" s="20">
        <v>18560</v>
      </c>
      <c r="AD45" s="20">
        <v>128</v>
      </c>
      <c r="AE45" s="20">
        <v>2</v>
      </c>
      <c r="AF45" s="20">
        <v>8</v>
      </c>
      <c r="AG45" s="79">
        <v>328.53</v>
      </c>
      <c r="AH45" s="62">
        <v>12.975</v>
      </c>
      <c r="AI45" s="16">
        <v>45558</v>
      </c>
      <c r="AJ45" s="25">
        <v>0.51251157407407411</v>
      </c>
      <c r="AK45">
        <v>0</v>
      </c>
      <c r="AL45">
        <v>0</v>
      </c>
      <c r="AM45">
        <v>0</v>
      </c>
      <c r="AN45">
        <v>0</v>
      </c>
      <c r="AO45">
        <v>0</v>
      </c>
      <c r="AP45">
        <v>0</v>
      </c>
      <c r="AQ45">
        <v>0</v>
      </c>
      <c r="AR45">
        <v>0</v>
      </c>
      <c r="AS45">
        <v>0</v>
      </c>
      <c r="AT45">
        <v>0</v>
      </c>
      <c r="AU45">
        <v>0</v>
      </c>
      <c r="AV45">
        <v>0</v>
      </c>
      <c r="AW45" s="80">
        <f>AW44</f>
        <v>12.973500000000001</v>
      </c>
      <c r="AZ45">
        <v>0</v>
      </c>
      <c r="BA45" t="s">
        <v>7</v>
      </c>
      <c r="BB45">
        <v>17568</v>
      </c>
      <c r="BC45">
        <v>96</v>
      </c>
      <c r="BD45">
        <v>2</v>
      </c>
      <c r="BE45">
        <v>8</v>
      </c>
      <c r="BF45">
        <v>310.95999999999998</v>
      </c>
      <c r="BG45" s="62">
        <v>11.625999999999999</v>
      </c>
      <c r="BH45" s="16">
        <v>45472</v>
      </c>
      <c r="BI45" s="18">
        <v>0.36136574074074074</v>
      </c>
      <c r="BJ45">
        <v>0</v>
      </c>
      <c r="BK45">
        <v>0</v>
      </c>
      <c r="BL45">
        <v>0</v>
      </c>
      <c r="BM45">
        <v>0</v>
      </c>
      <c r="BN45">
        <v>0</v>
      </c>
      <c r="BO45">
        <v>0</v>
      </c>
      <c r="BP45">
        <v>0</v>
      </c>
      <c r="BQ45">
        <v>0</v>
      </c>
      <c r="BR45">
        <v>0</v>
      </c>
      <c r="BS45">
        <v>0</v>
      </c>
      <c r="BT45">
        <v>0</v>
      </c>
      <c r="BU45">
        <v>0</v>
      </c>
    </row>
    <row r="46" spans="1:73" x14ac:dyDescent="0.25">
      <c r="A46" t="s">
        <v>111</v>
      </c>
      <c r="B46">
        <v>2</v>
      </c>
      <c r="C46" t="s">
        <v>7</v>
      </c>
      <c r="D46" s="20">
        <v>18432</v>
      </c>
      <c r="E46" s="20">
        <v>192</v>
      </c>
      <c r="F46" s="20">
        <v>2</v>
      </c>
      <c r="G46" s="20">
        <v>8</v>
      </c>
      <c r="H46" s="79">
        <v>369.02</v>
      </c>
      <c r="I46" s="62">
        <v>11.314</v>
      </c>
      <c r="J46" s="16">
        <v>45547</v>
      </c>
      <c r="K46" s="25">
        <v>0.72196759259259258</v>
      </c>
      <c r="L46">
        <v>0</v>
      </c>
      <c r="M46">
        <v>0</v>
      </c>
      <c r="N46">
        <v>0</v>
      </c>
      <c r="O46">
        <v>0</v>
      </c>
      <c r="P46">
        <v>0</v>
      </c>
      <c r="Q46">
        <v>0</v>
      </c>
      <c r="R46">
        <v>0</v>
      </c>
      <c r="S46">
        <v>0</v>
      </c>
      <c r="T46">
        <v>0</v>
      </c>
      <c r="U46">
        <v>0</v>
      </c>
      <c r="V46">
        <v>0</v>
      </c>
      <c r="W46">
        <v>0</v>
      </c>
      <c r="X46" s="80">
        <f>X45</f>
        <v>11.293799999999999</v>
      </c>
      <c r="Z46" t="s">
        <v>149</v>
      </c>
      <c r="AA46">
        <v>2</v>
      </c>
      <c r="AB46" t="s">
        <v>7</v>
      </c>
      <c r="AC46" s="20">
        <v>18560</v>
      </c>
      <c r="AD46" s="20">
        <v>128</v>
      </c>
      <c r="AE46" s="20">
        <v>2</v>
      </c>
      <c r="AF46" s="20">
        <v>8</v>
      </c>
      <c r="AG46" s="79">
        <v>328.76</v>
      </c>
      <c r="AH46" s="62">
        <v>12.965999999999999</v>
      </c>
      <c r="AI46" s="16">
        <v>45554</v>
      </c>
      <c r="AJ46" s="25">
        <v>0.65644675925925922</v>
      </c>
      <c r="AK46">
        <v>0</v>
      </c>
      <c r="AL46">
        <v>0</v>
      </c>
      <c r="AM46">
        <v>0</v>
      </c>
      <c r="AN46">
        <v>0</v>
      </c>
      <c r="AO46">
        <v>0</v>
      </c>
      <c r="AP46">
        <v>0</v>
      </c>
      <c r="AQ46">
        <v>0</v>
      </c>
      <c r="AR46">
        <v>0</v>
      </c>
      <c r="AS46">
        <v>0</v>
      </c>
      <c r="AT46">
        <v>0</v>
      </c>
      <c r="AU46">
        <v>0</v>
      </c>
      <c r="AV46">
        <v>0</v>
      </c>
      <c r="AW46" s="80">
        <f>AW45</f>
        <v>12.973500000000001</v>
      </c>
      <c r="AZ46">
        <v>1</v>
      </c>
      <c r="BA46" t="s">
        <v>7</v>
      </c>
      <c r="BB46">
        <v>17568</v>
      </c>
      <c r="BC46">
        <v>96</v>
      </c>
      <c r="BD46">
        <v>2</v>
      </c>
      <c r="BE46">
        <v>8</v>
      </c>
      <c r="BF46">
        <v>475.12</v>
      </c>
      <c r="BG46" s="62">
        <v>7.609</v>
      </c>
      <c r="BH46" s="16">
        <v>45474</v>
      </c>
      <c r="BI46" s="18">
        <v>0.16069444444444445</v>
      </c>
      <c r="BJ46">
        <v>0</v>
      </c>
      <c r="BK46">
        <v>0</v>
      </c>
      <c r="BL46">
        <v>0</v>
      </c>
      <c r="BM46">
        <v>0</v>
      </c>
      <c r="BN46">
        <v>0</v>
      </c>
      <c r="BO46">
        <v>0</v>
      </c>
      <c r="BP46">
        <v>0</v>
      </c>
      <c r="BQ46">
        <v>0</v>
      </c>
      <c r="BR46">
        <v>0</v>
      </c>
      <c r="BS46">
        <v>0</v>
      </c>
      <c r="BT46">
        <v>0</v>
      </c>
      <c r="BU46">
        <v>0</v>
      </c>
    </row>
    <row r="47" spans="1:73" x14ac:dyDescent="0.25">
      <c r="A47" t="s">
        <v>111</v>
      </c>
      <c r="B47">
        <v>3</v>
      </c>
      <c r="C47" t="s">
        <v>7</v>
      </c>
      <c r="D47" s="20">
        <v>18432</v>
      </c>
      <c r="E47" s="20">
        <v>192</v>
      </c>
      <c r="F47" s="20">
        <v>2</v>
      </c>
      <c r="G47" s="20">
        <v>8</v>
      </c>
      <c r="H47" s="79">
        <v>372.55</v>
      </c>
      <c r="I47" s="62">
        <v>11.207000000000001</v>
      </c>
      <c r="J47" s="16">
        <v>45548</v>
      </c>
      <c r="K47" s="25">
        <v>0.3822800925925926</v>
      </c>
      <c r="L47">
        <v>0</v>
      </c>
      <c r="M47">
        <v>0</v>
      </c>
      <c r="N47">
        <v>0</v>
      </c>
      <c r="O47">
        <v>0</v>
      </c>
      <c r="P47">
        <v>0</v>
      </c>
      <c r="Q47">
        <v>0</v>
      </c>
      <c r="R47">
        <v>0</v>
      </c>
      <c r="S47">
        <v>0</v>
      </c>
      <c r="T47">
        <v>0</v>
      </c>
      <c r="U47">
        <v>0</v>
      </c>
      <c r="V47">
        <v>0</v>
      </c>
      <c r="W47">
        <v>0</v>
      </c>
      <c r="X47" s="80">
        <f>X46</f>
        <v>11.293799999999999</v>
      </c>
      <c r="Z47" t="s">
        <v>149</v>
      </c>
      <c r="AA47">
        <v>3</v>
      </c>
      <c r="AB47" t="s">
        <v>7</v>
      </c>
      <c r="AC47" s="20">
        <v>18560</v>
      </c>
      <c r="AD47" s="20">
        <v>128</v>
      </c>
      <c r="AE47" s="20">
        <v>2</v>
      </c>
      <c r="AF47" s="20">
        <v>8</v>
      </c>
      <c r="AG47" s="79">
        <v>328.79</v>
      </c>
      <c r="AH47" s="62">
        <v>12.965</v>
      </c>
      <c r="AI47" s="16">
        <v>45555</v>
      </c>
      <c r="AJ47" s="25">
        <v>0.1819212962962963</v>
      </c>
      <c r="AK47">
        <v>0</v>
      </c>
      <c r="AL47">
        <v>0</v>
      </c>
      <c r="AM47">
        <v>0</v>
      </c>
      <c r="AN47">
        <v>0</v>
      </c>
      <c r="AO47">
        <v>0</v>
      </c>
      <c r="AP47">
        <v>0</v>
      </c>
      <c r="AQ47">
        <v>0</v>
      </c>
      <c r="AR47">
        <v>0</v>
      </c>
      <c r="AS47">
        <v>0</v>
      </c>
      <c r="AT47">
        <v>0</v>
      </c>
      <c r="AU47">
        <v>0</v>
      </c>
      <c r="AV47">
        <v>0</v>
      </c>
      <c r="AW47" s="80">
        <f>AW46</f>
        <v>12.973500000000001</v>
      </c>
      <c r="AZ47">
        <v>0</v>
      </c>
      <c r="BA47" t="s">
        <v>7</v>
      </c>
      <c r="BB47">
        <v>18528</v>
      </c>
      <c r="BC47">
        <v>96</v>
      </c>
      <c r="BD47">
        <v>2</v>
      </c>
      <c r="BE47">
        <v>8</v>
      </c>
      <c r="BF47">
        <v>365.4</v>
      </c>
      <c r="BG47" s="62">
        <v>11.606</v>
      </c>
      <c r="BH47" s="16">
        <v>45472</v>
      </c>
      <c r="BI47" s="18">
        <v>0.47843750000000002</v>
      </c>
      <c r="BJ47">
        <v>0</v>
      </c>
      <c r="BK47">
        <v>0</v>
      </c>
      <c r="BL47">
        <v>0</v>
      </c>
      <c r="BM47">
        <v>0</v>
      </c>
      <c r="BN47">
        <v>0</v>
      </c>
      <c r="BO47">
        <v>0</v>
      </c>
      <c r="BP47">
        <v>0</v>
      </c>
      <c r="BQ47">
        <v>0</v>
      </c>
      <c r="BR47">
        <v>0</v>
      </c>
      <c r="BS47">
        <v>0</v>
      </c>
      <c r="BT47">
        <v>0</v>
      </c>
      <c r="BU47">
        <v>0</v>
      </c>
    </row>
    <row r="48" spans="1:73" x14ac:dyDescent="0.25">
      <c r="A48" t="s">
        <v>111</v>
      </c>
      <c r="B48">
        <v>4</v>
      </c>
      <c r="C48" t="s">
        <v>7</v>
      </c>
      <c r="D48" s="20">
        <v>18432</v>
      </c>
      <c r="E48" s="20">
        <v>192</v>
      </c>
      <c r="F48" s="20">
        <v>2</v>
      </c>
      <c r="G48" s="20">
        <v>8</v>
      </c>
      <c r="H48" s="79">
        <v>364.56</v>
      </c>
      <c r="I48" s="62">
        <v>11.452999999999999</v>
      </c>
      <c r="J48" s="16">
        <v>45549</v>
      </c>
      <c r="K48" s="25">
        <v>1.2048611111111111E-2</v>
      </c>
      <c r="L48">
        <v>0</v>
      </c>
      <c r="M48">
        <v>0</v>
      </c>
      <c r="N48">
        <v>0</v>
      </c>
      <c r="O48">
        <v>0</v>
      </c>
      <c r="P48">
        <v>0</v>
      </c>
      <c r="Q48">
        <v>0</v>
      </c>
      <c r="R48">
        <v>0</v>
      </c>
      <c r="S48">
        <v>0</v>
      </c>
      <c r="T48">
        <v>0</v>
      </c>
      <c r="U48">
        <v>0</v>
      </c>
      <c r="V48">
        <v>0</v>
      </c>
      <c r="W48">
        <v>0</v>
      </c>
      <c r="X48" s="80">
        <f>X47</f>
        <v>11.293799999999999</v>
      </c>
      <c r="Z48" t="s">
        <v>149</v>
      </c>
      <c r="AA48">
        <v>4</v>
      </c>
      <c r="AB48" t="s">
        <v>7</v>
      </c>
      <c r="AC48" s="20">
        <v>18560</v>
      </c>
      <c r="AD48" s="20">
        <v>128</v>
      </c>
      <c r="AE48" s="20">
        <v>2</v>
      </c>
      <c r="AF48" s="20">
        <v>8</v>
      </c>
      <c r="AG48" s="79">
        <v>328.32</v>
      </c>
      <c r="AH48" s="62">
        <v>12.984</v>
      </c>
      <c r="AI48" s="16">
        <v>45555</v>
      </c>
      <c r="AJ48" s="25">
        <v>0.682037037037037</v>
      </c>
      <c r="AK48">
        <v>0</v>
      </c>
      <c r="AL48">
        <v>0</v>
      </c>
      <c r="AM48">
        <v>0</v>
      </c>
      <c r="AN48">
        <v>0</v>
      </c>
      <c r="AO48">
        <v>0</v>
      </c>
      <c r="AP48">
        <v>0</v>
      </c>
      <c r="AQ48">
        <v>0</v>
      </c>
      <c r="AR48">
        <v>0</v>
      </c>
      <c r="AS48">
        <v>0</v>
      </c>
      <c r="AT48">
        <v>0</v>
      </c>
      <c r="AU48">
        <v>0</v>
      </c>
      <c r="AV48">
        <v>0</v>
      </c>
      <c r="AW48" s="80">
        <f>AW47</f>
        <v>12.973500000000001</v>
      </c>
      <c r="AZ48">
        <v>1</v>
      </c>
      <c r="BA48" t="s">
        <v>7</v>
      </c>
      <c r="BB48">
        <v>18528</v>
      </c>
      <c r="BC48">
        <v>96</v>
      </c>
      <c r="BD48">
        <v>2</v>
      </c>
      <c r="BE48">
        <v>8</v>
      </c>
      <c r="BF48">
        <v>538.66</v>
      </c>
      <c r="BG48" s="62">
        <v>7.8728999999999996</v>
      </c>
      <c r="BH48" s="16">
        <v>45474</v>
      </c>
      <c r="BI48" s="18">
        <v>0.33393518518518517</v>
      </c>
      <c r="BJ48">
        <v>0</v>
      </c>
      <c r="BK48">
        <v>0</v>
      </c>
      <c r="BL48">
        <v>0</v>
      </c>
      <c r="BM48">
        <v>0</v>
      </c>
      <c r="BN48">
        <v>0</v>
      </c>
      <c r="BO48">
        <v>0</v>
      </c>
      <c r="BP48">
        <v>0</v>
      </c>
      <c r="BQ48">
        <v>0</v>
      </c>
      <c r="BR48">
        <v>0</v>
      </c>
      <c r="BS48">
        <v>0</v>
      </c>
      <c r="BT48">
        <v>0</v>
      </c>
      <c r="BU48">
        <v>0</v>
      </c>
    </row>
    <row r="49" spans="1:73" x14ac:dyDescent="0.25">
      <c r="A49" t="s">
        <v>111</v>
      </c>
      <c r="B49">
        <v>0</v>
      </c>
      <c r="C49" t="s">
        <v>7</v>
      </c>
      <c r="D49" s="20">
        <v>17472</v>
      </c>
      <c r="E49" s="20">
        <v>192</v>
      </c>
      <c r="F49" s="20">
        <v>2</v>
      </c>
      <c r="G49" s="20">
        <v>8</v>
      </c>
      <c r="H49" s="79">
        <v>316.26</v>
      </c>
      <c r="I49" s="62">
        <v>11.244999999999999</v>
      </c>
      <c r="J49" s="16">
        <v>45546</v>
      </c>
      <c r="K49" s="25">
        <v>0.37317129629629631</v>
      </c>
      <c r="L49">
        <v>0</v>
      </c>
      <c r="M49">
        <v>0</v>
      </c>
      <c r="N49">
        <v>0</v>
      </c>
      <c r="O49">
        <v>0</v>
      </c>
      <c r="P49">
        <v>0</v>
      </c>
      <c r="Q49">
        <v>0</v>
      </c>
      <c r="R49">
        <v>0</v>
      </c>
      <c r="S49">
        <v>0</v>
      </c>
      <c r="T49">
        <v>0</v>
      </c>
      <c r="U49">
        <v>0</v>
      </c>
      <c r="V49">
        <v>0</v>
      </c>
      <c r="W49">
        <v>0</v>
      </c>
      <c r="X49" s="82">
        <f>AVERAGE(I49:I53)</f>
        <v>11.266399999999999</v>
      </c>
      <c r="Z49" t="s">
        <v>149</v>
      </c>
      <c r="AA49">
        <v>0</v>
      </c>
      <c r="AB49" t="s">
        <v>7</v>
      </c>
      <c r="AC49" s="20">
        <v>17472</v>
      </c>
      <c r="AD49" s="20">
        <v>96</v>
      </c>
      <c r="AE49" s="20">
        <v>2</v>
      </c>
      <c r="AF49" s="20">
        <v>8</v>
      </c>
      <c r="AG49" s="79">
        <v>276.45999999999998</v>
      </c>
      <c r="AH49" s="62">
        <v>12.864000000000001</v>
      </c>
      <c r="AI49" s="16">
        <v>45557</v>
      </c>
      <c r="AJ49" s="25">
        <v>0.89906249999999999</v>
      </c>
      <c r="AK49">
        <v>0</v>
      </c>
      <c r="AL49">
        <v>0</v>
      </c>
      <c r="AM49">
        <v>0</v>
      </c>
      <c r="AN49">
        <v>0</v>
      </c>
      <c r="AO49">
        <v>0</v>
      </c>
      <c r="AP49">
        <v>0</v>
      </c>
      <c r="AQ49">
        <v>0</v>
      </c>
      <c r="AR49">
        <v>0</v>
      </c>
      <c r="AS49">
        <v>0</v>
      </c>
      <c r="AT49">
        <v>0</v>
      </c>
      <c r="AU49">
        <v>0</v>
      </c>
      <c r="AV49">
        <v>0</v>
      </c>
      <c r="AW49" s="82">
        <f>AVERAGE(AH49:AH52)</f>
        <v>12.849250000000001</v>
      </c>
      <c r="AZ49">
        <v>0</v>
      </c>
      <c r="BA49" t="s">
        <v>7</v>
      </c>
      <c r="BB49">
        <v>19584</v>
      </c>
      <c r="BC49">
        <v>96</v>
      </c>
      <c r="BD49">
        <v>2</v>
      </c>
      <c r="BE49">
        <v>8</v>
      </c>
      <c r="BF49">
        <v>408.21</v>
      </c>
      <c r="BG49" s="62">
        <v>12.268000000000001</v>
      </c>
      <c r="BH49" s="16">
        <v>45473</v>
      </c>
      <c r="BI49" s="18">
        <v>0.88778935185185182</v>
      </c>
      <c r="BJ49">
        <v>0</v>
      </c>
      <c r="BK49">
        <v>0</v>
      </c>
      <c r="BL49">
        <v>0</v>
      </c>
      <c r="BM49">
        <v>0</v>
      </c>
      <c r="BN49">
        <v>0</v>
      </c>
      <c r="BO49">
        <v>0</v>
      </c>
      <c r="BP49">
        <v>0</v>
      </c>
      <c r="BQ49">
        <v>0</v>
      </c>
      <c r="BR49">
        <v>0</v>
      </c>
      <c r="BS49">
        <v>0</v>
      </c>
      <c r="BT49">
        <v>0</v>
      </c>
      <c r="BU49">
        <v>0</v>
      </c>
    </row>
    <row r="50" spans="1:73" x14ac:dyDescent="0.25">
      <c r="A50" t="s">
        <v>111</v>
      </c>
      <c r="B50">
        <v>1</v>
      </c>
      <c r="C50" t="s">
        <v>7</v>
      </c>
      <c r="D50" s="20">
        <v>17472</v>
      </c>
      <c r="E50" s="20">
        <v>192</v>
      </c>
      <c r="F50" s="20">
        <v>2</v>
      </c>
      <c r="G50" s="20">
        <v>8</v>
      </c>
      <c r="H50" s="79">
        <v>318.87</v>
      </c>
      <c r="I50" s="62">
        <v>11.153</v>
      </c>
      <c r="J50" s="16">
        <v>45546</v>
      </c>
      <c r="K50" s="25">
        <v>0.98960648148148145</v>
      </c>
      <c r="L50">
        <v>0</v>
      </c>
      <c r="M50">
        <v>0</v>
      </c>
      <c r="N50">
        <v>0</v>
      </c>
      <c r="O50">
        <v>0</v>
      </c>
      <c r="P50">
        <v>0</v>
      </c>
      <c r="Q50">
        <v>0</v>
      </c>
      <c r="R50">
        <v>0</v>
      </c>
      <c r="S50">
        <v>0</v>
      </c>
      <c r="T50">
        <v>0</v>
      </c>
      <c r="U50">
        <v>0</v>
      </c>
      <c r="V50">
        <v>0</v>
      </c>
      <c r="W50">
        <v>0</v>
      </c>
      <c r="X50" s="80">
        <f>X49</f>
        <v>11.266399999999999</v>
      </c>
      <c r="Z50" t="s">
        <v>149</v>
      </c>
      <c r="AA50">
        <v>1</v>
      </c>
      <c r="AB50" t="s">
        <v>7</v>
      </c>
      <c r="AC50" s="20">
        <v>17472</v>
      </c>
      <c r="AD50" s="20">
        <v>96</v>
      </c>
      <c r="AE50" s="20">
        <v>2</v>
      </c>
      <c r="AF50" s="20">
        <v>8</v>
      </c>
      <c r="AG50" s="79">
        <v>277.31</v>
      </c>
      <c r="AH50" s="62">
        <v>12.824</v>
      </c>
      <c r="AI50" s="16">
        <v>45558</v>
      </c>
      <c r="AJ50" s="25">
        <v>0.39847222222222223</v>
      </c>
      <c r="AK50">
        <v>0</v>
      </c>
      <c r="AL50">
        <v>0</v>
      </c>
      <c r="AM50">
        <v>0</v>
      </c>
      <c r="AN50">
        <v>0</v>
      </c>
      <c r="AO50">
        <v>0</v>
      </c>
      <c r="AP50">
        <v>0</v>
      </c>
      <c r="AQ50">
        <v>0</v>
      </c>
      <c r="AR50">
        <v>0</v>
      </c>
      <c r="AS50">
        <v>0</v>
      </c>
      <c r="AT50">
        <v>0</v>
      </c>
      <c r="AU50">
        <v>0</v>
      </c>
      <c r="AV50">
        <v>0</v>
      </c>
      <c r="AW50" s="80">
        <f>AW49</f>
        <v>12.849250000000001</v>
      </c>
      <c r="BF50"/>
      <c r="BG50" s="62"/>
      <c r="BH50" s="16"/>
      <c r="BI50" s="18"/>
    </row>
    <row r="51" spans="1:73" x14ac:dyDescent="0.25">
      <c r="A51" t="s">
        <v>111</v>
      </c>
      <c r="B51">
        <v>2</v>
      </c>
      <c r="C51" t="s">
        <v>7</v>
      </c>
      <c r="D51" s="20">
        <v>17472</v>
      </c>
      <c r="E51" s="20">
        <v>192</v>
      </c>
      <c r="F51" s="20">
        <v>2</v>
      </c>
      <c r="G51" s="20">
        <v>8</v>
      </c>
      <c r="H51" s="79">
        <v>317.16000000000003</v>
      </c>
      <c r="I51" s="62">
        <v>11.212999999999999</v>
      </c>
      <c r="J51" s="16">
        <v>45547</v>
      </c>
      <c r="K51" s="25">
        <v>0.60468750000000004</v>
      </c>
      <c r="L51">
        <v>0</v>
      </c>
      <c r="M51">
        <v>0</v>
      </c>
      <c r="N51">
        <v>0</v>
      </c>
      <c r="O51">
        <v>0</v>
      </c>
      <c r="P51">
        <v>0</v>
      </c>
      <c r="Q51">
        <v>0</v>
      </c>
      <c r="R51">
        <v>0</v>
      </c>
      <c r="S51">
        <v>0</v>
      </c>
      <c r="T51">
        <v>0</v>
      </c>
      <c r="U51">
        <v>0</v>
      </c>
      <c r="V51">
        <v>0</v>
      </c>
      <c r="W51">
        <v>0</v>
      </c>
      <c r="X51" s="80">
        <f>X50</f>
        <v>11.266399999999999</v>
      </c>
      <c r="Z51" t="s">
        <v>149</v>
      </c>
      <c r="AA51">
        <v>2</v>
      </c>
      <c r="AB51" t="s">
        <v>7</v>
      </c>
      <c r="AC51" s="20">
        <v>17472</v>
      </c>
      <c r="AD51" s="20">
        <v>96</v>
      </c>
      <c r="AE51" s="20">
        <v>2</v>
      </c>
      <c r="AF51" s="20">
        <v>8</v>
      </c>
      <c r="AG51" s="79">
        <v>276.87</v>
      </c>
      <c r="AH51" s="62">
        <v>12.843999999999999</v>
      </c>
      <c r="AI51" s="16">
        <v>45558</v>
      </c>
      <c r="AJ51" s="25">
        <v>0.89697916666666666</v>
      </c>
      <c r="AK51">
        <v>0</v>
      </c>
      <c r="AL51">
        <v>0</v>
      </c>
      <c r="AM51">
        <v>0</v>
      </c>
      <c r="AN51">
        <v>0</v>
      </c>
      <c r="AO51">
        <v>0</v>
      </c>
      <c r="AP51">
        <v>0</v>
      </c>
      <c r="AQ51">
        <v>0</v>
      </c>
      <c r="AR51">
        <v>0</v>
      </c>
      <c r="AS51">
        <v>0</v>
      </c>
      <c r="AT51">
        <v>0</v>
      </c>
      <c r="AU51">
        <v>0</v>
      </c>
      <c r="AV51">
        <v>0</v>
      </c>
      <c r="AW51" s="80">
        <f>AW50</f>
        <v>12.849250000000001</v>
      </c>
      <c r="AZ51">
        <v>0</v>
      </c>
      <c r="BA51" t="s">
        <v>7</v>
      </c>
      <c r="BB51">
        <v>17568</v>
      </c>
      <c r="BC51">
        <v>96</v>
      </c>
      <c r="BD51">
        <v>4</v>
      </c>
      <c r="BE51">
        <v>4</v>
      </c>
      <c r="BF51">
        <v>394.55</v>
      </c>
      <c r="BG51" s="62">
        <v>9.1628000000000007</v>
      </c>
      <c r="BH51" s="16">
        <v>45472</v>
      </c>
      <c r="BI51" s="18">
        <v>0.36621527777777779</v>
      </c>
      <c r="BJ51">
        <v>0</v>
      </c>
      <c r="BK51">
        <v>0</v>
      </c>
      <c r="BL51">
        <v>0</v>
      </c>
      <c r="BM51">
        <v>0</v>
      </c>
      <c r="BN51">
        <v>0</v>
      </c>
      <c r="BO51">
        <v>0</v>
      </c>
      <c r="BP51">
        <v>0</v>
      </c>
      <c r="BQ51">
        <v>0</v>
      </c>
      <c r="BR51">
        <v>0</v>
      </c>
      <c r="BS51">
        <v>0</v>
      </c>
      <c r="BT51">
        <v>0</v>
      </c>
      <c r="BU51">
        <v>0</v>
      </c>
    </row>
    <row r="52" spans="1:73" x14ac:dyDescent="0.25">
      <c r="A52" t="s">
        <v>111</v>
      </c>
      <c r="B52">
        <v>3</v>
      </c>
      <c r="C52" t="s">
        <v>7</v>
      </c>
      <c r="D52" s="20">
        <v>17472</v>
      </c>
      <c r="E52" s="20">
        <v>192</v>
      </c>
      <c r="F52" s="20">
        <v>2</v>
      </c>
      <c r="G52" s="20">
        <v>8</v>
      </c>
      <c r="H52" s="79">
        <v>306.51</v>
      </c>
      <c r="I52" s="62">
        <v>11.602</v>
      </c>
      <c r="J52" s="16">
        <v>45548</v>
      </c>
      <c r="K52" s="25">
        <v>0.26501157407407405</v>
      </c>
      <c r="L52">
        <v>0</v>
      </c>
      <c r="M52">
        <v>0</v>
      </c>
      <c r="N52">
        <v>0</v>
      </c>
      <c r="O52">
        <v>0</v>
      </c>
      <c r="P52">
        <v>0</v>
      </c>
      <c r="Q52">
        <v>0</v>
      </c>
      <c r="R52">
        <v>0</v>
      </c>
      <c r="S52">
        <v>0</v>
      </c>
      <c r="T52">
        <v>0</v>
      </c>
      <c r="U52">
        <v>0</v>
      </c>
      <c r="V52">
        <v>0</v>
      </c>
      <c r="W52">
        <v>0</v>
      </c>
      <c r="X52" s="80">
        <f>X51</f>
        <v>11.266399999999999</v>
      </c>
      <c r="Z52" t="s">
        <v>149</v>
      </c>
      <c r="AA52">
        <v>3</v>
      </c>
      <c r="AB52" t="s">
        <v>7</v>
      </c>
      <c r="AC52" s="20">
        <v>17472</v>
      </c>
      <c r="AD52" s="20">
        <v>96</v>
      </c>
      <c r="AE52" s="20">
        <v>2</v>
      </c>
      <c r="AF52" s="20">
        <v>8</v>
      </c>
      <c r="AG52" s="79">
        <v>276.42</v>
      </c>
      <c r="AH52" s="62">
        <v>12.865</v>
      </c>
      <c r="AI52" s="16">
        <v>45555</v>
      </c>
      <c r="AJ52" s="25">
        <v>6.7939814814814814E-2</v>
      </c>
      <c r="AK52">
        <v>0</v>
      </c>
      <c r="AL52">
        <v>0</v>
      </c>
      <c r="AM52">
        <v>0</v>
      </c>
      <c r="AN52">
        <v>0</v>
      </c>
      <c r="AO52">
        <v>0</v>
      </c>
      <c r="AP52">
        <v>0</v>
      </c>
      <c r="AQ52">
        <v>0</v>
      </c>
      <c r="AR52">
        <v>0</v>
      </c>
      <c r="AS52">
        <v>0</v>
      </c>
      <c r="AT52">
        <v>0</v>
      </c>
      <c r="AU52">
        <v>0</v>
      </c>
      <c r="AV52">
        <v>0</v>
      </c>
      <c r="AW52" s="80">
        <f>AW51</f>
        <v>12.849250000000001</v>
      </c>
      <c r="AZ52">
        <v>1</v>
      </c>
      <c r="BA52" t="s">
        <v>7</v>
      </c>
      <c r="BB52">
        <v>17568</v>
      </c>
      <c r="BC52">
        <v>96</v>
      </c>
      <c r="BD52">
        <v>4</v>
      </c>
      <c r="BE52">
        <v>4</v>
      </c>
      <c r="BF52">
        <v>642.9</v>
      </c>
      <c r="BG52" s="62">
        <v>5.6231999999999998</v>
      </c>
      <c r="BH52" s="16">
        <v>45474</v>
      </c>
      <c r="BI52" s="18">
        <v>0.16849537037037038</v>
      </c>
      <c r="BJ52">
        <v>0</v>
      </c>
      <c r="BK52">
        <v>0</v>
      </c>
      <c r="BL52">
        <v>0</v>
      </c>
      <c r="BM52">
        <v>0</v>
      </c>
      <c r="BN52">
        <v>0</v>
      </c>
      <c r="BO52">
        <v>0</v>
      </c>
      <c r="BP52">
        <v>0</v>
      </c>
      <c r="BQ52">
        <v>0</v>
      </c>
      <c r="BR52">
        <v>0</v>
      </c>
      <c r="BS52">
        <v>0</v>
      </c>
      <c r="BT52">
        <v>0</v>
      </c>
      <c r="BU52">
        <v>0</v>
      </c>
    </row>
    <row r="53" spans="1:73" x14ac:dyDescent="0.25">
      <c r="A53" t="s">
        <v>111</v>
      </c>
      <c r="B53">
        <v>4</v>
      </c>
      <c r="C53" t="s">
        <v>7</v>
      </c>
      <c r="D53" s="20">
        <v>17472</v>
      </c>
      <c r="E53" s="20">
        <v>192</v>
      </c>
      <c r="F53" s="20">
        <v>2</v>
      </c>
      <c r="G53" s="20">
        <v>8</v>
      </c>
      <c r="H53" s="79">
        <v>319.83999999999997</v>
      </c>
      <c r="I53" s="62">
        <v>11.119</v>
      </c>
      <c r="J53" s="16">
        <v>45548</v>
      </c>
      <c r="K53" s="25">
        <v>0.89269675925925929</v>
      </c>
      <c r="L53">
        <v>0</v>
      </c>
      <c r="M53">
        <v>0</v>
      </c>
      <c r="N53">
        <v>0</v>
      </c>
      <c r="O53">
        <v>0</v>
      </c>
      <c r="P53">
        <v>0</v>
      </c>
      <c r="Q53">
        <v>0</v>
      </c>
      <c r="R53">
        <v>0</v>
      </c>
      <c r="S53">
        <v>0</v>
      </c>
      <c r="T53">
        <v>0</v>
      </c>
      <c r="U53">
        <v>0</v>
      </c>
      <c r="V53">
        <v>0</v>
      </c>
      <c r="W53">
        <v>0</v>
      </c>
      <c r="X53" s="80">
        <f>X52</f>
        <v>11.266399999999999</v>
      </c>
      <c r="Z53" t="s">
        <v>149</v>
      </c>
      <c r="AA53">
        <v>4</v>
      </c>
      <c r="AB53" t="s">
        <v>7</v>
      </c>
      <c r="AC53" s="20">
        <v>17472</v>
      </c>
      <c r="AD53" s="20">
        <v>96</v>
      </c>
      <c r="AE53" s="20">
        <v>2</v>
      </c>
      <c r="AF53" s="20">
        <v>8</v>
      </c>
      <c r="AG53" s="79">
        <v>276.57</v>
      </c>
      <c r="AH53" s="62">
        <v>12.859</v>
      </c>
      <c r="AI53" s="16">
        <v>45555</v>
      </c>
      <c r="AJ53" s="25">
        <v>0.56809027777777776</v>
      </c>
      <c r="AK53">
        <v>0</v>
      </c>
      <c r="AL53">
        <v>0</v>
      </c>
      <c r="AM53">
        <v>0</v>
      </c>
      <c r="AN53">
        <v>0</v>
      </c>
      <c r="AO53">
        <v>0</v>
      </c>
      <c r="AP53">
        <v>0</v>
      </c>
      <c r="AQ53">
        <v>0</v>
      </c>
      <c r="AR53">
        <v>0</v>
      </c>
      <c r="AS53">
        <v>0</v>
      </c>
      <c r="AT53">
        <v>0</v>
      </c>
      <c r="AU53">
        <v>0</v>
      </c>
      <c r="AV53">
        <v>0</v>
      </c>
      <c r="AW53" s="80">
        <f>AW52</f>
        <v>12.849250000000001</v>
      </c>
      <c r="AZ53">
        <v>0</v>
      </c>
      <c r="BA53" t="s">
        <v>7</v>
      </c>
      <c r="BB53">
        <v>18528</v>
      </c>
      <c r="BC53">
        <v>96</v>
      </c>
      <c r="BD53">
        <v>4</v>
      </c>
      <c r="BE53">
        <v>4</v>
      </c>
      <c r="BF53">
        <v>459.46</v>
      </c>
      <c r="BG53" s="62">
        <v>9.23</v>
      </c>
      <c r="BH53" s="16">
        <v>45472</v>
      </c>
      <c r="BI53" s="18">
        <v>0.4840740740740741</v>
      </c>
      <c r="BJ53">
        <v>0</v>
      </c>
      <c r="BK53">
        <v>0</v>
      </c>
      <c r="BL53">
        <v>0</v>
      </c>
      <c r="BM53">
        <v>0</v>
      </c>
      <c r="BN53">
        <v>0</v>
      </c>
      <c r="BO53">
        <v>0</v>
      </c>
      <c r="BP53">
        <v>0</v>
      </c>
      <c r="BQ53">
        <v>0</v>
      </c>
      <c r="BR53">
        <v>0</v>
      </c>
      <c r="BS53">
        <v>0</v>
      </c>
      <c r="BT53">
        <v>0</v>
      </c>
      <c r="BU53">
        <v>0</v>
      </c>
    </row>
    <row r="54" spans="1:73" x14ac:dyDescent="0.25">
      <c r="A54" t="s">
        <v>111</v>
      </c>
      <c r="B54">
        <v>0</v>
      </c>
      <c r="C54" t="s">
        <v>7</v>
      </c>
      <c r="D54" s="20">
        <v>18560</v>
      </c>
      <c r="E54" s="20">
        <v>64</v>
      </c>
      <c r="F54" s="20">
        <v>2</v>
      </c>
      <c r="G54" s="20">
        <v>8</v>
      </c>
      <c r="H54" s="79">
        <v>378.22</v>
      </c>
      <c r="I54" s="62">
        <v>11.271000000000001</v>
      </c>
      <c r="J54" s="16">
        <v>45546</v>
      </c>
      <c r="K54" s="25">
        <v>0.4309837962962963</v>
      </c>
      <c r="L54">
        <v>0</v>
      </c>
      <c r="M54">
        <v>0</v>
      </c>
      <c r="N54">
        <v>0</v>
      </c>
      <c r="O54">
        <v>0</v>
      </c>
      <c r="P54">
        <v>0</v>
      </c>
      <c r="Q54">
        <v>0</v>
      </c>
      <c r="R54">
        <v>0</v>
      </c>
      <c r="S54">
        <v>0</v>
      </c>
      <c r="T54">
        <v>0</v>
      </c>
      <c r="U54">
        <v>0</v>
      </c>
      <c r="V54">
        <v>0</v>
      </c>
      <c r="W54">
        <v>0</v>
      </c>
      <c r="X54" s="82">
        <f>AVERAGE(I54:I58)</f>
        <v>11.238799999999999</v>
      </c>
      <c r="Z54" t="s">
        <v>149</v>
      </c>
      <c r="AA54">
        <v>0</v>
      </c>
      <c r="AB54" t="s">
        <v>7</v>
      </c>
      <c r="AC54" s="20">
        <v>18368</v>
      </c>
      <c r="AD54" s="20">
        <v>224</v>
      </c>
      <c r="AE54" s="20">
        <v>2</v>
      </c>
      <c r="AF54" s="20">
        <v>8</v>
      </c>
      <c r="AG54" s="79">
        <v>322.77</v>
      </c>
      <c r="AH54" s="62">
        <v>12.801</v>
      </c>
      <c r="AI54" s="16">
        <v>45558</v>
      </c>
      <c r="AJ54" s="25">
        <v>5.3946759259259257E-2</v>
      </c>
      <c r="AK54">
        <v>0</v>
      </c>
      <c r="AL54">
        <v>0</v>
      </c>
      <c r="AM54">
        <v>0</v>
      </c>
      <c r="AN54">
        <v>0</v>
      </c>
      <c r="AO54">
        <v>0</v>
      </c>
      <c r="AP54">
        <v>0</v>
      </c>
      <c r="AQ54">
        <v>0</v>
      </c>
      <c r="AR54">
        <v>0</v>
      </c>
      <c r="AS54">
        <v>0</v>
      </c>
      <c r="AT54">
        <v>0</v>
      </c>
      <c r="AU54">
        <v>0</v>
      </c>
      <c r="AV54">
        <v>0</v>
      </c>
      <c r="AW54" s="82">
        <f>AVERAGE(AH54:AH57)</f>
        <v>12.82375</v>
      </c>
      <c r="AZ54">
        <v>1</v>
      </c>
      <c r="BA54" t="s">
        <v>7</v>
      </c>
      <c r="BB54">
        <v>18528</v>
      </c>
      <c r="BC54">
        <v>96</v>
      </c>
      <c r="BD54">
        <v>4</v>
      </c>
      <c r="BE54">
        <v>4</v>
      </c>
      <c r="BF54">
        <v>720.86</v>
      </c>
      <c r="BG54" s="62">
        <v>5.883</v>
      </c>
      <c r="BH54" s="16">
        <v>45474</v>
      </c>
      <c r="BI54" s="18">
        <v>0.3426851851851852</v>
      </c>
      <c r="BJ54">
        <v>0</v>
      </c>
      <c r="BK54">
        <v>0</v>
      </c>
      <c r="BL54">
        <v>0</v>
      </c>
      <c r="BM54">
        <v>0</v>
      </c>
      <c r="BN54">
        <v>0</v>
      </c>
      <c r="BO54">
        <v>0</v>
      </c>
      <c r="BP54">
        <v>0</v>
      </c>
      <c r="BQ54">
        <v>0</v>
      </c>
      <c r="BR54">
        <v>0</v>
      </c>
      <c r="BS54">
        <v>0</v>
      </c>
      <c r="BT54">
        <v>0</v>
      </c>
      <c r="BU54">
        <v>0</v>
      </c>
    </row>
    <row r="55" spans="1:73" x14ac:dyDescent="0.25">
      <c r="A55" t="s">
        <v>111</v>
      </c>
      <c r="B55">
        <v>1</v>
      </c>
      <c r="C55" t="s">
        <v>7</v>
      </c>
      <c r="D55" s="20">
        <v>18560</v>
      </c>
      <c r="E55" s="20">
        <v>64</v>
      </c>
      <c r="F55" s="20">
        <v>2</v>
      </c>
      <c r="G55" s="20">
        <v>8</v>
      </c>
      <c r="H55" s="79">
        <v>390.72</v>
      </c>
      <c r="I55" s="62">
        <v>10.91</v>
      </c>
      <c r="J55" s="16">
        <v>45547</v>
      </c>
      <c r="K55" s="25">
        <v>4.7025462962962963E-2</v>
      </c>
      <c r="L55">
        <v>0</v>
      </c>
      <c r="M55">
        <v>0</v>
      </c>
      <c r="N55">
        <v>0</v>
      </c>
      <c r="O55">
        <v>0</v>
      </c>
      <c r="P55">
        <v>0</v>
      </c>
      <c r="Q55">
        <v>0</v>
      </c>
      <c r="R55">
        <v>0</v>
      </c>
      <c r="S55">
        <v>0</v>
      </c>
      <c r="T55">
        <v>0</v>
      </c>
      <c r="U55">
        <v>0</v>
      </c>
      <c r="V55">
        <v>0</v>
      </c>
      <c r="W55">
        <v>0</v>
      </c>
      <c r="X55" s="80">
        <f>X54</f>
        <v>11.238799999999999</v>
      </c>
      <c r="Z55" t="s">
        <v>149</v>
      </c>
      <c r="AA55">
        <v>1</v>
      </c>
      <c r="AB55" t="s">
        <v>7</v>
      </c>
      <c r="AC55" s="20">
        <v>18368</v>
      </c>
      <c r="AD55" s="20">
        <v>224</v>
      </c>
      <c r="AE55" s="20">
        <v>2</v>
      </c>
      <c r="AF55" s="20">
        <v>8</v>
      </c>
      <c r="AG55" s="79">
        <v>322.05</v>
      </c>
      <c r="AH55" s="62">
        <v>12.83</v>
      </c>
      <c r="AI55" s="16">
        <v>45558</v>
      </c>
      <c r="AJ55" s="25">
        <v>0.55311342592592594</v>
      </c>
      <c r="AK55">
        <v>0</v>
      </c>
      <c r="AL55">
        <v>0</v>
      </c>
      <c r="AM55">
        <v>0</v>
      </c>
      <c r="AN55">
        <v>0</v>
      </c>
      <c r="AO55">
        <v>0</v>
      </c>
      <c r="AP55">
        <v>0</v>
      </c>
      <c r="AQ55">
        <v>0</v>
      </c>
      <c r="AR55">
        <v>0</v>
      </c>
      <c r="AS55">
        <v>0</v>
      </c>
      <c r="AT55">
        <v>0</v>
      </c>
      <c r="AU55">
        <v>0</v>
      </c>
      <c r="AV55">
        <v>0</v>
      </c>
      <c r="AW55" s="80">
        <f>AW54</f>
        <v>12.82375</v>
      </c>
      <c r="AZ55">
        <v>0</v>
      </c>
      <c r="BA55" t="s">
        <v>7</v>
      </c>
      <c r="BB55">
        <v>19584</v>
      </c>
      <c r="BC55">
        <v>96</v>
      </c>
      <c r="BD55">
        <v>4</v>
      </c>
      <c r="BE55">
        <v>4</v>
      </c>
      <c r="BF55">
        <v>7559.93</v>
      </c>
      <c r="BG55" s="62">
        <v>0.66244000000000003</v>
      </c>
      <c r="BH55" s="16">
        <v>45473</v>
      </c>
      <c r="BI55" s="18">
        <v>0.72195601851851854</v>
      </c>
      <c r="BJ55">
        <v>0</v>
      </c>
      <c r="BK55">
        <v>0</v>
      </c>
      <c r="BL55">
        <v>0</v>
      </c>
      <c r="BM55">
        <v>0</v>
      </c>
      <c r="BN55">
        <v>0</v>
      </c>
      <c r="BO55">
        <v>0</v>
      </c>
      <c r="BP55">
        <v>0</v>
      </c>
      <c r="BQ55">
        <v>0</v>
      </c>
      <c r="BR55">
        <v>0</v>
      </c>
      <c r="BS55">
        <v>0</v>
      </c>
      <c r="BT55">
        <v>0</v>
      </c>
      <c r="BU55">
        <v>0</v>
      </c>
    </row>
    <row r="56" spans="1:73" x14ac:dyDescent="0.25">
      <c r="A56" t="s">
        <v>111</v>
      </c>
      <c r="B56">
        <v>2</v>
      </c>
      <c r="C56" t="s">
        <v>7</v>
      </c>
      <c r="D56" s="20">
        <v>18560</v>
      </c>
      <c r="E56" s="20">
        <v>64</v>
      </c>
      <c r="F56" s="20">
        <v>2</v>
      </c>
      <c r="G56" s="20">
        <v>8</v>
      </c>
      <c r="H56" s="79">
        <v>378.23</v>
      </c>
      <c r="I56" s="62">
        <v>11.271000000000001</v>
      </c>
      <c r="J56" s="16">
        <v>45547</v>
      </c>
      <c r="K56" s="25">
        <v>0.66187499999999999</v>
      </c>
      <c r="L56">
        <v>0</v>
      </c>
      <c r="M56">
        <v>0</v>
      </c>
      <c r="N56">
        <v>0</v>
      </c>
      <c r="O56">
        <v>0</v>
      </c>
      <c r="P56">
        <v>0</v>
      </c>
      <c r="Q56">
        <v>0</v>
      </c>
      <c r="R56">
        <v>0</v>
      </c>
      <c r="S56">
        <v>0</v>
      </c>
      <c r="T56">
        <v>0</v>
      </c>
      <c r="U56">
        <v>0</v>
      </c>
      <c r="V56">
        <v>0</v>
      </c>
      <c r="W56">
        <v>0</v>
      </c>
      <c r="X56" s="80">
        <f>X55</f>
        <v>11.238799999999999</v>
      </c>
      <c r="Z56" t="s">
        <v>149</v>
      </c>
      <c r="AA56">
        <v>2</v>
      </c>
      <c r="AB56" t="s">
        <v>7</v>
      </c>
      <c r="AC56" s="20">
        <v>18368</v>
      </c>
      <c r="AD56" s="20">
        <v>224</v>
      </c>
      <c r="AE56" s="20">
        <v>2</v>
      </c>
      <c r="AF56" s="20">
        <v>8</v>
      </c>
      <c r="AG56" s="79">
        <v>322.13</v>
      </c>
      <c r="AH56" s="62">
        <v>12.827</v>
      </c>
      <c r="AI56" s="16">
        <v>45554</v>
      </c>
      <c r="AJ56" s="25">
        <v>0.69700231481481478</v>
      </c>
      <c r="AK56">
        <v>0</v>
      </c>
      <c r="AL56">
        <v>0</v>
      </c>
      <c r="AM56">
        <v>0</v>
      </c>
      <c r="AN56">
        <v>0</v>
      </c>
      <c r="AO56">
        <v>0</v>
      </c>
      <c r="AP56">
        <v>0</v>
      </c>
      <c r="AQ56">
        <v>0</v>
      </c>
      <c r="AR56">
        <v>0</v>
      </c>
      <c r="AS56">
        <v>0</v>
      </c>
      <c r="AT56">
        <v>0</v>
      </c>
      <c r="AU56">
        <v>0</v>
      </c>
      <c r="AV56">
        <v>0</v>
      </c>
      <c r="AW56" s="80">
        <f>AW55</f>
        <v>12.82375</v>
      </c>
      <c r="BF56"/>
      <c r="BG56" s="62"/>
      <c r="BH56" s="16"/>
      <c r="BI56" s="18"/>
    </row>
    <row r="57" spans="1:73" x14ac:dyDescent="0.25">
      <c r="A57" t="s">
        <v>111</v>
      </c>
      <c r="B57">
        <v>3</v>
      </c>
      <c r="C57" t="s">
        <v>7</v>
      </c>
      <c r="D57" s="20">
        <v>18560</v>
      </c>
      <c r="E57" s="20">
        <v>64</v>
      </c>
      <c r="F57" s="20">
        <v>2</v>
      </c>
      <c r="G57" s="20">
        <v>8</v>
      </c>
      <c r="H57" s="79">
        <v>370.34</v>
      </c>
      <c r="I57" s="62">
        <v>11.51</v>
      </c>
      <c r="J57" s="16">
        <v>45548</v>
      </c>
      <c r="K57" s="25">
        <v>0.32210648148148147</v>
      </c>
      <c r="L57">
        <v>0</v>
      </c>
      <c r="M57">
        <v>0</v>
      </c>
      <c r="N57">
        <v>0</v>
      </c>
      <c r="O57">
        <v>0</v>
      </c>
      <c r="P57">
        <v>0</v>
      </c>
      <c r="Q57">
        <v>0</v>
      </c>
      <c r="R57">
        <v>0</v>
      </c>
      <c r="S57">
        <v>0</v>
      </c>
      <c r="T57">
        <v>0</v>
      </c>
      <c r="U57">
        <v>0</v>
      </c>
      <c r="V57">
        <v>0</v>
      </c>
      <c r="W57">
        <v>0</v>
      </c>
      <c r="X57" s="80">
        <f>X56</f>
        <v>11.238799999999999</v>
      </c>
      <c r="Z57" t="s">
        <v>149</v>
      </c>
      <c r="AA57">
        <v>3</v>
      </c>
      <c r="AB57" t="s">
        <v>7</v>
      </c>
      <c r="AC57" s="20">
        <v>18368</v>
      </c>
      <c r="AD57" s="20">
        <v>224</v>
      </c>
      <c r="AE57" s="20">
        <v>2</v>
      </c>
      <c r="AF57" s="20">
        <v>8</v>
      </c>
      <c r="AG57" s="79">
        <v>321.87</v>
      </c>
      <c r="AH57" s="62">
        <v>12.837</v>
      </c>
      <c r="AI57" s="16">
        <v>45555</v>
      </c>
      <c r="AJ57" s="25">
        <v>0.22239583333333332</v>
      </c>
      <c r="AK57">
        <v>0</v>
      </c>
      <c r="AL57">
        <v>0</v>
      </c>
      <c r="AM57">
        <v>0</v>
      </c>
      <c r="AN57">
        <v>0</v>
      </c>
      <c r="AO57">
        <v>0</v>
      </c>
      <c r="AP57">
        <v>0</v>
      </c>
      <c r="AQ57">
        <v>0</v>
      </c>
      <c r="AR57">
        <v>0</v>
      </c>
      <c r="AS57">
        <v>0</v>
      </c>
      <c r="AT57">
        <v>0</v>
      </c>
      <c r="AU57">
        <v>0</v>
      </c>
      <c r="AV57">
        <v>0</v>
      </c>
      <c r="AW57" s="80">
        <f>AW56</f>
        <v>12.82375</v>
      </c>
      <c r="AZ57">
        <v>0</v>
      </c>
      <c r="BA57" t="s">
        <v>7</v>
      </c>
      <c r="BB57">
        <v>17536</v>
      </c>
      <c r="BC57">
        <v>128</v>
      </c>
      <c r="BD57">
        <v>1</v>
      </c>
      <c r="BE57">
        <v>16</v>
      </c>
      <c r="BF57">
        <v>345.11</v>
      </c>
      <c r="BG57" s="62">
        <v>10.417999999999999</v>
      </c>
      <c r="BH57" s="16">
        <v>45472</v>
      </c>
      <c r="BI57" s="18">
        <v>0.37053240740740739</v>
      </c>
      <c r="BJ57">
        <v>0</v>
      </c>
      <c r="BK57">
        <v>0</v>
      </c>
      <c r="BL57">
        <v>0</v>
      </c>
      <c r="BM57">
        <v>0</v>
      </c>
      <c r="BN57">
        <v>0</v>
      </c>
      <c r="BO57">
        <v>0</v>
      </c>
      <c r="BP57">
        <v>0</v>
      </c>
      <c r="BQ57">
        <v>0</v>
      </c>
      <c r="BR57">
        <v>0</v>
      </c>
      <c r="BS57">
        <v>0</v>
      </c>
      <c r="BT57">
        <v>0</v>
      </c>
      <c r="BU57">
        <v>0</v>
      </c>
    </row>
    <row r="58" spans="1:73" x14ac:dyDescent="0.25">
      <c r="A58" t="s">
        <v>111</v>
      </c>
      <c r="B58">
        <v>4</v>
      </c>
      <c r="C58" t="s">
        <v>7</v>
      </c>
      <c r="D58" s="20">
        <v>18560</v>
      </c>
      <c r="E58" s="20">
        <v>64</v>
      </c>
      <c r="F58" s="20">
        <v>2</v>
      </c>
      <c r="G58" s="20">
        <v>8</v>
      </c>
      <c r="H58" s="79">
        <v>379.51</v>
      </c>
      <c r="I58" s="62">
        <v>11.231999999999999</v>
      </c>
      <c r="J58" s="16">
        <v>45548</v>
      </c>
      <c r="K58" s="25">
        <v>0.95084490740740746</v>
      </c>
      <c r="L58">
        <v>0</v>
      </c>
      <c r="M58">
        <v>0</v>
      </c>
      <c r="N58">
        <v>0</v>
      </c>
      <c r="O58">
        <v>0</v>
      </c>
      <c r="P58">
        <v>0</v>
      </c>
      <c r="Q58">
        <v>0</v>
      </c>
      <c r="R58">
        <v>0</v>
      </c>
      <c r="S58">
        <v>0</v>
      </c>
      <c r="T58">
        <v>0</v>
      </c>
      <c r="U58">
        <v>0</v>
      </c>
      <c r="V58">
        <v>0</v>
      </c>
      <c r="W58">
        <v>0</v>
      </c>
      <c r="X58" s="80">
        <f>X57</f>
        <v>11.238799999999999</v>
      </c>
      <c r="Z58" t="s">
        <v>149</v>
      </c>
      <c r="AA58">
        <v>4</v>
      </c>
      <c r="AB58" t="s">
        <v>7</v>
      </c>
      <c r="AC58" s="20">
        <v>18368</v>
      </c>
      <c r="AD58" s="20">
        <v>224</v>
      </c>
      <c r="AE58" s="20">
        <v>2</v>
      </c>
      <c r="AF58" s="20">
        <v>8</v>
      </c>
      <c r="AG58" s="79">
        <v>324.10000000000002</v>
      </c>
      <c r="AH58" s="62">
        <v>12.749000000000001</v>
      </c>
      <c r="AI58" s="16">
        <v>45555</v>
      </c>
      <c r="AJ58" s="25">
        <v>0.72263888888888894</v>
      </c>
      <c r="AK58">
        <v>0</v>
      </c>
      <c r="AL58">
        <v>0</v>
      </c>
      <c r="AM58">
        <v>0</v>
      </c>
      <c r="AN58">
        <v>0</v>
      </c>
      <c r="AO58">
        <v>0</v>
      </c>
      <c r="AP58">
        <v>0</v>
      </c>
      <c r="AQ58">
        <v>0</v>
      </c>
      <c r="AR58">
        <v>0</v>
      </c>
      <c r="AS58">
        <v>0</v>
      </c>
      <c r="AT58">
        <v>0</v>
      </c>
      <c r="AU58">
        <v>0</v>
      </c>
      <c r="AV58">
        <v>0</v>
      </c>
      <c r="AW58" s="80">
        <f>AW57</f>
        <v>12.82375</v>
      </c>
      <c r="AZ58">
        <v>1</v>
      </c>
      <c r="BA58" t="s">
        <v>7</v>
      </c>
      <c r="BB58">
        <v>17536</v>
      </c>
      <c r="BC58">
        <v>128</v>
      </c>
      <c r="BD58">
        <v>1</v>
      </c>
      <c r="BE58">
        <v>16</v>
      </c>
      <c r="BF58">
        <v>520.51</v>
      </c>
      <c r="BG58" s="62">
        <v>6.9076000000000004</v>
      </c>
      <c r="BH58" s="16">
        <v>45474</v>
      </c>
      <c r="BI58" s="18">
        <v>0.17488425925925927</v>
      </c>
      <c r="BJ58">
        <v>0</v>
      </c>
      <c r="BK58">
        <v>0</v>
      </c>
      <c r="BL58">
        <v>0</v>
      </c>
      <c r="BM58">
        <v>0</v>
      </c>
      <c r="BN58">
        <v>0</v>
      </c>
      <c r="BO58">
        <v>0</v>
      </c>
      <c r="BP58">
        <v>0</v>
      </c>
      <c r="BQ58">
        <v>0</v>
      </c>
      <c r="BR58">
        <v>0</v>
      </c>
      <c r="BS58">
        <v>0</v>
      </c>
      <c r="BT58">
        <v>0</v>
      </c>
      <c r="BU58">
        <v>0</v>
      </c>
    </row>
    <row r="59" spans="1:73" x14ac:dyDescent="0.25">
      <c r="A59" t="s">
        <v>111</v>
      </c>
      <c r="B59">
        <v>0</v>
      </c>
      <c r="C59" t="s">
        <v>7</v>
      </c>
      <c r="D59" s="20">
        <v>17472</v>
      </c>
      <c r="E59" s="20">
        <v>224</v>
      </c>
      <c r="F59" s="20">
        <v>2</v>
      </c>
      <c r="G59" s="20">
        <v>8</v>
      </c>
      <c r="H59" s="79">
        <v>324.54000000000002</v>
      </c>
      <c r="I59" s="62">
        <v>10.958</v>
      </c>
      <c r="J59" s="16">
        <v>45546</v>
      </c>
      <c r="K59" s="25">
        <v>0.38609953703703703</v>
      </c>
      <c r="L59">
        <v>0</v>
      </c>
      <c r="M59">
        <v>0</v>
      </c>
      <c r="N59">
        <v>0</v>
      </c>
      <c r="O59">
        <v>0</v>
      </c>
      <c r="P59">
        <v>0</v>
      </c>
      <c r="Q59">
        <v>0</v>
      </c>
      <c r="R59">
        <v>0</v>
      </c>
      <c r="S59">
        <v>0</v>
      </c>
      <c r="T59">
        <v>0</v>
      </c>
      <c r="U59">
        <v>0</v>
      </c>
      <c r="V59">
        <v>0</v>
      </c>
      <c r="W59">
        <v>0</v>
      </c>
      <c r="X59" s="82">
        <f>AVERAGE(I59:I63)</f>
        <v>11.207800000000001</v>
      </c>
      <c r="Z59" t="s">
        <v>149</v>
      </c>
      <c r="AA59">
        <v>0</v>
      </c>
      <c r="AB59" t="s">
        <v>7</v>
      </c>
      <c r="AC59" s="20">
        <v>17536</v>
      </c>
      <c r="AD59" s="20">
        <v>64</v>
      </c>
      <c r="AE59" s="20">
        <v>2</v>
      </c>
      <c r="AF59" s="20">
        <v>8</v>
      </c>
      <c r="AG59" s="79">
        <v>282.06</v>
      </c>
      <c r="AH59" s="62">
        <v>12.747</v>
      </c>
      <c r="AI59" s="16">
        <v>45557</v>
      </c>
      <c r="AJ59" s="25">
        <v>0.88734953703703701</v>
      </c>
      <c r="AK59">
        <v>0</v>
      </c>
      <c r="AL59">
        <v>0</v>
      </c>
      <c r="AM59">
        <v>0</v>
      </c>
      <c r="AN59">
        <v>0</v>
      </c>
      <c r="AO59">
        <v>0</v>
      </c>
      <c r="AP59">
        <v>0</v>
      </c>
      <c r="AQ59">
        <v>0</v>
      </c>
      <c r="AR59">
        <v>0</v>
      </c>
      <c r="AS59">
        <v>0</v>
      </c>
      <c r="AT59">
        <v>0</v>
      </c>
      <c r="AU59">
        <v>0</v>
      </c>
      <c r="AV59">
        <v>0</v>
      </c>
      <c r="AW59" s="82">
        <f>AVERAGE(AH59:AH62)</f>
        <v>12.732750000000001</v>
      </c>
      <c r="AZ59">
        <v>0</v>
      </c>
      <c r="BA59" t="s">
        <v>7</v>
      </c>
      <c r="BB59">
        <v>18560</v>
      </c>
      <c r="BC59">
        <v>128</v>
      </c>
      <c r="BD59">
        <v>1</v>
      </c>
      <c r="BE59">
        <v>16</v>
      </c>
      <c r="BF59">
        <v>413.75</v>
      </c>
      <c r="BG59" s="62">
        <v>10.303000000000001</v>
      </c>
      <c r="BH59" s="16">
        <v>45472</v>
      </c>
      <c r="BI59" s="18">
        <v>0.48927083333333332</v>
      </c>
      <c r="BJ59">
        <v>0</v>
      </c>
      <c r="BK59">
        <v>0</v>
      </c>
      <c r="BL59">
        <v>0</v>
      </c>
      <c r="BM59">
        <v>0</v>
      </c>
      <c r="BN59">
        <v>0</v>
      </c>
      <c r="BO59">
        <v>0</v>
      </c>
      <c r="BP59">
        <v>0</v>
      </c>
      <c r="BQ59">
        <v>0</v>
      </c>
      <c r="BR59">
        <v>0</v>
      </c>
      <c r="BS59">
        <v>0</v>
      </c>
      <c r="BT59">
        <v>0</v>
      </c>
      <c r="BU59">
        <v>0</v>
      </c>
    </row>
    <row r="60" spans="1:73" x14ac:dyDescent="0.25">
      <c r="A60" t="s">
        <v>111</v>
      </c>
      <c r="B60">
        <v>1</v>
      </c>
      <c r="C60" t="s">
        <v>7</v>
      </c>
      <c r="D60" s="20">
        <v>17472</v>
      </c>
      <c r="E60" s="20">
        <v>224</v>
      </c>
      <c r="F60" s="20">
        <v>2</v>
      </c>
      <c r="G60" s="20">
        <v>8</v>
      </c>
      <c r="H60" s="79">
        <v>321.14</v>
      </c>
      <c r="I60" s="62">
        <v>11.074</v>
      </c>
      <c r="J60" s="16">
        <v>45547</v>
      </c>
      <c r="K60" s="25">
        <v>2.650462962962963E-3</v>
      </c>
      <c r="L60">
        <v>0</v>
      </c>
      <c r="M60">
        <v>0</v>
      </c>
      <c r="N60">
        <v>0</v>
      </c>
      <c r="O60">
        <v>0</v>
      </c>
      <c r="P60">
        <v>0</v>
      </c>
      <c r="Q60">
        <v>0</v>
      </c>
      <c r="R60">
        <v>0</v>
      </c>
      <c r="S60">
        <v>0</v>
      </c>
      <c r="T60">
        <v>0</v>
      </c>
      <c r="U60">
        <v>0</v>
      </c>
      <c r="V60">
        <v>0</v>
      </c>
      <c r="W60">
        <v>0</v>
      </c>
      <c r="X60" s="80">
        <f>X59</f>
        <v>11.207800000000001</v>
      </c>
      <c r="Z60" t="s">
        <v>149</v>
      </c>
      <c r="AA60">
        <v>1</v>
      </c>
      <c r="AB60" t="s">
        <v>7</v>
      </c>
      <c r="AC60" s="20">
        <v>17536</v>
      </c>
      <c r="AD60" s="20">
        <v>64</v>
      </c>
      <c r="AE60" s="20">
        <v>2</v>
      </c>
      <c r="AF60" s="20">
        <v>8</v>
      </c>
      <c r="AG60" s="79">
        <v>282.54000000000002</v>
      </c>
      <c r="AH60" s="62">
        <v>12.725</v>
      </c>
      <c r="AI60" s="16">
        <v>45558</v>
      </c>
      <c r="AJ60" s="25">
        <v>0.38675925925925925</v>
      </c>
      <c r="AK60">
        <v>0</v>
      </c>
      <c r="AL60">
        <v>0</v>
      </c>
      <c r="AM60">
        <v>0</v>
      </c>
      <c r="AN60">
        <v>0</v>
      </c>
      <c r="AO60">
        <v>0</v>
      </c>
      <c r="AP60">
        <v>0</v>
      </c>
      <c r="AQ60">
        <v>0</v>
      </c>
      <c r="AR60">
        <v>0</v>
      </c>
      <c r="AS60">
        <v>0</v>
      </c>
      <c r="AT60">
        <v>0</v>
      </c>
      <c r="AU60">
        <v>0</v>
      </c>
      <c r="AV60">
        <v>0</v>
      </c>
      <c r="AW60" s="80">
        <f>AW59</f>
        <v>12.732750000000001</v>
      </c>
      <c r="AZ60">
        <v>1</v>
      </c>
      <c r="BA60" t="s">
        <v>7</v>
      </c>
      <c r="BB60">
        <v>18560</v>
      </c>
      <c r="BC60">
        <v>128</v>
      </c>
      <c r="BD60">
        <v>1</v>
      </c>
      <c r="BE60">
        <v>16</v>
      </c>
      <c r="BF60">
        <v>579.27</v>
      </c>
      <c r="BG60" s="62">
        <v>7.3589000000000002</v>
      </c>
      <c r="BH60" s="16">
        <v>45474</v>
      </c>
      <c r="BI60" s="18">
        <v>0.34986111111111112</v>
      </c>
      <c r="BJ60">
        <v>0</v>
      </c>
      <c r="BK60">
        <v>0</v>
      </c>
      <c r="BL60">
        <v>0</v>
      </c>
      <c r="BM60">
        <v>0</v>
      </c>
      <c r="BN60">
        <v>0</v>
      </c>
      <c r="BO60">
        <v>0</v>
      </c>
      <c r="BP60">
        <v>0</v>
      </c>
      <c r="BQ60">
        <v>0</v>
      </c>
      <c r="BR60">
        <v>0</v>
      </c>
      <c r="BS60">
        <v>0</v>
      </c>
      <c r="BT60">
        <v>0</v>
      </c>
      <c r="BU60">
        <v>0</v>
      </c>
    </row>
    <row r="61" spans="1:73" x14ac:dyDescent="0.25">
      <c r="A61" t="s">
        <v>111</v>
      </c>
      <c r="B61">
        <v>2</v>
      </c>
      <c r="C61" t="s">
        <v>7</v>
      </c>
      <c r="D61" s="20">
        <v>17472</v>
      </c>
      <c r="E61" s="20">
        <v>224</v>
      </c>
      <c r="F61" s="20">
        <v>2</v>
      </c>
      <c r="G61" s="20">
        <v>8</v>
      </c>
      <c r="H61" s="79">
        <v>315.58</v>
      </c>
      <c r="I61" s="62">
        <v>11.269</v>
      </c>
      <c r="J61" s="16">
        <v>45547</v>
      </c>
      <c r="K61" s="25">
        <v>0.61753472222222228</v>
      </c>
      <c r="L61">
        <v>0</v>
      </c>
      <c r="M61">
        <v>0</v>
      </c>
      <c r="N61">
        <v>0</v>
      </c>
      <c r="O61">
        <v>0</v>
      </c>
      <c r="P61">
        <v>0</v>
      </c>
      <c r="Q61">
        <v>0</v>
      </c>
      <c r="R61">
        <v>0</v>
      </c>
      <c r="S61">
        <v>0</v>
      </c>
      <c r="T61">
        <v>0</v>
      </c>
      <c r="U61">
        <v>0</v>
      </c>
      <c r="V61">
        <v>0</v>
      </c>
      <c r="W61">
        <v>0</v>
      </c>
      <c r="X61" s="80">
        <f>X60</f>
        <v>11.207800000000001</v>
      </c>
      <c r="Z61" t="s">
        <v>149</v>
      </c>
      <c r="AA61">
        <v>2</v>
      </c>
      <c r="AB61" t="s">
        <v>7</v>
      </c>
      <c r="AC61" s="20">
        <v>17536</v>
      </c>
      <c r="AD61" s="20">
        <v>64</v>
      </c>
      <c r="AE61" s="20">
        <v>2</v>
      </c>
      <c r="AF61" s="20">
        <v>8</v>
      </c>
      <c r="AG61" s="79">
        <v>282.69</v>
      </c>
      <c r="AH61" s="62">
        <v>12.718999999999999</v>
      </c>
      <c r="AI61" s="16">
        <v>45558</v>
      </c>
      <c r="AJ61" s="25">
        <v>0.88527777777777783</v>
      </c>
      <c r="AK61">
        <v>0</v>
      </c>
      <c r="AL61">
        <v>0</v>
      </c>
      <c r="AM61">
        <v>0</v>
      </c>
      <c r="AN61">
        <v>0</v>
      </c>
      <c r="AO61">
        <v>0</v>
      </c>
      <c r="AP61">
        <v>0</v>
      </c>
      <c r="AQ61">
        <v>0</v>
      </c>
      <c r="AR61">
        <v>0</v>
      </c>
      <c r="AS61">
        <v>0</v>
      </c>
      <c r="AT61">
        <v>0</v>
      </c>
      <c r="AU61">
        <v>0</v>
      </c>
      <c r="AV61">
        <v>0</v>
      </c>
      <c r="AW61" s="80">
        <f>AW60</f>
        <v>12.732750000000001</v>
      </c>
      <c r="AZ61">
        <v>0</v>
      </c>
      <c r="BA61" t="s">
        <v>7</v>
      </c>
      <c r="BB61">
        <v>19584</v>
      </c>
      <c r="BC61">
        <v>128</v>
      </c>
      <c r="BD61">
        <v>1</v>
      </c>
      <c r="BE61">
        <v>16</v>
      </c>
      <c r="BF61">
        <v>2919.83</v>
      </c>
      <c r="BG61" s="62">
        <v>1.7152000000000001</v>
      </c>
      <c r="BH61" s="16">
        <v>45473</v>
      </c>
      <c r="BI61" s="18">
        <v>0.75818287037037035</v>
      </c>
      <c r="BJ61">
        <v>0</v>
      </c>
      <c r="BK61">
        <v>0</v>
      </c>
      <c r="BL61">
        <v>0</v>
      </c>
      <c r="BM61">
        <v>0</v>
      </c>
      <c r="BN61">
        <v>0</v>
      </c>
      <c r="BO61">
        <v>0</v>
      </c>
      <c r="BP61">
        <v>0</v>
      </c>
      <c r="BQ61">
        <v>0</v>
      </c>
      <c r="BR61">
        <v>0</v>
      </c>
      <c r="BS61">
        <v>0</v>
      </c>
      <c r="BT61">
        <v>0</v>
      </c>
      <c r="BU61">
        <v>0</v>
      </c>
    </row>
    <row r="62" spans="1:73" x14ac:dyDescent="0.25">
      <c r="A62" t="s">
        <v>111</v>
      </c>
      <c r="B62">
        <v>3</v>
      </c>
      <c r="C62" t="s">
        <v>7</v>
      </c>
      <c r="D62" s="20">
        <v>17472</v>
      </c>
      <c r="E62" s="20">
        <v>224</v>
      </c>
      <c r="F62" s="20">
        <v>2</v>
      </c>
      <c r="G62" s="20">
        <v>8</v>
      </c>
      <c r="H62" s="79">
        <v>316.3</v>
      </c>
      <c r="I62" s="62">
        <v>11.243</v>
      </c>
      <c r="J62" s="16">
        <v>45548</v>
      </c>
      <c r="K62" s="25">
        <v>0.27763888888888888</v>
      </c>
      <c r="L62">
        <v>0</v>
      </c>
      <c r="M62">
        <v>0</v>
      </c>
      <c r="N62">
        <v>0</v>
      </c>
      <c r="O62">
        <v>0</v>
      </c>
      <c r="P62">
        <v>0</v>
      </c>
      <c r="Q62">
        <v>0</v>
      </c>
      <c r="R62">
        <v>0</v>
      </c>
      <c r="S62">
        <v>0</v>
      </c>
      <c r="T62">
        <v>0</v>
      </c>
      <c r="U62">
        <v>0</v>
      </c>
      <c r="V62">
        <v>0</v>
      </c>
      <c r="W62">
        <v>0</v>
      </c>
      <c r="X62" s="80">
        <f>X61</f>
        <v>11.207800000000001</v>
      </c>
      <c r="Z62" t="s">
        <v>149</v>
      </c>
      <c r="AA62">
        <v>3</v>
      </c>
      <c r="AB62" t="s">
        <v>7</v>
      </c>
      <c r="AC62" s="20">
        <v>17536</v>
      </c>
      <c r="AD62" s="20">
        <v>64</v>
      </c>
      <c r="AE62" s="20">
        <v>2</v>
      </c>
      <c r="AF62" s="20">
        <v>8</v>
      </c>
      <c r="AG62" s="79">
        <v>282.22000000000003</v>
      </c>
      <c r="AH62" s="62">
        <v>12.74</v>
      </c>
      <c r="AI62" s="16">
        <v>45555</v>
      </c>
      <c r="AJ62" s="25">
        <v>5.6250000000000001E-2</v>
      </c>
      <c r="AK62">
        <v>0</v>
      </c>
      <c r="AL62">
        <v>0</v>
      </c>
      <c r="AM62">
        <v>0</v>
      </c>
      <c r="AN62">
        <v>0</v>
      </c>
      <c r="AO62">
        <v>0</v>
      </c>
      <c r="AP62">
        <v>0</v>
      </c>
      <c r="AQ62">
        <v>0</v>
      </c>
      <c r="AR62">
        <v>0</v>
      </c>
      <c r="AS62">
        <v>0</v>
      </c>
      <c r="AT62">
        <v>0</v>
      </c>
      <c r="AU62">
        <v>0</v>
      </c>
      <c r="AV62">
        <v>0</v>
      </c>
      <c r="AW62" s="80">
        <f>AW61</f>
        <v>12.732750000000001</v>
      </c>
      <c r="BF62"/>
      <c r="BG62" s="62"/>
      <c r="BH62" s="16"/>
      <c r="BI62" s="18"/>
    </row>
    <row r="63" spans="1:73" x14ac:dyDescent="0.25">
      <c r="A63" t="s">
        <v>111</v>
      </c>
      <c r="B63">
        <v>4</v>
      </c>
      <c r="C63" t="s">
        <v>7</v>
      </c>
      <c r="D63" s="20">
        <v>17472</v>
      </c>
      <c r="E63" s="20">
        <v>224</v>
      </c>
      <c r="F63" s="20">
        <v>2</v>
      </c>
      <c r="G63" s="20">
        <v>8</v>
      </c>
      <c r="H63" s="79">
        <v>309.36</v>
      </c>
      <c r="I63" s="62">
        <v>11.494999999999999</v>
      </c>
      <c r="J63" s="16">
        <v>45548</v>
      </c>
      <c r="K63" s="25">
        <v>0.90569444444444447</v>
      </c>
      <c r="L63">
        <v>0</v>
      </c>
      <c r="M63">
        <v>0</v>
      </c>
      <c r="N63">
        <v>0</v>
      </c>
      <c r="O63">
        <v>0</v>
      </c>
      <c r="P63">
        <v>0</v>
      </c>
      <c r="Q63">
        <v>0</v>
      </c>
      <c r="R63">
        <v>0</v>
      </c>
      <c r="S63">
        <v>0</v>
      </c>
      <c r="T63">
        <v>0</v>
      </c>
      <c r="U63">
        <v>0</v>
      </c>
      <c r="V63">
        <v>0</v>
      </c>
      <c r="W63">
        <v>0</v>
      </c>
      <c r="X63" s="80">
        <f>X62</f>
        <v>11.207800000000001</v>
      </c>
      <c r="Z63" t="s">
        <v>149</v>
      </c>
      <c r="AA63">
        <v>4</v>
      </c>
      <c r="AB63" t="s">
        <v>7</v>
      </c>
      <c r="AC63" s="20">
        <v>17536</v>
      </c>
      <c r="AD63" s="20">
        <v>64</v>
      </c>
      <c r="AE63" s="20">
        <v>2</v>
      </c>
      <c r="AF63" s="20">
        <v>8</v>
      </c>
      <c r="AG63" s="79">
        <v>282.25</v>
      </c>
      <c r="AH63" s="62">
        <v>12.739000000000001</v>
      </c>
      <c r="AI63" s="16">
        <v>45555</v>
      </c>
      <c r="AJ63" s="25">
        <v>0.55638888888888893</v>
      </c>
      <c r="AK63">
        <v>0</v>
      </c>
      <c r="AL63">
        <v>0</v>
      </c>
      <c r="AM63">
        <v>0</v>
      </c>
      <c r="AN63">
        <v>0</v>
      </c>
      <c r="AO63">
        <v>0</v>
      </c>
      <c r="AP63">
        <v>0</v>
      </c>
      <c r="AQ63">
        <v>0</v>
      </c>
      <c r="AR63">
        <v>0</v>
      </c>
      <c r="AS63">
        <v>0</v>
      </c>
      <c r="AT63">
        <v>0</v>
      </c>
      <c r="AU63">
        <v>0</v>
      </c>
      <c r="AV63">
        <v>0</v>
      </c>
      <c r="AW63" s="80">
        <f>AW62</f>
        <v>12.732750000000001</v>
      </c>
      <c r="AZ63">
        <v>0</v>
      </c>
      <c r="BA63" t="s">
        <v>7</v>
      </c>
      <c r="BB63">
        <v>17536</v>
      </c>
      <c r="BC63">
        <v>128</v>
      </c>
      <c r="BD63">
        <v>2</v>
      </c>
      <c r="BE63">
        <v>8</v>
      </c>
      <c r="BF63">
        <v>334.83</v>
      </c>
      <c r="BG63" s="62">
        <v>10.738</v>
      </c>
      <c r="BH63" s="16">
        <v>45472</v>
      </c>
      <c r="BI63" s="18">
        <v>0.3746990740740741</v>
      </c>
      <c r="BJ63">
        <v>0</v>
      </c>
      <c r="BK63">
        <v>0</v>
      </c>
      <c r="BL63">
        <v>0</v>
      </c>
      <c r="BM63">
        <v>0</v>
      </c>
      <c r="BN63">
        <v>0</v>
      </c>
      <c r="BO63">
        <v>0</v>
      </c>
      <c r="BP63">
        <v>0</v>
      </c>
      <c r="BQ63">
        <v>0</v>
      </c>
      <c r="BR63">
        <v>0</v>
      </c>
      <c r="BS63">
        <v>0</v>
      </c>
      <c r="BT63">
        <v>0</v>
      </c>
      <c r="BU63">
        <v>0</v>
      </c>
    </row>
    <row r="64" spans="1:73" x14ac:dyDescent="0.25">
      <c r="A64" t="s">
        <v>111</v>
      </c>
      <c r="B64">
        <v>0</v>
      </c>
      <c r="C64" t="s">
        <v>7</v>
      </c>
      <c r="D64" s="20">
        <v>18560</v>
      </c>
      <c r="E64" s="20">
        <v>128</v>
      </c>
      <c r="F64" s="20">
        <v>2</v>
      </c>
      <c r="G64" s="20">
        <v>8</v>
      </c>
      <c r="H64" s="79">
        <v>380.84</v>
      </c>
      <c r="I64" s="62">
        <v>11.193</v>
      </c>
      <c r="J64" s="16">
        <v>45546</v>
      </c>
      <c r="K64" s="25">
        <v>0.4620023148148148</v>
      </c>
      <c r="L64">
        <v>0</v>
      </c>
      <c r="M64">
        <v>0</v>
      </c>
      <c r="N64">
        <v>0</v>
      </c>
      <c r="O64">
        <v>0</v>
      </c>
      <c r="P64">
        <v>0</v>
      </c>
      <c r="Q64">
        <v>0</v>
      </c>
      <c r="R64">
        <v>0</v>
      </c>
      <c r="S64">
        <v>0</v>
      </c>
      <c r="T64">
        <v>0</v>
      </c>
      <c r="U64">
        <v>0</v>
      </c>
      <c r="V64">
        <v>0</v>
      </c>
      <c r="W64">
        <v>0</v>
      </c>
      <c r="X64" s="82">
        <f>AVERAGE(I64:I68)</f>
        <v>11.0672</v>
      </c>
      <c r="Z64" t="s">
        <v>149</v>
      </c>
      <c r="AA64">
        <v>0</v>
      </c>
      <c r="AB64" t="s">
        <v>7</v>
      </c>
      <c r="AC64" s="20">
        <v>17472</v>
      </c>
      <c r="AD64" s="20">
        <v>192</v>
      </c>
      <c r="AE64" s="20">
        <v>2</v>
      </c>
      <c r="AF64" s="20">
        <v>8</v>
      </c>
      <c r="AG64" s="79">
        <v>280.52999999999997</v>
      </c>
      <c r="AH64" s="62">
        <v>12.677</v>
      </c>
      <c r="AI64" s="16">
        <v>45557</v>
      </c>
      <c r="AJ64" s="25">
        <v>0.93461805555555555</v>
      </c>
      <c r="AK64">
        <v>0</v>
      </c>
      <c r="AL64">
        <v>0</v>
      </c>
      <c r="AM64">
        <v>0</v>
      </c>
      <c r="AN64">
        <v>0</v>
      </c>
      <c r="AO64">
        <v>0</v>
      </c>
      <c r="AP64">
        <v>0</v>
      </c>
      <c r="AQ64">
        <v>0</v>
      </c>
      <c r="AR64">
        <v>0</v>
      </c>
      <c r="AS64">
        <v>0</v>
      </c>
      <c r="AT64">
        <v>0</v>
      </c>
      <c r="AU64">
        <v>0</v>
      </c>
      <c r="AV64">
        <v>0</v>
      </c>
      <c r="AW64" s="82">
        <f>AVERAGE(AH64:AH67)</f>
        <v>12.692499999999999</v>
      </c>
      <c r="AZ64">
        <v>1</v>
      </c>
      <c r="BA64" t="s">
        <v>7</v>
      </c>
      <c r="BB64">
        <v>17536</v>
      </c>
      <c r="BC64">
        <v>128</v>
      </c>
      <c r="BD64">
        <v>2</v>
      </c>
      <c r="BE64">
        <v>8</v>
      </c>
      <c r="BF64">
        <v>508.53</v>
      </c>
      <c r="BG64" s="62">
        <v>7.0702999999999996</v>
      </c>
      <c r="BH64" s="16">
        <v>45474</v>
      </c>
      <c r="BI64" s="18">
        <v>0.18113425925925927</v>
      </c>
      <c r="BJ64">
        <v>0</v>
      </c>
      <c r="BK64">
        <v>0</v>
      </c>
      <c r="BL64">
        <v>0</v>
      </c>
      <c r="BM64">
        <v>0</v>
      </c>
      <c r="BN64">
        <v>0</v>
      </c>
      <c r="BO64">
        <v>0</v>
      </c>
      <c r="BP64">
        <v>0</v>
      </c>
      <c r="BQ64">
        <v>0</v>
      </c>
      <c r="BR64">
        <v>0</v>
      </c>
      <c r="BS64">
        <v>0</v>
      </c>
      <c r="BT64">
        <v>0</v>
      </c>
      <c r="BU64">
        <v>0</v>
      </c>
    </row>
    <row r="65" spans="1:73" x14ac:dyDescent="0.25">
      <c r="A65" t="s">
        <v>111</v>
      </c>
      <c r="B65">
        <v>1</v>
      </c>
      <c r="C65" t="s">
        <v>7</v>
      </c>
      <c r="D65" s="20">
        <v>18560</v>
      </c>
      <c r="E65" s="20">
        <v>128</v>
      </c>
      <c r="F65" s="20">
        <v>2</v>
      </c>
      <c r="G65" s="20">
        <v>8</v>
      </c>
      <c r="H65" s="79">
        <v>396.39</v>
      </c>
      <c r="I65" s="62">
        <v>10.754</v>
      </c>
      <c r="J65" s="16">
        <v>45547</v>
      </c>
      <c r="K65" s="25">
        <v>7.8148148148148147E-2</v>
      </c>
      <c r="L65">
        <v>0</v>
      </c>
      <c r="M65">
        <v>0</v>
      </c>
      <c r="N65">
        <v>0</v>
      </c>
      <c r="O65">
        <v>0</v>
      </c>
      <c r="P65">
        <v>0</v>
      </c>
      <c r="Q65">
        <v>0</v>
      </c>
      <c r="R65">
        <v>0</v>
      </c>
      <c r="S65">
        <v>0</v>
      </c>
      <c r="T65">
        <v>0</v>
      </c>
      <c r="U65">
        <v>0</v>
      </c>
      <c r="V65">
        <v>0</v>
      </c>
      <c r="W65">
        <v>0</v>
      </c>
      <c r="X65" s="80">
        <f>X64</f>
        <v>11.0672</v>
      </c>
      <c r="Z65" t="s">
        <v>149</v>
      </c>
      <c r="AA65">
        <v>1</v>
      </c>
      <c r="AB65" t="s">
        <v>7</v>
      </c>
      <c r="AC65" s="20">
        <v>17472</v>
      </c>
      <c r="AD65" s="20">
        <v>192</v>
      </c>
      <c r="AE65" s="20">
        <v>2</v>
      </c>
      <c r="AF65" s="20">
        <v>8</v>
      </c>
      <c r="AG65" s="79">
        <v>280.05</v>
      </c>
      <c r="AH65" s="62">
        <v>12.699</v>
      </c>
      <c r="AI65" s="16">
        <v>45558</v>
      </c>
      <c r="AJ65" s="25">
        <v>0.43398148148148147</v>
      </c>
      <c r="AK65">
        <v>0</v>
      </c>
      <c r="AL65">
        <v>0</v>
      </c>
      <c r="AM65">
        <v>0</v>
      </c>
      <c r="AN65">
        <v>0</v>
      </c>
      <c r="AO65">
        <v>0</v>
      </c>
      <c r="AP65">
        <v>0</v>
      </c>
      <c r="AQ65">
        <v>0</v>
      </c>
      <c r="AR65">
        <v>0</v>
      </c>
      <c r="AS65">
        <v>0</v>
      </c>
      <c r="AT65">
        <v>0</v>
      </c>
      <c r="AU65">
        <v>0</v>
      </c>
      <c r="AV65">
        <v>0</v>
      </c>
      <c r="AW65" s="80">
        <f>AW64</f>
        <v>12.692499999999999</v>
      </c>
      <c r="AZ65">
        <v>0</v>
      </c>
      <c r="BA65" t="s">
        <v>7</v>
      </c>
      <c r="BB65">
        <v>18560</v>
      </c>
      <c r="BC65">
        <v>128</v>
      </c>
      <c r="BD65">
        <v>2</v>
      </c>
      <c r="BE65">
        <v>8</v>
      </c>
      <c r="BF65">
        <v>385.25</v>
      </c>
      <c r="BG65" s="62">
        <v>11.065</v>
      </c>
      <c r="BH65" s="16">
        <v>45472</v>
      </c>
      <c r="BI65" s="18">
        <v>0.49406250000000002</v>
      </c>
      <c r="BJ65">
        <v>0</v>
      </c>
      <c r="BK65">
        <v>0</v>
      </c>
      <c r="BL65">
        <v>0</v>
      </c>
      <c r="BM65">
        <v>0</v>
      </c>
      <c r="BN65">
        <v>0</v>
      </c>
      <c r="BO65">
        <v>0</v>
      </c>
      <c r="BP65">
        <v>0</v>
      </c>
      <c r="BQ65">
        <v>0</v>
      </c>
      <c r="BR65">
        <v>0</v>
      </c>
      <c r="BS65">
        <v>0</v>
      </c>
      <c r="BT65">
        <v>0</v>
      </c>
      <c r="BU65">
        <v>0</v>
      </c>
    </row>
    <row r="66" spans="1:73" x14ac:dyDescent="0.25">
      <c r="A66" t="s">
        <v>111</v>
      </c>
      <c r="B66">
        <v>2</v>
      </c>
      <c r="C66" t="s">
        <v>7</v>
      </c>
      <c r="D66" s="20">
        <v>18560</v>
      </c>
      <c r="E66" s="20">
        <v>128</v>
      </c>
      <c r="F66" s="20">
        <v>2</v>
      </c>
      <c r="G66" s="20">
        <v>8</v>
      </c>
      <c r="H66" s="79">
        <v>385.22</v>
      </c>
      <c r="I66" s="62">
        <v>11.066000000000001</v>
      </c>
      <c r="J66" s="16">
        <v>45547</v>
      </c>
      <c r="K66" s="25">
        <v>0.69208333333333338</v>
      </c>
      <c r="L66">
        <v>0</v>
      </c>
      <c r="M66">
        <v>0</v>
      </c>
      <c r="N66">
        <v>0</v>
      </c>
      <c r="O66">
        <v>0</v>
      </c>
      <c r="P66">
        <v>0</v>
      </c>
      <c r="Q66">
        <v>0</v>
      </c>
      <c r="R66">
        <v>0</v>
      </c>
      <c r="S66">
        <v>0</v>
      </c>
      <c r="T66">
        <v>0</v>
      </c>
      <c r="U66">
        <v>0</v>
      </c>
      <c r="V66">
        <v>0</v>
      </c>
      <c r="W66">
        <v>0</v>
      </c>
      <c r="X66" s="80">
        <f>X65</f>
        <v>11.0672</v>
      </c>
      <c r="Z66" t="s">
        <v>149</v>
      </c>
      <c r="AA66">
        <v>2</v>
      </c>
      <c r="AB66" t="s">
        <v>7</v>
      </c>
      <c r="AC66" s="20">
        <v>17472</v>
      </c>
      <c r="AD66" s="20">
        <v>192</v>
      </c>
      <c r="AE66" s="20">
        <v>2</v>
      </c>
      <c r="AF66" s="20">
        <v>8</v>
      </c>
      <c r="AG66" s="79">
        <v>279.83</v>
      </c>
      <c r="AH66" s="62">
        <v>12.709</v>
      </c>
      <c r="AI66" s="16">
        <v>45558</v>
      </c>
      <c r="AJ66" s="25">
        <v>0.93243055555555554</v>
      </c>
      <c r="AK66">
        <v>0</v>
      </c>
      <c r="AL66">
        <v>0</v>
      </c>
      <c r="AM66">
        <v>0</v>
      </c>
      <c r="AN66">
        <v>0</v>
      </c>
      <c r="AO66">
        <v>0</v>
      </c>
      <c r="AP66">
        <v>0</v>
      </c>
      <c r="AQ66">
        <v>0</v>
      </c>
      <c r="AR66">
        <v>0</v>
      </c>
      <c r="AS66">
        <v>0</v>
      </c>
      <c r="AT66">
        <v>0</v>
      </c>
      <c r="AU66">
        <v>0</v>
      </c>
      <c r="AV66">
        <v>0</v>
      </c>
      <c r="AW66" s="80">
        <f>AW65</f>
        <v>12.692499999999999</v>
      </c>
      <c r="AZ66">
        <v>1</v>
      </c>
      <c r="BA66" t="s">
        <v>7</v>
      </c>
      <c r="BB66">
        <v>18560</v>
      </c>
      <c r="BC66">
        <v>128</v>
      </c>
      <c r="BD66">
        <v>2</v>
      </c>
      <c r="BE66">
        <v>8</v>
      </c>
      <c r="BF66">
        <v>579.17999999999995</v>
      </c>
      <c r="BG66" s="62">
        <v>7.36</v>
      </c>
      <c r="BH66" s="16">
        <v>45474</v>
      </c>
      <c r="BI66" s="18">
        <v>0.35697916666666668</v>
      </c>
      <c r="BJ66">
        <v>0</v>
      </c>
      <c r="BK66">
        <v>0</v>
      </c>
      <c r="BL66">
        <v>0</v>
      </c>
      <c r="BM66">
        <v>0</v>
      </c>
      <c r="BN66">
        <v>0</v>
      </c>
      <c r="BO66">
        <v>0</v>
      </c>
      <c r="BP66">
        <v>0</v>
      </c>
      <c r="BQ66">
        <v>0</v>
      </c>
      <c r="BR66">
        <v>0</v>
      </c>
      <c r="BS66">
        <v>0</v>
      </c>
      <c r="BT66">
        <v>0</v>
      </c>
      <c r="BU66">
        <v>0</v>
      </c>
    </row>
    <row r="67" spans="1:73" x14ac:dyDescent="0.25">
      <c r="A67" t="s">
        <v>111</v>
      </c>
      <c r="B67">
        <v>3</v>
      </c>
      <c r="C67" t="s">
        <v>7</v>
      </c>
      <c r="D67" s="20">
        <v>18560</v>
      </c>
      <c r="E67" s="20">
        <v>128</v>
      </c>
      <c r="F67" s="20">
        <v>2</v>
      </c>
      <c r="G67" s="20">
        <v>8</v>
      </c>
      <c r="H67" s="79">
        <v>379.44</v>
      </c>
      <c r="I67" s="62">
        <v>11.234999999999999</v>
      </c>
      <c r="J67" s="16">
        <v>45548</v>
      </c>
      <c r="K67" s="25">
        <v>0.35269675925925925</v>
      </c>
      <c r="L67">
        <v>0</v>
      </c>
      <c r="M67">
        <v>0</v>
      </c>
      <c r="N67">
        <v>0</v>
      </c>
      <c r="O67">
        <v>0</v>
      </c>
      <c r="P67">
        <v>0</v>
      </c>
      <c r="Q67">
        <v>0</v>
      </c>
      <c r="R67">
        <v>0</v>
      </c>
      <c r="S67">
        <v>0</v>
      </c>
      <c r="T67">
        <v>0</v>
      </c>
      <c r="U67">
        <v>0</v>
      </c>
      <c r="V67">
        <v>0</v>
      </c>
      <c r="W67">
        <v>0</v>
      </c>
      <c r="X67" s="80">
        <f>X66</f>
        <v>11.0672</v>
      </c>
      <c r="Z67" t="s">
        <v>149</v>
      </c>
      <c r="AA67">
        <v>3</v>
      </c>
      <c r="AB67" t="s">
        <v>7</v>
      </c>
      <c r="AC67" s="20">
        <v>17472</v>
      </c>
      <c r="AD67" s="20">
        <v>192</v>
      </c>
      <c r="AE67" s="20">
        <v>2</v>
      </c>
      <c r="AF67" s="20">
        <v>8</v>
      </c>
      <c r="AG67" s="79">
        <v>280.36</v>
      </c>
      <c r="AH67" s="62">
        <v>12.685</v>
      </c>
      <c r="AI67" s="16">
        <v>45555</v>
      </c>
      <c r="AJ67" s="25">
        <v>0.10344907407407407</v>
      </c>
      <c r="AK67">
        <v>0</v>
      </c>
      <c r="AL67">
        <v>0</v>
      </c>
      <c r="AM67">
        <v>0</v>
      </c>
      <c r="AN67">
        <v>0</v>
      </c>
      <c r="AO67">
        <v>0</v>
      </c>
      <c r="AP67">
        <v>0</v>
      </c>
      <c r="AQ67">
        <v>0</v>
      </c>
      <c r="AR67">
        <v>0</v>
      </c>
      <c r="AS67">
        <v>0</v>
      </c>
      <c r="AT67">
        <v>0</v>
      </c>
      <c r="AU67">
        <v>0</v>
      </c>
      <c r="AV67">
        <v>0</v>
      </c>
      <c r="AW67" s="80">
        <f>AW66</f>
        <v>12.692499999999999</v>
      </c>
      <c r="AZ67">
        <v>0</v>
      </c>
      <c r="BA67" t="s">
        <v>7</v>
      </c>
      <c r="BB67">
        <v>19584</v>
      </c>
      <c r="BC67">
        <v>128</v>
      </c>
      <c r="BD67">
        <v>2</v>
      </c>
      <c r="BE67">
        <v>8</v>
      </c>
      <c r="BF67">
        <v>993.59</v>
      </c>
      <c r="BG67" s="62">
        <v>5.0403000000000002</v>
      </c>
      <c r="BH67" s="16">
        <v>45473</v>
      </c>
      <c r="BI67" s="18">
        <v>0.77239583333333328</v>
      </c>
      <c r="BJ67">
        <v>0</v>
      </c>
      <c r="BK67">
        <v>0</v>
      </c>
      <c r="BL67">
        <v>0</v>
      </c>
      <c r="BM67">
        <v>0</v>
      </c>
      <c r="BN67">
        <v>0</v>
      </c>
      <c r="BO67">
        <v>0</v>
      </c>
      <c r="BP67">
        <v>0</v>
      </c>
      <c r="BQ67">
        <v>0</v>
      </c>
      <c r="BR67">
        <v>0</v>
      </c>
      <c r="BS67">
        <v>0</v>
      </c>
      <c r="BT67">
        <v>0</v>
      </c>
      <c r="BU67">
        <v>0</v>
      </c>
    </row>
    <row r="68" spans="1:73" x14ac:dyDescent="0.25">
      <c r="A68" t="s">
        <v>111</v>
      </c>
      <c r="B68">
        <v>4</v>
      </c>
      <c r="C68" t="s">
        <v>7</v>
      </c>
      <c r="D68" s="20">
        <v>18560</v>
      </c>
      <c r="E68" s="20">
        <v>128</v>
      </c>
      <c r="F68" s="20">
        <v>2</v>
      </c>
      <c r="G68" s="20">
        <v>8</v>
      </c>
      <c r="H68" s="79">
        <v>384.46</v>
      </c>
      <c r="I68" s="62">
        <v>11.087999999999999</v>
      </c>
      <c r="J68" s="16">
        <v>45548</v>
      </c>
      <c r="K68" s="25">
        <v>0.9818055555555556</v>
      </c>
      <c r="L68">
        <v>0</v>
      </c>
      <c r="M68">
        <v>0</v>
      </c>
      <c r="N68">
        <v>0</v>
      </c>
      <c r="O68">
        <v>0</v>
      </c>
      <c r="P68">
        <v>0</v>
      </c>
      <c r="Q68">
        <v>0</v>
      </c>
      <c r="R68">
        <v>0</v>
      </c>
      <c r="S68">
        <v>0</v>
      </c>
      <c r="T68">
        <v>0</v>
      </c>
      <c r="U68">
        <v>0</v>
      </c>
      <c r="V68">
        <v>0</v>
      </c>
      <c r="W68">
        <v>0</v>
      </c>
      <c r="X68" s="80">
        <f>X67</f>
        <v>11.0672</v>
      </c>
      <c r="Z68" t="s">
        <v>149</v>
      </c>
      <c r="AA68">
        <v>4</v>
      </c>
      <c r="AB68" t="s">
        <v>7</v>
      </c>
      <c r="AC68" s="20">
        <v>17472</v>
      </c>
      <c r="AD68" s="20">
        <v>192</v>
      </c>
      <c r="AE68" s="20">
        <v>2</v>
      </c>
      <c r="AF68" s="20">
        <v>8</v>
      </c>
      <c r="AG68" s="79">
        <v>280.26</v>
      </c>
      <c r="AH68" s="62">
        <v>12.689</v>
      </c>
      <c r="AI68" s="16">
        <v>45555</v>
      </c>
      <c r="AJ68" s="25">
        <v>0.60359953703703706</v>
      </c>
      <c r="AK68">
        <v>0</v>
      </c>
      <c r="AL68">
        <v>0</v>
      </c>
      <c r="AM68">
        <v>0</v>
      </c>
      <c r="AN68">
        <v>0</v>
      </c>
      <c r="AO68">
        <v>0</v>
      </c>
      <c r="AP68">
        <v>0</v>
      </c>
      <c r="AQ68">
        <v>0</v>
      </c>
      <c r="AR68">
        <v>0</v>
      </c>
      <c r="AS68">
        <v>0</v>
      </c>
      <c r="AT68">
        <v>0</v>
      </c>
      <c r="AU68">
        <v>0</v>
      </c>
      <c r="AV68">
        <v>0</v>
      </c>
      <c r="AW68" s="80">
        <f>AW67</f>
        <v>12.692499999999999</v>
      </c>
      <c r="BF68"/>
      <c r="BG68" s="62"/>
      <c r="BH68" s="16"/>
      <c r="BI68" s="18"/>
    </row>
    <row r="69" spans="1:73" x14ac:dyDescent="0.25">
      <c r="A69" t="s">
        <v>111</v>
      </c>
      <c r="B69">
        <v>0</v>
      </c>
      <c r="C69" t="s">
        <v>7</v>
      </c>
      <c r="D69" s="20">
        <v>17472</v>
      </c>
      <c r="E69" s="20">
        <v>96</v>
      </c>
      <c r="F69" s="20">
        <v>2</v>
      </c>
      <c r="G69" s="20">
        <v>8</v>
      </c>
      <c r="H69" s="79">
        <v>320.56</v>
      </c>
      <c r="I69" s="62">
        <v>11.093999999999999</v>
      </c>
      <c r="J69" s="16">
        <v>45546</v>
      </c>
      <c r="K69" s="25">
        <v>0.33385416666666667</v>
      </c>
      <c r="L69">
        <v>0</v>
      </c>
      <c r="M69">
        <v>0</v>
      </c>
      <c r="N69">
        <v>0</v>
      </c>
      <c r="O69">
        <v>0</v>
      </c>
      <c r="P69">
        <v>0</v>
      </c>
      <c r="Q69">
        <v>0</v>
      </c>
      <c r="R69">
        <v>0</v>
      </c>
      <c r="S69">
        <v>0</v>
      </c>
      <c r="T69">
        <v>0</v>
      </c>
      <c r="U69">
        <v>0</v>
      </c>
      <c r="V69">
        <v>0</v>
      </c>
      <c r="W69">
        <v>0</v>
      </c>
      <c r="X69" s="82">
        <f>AVERAGE(I69:I73)</f>
        <v>11.0654</v>
      </c>
      <c r="Z69" t="s">
        <v>149</v>
      </c>
      <c r="AA69">
        <v>0</v>
      </c>
      <c r="AB69" t="s">
        <v>7</v>
      </c>
      <c r="AC69" s="20">
        <v>19488</v>
      </c>
      <c r="AD69" s="20">
        <v>224</v>
      </c>
      <c r="AE69" s="20">
        <v>2</v>
      </c>
      <c r="AF69" s="20">
        <v>8</v>
      </c>
      <c r="AG69" s="79">
        <v>394.14</v>
      </c>
      <c r="AH69" s="62">
        <v>12.52</v>
      </c>
      <c r="AI69" s="16">
        <v>45558</v>
      </c>
      <c r="AJ69" s="25">
        <v>0.29059027777777779</v>
      </c>
      <c r="AK69">
        <v>0</v>
      </c>
      <c r="AL69">
        <v>0</v>
      </c>
      <c r="AM69">
        <v>0</v>
      </c>
      <c r="AN69">
        <v>0</v>
      </c>
      <c r="AO69">
        <v>0</v>
      </c>
      <c r="AP69">
        <v>0</v>
      </c>
      <c r="AQ69">
        <v>0</v>
      </c>
      <c r="AR69">
        <v>0</v>
      </c>
      <c r="AS69">
        <v>0</v>
      </c>
      <c r="AT69">
        <v>0</v>
      </c>
      <c r="AU69">
        <v>0</v>
      </c>
      <c r="AV69">
        <v>0</v>
      </c>
      <c r="AW69" s="82">
        <f>AVERAGE(AH69:AH72)</f>
        <v>12.691000000000001</v>
      </c>
      <c r="AZ69">
        <v>0</v>
      </c>
      <c r="BA69" t="s">
        <v>7</v>
      </c>
      <c r="BB69">
        <v>17536</v>
      </c>
      <c r="BC69">
        <v>128</v>
      </c>
      <c r="BD69">
        <v>4</v>
      </c>
      <c r="BE69">
        <v>4</v>
      </c>
      <c r="BF69">
        <v>420.74</v>
      </c>
      <c r="BG69" s="62">
        <v>8.5456000000000003</v>
      </c>
      <c r="BH69" s="16">
        <v>45472</v>
      </c>
      <c r="BI69" s="18">
        <v>0.37986111111111109</v>
      </c>
      <c r="BJ69">
        <v>0</v>
      </c>
      <c r="BK69">
        <v>0</v>
      </c>
      <c r="BL69">
        <v>0</v>
      </c>
      <c r="BM69">
        <v>0</v>
      </c>
      <c r="BN69">
        <v>0</v>
      </c>
      <c r="BO69">
        <v>0</v>
      </c>
      <c r="BP69">
        <v>0</v>
      </c>
      <c r="BQ69">
        <v>0</v>
      </c>
      <c r="BR69">
        <v>0</v>
      </c>
      <c r="BS69">
        <v>0</v>
      </c>
      <c r="BT69">
        <v>0</v>
      </c>
      <c r="BU69">
        <v>0</v>
      </c>
    </row>
    <row r="70" spans="1:73" x14ac:dyDescent="0.25">
      <c r="A70" t="s">
        <v>111</v>
      </c>
      <c r="B70">
        <v>1</v>
      </c>
      <c r="C70" t="s">
        <v>7</v>
      </c>
      <c r="D70" s="20">
        <v>17472</v>
      </c>
      <c r="E70" s="20">
        <v>96</v>
      </c>
      <c r="F70" s="20">
        <v>2</v>
      </c>
      <c r="G70" s="20">
        <v>8</v>
      </c>
      <c r="H70" s="79">
        <v>319.8</v>
      </c>
      <c r="I70" s="62">
        <v>11.12</v>
      </c>
      <c r="J70" s="16">
        <v>45546</v>
      </c>
      <c r="K70" s="25">
        <v>0.95028935185185182</v>
      </c>
      <c r="L70">
        <v>0</v>
      </c>
      <c r="M70">
        <v>0</v>
      </c>
      <c r="N70">
        <v>0</v>
      </c>
      <c r="O70">
        <v>0</v>
      </c>
      <c r="P70">
        <v>0</v>
      </c>
      <c r="Q70">
        <v>0</v>
      </c>
      <c r="R70">
        <v>0</v>
      </c>
      <c r="S70">
        <v>0</v>
      </c>
      <c r="T70">
        <v>0</v>
      </c>
      <c r="U70">
        <v>0</v>
      </c>
      <c r="V70">
        <v>0</v>
      </c>
      <c r="W70">
        <v>0</v>
      </c>
      <c r="X70" s="80">
        <f>X69</f>
        <v>11.0654</v>
      </c>
      <c r="Z70" t="s">
        <v>149</v>
      </c>
      <c r="AA70">
        <v>1</v>
      </c>
      <c r="AB70" t="s">
        <v>7</v>
      </c>
      <c r="AC70" s="20">
        <v>19488</v>
      </c>
      <c r="AD70" s="20">
        <v>224</v>
      </c>
      <c r="AE70" s="20">
        <v>2</v>
      </c>
      <c r="AF70" s="20">
        <v>8</v>
      </c>
      <c r="AG70" s="79">
        <v>382.05</v>
      </c>
      <c r="AH70" s="62">
        <v>12.916</v>
      </c>
      <c r="AI70" s="16">
        <v>45558</v>
      </c>
      <c r="AJ70" s="25">
        <v>0.78600694444444441</v>
      </c>
      <c r="AK70">
        <v>0</v>
      </c>
      <c r="AL70">
        <v>0</v>
      </c>
      <c r="AM70">
        <v>0</v>
      </c>
      <c r="AN70">
        <v>0</v>
      </c>
      <c r="AO70">
        <v>0</v>
      </c>
      <c r="AP70">
        <v>0</v>
      </c>
      <c r="AQ70">
        <v>0</v>
      </c>
      <c r="AR70">
        <v>0</v>
      </c>
      <c r="AS70">
        <v>0</v>
      </c>
      <c r="AT70">
        <v>0</v>
      </c>
      <c r="AU70">
        <v>0</v>
      </c>
      <c r="AV70">
        <v>0</v>
      </c>
      <c r="AW70" s="80">
        <f>AW69</f>
        <v>12.691000000000001</v>
      </c>
      <c r="AZ70">
        <v>1</v>
      </c>
      <c r="BA70" t="s">
        <v>7</v>
      </c>
      <c r="BB70">
        <v>17536</v>
      </c>
      <c r="BC70">
        <v>128</v>
      </c>
      <c r="BD70">
        <v>4</v>
      </c>
      <c r="BE70">
        <v>4</v>
      </c>
      <c r="BF70">
        <v>665.14</v>
      </c>
      <c r="BG70" s="62">
        <v>5.4055999999999997</v>
      </c>
      <c r="BH70" s="16">
        <v>45474</v>
      </c>
      <c r="BI70" s="18">
        <v>0.18918981481481481</v>
      </c>
      <c r="BJ70">
        <v>0</v>
      </c>
      <c r="BK70">
        <v>0</v>
      </c>
      <c r="BL70">
        <v>0</v>
      </c>
      <c r="BM70">
        <v>0</v>
      </c>
      <c r="BN70">
        <v>0</v>
      </c>
      <c r="BO70">
        <v>0</v>
      </c>
      <c r="BP70">
        <v>0</v>
      </c>
      <c r="BQ70">
        <v>0</v>
      </c>
      <c r="BR70">
        <v>0</v>
      </c>
      <c r="BS70">
        <v>0</v>
      </c>
      <c r="BT70">
        <v>0</v>
      </c>
      <c r="BU70">
        <v>0</v>
      </c>
    </row>
    <row r="71" spans="1:73" x14ac:dyDescent="0.25">
      <c r="A71" t="s">
        <v>111</v>
      </c>
      <c r="B71">
        <v>2</v>
      </c>
      <c r="C71" t="s">
        <v>7</v>
      </c>
      <c r="D71" s="20">
        <v>17472</v>
      </c>
      <c r="E71" s="20">
        <v>96</v>
      </c>
      <c r="F71" s="20">
        <v>2</v>
      </c>
      <c r="G71" s="20">
        <v>8</v>
      </c>
      <c r="H71" s="79">
        <v>316.20999999999998</v>
      </c>
      <c r="I71" s="62">
        <v>11.246</v>
      </c>
      <c r="J71" s="16">
        <v>45547</v>
      </c>
      <c r="K71" s="25">
        <v>0.56535879629629626</v>
      </c>
      <c r="L71">
        <v>0</v>
      </c>
      <c r="M71">
        <v>0</v>
      </c>
      <c r="N71">
        <v>0</v>
      </c>
      <c r="O71">
        <v>0</v>
      </c>
      <c r="P71">
        <v>0</v>
      </c>
      <c r="Q71">
        <v>0</v>
      </c>
      <c r="R71">
        <v>0</v>
      </c>
      <c r="S71">
        <v>0</v>
      </c>
      <c r="T71">
        <v>0</v>
      </c>
      <c r="U71">
        <v>0</v>
      </c>
      <c r="V71">
        <v>0</v>
      </c>
      <c r="W71">
        <v>0</v>
      </c>
      <c r="X71" s="80">
        <f>X70</f>
        <v>11.0654</v>
      </c>
      <c r="Z71" t="s">
        <v>149</v>
      </c>
      <c r="AA71">
        <v>2</v>
      </c>
      <c r="AB71" t="s">
        <v>7</v>
      </c>
      <c r="AC71" s="20">
        <v>19488</v>
      </c>
      <c r="AD71" s="20">
        <v>224</v>
      </c>
      <c r="AE71" s="20">
        <v>2</v>
      </c>
      <c r="AF71" s="20">
        <v>8</v>
      </c>
      <c r="AG71" s="79">
        <v>392.98</v>
      </c>
      <c r="AH71" s="62">
        <v>12.557</v>
      </c>
      <c r="AI71" s="16">
        <v>45554</v>
      </c>
      <c r="AJ71" s="25">
        <v>0.95303240740740736</v>
      </c>
      <c r="AK71">
        <v>0</v>
      </c>
      <c r="AL71">
        <v>0</v>
      </c>
      <c r="AM71">
        <v>0</v>
      </c>
      <c r="AN71">
        <v>0</v>
      </c>
      <c r="AO71">
        <v>0</v>
      </c>
      <c r="AP71">
        <v>0</v>
      </c>
      <c r="AQ71">
        <v>0</v>
      </c>
      <c r="AR71">
        <v>0</v>
      </c>
      <c r="AS71">
        <v>0</v>
      </c>
      <c r="AT71">
        <v>0</v>
      </c>
      <c r="AU71">
        <v>0</v>
      </c>
      <c r="AV71">
        <v>0</v>
      </c>
      <c r="AW71" s="80">
        <f>AW70</f>
        <v>12.691000000000001</v>
      </c>
      <c r="AZ71">
        <v>0</v>
      </c>
      <c r="BA71" t="s">
        <v>7</v>
      </c>
      <c r="BB71">
        <v>18560</v>
      </c>
      <c r="BC71">
        <v>128</v>
      </c>
      <c r="BD71">
        <v>4</v>
      </c>
      <c r="BE71">
        <v>4</v>
      </c>
      <c r="BF71">
        <v>484.18</v>
      </c>
      <c r="BG71" s="62">
        <v>8.8041</v>
      </c>
      <c r="BH71" s="16">
        <v>45472</v>
      </c>
      <c r="BI71" s="18">
        <v>0.49997685185185187</v>
      </c>
      <c r="BJ71">
        <v>0</v>
      </c>
      <c r="BK71">
        <v>0</v>
      </c>
      <c r="BL71">
        <v>0</v>
      </c>
      <c r="BM71">
        <v>0</v>
      </c>
      <c r="BN71">
        <v>0</v>
      </c>
      <c r="BO71">
        <v>0</v>
      </c>
      <c r="BP71">
        <v>0</v>
      </c>
      <c r="BQ71">
        <v>0</v>
      </c>
      <c r="BR71">
        <v>0</v>
      </c>
      <c r="BS71">
        <v>0</v>
      </c>
      <c r="BT71">
        <v>0</v>
      </c>
      <c r="BU71">
        <v>0</v>
      </c>
    </row>
    <row r="72" spans="1:73" x14ac:dyDescent="0.25">
      <c r="A72" t="s">
        <v>111</v>
      </c>
      <c r="B72">
        <v>3</v>
      </c>
      <c r="C72" t="s">
        <v>7</v>
      </c>
      <c r="D72" s="20">
        <v>17472</v>
      </c>
      <c r="E72" s="20">
        <v>96</v>
      </c>
      <c r="F72" s="20">
        <v>2</v>
      </c>
      <c r="G72" s="20">
        <v>8</v>
      </c>
      <c r="H72" s="79">
        <v>326.85000000000002</v>
      </c>
      <c r="I72" s="62">
        <v>10.88</v>
      </c>
      <c r="J72" s="16">
        <v>45548</v>
      </c>
      <c r="K72" s="25">
        <v>0.22594907407407408</v>
      </c>
      <c r="L72">
        <v>0</v>
      </c>
      <c r="M72">
        <v>0</v>
      </c>
      <c r="N72">
        <v>0</v>
      </c>
      <c r="O72">
        <v>0</v>
      </c>
      <c r="P72">
        <v>0</v>
      </c>
      <c r="Q72">
        <v>0</v>
      </c>
      <c r="R72">
        <v>0</v>
      </c>
      <c r="S72">
        <v>0</v>
      </c>
      <c r="T72">
        <v>0</v>
      </c>
      <c r="U72">
        <v>0</v>
      </c>
      <c r="V72">
        <v>0</v>
      </c>
      <c r="W72">
        <v>0</v>
      </c>
      <c r="X72" s="80">
        <f>X71</f>
        <v>11.0654</v>
      </c>
      <c r="Z72" t="s">
        <v>149</v>
      </c>
      <c r="AA72">
        <v>3</v>
      </c>
      <c r="AB72" t="s">
        <v>7</v>
      </c>
      <c r="AC72">
        <v>19488</v>
      </c>
      <c r="AD72">
        <v>224</v>
      </c>
      <c r="AE72">
        <v>2</v>
      </c>
      <c r="AF72">
        <v>8</v>
      </c>
      <c r="AG72" s="23">
        <v>386.41</v>
      </c>
      <c r="AH72" s="62">
        <v>12.771000000000001</v>
      </c>
      <c r="AI72" s="16">
        <v>45555</v>
      </c>
      <c r="AJ72" s="18">
        <v>0.45678240740740739</v>
      </c>
      <c r="AK72">
        <v>0</v>
      </c>
      <c r="AL72">
        <v>0</v>
      </c>
      <c r="AM72">
        <v>0</v>
      </c>
      <c r="AN72">
        <v>0</v>
      </c>
      <c r="AO72">
        <v>0</v>
      </c>
      <c r="AP72">
        <v>0</v>
      </c>
      <c r="AQ72">
        <v>0</v>
      </c>
      <c r="AR72">
        <v>0</v>
      </c>
      <c r="AS72">
        <v>0</v>
      </c>
      <c r="AT72">
        <v>0</v>
      </c>
      <c r="AU72">
        <v>0</v>
      </c>
      <c r="AV72">
        <v>0</v>
      </c>
      <c r="AW72" s="80">
        <f>AW71</f>
        <v>12.691000000000001</v>
      </c>
      <c r="AZ72">
        <v>1</v>
      </c>
      <c r="BA72" t="s">
        <v>7</v>
      </c>
      <c r="BB72">
        <v>18560</v>
      </c>
      <c r="BC72">
        <v>128</v>
      </c>
      <c r="BD72">
        <v>4</v>
      </c>
      <c r="BE72">
        <v>4</v>
      </c>
      <c r="BF72">
        <v>770.25</v>
      </c>
      <c r="BG72" s="62">
        <v>5.5343</v>
      </c>
      <c r="BH72" s="16">
        <v>45474</v>
      </c>
      <c r="BI72" s="18">
        <v>0.36629629629629629</v>
      </c>
      <c r="BJ72">
        <v>0</v>
      </c>
      <c r="BK72">
        <v>0</v>
      </c>
      <c r="BL72">
        <v>0</v>
      </c>
      <c r="BM72">
        <v>0</v>
      </c>
      <c r="BN72">
        <v>0</v>
      </c>
      <c r="BO72">
        <v>0</v>
      </c>
      <c r="BP72">
        <v>0</v>
      </c>
      <c r="BQ72">
        <v>0</v>
      </c>
      <c r="BR72">
        <v>0</v>
      </c>
      <c r="BS72">
        <v>0</v>
      </c>
      <c r="BT72">
        <v>0</v>
      </c>
      <c r="BU72">
        <v>0</v>
      </c>
    </row>
    <row r="73" spans="1:73" x14ac:dyDescent="0.25">
      <c r="A73" t="s">
        <v>111</v>
      </c>
      <c r="B73">
        <v>4</v>
      </c>
      <c r="C73" t="s">
        <v>7</v>
      </c>
      <c r="D73" s="20">
        <v>17472</v>
      </c>
      <c r="E73" s="20">
        <v>96</v>
      </c>
      <c r="F73" s="20">
        <v>2</v>
      </c>
      <c r="G73" s="20">
        <v>8</v>
      </c>
      <c r="H73" s="79">
        <v>323.69</v>
      </c>
      <c r="I73" s="62">
        <v>10.987</v>
      </c>
      <c r="J73" s="16">
        <v>45548</v>
      </c>
      <c r="K73" s="25">
        <v>0.85440972222222222</v>
      </c>
      <c r="L73">
        <v>0</v>
      </c>
      <c r="M73">
        <v>0</v>
      </c>
      <c r="N73">
        <v>0</v>
      </c>
      <c r="O73">
        <v>0</v>
      </c>
      <c r="P73">
        <v>0</v>
      </c>
      <c r="Q73">
        <v>0</v>
      </c>
      <c r="R73">
        <v>0</v>
      </c>
      <c r="S73">
        <v>0</v>
      </c>
      <c r="T73">
        <v>0</v>
      </c>
      <c r="U73">
        <v>0</v>
      </c>
      <c r="V73">
        <v>0</v>
      </c>
      <c r="W73">
        <v>0</v>
      </c>
      <c r="X73" s="80">
        <f>X72</f>
        <v>11.0654</v>
      </c>
      <c r="Z73" t="s">
        <v>149</v>
      </c>
      <c r="AA73">
        <v>4</v>
      </c>
      <c r="AB73" t="s">
        <v>7</v>
      </c>
      <c r="AC73" s="20">
        <v>19488</v>
      </c>
      <c r="AD73" s="20">
        <v>224</v>
      </c>
      <c r="AE73" s="20">
        <v>2</v>
      </c>
      <c r="AF73" s="20">
        <v>8</v>
      </c>
      <c r="AG73" s="79">
        <v>391.6</v>
      </c>
      <c r="AH73" s="62">
        <v>12.601000000000001</v>
      </c>
      <c r="AI73" s="16">
        <v>45555</v>
      </c>
      <c r="AJ73" s="25">
        <v>0.96765046296296298</v>
      </c>
      <c r="AK73">
        <v>0</v>
      </c>
      <c r="AL73">
        <v>0</v>
      </c>
      <c r="AM73">
        <v>0</v>
      </c>
      <c r="AN73">
        <v>0</v>
      </c>
      <c r="AO73">
        <v>0</v>
      </c>
      <c r="AP73">
        <v>0</v>
      </c>
      <c r="AQ73">
        <v>0</v>
      </c>
      <c r="AR73">
        <v>0</v>
      </c>
      <c r="AS73">
        <v>0</v>
      </c>
      <c r="AT73">
        <v>0</v>
      </c>
      <c r="AU73">
        <v>0</v>
      </c>
      <c r="AV73">
        <v>0</v>
      </c>
      <c r="AW73" s="80">
        <f>AW72</f>
        <v>12.691000000000001</v>
      </c>
      <c r="AZ73">
        <v>0</v>
      </c>
      <c r="BA73" t="s">
        <v>7</v>
      </c>
      <c r="BB73">
        <v>19584</v>
      </c>
      <c r="BC73">
        <v>128</v>
      </c>
      <c r="BD73">
        <v>4</v>
      </c>
      <c r="BE73">
        <v>4</v>
      </c>
      <c r="BF73">
        <v>548.45000000000005</v>
      </c>
      <c r="BG73" s="62">
        <v>9.1311999999999998</v>
      </c>
      <c r="BH73" s="16">
        <v>45473</v>
      </c>
      <c r="BI73" s="18">
        <v>0.89456018518518521</v>
      </c>
      <c r="BJ73">
        <v>0</v>
      </c>
      <c r="BK73">
        <v>0</v>
      </c>
      <c r="BL73">
        <v>0</v>
      </c>
      <c r="BM73">
        <v>0</v>
      </c>
      <c r="BN73">
        <v>0</v>
      </c>
      <c r="BO73">
        <v>0</v>
      </c>
      <c r="BP73">
        <v>0</v>
      </c>
      <c r="BQ73">
        <v>0</v>
      </c>
      <c r="BR73">
        <v>0</v>
      </c>
      <c r="BS73">
        <v>0</v>
      </c>
      <c r="BT73">
        <v>0</v>
      </c>
      <c r="BU73">
        <v>0</v>
      </c>
    </row>
    <row r="74" spans="1:73" x14ac:dyDescent="0.25">
      <c r="A74" t="s">
        <v>111</v>
      </c>
      <c r="B74">
        <v>0</v>
      </c>
      <c r="C74" t="s">
        <v>7</v>
      </c>
      <c r="D74" s="20">
        <v>18432</v>
      </c>
      <c r="E74" s="20">
        <v>256</v>
      </c>
      <c r="F74" s="20">
        <v>2</v>
      </c>
      <c r="G74" s="20">
        <v>8</v>
      </c>
      <c r="H74" s="79">
        <v>378.82</v>
      </c>
      <c r="I74" s="62">
        <v>11.022</v>
      </c>
      <c r="J74" s="16">
        <v>45546</v>
      </c>
      <c r="K74" s="25">
        <v>0.53508101851851853</v>
      </c>
      <c r="L74">
        <v>0</v>
      </c>
      <c r="M74">
        <v>0</v>
      </c>
      <c r="N74">
        <v>0</v>
      </c>
      <c r="O74">
        <v>0</v>
      </c>
      <c r="P74">
        <v>0</v>
      </c>
      <c r="Q74">
        <v>0</v>
      </c>
      <c r="R74">
        <v>0</v>
      </c>
      <c r="S74">
        <v>0</v>
      </c>
      <c r="T74">
        <v>0</v>
      </c>
      <c r="U74">
        <v>0</v>
      </c>
      <c r="V74">
        <v>0</v>
      </c>
      <c r="W74">
        <v>0</v>
      </c>
      <c r="X74" s="82">
        <f>AVERAGE(I74:I78)</f>
        <v>11.063799999999999</v>
      </c>
      <c r="Z74" t="s">
        <v>149</v>
      </c>
      <c r="AA74">
        <v>0</v>
      </c>
      <c r="AB74" t="s">
        <v>7</v>
      </c>
      <c r="AC74" s="20">
        <v>18432</v>
      </c>
      <c r="AD74" s="20">
        <v>256</v>
      </c>
      <c r="AE74" s="20">
        <v>2</v>
      </c>
      <c r="AF74" s="20">
        <v>8</v>
      </c>
      <c r="AG74" s="79">
        <v>330.97</v>
      </c>
      <c r="AH74" s="62">
        <v>12.615</v>
      </c>
      <c r="AI74" s="16">
        <v>45558</v>
      </c>
      <c r="AJ74" s="25">
        <v>8.217592592592593E-2</v>
      </c>
      <c r="AK74">
        <v>0</v>
      </c>
      <c r="AL74">
        <v>0</v>
      </c>
      <c r="AM74">
        <v>0</v>
      </c>
      <c r="AN74">
        <v>0</v>
      </c>
      <c r="AO74">
        <v>0</v>
      </c>
      <c r="AP74">
        <v>0</v>
      </c>
      <c r="AQ74">
        <v>0</v>
      </c>
      <c r="AR74">
        <v>0</v>
      </c>
      <c r="AS74">
        <v>0</v>
      </c>
      <c r="AT74">
        <v>0</v>
      </c>
      <c r="AU74">
        <v>0</v>
      </c>
      <c r="AV74">
        <v>0</v>
      </c>
      <c r="AW74" s="82">
        <f>AVERAGE(AH74:AH77)</f>
        <v>12.66075</v>
      </c>
      <c r="BF74"/>
      <c r="BG74" s="62"/>
      <c r="BH74" s="16"/>
      <c r="BI74" s="18"/>
    </row>
    <row r="75" spans="1:73" x14ac:dyDescent="0.25">
      <c r="A75" t="s">
        <v>111</v>
      </c>
      <c r="B75">
        <v>1</v>
      </c>
      <c r="C75" t="s">
        <v>7</v>
      </c>
      <c r="D75" s="20">
        <v>18432</v>
      </c>
      <c r="E75" s="20">
        <v>256</v>
      </c>
      <c r="F75" s="20">
        <v>2</v>
      </c>
      <c r="G75" s="20">
        <v>8</v>
      </c>
      <c r="H75" s="79">
        <v>373.85</v>
      </c>
      <c r="I75" s="62">
        <v>11.167999999999999</v>
      </c>
      <c r="J75" s="16">
        <v>45547</v>
      </c>
      <c r="K75" s="25">
        <v>0.15885416666666666</v>
      </c>
      <c r="L75">
        <v>0</v>
      </c>
      <c r="M75">
        <v>0</v>
      </c>
      <c r="N75">
        <v>0</v>
      </c>
      <c r="O75">
        <v>0</v>
      </c>
      <c r="P75">
        <v>0</v>
      </c>
      <c r="Q75">
        <v>0</v>
      </c>
      <c r="R75">
        <v>0</v>
      </c>
      <c r="S75">
        <v>0</v>
      </c>
      <c r="T75">
        <v>0</v>
      </c>
      <c r="U75">
        <v>0</v>
      </c>
      <c r="V75">
        <v>0</v>
      </c>
      <c r="W75">
        <v>0</v>
      </c>
      <c r="X75" s="80">
        <f>X74</f>
        <v>11.063799999999999</v>
      </c>
      <c r="Z75" t="s">
        <v>149</v>
      </c>
      <c r="AA75">
        <v>1</v>
      </c>
      <c r="AB75" t="s">
        <v>7</v>
      </c>
      <c r="AC75" s="20">
        <v>18432</v>
      </c>
      <c r="AD75" s="20">
        <v>256</v>
      </c>
      <c r="AE75" s="20">
        <v>2</v>
      </c>
      <c r="AF75" s="20">
        <v>8</v>
      </c>
      <c r="AG75" s="79">
        <v>328.01</v>
      </c>
      <c r="AH75" s="62">
        <v>12.728999999999999</v>
      </c>
      <c r="AI75" s="16">
        <v>45558</v>
      </c>
      <c r="AJ75" s="25">
        <v>0.5753935185185185</v>
      </c>
      <c r="AK75">
        <v>0</v>
      </c>
      <c r="AL75">
        <v>0</v>
      </c>
      <c r="AM75">
        <v>0</v>
      </c>
      <c r="AN75">
        <v>0</v>
      </c>
      <c r="AO75">
        <v>0</v>
      </c>
      <c r="AP75">
        <v>0</v>
      </c>
      <c r="AQ75">
        <v>0</v>
      </c>
      <c r="AR75">
        <v>0</v>
      </c>
      <c r="AS75">
        <v>0</v>
      </c>
      <c r="AT75">
        <v>0</v>
      </c>
      <c r="AU75">
        <v>0</v>
      </c>
      <c r="AV75">
        <v>0</v>
      </c>
      <c r="AW75" s="80">
        <f>AW74</f>
        <v>12.66075</v>
      </c>
      <c r="AZ75">
        <v>0</v>
      </c>
      <c r="BA75" t="s">
        <v>7</v>
      </c>
      <c r="BB75">
        <v>17600</v>
      </c>
      <c r="BC75">
        <v>160</v>
      </c>
      <c r="BD75">
        <v>1</v>
      </c>
      <c r="BE75">
        <v>16</v>
      </c>
      <c r="BF75">
        <v>344.13</v>
      </c>
      <c r="BG75" s="62">
        <v>10.563000000000001</v>
      </c>
      <c r="BH75" s="16">
        <v>45472</v>
      </c>
      <c r="BI75" s="18">
        <v>0.38416666666666666</v>
      </c>
      <c r="BJ75">
        <v>0</v>
      </c>
      <c r="BK75">
        <v>0</v>
      </c>
      <c r="BL75">
        <v>0</v>
      </c>
      <c r="BM75">
        <v>0</v>
      </c>
      <c r="BN75">
        <v>0</v>
      </c>
      <c r="BO75">
        <v>0</v>
      </c>
      <c r="BP75">
        <v>0</v>
      </c>
      <c r="BQ75">
        <v>0</v>
      </c>
      <c r="BR75">
        <v>0</v>
      </c>
      <c r="BS75">
        <v>0</v>
      </c>
      <c r="BT75">
        <v>0</v>
      </c>
      <c r="BU75">
        <v>0</v>
      </c>
    </row>
    <row r="76" spans="1:73" x14ac:dyDescent="0.25">
      <c r="A76" t="s">
        <v>111</v>
      </c>
      <c r="B76">
        <v>2</v>
      </c>
      <c r="C76" t="s">
        <v>7</v>
      </c>
      <c r="D76" s="20">
        <v>18432</v>
      </c>
      <c r="E76" s="20">
        <v>256</v>
      </c>
      <c r="F76" s="20">
        <v>2</v>
      </c>
      <c r="G76" s="20">
        <v>8</v>
      </c>
      <c r="H76" s="79">
        <v>376.65</v>
      </c>
      <c r="I76" s="62">
        <v>11.085000000000001</v>
      </c>
      <c r="J76" s="16">
        <v>45547</v>
      </c>
      <c r="K76" s="25">
        <v>0.76856481481481487</v>
      </c>
      <c r="L76">
        <v>0</v>
      </c>
      <c r="M76">
        <v>0</v>
      </c>
      <c r="N76">
        <v>0</v>
      </c>
      <c r="O76">
        <v>0</v>
      </c>
      <c r="P76">
        <v>0</v>
      </c>
      <c r="Q76">
        <v>0</v>
      </c>
      <c r="R76">
        <v>0</v>
      </c>
      <c r="S76">
        <v>0</v>
      </c>
      <c r="T76">
        <v>0</v>
      </c>
      <c r="U76">
        <v>0</v>
      </c>
      <c r="V76">
        <v>0</v>
      </c>
      <c r="W76">
        <v>0</v>
      </c>
      <c r="X76" s="80">
        <f>X75</f>
        <v>11.063799999999999</v>
      </c>
      <c r="Z76" t="s">
        <v>149</v>
      </c>
      <c r="AA76">
        <v>2</v>
      </c>
      <c r="AB76" t="s">
        <v>7</v>
      </c>
      <c r="AC76" s="20">
        <v>18432</v>
      </c>
      <c r="AD76" s="20">
        <v>256</v>
      </c>
      <c r="AE76" s="20">
        <v>2</v>
      </c>
      <c r="AF76" s="20">
        <v>8</v>
      </c>
      <c r="AG76" s="79">
        <v>330.64</v>
      </c>
      <c r="AH76" s="62">
        <v>12.628</v>
      </c>
      <c r="AI76" s="16">
        <v>45554</v>
      </c>
      <c r="AJ76" s="25">
        <v>0.71989583333333329</v>
      </c>
      <c r="AK76">
        <v>0</v>
      </c>
      <c r="AL76">
        <v>0</v>
      </c>
      <c r="AM76">
        <v>0</v>
      </c>
      <c r="AN76">
        <v>0</v>
      </c>
      <c r="AO76">
        <v>0</v>
      </c>
      <c r="AP76">
        <v>0</v>
      </c>
      <c r="AQ76">
        <v>0</v>
      </c>
      <c r="AR76">
        <v>0</v>
      </c>
      <c r="AS76">
        <v>0</v>
      </c>
      <c r="AT76">
        <v>0</v>
      </c>
      <c r="AU76">
        <v>0</v>
      </c>
      <c r="AV76">
        <v>0</v>
      </c>
      <c r="AW76" s="80">
        <f>AW75</f>
        <v>12.66075</v>
      </c>
      <c r="AZ76">
        <v>1</v>
      </c>
      <c r="BA76" t="s">
        <v>7</v>
      </c>
      <c r="BB76">
        <v>17600</v>
      </c>
      <c r="BC76">
        <v>160</v>
      </c>
      <c r="BD76">
        <v>1</v>
      </c>
      <c r="BE76">
        <v>16</v>
      </c>
      <c r="BF76">
        <v>508.1</v>
      </c>
      <c r="BG76" s="62">
        <v>7.1540999999999997</v>
      </c>
      <c r="BH76" s="16">
        <v>45474</v>
      </c>
      <c r="BI76" s="18">
        <v>0.19545138888888888</v>
      </c>
      <c r="BJ76">
        <v>0</v>
      </c>
      <c r="BK76">
        <v>0</v>
      </c>
      <c r="BL76">
        <v>0</v>
      </c>
      <c r="BM76">
        <v>0</v>
      </c>
      <c r="BN76">
        <v>0</v>
      </c>
      <c r="BO76">
        <v>0</v>
      </c>
      <c r="BP76">
        <v>0</v>
      </c>
      <c r="BQ76">
        <v>0</v>
      </c>
      <c r="BR76">
        <v>0</v>
      </c>
      <c r="BS76">
        <v>0</v>
      </c>
      <c r="BT76">
        <v>0</v>
      </c>
      <c r="BU76">
        <v>0</v>
      </c>
    </row>
    <row r="77" spans="1:73" x14ac:dyDescent="0.25">
      <c r="A77" t="s">
        <v>111</v>
      </c>
      <c r="B77">
        <v>3</v>
      </c>
      <c r="C77" t="s">
        <v>7</v>
      </c>
      <c r="D77" s="20">
        <v>18432</v>
      </c>
      <c r="E77" s="20">
        <v>256</v>
      </c>
      <c r="F77" s="20">
        <v>2</v>
      </c>
      <c r="G77" s="20">
        <v>8</v>
      </c>
      <c r="H77" s="79">
        <v>373.31</v>
      </c>
      <c r="I77" s="62">
        <v>11.183999999999999</v>
      </c>
      <c r="J77" s="16">
        <v>45548</v>
      </c>
      <c r="K77" s="25">
        <v>0.43322916666666667</v>
      </c>
      <c r="L77">
        <v>0</v>
      </c>
      <c r="M77">
        <v>0</v>
      </c>
      <c r="N77">
        <v>0</v>
      </c>
      <c r="O77">
        <v>0</v>
      </c>
      <c r="P77">
        <v>0</v>
      </c>
      <c r="Q77">
        <v>0</v>
      </c>
      <c r="R77">
        <v>0</v>
      </c>
      <c r="S77">
        <v>0</v>
      </c>
      <c r="T77">
        <v>0</v>
      </c>
      <c r="U77">
        <v>0</v>
      </c>
      <c r="V77">
        <v>0</v>
      </c>
      <c r="W77">
        <v>0</v>
      </c>
      <c r="X77" s="80">
        <f>X76</f>
        <v>11.063799999999999</v>
      </c>
      <c r="Z77" t="s">
        <v>149</v>
      </c>
      <c r="AA77">
        <v>3</v>
      </c>
      <c r="AB77" t="s">
        <v>7</v>
      </c>
      <c r="AC77" s="20">
        <v>18432</v>
      </c>
      <c r="AD77" s="20">
        <v>256</v>
      </c>
      <c r="AE77" s="20">
        <v>2</v>
      </c>
      <c r="AF77" s="20">
        <v>8</v>
      </c>
      <c r="AG77" s="79">
        <v>329.51</v>
      </c>
      <c r="AH77" s="62">
        <v>12.670999999999999</v>
      </c>
      <c r="AI77" s="16">
        <v>45555</v>
      </c>
      <c r="AJ77" s="25">
        <v>0.24520833333333333</v>
      </c>
      <c r="AK77">
        <v>0</v>
      </c>
      <c r="AL77">
        <v>0</v>
      </c>
      <c r="AM77">
        <v>0</v>
      </c>
      <c r="AN77">
        <v>0</v>
      </c>
      <c r="AO77">
        <v>0</v>
      </c>
      <c r="AP77">
        <v>0</v>
      </c>
      <c r="AQ77">
        <v>0</v>
      </c>
      <c r="AR77">
        <v>0</v>
      </c>
      <c r="AS77">
        <v>0</v>
      </c>
      <c r="AT77">
        <v>0</v>
      </c>
      <c r="AU77">
        <v>0</v>
      </c>
      <c r="AV77">
        <v>0</v>
      </c>
      <c r="AW77" s="80">
        <f>AW76</f>
        <v>12.66075</v>
      </c>
      <c r="AZ77">
        <v>0</v>
      </c>
      <c r="BA77" t="s">
        <v>7</v>
      </c>
      <c r="BB77">
        <v>18560</v>
      </c>
      <c r="BC77">
        <v>160</v>
      </c>
      <c r="BD77">
        <v>1</v>
      </c>
      <c r="BE77">
        <v>16</v>
      </c>
      <c r="BF77">
        <v>824.35</v>
      </c>
      <c r="BG77" s="62">
        <v>5.1711</v>
      </c>
      <c r="BH77" s="16">
        <v>45472</v>
      </c>
      <c r="BI77" s="18">
        <v>0.51074074074074072</v>
      </c>
      <c r="BJ77">
        <v>0</v>
      </c>
      <c r="BK77">
        <v>0</v>
      </c>
      <c r="BL77">
        <v>0</v>
      </c>
      <c r="BM77">
        <v>0</v>
      </c>
      <c r="BN77">
        <v>0</v>
      </c>
      <c r="BO77">
        <v>0</v>
      </c>
      <c r="BP77">
        <v>0</v>
      </c>
      <c r="BQ77">
        <v>0</v>
      </c>
      <c r="BR77">
        <v>0</v>
      </c>
      <c r="BS77">
        <v>0</v>
      </c>
      <c r="BT77">
        <v>0</v>
      </c>
      <c r="BU77">
        <v>0</v>
      </c>
    </row>
    <row r="78" spans="1:73" x14ac:dyDescent="0.25">
      <c r="A78" t="s">
        <v>111</v>
      </c>
      <c r="B78">
        <v>4</v>
      </c>
      <c r="C78" t="s">
        <v>7</v>
      </c>
      <c r="D78" s="20">
        <v>18432</v>
      </c>
      <c r="E78" s="20">
        <v>256</v>
      </c>
      <c r="F78" s="20">
        <v>2</v>
      </c>
      <c r="G78" s="20">
        <v>8</v>
      </c>
      <c r="H78" s="79">
        <v>384.47</v>
      </c>
      <c r="I78" s="62">
        <v>10.86</v>
      </c>
      <c r="J78" s="16">
        <v>45549</v>
      </c>
      <c r="K78" s="25">
        <v>6.895833333333333E-2</v>
      </c>
      <c r="L78">
        <v>0</v>
      </c>
      <c r="M78">
        <v>0</v>
      </c>
      <c r="N78">
        <v>0</v>
      </c>
      <c r="O78">
        <v>0</v>
      </c>
      <c r="P78">
        <v>0</v>
      </c>
      <c r="Q78">
        <v>0</v>
      </c>
      <c r="R78">
        <v>0</v>
      </c>
      <c r="S78">
        <v>0</v>
      </c>
      <c r="T78">
        <v>0</v>
      </c>
      <c r="U78">
        <v>0</v>
      </c>
      <c r="V78">
        <v>0</v>
      </c>
      <c r="W78">
        <v>0</v>
      </c>
      <c r="X78" s="80">
        <f>X77</f>
        <v>11.063799999999999</v>
      </c>
      <c r="Z78" t="s">
        <v>149</v>
      </c>
      <c r="AA78">
        <v>4</v>
      </c>
      <c r="AB78" t="s">
        <v>7</v>
      </c>
      <c r="AC78" s="20">
        <v>18432</v>
      </c>
      <c r="AD78" s="20">
        <v>256</v>
      </c>
      <c r="AE78" s="20">
        <v>2</v>
      </c>
      <c r="AF78" s="20">
        <v>8</v>
      </c>
      <c r="AG78" s="79">
        <v>330.27</v>
      </c>
      <c r="AH78" s="62">
        <v>12.641999999999999</v>
      </c>
      <c r="AI78" s="16">
        <v>45555</v>
      </c>
      <c r="AJ78" s="25">
        <v>0.75368055555555558</v>
      </c>
      <c r="AK78">
        <v>0</v>
      </c>
      <c r="AL78">
        <v>0</v>
      </c>
      <c r="AM78">
        <v>0</v>
      </c>
      <c r="AN78">
        <v>0</v>
      </c>
      <c r="AO78">
        <v>0</v>
      </c>
      <c r="AP78">
        <v>0</v>
      </c>
      <c r="AQ78">
        <v>0</v>
      </c>
      <c r="AR78">
        <v>0</v>
      </c>
      <c r="AS78">
        <v>0</v>
      </c>
      <c r="AT78">
        <v>0</v>
      </c>
      <c r="AU78">
        <v>0</v>
      </c>
      <c r="AV78">
        <v>0</v>
      </c>
      <c r="AW78" s="80">
        <f>AW77</f>
        <v>12.66075</v>
      </c>
      <c r="AZ78">
        <v>1</v>
      </c>
      <c r="BA78" t="s">
        <v>7</v>
      </c>
      <c r="BB78">
        <v>18560</v>
      </c>
      <c r="BC78">
        <v>160</v>
      </c>
      <c r="BD78">
        <v>1</v>
      </c>
      <c r="BE78">
        <v>16</v>
      </c>
      <c r="BF78">
        <v>563.39</v>
      </c>
      <c r="BG78" s="62">
        <v>7.5663</v>
      </c>
      <c r="BH78" s="16">
        <v>45474</v>
      </c>
      <c r="BI78" s="18">
        <v>0.37333333333333335</v>
      </c>
      <c r="BJ78">
        <v>0</v>
      </c>
      <c r="BK78">
        <v>0</v>
      </c>
      <c r="BL78">
        <v>0</v>
      </c>
      <c r="BM78">
        <v>0</v>
      </c>
      <c r="BN78">
        <v>0</v>
      </c>
      <c r="BO78">
        <v>0</v>
      </c>
      <c r="BP78">
        <v>0</v>
      </c>
      <c r="BQ78">
        <v>0</v>
      </c>
      <c r="BR78">
        <v>0</v>
      </c>
      <c r="BS78">
        <v>0</v>
      </c>
      <c r="BT78">
        <v>0</v>
      </c>
      <c r="BU78">
        <v>0</v>
      </c>
    </row>
    <row r="79" spans="1:73" x14ac:dyDescent="0.25">
      <c r="A79" t="s">
        <v>111</v>
      </c>
      <c r="B79">
        <v>0</v>
      </c>
      <c r="C79" t="s">
        <v>7</v>
      </c>
      <c r="D79" s="20">
        <v>17536</v>
      </c>
      <c r="E79" s="20">
        <v>64</v>
      </c>
      <c r="F79" s="20">
        <v>2</v>
      </c>
      <c r="G79" s="20">
        <v>8</v>
      </c>
      <c r="H79" s="79">
        <v>332.18</v>
      </c>
      <c r="I79" s="62">
        <v>10.824</v>
      </c>
      <c r="J79" s="16">
        <v>45546</v>
      </c>
      <c r="K79" s="25">
        <v>0.32039351851851849</v>
      </c>
      <c r="L79">
        <v>0</v>
      </c>
      <c r="M79">
        <v>0</v>
      </c>
      <c r="N79">
        <v>0</v>
      </c>
      <c r="O79">
        <v>0</v>
      </c>
      <c r="P79">
        <v>0</v>
      </c>
      <c r="Q79">
        <v>0</v>
      </c>
      <c r="R79">
        <v>0</v>
      </c>
      <c r="S79">
        <v>0</v>
      </c>
      <c r="T79">
        <v>0</v>
      </c>
      <c r="U79">
        <v>0</v>
      </c>
      <c r="V79">
        <v>0</v>
      </c>
      <c r="W79">
        <v>0</v>
      </c>
      <c r="X79" s="82">
        <f>AVERAGE(I79:I83)</f>
        <v>11.0518</v>
      </c>
      <c r="Z79" t="s">
        <v>149</v>
      </c>
      <c r="AA79">
        <v>0</v>
      </c>
      <c r="AB79" t="s">
        <v>7</v>
      </c>
      <c r="AC79" s="20">
        <v>17536</v>
      </c>
      <c r="AD79" s="20">
        <v>128</v>
      </c>
      <c r="AE79" s="20">
        <v>2</v>
      </c>
      <c r="AF79" s="20">
        <v>8</v>
      </c>
      <c r="AG79" s="79">
        <v>287.01</v>
      </c>
      <c r="AH79" s="62">
        <v>12.526999999999999</v>
      </c>
      <c r="AI79" s="16">
        <v>45557</v>
      </c>
      <c r="AJ79" s="25">
        <v>0.91089120370370369</v>
      </c>
      <c r="AK79">
        <v>0</v>
      </c>
      <c r="AL79">
        <v>0</v>
      </c>
      <c r="AM79">
        <v>0</v>
      </c>
      <c r="AN79">
        <v>0</v>
      </c>
      <c r="AO79">
        <v>0</v>
      </c>
      <c r="AP79">
        <v>0</v>
      </c>
      <c r="AQ79">
        <v>0</v>
      </c>
      <c r="AR79">
        <v>0</v>
      </c>
      <c r="AS79">
        <v>0</v>
      </c>
      <c r="AT79">
        <v>0</v>
      </c>
      <c r="AU79">
        <v>0</v>
      </c>
      <c r="AV79">
        <v>0</v>
      </c>
      <c r="AW79" s="82">
        <f>AVERAGE(AH79:AH82)</f>
        <v>12.529249999999999</v>
      </c>
      <c r="AZ79">
        <v>0</v>
      </c>
      <c r="BA79" t="s">
        <v>7</v>
      </c>
      <c r="BB79">
        <v>19520</v>
      </c>
      <c r="BC79">
        <v>160</v>
      </c>
      <c r="BD79">
        <v>1</v>
      </c>
      <c r="BE79">
        <v>16</v>
      </c>
      <c r="BF79">
        <v>1765.48</v>
      </c>
      <c r="BG79" s="62">
        <v>2.8089</v>
      </c>
      <c r="BH79" s="16">
        <v>45473</v>
      </c>
      <c r="BI79" s="18">
        <v>0.9163310185185185</v>
      </c>
      <c r="BJ79">
        <v>0</v>
      </c>
      <c r="BK79">
        <v>0</v>
      </c>
      <c r="BL79">
        <v>0</v>
      </c>
      <c r="BM79">
        <v>0</v>
      </c>
      <c r="BN79">
        <v>0</v>
      </c>
      <c r="BO79">
        <v>0</v>
      </c>
      <c r="BP79">
        <v>0</v>
      </c>
      <c r="BQ79">
        <v>0</v>
      </c>
      <c r="BR79">
        <v>0</v>
      </c>
      <c r="BS79">
        <v>0</v>
      </c>
      <c r="BT79">
        <v>0</v>
      </c>
      <c r="BU79">
        <v>0</v>
      </c>
    </row>
    <row r="80" spans="1:73" x14ac:dyDescent="0.25">
      <c r="A80" t="s">
        <v>111</v>
      </c>
      <c r="B80">
        <v>1</v>
      </c>
      <c r="C80" t="s">
        <v>7</v>
      </c>
      <c r="D80" s="20">
        <v>17536</v>
      </c>
      <c r="E80" s="20">
        <v>64</v>
      </c>
      <c r="F80" s="20">
        <v>2</v>
      </c>
      <c r="G80" s="20">
        <v>8</v>
      </c>
      <c r="H80" s="79">
        <v>335.57</v>
      </c>
      <c r="I80" s="62">
        <v>10.715</v>
      </c>
      <c r="J80" s="16">
        <v>45546</v>
      </c>
      <c r="K80" s="25">
        <v>0.93704861111111115</v>
      </c>
      <c r="L80">
        <v>0</v>
      </c>
      <c r="M80">
        <v>0</v>
      </c>
      <c r="N80">
        <v>0</v>
      </c>
      <c r="O80">
        <v>0</v>
      </c>
      <c r="P80">
        <v>0</v>
      </c>
      <c r="Q80">
        <v>0</v>
      </c>
      <c r="R80">
        <v>0</v>
      </c>
      <c r="S80">
        <v>0</v>
      </c>
      <c r="T80">
        <v>0</v>
      </c>
      <c r="U80">
        <v>0</v>
      </c>
      <c r="V80">
        <v>0</v>
      </c>
      <c r="W80">
        <v>0</v>
      </c>
      <c r="X80" s="80">
        <f>X79</f>
        <v>11.0518</v>
      </c>
      <c r="Z80" t="s">
        <v>149</v>
      </c>
      <c r="AA80">
        <v>1</v>
      </c>
      <c r="AB80" t="s">
        <v>7</v>
      </c>
      <c r="AC80" s="20">
        <v>17536</v>
      </c>
      <c r="AD80" s="20">
        <v>128</v>
      </c>
      <c r="AE80" s="20">
        <v>2</v>
      </c>
      <c r="AF80" s="20">
        <v>8</v>
      </c>
      <c r="AG80" s="79">
        <v>286.63</v>
      </c>
      <c r="AH80" s="62">
        <v>12.544</v>
      </c>
      <c r="AI80" s="16">
        <v>45558</v>
      </c>
      <c r="AJ80" s="25">
        <v>0.41031250000000002</v>
      </c>
      <c r="AK80">
        <v>0</v>
      </c>
      <c r="AL80">
        <v>0</v>
      </c>
      <c r="AM80">
        <v>0</v>
      </c>
      <c r="AN80">
        <v>0</v>
      </c>
      <c r="AO80">
        <v>0</v>
      </c>
      <c r="AP80">
        <v>0</v>
      </c>
      <c r="AQ80">
        <v>0</v>
      </c>
      <c r="AR80">
        <v>0</v>
      </c>
      <c r="AS80">
        <v>0</v>
      </c>
      <c r="AT80">
        <v>0</v>
      </c>
      <c r="AU80">
        <v>0</v>
      </c>
      <c r="AV80">
        <v>0</v>
      </c>
      <c r="AW80" s="80">
        <f>AW79</f>
        <v>12.529249999999999</v>
      </c>
      <c r="BF80"/>
      <c r="BG80" s="62"/>
      <c r="BH80" s="16"/>
      <c r="BI80" s="18"/>
    </row>
    <row r="81" spans="1:73" x14ac:dyDescent="0.25">
      <c r="A81" t="s">
        <v>111</v>
      </c>
      <c r="B81">
        <v>2</v>
      </c>
      <c r="C81" t="s">
        <v>7</v>
      </c>
      <c r="D81" s="20">
        <v>17536</v>
      </c>
      <c r="E81" s="20">
        <v>64</v>
      </c>
      <c r="F81" s="20">
        <v>2</v>
      </c>
      <c r="G81" s="20">
        <v>8</v>
      </c>
      <c r="H81" s="79">
        <v>319.33999999999997</v>
      </c>
      <c r="I81" s="62">
        <v>11.259</v>
      </c>
      <c r="J81" s="16">
        <v>45547</v>
      </c>
      <c r="K81" s="25">
        <v>0.55216435185185186</v>
      </c>
      <c r="L81">
        <v>0</v>
      </c>
      <c r="M81">
        <v>0</v>
      </c>
      <c r="N81">
        <v>0</v>
      </c>
      <c r="O81">
        <v>0</v>
      </c>
      <c r="P81">
        <v>0</v>
      </c>
      <c r="Q81">
        <v>0</v>
      </c>
      <c r="R81">
        <v>0</v>
      </c>
      <c r="S81">
        <v>0</v>
      </c>
      <c r="T81">
        <v>0</v>
      </c>
      <c r="U81">
        <v>0</v>
      </c>
      <c r="V81">
        <v>0</v>
      </c>
      <c r="W81">
        <v>0</v>
      </c>
      <c r="X81" s="80">
        <f>X80</f>
        <v>11.0518</v>
      </c>
      <c r="Z81" t="s">
        <v>149</v>
      </c>
      <c r="AA81">
        <v>2</v>
      </c>
      <c r="AB81" t="s">
        <v>7</v>
      </c>
      <c r="AC81" s="20">
        <v>17536</v>
      </c>
      <c r="AD81" s="20">
        <v>128</v>
      </c>
      <c r="AE81" s="20">
        <v>2</v>
      </c>
      <c r="AF81" s="20">
        <v>8</v>
      </c>
      <c r="AG81" s="79">
        <v>287.20999999999998</v>
      </c>
      <c r="AH81" s="62">
        <v>12.519</v>
      </c>
      <c r="AI81" s="16">
        <v>45558</v>
      </c>
      <c r="AJ81" s="25">
        <v>0.90883101851851855</v>
      </c>
      <c r="AK81">
        <v>0</v>
      </c>
      <c r="AL81">
        <v>0</v>
      </c>
      <c r="AM81">
        <v>0</v>
      </c>
      <c r="AN81">
        <v>0</v>
      </c>
      <c r="AO81">
        <v>0</v>
      </c>
      <c r="AP81">
        <v>0</v>
      </c>
      <c r="AQ81">
        <v>0</v>
      </c>
      <c r="AR81">
        <v>0</v>
      </c>
      <c r="AS81">
        <v>0</v>
      </c>
      <c r="AT81">
        <v>0</v>
      </c>
      <c r="AU81">
        <v>0</v>
      </c>
      <c r="AV81">
        <v>0</v>
      </c>
      <c r="AW81" s="80">
        <f>AW80</f>
        <v>12.529249999999999</v>
      </c>
      <c r="AZ81">
        <v>0</v>
      </c>
      <c r="BA81" t="s">
        <v>7</v>
      </c>
      <c r="BB81">
        <v>17600</v>
      </c>
      <c r="BC81">
        <v>160</v>
      </c>
      <c r="BD81">
        <v>2</v>
      </c>
      <c r="BE81">
        <v>8</v>
      </c>
      <c r="BF81">
        <v>326.45999999999998</v>
      </c>
      <c r="BG81" s="62">
        <v>11.134</v>
      </c>
      <c r="BH81" s="16">
        <v>45472</v>
      </c>
      <c r="BI81" s="18">
        <v>0.38824074074074072</v>
      </c>
      <c r="BJ81">
        <v>0</v>
      </c>
      <c r="BK81">
        <v>0</v>
      </c>
      <c r="BL81">
        <v>0</v>
      </c>
      <c r="BM81">
        <v>0</v>
      </c>
      <c r="BN81">
        <v>0</v>
      </c>
      <c r="BO81">
        <v>0</v>
      </c>
      <c r="BP81">
        <v>0</v>
      </c>
      <c r="BQ81">
        <v>0</v>
      </c>
      <c r="BR81">
        <v>0</v>
      </c>
      <c r="BS81">
        <v>0</v>
      </c>
      <c r="BT81">
        <v>0</v>
      </c>
      <c r="BU81">
        <v>0</v>
      </c>
    </row>
    <row r="82" spans="1:73" x14ac:dyDescent="0.25">
      <c r="A82" t="s">
        <v>111</v>
      </c>
      <c r="B82">
        <v>3</v>
      </c>
      <c r="C82" t="s">
        <v>7</v>
      </c>
      <c r="D82" s="20">
        <v>17536</v>
      </c>
      <c r="E82" s="20">
        <v>64</v>
      </c>
      <c r="F82" s="20">
        <v>2</v>
      </c>
      <c r="G82" s="20">
        <v>8</v>
      </c>
      <c r="H82" s="79">
        <v>319.08</v>
      </c>
      <c r="I82" s="62">
        <v>11.268000000000001</v>
      </c>
      <c r="J82" s="16">
        <v>45548</v>
      </c>
      <c r="K82" s="25">
        <v>0.21285879629629631</v>
      </c>
      <c r="L82">
        <v>0</v>
      </c>
      <c r="M82">
        <v>0</v>
      </c>
      <c r="N82">
        <v>0</v>
      </c>
      <c r="O82">
        <v>0</v>
      </c>
      <c r="P82">
        <v>0</v>
      </c>
      <c r="Q82">
        <v>0</v>
      </c>
      <c r="R82">
        <v>0</v>
      </c>
      <c r="S82">
        <v>0</v>
      </c>
      <c r="T82">
        <v>0</v>
      </c>
      <c r="U82">
        <v>0</v>
      </c>
      <c r="V82">
        <v>0</v>
      </c>
      <c r="W82">
        <v>0</v>
      </c>
      <c r="X82" s="80">
        <f>X81</f>
        <v>11.0518</v>
      </c>
      <c r="Z82" t="s">
        <v>149</v>
      </c>
      <c r="AA82">
        <v>3</v>
      </c>
      <c r="AB82" t="s">
        <v>7</v>
      </c>
      <c r="AC82" s="20">
        <v>17536</v>
      </c>
      <c r="AD82" s="20">
        <v>128</v>
      </c>
      <c r="AE82" s="20">
        <v>2</v>
      </c>
      <c r="AF82" s="20">
        <v>8</v>
      </c>
      <c r="AG82" s="79">
        <v>287.02999999999997</v>
      </c>
      <c r="AH82" s="62">
        <v>12.526999999999999</v>
      </c>
      <c r="AI82" s="16">
        <v>45555</v>
      </c>
      <c r="AJ82" s="25">
        <v>7.975694444444445E-2</v>
      </c>
      <c r="AK82">
        <v>0</v>
      </c>
      <c r="AL82">
        <v>0</v>
      </c>
      <c r="AM82">
        <v>0</v>
      </c>
      <c r="AN82">
        <v>0</v>
      </c>
      <c r="AO82">
        <v>0</v>
      </c>
      <c r="AP82">
        <v>0</v>
      </c>
      <c r="AQ82">
        <v>0</v>
      </c>
      <c r="AR82">
        <v>0</v>
      </c>
      <c r="AS82">
        <v>0</v>
      </c>
      <c r="AT82">
        <v>0</v>
      </c>
      <c r="AU82">
        <v>0</v>
      </c>
      <c r="AV82">
        <v>0</v>
      </c>
      <c r="AW82" s="80">
        <f>AW81</f>
        <v>12.529249999999999</v>
      </c>
      <c r="AZ82">
        <v>1</v>
      </c>
      <c r="BA82" t="s">
        <v>7</v>
      </c>
      <c r="BB82">
        <v>17600</v>
      </c>
      <c r="BC82">
        <v>160</v>
      </c>
      <c r="BD82">
        <v>2</v>
      </c>
      <c r="BE82">
        <v>8</v>
      </c>
      <c r="BF82">
        <v>499.71</v>
      </c>
      <c r="BG82" s="62">
        <v>7.2742000000000004</v>
      </c>
      <c r="BH82" s="16">
        <v>45474</v>
      </c>
      <c r="BI82" s="18">
        <v>0.20159722222222223</v>
      </c>
      <c r="BJ82">
        <v>0</v>
      </c>
      <c r="BK82">
        <v>0</v>
      </c>
      <c r="BL82">
        <v>0</v>
      </c>
      <c r="BM82">
        <v>0</v>
      </c>
      <c r="BN82">
        <v>0</v>
      </c>
      <c r="BO82">
        <v>0</v>
      </c>
      <c r="BP82">
        <v>0</v>
      </c>
      <c r="BQ82">
        <v>0</v>
      </c>
      <c r="BR82">
        <v>0</v>
      </c>
      <c r="BS82">
        <v>0</v>
      </c>
      <c r="BT82">
        <v>0</v>
      </c>
      <c r="BU82">
        <v>0</v>
      </c>
    </row>
    <row r="83" spans="1:73" x14ac:dyDescent="0.25">
      <c r="A83" t="s">
        <v>111</v>
      </c>
      <c r="B83">
        <v>4</v>
      </c>
      <c r="C83" t="s">
        <v>7</v>
      </c>
      <c r="D83" s="20">
        <v>17536</v>
      </c>
      <c r="E83" s="20">
        <v>64</v>
      </c>
      <c r="F83" s="20">
        <v>2</v>
      </c>
      <c r="G83" s="20">
        <v>8</v>
      </c>
      <c r="H83" s="79">
        <v>321.22000000000003</v>
      </c>
      <c r="I83" s="62">
        <v>11.193</v>
      </c>
      <c r="J83" s="16">
        <v>45548</v>
      </c>
      <c r="K83" s="25">
        <v>0.84115740740740741</v>
      </c>
      <c r="L83">
        <v>0</v>
      </c>
      <c r="M83">
        <v>0</v>
      </c>
      <c r="N83">
        <v>0</v>
      </c>
      <c r="O83">
        <v>0</v>
      </c>
      <c r="P83">
        <v>0</v>
      </c>
      <c r="Q83">
        <v>0</v>
      </c>
      <c r="R83">
        <v>0</v>
      </c>
      <c r="S83">
        <v>0</v>
      </c>
      <c r="T83">
        <v>0</v>
      </c>
      <c r="U83">
        <v>0</v>
      </c>
      <c r="V83">
        <v>0</v>
      </c>
      <c r="W83">
        <v>0</v>
      </c>
      <c r="X83" s="80">
        <f>X82</f>
        <v>11.0518</v>
      </c>
      <c r="Z83" t="s">
        <v>149</v>
      </c>
      <c r="AA83">
        <v>4</v>
      </c>
      <c r="AB83" t="s">
        <v>7</v>
      </c>
      <c r="AC83" s="20">
        <v>17536</v>
      </c>
      <c r="AD83" s="20">
        <v>128</v>
      </c>
      <c r="AE83" s="20">
        <v>2</v>
      </c>
      <c r="AF83" s="20">
        <v>8</v>
      </c>
      <c r="AG83" s="79">
        <v>287.79000000000002</v>
      </c>
      <c r="AH83" s="62">
        <v>12.493</v>
      </c>
      <c r="AI83" s="16">
        <v>45555</v>
      </c>
      <c r="AJ83" s="25">
        <v>0.57994212962962965</v>
      </c>
      <c r="AK83">
        <v>0</v>
      </c>
      <c r="AL83">
        <v>0</v>
      </c>
      <c r="AM83">
        <v>0</v>
      </c>
      <c r="AN83">
        <v>0</v>
      </c>
      <c r="AO83">
        <v>0</v>
      </c>
      <c r="AP83">
        <v>0</v>
      </c>
      <c r="AQ83">
        <v>0</v>
      </c>
      <c r="AR83">
        <v>0</v>
      </c>
      <c r="AS83">
        <v>0</v>
      </c>
      <c r="AT83">
        <v>0</v>
      </c>
      <c r="AU83">
        <v>0</v>
      </c>
      <c r="AV83">
        <v>0</v>
      </c>
      <c r="AW83" s="80">
        <f>AW82</f>
        <v>12.529249999999999</v>
      </c>
      <c r="AZ83">
        <v>0</v>
      </c>
      <c r="BA83" t="s">
        <v>7</v>
      </c>
      <c r="BB83">
        <v>18560</v>
      </c>
      <c r="BC83">
        <v>160</v>
      </c>
      <c r="BD83">
        <v>2</v>
      </c>
      <c r="BE83">
        <v>8</v>
      </c>
      <c r="BF83">
        <v>385.55</v>
      </c>
      <c r="BG83" s="62">
        <v>11.055999999999999</v>
      </c>
      <c r="BH83" s="16">
        <v>45472</v>
      </c>
      <c r="BI83" s="18">
        <v>0.51585648148148144</v>
      </c>
      <c r="BJ83">
        <v>0</v>
      </c>
      <c r="BK83">
        <v>0</v>
      </c>
      <c r="BL83">
        <v>0</v>
      </c>
      <c r="BM83">
        <v>0</v>
      </c>
      <c r="BN83">
        <v>0</v>
      </c>
      <c r="BO83">
        <v>0</v>
      </c>
      <c r="BP83">
        <v>0</v>
      </c>
      <c r="BQ83">
        <v>0</v>
      </c>
      <c r="BR83">
        <v>0</v>
      </c>
      <c r="BS83">
        <v>0</v>
      </c>
      <c r="BT83">
        <v>0</v>
      </c>
      <c r="BU83">
        <v>0</v>
      </c>
    </row>
    <row r="84" spans="1:73" x14ac:dyDescent="0.25">
      <c r="A84" t="s">
        <v>111</v>
      </c>
      <c r="B84">
        <v>0</v>
      </c>
      <c r="C84" t="s">
        <v>7</v>
      </c>
      <c r="D84" s="20">
        <v>18528</v>
      </c>
      <c r="E84" s="20">
        <v>96</v>
      </c>
      <c r="F84" s="20">
        <v>2</v>
      </c>
      <c r="G84" s="20">
        <v>8</v>
      </c>
      <c r="H84" s="79">
        <v>397.27</v>
      </c>
      <c r="I84" s="62">
        <v>10.675000000000001</v>
      </c>
      <c r="J84" s="16">
        <v>45546</v>
      </c>
      <c r="K84" s="25">
        <v>0.44665509259259262</v>
      </c>
      <c r="L84">
        <v>0</v>
      </c>
      <c r="M84">
        <v>0</v>
      </c>
      <c r="N84">
        <v>0</v>
      </c>
      <c r="O84">
        <v>0</v>
      </c>
      <c r="P84">
        <v>0</v>
      </c>
      <c r="Q84">
        <v>0</v>
      </c>
      <c r="R84">
        <v>0</v>
      </c>
      <c r="S84">
        <v>0</v>
      </c>
      <c r="T84">
        <v>0</v>
      </c>
      <c r="U84">
        <v>0</v>
      </c>
      <c r="V84">
        <v>0</v>
      </c>
      <c r="W84">
        <v>0</v>
      </c>
      <c r="X84" s="82">
        <f>AVERAGE(I84:I88)</f>
        <v>11.028600000000001</v>
      </c>
      <c r="Z84" t="s">
        <v>149</v>
      </c>
      <c r="AA84">
        <v>0</v>
      </c>
      <c r="AB84" t="s">
        <v>7</v>
      </c>
      <c r="AC84">
        <v>17440</v>
      </c>
      <c r="AD84">
        <v>160</v>
      </c>
      <c r="AE84">
        <v>2</v>
      </c>
      <c r="AF84">
        <v>8</v>
      </c>
      <c r="AG84" s="23">
        <v>282.18</v>
      </c>
      <c r="AH84" s="62">
        <v>12.534000000000001</v>
      </c>
      <c r="AI84" s="16">
        <v>45557</v>
      </c>
      <c r="AJ84" s="18">
        <v>0.92277777777777781</v>
      </c>
      <c r="AK84">
        <v>0</v>
      </c>
      <c r="AL84">
        <v>0</v>
      </c>
      <c r="AM84">
        <v>0</v>
      </c>
      <c r="AN84">
        <v>0</v>
      </c>
      <c r="AO84">
        <v>0</v>
      </c>
      <c r="AP84">
        <v>0</v>
      </c>
      <c r="AQ84">
        <v>0</v>
      </c>
      <c r="AR84">
        <v>0</v>
      </c>
      <c r="AS84">
        <v>0</v>
      </c>
      <c r="AT84">
        <v>0</v>
      </c>
      <c r="AU84">
        <v>0</v>
      </c>
      <c r="AV84">
        <v>0</v>
      </c>
      <c r="AW84" s="82">
        <f>AVERAGE(AH84:AH87)</f>
        <v>12.517749999999999</v>
      </c>
      <c r="AZ84">
        <v>1</v>
      </c>
      <c r="BA84" t="s">
        <v>7</v>
      </c>
      <c r="BB84">
        <v>18560</v>
      </c>
      <c r="BC84">
        <v>160</v>
      </c>
      <c r="BD84">
        <v>2</v>
      </c>
      <c r="BE84">
        <v>8</v>
      </c>
      <c r="BF84">
        <v>557.62</v>
      </c>
      <c r="BG84" s="62">
        <v>7.6445999999999996</v>
      </c>
      <c r="BH84" s="16">
        <v>45474</v>
      </c>
      <c r="BI84" s="18">
        <v>0.3802314814814815</v>
      </c>
      <c r="BJ84">
        <v>0</v>
      </c>
      <c r="BK84">
        <v>0</v>
      </c>
      <c r="BL84">
        <v>0</v>
      </c>
      <c r="BM84">
        <v>0</v>
      </c>
      <c r="BN84">
        <v>0</v>
      </c>
      <c r="BO84">
        <v>0</v>
      </c>
      <c r="BP84">
        <v>0</v>
      </c>
      <c r="BQ84">
        <v>0</v>
      </c>
      <c r="BR84">
        <v>0</v>
      </c>
      <c r="BS84">
        <v>0</v>
      </c>
      <c r="BT84">
        <v>0</v>
      </c>
      <c r="BU84">
        <v>0</v>
      </c>
    </row>
    <row r="85" spans="1:73" x14ac:dyDescent="0.25">
      <c r="A85" t="s">
        <v>111</v>
      </c>
      <c r="B85">
        <v>1</v>
      </c>
      <c r="C85" t="s">
        <v>7</v>
      </c>
      <c r="D85" s="20">
        <v>18528</v>
      </c>
      <c r="E85" s="20">
        <v>96</v>
      </c>
      <c r="F85" s="20">
        <v>2</v>
      </c>
      <c r="G85" s="20">
        <v>8</v>
      </c>
      <c r="H85" s="79">
        <v>378.03</v>
      </c>
      <c r="I85" s="62">
        <v>11.218</v>
      </c>
      <c r="J85" s="16">
        <v>45547</v>
      </c>
      <c r="K85" s="25">
        <v>6.2488425925925926E-2</v>
      </c>
      <c r="L85">
        <v>0</v>
      </c>
      <c r="M85">
        <v>0</v>
      </c>
      <c r="N85">
        <v>0</v>
      </c>
      <c r="O85">
        <v>0</v>
      </c>
      <c r="P85">
        <v>0</v>
      </c>
      <c r="Q85">
        <v>0</v>
      </c>
      <c r="R85">
        <v>0</v>
      </c>
      <c r="S85">
        <v>0</v>
      </c>
      <c r="T85">
        <v>0</v>
      </c>
      <c r="U85">
        <v>0</v>
      </c>
      <c r="V85">
        <v>0</v>
      </c>
      <c r="W85">
        <v>0</v>
      </c>
      <c r="X85" s="80">
        <f>X84</f>
        <v>11.028600000000001</v>
      </c>
      <c r="Z85" t="s">
        <v>149</v>
      </c>
      <c r="AA85">
        <v>1</v>
      </c>
      <c r="AB85" t="s">
        <v>7</v>
      </c>
      <c r="AC85" s="20">
        <v>17440</v>
      </c>
      <c r="AD85" s="20">
        <v>160</v>
      </c>
      <c r="AE85" s="20">
        <v>2</v>
      </c>
      <c r="AF85" s="20">
        <v>8</v>
      </c>
      <c r="AG85" s="79">
        <v>282</v>
      </c>
      <c r="AH85" s="62">
        <v>12.541</v>
      </c>
      <c r="AI85" s="16">
        <v>45558</v>
      </c>
      <c r="AJ85" s="25">
        <v>0.4221759259259259</v>
      </c>
      <c r="AK85">
        <v>0</v>
      </c>
      <c r="AL85">
        <v>0</v>
      </c>
      <c r="AM85">
        <v>0</v>
      </c>
      <c r="AN85">
        <v>0</v>
      </c>
      <c r="AO85">
        <v>0</v>
      </c>
      <c r="AP85">
        <v>0</v>
      </c>
      <c r="AQ85">
        <v>0</v>
      </c>
      <c r="AR85">
        <v>0</v>
      </c>
      <c r="AS85">
        <v>0</v>
      </c>
      <c r="AT85">
        <v>0</v>
      </c>
      <c r="AU85">
        <v>0</v>
      </c>
      <c r="AV85">
        <v>0</v>
      </c>
      <c r="AW85" s="80">
        <f>AW84</f>
        <v>12.517749999999999</v>
      </c>
      <c r="AZ85">
        <v>0</v>
      </c>
      <c r="BA85" t="s">
        <v>7</v>
      </c>
      <c r="BB85">
        <v>19520</v>
      </c>
      <c r="BC85">
        <v>160</v>
      </c>
      <c r="BD85">
        <v>2</v>
      </c>
      <c r="BE85">
        <v>8</v>
      </c>
      <c r="BF85">
        <v>426.01</v>
      </c>
      <c r="BG85" s="62">
        <v>11.641</v>
      </c>
      <c r="BH85" s="16">
        <v>45473</v>
      </c>
      <c r="BI85" s="18">
        <v>0.92184027777777777</v>
      </c>
      <c r="BJ85">
        <v>0</v>
      </c>
      <c r="BK85">
        <v>0</v>
      </c>
      <c r="BL85">
        <v>0</v>
      </c>
      <c r="BM85">
        <v>0</v>
      </c>
      <c r="BN85">
        <v>0</v>
      </c>
      <c r="BO85">
        <v>0</v>
      </c>
      <c r="BP85">
        <v>0</v>
      </c>
      <c r="BQ85">
        <v>0</v>
      </c>
      <c r="BR85">
        <v>0</v>
      </c>
      <c r="BS85">
        <v>0</v>
      </c>
      <c r="BT85">
        <v>0</v>
      </c>
      <c r="BU85">
        <v>0</v>
      </c>
    </row>
    <row r="86" spans="1:73" x14ac:dyDescent="0.25">
      <c r="A86" t="s">
        <v>111</v>
      </c>
      <c r="B86">
        <v>2</v>
      </c>
      <c r="C86" t="s">
        <v>7</v>
      </c>
      <c r="D86" s="20">
        <v>18528</v>
      </c>
      <c r="E86" s="20">
        <v>96</v>
      </c>
      <c r="F86" s="20">
        <v>2</v>
      </c>
      <c r="G86" s="20">
        <v>8</v>
      </c>
      <c r="H86" s="79">
        <v>390.33</v>
      </c>
      <c r="I86" s="62">
        <v>10.865</v>
      </c>
      <c r="J86" s="16">
        <v>45547</v>
      </c>
      <c r="K86" s="25">
        <v>0.67714120370370368</v>
      </c>
      <c r="L86">
        <v>0</v>
      </c>
      <c r="M86">
        <v>0</v>
      </c>
      <c r="N86">
        <v>0</v>
      </c>
      <c r="O86">
        <v>0</v>
      </c>
      <c r="P86">
        <v>0</v>
      </c>
      <c r="Q86">
        <v>0</v>
      </c>
      <c r="R86">
        <v>0</v>
      </c>
      <c r="S86">
        <v>0</v>
      </c>
      <c r="T86">
        <v>0</v>
      </c>
      <c r="U86">
        <v>0</v>
      </c>
      <c r="V86">
        <v>0</v>
      </c>
      <c r="W86">
        <v>0</v>
      </c>
      <c r="X86" s="80">
        <f>X85</f>
        <v>11.028600000000001</v>
      </c>
      <c r="Z86" t="s">
        <v>149</v>
      </c>
      <c r="AA86">
        <v>2</v>
      </c>
      <c r="AB86" t="s">
        <v>7</v>
      </c>
      <c r="AC86" s="20">
        <v>17440</v>
      </c>
      <c r="AD86" s="20">
        <v>160</v>
      </c>
      <c r="AE86" s="20">
        <v>2</v>
      </c>
      <c r="AF86" s="20">
        <v>8</v>
      </c>
      <c r="AG86" s="79">
        <v>282.69</v>
      </c>
      <c r="AH86" s="62">
        <v>12.510999999999999</v>
      </c>
      <c r="AI86" s="16">
        <v>45558</v>
      </c>
      <c r="AJ86" s="25">
        <v>0.92068287037037033</v>
      </c>
      <c r="AK86">
        <v>0</v>
      </c>
      <c r="AL86">
        <v>0</v>
      </c>
      <c r="AM86">
        <v>0</v>
      </c>
      <c r="AN86">
        <v>0</v>
      </c>
      <c r="AO86">
        <v>0</v>
      </c>
      <c r="AP86">
        <v>0</v>
      </c>
      <c r="AQ86">
        <v>0</v>
      </c>
      <c r="AR86">
        <v>0</v>
      </c>
      <c r="AS86">
        <v>0</v>
      </c>
      <c r="AT86">
        <v>0</v>
      </c>
      <c r="AU86">
        <v>0</v>
      </c>
      <c r="AV86">
        <v>0</v>
      </c>
      <c r="AW86" s="80">
        <f>AW85</f>
        <v>12.517749999999999</v>
      </c>
      <c r="BF86"/>
      <c r="BG86" s="62"/>
      <c r="BH86" s="16"/>
      <c r="BI86" s="18"/>
    </row>
    <row r="87" spans="1:73" x14ac:dyDescent="0.25">
      <c r="A87" t="s">
        <v>111</v>
      </c>
      <c r="B87">
        <v>3</v>
      </c>
      <c r="C87" t="s">
        <v>7</v>
      </c>
      <c r="D87" s="20">
        <v>18528</v>
      </c>
      <c r="E87" s="20">
        <v>96</v>
      </c>
      <c r="F87" s="20">
        <v>2</v>
      </c>
      <c r="G87" s="20">
        <v>8</v>
      </c>
      <c r="H87" s="79">
        <v>380.48</v>
      </c>
      <c r="I87" s="62">
        <v>11.146000000000001</v>
      </c>
      <c r="J87" s="16">
        <v>45548</v>
      </c>
      <c r="K87" s="25">
        <v>0.3372337962962963</v>
      </c>
      <c r="L87">
        <v>0</v>
      </c>
      <c r="M87">
        <v>0</v>
      </c>
      <c r="N87">
        <v>0</v>
      </c>
      <c r="O87">
        <v>0</v>
      </c>
      <c r="P87">
        <v>0</v>
      </c>
      <c r="Q87">
        <v>0</v>
      </c>
      <c r="R87">
        <v>0</v>
      </c>
      <c r="S87">
        <v>0</v>
      </c>
      <c r="T87">
        <v>0</v>
      </c>
      <c r="U87">
        <v>0</v>
      </c>
      <c r="V87">
        <v>0</v>
      </c>
      <c r="W87">
        <v>0</v>
      </c>
      <c r="X87" s="80">
        <f>X86</f>
        <v>11.028600000000001</v>
      </c>
      <c r="Z87" t="s">
        <v>149</v>
      </c>
      <c r="AA87">
        <v>3</v>
      </c>
      <c r="AB87" t="s">
        <v>7</v>
      </c>
      <c r="AC87" s="20">
        <v>17440</v>
      </c>
      <c r="AD87" s="20">
        <v>160</v>
      </c>
      <c r="AE87" s="20">
        <v>2</v>
      </c>
      <c r="AF87" s="20">
        <v>8</v>
      </c>
      <c r="AG87" s="79">
        <v>283.29000000000002</v>
      </c>
      <c r="AH87" s="62">
        <v>12.484999999999999</v>
      </c>
      <c r="AI87" s="16">
        <v>45555</v>
      </c>
      <c r="AJ87" s="25">
        <v>9.1631944444444446E-2</v>
      </c>
      <c r="AK87">
        <v>0</v>
      </c>
      <c r="AL87">
        <v>0</v>
      </c>
      <c r="AM87">
        <v>0</v>
      </c>
      <c r="AN87">
        <v>0</v>
      </c>
      <c r="AO87">
        <v>0</v>
      </c>
      <c r="AP87">
        <v>0</v>
      </c>
      <c r="AQ87">
        <v>0</v>
      </c>
      <c r="AR87">
        <v>0</v>
      </c>
      <c r="AS87">
        <v>0</v>
      </c>
      <c r="AT87">
        <v>0</v>
      </c>
      <c r="AU87">
        <v>0</v>
      </c>
      <c r="AV87">
        <v>0</v>
      </c>
      <c r="AW87" s="80">
        <f>AW86</f>
        <v>12.517749999999999</v>
      </c>
      <c r="AZ87">
        <v>0</v>
      </c>
      <c r="BA87" t="s">
        <v>7</v>
      </c>
      <c r="BB87">
        <v>17600</v>
      </c>
      <c r="BC87">
        <v>160</v>
      </c>
      <c r="BD87">
        <v>4</v>
      </c>
      <c r="BE87">
        <v>4</v>
      </c>
      <c r="BF87">
        <v>416.61</v>
      </c>
      <c r="BG87" s="62">
        <v>8.7251999999999992</v>
      </c>
      <c r="BH87" s="16">
        <v>45472</v>
      </c>
      <c r="BI87" s="18">
        <v>0.3933564814814815</v>
      </c>
      <c r="BJ87">
        <v>0</v>
      </c>
      <c r="BK87">
        <v>0</v>
      </c>
      <c r="BL87">
        <v>0</v>
      </c>
      <c r="BM87">
        <v>0</v>
      </c>
      <c r="BN87">
        <v>0</v>
      </c>
      <c r="BO87">
        <v>0</v>
      </c>
      <c r="BP87">
        <v>0</v>
      </c>
      <c r="BQ87">
        <v>0</v>
      </c>
      <c r="BR87">
        <v>0</v>
      </c>
      <c r="BS87">
        <v>0</v>
      </c>
      <c r="BT87">
        <v>0</v>
      </c>
      <c r="BU87">
        <v>0</v>
      </c>
    </row>
    <row r="88" spans="1:73" x14ac:dyDescent="0.25">
      <c r="A88" t="s">
        <v>111</v>
      </c>
      <c r="B88">
        <v>4</v>
      </c>
      <c r="C88" t="s">
        <v>7</v>
      </c>
      <c r="D88" s="20">
        <v>18528</v>
      </c>
      <c r="E88" s="20">
        <v>96</v>
      </c>
      <c r="F88" s="20">
        <v>2</v>
      </c>
      <c r="G88" s="20">
        <v>8</v>
      </c>
      <c r="H88" s="79">
        <v>377.32</v>
      </c>
      <c r="I88" s="62">
        <v>11.239000000000001</v>
      </c>
      <c r="J88" s="16">
        <v>45548</v>
      </c>
      <c r="K88" s="25">
        <v>0.96628472222222217</v>
      </c>
      <c r="L88">
        <v>0</v>
      </c>
      <c r="M88">
        <v>0</v>
      </c>
      <c r="N88">
        <v>0</v>
      </c>
      <c r="O88">
        <v>0</v>
      </c>
      <c r="P88">
        <v>0</v>
      </c>
      <c r="Q88">
        <v>0</v>
      </c>
      <c r="R88">
        <v>0</v>
      </c>
      <c r="S88">
        <v>0</v>
      </c>
      <c r="T88">
        <v>0</v>
      </c>
      <c r="U88">
        <v>0</v>
      </c>
      <c r="V88">
        <v>0</v>
      </c>
      <c r="W88">
        <v>0</v>
      </c>
      <c r="X88" s="80">
        <f>X87</f>
        <v>11.028600000000001</v>
      </c>
      <c r="Z88" t="s">
        <v>149</v>
      </c>
      <c r="AA88">
        <v>4</v>
      </c>
      <c r="AB88" t="s">
        <v>7</v>
      </c>
      <c r="AC88" s="20">
        <v>17440</v>
      </c>
      <c r="AD88" s="20">
        <v>160</v>
      </c>
      <c r="AE88" s="20">
        <v>2</v>
      </c>
      <c r="AF88" s="20">
        <v>8</v>
      </c>
      <c r="AG88" s="79">
        <v>281.99</v>
      </c>
      <c r="AH88" s="62">
        <v>12.542</v>
      </c>
      <c r="AI88" s="16">
        <v>45555</v>
      </c>
      <c r="AJ88" s="25">
        <v>0.59180555555555558</v>
      </c>
      <c r="AK88">
        <v>0</v>
      </c>
      <c r="AL88">
        <v>0</v>
      </c>
      <c r="AM88">
        <v>0</v>
      </c>
      <c r="AN88">
        <v>0</v>
      </c>
      <c r="AO88">
        <v>0</v>
      </c>
      <c r="AP88">
        <v>0</v>
      </c>
      <c r="AQ88">
        <v>0</v>
      </c>
      <c r="AR88">
        <v>0</v>
      </c>
      <c r="AS88">
        <v>0</v>
      </c>
      <c r="AT88">
        <v>0</v>
      </c>
      <c r="AU88">
        <v>0</v>
      </c>
      <c r="AV88">
        <v>0</v>
      </c>
      <c r="AW88" s="80">
        <f>AW87</f>
        <v>12.517749999999999</v>
      </c>
      <c r="AZ88">
        <v>1</v>
      </c>
      <c r="BA88" t="s">
        <v>7</v>
      </c>
      <c r="BB88">
        <v>17600</v>
      </c>
      <c r="BC88">
        <v>160</v>
      </c>
      <c r="BD88">
        <v>4</v>
      </c>
      <c r="BE88">
        <v>4</v>
      </c>
      <c r="BF88">
        <v>675.6</v>
      </c>
      <c r="BG88" s="62">
        <v>5.3803999999999998</v>
      </c>
      <c r="BH88" s="16">
        <v>45474</v>
      </c>
      <c r="BI88" s="18">
        <v>0.20978009259259259</v>
      </c>
      <c r="BJ88">
        <v>0</v>
      </c>
      <c r="BK88">
        <v>0</v>
      </c>
      <c r="BL88">
        <v>0</v>
      </c>
      <c r="BM88">
        <v>0</v>
      </c>
      <c r="BN88">
        <v>0</v>
      </c>
      <c r="BO88">
        <v>0</v>
      </c>
      <c r="BP88">
        <v>0</v>
      </c>
      <c r="BQ88">
        <v>0</v>
      </c>
      <c r="BR88">
        <v>0</v>
      </c>
      <c r="BS88">
        <v>0</v>
      </c>
      <c r="BT88">
        <v>0</v>
      </c>
      <c r="BU88">
        <v>0</v>
      </c>
    </row>
    <row r="89" spans="1:73" x14ac:dyDescent="0.25">
      <c r="A89" t="s">
        <v>111</v>
      </c>
      <c r="B89">
        <v>0</v>
      </c>
      <c r="C89" t="s">
        <v>7</v>
      </c>
      <c r="D89" s="20">
        <v>17536</v>
      </c>
      <c r="E89" s="20">
        <v>128</v>
      </c>
      <c r="F89" s="20">
        <v>2</v>
      </c>
      <c r="G89" s="20">
        <v>8</v>
      </c>
      <c r="H89" s="79">
        <v>332.89</v>
      </c>
      <c r="I89" s="62">
        <v>10.801</v>
      </c>
      <c r="J89" s="16">
        <v>45546</v>
      </c>
      <c r="K89" s="25">
        <v>0.34726851851851853</v>
      </c>
      <c r="L89">
        <v>0</v>
      </c>
      <c r="M89">
        <v>0</v>
      </c>
      <c r="N89">
        <v>0</v>
      </c>
      <c r="O89">
        <v>0</v>
      </c>
      <c r="P89">
        <v>0</v>
      </c>
      <c r="Q89">
        <v>0</v>
      </c>
      <c r="R89">
        <v>0</v>
      </c>
      <c r="S89">
        <v>0</v>
      </c>
      <c r="T89">
        <v>0</v>
      </c>
      <c r="U89">
        <v>0</v>
      </c>
      <c r="V89">
        <v>0</v>
      </c>
      <c r="W89">
        <v>0</v>
      </c>
      <c r="X89" s="82">
        <f>AVERAGE(I89:I93)</f>
        <v>10.944799999999999</v>
      </c>
      <c r="Z89" t="s">
        <v>149</v>
      </c>
      <c r="AA89">
        <v>0</v>
      </c>
      <c r="AB89" t="s">
        <v>7</v>
      </c>
      <c r="AC89" s="20">
        <v>17472</v>
      </c>
      <c r="AD89" s="20">
        <v>224</v>
      </c>
      <c r="AE89" s="20">
        <v>2</v>
      </c>
      <c r="AF89" s="20">
        <v>8</v>
      </c>
      <c r="AG89" s="79">
        <v>286.83999999999997</v>
      </c>
      <c r="AH89" s="62">
        <v>12.398</v>
      </c>
      <c r="AI89" s="16">
        <v>45557</v>
      </c>
      <c r="AJ89" s="25">
        <v>0.94660879629629635</v>
      </c>
      <c r="AK89">
        <v>0</v>
      </c>
      <c r="AL89">
        <v>0</v>
      </c>
      <c r="AM89">
        <v>0</v>
      </c>
      <c r="AN89">
        <v>0</v>
      </c>
      <c r="AO89">
        <v>0</v>
      </c>
      <c r="AP89">
        <v>0</v>
      </c>
      <c r="AQ89">
        <v>0</v>
      </c>
      <c r="AR89">
        <v>0</v>
      </c>
      <c r="AS89">
        <v>0</v>
      </c>
      <c r="AT89">
        <v>0</v>
      </c>
      <c r="AU89">
        <v>0</v>
      </c>
      <c r="AV89">
        <v>0</v>
      </c>
      <c r="AW89" s="82">
        <f>AVERAGE(AH89:AH92)</f>
        <v>12.382250000000001</v>
      </c>
      <c r="AZ89">
        <v>0</v>
      </c>
      <c r="BA89" t="s">
        <v>7</v>
      </c>
      <c r="BB89">
        <v>18560</v>
      </c>
      <c r="BC89">
        <v>160</v>
      </c>
      <c r="BD89">
        <v>4</v>
      </c>
      <c r="BE89">
        <v>4</v>
      </c>
      <c r="BF89">
        <v>471.67</v>
      </c>
      <c r="BG89" s="62">
        <v>9.0375999999999994</v>
      </c>
      <c r="BH89" s="16">
        <v>45472</v>
      </c>
      <c r="BI89" s="18">
        <v>0.52170138888888884</v>
      </c>
      <c r="BJ89">
        <v>0</v>
      </c>
      <c r="BK89">
        <v>0</v>
      </c>
      <c r="BL89">
        <v>0</v>
      </c>
      <c r="BM89">
        <v>0</v>
      </c>
      <c r="BN89">
        <v>0</v>
      </c>
      <c r="BO89">
        <v>0</v>
      </c>
      <c r="BP89">
        <v>0</v>
      </c>
      <c r="BQ89">
        <v>0</v>
      </c>
      <c r="BR89">
        <v>0</v>
      </c>
      <c r="BS89">
        <v>0</v>
      </c>
      <c r="BT89">
        <v>0</v>
      </c>
      <c r="BU89">
        <v>0</v>
      </c>
    </row>
    <row r="90" spans="1:73" x14ac:dyDescent="0.25">
      <c r="A90" t="s">
        <v>111</v>
      </c>
      <c r="B90">
        <v>1</v>
      </c>
      <c r="C90" t="s">
        <v>7</v>
      </c>
      <c r="D90" s="20">
        <v>17536</v>
      </c>
      <c r="E90" s="20">
        <v>128</v>
      </c>
      <c r="F90" s="20">
        <v>2</v>
      </c>
      <c r="G90" s="20">
        <v>8</v>
      </c>
      <c r="H90" s="79">
        <v>319.2</v>
      </c>
      <c r="I90" s="62">
        <v>11.263999999999999</v>
      </c>
      <c r="J90" s="16">
        <v>45546</v>
      </c>
      <c r="K90" s="25">
        <v>0.96357638888888886</v>
      </c>
      <c r="L90">
        <v>0</v>
      </c>
      <c r="M90">
        <v>0</v>
      </c>
      <c r="N90">
        <v>0</v>
      </c>
      <c r="O90">
        <v>0</v>
      </c>
      <c r="P90">
        <v>0</v>
      </c>
      <c r="Q90">
        <v>0</v>
      </c>
      <c r="R90">
        <v>0</v>
      </c>
      <c r="S90">
        <v>0</v>
      </c>
      <c r="T90">
        <v>0</v>
      </c>
      <c r="U90">
        <v>0</v>
      </c>
      <c r="V90">
        <v>0</v>
      </c>
      <c r="W90">
        <v>0</v>
      </c>
      <c r="X90" s="80">
        <f>X89</f>
        <v>10.944799999999999</v>
      </c>
      <c r="Z90" t="s">
        <v>149</v>
      </c>
      <c r="AA90">
        <v>1</v>
      </c>
      <c r="AB90" t="s">
        <v>7</v>
      </c>
      <c r="AC90" s="20">
        <v>17472</v>
      </c>
      <c r="AD90" s="20">
        <v>224</v>
      </c>
      <c r="AE90" s="20">
        <v>2</v>
      </c>
      <c r="AF90" s="20">
        <v>8</v>
      </c>
      <c r="AG90" s="79">
        <v>287.01</v>
      </c>
      <c r="AH90" s="62">
        <v>12.391</v>
      </c>
      <c r="AI90" s="16">
        <v>45558</v>
      </c>
      <c r="AJ90" s="25">
        <v>0.44599537037037035</v>
      </c>
      <c r="AK90">
        <v>0</v>
      </c>
      <c r="AL90">
        <v>0</v>
      </c>
      <c r="AM90">
        <v>0</v>
      </c>
      <c r="AN90">
        <v>0</v>
      </c>
      <c r="AO90">
        <v>0</v>
      </c>
      <c r="AP90">
        <v>0</v>
      </c>
      <c r="AQ90">
        <v>0</v>
      </c>
      <c r="AR90">
        <v>0</v>
      </c>
      <c r="AS90">
        <v>0</v>
      </c>
      <c r="AT90">
        <v>0</v>
      </c>
      <c r="AU90">
        <v>0</v>
      </c>
      <c r="AV90">
        <v>0</v>
      </c>
      <c r="AW90" s="80">
        <f>AW89</f>
        <v>12.382250000000001</v>
      </c>
      <c r="AZ90">
        <v>1</v>
      </c>
      <c r="BA90" t="s">
        <v>7</v>
      </c>
      <c r="BB90">
        <v>18560</v>
      </c>
      <c r="BC90">
        <v>160</v>
      </c>
      <c r="BD90">
        <v>4</v>
      </c>
      <c r="BE90">
        <v>4</v>
      </c>
      <c r="BF90">
        <v>753.95</v>
      </c>
      <c r="BG90" s="62">
        <v>5.6539999999999999</v>
      </c>
      <c r="BH90" s="16">
        <v>45474</v>
      </c>
      <c r="BI90" s="18">
        <v>0.38936342592592593</v>
      </c>
      <c r="BJ90">
        <v>0</v>
      </c>
      <c r="BK90">
        <v>0</v>
      </c>
      <c r="BL90">
        <v>0</v>
      </c>
      <c r="BM90">
        <v>0</v>
      </c>
      <c r="BN90">
        <v>0</v>
      </c>
      <c r="BO90">
        <v>0</v>
      </c>
      <c r="BP90">
        <v>0</v>
      </c>
      <c r="BQ90">
        <v>0</v>
      </c>
      <c r="BR90">
        <v>0</v>
      </c>
      <c r="BS90">
        <v>0</v>
      </c>
      <c r="BT90">
        <v>0</v>
      </c>
      <c r="BU90">
        <v>0</v>
      </c>
    </row>
    <row r="91" spans="1:73" x14ac:dyDescent="0.25">
      <c r="A91" t="s">
        <v>111</v>
      </c>
      <c r="B91">
        <v>2</v>
      </c>
      <c r="C91" t="s">
        <v>7</v>
      </c>
      <c r="D91" s="20">
        <v>17536</v>
      </c>
      <c r="E91" s="20">
        <v>128</v>
      </c>
      <c r="F91" s="20">
        <v>2</v>
      </c>
      <c r="G91" s="20">
        <v>8</v>
      </c>
      <c r="H91" s="79">
        <v>329.5</v>
      </c>
      <c r="I91" s="62">
        <v>10.912000000000001</v>
      </c>
      <c r="J91" s="16">
        <v>45547</v>
      </c>
      <c r="K91" s="25">
        <v>0.57859953703703704</v>
      </c>
      <c r="L91">
        <v>0</v>
      </c>
      <c r="M91">
        <v>0</v>
      </c>
      <c r="N91">
        <v>0</v>
      </c>
      <c r="O91">
        <v>0</v>
      </c>
      <c r="P91">
        <v>0</v>
      </c>
      <c r="Q91">
        <v>0</v>
      </c>
      <c r="R91">
        <v>0</v>
      </c>
      <c r="S91">
        <v>0</v>
      </c>
      <c r="T91">
        <v>0</v>
      </c>
      <c r="U91">
        <v>0</v>
      </c>
      <c r="V91">
        <v>0</v>
      </c>
      <c r="W91">
        <v>0</v>
      </c>
      <c r="X91" s="80">
        <f>X90</f>
        <v>10.944799999999999</v>
      </c>
      <c r="Z91" t="s">
        <v>149</v>
      </c>
      <c r="AA91">
        <v>2</v>
      </c>
      <c r="AB91" t="s">
        <v>7</v>
      </c>
      <c r="AC91" s="20">
        <v>17472</v>
      </c>
      <c r="AD91" s="20">
        <v>224</v>
      </c>
      <c r="AE91" s="20">
        <v>2</v>
      </c>
      <c r="AF91" s="20">
        <v>8</v>
      </c>
      <c r="AG91" s="79">
        <v>287.3</v>
      </c>
      <c r="AH91" s="62">
        <v>12.378</v>
      </c>
      <c r="AI91" s="16">
        <v>45558</v>
      </c>
      <c r="AJ91" s="25">
        <v>0.94439814814814815</v>
      </c>
      <c r="AK91">
        <v>0</v>
      </c>
      <c r="AL91">
        <v>0</v>
      </c>
      <c r="AM91">
        <v>0</v>
      </c>
      <c r="AN91">
        <v>0</v>
      </c>
      <c r="AO91">
        <v>0</v>
      </c>
      <c r="AP91">
        <v>0</v>
      </c>
      <c r="AQ91">
        <v>0</v>
      </c>
      <c r="AR91">
        <v>0</v>
      </c>
      <c r="AS91">
        <v>0</v>
      </c>
      <c r="AT91">
        <v>0</v>
      </c>
      <c r="AU91">
        <v>0</v>
      </c>
      <c r="AV91">
        <v>0</v>
      </c>
      <c r="AW91" s="80">
        <f>AW90</f>
        <v>12.382250000000001</v>
      </c>
      <c r="AZ91">
        <v>0</v>
      </c>
      <c r="BA91" t="s">
        <v>7</v>
      </c>
      <c r="BB91">
        <v>19520</v>
      </c>
      <c r="BC91">
        <v>160</v>
      </c>
      <c r="BD91">
        <v>4</v>
      </c>
      <c r="BE91">
        <v>4</v>
      </c>
      <c r="BF91">
        <v>606.67999999999995</v>
      </c>
      <c r="BG91" s="62">
        <v>8.1740999999999993</v>
      </c>
      <c r="BH91" s="16">
        <v>45473</v>
      </c>
      <c r="BI91" s="18">
        <v>0.92942129629629633</v>
      </c>
      <c r="BJ91">
        <v>0</v>
      </c>
      <c r="BK91">
        <v>0</v>
      </c>
      <c r="BL91">
        <v>0</v>
      </c>
      <c r="BM91">
        <v>0</v>
      </c>
      <c r="BN91">
        <v>0</v>
      </c>
      <c r="BO91">
        <v>0</v>
      </c>
      <c r="BP91">
        <v>0</v>
      </c>
      <c r="BQ91">
        <v>0</v>
      </c>
      <c r="BR91">
        <v>0</v>
      </c>
      <c r="BS91">
        <v>0</v>
      </c>
      <c r="BT91">
        <v>0</v>
      </c>
      <c r="BU91">
        <v>0</v>
      </c>
    </row>
    <row r="92" spans="1:73" x14ac:dyDescent="0.25">
      <c r="A92" t="s">
        <v>111</v>
      </c>
      <c r="B92">
        <v>3</v>
      </c>
      <c r="C92" t="s">
        <v>7</v>
      </c>
      <c r="D92" s="20">
        <v>17536</v>
      </c>
      <c r="E92" s="20">
        <v>128</v>
      </c>
      <c r="F92" s="20">
        <v>2</v>
      </c>
      <c r="G92" s="20">
        <v>8</v>
      </c>
      <c r="H92" s="79">
        <v>332.74</v>
      </c>
      <c r="I92" s="62">
        <v>10.805999999999999</v>
      </c>
      <c r="J92" s="16">
        <v>45548</v>
      </c>
      <c r="K92" s="25">
        <v>0.23918981481481483</v>
      </c>
      <c r="L92">
        <v>0</v>
      </c>
      <c r="M92">
        <v>0</v>
      </c>
      <c r="N92">
        <v>0</v>
      </c>
      <c r="O92">
        <v>0</v>
      </c>
      <c r="P92">
        <v>0</v>
      </c>
      <c r="Q92">
        <v>0</v>
      </c>
      <c r="R92">
        <v>0</v>
      </c>
      <c r="S92">
        <v>0</v>
      </c>
      <c r="T92">
        <v>0</v>
      </c>
      <c r="U92">
        <v>0</v>
      </c>
      <c r="V92">
        <v>0</v>
      </c>
      <c r="W92">
        <v>0</v>
      </c>
      <c r="X92" s="80">
        <f>X91</f>
        <v>10.944799999999999</v>
      </c>
      <c r="Z92" t="s">
        <v>149</v>
      </c>
      <c r="AA92">
        <v>3</v>
      </c>
      <c r="AB92" t="s">
        <v>7</v>
      </c>
      <c r="AC92" s="20">
        <v>17472</v>
      </c>
      <c r="AD92" s="20">
        <v>224</v>
      </c>
      <c r="AE92" s="20">
        <v>2</v>
      </c>
      <c r="AF92" s="20">
        <v>8</v>
      </c>
      <c r="AG92" s="79">
        <v>287.68</v>
      </c>
      <c r="AH92" s="62">
        <v>12.362</v>
      </c>
      <c r="AI92" s="16">
        <v>45555</v>
      </c>
      <c r="AJ92" s="25">
        <v>0.11543981481481481</v>
      </c>
      <c r="AK92">
        <v>0</v>
      </c>
      <c r="AL92">
        <v>0</v>
      </c>
      <c r="AM92">
        <v>0</v>
      </c>
      <c r="AN92">
        <v>0</v>
      </c>
      <c r="AO92">
        <v>0</v>
      </c>
      <c r="AP92">
        <v>0</v>
      </c>
      <c r="AQ92">
        <v>0</v>
      </c>
      <c r="AR92">
        <v>0</v>
      </c>
      <c r="AS92">
        <v>0</v>
      </c>
      <c r="AT92">
        <v>0</v>
      </c>
      <c r="AU92">
        <v>0</v>
      </c>
      <c r="AV92">
        <v>0</v>
      </c>
      <c r="AW92" s="80">
        <f>AW91</f>
        <v>12.382250000000001</v>
      </c>
      <c r="BF92"/>
      <c r="BG92" s="62"/>
      <c r="BH92" s="16"/>
      <c r="BI92" s="18"/>
    </row>
    <row r="93" spans="1:73" x14ac:dyDescent="0.25">
      <c r="A93" t="s">
        <v>111</v>
      </c>
      <c r="B93">
        <v>4</v>
      </c>
      <c r="C93" t="s">
        <v>7</v>
      </c>
      <c r="D93" s="20">
        <v>17536</v>
      </c>
      <c r="E93" s="20">
        <v>128</v>
      </c>
      <c r="F93" s="20">
        <v>2</v>
      </c>
      <c r="G93" s="20">
        <v>8</v>
      </c>
      <c r="H93" s="79">
        <v>328.61</v>
      </c>
      <c r="I93" s="62">
        <v>10.941000000000001</v>
      </c>
      <c r="J93" s="16">
        <v>45548</v>
      </c>
      <c r="K93" s="25">
        <v>0.86756944444444439</v>
      </c>
      <c r="L93">
        <v>0</v>
      </c>
      <c r="M93">
        <v>0</v>
      </c>
      <c r="N93">
        <v>0</v>
      </c>
      <c r="O93">
        <v>0</v>
      </c>
      <c r="P93">
        <v>0</v>
      </c>
      <c r="Q93">
        <v>0</v>
      </c>
      <c r="R93">
        <v>0</v>
      </c>
      <c r="S93">
        <v>0</v>
      </c>
      <c r="T93">
        <v>0</v>
      </c>
      <c r="U93">
        <v>0</v>
      </c>
      <c r="V93">
        <v>0</v>
      </c>
      <c r="W93">
        <v>0</v>
      </c>
      <c r="X93" s="80">
        <f>X92</f>
        <v>10.944799999999999</v>
      </c>
      <c r="Z93" t="s">
        <v>149</v>
      </c>
      <c r="AA93">
        <v>4</v>
      </c>
      <c r="AB93" t="s">
        <v>7</v>
      </c>
      <c r="AC93" s="20">
        <v>17472</v>
      </c>
      <c r="AD93" s="20">
        <v>224</v>
      </c>
      <c r="AE93" s="20">
        <v>2</v>
      </c>
      <c r="AF93" s="20">
        <v>8</v>
      </c>
      <c r="AG93" s="79">
        <v>287.7</v>
      </c>
      <c r="AH93" s="62">
        <v>12.361000000000001</v>
      </c>
      <c r="AI93" s="16">
        <v>45555</v>
      </c>
      <c r="AJ93" s="25">
        <v>0.61559027777777775</v>
      </c>
      <c r="AK93">
        <v>0</v>
      </c>
      <c r="AL93">
        <v>0</v>
      </c>
      <c r="AM93">
        <v>0</v>
      </c>
      <c r="AN93">
        <v>0</v>
      </c>
      <c r="AO93">
        <v>0</v>
      </c>
      <c r="AP93">
        <v>0</v>
      </c>
      <c r="AQ93">
        <v>0</v>
      </c>
      <c r="AR93">
        <v>0</v>
      </c>
      <c r="AS93">
        <v>0</v>
      </c>
      <c r="AT93">
        <v>0</v>
      </c>
      <c r="AU93">
        <v>0</v>
      </c>
      <c r="AV93">
        <v>0</v>
      </c>
      <c r="AW93" s="80">
        <f>AW92</f>
        <v>12.382250000000001</v>
      </c>
      <c r="AZ93">
        <v>0</v>
      </c>
      <c r="BA93" t="s">
        <v>7</v>
      </c>
      <c r="BB93">
        <v>17472</v>
      </c>
      <c r="BC93">
        <v>192</v>
      </c>
      <c r="BD93">
        <v>1</v>
      </c>
      <c r="BE93">
        <v>16</v>
      </c>
      <c r="BF93">
        <v>339.19</v>
      </c>
      <c r="BG93" s="62">
        <v>10.484999999999999</v>
      </c>
      <c r="BH93" s="16">
        <v>45472</v>
      </c>
      <c r="BI93" s="18">
        <v>0.39763888888888888</v>
      </c>
      <c r="BJ93">
        <v>0</v>
      </c>
      <c r="BK93">
        <v>0</v>
      </c>
      <c r="BL93">
        <v>0</v>
      </c>
      <c r="BM93">
        <v>0</v>
      </c>
      <c r="BN93">
        <v>0</v>
      </c>
      <c r="BO93">
        <v>0</v>
      </c>
      <c r="BP93">
        <v>0</v>
      </c>
      <c r="BQ93">
        <v>0</v>
      </c>
      <c r="BR93">
        <v>0</v>
      </c>
      <c r="BS93">
        <v>0</v>
      </c>
      <c r="BT93">
        <v>0</v>
      </c>
      <c r="BU93">
        <v>0</v>
      </c>
    </row>
    <row r="94" spans="1:73" x14ac:dyDescent="0.25">
      <c r="A94" t="s">
        <v>111</v>
      </c>
      <c r="B94">
        <v>0</v>
      </c>
      <c r="C94" t="s">
        <v>7</v>
      </c>
      <c r="D94" s="20">
        <v>17408</v>
      </c>
      <c r="E94" s="20">
        <v>256</v>
      </c>
      <c r="F94" s="20">
        <v>2</v>
      </c>
      <c r="G94" s="20">
        <v>8</v>
      </c>
      <c r="H94" s="79">
        <v>323.14</v>
      </c>
      <c r="I94" s="62">
        <v>10.885</v>
      </c>
      <c r="J94" s="16">
        <v>45546</v>
      </c>
      <c r="K94" s="25">
        <v>0.39930555555555558</v>
      </c>
      <c r="L94">
        <v>0</v>
      </c>
      <c r="M94">
        <v>0</v>
      </c>
      <c r="N94">
        <v>0</v>
      </c>
      <c r="O94">
        <v>0</v>
      </c>
      <c r="P94">
        <v>0</v>
      </c>
      <c r="Q94">
        <v>0</v>
      </c>
      <c r="R94">
        <v>0</v>
      </c>
      <c r="S94">
        <v>0</v>
      </c>
      <c r="T94">
        <v>0</v>
      </c>
      <c r="U94">
        <v>0</v>
      </c>
      <c r="V94">
        <v>0</v>
      </c>
      <c r="W94">
        <v>0</v>
      </c>
      <c r="X94" s="82">
        <f>AVERAGE(I94:I98)</f>
        <v>10.801399999999999</v>
      </c>
      <c r="Z94" t="s">
        <v>149</v>
      </c>
      <c r="AA94">
        <v>0</v>
      </c>
      <c r="AB94" t="s">
        <v>7</v>
      </c>
      <c r="AC94" s="20">
        <v>17408</v>
      </c>
      <c r="AD94" s="20">
        <v>256</v>
      </c>
      <c r="AE94" s="20">
        <v>2</v>
      </c>
      <c r="AF94" s="20">
        <v>8</v>
      </c>
      <c r="AG94" s="79">
        <v>286.98</v>
      </c>
      <c r="AH94" s="62">
        <v>12.256</v>
      </c>
      <c r="AI94" s="16">
        <v>45557</v>
      </c>
      <c r="AJ94" s="25">
        <v>0.95871527777777776</v>
      </c>
      <c r="AK94">
        <v>0</v>
      </c>
      <c r="AL94">
        <v>0</v>
      </c>
      <c r="AM94">
        <v>0</v>
      </c>
      <c r="AN94">
        <v>0</v>
      </c>
      <c r="AO94">
        <v>0</v>
      </c>
      <c r="AP94">
        <v>0</v>
      </c>
      <c r="AQ94">
        <v>0</v>
      </c>
      <c r="AR94">
        <v>0</v>
      </c>
      <c r="AS94">
        <v>0</v>
      </c>
      <c r="AT94">
        <v>0</v>
      </c>
      <c r="AU94">
        <v>0</v>
      </c>
      <c r="AV94">
        <v>0</v>
      </c>
      <c r="AW94" s="82">
        <f>AVERAGE(AH94:AH97)</f>
        <v>12.211000000000002</v>
      </c>
      <c r="AZ94">
        <v>1</v>
      </c>
      <c r="BA94" t="s">
        <v>7</v>
      </c>
      <c r="BB94">
        <v>17472</v>
      </c>
      <c r="BC94">
        <v>192</v>
      </c>
      <c r="BD94">
        <v>1</v>
      </c>
      <c r="BE94">
        <v>16</v>
      </c>
      <c r="BF94">
        <v>500.53</v>
      </c>
      <c r="BG94" s="62">
        <v>7.1050000000000004</v>
      </c>
      <c r="BH94" s="16">
        <v>45474</v>
      </c>
      <c r="BI94" s="18">
        <v>0.21596064814814814</v>
      </c>
      <c r="BJ94">
        <v>0</v>
      </c>
      <c r="BK94">
        <v>0</v>
      </c>
      <c r="BL94">
        <v>0</v>
      </c>
      <c r="BM94">
        <v>0</v>
      </c>
      <c r="BN94">
        <v>0</v>
      </c>
      <c r="BO94">
        <v>0</v>
      </c>
      <c r="BP94">
        <v>0</v>
      </c>
      <c r="BQ94">
        <v>0</v>
      </c>
      <c r="BR94">
        <v>0</v>
      </c>
      <c r="BS94">
        <v>0</v>
      </c>
      <c r="BT94">
        <v>0</v>
      </c>
      <c r="BU94">
        <v>0</v>
      </c>
    </row>
    <row r="95" spans="1:73" x14ac:dyDescent="0.25">
      <c r="A95" t="s">
        <v>111</v>
      </c>
      <c r="B95">
        <v>1</v>
      </c>
      <c r="C95" t="s">
        <v>7</v>
      </c>
      <c r="D95" s="20">
        <v>17408</v>
      </c>
      <c r="E95" s="20">
        <v>256</v>
      </c>
      <c r="F95" s="20">
        <v>2</v>
      </c>
      <c r="G95" s="20">
        <v>8</v>
      </c>
      <c r="H95" s="79">
        <v>323.20999999999998</v>
      </c>
      <c r="I95" s="62">
        <v>10.882</v>
      </c>
      <c r="J95" s="16">
        <v>45547</v>
      </c>
      <c r="K95" s="25">
        <v>1.5925925925925927E-2</v>
      </c>
      <c r="L95">
        <v>0</v>
      </c>
      <c r="M95">
        <v>0</v>
      </c>
      <c r="N95">
        <v>0</v>
      </c>
      <c r="O95">
        <v>0</v>
      </c>
      <c r="P95">
        <v>0</v>
      </c>
      <c r="Q95">
        <v>0</v>
      </c>
      <c r="R95">
        <v>0</v>
      </c>
      <c r="S95">
        <v>0</v>
      </c>
      <c r="T95">
        <v>0</v>
      </c>
      <c r="U95">
        <v>0</v>
      </c>
      <c r="V95">
        <v>0</v>
      </c>
      <c r="W95">
        <v>0</v>
      </c>
      <c r="X95" s="80">
        <f>X94</f>
        <v>10.801399999999999</v>
      </c>
      <c r="Z95" t="s">
        <v>149</v>
      </c>
      <c r="AA95">
        <v>1</v>
      </c>
      <c r="AB95" t="s">
        <v>7</v>
      </c>
      <c r="AC95" s="20">
        <v>17408</v>
      </c>
      <c r="AD95" s="20">
        <v>256</v>
      </c>
      <c r="AE95" s="20">
        <v>2</v>
      </c>
      <c r="AF95" s="20">
        <v>8</v>
      </c>
      <c r="AG95" s="79">
        <v>288.52</v>
      </c>
      <c r="AH95" s="62">
        <v>12.191000000000001</v>
      </c>
      <c r="AI95" s="16">
        <v>45558</v>
      </c>
      <c r="AJ95" s="25">
        <v>0.45811342592592591</v>
      </c>
      <c r="AK95">
        <v>0</v>
      </c>
      <c r="AL95">
        <v>0</v>
      </c>
      <c r="AM95">
        <v>0</v>
      </c>
      <c r="AN95">
        <v>0</v>
      </c>
      <c r="AO95">
        <v>0</v>
      </c>
      <c r="AP95">
        <v>0</v>
      </c>
      <c r="AQ95">
        <v>0</v>
      </c>
      <c r="AR95">
        <v>0</v>
      </c>
      <c r="AS95">
        <v>0</v>
      </c>
      <c r="AT95">
        <v>0</v>
      </c>
      <c r="AU95">
        <v>0</v>
      </c>
      <c r="AV95">
        <v>0</v>
      </c>
      <c r="AW95" s="80">
        <f>AW94</f>
        <v>12.211000000000002</v>
      </c>
      <c r="AZ95">
        <v>0</v>
      </c>
      <c r="BA95" t="s">
        <v>7</v>
      </c>
      <c r="BB95">
        <v>18624</v>
      </c>
      <c r="BC95">
        <v>192</v>
      </c>
      <c r="BD95">
        <v>1</v>
      </c>
      <c r="BE95">
        <v>16</v>
      </c>
      <c r="BF95">
        <v>1123.54</v>
      </c>
      <c r="BG95" s="62">
        <v>3.8334999999999999</v>
      </c>
      <c r="BH95" s="16">
        <v>45472</v>
      </c>
      <c r="BI95" s="18">
        <v>0.53674768518518523</v>
      </c>
      <c r="BJ95">
        <v>0</v>
      </c>
      <c r="BK95">
        <v>0</v>
      </c>
      <c r="BL95">
        <v>0</v>
      </c>
      <c r="BM95">
        <v>0</v>
      </c>
      <c r="BN95">
        <v>0</v>
      </c>
      <c r="BO95">
        <v>0</v>
      </c>
      <c r="BP95">
        <v>0</v>
      </c>
      <c r="BQ95">
        <v>0</v>
      </c>
      <c r="BR95">
        <v>0</v>
      </c>
      <c r="BS95">
        <v>0</v>
      </c>
      <c r="BT95">
        <v>0</v>
      </c>
      <c r="BU95">
        <v>0</v>
      </c>
    </row>
    <row r="96" spans="1:73" x14ac:dyDescent="0.25">
      <c r="A96" t="s">
        <v>111</v>
      </c>
      <c r="B96">
        <v>2</v>
      </c>
      <c r="C96" t="s">
        <v>7</v>
      </c>
      <c r="D96" s="20">
        <v>17408</v>
      </c>
      <c r="E96" s="20">
        <v>256</v>
      </c>
      <c r="F96" s="20">
        <v>2</v>
      </c>
      <c r="G96" s="20">
        <v>8</v>
      </c>
      <c r="H96" s="79">
        <v>328.35</v>
      </c>
      <c r="I96" s="62">
        <v>10.712</v>
      </c>
      <c r="J96" s="16">
        <v>45547</v>
      </c>
      <c r="K96" s="25">
        <v>0.6308449074074074</v>
      </c>
      <c r="L96">
        <v>0</v>
      </c>
      <c r="M96">
        <v>0</v>
      </c>
      <c r="N96">
        <v>0</v>
      </c>
      <c r="O96">
        <v>0</v>
      </c>
      <c r="P96">
        <v>0</v>
      </c>
      <c r="Q96">
        <v>0</v>
      </c>
      <c r="R96">
        <v>0</v>
      </c>
      <c r="S96">
        <v>0</v>
      </c>
      <c r="T96">
        <v>0</v>
      </c>
      <c r="U96">
        <v>0</v>
      </c>
      <c r="V96">
        <v>0</v>
      </c>
      <c r="W96">
        <v>0</v>
      </c>
      <c r="X96" s="80">
        <f>X95</f>
        <v>10.801399999999999</v>
      </c>
      <c r="Z96" t="s">
        <v>149</v>
      </c>
      <c r="AA96">
        <v>2</v>
      </c>
      <c r="AB96" t="s">
        <v>7</v>
      </c>
      <c r="AC96" s="20">
        <v>17408</v>
      </c>
      <c r="AD96" s="20">
        <v>256</v>
      </c>
      <c r="AE96" s="20">
        <v>2</v>
      </c>
      <c r="AF96" s="20">
        <v>8</v>
      </c>
      <c r="AG96" s="79">
        <v>288.24</v>
      </c>
      <c r="AH96" s="62">
        <v>12.202999999999999</v>
      </c>
      <c r="AI96" s="16">
        <v>45558</v>
      </c>
      <c r="AJ96" s="25">
        <v>0.95659722222222221</v>
      </c>
      <c r="AK96">
        <v>0</v>
      </c>
      <c r="AL96">
        <v>0</v>
      </c>
      <c r="AM96">
        <v>0</v>
      </c>
      <c r="AN96">
        <v>0</v>
      </c>
      <c r="AO96">
        <v>0</v>
      </c>
      <c r="AP96">
        <v>0</v>
      </c>
      <c r="AQ96">
        <v>0</v>
      </c>
      <c r="AR96">
        <v>0</v>
      </c>
      <c r="AS96">
        <v>0</v>
      </c>
      <c r="AT96">
        <v>0</v>
      </c>
      <c r="AU96">
        <v>0</v>
      </c>
      <c r="AV96">
        <v>0</v>
      </c>
      <c r="AW96" s="80">
        <f>AW95</f>
        <v>12.211000000000002</v>
      </c>
      <c r="AZ96">
        <v>1</v>
      </c>
      <c r="BA96" t="s">
        <v>7</v>
      </c>
      <c r="BB96">
        <v>18624</v>
      </c>
      <c r="BC96">
        <v>192</v>
      </c>
      <c r="BD96">
        <v>1</v>
      </c>
      <c r="BE96">
        <v>16</v>
      </c>
      <c r="BF96">
        <v>609.71</v>
      </c>
      <c r="BG96" s="62">
        <v>7.0640999999999998</v>
      </c>
      <c r="BH96" s="16">
        <v>45474</v>
      </c>
      <c r="BI96" s="18">
        <v>0.39690972222222221</v>
      </c>
      <c r="BJ96">
        <v>0</v>
      </c>
      <c r="BK96">
        <v>0</v>
      </c>
      <c r="BL96">
        <v>0</v>
      </c>
      <c r="BM96">
        <v>0</v>
      </c>
      <c r="BN96">
        <v>0</v>
      </c>
      <c r="BO96">
        <v>0</v>
      </c>
      <c r="BP96">
        <v>0</v>
      </c>
      <c r="BQ96">
        <v>0</v>
      </c>
      <c r="BR96">
        <v>0</v>
      </c>
      <c r="BS96">
        <v>0</v>
      </c>
      <c r="BT96">
        <v>0</v>
      </c>
      <c r="BU96">
        <v>0</v>
      </c>
    </row>
    <row r="97" spans="1:73" x14ac:dyDescent="0.25">
      <c r="A97" t="s">
        <v>111</v>
      </c>
      <c r="B97">
        <v>3</v>
      </c>
      <c r="C97" t="s">
        <v>7</v>
      </c>
      <c r="D97" s="20">
        <v>17408</v>
      </c>
      <c r="E97" s="20">
        <v>256</v>
      </c>
      <c r="F97" s="20">
        <v>2</v>
      </c>
      <c r="G97" s="20">
        <v>8</v>
      </c>
      <c r="H97" s="79">
        <v>325.18</v>
      </c>
      <c r="I97" s="62">
        <v>10.817</v>
      </c>
      <c r="J97" s="16">
        <v>45548</v>
      </c>
      <c r="K97" s="25">
        <v>0.29078703703703701</v>
      </c>
      <c r="L97">
        <v>0</v>
      </c>
      <c r="M97">
        <v>0</v>
      </c>
      <c r="N97">
        <v>0</v>
      </c>
      <c r="O97">
        <v>0</v>
      </c>
      <c r="P97">
        <v>0</v>
      </c>
      <c r="Q97">
        <v>0</v>
      </c>
      <c r="R97">
        <v>0</v>
      </c>
      <c r="S97">
        <v>0</v>
      </c>
      <c r="T97">
        <v>0</v>
      </c>
      <c r="U97">
        <v>0</v>
      </c>
      <c r="V97">
        <v>0</v>
      </c>
      <c r="W97">
        <v>0</v>
      </c>
      <c r="X97" s="80">
        <f>X96</f>
        <v>10.801399999999999</v>
      </c>
      <c r="Z97" t="s">
        <v>149</v>
      </c>
      <c r="AA97">
        <v>3</v>
      </c>
      <c r="AB97" t="s">
        <v>7</v>
      </c>
      <c r="AC97">
        <v>17408</v>
      </c>
      <c r="AD97">
        <v>256</v>
      </c>
      <c r="AE97">
        <v>2</v>
      </c>
      <c r="AF97">
        <v>8</v>
      </c>
      <c r="AG97" s="23">
        <v>288.45</v>
      </c>
      <c r="AH97" s="62">
        <v>12.194000000000001</v>
      </c>
      <c r="AI97" s="16">
        <v>45555</v>
      </c>
      <c r="AJ97" s="18">
        <v>0.1275</v>
      </c>
      <c r="AK97">
        <v>0</v>
      </c>
      <c r="AL97">
        <v>0</v>
      </c>
      <c r="AM97">
        <v>0</v>
      </c>
      <c r="AN97">
        <v>0</v>
      </c>
      <c r="AO97">
        <v>0</v>
      </c>
      <c r="AP97">
        <v>0</v>
      </c>
      <c r="AQ97">
        <v>0</v>
      </c>
      <c r="AR97">
        <v>0</v>
      </c>
      <c r="AS97">
        <v>0</v>
      </c>
      <c r="AT97">
        <v>0</v>
      </c>
      <c r="AU97">
        <v>0</v>
      </c>
      <c r="AV97">
        <v>0</v>
      </c>
      <c r="AW97" s="80">
        <f>AW96</f>
        <v>12.211000000000002</v>
      </c>
      <c r="AZ97">
        <v>0</v>
      </c>
      <c r="BA97" t="s">
        <v>7</v>
      </c>
      <c r="BB97">
        <v>19584</v>
      </c>
      <c r="BC97">
        <v>192</v>
      </c>
      <c r="BD97">
        <v>1</v>
      </c>
      <c r="BE97">
        <v>16</v>
      </c>
      <c r="BF97">
        <v>1953.9</v>
      </c>
      <c r="BG97" s="62">
        <v>2.5630999999999999</v>
      </c>
      <c r="BH97" s="16">
        <v>45473</v>
      </c>
      <c r="BI97" s="18">
        <v>0.95515046296296291</v>
      </c>
      <c r="BJ97">
        <v>0</v>
      </c>
      <c r="BK97">
        <v>0</v>
      </c>
      <c r="BL97">
        <v>0</v>
      </c>
      <c r="BM97">
        <v>0</v>
      </c>
      <c r="BN97">
        <v>0</v>
      </c>
      <c r="BO97">
        <v>0</v>
      </c>
      <c r="BP97">
        <v>0</v>
      </c>
      <c r="BQ97">
        <v>0</v>
      </c>
      <c r="BR97">
        <v>0</v>
      </c>
      <c r="BS97">
        <v>0</v>
      </c>
      <c r="BT97">
        <v>0</v>
      </c>
      <c r="BU97">
        <v>0</v>
      </c>
    </row>
    <row r="98" spans="1:73" x14ac:dyDescent="0.25">
      <c r="A98" t="s">
        <v>111</v>
      </c>
      <c r="B98">
        <v>4</v>
      </c>
      <c r="C98" t="s">
        <v>7</v>
      </c>
      <c r="D98" s="20">
        <v>17408</v>
      </c>
      <c r="E98" s="20">
        <v>256</v>
      </c>
      <c r="F98" s="20">
        <v>2</v>
      </c>
      <c r="G98" s="20">
        <v>8</v>
      </c>
      <c r="H98" s="79">
        <v>328.4</v>
      </c>
      <c r="I98" s="62">
        <v>10.711</v>
      </c>
      <c r="J98" s="16">
        <v>45548</v>
      </c>
      <c r="K98" s="25">
        <v>0.91909722222222223</v>
      </c>
      <c r="L98">
        <v>0</v>
      </c>
      <c r="M98">
        <v>0</v>
      </c>
      <c r="N98">
        <v>0</v>
      </c>
      <c r="O98">
        <v>0</v>
      </c>
      <c r="P98">
        <v>0</v>
      </c>
      <c r="Q98">
        <v>0</v>
      </c>
      <c r="R98">
        <v>0</v>
      </c>
      <c r="S98">
        <v>0</v>
      </c>
      <c r="T98">
        <v>0</v>
      </c>
      <c r="U98">
        <v>0</v>
      </c>
      <c r="V98">
        <v>0</v>
      </c>
      <c r="W98">
        <v>0</v>
      </c>
      <c r="X98" s="80">
        <f>X97</f>
        <v>10.801399999999999</v>
      </c>
      <c r="Z98" t="s">
        <v>149</v>
      </c>
      <c r="AA98">
        <v>4</v>
      </c>
      <c r="AB98" t="s">
        <v>7</v>
      </c>
      <c r="AC98" s="20">
        <v>17408</v>
      </c>
      <c r="AD98" s="20">
        <v>256</v>
      </c>
      <c r="AE98" s="20">
        <v>2</v>
      </c>
      <c r="AF98" s="20">
        <v>8</v>
      </c>
      <c r="AG98" s="79">
        <v>287.36</v>
      </c>
      <c r="AH98" s="62">
        <v>12.24</v>
      </c>
      <c r="AI98" s="16">
        <v>45555</v>
      </c>
      <c r="AJ98" s="25">
        <v>0.62763888888888886</v>
      </c>
      <c r="AK98">
        <v>0</v>
      </c>
      <c r="AL98">
        <v>0</v>
      </c>
      <c r="AM98">
        <v>0</v>
      </c>
      <c r="AN98">
        <v>0</v>
      </c>
      <c r="AO98">
        <v>0</v>
      </c>
      <c r="AP98">
        <v>0</v>
      </c>
      <c r="AQ98">
        <v>0</v>
      </c>
      <c r="AR98">
        <v>0</v>
      </c>
      <c r="AS98">
        <v>0</v>
      </c>
      <c r="AT98">
        <v>0</v>
      </c>
      <c r="AU98">
        <v>0</v>
      </c>
      <c r="AV98">
        <v>0</v>
      </c>
      <c r="AW98" s="80">
        <f>AW97</f>
        <v>12.211000000000002</v>
      </c>
      <c r="BF98"/>
      <c r="BG98" s="62"/>
      <c r="BH98" s="16"/>
      <c r="BI98" s="18"/>
    </row>
    <row r="99" spans="1:73" x14ac:dyDescent="0.25">
      <c r="A99" t="s">
        <v>111</v>
      </c>
      <c r="B99">
        <v>0</v>
      </c>
      <c r="C99" t="s">
        <v>7</v>
      </c>
      <c r="D99" s="20">
        <v>18368</v>
      </c>
      <c r="E99" s="20">
        <v>224</v>
      </c>
      <c r="F99" s="20">
        <v>1</v>
      </c>
      <c r="G99" s="20">
        <v>16</v>
      </c>
      <c r="H99" s="79">
        <v>402.93</v>
      </c>
      <c r="I99" s="62">
        <v>10.255000000000001</v>
      </c>
      <c r="J99" s="16">
        <v>45546</v>
      </c>
      <c r="K99" s="25">
        <v>0.50211805555555555</v>
      </c>
      <c r="L99">
        <v>0</v>
      </c>
      <c r="M99">
        <v>0</v>
      </c>
      <c r="N99">
        <v>0</v>
      </c>
      <c r="O99">
        <v>0</v>
      </c>
      <c r="P99">
        <v>0</v>
      </c>
      <c r="Q99">
        <v>0</v>
      </c>
      <c r="R99">
        <v>0</v>
      </c>
      <c r="S99">
        <v>0</v>
      </c>
      <c r="T99">
        <v>0</v>
      </c>
      <c r="U99">
        <v>0</v>
      </c>
      <c r="V99">
        <v>0</v>
      </c>
      <c r="W99">
        <v>0</v>
      </c>
      <c r="X99" s="82">
        <f>AVERAGE(I99:I103)</f>
        <v>10.37838</v>
      </c>
      <c r="Z99" t="s">
        <v>149</v>
      </c>
      <c r="AA99">
        <v>0</v>
      </c>
      <c r="AB99" t="s">
        <v>7</v>
      </c>
      <c r="AC99" s="20">
        <v>19584</v>
      </c>
      <c r="AD99" s="20">
        <v>32</v>
      </c>
      <c r="AE99" s="20">
        <v>2</v>
      </c>
      <c r="AF99" s="20">
        <v>8</v>
      </c>
      <c r="AG99" s="79">
        <v>416.82</v>
      </c>
      <c r="AH99" s="62">
        <v>12.015000000000001</v>
      </c>
      <c r="AI99" s="16">
        <v>45558</v>
      </c>
      <c r="AJ99" s="25">
        <v>9.7812499999999997E-2</v>
      </c>
      <c r="AK99">
        <v>0</v>
      </c>
      <c r="AL99">
        <v>0</v>
      </c>
      <c r="AM99">
        <v>0</v>
      </c>
      <c r="AN99">
        <v>0</v>
      </c>
      <c r="AO99">
        <v>0</v>
      </c>
      <c r="AP99">
        <v>0</v>
      </c>
      <c r="AQ99">
        <v>0</v>
      </c>
      <c r="AR99">
        <v>0</v>
      </c>
      <c r="AS99">
        <v>0</v>
      </c>
      <c r="AT99">
        <v>0</v>
      </c>
      <c r="AU99">
        <v>0</v>
      </c>
      <c r="AV99">
        <v>0</v>
      </c>
      <c r="AW99" s="82">
        <f>AVERAGE(AH99:AH102)</f>
        <v>12.018000000000001</v>
      </c>
      <c r="AZ99">
        <v>0</v>
      </c>
      <c r="BA99" t="s">
        <v>7</v>
      </c>
      <c r="BB99">
        <v>17472</v>
      </c>
      <c r="BC99">
        <v>192</v>
      </c>
      <c r="BD99">
        <v>2</v>
      </c>
      <c r="BE99">
        <v>8</v>
      </c>
      <c r="BF99">
        <v>319.83999999999997</v>
      </c>
      <c r="BG99" s="62">
        <v>11.119</v>
      </c>
      <c r="BH99" s="16">
        <v>45472</v>
      </c>
      <c r="BI99" s="18">
        <v>0.40163194444444444</v>
      </c>
      <c r="BJ99">
        <v>0</v>
      </c>
      <c r="BK99">
        <v>0</v>
      </c>
      <c r="BL99">
        <v>0</v>
      </c>
      <c r="BM99">
        <v>0</v>
      </c>
      <c r="BN99">
        <v>0</v>
      </c>
      <c r="BO99">
        <v>0</v>
      </c>
      <c r="BP99">
        <v>0</v>
      </c>
      <c r="BQ99">
        <v>0</v>
      </c>
      <c r="BR99">
        <v>0</v>
      </c>
      <c r="BS99">
        <v>0</v>
      </c>
      <c r="BT99">
        <v>0</v>
      </c>
      <c r="BU99">
        <v>0</v>
      </c>
    </row>
    <row r="100" spans="1:73" x14ac:dyDescent="0.25">
      <c r="A100" t="s">
        <v>111</v>
      </c>
      <c r="B100">
        <v>1</v>
      </c>
      <c r="C100" t="s">
        <v>7</v>
      </c>
      <c r="D100" s="20">
        <v>18368</v>
      </c>
      <c r="E100" s="20">
        <v>224</v>
      </c>
      <c r="F100" s="20">
        <v>1</v>
      </c>
      <c r="G100" s="20">
        <v>16</v>
      </c>
      <c r="H100" s="79">
        <v>380.92</v>
      </c>
      <c r="I100" s="62">
        <v>10.847</v>
      </c>
      <c r="J100" s="16">
        <v>45547</v>
      </c>
      <c r="K100" s="25">
        <v>0.11787037037037038</v>
      </c>
      <c r="L100">
        <v>0</v>
      </c>
      <c r="M100">
        <v>0</v>
      </c>
      <c r="N100">
        <v>0</v>
      </c>
      <c r="O100">
        <v>0</v>
      </c>
      <c r="P100">
        <v>0</v>
      </c>
      <c r="Q100">
        <v>0</v>
      </c>
      <c r="R100">
        <v>0</v>
      </c>
      <c r="S100">
        <v>0</v>
      </c>
      <c r="T100">
        <v>0</v>
      </c>
      <c r="U100">
        <v>0</v>
      </c>
      <c r="V100">
        <v>0</v>
      </c>
      <c r="W100">
        <v>0</v>
      </c>
      <c r="X100" s="80">
        <f>X99</f>
        <v>10.37838</v>
      </c>
      <c r="Z100" t="s">
        <v>149</v>
      </c>
      <c r="AA100">
        <v>1</v>
      </c>
      <c r="AB100" t="s">
        <v>7</v>
      </c>
      <c r="AC100" s="20">
        <v>19584</v>
      </c>
      <c r="AD100" s="20">
        <v>32</v>
      </c>
      <c r="AE100" s="20">
        <v>2</v>
      </c>
      <c r="AF100" s="20">
        <v>8</v>
      </c>
      <c r="AG100" s="79">
        <v>417.43</v>
      </c>
      <c r="AH100" s="62">
        <v>11.997</v>
      </c>
      <c r="AI100" s="16">
        <v>45558</v>
      </c>
      <c r="AJ100" s="25">
        <v>0.59105324074074073</v>
      </c>
      <c r="AK100">
        <v>0</v>
      </c>
      <c r="AL100">
        <v>0</v>
      </c>
      <c r="AM100">
        <v>0</v>
      </c>
      <c r="AN100">
        <v>0</v>
      </c>
      <c r="AO100">
        <v>0</v>
      </c>
      <c r="AP100">
        <v>0</v>
      </c>
      <c r="AQ100">
        <v>0</v>
      </c>
      <c r="AR100">
        <v>0</v>
      </c>
      <c r="AS100">
        <v>0</v>
      </c>
      <c r="AT100">
        <v>0</v>
      </c>
      <c r="AU100">
        <v>0</v>
      </c>
      <c r="AV100">
        <v>0</v>
      </c>
      <c r="AW100" s="80">
        <f>AW99</f>
        <v>12.018000000000001</v>
      </c>
      <c r="AZ100">
        <v>1</v>
      </c>
      <c r="BA100" t="s">
        <v>7</v>
      </c>
      <c r="BB100">
        <v>17472</v>
      </c>
      <c r="BC100">
        <v>192</v>
      </c>
      <c r="BD100">
        <v>2</v>
      </c>
      <c r="BE100">
        <v>8</v>
      </c>
      <c r="BF100">
        <v>480.04</v>
      </c>
      <c r="BG100" s="62">
        <v>7.4081999999999999</v>
      </c>
      <c r="BH100" s="16">
        <v>45474</v>
      </c>
      <c r="BI100" s="18">
        <v>0.22187499999999999</v>
      </c>
      <c r="BJ100">
        <v>0</v>
      </c>
      <c r="BK100">
        <v>0</v>
      </c>
      <c r="BL100">
        <v>0</v>
      </c>
      <c r="BM100">
        <v>0</v>
      </c>
      <c r="BN100">
        <v>0</v>
      </c>
      <c r="BO100">
        <v>0</v>
      </c>
      <c r="BP100">
        <v>0</v>
      </c>
      <c r="BQ100">
        <v>0</v>
      </c>
      <c r="BR100">
        <v>0</v>
      </c>
      <c r="BS100">
        <v>0</v>
      </c>
      <c r="BT100">
        <v>0</v>
      </c>
      <c r="BU100">
        <v>0</v>
      </c>
    </row>
    <row r="101" spans="1:73" x14ac:dyDescent="0.25">
      <c r="A101" t="s">
        <v>111</v>
      </c>
      <c r="B101">
        <v>2</v>
      </c>
      <c r="C101" t="s">
        <v>7</v>
      </c>
      <c r="D101" s="20">
        <v>18368</v>
      </c>
      <c r="E101" s="20">
        <v>224</v>
      </c>
      <c r="F101" s="20">
        <v>1</v>
      </c>
      <c r="G101" s="20">
        <v>16</v>
      </c>
      <c r="H101" s="79">
        <v>424.13</v>
      </c>
      <c r="I101" s="62">
        <v>9.7418999999999993</v>
      </c>
      <c r="J101" s="16">
        <v>45547</v>
      </c>
      <c r="K101" s="25">
        <v>0.73258101851851853</v>
      </c>
      <c r="L101">
        <v>0</v>
      </c>
      <c r="M101">
        <v>0</v>
      </c>
      <c r="N101">
        <v>0</v>
      </c>
      <c r="O101">
        <v>0</v>
      </c>
      <c r="P101">
        <v>0</v>
      </c>
      <c r="Q101">
        <v>0</v>
      </c>
      <c r="R101">
        <v>0</v>
      </c>
      <c r="S101">
        <v>0</v>
      </c>
      <c r="T101">
        <v>0</v>
      </c>
      <c r="U101">
        <v>0</v>
      </c>
      <c r="V101">
        <v>0</v>
      </c>
      <c r="W101">
        <v>0</v>
      </c>
      <c r="X101" s="80">
        <f>X100</f>
        <v>10.37838</v>
      </c>
      <c r="Z101" t="s">
        <v>149</v>
      </c>
      <c r="AA101">
        <v>2</v>
      </c>
      <c r="AB101" t="s">
        <v>7</v>
      </c>
      <c r="AC101" s="20">
        <v>19584</v>
      </c>
      <c r="AD101" s="20">
        <v>32</v>
      </c>
      <c r="AE101" s="20">
        <v>2</v>
      </c>
      <c r="AF101" s="20">
        <v>8</v>
      </c>
      <c r="AG101" s="79">
        <v>416.61</v>
      </c>
      <c r="AH101" s="62">
        <v>12.021000000000001</v>
      </c>
      <c r="AI101" s="16">
        <v>45554</v>
      </c>
      <c r="AJ101" s="25">
        <v>0.73549768518518521</v>
      </c>
      <c r="AK101">
        <v>0</v>
      </c>
      <c r="AL101">
        <v>0</v>
      </c>
      <c r="AM101">
        <v>0</v>
      </c>
      <c r="AN101">
        <v>0</v>
      </c>
      <c r="AO101">
        <v>0</v>
      </c>
      <c r="AP101">
        <v>0</v>
      </c>
      <c r="AQ101">
        <v>0</v>
      </c>
      <c r="AR101">
        <v>0</v>
      </c>
      <c r="AS101">
        <v>0</v>
      </c>
      <c r="AT101">
        <v>0</v>
      </c>
      <c r="AU101">
        <v>0</v>
      </c>
      <c r="AV101">
        <v>0</v>
      </c>
      <c r="AW101" s="80">
        <f>AW100</f>
        <v>12.018000000000001</v>
      </c>
      <c r="AZ101">
        <v>0</v>
      </c>
      <c r="BA101" t="s">
        <v>7</v>
      </c>
      <c r="BB101">
        <v>18624</v>
      </c>
      <c r="BC101">
        <v>192</v>
      </c>
      <c r="BD101">
        <v>2</v>
      </c>
      <c r="BE101">
        <v>8</v>
      </c>
      <c r="BF101">
        <v>385.93</v>
      </c>
      <c r="BG101" s="62">
        <v>11.16</v>
      </c>
      <c r="BH101" s="16">
        <v>45472</v>
      </c>
      <c r="BI101" s="18">
        <v>0.54189814814814818</v>
      </c>
      <c r="BJ101">
        <v>0</v>
      </c>
      <c r="BK101">
        <v>0</v>
      </c>
      <c r="BL101">
        <v>0</v>
      </c>
      <c r="BM101">
        <v>0</v>
      </c>
      <c r="BN101">
        <v>0</v>
      </c>
      <c r="BO101">
        <v>0</v>
      </c>
      <c r="BP101">
        <v>0</v>
      </c>
      <c r="BQ101">
        <v>0</v>
      </c>
      <c r="BR101">
        <v>0</v>
      </c>
      <c r="BS101">
        <v>0</v>
      </c>
      <c r="BT101">
        <v>0</v>
      </c>
      <c r="BU101">
        <v>0</v>
      </c>
    </row>
    <row r="102" spans="1:73" x14ac:dyDescent="0.25">
      <c r="A102" t="s">
        <v>111</v>
      </c>
      <c r="B102">
        <v>3</v>
      </c>
      <c r="C102" t="s">
        <v>7</v>
      </c>
      <c r="D102" s="20">
        <v>18368</v>
      </c>
      <c r="E102" s="20">
        <v>224</v>
      </c>
      <c r="F102" s="20">
        <v>1</v>
      </c>
      <c r="G102" s="20">
        <v>16</v>
      </c>
      <c r="H102" s="79">
        <v>409.72</v>
      </c>
      <c r="I102" s="62">
        <v>10.085000000000001</v>
      </c>
      <c r="J102" s="16">
        <v>45548</v>
      </c>
      <c r="K102" s="25">
        <v>0.39270833333333333</v>
      </c>
      <c r="L102">
        <v>0</v>
      </c>
      <c r="M102">
        <v>0</v>
      </c>
      <c r="N102">
        <v>0</v>
      </c>
      <c r="O102">
        <v>0</v>
      </c>
      <c r="P102">
        <v>0</v>
      </c>
      <c r="Q102">
        <v>0</v>
      </c>
      <c r="R102">
        <v>0</v>
      </c>
      <c r="S102">
        <v>0</v>
      </c>
      <c r="T102">
        <v>0</v>
      </c>
      <c r="U102">
        <v>0</v>
      </c>
      <c r="V102">
        <v>0</v>
      </c>
      <c r="W102">
        <v>0</v>
      </c>
      <c r="X102" s="80">
        <f>X101</f>
        <v>10.37838</v>
      </c>
      <c r="Z102" t="s">
        <v>149</v>
      </c>
      <c r="AA102">
        <v>3</v>
      </c>
      <c r="AB102" t="s">
        <v>7</v>
      </c>
      <c r="AC102" s="20">
        <v>19584</v>
      </c>
      <c r="AD102" s="20">
        <v>32</v>
      </c>
      <c r="AE102" s="20">
        <v>2</v>
      </c>
      <c r="AF102" s="20">
        <v>8</v>
      </c>
      <c r="AG102" s="79">
        <v>415.98</v>
      </c>
      <c r="AH102" s="62">
        <v>12.039</v>
      </c>
      <c r="AI102" s="16">
        <v>45555</v>
      </c>
      <c r="AJ102" s="25">
        <v>0.26086805555555553</v>
      </c>
      <c r="AK102">
        <v>0</v>
      </c>
      <c r="AL102">
        <v>0</v>
      </c>
      <c r="AM102">
        <v>0</v>
      </c>
      <c r="AN102">
        <v>0</v>
      </c>
      <c r="AO102">
        <v>0</v>
      </c>
      <c r="AP102">
        <v>0</v>
      </c>
      <c r="AQ102">
        <v>0</v>
      </c>
      <c r="AR102">
        <v>0</v>
      </c>
      <c r="AS102">
        <v>0</v>
      </c>
      <c r="AT102">
        <v>0</v>
      </c>
      <c r="AU102">
        <v>0</v>
      </c>
      <c r="AV102">
        <v>0</v>
      </c>
      <c r="AW102" s="80">
        <f>AW101</f>
        <v>12.018000000000001</v>
      </c>
      <c r="AZ102">
        <v>1</v>
      </c>
      <c r="BA102" t="s">
        <v>7</v>
      </c>
      <c r="BB102">
        <v>18624</v>
      </c>
      <c r="BC102">
        <v>192</v>
      </c>
      <c r="BD102">
        <v>2</v>
      </c>
      <c r="BE102">
        <v>8</v>
      </c>
      <c r="BF102">
        <v>580.23</v>
      </c>
      <c r="BG102" s="62">
        <v>7.423</v>
      </c>
      <c r="BH102" s="16">
        <v>45474</v>
      </c>
      <c r="BI102" s="18">
        <v>0.40408564814814812</v>
      </c>
      <c r="BJ102">
        <v>0</v>
      </c>
      <c r="BK102">
        <v>0</v>
      </c>
      <c r="BL102">
        <v>0</v>
      </c>
      <c r="BM102">
        <v>0</v>
      </c>
      <c r="BN102">
        <v>0</v>
      </c>
      <c r="BO102">
        <v>0</v>
      </c>
      <c r="BP102">
        <v>0</v>
      </c>
      <c r="BQ102">
        <v>0</v>
      </c>
      <c r="BR102">
        <v>0</v>
      </c>
      <c r="BS102">
        <v>0</v>
      </c>
      <c r="BT102">
        <v>0</v>
      </c>
      <c r="BU102">
        <v>0</v>
      </c>
    </row>
    <row r="103" spans="1:73" x14ac:dyDescent="0.25">
      <c r="A103" t="s">
        <v>111</v>
      </c>
      <c r="B103">
        <v>4</v>
      </c>
      <c r="C103" t="s">
        <v>7</v>
      </c>
      <c r="D103" s="20">
        <v>18368</v>
      </c>
      <c r="E103" s="20">
        <v>224</v>
      </c>
      <c r="F103" s="20">
        <v>1</v>
      </c>
      <c r="G103" s="20">
        <v>16</v>
      </c>
      <c r="H103" s="79">
        <v>376.89</v>
      </c>
      <c r="I103" s="62">
        <v>10.962999999999999</v>
      </c>
      <c r="J103" s="16">
        <v>45549</v>
      </c>
      <c r="K103" s="25">
        <v>2.2129629629629631E-2</v>
      </c>
      <c r="L103">
        <v>0</v>
      </c>
      <c r="M103">
        <v>0</v>
      </c>
      <c r="N103">
        <v>0</v>
      </c>
      <c r="O103">
        <v>0</v>
      </c>
      <c r="P103">
        <v>0</v>
      </c>
      <c r="Q103">
        <v>0</v>
      </c>
      <c r="R103">
        <v>0</v>
      </c>
      <c r="S103">
        <v>0</v>
      </c>
      <c r="T103">
        <v>0</v>
      </c>
      <c r="U103">
        <v>0</v>
      </c>
      <c r="V103">
        <v>0</v>
      </c>
      <c r="W103">
        <v>0</v>
      </c>
      <c r="X103" s="80">
        <f>X102</f>
        <v>10.37838</v>
      </c>
      <c r="Z103" t="s">
        <v>149</v>
      </c>
      <c r="AA103">
        <v>4</v>
      </c>
      <c r="AB103" t="s">
        <v>7</v>
      </c>
      <c r="AC103" s="20">
        <v>19584</v>
      </c>
      <c r="AD103" s="20">
        <v>32</v>
      </c>
      <c r="AE103" s="20">
        <v>2</v>
      </c>
      <c r="AF103" s="20">
        <v>8</v>
      </c>
      <c r="AG103" s="79">
        <v>416.41</v>
      </c>
      <c r="AH103" s="62">
        <v>12.026999999999999</v>
      </c>
      <c r="AI103" s="16">
        <v>45555</v>
      </c>
      <c r="AJ103" s="25">
        <v>0.76932870370370365</v>
      </c>
      <c r="AK103">
        <v>0</v>
      </c>
      <c r="AL103">
        <v>0</v>
      </c>
      <c r="AM103">
        <v>0</v>
      </c>
      <c r="AN103">
        <v>0</v>
      </c>
      <c r="AO103">
        <v>0</v>
      </c>
      <c r="AP103">
        <v>0</v>
      </c>
      <c r="AQ103">
        <v>0</v>
      </c>
      <c r="AR103">
        <v>0</v>
      </c>
      <c r="AS103">
        <v>0</v>
      </c>
      <c r="AT103">
        <v>0</v>
      </c>
      <c r="AU103">
        <v>0</v>
      </c>
      <c r="AV103">
        <v>0</v>
      </c>
      <c r="AW103" s="80">
        <f>AW102</f>
        <v>12.018000000000001</v>
      </c>
      <c r="AZ103">
        <v>0</v>
      </c>
      <c r="BA103" t="s">
        <v>7</v>
      </c>
      <c r="BB103">
        <v>17472</v>
      </c>
      <c r="BC103">
        <v>192</v>
      </c>
      <c r="BD103">
        <v>4</v>
      </c>
      <c r="BE103">
        <v>4</v>
      </c>
      <c r="BF103">
        <v>404.47</v>
      </c>
      <c r="BG103" s="62">
        <v>8.7924000000000007</v>
      </c>
      <c r="BH103" s="16">
        <v>45472</v>
      </c>
      <c r="BI103" s="18">
        <v>0.40659722222222222</v>
      </c>
      <c r="BJ103">
        <v>0</v>
      </c>
      <c r="BK103">
        <v>0</v>
      </c>
      <c r="BL103">
        <v>0</v>
      </c>
      <c r="BM103">
        <v>0</v>
      </c>
      <c r="BN103">
        <v>0</v>
      </c>
      <c r="BO103">
        <v>0</v>
      </c>
      <c r="BP103">
        <v>0</v>
      </c>
      <c r="BQ103">
        <v>0</v>
      </c>
      <c r="BR103">
        <v>0</v>
      </c>
      <c r="BS103">
        <v>0</v>
      </c>
      <c r="BT103">
        <v>0</v>
      </c>
      <c r="BU103">
        <v>0</v>
      </c>
    </row>
    <row r="104" spans="1:73" x14ac:dyDescent="0.25">
      <c r="A104" t="s">
        <v>111</v>
      </c>
      <c r="B104">
        <v>0</v>
      </c>
      <c r="C104" t="s">
        <v>7</v>
      </c>
      <c r="D104" s="20">
        <v>19584</v>
      </c>
      <c r="E104" s="20">
        <v>32</v>
      </c>
      <c r="F104" s="20">
        <v>2</v>
      </c>
      <c r="G104" s="20">
        <v>8</v>
      </c>
      <c r="H104" s="79">
        <v>501.84</v>
      </c>
      <c r="I104" s="62">
        <v>9.9792000000000005</v>
      </c>
      <c r="J104" s="16">
        <v>45546</v>
      </c>
      <c r="K104" s="25">
        <v>0.55325231481481485</v>
      </c>
      <c r="L104">
        <v>0</v>
      </c>
      <c r="M104">
        <v>0</v>
      </c>
      <c r="N104">
        <v>0</v>
      </c>
      <c r="O104">
        <v>0</v>
      </c>
      <c r="P104">
        <v>0</v>
      </c>
      <c r="Q104">
        <v>0</v>
      </c>
      <c r="R104">
        <v>0</v>
      </c>
      <c r="S104">
        <v>0</v>
      </c>
      <c r="T104">
        <v>0</v>
      </c>
      <c r="U104">
        <v>0</v>
      </c>
      <c r="V104">
        <v>0</v>
      </c>
      <c r="W104">
        <v>0</v>
      </c>
      <c r="X104" s="82">
        <f>AVERAGE(I104:I108)</f>
        <v>10.151839999999998</v>
      </c>
      <c r="Z104" t="s">
        <v>149</v>
      </c>
      <c r="AA104">
        <v>0</v>
      </c>
      <c r="AB104" t="s">
        <v>7</v>
      </c>
      <c r="AC104" s="20">
        <v>18560</v>
      </c>
      <c r="AD104" s="20">
        <v>32</v>
      </c>
      <c r="AE104" s="20">
        <v>2</v>
      </c>
      <c r="AF104" s="20">
        <v>8</v>
      </c>
      <c r="AG104" s="79">
        <v>362.98</v>
      </c>
      <c r="AH104" s="62">
        <v>11.744</v>
      </c>
      <c r="AI104" s="16">
        <v>45557</v>
      </c>
      <c r="AJ104" s="25">
        <v>0.9724652777777778</v>
      </c>
      <c r="AK104">
        <v>0</v>
      </c>
      <c r="AL104">
        <v>0</v>
      </c>
      <c r="AM104">
        <v>0</v>
      </c>
      <c r="AN104">
        <v>0</v>
      </c>
      <c r="AO104">
        <v>0</v>
      </c>
      <c r="AP104">
        <v>0</v>
      </c>
      <c r="AQ104">
        <v>0</v>
      </c>
      <c r="AR104">
        <v>0</v>
      </c>
      <c r="AS104">
        <v>0</v>
      </c>
      <c r="AT104">
        <v>0</v>
      </c>
      <c r="AU104">
        <v>0</v>
      </c>
      <c r="AV104">
        <v>0</v>
      </c>
      <c r="AW104" s="82">
        <f>AVERAGE(AH104:AH107)</f>
        <v>11.738</v>
      </c>
      <c r="AZ104">
        <v>1</v>
      </c>
      <c r="BA104" t="s">
        <v>7</v>
      </c>
      <c r="BB104">
        <v>17472</v>
      </c>
      <c r="BC104">
        <v>192</v>
      </c>
      <c r="BD104">
        <v>4</v>
      </c>
      <c r="BE104">
        <v>4</v>
      </c>
      <c r="BF104">
        <v>663.2</v>
      </c>
      <c r="BG104" s="62">
        <v>5.3621999999999996</v>
      </c>
      <c r="BH104" s="16">
        <v>45474</v>
      </c>
      <c r="BI104" s="18">
        <v>0.22990740740740739</v>
      </c>
      <c r="BJ104">
        <v>0</v>
      </c>
      <c r="BK104">
        <v>0</v>
      </c>
      <c r="BL104">
        <v>0</v>
      </c>
      <c r="BM104">
        <v>0</v>
      </c>
      <c r="BN104">
        <v>0</v>
      </c>
      <c r="BO104">
        <v>0</v>
      </c>
      <c r="BP104">
        <v>0</v>
      </c>
      <c r="BQ104">
        <v>0</v>
      </c>
      <c r="BR104">
        <v>0</v>
      </c>
      <c r="BS104">
        <v>0</v>
      </c>
      <c r="BT104">
        <v>0</v>
      </c>
      <c r="BU104">
        <v>0</v>
      </c>
    </row>
    <row r="105" spans="1:73" x14ac:dyDescent="0.25">
      <c r="A105" t="s">
        <v>111</v>
      </c>
      <c r="B105">
        <v>1</v>
      </c>
      <c r="C105" t="s">
        <v>7</v>
      </c>
      <c r="D105" s="20">
        <v>19584</v>
      </c>
      <c r="E105" s="20">
        <v>32</v>
      </c>
      <c r="F105" s="20">
        <v>2</v>
      </c>
      <c r="G105" s="20">
        <v>8</v>
      </c>
      <c r="H105" s="79">
        <v>488.61</v>
      </c>
      <c r="I105" s="62">
        <v>10.249000000000001</v>
      </c>
      <c r="J105" s="16">
        <v>45547</v>
      </c>
      <c r="K105" s="25">
        <v>0.17672453703703703</v>
      </c>
      <c r="L105">
        <v>0</v>
      </c>
      <c r="M105">
        <v>0</v>
      </c>
      <c r="N105">
        <v>0</v>
      </c>
      <c r="O105">
        <v>0</v>
      </c>
      <c r="P105">
        <v>0</v>
      </c>
      <c r="Q105">
        <v>0</v>
      </c>
      <c r="R105">
        <v>0</v>
      </c>
      <c r="S105">
        <v>0</v>
      </c>
      <c r="T105">
        <v>0</v>
      </c>
      <c r="U105">
        <v>0</v>
      </c>
      <c r="V105">
        <v>0</v>
      </c>
      <c r="W105">
        <v>0</v>
      </c>
      <c r="X105" s="80">
        <f>X104</f>
        <v>10.151839999999998</v>
      </c>
      <c r="Z105" t="s">
        <v>149</v>
      </c>
      <c r="AA105">
        <v>1</v>
      </c>
      <c r="AB105" t="s">
        <v>7</v>
      </c>
      <c r="AC105" s="20">
        <v>18560</v>
      </c>
      <c r="AD105" s="20">
        <v>32</v>
      </c>
      <c r="AE105" s="20">
        <v>2</v>
      </c>
      <c r="AF105" s="20">
        <v>8</v>
      </c>
      <c r="AG105" s="79">
        <v>362.69</v>
      </c>
      <c r="AH105" s="62">
        <v>11.753</v>
      </c>
      <c r="AI105" s="16">
        <v>45558</v>
      </c>
      <c r="AJ105" s="25">
        <v>0.47185185185185186</v>
      </c>
      <c r="AK105">
        <v>0</v>
      </c>
      <c r="AL105">
        <v>0</v>
      </c>
      <c r="AM105">
        <v>0</v>
      </c>
      <c r="AN105">
        <v>0</v>
      </c>
      <c r="AO105">
        <v>0</v>
      </c>
      <c r="AP105">
        <v>0</v>
      </c>
      <c r="AQ105">
        <v>0</v>
      </c>
      <c r="AR105">
        <v>0</v>
      </c>
      <c r="AS105">
        <v>0</v>
      </c>
      <c r="AT105">
        <v>0</v>
      </c>
      <c r="AU105">
        <v>0</v>
      </c>
      <c r="AV105">
        <v>0</v>
      </c>
      <c r="AW105" s="80">
        <f>AW104</f>
        <v>11.738</v>
      </c>
      <c r="AZ105">
        <v>0</v>
      </c>
      <c r="BA105" t="s">
        <v>7</v>
      </c>
      <c r="BB105">
        <v>18624</v>
      </c>
      <c r="BC105">
        <v>192</v>
      </c>
      <c r="BD105">
        <v>4</v>
      </c>
      <c r="BE105">
        <v>4</v>
      </c>
      <c r="BF105">
        <v>480.6</v>
      </c>
      <c r="BG105" s="62">
        <v>8.9618000000000002</v>
      </c>
      <c r="BH105" s="16">
        <v>45473</v>
      </c>
      <c r="BI105" s="18">
        <v>0.46349537037037036</v>
      </c>
      <c r="BJ105">
        <v>0</v>
      </c>
      <c r="BK105">
        <v>0</v>
      </c>
      <c r="BL105">
        <v>0</v>
      </c>
      <c r="BM105">
        <v>0</v>
      </c>
      <c r="BN105">
        <v>0</v>
      </c>
      <c r="BO105">
        <v>0</v>
      </c>
      <c r="BP105">
        <v>0</v>
      </c>
      <c r="BQ105">
        <v>0</v>
      </c>
      <c r="BR105">
        <v>0</v>
      </c>
      <c r="BS105">
        <v>0</v>
      </c>
      <c r="BT105">
        <v>0</v>
      </c>
      <c r="BU105">
        <v>0</v>
      </c>
    </row>
    <row r="106" spans="1:73" x14ac:dyDescent="0.25">
      <c r="A106" t="s">
        <v>111</v>
      </c>
      <c r="B106">
        <v>2</v>
      </c>
      <c r="C106" t="s">
        <v>7</v>
      </c>
      <c r="D106" s="20">
        <v>19584</v>
      </c>
      <c r="E106" s="20">
        <v>32</v>
      </c>
      <c r="F106" s="20">
        <v>2</v>
      </c>
      <c r="G106" s="20">
        <v>8</v>
      </c>
      <c r="H106" s="79">
        <v>499.83</v>
      </c>
      <c r="I106" s="62">
        <v>10.019</v>
      </c>
      <c r="J106" s="16">
        <v>45547</v>
      </c>
      <c r="K106" s="25">
        <v>0.78693287037037041</v>
      </c>
      <c r="L106">
        <v>0</v>
      </c>
      <c r="M106">
        <v>0</v>
      </c>
      <c r="N106">
        <v>0</v>
      </c>
      <c r="O106">
        <v>0</v>
      </c>
      <c r="P106">
        <v>0</v>
      </c>
      <c r="Q106">
        <v>0</v>
      </c>
      <c r="R106">
        <v>0</v>
      </c>
      <c r="S106">
        <v>0</v>
      </c>
      <c r="T106">
        <v>0</v>
      </c>
      <c r="U106">
        <v>0</v>
      </c>
      <c r="V106">
        <v>0</v>
      </c>
      <c r="W106">
        <v>0</v>
      </c>
      <c r="X106" s="80">
        <f>X105</f>
        <v>10.151839999999998</v>
      </c>
      <c r="Z106" t="s">
        <v>149</v>
      </c>
      <c r="AA106">
        <v>2</v>
      </c>
      <c r="AB106" t="s">
        <v>7</v>
      </c>
      <c r="AC106" s="20">
        <v>18560</v>
      </c>
      <c r="AD106" s="20">
        <v>32</v>
      </c>
      <c r="AE106" s="20">
        <v>2</v>
      </c>
      <c r="AF106" s="20">
        <v>8</v>
      </c>
      <c r="AG106" s="79">
        <v>363.71</v>
      </c>
      <c r="AH106" s="62">
        <v>11.72</v>
      </c>
      <c r="AI106" s="16">
        <v>45554</v>
      </c>
      <c r="AJ106" s="25">
        <v>0.61575231481481485</v>
      </c>
      <c r="AK106">
        <v>0</v>
      </c>
      <c r="AL106">
        <v>0</v>
      </c>
      <c r="AM106">
        <v>0</v>
      </c>
      <c r="AN106">
        <v>0</v>
      </c>
      <c r="AO106">
        <v>0</v>
      </c>
      <c r="AP106">
        <v>0</v>
      </c>
      <c r="AQ106">
        <v>0</v>
      </c>
      <c r="AR106">
        <v>0</v>
      </c>
      <c r="AS106">
        <v>0</v>
      </c>
      <c r="AT106">
        <v>0</v>
      </c>
      <c r="AU106">
        <v>0</v>
      </c>
      <c r="AV106">
        <v>0</v>
      </c>
      <c r="AW106" s="80">
        <f>AW105</f>
        <v>11.738</v>
      </c>
      <c r="AZ106">
        <v>1</v>
      </c>
      <c r="BA106" t="s">
        <v>7</v>
      </c>
      <c r="BB106">
        <v>18624</v>
      </c>
      <c r="BC106">
        <v>192</v>
      </c>
      <c r="BD106">
        <v>4</v>
      </c>
      <c r="BE106">
        <v>4</v>
      </c>
      <c r="BF106">
        <v>755.77</v>
      </c>
      <c r="BG106" s="62">
        <v>5.6989000000000001</v>
      </c>
      <c r="BH106" s="16">
        <v>45474</v>
      </c>
      <c r="BI106" s="18">
        <v>0.4132986111111111</v>
      </c>
      <c r="BJ106">
        <v>0</v>
      </c>
      <c r="BK106">
        <v>0</v>
      </c>
      <c r="BL106">
        <v>0</v>
      </c>
      <c r="BM106">
        <v>0</v>
      </c>
      <c r="BN106">
        <v>0</v>
      </c>
      <c r="BO106">
        <v>0</v>
      </c>
      <c r="BP106">
        <v>0</v>
      </c>
      <c r="BQ106">
        <v>0</v>
      </c>
      <c r="BR106">
        <v>0</v>
      </c>
      <c r="BS106">
        <v>0</v>
      </c>
      <c r="BT106">
        <v>0</v>
      </c>
      <c r="BU106">
        <v>0</v>
      </c>
    </row>
    <row r="107" spans="1:73" x14ac:dyDescent="0.25">
      <c r="A107" t="s">
        <v>111</v>
      </c>
      <c r="B107">
        <v>3</v>
      </c>
      <c r="C107" t="s">
        <v>7</v>
      </c>
      <c r="D107" s="20">
        <v>19584</v>
      </c>
      <c r="E107" s="20">
        <v>32</v>
      </c>
      <c r="F107" s="20">
        <v>2</v>
      </c>
      <c r="G107" s="20">
        <v>8</v>
      </c>
      <c r="H107" s="79">
        <v>477.3</v>
      </c>
      <c r="I107" s="62">
        <v>10.492000000000001</v>
      </c>
      <c r="J107" s="16">
        <v>45548</v>
      </c>
      <c r="K107" s="25">
        <v>0.45099537037037035</v>
      </c>
      <c r="L107">
        <v>0</v>
      </c>
      <c r="M107">
        <v>0</v>
      </c>
      <c r="N107">
        <v>0</v>
      </c>
      <c r="O107">
        <v>0</v>
      </c>
      <c r="P107">
        <v>0</v>
      </c>
      <c r="Q107">
        <v>0</v>
      </c>
      <c r="R107">
        <v>0</v>
      </c>
      <c r="S107">
        <v>0</v>
      </c>
      <c r="T107">
        <v>0</v>
      </c>
      <c r="U107">
        <v>0</v>
      </c>
      <c r="V107">
        <v>0</v>
      </c>
      <c r="W107">
        <v>0</v>
      </c>
      <c r="X107" s="80">
        <f>X106</f>
        <v>10.151839999999998</v>
      </c>
      <c r="Z107" t="s">
        <v>149</v>
      </c>
      <c r="AA107">
        <v>3</v>
      </c>
      <c r="AB107" t="s">
        <v>7</v>
      </c>
      <c r="AC107" s="20">
        <v>18560</v>
      </c>
      <c r="AD107" s="20">
        <v>32</v>
      </c>
      <c r="AE107" s="20">
        <v>2</v>
      </c>
      <c r="AF107" s="20">
        <v>8</v>
      </c>
      <c r="AG107" s="79">
        <v>363.27</v>
      </c>
      <c r="AH107" s="62">
        <v>11.734999999999999</v>
      </c>
      <c r="AI107" s="16">
        <v>45555</v>
      </c>
      <c r="AJ107" s="25">
        <v>0.14127314814814815</v>
      </c>
      <c r="AK107">
        <v>0</v>
      </c>
      <c r="AL107">
        <v>0</v>
      </c>
      <c r="AM107">
        <v>0</v>
      </c>
      <c r="AN107">
        <v>0</v>
      </c>
      <c r="AO107">
        <v>0</v>
      </c>
      <c r="AP107">
        <v>0</v>
      </c>
      <c r="AQ107">
        <v>0</v>
      </c>
      <c r="AR107">
        <v>0</v>
      </c>
      <c r="AS107">
        <v>0</v>
      </c>
      <c r="AT107">
        <v>0</v>
      </c>
      <c r="AU107">
        <v>0</v>
      </c>
      <c r="AV107">
        <v>0</v>
      </c>
      <c r="AW107" s="80">
        <f>AW106</f>
        <v>11.738</v>
      </c>
      <c r="AZ107">
        <v>0</v>
      </c>
      <c r="BA107" t="s">
        <v>7</v>
      </c>
      <c r="BB107">
        <v>17472</v>
      </c>
      <c r="BC107">
        <v>224</v>
      </c>
      <c r="BD107">
        <v>1</v>
      </c>
      <c r="BE107">
        <v>16</v>
      </c>
      <c r="BF107">
        <v>353.8</v>
      </c>
      <c r="BG107" s="62">
        <v>10.052</v>
      </c>
      <c r="BH107" s="16">
        <v>45472</v>
      </c>
      <c r="BI107" s="18">
        <v>0.41108796296296296</v>
      </c>
      <c r="BJ107">
        <v>0</v>
      </c>
      <c r="BK107">
        <v>0</v>
      </c>
      <c r="BL107">
        <v>0</v>
      </c>
      <c r="BM107">
        <v>0</v>
      </c>
      <c r="BN107">
        <v>0</v>
      </c>
      <c r="BO107">
        <v>0</v>
      </c>
      <c r="BP107">
        <v>0</v>
      </c>
      <c r="BQ107">
        <v>0</v>
      </c>
      <c r="BR107">
        <v>0</v>
      </c>
      <c r="BS107">
        <v>0</v>
      </c>
      <c r="BT107">
        <v>0</v>
      </c>
      <c r="BU107">
        <v>0</v>
      </c>
    </row>
    <row r="108" spans="1:73" x14ac:dyDescent="0.25">
      <c r="A108" t="s">
        <v>111</v>
      </c>
      <c r="B108">
        <v>4</v>
      </c>
      <c r="C108" t="s">
        <v>7</v>
      </c>
      <c r="D108" s="20">
        <v>19584</v>
      </c>
      <c r="E108" s="20">
        <v>32</v>
      </c>
      <c r="F108" s="20">
        <v>2</v>
      </c>
      <c r="G108" s="20">
        <v>8</v>
      </c>
      <c r="H108" s="79">
        <v>499.8</v>
      </c>
      <c r="I108" s="62">
        <v>10.02</v>
      </c>
      <c r="J108" s="16">
        <v>45549</v>
      </c>
      <c r="K108" s="25">
        <v>8.6724537037037031E-2</v>
      </c>
      <c r="L108">
        <v>0</v>
      </c>
      <c r="M108">
        <v>0</v>
      </c>
      <c r="N108">
        <v>0</v>
      </c>
      <c r="O108">
        <v>0</v>
      </c>
      <c r="P108">
        <v>0</v>
      </c>
      <c r="Q108">
        <v>0</v>
      </c>
      <c r="R108">
        <v>0</v>
      </c>
      <c r="S108">
        <v>0</v>
      </c>
      <c r="T108">
        <v>0</v>
      </c>
      <c r="U108">
        <v>0</v>
      </c>
      <c r="V108">
        <v>0</v>
      </c>
      <c r="W108">
        <v>0</v>
      </c>
      <c r="X108" s="80">
        <f>X107</f>
        <v>10.151839999999998</v>
      </c>
      <c r="Z108" t="s">
        <v>149</v>
      </c>
      <c r="AA108">
        <v>4</v>
      </c>
      <c r="AB108" t="s">
        <v>7</v>
      </c>
      <c r="AC108" s="20">
        <v>18560</v>
      </c>
      <c r="AD108" s="20">
        <v>32</v>
      </c>
      <c r="AE108" s="20">
        <v>2</v>
      </c>
      <c r="AF108" s="20">
        <v>8</v>
      </c>
      <c r="AG108" s="79">
        <v>362.56</v>
      </c>
      <c r="AH108" s="62">
        <v>11.757</v>
      </c>
      <c r="AI108" s="16">
        <v>45555</v>
      </c>
      <c r="AJ108" s="25">
        <v>0.6413888888888889</v>
      </c>
      <c r="AK108">
        <v>0</v>
      </c>
      <c r="AL108">
        <v>0</v>
      </c>
      <c r="AM108">
        <v>0</v>
      </c>
      <c r="AN108">
        <v>0</v>
      </c>
      <c r="AO108">
        <v>0</v>
      </c>
      <c r="AP108">
        <v>0</v>
      </c>
      <c r="AQ108">
        <v>0</v>
      </c>
      <c r="AR108">
        <v>0</v>
      </c>
      <c r="AS108">
        <v>0</v>
      </c>
      <c r="AT108">
        <v>0</v>
      </c>
      <c r="AU108">
        <v>0</v>
      </c>
      <c r="AV108">
        <v>0</v>
      </c>
      <c r="AW108" s="80">
        <f>AW107</f>
        <v>11.738</v>
      </c>
      <c r="AZ108">
        <v>1</v>
      </c>
      <c r="BA108" t="s">
        <v>7</v>
      </c>
      <c r="BB108">
        <v>17472</v>
      </c>
      <c r="BC108">
        <v>224</v>
      </c>
      <c r="BD108">
        <v>1</v>
      </c>
      <c r="BE108">
        <v>16</v>
      </c>
      <c r="BF108">
        <v>516.25</v>
      </c>
      <c r="BG108" s="62">
        <v>6.8887</v>
      </c>
      <c r="BH108" s="16">
        <v>45474</v>
      </c>
      <c r="BI108" s="18">
        <v>0.23628472222222222</v>
      </c>
      <c r="BJ108">
        <v>0</v>
      </c>
      <c r="BK108">
        <v>0</v>
      </c>
      <c r="BL108">
        <v>0</v>
      </c>
      <c r="BM108">
        <v>0</v>
      </c>
      <c r="BN108">
        <v>0</v>
      </c>
      <c r="BO108">
        <v>0</v>
      </c>
      <c r="BP108">
        <v>0</v>
      </c>
      <c r="BQ108">
        <v>0</v>
      </c>
      <c r="BR108">
        <v>0</v>
      </c>
      <c r="BS108">
        <v>0</v>
      </c>
      <c r="BT108">
        <v>0</v>
      </c>
      <c r="BU108">
        <v>0</v>
      </c>
    </row>
    <row r="109" spans="1:73" x14ac:dyDescent="0.25">
      <c r="A109" t="s">
        <v>111</v>
      </c>
      <c r="B109">
        <v>0</v>
      </c>
      <c r="C109" t="s">
        <v>7</v>
      </c>
      <c r="D109" s="20">
        <v>18560</v>
      </c>
      <c r="E109" s="20">
        <v>160</v>
      </c>
      <c r="F109" s="20">
        <v>1</v>
      </c>
      <c r="G109" s="20">
        <v>16</v>
      </c>
      <c r="H109" s="79">
        <v>407.63</v>
      </c>
      <c r="I109" s="62">
        <v>10.457000000000001</v>
      </c>
      <c r="J109" s="16">
        <v>45546</v>
      </c>
      <c r="K109" s="25">
        <v>0.47240740740740739</v>
      </c>
      <c r="L109">
        <v>0</v>
      </c>
      <c r="M109">
        <v>0</v>
      </c>
      <c r="N109">
        <v>0</v>
      </c>
      <c r="O109">
        <v>0</v>
      </c>
      <c r="P109">
        <v>0</v>
      </c>
      <c r="Q109">
        <v>0</v>
      </c>
      <c r="R109">
        <v>0</v>
      </c>
      <c r="S109">
        <v>0</v>
      </c>
      <c r="T109">
        <v>0</v>
      </c>
      <c r="U109">
        <v>0</v>
      </c>
      <c r="V109">
        <v>0</v>
      </c>
      <c r="W109">
        <v>0</v>
      </c>
      <c r="X109" s="82">
        <f>AVERAGE(I109:I113)</f>
        <v>10.100019999999999</v>
      </c>
      <c r="Z109" t="s">
        <v>149</v>
      </c>
      <c r="AA109">
        <v>0</v>
      </c>
      <c r="AB109" t="s">
        <v>7</v>
      </c>
      <c r="AC109" s="20">
        <v>19584</v>
      </c>
      <c r="AD109" s="20">
        <v>64</v>
      </c>
      <c r="AE109" s="20">
        <v>1</v>
      </c>
      <c r="AF109" s="20">
        <v>16</v>
      </c>
      <c r="AG109" s="79">
        <v>439.92</v>
      </c>
      <c r="AH109" s="62">
        <v>11.384</v>
      </c>
      <c r="AI109" s="16">
        <v>45558</v>
      </c>
      <c r="AJ109" s="25">
        <v>0.1090162037037037</v>
      </c>
      <c r="AK109">
        <v>0</v>
      </c>
      <c r="AL109">
        <v>0</v>
      </c>
      <c r="AM109">
        <v>0</v>
      </c>
      <c r="AN109">
        <v>0</v>
      </c>
      <c r="AO109">
        <v>0</v>
      </c>
      <c r="AP109">
        <v>0</v>
      </c>
      <c r="AQ109">
        <v>0</v>
      </c>
      <c r="AR109">
        <v>0</v>
      </c>
      <c r="AS109">
        <v>0</v>
      </c>
      <c r="AT109">
        <v>0</v>
      </c>
      <c r="AU109">
        <v>0</v>
      </c>
      <c r="AV109">
        <v>0</v>
      </c>
      <c r="AW109" s="82">
        <f>AVERAGE(AH109:AH112)</f>
        <v>11.385</v>
      </c>
      <c r="AZ109">
        <v>0</v>
      </c>
      <c r="BA109" t="s">
        <v>7</v>
      </c>
      <c r="BB109">
        <v>18592</v>
      </c>
      <c r="BC109">
        <v>224</v>
      </c>
      <c r="BD109">
        <v>1</v>
      </c>
      <c r="BE109">
        <v>16</v>
      </c>
      <c r="BF109">
        <v>436.57</v>
      </c>
      <c r="BG109" s="62">
        <v>9.8148</v>
      </c>
      <c r="BH109" s="16">
        <v>45473</v>
      </c>
      <c r="BI109" s="18">
        <v>0.87730324074074073</v>
      </c>
      <c r="BJ109">
        <v>0</v>
      </c>
      <c r="BK109">
        <v>0</v>
      </c>
      <c r="BL109">
        <v>0</v>
      </c>
      <c r="BM109">
        <v>0</v>
      </c>
      <c r="BN109">
        <v>0</v>
      </c>
      <c r="BO109">
        <v>0</v>
      </c>
      <c r="BP109">
        <v>0</v>
      </c>
      <c r="BQ109">
        <v>0</v>
      </c>
      <c r="BR109">
        <v>0</v>
      </c>
      <c r="BS109">
        <v>0</v>
      </c>
      <c r="BT109">
        <v>0</v>
      </c>
      <c r="BU109">
        <v>0</v>
      </c>
    </row>
    <row r="110" spans="1:73" x14ac:dyDescent="0.25">
      <c r="A110" t="s">
        <v>111</v>
      </c>
      <c r="B110">
        <v>1</v>
      </c>
      <c r="C110" t="s">
        <v>7</v>
      </c>
      <c r="D110" s="20">
        <v>18560</v>
      </c>
      <c r="E110" s="20">
        <v>160</v>
      </c>
      <c r="F110" s="20">
        <v>1</v>
      </c>
      <c r="G110" s="20">
        <v>16</v>
      </c>
      <c r="H110" s="79">
        <v>421.24</v>
      </c>
      <c r="I110" s="62">
        <v>10.119999999999999</v>
      </c>
      <c r="J110" s="16">
        <v>45547</v>
      </c>
      <c r="K110" s="25">
        <v>8.8749999999999996E-2</v>
      </c>
      <c r="L110">
        <v>0</v>
      </c>
      <c r="M110">
        <v>0</v>
      </c>
      <c r="N110">
        <v>0</v>
      </c>
      <c r="O110">
        <v>0</v>
      </c>
      <c r="P110">
        <v>0</v>
      </c>
      <c r="Q110">
        <v>0</v>
      </c>
      <c r="R110">
        <v>0</v>
      </c>
      <c r="S110">
        <v>0</v>
      </c>
      <c r="T110">
        <v>0</v>
      </c>
      <c r="U110">
        <v>0</v>
      </c>
      <c r="V110">
        <v>0</v>
      </c>
      <c r="W110">
        <v>0</v>
      </c>
      <c r="X110" s="80">
        <f>X109</f>
        <v>10.100019999999999</v>
      </c>
      <c r="Z110" t="s">
        <v>149</v>
      </c>
      <c r="AA110">
        <v>1</v>
      </c>
      <c r="AB110" t="s">
        <v>7</v>
      </c>
      <c r="AC110" s="20">
        <v>19584</v>
      </c>
      <c r="AD110" s="20">
        <v>64</v>
      </c>
      <c r="AE110" s="20">
        <v>1</v>
      </c>
      <c r="AF110" s="20">
        <v>16</v>
      </c>
      <c r="AG110" s="79">
        <v>439.5</v>
      </c>
      <c r="AH110" s="62">
        <v>11.395</v>
      </c>
      <c r="AI110" s="16">
        <v>45558</v>
      </c>
      <c r="AJ110" s="25">
        <v>0.6022453703703704</v>
      </c>
      <c r="AK110">
        <v>0</v>
      </c>
      <c r="AL110">
        <v>0</v>
      </c>
      <c r="AM110">
        <v>0</v>
      </c>
      <c r="AN110">
        <v>0</v>
      </c>
      <c r="AO110">
        <v>0</v>
      </c>
      <c r="AP110">
        <v>0</v>
      </c>
      <c r="AQ110">
        <v>0</v>
      </c>
      <c r="AR110">
        <v>0</v>
      </c>
      <c r="AS110">
        <v>0</v>
      </c>
      <c r="AT110">
        <v>0</v>
      </c>
      <c r="AU110">
        <v>0</v>
      </c>
      <c r="AV110">
        <v>0</v>
      </c>
      <c r="AW110" s="80">
        <f>AW109</f>
        <v>11.385</v>
      </c>
      <c r="AZ110">
        <v>1</v>
      </c>
      <c r="BA110" t="s">
        <v>7</v>
      </c>
      <c r="BB110">
        <v>18592</v>
      </c>
      <c r="BC110">
        <v>224</v>
      </c>
      <c r="BD110">
        <v>1</v>
      </c>
      <c r="BE110">
        <v>16</v>
      </c>
      <c r="BF110">
        <v>886.85</v>
      </c>
      <c r="BG110" s="62">
        <v>4.8315999999999999</v>
      </c>
      <c r="BH110" s="16">
        <v>45474</v>
      </c>
      <c r="BI110" s="18">
        <v>0.42423611111111109</v>
      </c>
      <c r="BJ110">
        <v>0</v>
      </c>
      <c r="BK110">
        <v>0</v>
      </c>
      <c r="BL110">
        <v>0</v>
      </c>
      <c r="BM110">
        <v>0</v>
      </c>
      <c r="BN110">
        <v>0</v>
      </c>
      <c r="BO110">
        <v>0</v>
      </c>
      <c r="BP110">
        <v>0</v>
      </c>
      <c r="BQ110">
        <v>0</v>
      </c>
      <c r="BR110">
        <v>0</v>
      </c>
      <c r="BS110">
        <v>0</v>
      </c>
      <c r="BT110">
        <v>0</v>
      </c>
      <c r="BU110">
        <v>0</v>
      </c>
    </row>
    <row r="111" spans="1:73" x14ac:dyDescent="0.25">
      <c r="A111" t="s">
        <v>111</v>
      </c>
      <c r="B111">
        <v>2</v>
      </c>
      <c r="C111" t="s">
        <v>7</v>
      </c>
      <c r="D111" s="20">
        <v>18560</v>
      </c>
      <c r="E111" s="20">
        <v>160</v>
      </c>
      <c r="F111" s="20">
        <v>1</v>
      </c>
      <c r="G111" s="20">
        <v>16</v>
      </c>
      <c r="H111" s="79">
        <v>434.58</v>
      </c>
      <c r="I111" s="62">
        <v>9.8088999999999995</v>
      </c>
      <c r="J111" s="16">
        <v>45547</v>
      </c>
      <c r="K111" s="25">
        <v>0.7028240740740741</v>
      </c>
      <c r="L111">
        <v>0</v>
      </c>
      <c r="M111">
        <v>0</v>
      </c>
      <c r="N111">
        <v>0</v>
      </c>
      <c r="O111">
        <v>0</v>
      </c>
      <c r="P111">
        <v>0</v>
      </c>
      <c r="Q111">
        <v>0</v>
      </c>
      <c r="R111">
        <v>0</v>
      </c>
      <c r="S111">
        <v>0</v>
      </c>
      <c r="T111">
        <v>0</v>
      </c>
      <c r="U111">
        <v>0</v>
      </c>
      <c r="V111">
        <v>0</v>
      </c>
      <c r="W111">
        <v>0</v>
      </c>
      <c r="X111" s="80">
        <f>X110</f>
        <v>10.100019999999999</v>
      </c>
      <c r="Z111" t="s">
        <v>149</v>
      </c>
      <c r="AA111">
        <v>2</v>
      </c>
      <c r="AB111" t="s">
        <v>7</v>
      </c>
      <c r="AC111" s="20">
        <v>19584</v>
      </c>
      <c r="AD111" s="20">
        <v>64</v>
      </c>
      <c r="AE111" s="20">
        <v>1</v>
      </c>
      <c r="AF111" s="20">
        <v>16</v>
      </c>
      <c r="AG111" s="79">
        <v>439.11</v>
      </c>
      <c r="AH111" s="62">
        <v>11.404999999999999</v>
      </c>
      <c r="AI111" s="16">
        <v>45554</v>
      </c>
      <c r="AJ111" s="25">
        <v>0.74667824074074074</v>
      </c>
      <c r="AK111">
        <v>0</v>
      </c>
      <c r="AL111">
        <v>0</v>
      </c>
      <c r="AM111">
        <v>0</v>
      </c>
      <c r="AN111">
        <v>0</v>
      </c>
      <c r="AO111">
        <v>0</v>
      </c>
      <c r="AP111">
        <v>0</v>
      </c>
      <c r="AQ111">
        <v>0</v>
      </c>
      <c r="AR111">
        <v>0</v>
      </c>
      <c r="AS111">
        <v>0</v>
      </c>
      <c r="AT111">
        <v>0</v>
      </c>
      <c r="AU111">
        <v>0</v>
      </c>
      <c r="AV111">
        <v>0</v>
      </c>
      <c r="AW111" s="80">
        <f>AW110</f>
        <v>11.385</v>
      </c>
      <c r="AZ111">
        <v>0</v>
      </c>
      <c r="BA111" t="s">
        <v>7</v>
      </c>
      <c r="BB111">
        <v>17472</v>
      </c>
      <c r="BC111">
        <v>224</v>
      </c>
      <c r="BD111">
        <v>2</v>
      </c>
      <c r="BE111">
        <v>8</v>
      </c>
      <c r="BF111">
        <v>333.98</v>
      </c>
      <c r="BG111" s="62">
        <v>10.648</v>
      </c>
      <c r="BH111" s="16">
        <v>45472</v>
      </c>
      <c r="BI111" s="18">
        <v>0.41524305555555557</v>
      </c>
      <c r="BJ111">
        <v>0</v>
      </c>
      <c r="BK111">
        <v>0</v>
      </c>
      <c r="BL111">
        <v>0</v>
      </c>
      <c r="BM111">
        <v>0</v>
      </c>
      <c r="BN111">
        <v>0</v>
      </c>
      <c r="BO111">
        <v>0</v>
      </c>
      <c r="BP111">
        <v>0</v>
      </c>
      <c r="BQ111">
        <v>0</v>
      </c>
      <c r="BR111">
        <v>0</v>
      </c>
      <c r="BS111">
        <v>0</v>
      </c>
      <c r="BT111">
        <v>0</v>
      </c>
      <c r="BU111">
        <v>0</v>
      </c>
    </row>
    <row r="112" spans="1:73" x14ac:dyDescent="0.25">
      <c r="A112" t="s">
        <v>111</v>
      </c>
      <c r="B112">
        <v>3</v>
      </c>
      <c r="C112" t="s">
        <v>7</v>
      </c>
      <c r="D112" s="20">
        <v>18560</v>
      </c>
      <c r="E112" s="20">
        <v>160</v>
      </c>
      <c r="F112" s="20">
        <v>1</v>
      </c>
      <c r="G112" s="20">
        <v>16</v>
      </c>
      <c r="H112" s="79">
        <v>417.58</v>
      </c>
      <c r="I112" s="62">
        <v>10.208</v>
      </c>
      <c r="J112" s="16">
        <v>45548</v>
      </c>
      <c r="K112" s="25">
        <v>0.36325231481481479</v>
      </c>
      <c r="L112">
        <v>0</v>
      </c>
      <c r="M112">
        <v>0</v>
      </c>
      <c r="N112">
        <v>0</v>
      </c>
      <c r="O112">
        <v>0</v>
      </c>
      <c r="P112">
        <v>0</v>
      </c>
      <c r="Q112">
        <v>0</v>
      </c>
      <c r="R112">
        <v>0</v>
      </c>
      <c r="S112">
        <v>0</v>
      </c>
      <c r="T112">
        <v>0</v>
      </c>
      <c r="U112">
        <v>0</v>
      </c>
      <c r="V112">
        <v>0</v>
      </c>
      <c r="W112">
        <v>0</v>
      </c>
      <c r="X112" s="80">
        <f>X111</f>
        <v>10.100019999999999</v>
      </c>
      <c r="Z112" t="s">
        <v>149</v>
      </c>
      <c r="AA112">
        <v>3</v>
      </c>
      <c r="AB112" t="s">
        <v>7</v>
      </c>
      <c r="AC112" s="20">
        <v>19584</v>
      </c>
      <c r="AD112" s="20">
        <v>64</v>
      </c>
      <c r="AE112" s="20">
        <v>1</v>
      </c>
      <c r="AF112" s="20">
        <v>16</v>
      </c>
      <c r="AG112" s="79">
        <v>441.01</v>
      </c>
      <c r="AH112" s="62">
        <v>11.356</v>
      </c>
      <c r="AI112" s="16">
        <v>45555</v>
      </c>
      <c r="AJ112" s="25">
        <v>0.27208333333333334</v>
      </c>
      <c r="AK112">
        <v>0</v>
      </c>
      <c r="AL112">
        <v>0</v>
      </c>
      <c r="AM112">
        <v>0</v>
      </c>
      <c r="AN112">
        <v>0</v>
      </c>
      <c r="AO112">
        <v>0</v>
      </c>
      <c r="AP112">
        <v>0</v>
      </c>
      <c r="AQ112">
        <v>0</v>
      </c>
      <c r="AR112">
        <v>0</v>
      </c>
      <c r="AS112">
        <v>0</v>
      </c>
      <c r="AT112">
        <v>0</v>
      </c>
      <c r="AU112">
        <v>0</v>
      </c>
      <c r="AV112">
        <v>0</v>
      </c>
      <c r="AW112" s="80">
        <f>AW111</f>
        <v>11.385</v>
      </c>
      <c r="AZ112">
        <v>1</v>
      </c>
      <c r="BA112" t="s">
        <v>7</v>
      </c>
      <c r="BB112">
        <v>17472</v>
      </c>
      <c r="BC112">
        <v>224</v>
      </c>
      <c r="BD112">
        <v>2</v>
      </c>
      <c r="BE112">
        <v>8</v>
      </c>
      <c r="BF112">
        <v>505.74</v>
      </c>
      <c r="BG112" s="62">
        <v>7.0317999999999996</v>
      </c>
      <c r="BH112" s="16">
        <v>45474</v>
      </c>
      <c r="BI112" s="18">
        <v>0.24249999999999999</v>
      </c>
      <c r="BJ112">
        <v>0</v>
      </c>
      <c r="BK112">
        <v>0</v>
      </c>
      <c r="BL112">
        <v>0</v>
      </c>
      <c r="BM112">
        <v>0</v>
      </c>
      <c r="BN112">
        <v>0</v>
      </c>
      <c r="BO112">
        <v>0</v>
      </c>
      <c r="BP112">
        <v>0</v>
      </c>
      <c r="BQ112">
        <v>0</v>
      </c>
      <c r="BR112">
        <v>0</v>
      </c>
      <c r="BS112">
        <v>0</v>
      </c>
      <c r="BT112">
        <v>0</v>
      </c>
      <c r="BU112">
        <v>0</v>
      </c>
    </row>
    <row r="113" spans="1:73" x14ac:dyDescent="0.25">
      <c r="A113" t="s">
        <v>111</v>
      </c>
      <c r="B113">
        <v>4</v>
      </c>
      <c r="C113" t="s">
        <v>7</v>
      </c>
      <c r="D113" s="20">
        <v>18560</v>
      </c>
      <c r="E113" s="20">
        <v>160</v>
      </c>
      <c r="F113" s="20">
        <v>1</v>
      </c>
      <c r="G113" s="20">
        <v>16</v>
      </c>
      <c r="H113" s="79">
        <v>430.32</v>
      </c>
      <c r="I113" s="62">
        <v>9.9062000000000001</v>
      </c>
      <c r="J113" s="16">
        <v>45548</v>
      </c>
      <c r="K113" s="25">
        <v>0.99252314814814813</v>
      </c>
      <c r="L113">
        <v>0</v>
      </c>
      <c r="M113">
        <v>0</v>
      </c>
      <c r="N113">
        <v>0</v>
      </c>
      <c r="O113">
        <v>0</v>
      </c>
      <c r="P113">
        <v>0</v>
      </c>
      <c r="Q113">
        <v>0</v>
      </c>
      <c r="R113">
        <v>0</v>
      </c>
      <c r="S113">
        <v>0</v>
      </c>
      <c r="T113">
        <v>0</v>
      </c>
      <c r="U113">
        <v>0</v>
      </c>
      <c r="V113">
        <v>0</v>
      </c>
      <c r="W113">
        <v>0</v>
      </c>
      <c r="X113" s="80">
        <f>X112</f>
        <v>10.100019999999999</v>
      </c>
      <c r="Z113" t="s">
        <v>149</v>
      </c>
      <c r="AA113">
        <v>4</v>
      </c>
      <c r="AB113" t="s">
        <v>7</v>
      </c>
      <c r="AC113" s="20">
        <v>19584</v>
      </c>
      <c r="AD113" s="20">
        <v>64</v>
      </c>
      <c r="AE113" s="20">
        <v>1</v>
      </c>
      <c r="AF113" s="20">
        <v>16</v>
      </c>
      <c r="AG113" s="79">
        <v>439.67</v>
      </c>
      <c r="AH113" s="62">
        <v>11.39</v>
      </c>
      <c r="AI113" s="16">
        <v>45555</v>
      </c>
      <c r="AJ113" s="25">
        <v>0.78050925925925929</v>
      </c>
      <c r="AK113">
        <v>0</v>
      </c>
      <c r="AL113">
        <v>0</v>
      </c>
      <c r="AM113">
        <v>0</v>
      </c>
      <c r="AN113">
        <v>0</v>
      </c>
      <c r="AO113">
        <v>0</v>
      </c>
      <c r="AP113">
        <v>0</v>
      </c>
      <c r="AQ113">
        <v>0</v>
      </c>
      <c r="AR113">
        <v>0</v>
      </c>
      <c r="AS113">
        <v>0</v>
      </c>
      <c r="AT113">
        <v>0</v>
      </c>
      <c r="AU113">
        <v>0</v>
      </c>
      <c r="AV113">
        <v>0</v>
      </c>
      <c r="AW113" s="80">
        <f>AW112</f>
        <v>11.385</v>
      </c>
      <c r="AZ113">
        <v>0</v>
      </c>
      <c r="BA113" t="s">
        <v>7</v>
      </c>
      <c r="BB113">
        <v>18592</v>
      </c>
      <c r="BC113">
        <v>224</v>
      </c>
      <c r="BD113">
        <v>2</v>
      </c>
      <c r="BE113">
        <v>8</v>
      </c>
      <c r="BF113">
        <v>748.17</v>
      </c>
      <c r="BG113" s="62">
        <v>5.7271000000000001</v>
      </c>
      <c r="BH113" s="16">
        <v>45473</v>
      </c>
      <c r="BI113" s="18">
        <v>0.47321759259259261</v>
      </c>
      <c r="BJ113">
        <v>0</v>
      </c>
      <c r="BK113">
        <v>0</v>
      </c>
      <c r="BL113">
        <v>0</v>
      </c>
      <c r="BM113">
        <v>0</v>
      </c>
      <c r="BN113">
        <v>0</v>
      </c>
      <c r="BO113">
        <v>0</v>
      </c>
      <c r="BP113">
        <v>0</v>
      </c>
      <c r="BQ113">
        <v>0</v>
      </c>
      <c r="BR113">
        <v>0</v>
      </c>
      <c r="BS113">
        <v>0</v>
      </c>
      <c r="BT113">
        <v>0</v>
      </c>
      <c r="BU113">
        <v>0</v>
      </c>
    </row>
    <row r="114" spans="1:73" x14ac:dyDescent="0.25">
      <c r="A114" t="s">
        <v>111</v>
      </c>
      <c r="B114">
        <v>0</v>
      </c>
      <c r="C114" t="s">
        <v>7</v>
      </c>
      <c r="D114" s="20">
        <v>18432</v>
      </c>
      <c r="E114" s="20">
        <v>192</v>
      </c>
      <c r="F114" s="20">
        <v>1</v>
      </c>
      <c r="G114" s="20">
        <v>16</v>
      </c>
      <c r="H114" s="79">
        <v>426.78</v>
      </c>
      <c r="I114" s="62">
        <v>9.7829999999999995</v>
      </c>
      <c r="J114" s="16">
        <v>45546</v>
      </c>
      <c r="K114" s="25">
        <v>0.48734953703703704</v>
      </c>
      <c r="L114">
        <v>0</v>
      </c>
      <c r="M114">
        <v>0</v>
      </c>
      <c r="N114">
        <v>0</v>
      </c>
      <c r="O114">
        <v>0</v>
      </c>
      <c r="P114">
        <v>0</v>
      </c>
      <c r="Q114">
        <v>0</v>
      </c>
      <c r="R114">
        <v>0</v>
      </c>
      <c r="S114">
        <v>0</v>
      </c>
      <c r="T114">
        <v>0</v>
      </c>
      <c r="U114">
        <v>0</v>
      </c>
      <c r="V114">
        <v>0</v>
      </c>
      <c r="W114">
        <v>0</v>
      </c>
      <c r="X114" s="82">
        <f>AVERAGE(I114:I118)</f>
        <v>10.07732</v>
      </c>
      <c r="Z114" t="s">
        <v>149</v>
      </c>
      <c r="AA114">
        <v>0</v>
      </c>
      <c r="AB114" t="s">
        <v>7</v>
      </c>
      <c r="AC114" s="20">
        <v>17536</v>
      </c>
      <c r="AD114" s="20">
        <v>32</v>
      </c>
      <c r="AE114" s="20">
        <v>2</v>
      </c>
      <c r="AF114" s="20">
        <v>8</v>
      </c>
      <c r="AG114" s="79">
        <v>319.89999999999998</v>
      </c>
      <c r="AH114" s="62">
        <v>11.24</v>
      </c>
      <c r="AI114" s="16">
        <v>45557</v>
      </c>
      <c r="AJ114" s="25">
        <v>0.87531250000000005</v>
      </c>
      <c r="AK114">
        <v>0</v>
      </c>
      <c r="AL114">
        <v>0</v>
      </c>
      <c r="AM114">
        <v>0</v>
      </c>
      <c r="AN114">
        <v>0</v>
      </c>
      <c r="AO114">
        <v>0</v>
      </c>
      <c r="AP114">
        <v>0</v>
      </c>
      <c r="AQ114">
        <v>0</v>
      </c>
      <c r="AR114">
        <v>0</v>
      </c>
      <c r="AS114">
        <v>0</v>
      </c>
      <c r="AT114">
        <v>0</v>
      </c>
      <c r="AU114">
        <v>0</v>
      </c>
      <c r="AV114">
        <v>0</v>
      </c>
      <c r="AW114" s="82">
        <f>AVERAGE(AH114:AH117)</f>
        <v>11.236499999999999</v>
      </c>
      <c r="AZ114">
        <v>1</v>
      </c>
      <c r="BA114" t="s">
        <v>7</v>
      </c>
      <c r="BB114">
        <v>18592</v>
      </c>
      <c r="BC114">
        <v>224</v>
      </c>
      <c r="BD114">
        <v>2</v>
      </c>
      <c r="BE114">
        <v>8</v>
      </c>
      <c r="BF114">
        <v>576.21</v>
      </c>
      <c r="BG114" s="62">
        <v>7.4363999999999999</v>
      </c>
      <c r="BH114" s="16">
        <v>45474</v>
      </c>
      <c r="BI114" s="18">
        <v>0.43141203703703701</v>
      </c>
      <c r="BJ114">
        <v>0</v>
      </c>
      <c r="BK114">
        <v>0</v>
      </c>
      <c r="BL114">
        <v>0</v>
      </c>
      <c r="BM114">
        <v>0</v>
      </c>
      <c r="BN114">
        <v>0</v>
      </c>
      <c r="BO114">
        <v>0</v>
      </c>
      <c r="BP114">
        <v>0</v>
      </c>
      <c r="BQ114">
        <v>0</v>
      </c>
      <c r="BR114">
        <v>0</v>
      </c>
      <c r="BS114">
        <v>0</v>
      </c>
      <c r="BT114">
        <v>0</v>
      </c>
      <c r="BU114">
        <v>0</v>
      </c>
    </row>
    <row r="115" spans="1:73" x14ac:dyDescent="0.25">
      <c r="A115" t="s">
        <v>111</v>
      </c>
      <c r="B115">
        <v>1</v>
      </c>
      <c r="C115" t="s">
        <v>7</v>
      </c>
      <c r="D115" s="20">
        <v>18432</v>
      </c>
      <c r="E115" s="20">
        <v>192</v>
      </c>
      <c r="F115" s="20">
        <v>1</v>
      </c>
      <c r="G115" s="20">
        <v>16</v>
      </c>
      <c r="H115" s="79">
        <v>396.4</v>
      </c>
      <c r="I115" s="62">
        <v>10.532999999999999</v>
      </c>
      <c r="J115" s="16">
        <v>45547</v>
      </c>
      <c r="K115" s="25">
        <v>0.1032986111111111</v>
      </c>
      <c r="L115">
        <v>0</v>
      </c>
      <c r="M115">
        <v>0</v>
      </c>
      <c r="N115">
        <v>0</v>
      </c>
      <c r="O115">
        <v>0</v>
      </c>
      <c r="P115">
        <v>0</v>
      </c>
      <c r="Q115">
        <v>0</v>
      </c>
      <c r="R115">
        <v>0</v>
      </c>
      <c r="S115">
        <v>0</v>
      </c>
      <c r="T115">
        <v>0</v>
      </c>
      <c r="U115">
        <v>0</v>
      </c>
      <c r="V115">
        <v>0</v>
      </c>
      <c r="W115">
        <v>0</v>
      </c>
      <c r="X115" s="80">
        <f>X114</f>
        <v>10.07732</v>
      </c>
      <c r="Z115" t="s">
        <v>149</v>
      </c>
      <c r="AA115">
        <v>1</v>
      </c>
      <c r="AB115" t="s">
        <v>7</v>
      </c>
      <c r="AC115" s="20">
        <v>17536</v>
      </c>
      <c r="AD115" s="20">
        <v>32</v>
      </c>
      <c r="AE115" s="20">
        <v>2</v>
      </c>
      <c r="AF115" s="20">
        <v>8</v>
      </c>
      <c r="AG115" s="79">
        <v>319.45</v>
      </c>
      <c r="AH115" s="62">
        <v>11.255000000000001</v>
      </c>
      <c r="AI115" s="16">
        <v>45558</v>
      </c>
      <c r="AJ115" s="25">
        <v>0.37472222222222223</v>
      </c>
      <c r="AK115">
        <v>0</v>
      </c>
      <c r="AL115">
        <v>0</v>
      </c>
      <c r="AM115">
        <v>0</v>
      </c>
      <c r="AN115">
        <v>0</v>
      </c>
      <c r="AO115">
        <v>0</v>
      </c>
      <c r="AP115">
        <v>0</v>
      </c>
      <c r="AQ115">
        <v>0</v>
      </c>
      <c r="AR115">
        <v>0</v>
      </c>
      <c r="AS115">
        <v>0</v>
      </c>
      <c r="AT115">
        <v>0</v>
      </c>
      <c r="AU115">
        <v>0</v>
      </c>
      <c r="AV115">
        <v>0</v>
      </c>
      <c r="AW115" s="80">
        <f>AW114</f>
        <v>11.236499999999999</v>
      </c>
      <c r="AZ115">
        <v>0</v>
      </c>
      <c r="BA115" t="s">
        <v>7</v>
      </c>
      <c r="BB115">
        <v>19488</v>
      </c>
      <c r="BC115">
        <v>224</v>
      </c>
      <c r="BD115">
        <v>2</v>
      </c>
      <c r="BE115">
        <v>8</v>
      </c>
      <c r="BF115">
        <v>1678.99</v>
      </c>
      <c r="BG115" s="62">
        <v>2.9390999999999998</v>
      </c>
      <c r="BH115" s="16">
        <v>45473</v>
      </c>
      <c r="BI115" s="18">
        <v>0.99605324074074075</v>
      </c>
      <c r="BJ115">
        <v>0</v>
      </c>
      <c r="BK115">
        <v>0</v>
      </c>
      <c r="BL115">
        <v>0</v>
      </c>
      <c r="BM115">
        <v>0</v>
      </c>
      <c r="BN115">
        <v>0</v>
      </c>
      <c r="BO115">
        <v>0</v>
      </c>
      <c r="BP115">
        <v>0</v>
      </c>
      <c r="BQ115">
        <v>0</v>
      </c>
      <c r="BR115">
        <v>0</v>
      </c>
      <c r="BS115">
        <v>0</v>
      </c>
      <c r="BT115">
        <v>0</v>
      </c>
      <c r="BU115">
        <v>0</v>
      </c>
    </row>
    <row r="116" spans="1:73" x14ac:dyDescent="0.25">
      <c r="A116" t="s">
        <v>111</v>
      </c>
      <c r="B116">
        <v>2</v>
      </c>
      <c r="C116" t="s">
        <v>7</v>
      </c>
      <c r="D116" s="20">
        <v>18432</v>
      </c>
      <c r="E116" s="20">
        <v>192</v>
      </c>
      <c r="F116" s="20">
        <v>1</v>
      </c>
      <c r="G116" s="20">
        <v>16</v>
      </c>
      <c r="H116" s="79">
        <v>413.7</v>
      </c>
      <c r="I116" s="62">
        <v>10.092000000000001</v>
      </c>
      <c r="J116" s="16">
        <v>45547</v>
      </c>
      <c r="K116" s="25">
        <v>0.71753472222222225</v>
      </c>
      <c r="L116">
        <v>0</v>
      </c>
      <c r="M116">
        <v>0</v>
      </c>
      <c r="N116">
        <v>0</v>
      </c>
      <c r="O116">
        <v>0</v>
      </c>
      <c r="P116">
        <v>0</v>
      </c>
      <c r="Q116">
        <v>0</v>
      </c>
      <c r="R116">
        <v>0</v>
      </c>
      <c r="S116">
        <v>0</v>
      </c>
      <c r="T116">
        <v>0</v>
      </c>
      <c r="U116">
        <v>0</v>
      </c>
      <c r="V116">
        <v>0</v>
      </c>
      <c r="W116">
        <v>0</v>
      </c>
      <c r="X116" s="80">
        <f>X115</f>
        <v>10.07732</v>
      </c>
      <c r="Z116" t="s">
        <v>149</v>
      </c>
      <c r="AA116">
        <v>2</v>
      </c>
      <c r="AB116" t="s">
        <v>7</v>
      </c>
      <c r="AC116" s="20">
        <v>17536</v>
      </c>
      <c r="AD116" s="20">
        <v>32</v>
      </c>
      <c r="AE116" s="20">
        <v>2</v>
      </c>
      <c r="AF116" s="20">
        <v>8</v>
      </c>
      <c r="AG116" s="79">
        <v>320.43</v>
      </c>
      <c r="AH116" s="62">
        <v>11.221</v>
      </c>
      <c r="AI116" s="16">
        <v>45558</v>
      </c>
      <c r="AJ116" s="25">
        <v>0.87321759259259257</v>
      </c>
      <c r="AK116">
        <v>0</v>
      </c>
      <c r="AL116">
        <v>0</v>
      </c>
      <c r="AM116">
        <v>0</v>
      </c>
      <c r="AN116">
        <v>0</v>
      </c>
      <c r="AO116">
        <v>0</v>
      </c>
      <c r="AP116">
        <v>0</v>
      </c>
      <c r="AQ116">
        <v>0</v>
      </c>
      <c r="AR116">
        <v>0</v>
      </c>
      <c r="AS116">
        <v>0</v>
      </c>
      <c r="AT116">
        <v>0</v>
      </c>
      <c r="AU116">
        <v>0</v>
      </c>
      <c r="AV116">
        <v>0</v>
      </c>
      <c r="AW116" s="80">
        <f>AW115</f>
        <v>11.236499999999999</v>
      </c>
      <c r="BF116"/>
      <c r="BG116" s="62"/>
      <c r="BH116" s="16"/>
      <c r="BI116" s="18"/>
    </row>
    <row r="117" spans="1:73" x14ac:dyDescent="0.25">
      <c r="A117" t="s">
        <v>111</v>
      </c>
      <c r="B117">
        <v>3</v>
      </c>
      <c r="C117" t="s">
        <v>7</v>
      </c>
      <c r="D117" s="20">
        <v>18432</v>
      </c>
      <c r="E117" s="20">
        <v>192</v>
      </c>
      <c r="F117" s="20">
        <v>1</v>
      </c>
      <c r="G117" s="20">
        <v>16</v>
      </c>
      <c r="H117" s="79">
        <v>396.56</v>
      </c>
      <c r="I117" s="62">
        <v>10.529</v>
      </c>
      <c r="J117" s="16">
        <v>45548</v>
      </c>
      <c r="K117" s="25">
        <v>0.37778935185185186</v>
      </c>
      <c r="L117">
        <v>0</v>
      </c>
      <c r="M117">
        <v>0</v>
      </c>
      <c r="N117">
        <v>0</v>
      </c>
      <c r="O117">
        <v>0</v>
      </c>
      <c r="P117">
        <v>0</v>
      </c>
      <c r="Q117">
        <v>0</v>
      </c>
      <c r="R117">
        <v>0</v>
      </c>
      <c r="S117">
        <v>0</v>
      </c>
      <c r="T117">
        <v>0</v>
      </c>
      <c r="U117">
        <v>0</v>
      </c>
      <c r="V117">
        <v>0</v>
      </c>
      <c r="W117">
        <v>0</v>
      </c>
      <c r="X117" s="80">
        <f>X116</f>
        <v>10.07732</v>
      </c>
      <c r="Z117" t="s">
        <v>149</v>
      </c>
      <c r="AA117">
        <v>3</v>
      </c>
      <c r="AB117" t="s">
        <v>7</v>
      </c>
      <c r="AC117" s="20">
        <v>17536</v>
      </c>
      <c r="AD117" s="20">
        <v>32</v>
      </c>
      <c r="AE117" s="20">
        <v>2</v>
      </c>
      <c r="AF117" s="20">
        <v>8</v>
      </c>
      <c r="AG117" s="79">
        <v>320.16000000000003</v>
      </c>
      <c r="AH117" s="62">
        <v>11.23</v>
      </c>
      <c r="AI117" s="16">
        <v>45555</v>
      </c>
      <c r="AJ117" s="25">
        <v>4.417824074074074E-2</v>
      </c>
      <c r="AK117">
        <v>0</v>
      </c>
      <c r="AL117">
        <v>0</v>
      </c>
      <c r="AM117">
        <v>0</v>
      </c>
      <c r="AN117">
        <v>0</v>
      </c>
      <c r="AO117">
        <v>0</v>
      </c>
      <c r="AP117">
        <v>0</v>
      </c>
      <c r="AQ117">
        <v>0</v>
      </c>
      <c r="AR117">
        <v>0</v>
      </c>
      <c r="AS117">
        <v>0</v>
      </c>
      <c r="AT117">
        <v>0</v>
      </c>
      <c r="AU117">
        <v>0</v>
      </c>
      <c r="AV117">
        <v>0</v>
      </c>
      <c r="AW117" s="80">
        <f>AW116</f>
        <v>11.236499999999999</v>
      </c>
      <c r="AZ117">
        <v>0</v>
      </c>
      <c r="BA117" t="s">
        <v>7</v>
      </c>
      <c r="BB117">
        <v>17472</v>
      </c>
      <c r="BC117">
        <v>224</v>
      </c>
      <c r="BD117">
        <v>4</v>
      </c>
      <c r="BE117">
        <v>4</v>
      </c>
      <c r="BF117">
        <v>416.49</v>
      </c>
      <c r="BG117" s="62">
        <v>8.5387000000000004</v>
      </c>
      <c r="BH117" s="16">
        <v>45472</v>
      </c>
      <c r="BI117" s="18">
        <v>0.42034722222222221</v>
      </c>
      <c r="BJ117">
        <v>0</v>
      </c>
      <c r="BK117">
        <v>0</v>
      </c>
      <c r="BL117">
        <v>0</v>
      </c>
      <c r="BM117">
        <v>0</v>
      </c>
      <c r="BN117">
        <v>0</v>
      </c>
      <c r="BO117">
        <v>0</v>
      </c>
      <c r="BP117">
        <v>0</v>
      </c>
      <c r="BQ117">
        <v>0</v>
      </c>
      <c r="BR117">
        <v>0</v>
      </c>
      <c r="BS117">
        <v>0</v>
      </c>
      <c r="BT117">
        <v>0</v>
      </c>
      <c r="BU117">
        <v>0</v>
      </c>
    </row>
    <row r="118" spans="1:73" x14ac:dyDescent="0.25">
      <c r="A118" t="s">
        <v>111</v>
      </c>
      <c r="B118">
        <v>4</v>
      </c>
      <c r="C118" t="s">
        <v>7</v>
      </c>
      <c r="D118" s="20">
        <v>18432</v>
      </c>
      <c r="E118" s="20">
        <v>192</v>
      </c>
      <c r="F118" s="20">
        <v>1</v>
      </c>
      <c r="G118" s="20">
        <v>16</v>
      </c>
      <c r="H118" s="79">
        <v>441.84</v>
      </c>
      <c r="I118" s="62">
        <v>9.4496000000000002</v>
      </c>
      <c r="J118" s="16">
        <v>45549</v>
      </c>
      <c r="K118" s="25">
        <v>7.6620370370370366E-3</v>
      </c>
      <c r="L118">
        <v>0</v>
      </c>
      <c r="M118">
        <v>0</v>
      </c>
      <c r="N118">
        <v>0</v>
      </c>
      <c r="O118">
        <v>0</v>
      </c>
      <c r="P118">
        <v>0</v>
      </c>
      <c r="Q118">
        <v>0</v>
      </c>
      <c r="R118">
        <v>0</v>
      </c>
      <c r="S118">
        <v>0</v>
      </c>
      <c r="T118">
        <v>0</v>
      </c>
      <c r="U118">
        <v>0</v>
      </c>
      <c r="V118">
        <v>0</v>
      </c>
      <c r="W118">
        <v>0</v>
      </c>
      <c r="X118" s="80">
        <f>X117</f>
        <v>10.07732</v>
      </c>
      <c r="Z118" t="s">
        <v>149</v>
      </c>
      <c r="AA118">
        <v>4</v>
      </c>
      <c r="AB118" t="s">
        <v>7</v>
      </c>
      <c r="AC118" s="20">
        <v>17536</v>
      </c>
      <c r="AD118" s="20">
        <v>32</v>
      </c>
      <c r="AE118" s="20">
        <v>2</v>
      </c>
      <c r="AF118" s="20">
        <v>8</v>
      </c>
      <c r="AG118" s="79">
        <v>320.66000000000003</v>
      </c>
      <c r="AH118" s="62">
        <v>11.212999999999999</v>
      </c>
      <c r="AI118" s="16">
        <v>45555</v>
      </c>
      <c r="AJ118" s="25">
        <v>0.54434027777777783</v>
      </c>
      <c r="AK118">
        <v>0</v>
      </c>
      <c r="AL118">
        <v>0</v>
      </c>
      <c r="AM118">
        <v>0</v>
      </c>
      <c r="AN118">
        <v>0</v>
      </c>
      <c r="AO118">
        <v>0</v>
      </c>
      <c r="AP118">
        <v>0</v>
      </c>
      <c r="AQ118">
        <v>0</v>
      </c>
      <c r="AR118">
        <v>0</v>
      </c>
      <c r="AS118">
        <v>0</v>
      </c>
      <c r="AT118">
        <v>0</v>
      </c>
      <c r="AU118">
        <v>0</v>
      </c>
      <c r="AV118">
        <v>0</v>
      </c>
      <c r="AW118" s="80">
        <f>AW117</f>
        <v>11.236499999999999</v>
      </c>
      <c r="AZ118">
        <v>1</v>
      </c>
      <c r="BA118" t="s">
        <v>7</v>
      </c>
      <c r="BB118">
        <v>17472</v>
      </c>
      <c r="BC118">
        <v>224</v>
      </c>
      <c r="BD118">
        <v>4</v>
      </c>
      <c r="BE118">
        <v>4</v>
      </c>
      <c r="BF118">
        <v>689.04</v>
      </c>
      <c r="BG118" s="62">
        <v>5.1611000000000002</v>
      </c>
      <c r="BH118" s="16">
        <v>45474</v>
      </c>
      <c r="BI118" s="18">
        <v>0.25083333333333335</v>
      </c>
      <c r="BJ118">
        <v>0</v>
      </c>
      <c r="BK118">
        <v>0</v>
      </c>
      <c r="BL118">
        <v>0</v>
      </c>
      <c r="BM118">
        <v>0</v>
      </c>
      <c r="BN118">
        <v>0</v>
      </c>
      <c r="BO118">
        <v>0</v>
      </c>
      <c r="BP118">
        <v>0</v>
      </c>
      <c r="BQ118">
        <v>0</v>
      </c>
      <c r="BR118">
        <v>0</v>
      </c>
      <c r="BS118">
        <v>0</v>
      </c>
      <c r="BT118">
        <v>0</v>
      </c>
      <c r="BU118">
        <v>0</v>
      </c>
    </row>
    <row r="119" spans="1:73" x14ac:dyDescent="0.25">
      <c r="A119" t="s">
        <v>111</v>
      </c>
      <c r="B119">
        <v>0</v>
      </c>
      <c r="C119" t="s">
        <v>7</v>
      </c>
      <c r="D119" s="20">
        <v>18560</v>
      </c>
      <c r="E119" s="20">
        <v>64</v>
      </c>
      <c r="F119" s="20">
        <v>1</v>
      </c>
      <c r="G119" s="20">
        <v>16</v>
      </c>
      <c r="H119" s="79">
        <v>446.21</v>
      </c>
      <c r="I119" s="62">
        <v>9.5533999999999999</v>
      </c>
      <c r="J119" s="16">
        <v>45546</v>
      </c>
      <c r="K119" s="25">
        <v>0.42643518518518519</v>
      </c>
      <c r="L119">
        <v>0</v>
      </c>
      <c r="M119">
        <v>0</v>
      </c>
      <c r="N119">
        <v>0</v>
      </c>
      <c r="O119">
        <v>0</v>
      </c>
      <c r="P119">
        <v>0</v>
      </c>
      <c r="Q119">
        <v>0</v>
      </c>
      <c r="R119">
        <v>0</v>
      </c>
      <c r="S119">
        <v>0</v>
      </c>
      <c r="T119">
        <v>0</v>
      </c>
      <c r="U119">
        <v>0</v>
      </c>
      <c r="V119">
        <v>0</v>
      </c>
      <c r="W119">
        <v>0</v>
      </c>
      <c r="X119" s="82">
        <f>AVERAGE(I119:I123)</f>
        <v>10.046660000000001</v>
      </c>
      <c r="Z119" t="s">
        <v>149</v>
      </c>
      <c r="AA119">
        <v>0</v>
      </c>
      <c r="AB119" t="s">
        <v>7</v>
      </c>
      <c r="AC119" s="20">
        <v>18560</v>
      </c>
      <c r="AD119" s="20">
        <v>64</v>
      </c>
      <c r="AE119" s="20">
        <v>1</v>
      </c>
      <c r="AF119" s="20">
        <v>16</v>
      </c>
      <c r="AG119" s="79">
        <v>386.39</v>
      </c>
      <c r="AH119" s="62">
        <v>11.032999999999999</v>
      </c>
      <c r="AI119" s="16">
        <v>45557</v>
      </c>
      <c r="AJ119" s="25">
        <v>0.98228009259259264</v>
      </c>
      <c r="AK119">
        <v>0</v>
      </c>
      <c r="AL119">
        <v>0</v>
      </c>
      <c r="AM119">
        <v>0</v>
      </c>
      <c r="AN119">
        <v>0</v>
      </c>
      <c r="AO119">
        <v>0</v>
      </c>
      <c r="AP119">
        <v>0</v>
      </c>
      <c r="AQ119">
        <v>0</v>
      </c>
      <c r="AR119">
        <v>0</v>
      </c>
      <c r="AS119">
        <v>0</v>
      </c>
      <c r="AT119">
        <v>0</v>
      </c>
      <c r="AU119">
        <v>0</v>
      </c>
      <c r="AV119">
        <v>0</v>
      </c>
      <c r="AW119" s="82">
        <f>AVERAGE(AH119:AH122)</f>
        <v>11.031499999999999</v>
      </c>
      <c r="AZ119">
        <v>0</v>
      </c>
      <c r="BA119" t="s">
        <v>7</v>
      </c>
      <c r="BB119">
        <v>18592</v>
      </c>
      <c r="BC119">
        <v>224</v>
      </c>
      <c r="BD119">
        <v>4</v>
      </c>
      <c r="BE119">
        <v>4</v>
      </c>
      <c r="BF119">
        <v>641.24</v>
      </c>
      <c r="BG119" s="62">
        <v>6.6821999999999999</v>
      </c>
      <c r="BH119" s="16">
        <v>45473</v>
      </c>
      <c r="BI119" s="18">
        <v>0.48105324074074074</v>
      </c>
      <c r="BJ119">
        <v>0</v>
      </c>
      <c r="BK119">
        <v>0</v>
      </c>
      <c r="BL119">
        <v>0</v>
      </c>
      <c r="BM119">
        <v>0</v>
      </c>
      <c r="BN119">
        <v>0</v>
      </c>
      <c r="BO119">
        <v>0</v>
      </c>
      <c r="BP119">
        <v>0</v>
      </c>
      <c r="BQ119">
        <v>0</v>
      </c>
      <c r="BR119">
        <v>0</v>
      </c>
      <c r="BS119">
        <v>0</v>
      </c>
      <c r="BT119">
        <v>0</v>
      </c>
      <c r="BU119">
        <v>0</v>
      </c>
    </row>
    <row r="120" spans="1:73" x14ac:dyDescent="0.25">
      <c r="A120" t="s">
        <v>111</v>
      </c>
      <c r="B120">
        <v>1</v>
      </c>
      <c r="C120" t="s">
        <v>7</v>
      </c>
      <c r="D120" s="20">
        <v>18560</v>
      </c>
      <c r="E120" s="20">
        <v>64</v>
      </c>
      <c r="F120" s="20">
        <v>1</v>
      </c>
      <c r="G120" s="20">
        <v>16</v>
      </c>
      <c r="H120" s="79">
        <v>410.64</v>
      </c>
      <c r="I120" s="62">
        <v>10.381</v>
      </c>
      <c r="J120" s="16">
        <v>45547</v>
      </c>
      <c r="K120" s="25">
        <v>4.2337962962962966E-2</v>
      </c>
      <c r="L120">
        <v>0</v>
      </c>
      <c r="M120">
        <v>0</v>
      </c>
      <c r="N120">
        <v>0</v>
      </c>
      <c r="O120">
        <v>0</v>
      </c>
      <c r="P120">
        <v>0</v>
      </c>
      <c r="Q120">
        <v>0</v>
      </c>
      <c r="R120">
        <v>0</v>
      </c>
      <c r="S120">
        <v>0</v>
      </c>
      <c r="T120">
        <v>0</v>
      </c>
      <c r="U120">
        <v>0</v>
      </c>
      <c r="V120">
        <v>0</v>
      </c>
      <c r="W120">
        <v>0</v>
      </c>
      <c r="X120" s="80">
        <f>X119</f>
        <v>10.046660000000001</v>
      </c>
      <c r="Z120" t="s">
        <v>149</v>
      </c>
      <c r="AA120">
        <v>1</v>
      </c>
      <c r="AB120" t="s">
        <v>7</v>
      </c>
      <c r="AC120" s="20">
        <v>18560</v>
      </c>
      <c r="AD120" s="20">
        <v>64</v>
      </c>
      <c r="AE120" s="20">
        <v>1</v>
      </c>
      <c r="AF120" s="20">
        <v>16</v>
      </c>
      <c r="AG120" s="79">
        <v>386.37</v>
      </c>
      <c r="AH120" s="62">
        <v>11.032999999999999</v>
      </c>
      <c r="AI120" s="16">
        <v>45558</v>
      </c>
      <c r="AJ120" s="25">
        <v>0.48165509259259259</v>
      </c>
      <c r="AK120">
        <v>0</v>
      </c>
      <c r="AL120">
        <v>0</v>
      </c>
      <c r="AM120">
        <v>0</v>
      </c>
      <c r="AN120">
        <v>0</v>
      </c>
      <c r="AO120">
        <v>0</v>
      </c>
      <c r="AP120">
        <v>0</v>
      </c>
      <c r="AQ120">
        <v>0</v>
      </c>
      <c r="AR120">
        <v>0</v>
      </c>
      <c r="AS120">
        <v>0</v>
      </c>
      <c r="AT120">
        <v>0</v>
      </c>
      <c r="AU120">
        <v>0</v>
      </c>
      <c r="AV120">
        <v>0</v>
      </c>
      <c r="AW120" s="80">
        <f>AW119</f>
        <v>11.031499999999999</v>
      </c>
      <c r="AZ120">
        <v>1</v>
      </c>
      <c r="BA120" t="s">
        <v>7</v>
      </c>
      <c r="BB120">
        <v>18592</v>
      </c>
      <c r="BC120">
        <v>224</v>
      </c>
      <c r="BD120">
        <v>4</v>
      </c>
      <c r="BE120">
        <v>4</v>
      </c>
      <c r="BF120">
        <v>786.7</v>
      </c>
      <c r="BG120" s="62">
        <v>5.4466999999999999</v>
      </c>
      <c r="BH120" s="16">
        <v>45474</v>
      </c>
      <c r="BI120" s="18">
        <v>0.44100694444444444</v>
      </c>
      <c r="BJ120">
        <v>0</v>
      </c>
      <c r="BK120">
        <v>0</v>
      </c>
      <c r="BL120">
        <v>0</v>
      </c>
      <c r="BM120">
        <v>0</v>
      </c>
      <c r="BN120">
        <v>0</v>
      </c>
      <c r="BO120">
        <v>0</v>
      </c>
      <c r="BP120">
        <v>0</v>
      </c>
      <c r="BQ120">
        <v>0</v>
      </c>
      <c r="BR120">
        <v>0</v>
      </c>
      <c r="BS120">
        <v>0</v>
      </c>
      <c r="BT120">
        <v>0</v>
      </c>
      <c r="BU120">
        <v>0</v>
      </c>
    </row>
    <row r="121" spans="1:73" x14ac:dyDescent="0.25">
      <c r="A121" t="s">
        <v>111</v>
      </c>
      <c r="B121">
        <v>2</v>
      </c>
      <c r="C121" t="s">
        <v>7</v>
      </c>
      <c r="D121" s="20">
        <v>18560</v>
      </c>
      <c r="E121" s="20">
        <v>64</v>
      </c>
      <c r="F121" s="20">
        <v>1</v>
      </c>
      <c r="G121" s="20">
        <v>16</v>
      </c>
      <c r="H121" s="79">
        <v>414.87</v>
      </c>
      <c r="I121" s="62">
        <v>10.275</v>
      </c>
      <c r="J121" s="16">
        <v>45547</v>
      </c>
      <c r="K121" s="25">
        <v>0.65732638888888884</v>
      </c>
      <c r="L121">
        <v>0</v>
      </c>
      <c r="M121">
        <v>0</v>
      </c>
      <c r="N121">
        <v>0</v>
      </c>
      <c r="O121">
        <v>0</v>
      </c>
      <c r="P121">
        <v>0</v>
      </c>
      <c r="Q121">
        <v>0</v>
      </c>
      <c r="R121">
        <v>0</v>
      </c>
      <c r="S121">
        <v>0</v>
      </c>
      <c r="T121">
        <v>0</v>
      </c>
      <c r="U121">
        <v>0</v>
      </c>
      <c r="V121">
        <v>0</v>
      </c>
      <c r="W121">
        <v>0</v>
      </c>
      <c r="X121" s="80">
        <f>X120</f>
        <v>10.046660000000001</v>
      </c>
      <c r="Z121" t="s">
        <v>149</v>
      </c>
      <c r="AA121">
        <v>2</v>
      </c>
      <c r="AB121" t="s">
        <v>7</v>
      </c>
      <c r="AC121" s="20">
        <v>18560</v>
      </c>
      <c r="AD121" s="20">
        <v>64</v>
      </c>
      <c r="AE121" s="20">
        <v>1</v>
      </c>
      <c r="AF121" s="20">
        <v>16</v>
      </c>
      <c r="AG121" s="79">
        <v>386.61</v>
      </c>
      <c r="AH121" s="62">
        <v>11.026</v>
      </c>
      <c r="AI121" s="16">
        <v>45554</v>
      </c>
      <c r="AJ121" s="25">
        <v>0.6256018518518518</v>
      </c>
      <c r="AK121">
        <v>0</v>
      </c>
      <c r="AL121">
        <v>0</v>
      </c>
      <c r="AM121">
        <v>0</v>
      </c>
      <c r="AN121">
        <v>0</v>
      </c>
      <c r="AO121">
        <v>0</v>
      </c>
      <c r="AP121">
        <v>0</v>
      </c>
      <c r="AQ121">
        <v>0</v>
      </c>
      <c r="AR121">
        <v>0</v>
      </c>
      <c r="AS121">
        <v>0</v>
      </c>
      <c r="AT121">
        <v>0</v>
      </c>
      <c r="AU121">
        <v>0</v>
      </c>
      <c r="AV121">
        <v>0</v>
      </c>
      <c r="AW121" s="80">
        <f>AW120</f>
        <v>11.031499999999999</v>
      </c>
      <c r="AZ121">
        <v>0</v>
      </c>
      <c r="BA121" t="s">
        <v>7</v>
      </c>
      <c r="BB121">
        <v>19488</v>
      </c>
      <c r="BC121">
        <v>224</v>
      </c>
      <c r="BD121">
        <v>4</v>
      </c>
      <c r="BE121">
        <v>4</v>
      </c>
      <c r="BF121">
        <v>1301.02</v>
      </c>
      <c r="BG121" s="62">
        <v>3.7928999999999999</v>
      </c>
      <c r="BH121" s="16">
        <v>45474</v>
      </c>
      <c r="BI121" s="18">
        <v>1.2905092592592593E-2</v>
      </c>
      <c r="BJ121">
        <v>0</v>
      </c>
      <c r="BK121">
        <v>0</v>
      </c>
      <c r="BL121">
        <v>0</v>
      </c>
      <c r="BM121">
        <v>0</v>
      </c>
      <c r="BN121">
        <v>0</v>
      </c>
      <c r="BO121">
        <v>0</v>
      </c>
      <c r="BP121">
        <v>0</v>
      </c>
      <c r="BQ121">
        <v>0</v>
      </c>
      <c r="BR121">
        <v>0</v>
      </c>
      <c r="BS121">
        <v>0</v>
      </c>
      <c r="BT121">
        <v>0</v>
      </c>
      <c r="BU121">
        <v>0</v>
      </c>
    </row>
    <row r="122" spans="1:73" x14ac:dyDescent="0.25">
      <c r="A122" t="s">
        <v>111</v>
      </c>
      <c r="B122">
        <v>3</v>
      </c>
      <c r="C122" t="s">
        <v>7</v>
      </c>
      <c r="D122" s="20">
        <v>18560</v>
      </c>
      <c r="E122" s="20">
        <v>64</v>
      </c>
      <c r="F122" s="20">
        <v>1</v>
      </c>
      <c r="G122" s="20">
        <v>16</v>
      </c>
      <c r="H122" s="79">
        <v>408.75</v>
      </c>
      <c r="I122" s="62">
        <v>10.429</v>
      </c>
      <c r="J122" s="16">
        <v>45548</v>
      </c>
      <c r="K122" s="25">
        <v>0.31765046296296295</v>
      </c>
      <c r="L122">
        <v>0</v>
      </c>
      <c r="M122">
        <v>0</v>
      </c>
      <c r="N122">
        <v>0</v>
      </c>
      <c r="O122">
        <v>0</v>
      </c>
      <c r="P122">
        <v>0</v>
      </c>
      <c r="Q122">
        <v>0</v>
      </c>
      <c r="R122">
        <v>0</v>
      </c>
      <c r="S122">
        <v>0</v>
      </c>
      <c r="T122">
        <v>0</v>
      </c>
      <c r="U122">
        <v>0</v>
      </c>
      <c r="V122">
        <v>0</v>
      </c>
      <c r="W122">
        <v>0</v>
      </c>
      <c r="X122" s="80">
        <f>X121</f>
        <v>10.046660000000001</v>
      </c>
      <c r="Z122" t="s">
        <v>149</v>
      </c>
      <c r="AA122">
        <v>3</v>
      </c>
      <c r="AB122" t="s">
        <v>7</v>
      </c>
      <c r="AC122" s="20">
        <v>18560</v>
      </c>
      <c r="AD122" s="20">
        <v>64</v>
      </c>
      <c r="AE122" s="20">
        <v>1</v>
      </c>
      <c r="AF122" s="20">
        <v>16</v>
      </c>
      <c r="AG122" s="79">
        <v>386.34</v>
      </c>
      <c r="AH122" s="62">
        <v>11.034000000000001</v>
      </c>
      <c r="AI122" s="16">
        <v>45555</v>
      </c>
      <c r="AJ122" s="25">
        <v>0.15109953703703705</v>
      </c>
      <c r="AK122">
        <v>0</v>
      </c>
      <c r="AL122">
        <v>0</v>
      </c>
      <c r="AM122">
        <v>0</v>
      </c>
      <c r="AN122">
        <v>0</v>
      </c>
      <c r="AO122">
        <v>0</v>
      </c>
      <c r="AP122">
        <v>0</v>
      </c>
      <c r="AQ122">
        <v>0</v>
      </c>
      <c r="AR122">
        <v>0</v>
      </c>
      <c r="AS122">
        <v>0</v>
      </c>
      <c r="AT122">
        <v>0</v>
      </c>
      <c r="AU122">
        <v>0</v>
      </c>
      <c r="AV122">
        <v>0</v>
      </c>
      <c r="AW122" s="80">
        <f>AW121</f>
        <v>11.031499999999999</v>
      </c>
      <c r="BF122"/>
      <c r="BG122" s="62"/>
      <c r="BH122" s="16"/>
      <c r="BI122" s="18"/>
    </row>
    <row r="123" spans="1:73" x14ac:dyDescent="0.25">
      <c r="A123" t="s">
        <v>111</v>
      </c>
      <c r="B123">
        <v>4</v>
      </c>
      <c r="C123" t="s">
        <v>7</v>
      </c>
      <c r="D123" s="20">
        <v>18560</v>
      </c>
      <c r="E123" s="20">
        <v>64</v>
      </c>
      <c r="F123" s="20">
        <v>1</v>
      </c>
      <c r="G123" s="20">
        <v>16</v>
      </c>
      <c r="H123" s="79">
        <v>444.28</v>
      </c>
      <c r="I123" s="62">
        <v>9.5949000000000009</v>
      </c>
      <c r="J123" s="16">
        <v>45548</v>
      </c>
      <c r="K123" s="25">
        <v>0.94627314814814811</v>
      </c>
      <c r="L123">
        <v>0</v>
      </c>
      <c r="M123">
        <v>0</v>
      </c>
      <c r="N123">
        <v>0</v>
      </c>
      <c r="O123">
        <v>0</v>
      </c>
      <c r="P123">
        <v>0</v>
      </c>
      <c r="Q123">
        <v>0</v>
      </c>
      <c r="R123">
        <v>0</v>
      </c>
      <c r="S123">
        <v>0</v>
      </c>
      <c r="T123">
        <v>0</v>
      </c>
      <c r="U123">
        <v>0</v>
      </c>
      <c r="V123">
        <v>0</v>
      </c>
      <c r="W123">
        <v>0</v>
      </c>
      <c r="X123" s="80">
        <f>X122</f>
        <v>10.046660000000001</v>
      </c>
      <c r="Z123" t="s">
        <v>149</v>
      </c>
      <c r="AA123">
        <v>4</v>
      </c>
      <c r="AB123" t="s">
        <v>7</v>
      </c>
      <c r="AC123" s="20">
        <v>18560</v>
      </c>
      <c r="AD123" s="20">
        <v>64</v>
      </c>
      <c r="AE123" s="20">
        <v>1</v>
      </c>
      <c r="AF123" s="20">
        <v>16</v>
      </c>
      <c r="AG123" s="79">
        <v>386.38</v>
      </c>
      <c r="AH123" s="62">
        <v>11.032999999999999</v>
      </c>
      <c r="AI123" s="16">
        <v>45555</v>
      </c>
      <c r="AJ123" s="25">
        <v>0.65120370370370373</v>
      </c>
      <c r="AK123">
        <v>0</v>
      </c>
      <c r="AL123">
        <v>0</v>
      </c>
      <c r="AM123">
        <v>0</v>
      </c>
      <c r="AN123">
        <v>0</v>
      </c>
      <c r="AO123">
        <v>0</v>
      </c>
      <c r="AP123">
        <v>0</v>
      </c>
      <c r="AQ123">
        <v>0</v>
      </c>
      <c r="AR123">
        <v>0</v>
      </c>
      <c r="AS123">
        <v>0</v>
      </c>
      <c r="AT123">
        <v>0</v>
      </c>
      <c r="AU123">
        <v>0</v>
      </c>
      <c r="AV123">
        <v>0</v>
      </c>
      <c r="AW123" s="80">
        <f>AW122</f>
        <v>11.031499999999999</v>
      </c>
      <c r="AZ123">
        <v>0</v>
      </c>
      <c r="BA123" t="s">
        <v>7</v>
      </c>
      <c r="BB123">
        <v>17408</v>
      </c>
      <c r="BC123">
        <v>256</v>
      </c>
      <c r="BD123">
        <v>1</v>
      </c>
      <c r="BE123">
        <v>16</v>
      </c>
      <c r="BF123">
        <v>414.24</v>
      </c>
      <c r="BG123" s="62">
        <v>8.4910999999999994</v>
      </c>
      <c r="BH123" s="16">
        <v>45472</v>
      </c>
      <c r="BI123" s="18">
        <v>0.42625000000000002</v>
      </c>
      <c r="BJ123">
        <v>0</v>
      </c>
      <c r="BK123">
        <v>0</v>
      </c>
      <c r="BL123">
        <v>0</v>
      </c>
      <c r="BM123">
        <v>0</v>
      </c>
      <c r="BN123">
        <v>0</v>
      </c>
      <c r="BO123">
        <v>0</v>
      </c>
      <c r="BP123">
        <v>0</v>
      </c>
      <c r="BQ123">
        <v>0</v>
      </c>
      <c r="BR123">
        <v>0</v>
      </c>
      <c r="BS123">
        <v>0</v>
      </c>
      <c r="BT123">
        <v>0</v>
      </c>
      <c r="BU123">
        <v>0</v>
      </c>
    </row>
    <row r="124" spans="1:73" x14ac:dyDescent="0.25">
      <c r="A124" t="s">
        <v>111</v>
      </c>
      <c r="B124">
        <v>0</v>
      </c>
      <c r="C124" t="s">
        <v>7</v>
      </c>
      <c r="D124" s="20">
        <v>18528</v>
      </c>
      <c r="E124" s="20">
        <v>96</v>
      </c>
      <c r="F124" s="20">
        <v>1</v>
      </c>
      <c r="G124" s="20">
        <v>16</v>
      </c>
      <c r="H124" s="79">
        <v>437.62</v>
      </c>
      <c r="I124" s="62">
        <v>9.6906999999999996</v>
      </c>
      <c r="J124" s="16">
        <v>45546</v>
      </c>
      <c r="K124" s="25">
        <v>0.44188657407407406</v>
      </c>
      <c r="L124">
        <v>0</v>
      </c>
      <c r="M124">
        <v>0</v>
      </c>
      <c r="N124">
        <v>0</v>
      </c>
      <c r="O124">
        <v>0</v>
      </c>
      <c r="P124">
        <v>0</v>
      </c>
      <c r="Q124">
        <v>0</v>
      </c>
      <c r="R124">
        <v>0</v>
      </c>
      <c r="S124">
        <v>0</v>
      </c>
      <c r="T124">
        <v>0</v>
      </c>
      <c r="U124">
        <v>0</v>
      </c>
      <c r="V124">
        <v>0</v>
      </c>
      <c r="W124">
        <v>0</v>
      </c>
      <c r="X124" s="82">
        <f>AVERAGE(I124:I128)</f>
        <v>10.03814</v>
      </c>
      <c r="Z124" t="s">
        <v>149</v>
      </c>
      <c r="AA124">
        <v>0</v>
      </c>
      <c r="AB124" t="s">
        <v>7</v>
      </c>
      <c r="AC124" s="20">
        <v>19584</v>
      </c>
      <c r="AD124" s="20">
        <v>64</v>
      </c>
      <c r="AE124" s="20">
        <v>4</v>
      </c>
      <c r="AF124" s="20">
        <v>4</v>
      </c>
      <c r="AG124" s="79">
        <v>455.38</v>
      </c>
      <c r="AH124" s="62">
        <v>10.997</v>
      </c>
      <c r="AI124" s="16">
        <v>45558</v>
      </c>
      <c r="AJ124" s="25">
        <v>0.11891203703703704</v>
      </c>
      <c r="AK124">
        <v>0</v>
      </c>
      <c r="AL124">
        <v>0</v>
      </c>
      <c r="AM124">
        <v>0</v>
      </c>
      <c r="AN124">
        <v>0</v>
      </c>
      <c r="AO124">
        <v>0</v>
      </c>
      <c r="AP124">
        <v>0</v>
      </c>
      <c r="AQ124">
        <v>0</v>
      </c>
      <c r="AR124">
        <v>0</v>
      </c>
      <c r="AS124">
        <v>0</v>
      </c>
      <c r="AT124">
        <v>0</v>
      </c>
      <c r="AU124">
        <v>0</v>
      </c>
      <c r="AV124">
        <v>0</v>
      </c>
      <c r="AW124" s="82">
        <f>AVERAGE(AH124:AH127)</f>
        <v>11.0105</v>
      </c>
      <c r="AZ124">
        <v>1</v>
      </c>
      <c r="BA124" t="s">
        <v>7</v>
      </c>
      <c r="BB124">
        <v>17408</v>
      </c>
      <c r="BC124">
        <v>256</v>
      </c>
      <c r="BD124">
        <v>1</v>
      </c>
      <c r="BE124">
        <v>16</v>
      </c>
      <c r="BF124">
        <v>490.29</v>
      </c>
      <c r="BG124" s="62">
        <v>7.1738999999999997</v>
      </c>
      <c r="BH124" s="16">
        <v>45474</v>
      </c>
      <c r="BI124" s="18">
        <v>0.25700231481481484</v>
      </c>
      <c r="BJ124">
        <v>0</v>
      </c>
      <c r="BK124">
        <v>0</v>
      </c>
      <c r="BL124">
        <v>0</v>
      </c>
      <c r="BM124">
        <v>0</v>
      </c>
      <c r="BN124">
        <v>0</v>
      </c>
      <c r="BO124">
        <v>0</v>
      </c>
      <c r="BP124">
        <v>0</v>
      </c>
      <c r="BQ124">
        <v>0</v>
      </c>
      <c r="BR124">
        <v>0</v>
      </c>
      <c r="BS124">
        <v>0</v>
      </c>
      <c r="BT124">
        <v>0</v>
      </c>
      <c r="BU124">
        <v>0</v>
      </c>
    </row>
    <row r="125" spans="1:73" x14ac:dyDescent="0.25">
      <c r="A125" t="s">
        <v>111</v>
      </c>
      <c r="B125">
        <v>1</v>
      </c>
      <c r="C125" t="s">
        <v>7</v>
      </c>
      <c r="D125" s="20">
        <v>18528</v>
      </c>
      <c r="E125" s="20">
        <v>96</v>
      </c>
      <c r="F125" s="20">
        <v>1</v>
      </c>
      <c r="G125" s="20">
        <v>16</v>
      </c>
      <c r="H125" s="79">
        <v>435.85</v>
      </c>
      <c r="I125" s="62">
        <v>9.7297999999999991</v>
      </c>
      <c r="J125" s="16">
        <v>45547</v>
      </c>
      <c r="K125" s="25">
        <v>5.7939814814814812E-2</v>
      </c>
      <c r="L125">
        <v>0</v>
      </c>
      <c r="M125">
        <v>0</v>
      </c>
      <c r="N125">
        <v>0</v>
      </c>
      <c r="O125">
        <v>0</v>
      </c>
      <c r="P125">
        <v>0</v>
      </c>
      <c r="Q125">
        <v>0</v>
      </c>
      <c r="R125">
        <v>0</v>
      </c>
      <c r="S125">
        <v>0</v>
      </c>
      <c r="T125">
        <v>0</v>
      </c>
      <c r="U125">
        <v>0</v>
      </c>
      <c r="V125">
        <v>0</v>
      </c>
      <c r="W125">
        <v>0</v>
      </c>
      <c r="X125" s="80">
        <f>X124</f>
        <v>10.03814</v>
      </c>
      <c r="Z125" t="s">
        <v>149</v>
      </c>
      <c r="AA125">
        <v>1</v>
      </c>
      <c r="AB125" t="s">
        <v>7</v>
      </c>
      <c r="AC125" s="20">
        <v>19584</v>
      </c>
      <c r="AD125" s="20">
        <v>64</v>
      </c>
      <c r="AE125" s="20">
        <v>4</v>
      </c>
      <c r="AF125" s="20">
        <v>4</v>
      </c>
      <c r="AG125" s="79">
        <v>456.22</v>
      </c>
      <c r="AH125" s="62">
        <v>10.977</v>
      </c>
      <c r="AI125" s="16">
        <v>45558</v>
      </c>
      <c r="AJ125" s="25">
        <v>0.61217592592592596</v>
      </c>
      <c r="AK125">
        <v>0</v>
      </c>
      <c r="AL125">
        <v>0</v>
      </c>
      <c r="AM125">
        <v>0</v>
      </c>
      <c r="AN125">
        <v>0</v>
      </c>
      <c r="AO125">
        <v>0</v>
      </c>
      <c r="AP125">
        <v>0</v>
      </c>
      <c r="AQ125">
        <v>0</v>
      </c>
      <c r="AR125">
        <v>0</v>
      </c>
      <c r="AS125">
        <v>0</v>
      </c>
      <c r="AT125">
        <v>0</v>
      </c>
      <c r="AU125">
        <v>0</v>
      </c>
      <c r="AV125">
        <v>0</v>
      </c>
      <c r="AW125" s="80">
        <f>AW124</f>
        <v>11.0105</v>
      </c>
      <c r="AZ125">
        <v>0</v>
      </c>
      <c r="BA125" t="s">
        <v>7</v>
      </c>
      <c r="BB125">
        <v>18432</v>
      </c>
      <c r="BC125">
        <v>256</v>
      </c>
      <c r="BD125">
        <v>1</v>
      </c>
      <c r="BE125">
        <v>16</v>
      </c>
      <c r="BF125">
        <v>2005.78</v>
      </c>
      <c r="BG125" s="62">
        <v>2.0815999999999999</v>
      </c>
      <c r="BH125" s="16">
        <v>45473</v>
      </c>
      <c r="BI125" s="18">
        <v>0.50582175925925921</v>
      </c>
      <c r="BJ125">
        <v>0</v>
      </c>
      <c r="BK125">
        <v>0</v>
      </c>
      <c r="BL125">
        <v>0</v>
      </c>
      <c r="BM125">
        <v>0</v>
      </c>
      <c r="BN125">
        <v>0</v>
      </c>
      <c r="BO125">
        <v>0</v>
      </c>
      <c r="BP125">
        <v>0</v>
      </c>
      <c r="BQ125">
        <v>0</v>
      </c>
      <c r="BR125">
        <v>0</v>
      </c>
      <c r="BS125">
        <v>0</v>
      </c>
      <c r="BT125">
        <v>0</v>
      </c>
      <c r="BU125">
        <v>0</v>
      </c>
    </row>
    <row r="126" spans="1:73" x14ac:dyDescent="0.25">
      <c r="A126" t="s">
        <v>111</v>
      </c>
      <c r="B126">
        <v>2</v>
      </c>
      <c r="C126" t="s">
        <v>7</v>
      </c>
      <c r="D126" s="20">
        <v>18528</v>
      </c>
      <c r="E126" s="20">
        <v>96</v>
      </c>
      <c r="F126" s="20">
        <v>1</v>
      </c>
      <c r="G126" s="20">
        <v>16</v>
      </c>
      <c r="H126" s="79">
        <v>407.15</v>
      </c>
      <c r="I126" s="62">
        <v>10.416</v>
      </c>
      <c r="J126" s="16">
        <v>45547</v>
      </c>
      <c r="K126" s="25">
        <v>0.67245370370370372</v>
      </c>
      <c r="L126">
        <v>0</v>
      </c>
      <c r="M126">
        <v>0</v>
      </c>
      <c r="N126">
        <v>0</v>
      </c>
      <c r="O126">
        <v>0</v>
      </c>
      <c r="P126">
        <v>0</v>
      </c>
      <c r="Q126">
        <v>0</v>
      </c>
      <c r="R126">
        <v>0</v>
      </c>
      <c r="S126">
        <v>0</v>
      </c>
      <c r="T126">
        <v>0</v>
      </c>
      <c r="U126">
        <v>0</v>
      </c>
      <c r="V126">
        <v>0</v>
      </c>
      <c r="W126">
        <v>0</v>
      </c>
      <c r="X126" s="80">
        <f>X125</f>
        <v>10.03814</v>
      </c>
      <c r="Z126" t="s">
        <v>149</v>
      </c>
      <c r="AA126">
        <v>2</v>
      </c>
      <c r="AB126" t="s">
        <v>7</v>
      </c>
      <c r="AC126" s="20">
        <v>19584</v>
      </c>
      <c r="AD126" s="20">
        <v>64</v>
      </c>
      <c r="AE126" s="20">
        <v>4</v>
      </c>
      <c r="AF126" s="20">
        <v>4</v>
      </c>
      <c r="AG126" s="79">
        <v>452.57</v>
      </c>
      <c r="AH126" s="62">
        <v>11.066000000000001</v>
      </c>
      <c r="AI126" s="16">
        <v>45554</v>
      </c>
      <c r="AJ126" s="25">
        <v>0.75653935185185184</v>
      </c>
      <c r="AK126">
        <v>0</v>
      </c>
      <c r="AL126">
        <v>0</v>
      </c>
      <c r="AM126">
        <v>0</v>
      </c>
      <c r="AN126">
        <v>0</v>
      </c>
      <c r="AO126">
        <v>0</v>
      </c>
      <c r="AP126">
        <v>0</v>
      </c>
      <c r="AQ126">
        <v>0</v>
      </c>
      <c r="AR126">
        <v>0</v>
      </c>
      <c r="AS126">
        <v>0</v>
      </c>
      <c r="AT126">
        <v>0</v>
      </c>
      <c r="AU126">
        <v>0</v>
      </c>
      <c r="AV126">
        <v>0</v>
      </c>
      <c r="AW126" s="80">
        <f>AW125</f>
        <v>11.0105</v>
      </c>
      <c r="BF126"/>
      <c r="BG126" s="62"/>
      <c r="BH126" s="16"/>
      <c r="BI126" s="18"/>
    </row>
    <row r="127" spans="1:73" x14ac:dyDescent="0.25">
      <c r="A127" t="s">
        <v>111</v>
      </c>
      <c r="B127">
        <v>3</v>
      </c>
      <c r="C127" t="s">
        <v>7</v>
      </c>
      <c r="D127" s="20">
        <v>18528</v>
      </c>
      <c r="E127" s="20">
        <v>96</v>
      </c>
      <c r="F127" s="20">
        <v>1</v>
      </c>
      <c r="G127" s="20">
        <v>16</v>
      </c>
      <c r="H127" s="79">
        <v>402.58</v>
      </c>
      <c r="I127" s="62">
        <v>10.534000000000001</v>
      </c>
      <c r="J127" s="16">
        <v>45548</v>
      </c>
      <c r="K127" s="25">
        <v>0.33265046296296297</v>
      </c>
      <c r="L127">
        <v>0</v>
      </c>
      <c r="M127">
        <v>0</v>
      </c>
      <c r="N127">
        <v>0</v>
      </c>
      <c r="O127">
        <v>0</v>
      </c>
      <c r="P127">
        <v>0</v>
      </c>
      <c r="Q127">
        <v>0</v>
      </c>
      <c r="R127">
        <v>0</v>
      </c>
      <c r="S127">
        <v>0</v>
      </c>
      <c r="T127">
        <v>0</v>
      </c>
      <c r="U127">
        <v>0</v>
      </c>
      <c r="V127">
        <v>0</v>
      </c>
      <c r="W127">
        <v>0</v>
      </c>
      <c r="X127" s="80">
        <f>X126</f>
        <v>10.03814</v>
      </c>
      <c r="Z127" t="s">
        <v>149</v>
      </c>
      <c r="AA127">
        <v>3</v>
      </c>
      <c r="AB127" t="s">
        <v>7</v>
      </c>
      <c r="AC127" s="20">
        <v>19584</v>
      </c>
      <c r="AD127" s="20">
        <v>64</v>
      </c>
      <c r="AE127" s="20">
        <v>4</v>
      </c>
      <c r="AF127" s="20">
        <v>4</v>
      </c>
      <c r="AG127" s="79">
        <v>455.19</v>
      </c>
      <c r="AH127" s="62">
        <v>11.002000000000001</v>
      </c>
      <c r="AI127" s="16">
        <v>45555</v>
      </c>
      <c r="AJ127" s="25">
        <v>0.2820138888888889</v>
      </c>
      <c r="AK127">
        <v>0</v>
      </c>
      <c r="AL127">
        <v>0</v>
      </c>
      <c r="AM127">
        <v>0</v>
      </c>
      <c r="AN127">
        <v>0</v>
      </c>
      <c r="AO127">
        <v>0</v>
      </c>
      <c r="AP127">
        <v>0</v>
      </c>
      <c r="AQ127">
        <v>0</v>
      </c>
      <c r="AR127">
        <v>0</v>
      </c>
      <c r="AS127">
        <v>0</v>
      </c>
      <c r="AT127">
        <v>0</v>
      </c>
      <c r="AU127">
        <v>0</v>
      </c>
      <c r="AV127">
        <v>0</v>
      </c>
      <c r="AW127" s="80">
        <f>AW126</f>
        <v>11.0105</v>
      </c>
      <c r="AZ127">
        <v>0</v>
      </c>
      <c r="BA127" t="s">
        <v>7</v>
      </c>
      <c r="BB127">
        <v>17408</v>
      </c>
      <c r="BC127">
        <v>256</v>
      </c>
      <c r="BD127">
        <v>2</v>
      </c>
      <c r="BE127">
        <v>8</v>
      </c>
      <c r="BF127">
        <v>340.84</v>
      </c>
      <c r="BG127" s="62">
        <v>10.32</v>
      </c>
      <c r="BH127" s="16">
        <v>45472</v>
      </c>
      <c r="BI127" s="18">
        <v>0.4307523148148148</v>
      </c>
      <c r="BJ127">
        <v>0</v>
      </c>
      <c r="BK127">
        <v>0</v>
      </c>
      <c r="BL127">
        <v>0</v>
      </c>
      <c r="BM127">
        <v>0</v>
      </c>
      <c r="BN127">
        <v>0</v>
      </c>
      <c r="BO127">
        <v>0</v>
      </c>
      <c r="BP127">
        <v>0</v>
      </c>
      <c r="BQ127">
        <v>0</v>
      </c>
      <c r="BR127">
        <v>0</v>
      </c>
      <c r="BS127">
        <v>0</v>
      </c>
      <c r="BT127">
        <v>0</v>
      </c>
      <c r="BU127">
        <v>0</v>
      </c>
    </row>
    <row r="128" spans="1:73" x14ac:dyDescent="0.25">
      <c r="A128" t="s">
        <v>111</v>
      </c>
      <c r="B128">
        <v>4</v>
      </c>
      <c r="C128" t="s">
        <v>7</v>
      </c>
      <c r="D128" s="20">
        <v>18528</v>
      </c>
      <c r="E128" s="20">
        <v>96</v>
      </c>
      <c r="F128" s="20">
        <v>1</v>
      </c>
      <c r="G128" s="20">
        <v>16</v>
      </c>
      <c r="H128" s="79">
        <v>431.84</v>
      </c>
      <c r="I128" s="62">
        <v>9.8201999999999998</v>
      </c>
      <c r="J128" s="16">
        <v>45548</v>
      </c>
      <c r="K128" s="25">
        <v>0.96174768518518516</v>
      </c>
      <c r="L128">
        <v>0</v>
      </c>
      <c r="M128">
        <v>0</v>
      </c>
      <c r="N128">
        <v>0</v>
      </c>
      <c r="O128">
        <v>0</v>
      </c>
      <c r="P128">
        <v>0</v>
      </c>
      <c r="Q128">
        <v>0</v>
      </c>
      <c r="R128">
        <v>0</v>
      </c>
      <c r="S128">
        <v>0</v>
      </c>
      <c r="T128">
        <v>0</v>
      </c>
      <c r="U128">
        <v>0</v>
      </c>
      <c r="V128">
        <v>0</v>
      </c>
      <c r="W128">
        <v>0</v>
      </c>
      <c r="X128" s="80">
        <f>X127</f>
        <v>10.03814</v>
      </c>
      <c r="Z128" t="s">
        <v>149</v>
      </c>
      <c r="AA128">
        <v>4</v>
      </c>
      <c r="AB128" t="s">
        <v>7</v>
      </c>
      <c r="AC128" s="20">
        <v>19584</v>
      </c>
      <c r="AD128" s="20">
        <v>64</v>
      </c>
      <c r="AE128" s="20">
        <v>4</v>
      </c>
      <c r="AF128" s="20">
        <v>4</v>
      </c>
      <c r="AG128" s="79">
        <v>455.41</v>
      </c>
      <c r="AH128" s="62">
        <v>10.997</v>
      </c>
      <c r="AI128" s="16">
        <v>45555</v>
      </c>
      <c r="AJ128" s="25">
        <v>0.79041666666666666</v>
      </c>
      <c r="AK128">
        <v>0</v>
      </c>
      <c r="AL128">
        <v>0</v>
      </c>
      <c r="AM128">
        <v>0</v>
      </c>
      <c r="AN128">
        <v>0</v>
      </c>
      <c r="AO128">
        <v>0</v>
      </c>
      <c r="AP128">
        <v>0</v>
      </c>
      <c r="AQ128">
        <v>0</v>
      </c>
      <c r="AR128">
        <v>0</v>
      </c>
      <c r="AS128">
        <v>0</v>
      </c>
      <c r="AT128">
        <v>0</v>
      </c>
      <c r="AU128">
        <v>0</v>
      </c>
      <c r="AV128">
        <v>0</v>
      </c>
      <c r="AW128" s="80">
        <f>AW127</f>
        <v>11.0105</v>
      </c>
      <c r="AZ128">
        <v>1</v>
      </c>
      <c r="BA128" t="s">
        <v>7</v>
      </c>
      <c r="BB128">
        <v>17408</v>
      </c>
      <c r="BC128">
        <v>256</v>
      </c>
      <c r="BD128">
        <v>2</v>
      </c>
      <c r="BE128">
        <v>8</v>
      </c>
      <c r="BF128">
        <v>490.58</v>
      </c>
      <c r="BG128" s="62">
        <v>7.1696999999999997</v>
      </c>
      <c r="BH128" s="16">
        <v>45474</v>
      </c>
      <c r="BI128" s="18">
        <v>0.2630439814814815</v>
      </c>
      <c r="BJ128">
        <v>0</v>
      </c>
      <c r="BK128">
        <v>0</v>
      </c>
      <c r="BL128">
        <v>0</v>
      </c>
      <c r="BM128">
        <v>0</v>
      </c>
      <c r="BN128">
        <v>0</v>
      </c>
      <c r="BO128">
        <v>0</v>
      </c>
      <c r="BP128">
        <v>0</v>
      </c>
      <c r="BQ128">
        <v>0</v>
      </c>
      <c r="BR128">
        <v>0</v>
      </c>
      <c r="BS128">
        <v>0</v>
      </c>
      <c r="BT128">
        <v>0</v>
      </c>
      <c r="BU128">
        <v>0</v>
      </c>
    </row>
    <row r="129" spans="1:73" x14ac:dyDescent="0.25">
      <c r="A129" t="s">
        <v>111</v>
      </c>
      <c r="B129">
        <v>0</v>
      </c>
      <c r="C129" t="s">
        <v>7</v>
      </c>
      <c r="D129" s="20">
        <v>18560</v>
      </c>
      <c r="E129" s="20">
        <v>32</v>
      </c>
      <c r="F129" s="20">
        <v>2</v>
      </c>
      <c r="G129" s="20">
        <v>8</v>
      </c>
      <c r="H129" s="79">
        <v>424.16</v>
      </c>
      <c r="I129" s="62">
        <v>10.050000000000001</v>
      </c>
      <c r="J129" s="16">
        <v>45546</v>
      </c>
      <c r="K129" s="25">
        <v>0.41495370370370371</v>
      </c>
      <c r="L129">
        <v>0</v>
      </c>
      <c r="M129">
        <v>0</v>
      </c>
      <c r="N129">
        <v>0</v>
      </c>
      <c r="O129">
        <v>0</v>
      </c>
      <c r="P129">
        <v>0</v>
      </c>
      <c r="Q129">
        <v>0</v>
      </c>
      <c r="R129">
        <v>0</v>
      </c>
      <c r="S129">
        <v>0</v>
      </c>
      <c r="T129">
        <v>0</v>
      </c>
      <c r="U129">
        <v>0</v>
      </c>
      <c r="V129">
        <v>0</v>
      </c>
      <c r="W129">
        <v>0</v>
      </c>
      <c r="X129" s="82">
        <f>AVERAGE(I129:I133)</f>
        <v>10.037800000000001</v>
      </c>
      <c r="Z129" t="s">
        <v>149</v>
      </c>
      <c r="AA129">
        <v>0</v>
      </c>
      <c r="AB129" t="s">
        <v>7</v>
      </c>
      <c r="AC129" s="20">
        <v>19584</v>
      </c>
      <c r="AD129" s="20">
        <v>96</v>
      </c>
      <c r="AE129" s="20">
        <v>4</v>
      </c>
      <c r="AF129" s="20">
        <v>4</v>
      </c>
      <c r="AG129" s="79">
        <v>454.24</v>
      </c>
      <c r="AH129" s="62">
        <v>11.025</v>
      </c>
      <c r="AI129" s="16">
        <v>45558</v>
      </c>
      <c r="AJ129" s="25">
        <v>0.13450231481481481</v>
      </c>
      <c r="AK129">
        <v>0</v>
      </c>
      <c r="AL129">
        <v>0</v>
      </c>
      <c r="AM129">
        <v>0</v>
      </c>
      <c r="AN129">
        <v>0</v>
      </c>
      <c r="AO129">
        <v>0</v>
      </c>
      <c r="AP129">
        <v>0</v>
      </c>
      <c r="AQ129">
        <v>0</v>
      </c>
      <c r="AR129">
        <v>0</v>
      </c>
      <c r="AS129">
        <v>0</v>
      </c>
      <c r="AT129">
        <v>0</v>
      </c>
      <c r="AU129">
        <v>0</v>
      </c>
      <c r="AV129">
        <v>0</v>
      </c>
      <c r="AW129" s="82">
        <f>AVERAGE(AH129:AH132)</f>
        <v>10.999333333333334</v>
      </c>
      <c r="AZ129">
        <v>0</v>
      </c>
      <c r="BA129" t="s">
        <v>7</v>
      </c>
      <c r="BB129">
        <v>18432</v>
      </c>
      <c r="BC129">
        <v>256</v>
      </c>
      <c r="BD129">
        <v>2</v>
      </c>
      <c r="BE129">
        <v>8</v>
      </c>
      <c r="BF129">
        <v>534.39</v>
      </c>
      <c r="BG129" s="62">
        <v>7.8131000000000004</v>
      </c>
      <c r="BH129" s="16">
        <v>45473</v>
      </c>
      <c r="BI129" s="18">
        <v>0.51287037037037042</v>
      </c>
      <c r="BJ129">
        <v>0</v>
      </c>
      <c r="BK129">
        <v>0</v>
      </c>
      <c r="BL129">
        <v>0</v>
      </c>
      <c r="BM129">
        <v>0</v>
      </c>
      <c r="BN129">
        <v>0</v>
      </c>
      <c r="BO129">
        <v>0</v>
      </c>
      <c r="BP129">
        <v>0</v>
      </c>
      <c r="BQ129">
        <v>0</v>
      </c>
      <c r="BR129">
        <v>0</v>
      </c>
      <c r="BS129">
        <v>0</v>
      </c>
      <c r="BT129">
        <v>0</v>
      </c>
      <c r="BU129">
        <v>0</v>
      </c>
    </row>
    <row r="130" spans="1:73" x14ac:dyDescent="0.25">
      <c r="A130" t="s">
        <v>111</v>
      </c>
      <c r="B130">
        <v>1</v>
      </c>
      <c r="C130" t="s">
        <v>7</v>
      </c>
      <c r="D130" s="20">
        <v>18560</v>
      </c>
      <c r="E130" s="20">
        <v>32</v>
      </c>
      <c r="F130" s="20">
        <v>2</v>
      </c>
      <c r="G130" s="20">
        <v>8</v>
      </c>
      <c r="H130" s="79">
        <v>425.94</v>
      </c>
      <c r="I130" s="62">
        <v>10.007999999999999</v>
      </c>
      <c r="J130" s="16">
        <v>45547</v>
      </c>
      <c r="K130" s="25">
        <v>3.1215277777777779E-2</v>
      </c>
      <c r="L130">
        <v>0</v>
      </c>
      <c r="M130">
        <v>0</v>
      </c>
      <c r="N130">
        <v>0</v>
      </c>
      <c r="O130">
        <v>0</v>
      </c>
      <c r="P130">
        <v>0</v>
      </c>
      <c r="Q130">
        <v>0</v>
      </c>
      <c r="R130">
        <v>0</v>
      </c>
      <c r="S130">
        <v>0</v>
      </c>
      <c r="T130">
        <v>0</v>
      </c>
      <c r="U130">
        <v>0</v>
      </c>
      <c r="V130">
        <v>0</v>
      </c>
      <c r="W130">
        <v>0</v>
      </c>
      <c r="X130" s="80">
        <f>X129</f>
        <v>10.037800000000001</v>
      </c>
      <c r="Z130" t="s">
        <v>149</v>
      </c>
      <c r="AA130">
        <v>1</v>
      </c>
      <c r="AB130" t="s">
        <v>145</v>
      </c>
      <c r="AC130" s="20">
        <v>19584</v>
      </c>
      <c r="AD130" s="20">
        <v>96</v>
      </c>
      <c r="AE130" s="20">
        <v>4</v>
      </c>
      <c r="AF130" s="20">
        <v>4</v>
      </c>
      <c r="AH130" s="62"/>
      <c r="AI130" s="16">
        <v>45558</v>
      </c>
      <c r="AJ130" s="25">
        <v>0.62717592592592597</v>
      </c>
      <c r="AK130">
        <v>0</v>
      </c>
      <c r="AL130">
        <v>0</v>
      </c>
      <c r="AM130">
        <v>0</v>
      </c>
      <c r="AN130">
        <v>0</v>
      </c>
      <c r="AO130">
        <v>0</v>
      </c>
      <c r="AP130">
        <v>0</v>
      </c>
      <c r="AQ130">
        <v>0</v>
      </c>
      <c r="AR130">
        <v>0</v>
      </c>
      <c r="AS130">
        <v>0</v>
      </c>
      <c r="AT130">
        <v>0</v>
      </c>
      <c r="AU130">
        <v>0</v>
      </c>
      <c r="AV130">
        <v>0</v>
      </c>
      <c r="AW130" s="80">
        <f>AW129</f>
        <v>10.999333333333334</v>
      </c>
      <c r="AZ130">
        <v>1</v>
      </c>
      <c r="BA130" t="s">
        <v>7</v>
      </c>
      <c r="BB130">
        <v>18432</v>
      </c>
      <c r="BC130">
        <v>256</v>
      </c>
      <c r="BD130">
        <v>2</v>
      </c>
      <c r="BE130">
        <v>8</v>
      </c>
      <c r="BF130">
        <v>614.85</v>
      </c>
      <c r="BG130" s="62">
        <v>6.7907000000000002</v>
      </c>
      <c r="BH130" s="16">
        <v>45474</v>
      </c>
      <c r="BI130" s="18">
        <v>0.46120370370370373</v>
      </c>
      <c r="BJ130">
        <v>0</v>
      </c>
      <c r="BK130">
        <v>0</v>
      </c>
      <c r="BL130">
        <v>0</v>
      </c>
      <c r="BM130">
        <v>0</v>
      </c>
      <c r="BN130">
        <v>0</v>
      </c>
      <c r="BO130">
        <v>0</v>
      </c>
      <c r="BP130">
        <v>0</v>
      </c>
      <c r="BQ130">
        <v>0</v>
      </c>
      <c r="BR130">
        <v>0</v>
      </c>
      <c r="BS130">
        <v>0</v>
      </c>
      <c r="BT130">
        <v>0</v>
      </c>
      <c r="BU130">
        <v>0</v>
      </c>
    </row>
    <row r="131" spans="1:73" x14ac:dyDescent="0.25">
      <c r="A131" t="s">
        <v>111</v>
      </c>
      <c r="B131">
        <v>2</v>
      </c>
      <c r="C131" t="s">
        <v>7</v>
      </c>
      <c r="D131" s="20">
        <v>18560</v>
      </c>
      <c r="E131" s="20">
        <v>32</v>
      </c>
      <c r="F131" s="20">
        <v>2</v>
      </c>
      <c r="G131" s="20">
        <v>8</v>
      </c>
      <c r="H131" s="79">
        <v>424.35</v>
      </c>
      <c r="I131" s="62">
        <v>10.045999999999999</v>
      </c>
      <c r="J131" s="16">
        <v>45547</v>
      </c>
      <c r="K131" s="25">
        <v>0.6461689814814815</v>
      </c>
      <c r="L131">
        <v>0</v>
      </c>
      <c r="M131">
        <v>0</v>
      </c>
      <c r="N131">
        <v>0</v>
      </c>
      <c r="O131">
        <v>0</v>
      </c>
      <c r="P131">
        <v>0</v>
      </c>
      <c r="Q131">
        <v>0</v>
      </c>
      <c r="R131">
        <v>0</v>
      </c>
      <c r="S131">
        <v>0</v>
      </c>
      <c r="T131">
        <v>0</v>
      </c>
      <c r="U131">
        <v>0</v>
      </c>
      <c r="V131">
        <v>0</v>
      </c>
      <c r="W131">
        <v>0</v>
      </c>
      <c r="X131" s="80">
        <f>X130</f>
        <v>10.037800000000001</v>
      </c>
      <c r="Z131" t="s">
        <v>149</v>
      </c>
      <c r="AA131">
        <v>2</v>
      </c>
      <c r="AB131" t="s">
        <v>7</v>
      </c>
      <c r="AC131" s="20">
        <v>19584</v>
      </c>
      <c r="AD131" s="20">
        <v>96</v>
      </c>
      <c r="AE131" s="20">
        <v>4</v>
      </c>
      <c r="AF131" s="20">
        <v>4</v>
      </c>
      <c r="AG131" s="79">
        <v>461.33</v>
      </c>
      <c r="AH131" s="62">
        <v>10.855</v>
      </c>
      <c r="AI131" s="16">
        <v>45554</v>
      </c>
      <c r="AJ131" s="25">
        <v>0.78672453703703704</v>
      </c>
      <c r="AK131">
        <v>0</v>
      </c>
      <c r="AL131">
        <v>0</v>
      </c>
      <c r="AM131">
        <v>0</v>
      </c>
      <c r="AN131">
        <v>0</v>
      </c>
      <c r="AO131">
        <v>0</v>
      </c>
      <c r="AP131">
        <v>0</v>
      </c>
      <c r="AQ131">
        <v>0</v>
      </c>
      <c r="AR131">
        <v>0</v>
      </c>
      <c r="AS131">
        <v>0</v>
      </c>
      <c r="AT131">
        <v>0</v>
      </c>
      <c r="AU131">
        <v>0</v>
      </c>
      <c r="AV131">
        <v>0</v>
      </c>
      <c r="AW131" s="80">
        <f>AW130</f>
        <v>10.999333333333334</v>
      </c>
      <c r="AZ131">
        <v>0</v>
      </c>
      <c r="BA131" t="s">
        <v>7</v>
      </c>
      <c r="BB131">
        <v>19456</v>
      </c>
      <c r="BC131">
        <v>256</v>
      </c>
      <c r="BD131">
        <v>2</v>
      </c>
      <c r="BE131">
        <v>8</v>
      </c>
      <c r="BF131">
        <v>2269.92</v>
      </c>
      <c r="BG131" s="62">
        <v>2.1633</v>
      </c>
      <c r="BH131" s="16">
        <v>45474</v>
      </c>
      <c r="BI131" s="18">
        <v>8.9293981481481488E-2</v>
      </c>
      <c r="BJ131">
        <v>0</v>
      </c>
      <c r="BK131">
        <v>0</v>
      </c>
      <c r="BL131">
        <v>0</v>
      </c>
      <c r="BM131">
        <v>0</v>
      </c>
      <c r="BN131">
        <v>0</v>
      </c>
      <c r="BO131">
        <v>0</v>
      </c>
      <c r="BP131">
        <v>0</v>
      </c>
      <c r="BQ131">
        <v>0</v>
      </c>
      <c r="BR131">
        <v>0</v>
      </c>
      <c r="BS131">
        <v>0</v>
      </c>
      <c r="BT131">
        <v>0</v>
      </c>
      <c r="BU131">
        <v>0</v>
      </c>
    </row>
    <row r="132" spans="1:73" x14ac:dyDescent="0.25">
      <c r="A132" t="s">
        <v>111</v>
      </c>
      <c r="B132">
        <v>3</v>
      </c>
      <c r="C132" t="s">
        <v>7</v>
      </c>
      <c r="D132" s="20">
        <v>18560</v>
      </c>
      <c r="E132" s="20">
        <v>32</v>
      </c>
      <c r="F132" s="20">
        <v>2</v>
      </c>
      <c r="G132" s="20">
        <v>8</v>
      </c>
      <c r="H132" s="79">
        <v>424.51</v>
      </c>
      <c r="I132" s="62">
        <v>10.042</v>
      </c>
      <c r="J132" s="16">
        <v>45548</v>
      </c>
      <c r="K132" s="25">
        <v>0.30660879629629628</v>
      </c>
      <c r="L132">
        <v>0</v>
      </c>
      <c r="M132">
        <v>0</v>
      </c>
      <c r="N132">
        <v>0</v>
      </c>
      <c r="O132">
        <v>0</v>
      </c>
      <c r="P132">
        <v>0</v>
      </c>
      <c r="Q132">
        <v>0</v>
      </c>
      <c r="R132">
        <v>0</v>
      </c>
      <c r="S132">
        <v>0</v>
      </c>
      <c r="T132">
        <v>0</v>
      </c>
      <c r="U132">
        <v>0</v>
      </c>
      <c r="V132">
        <v>0</v>
      </c>
      <c r="W132">
        <v>0</v>
      </c>
      <c r="X132" s="80">
        <f>X131</f>
        <v>10.037800000000001</v>
      </c>
      <c r="Z132" t="s">
        <v>149</v>
      </c>
      <c r="AA132">
        <v>3</v>
      </c>
      <c r="AB132" t="s">
        <v>7</v>
      </c>
      <c r="AC132" s="20">
        <v>19584</v>
      </c>
      <c r="AD132" s="20">
        <v>96</v>
      </c>
      <c r="AE132" s="20">
        <v>4</v>
      </c>
      <c r="AF132" s="20">
        <v>4</v>
      </c>
      <c r="AG132" s="79">
        <v>450.42</v>
      </c>
      <c r="AH132" s="62">
        <v>11.118</v>
      </c>
      <c r="AI132" s="16">
        <v>45555</v>
      </c>
      <c r="AJ132" s="25">
        <v>0.31144675925925924</v>
      </c>
      <c r="AK132">
        <v>0</v>
      </c>
      <c r="AL132">
        <v>0</v>
      </c>
      <c r="AM132">
        <v>0</v>
      </c>
      <c r="AN132">
        <v>0</v>
      </c>
      <c r="AO132">
        <v>0</v>
      </c>
      <c r="AP132">
        <v>0</v>
      </c>
      <c r="AQ132">
        <v>0</v>
      </c>
      <c r="AR132">
        <v>0</v>
      </c>
      <c r="AS132">
        <v>0</v>
      </c>
      <c r="AT132">
        <v>0</v>
      </c>
      <c r="AU132">
        <v>0</v>
      </c>
      <c r="AV132">
        <v>0</v>
      </c>
      <c r="AW132" s="80">
        <f>AW131</f>
        <v>10.999333333333334</v>
      </c>
      <c r="BF132"/>
      <c r="BG132" s="62"/>
      <c r="BH132" s="16"/>
      <c r="BI132" s="18"/>
    </row>
    <row r="133" spans="1:73" x14ac:dyDescent="0.25">
      <c r="A133" t="s">
        <v>111</v>
      </c>
      <c r="B133">
        <v>4</v>
      </c>
      <c r="C133" t="s">
        <v>7</v>
      </c>
      <c r="D133" s="20">
        <v>18560</v>
      </c>
      <c r="E133" s="20">
        <v>32</v>
      </c>
      <c r="F133" s="20">
        <v>2</v>
      </c>
      <c r="G133" s="20">
        <v>8</v>
      </c>
      <c r="H133" s="79">
        <v>424.45</v>
      </c>
      <c r="I133" s="62">
        <v>10.042999999999999</v>
      </c>
      <c r="J133" s="16">
        <v>45548</v>
      </c>
      <c r="K133" s="25">
        <v>0.93479166666666669</v>
      </c>
      <c r="L133">
        <v>0</v>
      </c>
      <c r="M133">
        <v>0</v>
      </c>
      <c r="N133">
        <v>0</v>
      </c>
      <c r="O133">
        <v>0</v>
      </c>
      <c r="P133">
        <v>0</v>
      </c>
      <c r="Q133">
        <v>0</v>
      </c>
      <c r="R133">
        <v>0</v>
      </c>
      <c r="S133">
        <v>0</v>
      </c>
      <c r="T133">
        <v>0</v>
      </c>
      <c r="U133">
        <v>0</v>
      </c>
      <c r="V133">
        <v>0</v>
      </c>
      <c r="W133">
        <v>0</v>
      </c>
      <c r="X133" s="80">
        <f>X132</f>
        <v>10.037800000000001</v>
      </c>
      <c r="Z133" t="s">
        <v>149</v>
      </c>
      <c r="AA133">
        <v>4</v>
      </c>
      <c r="AB133" t="s">
        <v>7</v>
      </c>
      <c r="AC133" s="20">
        <v>19584</v>
      </c>
      <c r="AD133" s="20">
        <v>96</v>
      </c>
      <c r="AE133" s="20">
        <v>4</v>
      </c>
      <c r="AF133" s="20">
        <v>4</v>
      </c>
      <c r="AG133" s="79">
        <v>449.47</v>
      </c>
      <c r="AH133" s="62">
        <v>11.141999999999999</v>
      </c>
      <c r="AI133" s="16">
        <v>45555</v>
      </c>
      <c r="AJ133" s="25">
        <v>0.80560185185185185</v>
      </c>
      <c r="AK133">
        <v>0</v>
      </c>
      <c r="AL133">
        <v>0</v>
      </c>
      <c r="AM133">
        <v>0</v>
      </c>
      <c r="AN133">
        <v>0</v>
      </c>
      <c r="AO133">
        <v>0</v>
      </c>
      <c r="AP133">
        <v>0</v>
      </c>
      <c r="AQ133">
        <v>0</v>
      </c>
      <c r="AR133">
        <v>0</v>
      </c>
      <c r="AS133">
        <v>0</v>
      </c>
      <c r="AT133">
        <v>0</v>
      </c>
      <c r="AU133">
        <v>0</v>
      </c>
      <c r="AV133">
        <v>0</v>
      </c>
      <c r="AW133" s="80">
        <f>AW132</f>
        <v>10.999333333333334</v>
      </c>
      <c r="AZ133">
        <v>0</v>
      </c>
      <c r="BA133" t="s">
        <v>7</v>
      </c>
      <c r="BB133">
        <v>17408</v>
      </c>
      <c r="BC133">
        <v>256</v>
      </c>
      <c r="BD133">
        <v>4</v>
      </c>
      <c r="BE133">
        <v>4</v>
      </c>
      <c r="BF133">
        <v>419.17</v>
      </c>
      <c r="BG133" s="62">
        <v>8.3911999999999995</v>
      </c>
      <c r="BH133" s="16">
        <v>45472</v>
      </c>
      <c r="BI133" s="18">
        <v>0.43590277777777775</v>
      </c>
      <c r="BJ133">
        <v>0</v>
      </c>
      <c r="BK133">
        <v>0</v>
      </c>
      <c r="BL133">
        <v>0</v>
      </c>
      <c r="BM133">
        <v>0</v>
      </c>
      <c r="BN133">
        <v>0</v>
      </c>
      <c r="BO133">
        <v>0</v>
      </c>
      <c r="BP133">
        <v>0</v>
      </c>
      <c r="BQ133">
        <v>0</v>
      </c>
      <c r="BR133">
        <v>0</v>
      </c>
      <c r="BS133">
        <v>0</v>
      </c>
      <c r="BT133">
        <v>0</v>
      </c>
      <c r="BU133">
        <v>0</v>
      </c>
    </row>
    <row r="134" spans="1:73" x14ac:dyDescent="0.25">
      <c r="A134" t="s">
        <v>111</v>
      </c>
      <c r="B134">
        <v>0</v>
      </c>
      <c r="C134" t="s">
        <v>7</v>
      </c>
      <c r="D134" s="20">
        <v>19584</v>
      </c>
      <c r="E134" s="20">
        <v>96</v>
      </c>
      <c r="F134" s="20">
        <v>1</v>
      </c>
      <c r="G134" s="20">
        <v>16</v>
      </c>
      <c r="H134" s="79">
        <v>486.11</v>
      </c>
      <c r="I134" s="62">
        <v>10.302</v>
      </c>
      <c r="J134" s="16">
        <v>45546</v>
      </c>
      <c r="K134" s="25">
        <v>0.57811342592592596</v>
      </c>
      <c r="L134">
        <v>0</v>
      </c>
      <c r="M134">
        <v>0</v>
      </c>
      <c r="N134">
        <v>0</v>
      </c>
      <c r="O134">
        <v>0</v>
      </c>
      <c r="P134">
        <v>0</v>
      </c>
      <c r="Q134">
        <v>0</v>
      </c>
      <c r="R134">
        <v>0</v>
      </c>
      <c r="S134">
        <v>0</v>
      </c>
      <c r="T134">
        <v>0</v>
      </c>
      <c r="U134">
        <v>0</v>
      </c>
      <c r="V134">
        <v>0</v>
      </c>
      <c r="W134">
        <v>0</v>
      </c>
      <c r="X134" s="82">
        <f>AVERAGE(I134:I138)</f>
        <v>10.01994</v>
      </c>
      <c r="Z134" t="s">
        <v>149</v>
      </c>
      <c r="AA134">
        <v>0</v>
      </c>
      <c r="AB134" t="s">
        <v>7</v>
      </c>
      <c r="AC134" s="20">
        <v>19584</v>
      </c>
      <c r="AD134" s="20">
        <v>128</v>
      </c>
      <c r="AE134" s="20">
        <v>4</v>
      </c>
      <c r="AF134" s="20">
        <v>4</v>
      </c>
      <c r="AG134" s="79">
        <v>460.2</v>
      </c>
      <c r="AH134" s="62">
        <v>10.882</v>
      </c>
      <c r="AI134" s="16">
        <v>45558</v>
      </c>
      <c r="AJ134" s="25">
        <v>0.17576388888888889</v>
      </c>
      <c r="AK134">
        <v>0</v>
      </c>
      <c r="AL134">
        <v>0</v>
      </c>
      <c r="AM134">
        <v>0</v>
      </c>
      <c r="AN134">
        <v>0</v>
      </c>
      <c r="AO134">
        <v>0</v>
      </c>
      <c r="AP134">
        <v>0</v>
      </c>
      <c r="AQ134">
        <v>0</v>
      </c>
      <c r="AR134">
        <v>0</v>
      </c>
      <c r="AS134">
        <v>0</v>
      </c>
      <c r="AT134">
        <v>0</v>
      </c>
      <c r="AU134">
        <v>0</v>
      </c>
      <c r="AV134">
        <v>0</v>
      </c>
      <c r="AW134" s="82">
        <f>AVERAGE(AH134:AH137)</f>
        <v>10.8725</v>
      </c>
      <c r="AZ134">
        <v>1</v>
      </c>
      <c r="BA134" t="s">
        <v>7</v>
      </c>
      <c r="BB134">
        <v>17408</v>
      </c>
      <c r="BC134">
        <v>256</v>
      </c>
      <c r="BD134">
        <v>4</v>
      </c>
      <c r="BE134">
        <v>4</v>
      </c>
      <c r="BF134">
        <v>680.77</v>
      </c>
      <c r="BG134" s="62">
        <v>5.1666999999999996</v>
      </c>
      <c r="BH134" s="16">
        <v>45474</v>
      </c>
      <c r="BI134" s="18">
        <v>0.27127314814814812</v>
      </c>
      <c r="BJ134">
        <v>0</v>
      </c>
      <c r="BK134">
        <v>0</v>
      </c>
      <c r="BL134">
        <v>0</v>
      </c>
      <c r="BM134">
        <v>0</v>
      </c>
      <c r="BN134">
        <v>0</v>
      </c>
      <c r="BO134">
        <v>0</v>
      </c>
      <c r="BP134">
        <v>0</v>
      </c>
      <c r="BQ134">
        <v>0</v>
      </c>
      <c r="BR134">
        <v>0</v>
      </c>
      <c r="BS134">
        <v>0</v>
      </c>
      <c r="BT134">
        <v>0</v>
      </c>
      <c r="BU134">
        <v>0</v>
      </c>
    </row>
    <row r="135" spans="1:73" x14ac:dyDescent="0.25">
      <c r="A135" t="s">
        <v>111</v>
      </c>
      <c r="B135">
        <v>1</v>
      </c>
      <c r="C135" t="s">
        <v>7</v>
      </c>
      <c r="D135" s="20">
        <v>19584</v>
      </c>
      <c r="E135" s="20">
        <v>96</v>
      </c>
      <c r="F135" s="20">
        <v>1</v>
      </c>
      <c r="G135" s="20">
        <v>16</v>
      </c>
      <c r="H135" s="79">
        <v>501.21</v>
      </c>
      <c r="I135" s="62">
        <v>9.9918999999999993</v>
      </c>
      <c r="J135" s="16">
        <v>45547</v>
      </c>
      <c r="K135" s="25">
        <v>0.20762731481481481</v>
      </c>
      <c r="L135">
        <v>0</v>
      </c>
      <c r="M135">
        <v>0</v>
      </c>
      <c r="N135">
        <v>0</v>
      </c>
      <c r="O135">
        <v>0</v>
      </c>
      <c r="P135">
        <v>0</v>
      </c>
      <c r="Q135">
        <v>0</v>
      </c>
      <c r="R135">
        <v>0</v>
      </c>
      <c r="S135">
        <v>0</v>
      </c>
      <c r="T135">
        <v>0</v>
      </c>
      <c r="U135">
        <v>0</v>
      </c>
      <c r="V135">
        <v>0</v>
      </c>
      <c r="W135">
        <v>0</v>
      </c>
      <c r="X135" s="80">
        <f>X134</f>
        <v>10.01994</v>
      </c>
      <c r="Z135" t="s">
        <v>149</v>
      </c>
      <c r="AA135">
        <v>1</v>
      </c>
      <c r="AB135" t="s">
        <v>7</v>
      </c>
      <c r="AC135" s="20">
        <v>19584</v>
      </c>
      <c r="AD135" s="20">
        <v>128</v>
      </c>
      <c r="AE135" s="20">
        <v>4</v>
      </c>
      <c r="AF135" s="20">
        <v>4</v>
      </c>
      <c r="AG135" s="79">
        <v>461.18</v>
      </c>
      <c r="AH135" s="62">
        <v>10.859</v>
      </c>
      <c r="AI135" s="16">
        <v>45558</v>
      </c>
      <c r="AJ135" s="25">
        <v>0.65699074074074071</v>
      </c>
      <c r="AK135">
        <v>0</v>
      </c>
      <c r="AL135">
        <v>0</v>
      </c>
      <c r="AM135">
        <v>0</v>
      </c>
      <c r="AN135">
        <v>0</v>
      </c>
      <c r="AO135">
        <v>0</v>
      </c>
      <c r="AP135">
        <v>0</v>
      </c>
      <c r="AQ135">
        <v>0</v>
      </c>
      <c r="AR135">
        <v>0</v>
      </c>
      <c r="AS135">
        <v>0</v>
      </c>
      <c r="AT135">
        <v>0</v>
      </c>
      <c r="AU135">
        <v>0</v>
      </c>
      <c r="AV135">
        <v>0</v>
      </c>
      <c r="AW135" s="80">
        <f>AW134</f>
        <v>10.8725</v>
      </c>
      <c r="AZ135">
        <v>0</v>
      </c>
      <c r="BA135" t="s">
        <v>7</v>
      </c>
      <c r="BB135">
        <v>18432</v>
      </c>
      <c r="BC135">
        <v>256</v>
      </c>
      <c r="BD135">
        <v>4</v>
      </c>
      <c r="BE135">
        <v>4</v>
      </c>
      <c r="BF135">
        <v>639.07000000000005</v>
      </c>
      <c r="BG135" s="62">
        <v>6.5332999999999997</v>
      </c>
      <c r="BH135" s="16">
        <v>45473</v>
      </c>
      <c r="BI135" s="18">
        <v>0.52068287037037042</v>
      </c>
      <c r="BJ135">
        <v>0</v>
      </c>
      <c r="BK135">
        <v>0</v>
      </c>
      <c r="BL135">
        <v>0</v>
      </c>
      <c r="BM135">
        <v>0</v>
      </c>
      <c r="BN135">
        <v>0</v>
      </c>
      <c r="BO135">
        <v>0</v>
      </c>
      <c r="BP135">
        <v>0</v>
      </c>
      <c r="BQ135">
        <v>0</v>
      </c>
      <c r="BR135">
        <v>0</v>
      </c>
      <c r="BS135">
        <v>0</v>
      </c>
      <c r="BT135">
        <v>0</v>
      </c>
      <c r="BU135">
        <v>0</v>
      </c>
    </row>
    <row r="136" spans="1:73" x14ac:dyDescent="0.25">
      <c r="A136" t="s">
        <v>111</v>
      </c>
      <c r="B136">
        <v>2</v>
      </c>
      <c r="C136" t="s">
        <v>7</v>
      </c>
      <c r="D136" s="20">
        <v>19584</v>
      </c>
      <c r="E136" s="20">
        <v>96</v>
      </c>
      <c r="F136" s="20">
        <v>1</v>
      </c>
      <c r="G136" s="20">
        <v>16</v>
      </c>
      <c r="H136" s="79">
        <v>495.45</v>
      </c>
      <c r="I136" s="62">
        <v>10.108000000000001</v>
      </c>
      <c r="J136" s="16">
        <v>45547</v>
      </c>
      <c r="K136" s="25">
        <v>0.81745370370370374</v>
      </c>
      <c r="L136">
        <v>0</v>
      </c>
      <c r="M136">
        <v>0</v>
      </c>
      <c r="N136">
        <v>0</v>
      </c>
      <c r="O136">
        <v>0</v>
      </c>
      <c r="P136">
        <v>0</v>
      </c>
      <c r="Q136">
        <v>0</v>
      </c>
      <c r="R136">
        <v>0</v>
      </c>
      <c r="S136">
        <v>0</v>
      </c>
      <c r="T136">
        <v>0</v>
      </c>
      <c r="U136">
        <v>0</v>
      </c>
      <c r="V136">
        <v>0</v>
      </c>
      <c r="W136">
        <v>0</v>
      </c>
      <c r="X136" s="80">
        <f>X135</f>
        <v>10.01994</v>
      </c>
      <c r="Z136" t="s">
        <v>149</v>
      </c>
      <c r="AA136">
        <v>2</v>
      </c>
      <c r="AB136" t="s">
        <v>7</v>
      </c>
      <c r="AC136" s="20">
        <v>19584</v>
      </c>
      <c r="AD136" s="20">
        <v>128</v>
      </c>
      <c r="AE136" s="20">
        <v>4</v>
      </c>
      <c r="AF136" s="20">
        <v>4</v>
      </c>
      <c r="AG136" s="79">
        <v>462.27</v>
      </c>
      <c r="AH136" s="62">
        <v>10.834</v>
      </c>
      <c r="AI136" s="16">
        <v>45554</v>
      </c>
      <c r="AJ136" s="25">
        <v>0.8171180555555555</v>
      </c>
      <c r="AK136">
        <v>0</v>
      </c>
      <c r="AL136">
        <v>0</v>
      </c>
      <c r="AM136">
        <v>0</v>
      </c>
      <c r="AN136">
        <v>0</v>
      </c>
      <c r="AO136">
        <v>0</v>
      </c>
      <c r="AP136">
        <v>0</v>
      </c>
      <c r="AQ136">
        <v>0</v>
      </c>
      <c r="AR136">
        <v>0</v>
      </c>
      <c r="AS136">
        <v>0</v>
      </c>
      <c r="AT136">
        <v>0</v>
      </c>
      <c r="AU136">
        <v>0</v>
      </c>
      <c r="AV136">
        <v>0</v>
      </c>
      <c r="AW136" s="80">
        <f>AW135</f>
        <v>10.8725</v>
      </c>
      <c r="AZ136">
        <v>1</v>
      </c>
      <c r="BA136" t="s">
        <v>7</v>
      </c>
      <c r="BB136">
        <v>18432</v>
      </c>
      <c r="BC136">
        <v>256</v>
      </c>
      <c r="BD136">
        <v>4</v>
      </c>
      <c r="BE136">
        <v>4</v>
      </c>
      <c r="BF136">
        <v>850.46</v>
      </c>
      <c r="BG136" s="62">
        <v>4.9093999999999998</v>
      </c>
      <c r="BH136" s="16">
        <v>45474</v>
      </c>
      <c r="BI136" s="18">
        <v>0.47158564814814813</v>
      </c>
      <c r="BJ136">
        <v>0</v>
      </c>
      <c r="BK136">
        <v>0</v>
      </c>
      <c r="BL136">
        <v>0</v>
      </c>
      <c r="BM136">
        <v>0</v>
      </c>
      <c r="BN136">
        <v>0</v>
      </c>
      <c r="BO136">
        <v>0</v>
      </c>
      <c r="BP136">
        <v>0</v>
      </c>
      <c r="BQ136">
        <v>0</v>
      </c>
      <c r="BR136">
        <v>0</v>
      </c>
      <c r="BS136">
        <v>0</v>
      </c>
      <c r="BT136">
        <v>0</v>
      </c>
      <c r="BU136">
        <v>0</v>
      </c>
    </row>
    <row r="137" spans="1:73" x14ac:dyDescent="0.25">
      <c r="A137" t="s">
        <v>111</v>
      </c>
      <c r="B137">
        <v>3</v>
      </c>
      <c r="C137" t="s">
        <v>7</v>
      </c>
      <c r="D137" s="20">
        <v>19584</v>
      </c>
      <c r="E137" s="20">
        <v>96</v>
      </c>
      <c r="F137" s="20">
        <v>1</v>
      </c>
      <c r="G137" s="20">
        <v>16</v>
      </c>
      <c r="H137" s="79">
        <v>509.44</v>
      </c>
      <c r="I137" s="62">
        <v>9.8305000000000007</v>
      </c>
      <c r="J137" s="16">
        <v>45548</v>
      </c>
      <c r="K137" s="25">
        <v>0.4818634259259259</v>
      </c>
      <c r="L137">
        <v>0</v>
      </c>
      <c r="M137">
        <v>0</v>
      </c>
      <c r="N137">
        <v>0</v>
      </c>
      <c r="O137">
        <v>0</v>
      </c>
      <c r="P137">
        <v>0</v>
      </c>
      <c r="Q137">
        <v>0</v>
      </c>
      <c r="R137">
        <v>0</v>
      </c>
      <c r="S137">
        <v>0</v>
      </c>
      <c r="T137">
        <v>0</v>
      </c>
      <c r="U137">
        <v>0</v>
      </c>
      <c r="V137">
        <v>0</v>
      </c>
      <c r="W137">
        <v>0</v>
      </c>
      <c r="X137" s="80">
        <f>X136</f>
        <v>10.01994</v>
      </c>
      <c r="Z137" t="s">
        <v>149</v>
      </c>
      <c r="AA137">
        <v>3</v>
      </c>
      <c r="AB137" t="s">
        <v>7</v>
      </c>
      <c r="AC137" s="20">
        <v>19584</v>
      </c>
      <c r="AD137" s="20">
        <v>128</v>
      </c>
      <c r="AE137" s="20">
        <v>4</v>
      </c>
      <c r="AF137" s="20">
        <v>4</v>
      </c>
      <c r="AG137" s="79">
        <v>458.83</v>
      </c>
      <c r="AH137" s="62">
        <v>10.914999999999999</v>
      </c>
      <c r="AI137" s="16">
        <v>45555</v>
      </c>
      <c r="AJ137" s="25">
        <v>0.34265046296296298</v>
      </c>
      <c r="AK137">
        <v>0</v>
      </c>
      <c r="AL137">
        <v>0</v>
      </c>
      <c r="AM137">
        <v>0</v>
      </c>
      <c r="AN137">
        <v>0</v>
      </c>
      <c r="AO137">
        <v>0</v>
      </c>
      <c r="AP137">
        <v>0</v>
      </c>
      <c r="AQ137">
        <v>0</v>
      </c>
      <c r="AR137">
        <v>0</v>
      </c>
      <c r="AS137">
        <v>0</v>
      </c>
      <c r="AT137">
        <v>0</v>
      </c>
      <c r="AU137">
        <v>0</v>
      </c>
      <c r="AV137">
        <v>0</v>
      </c>
      <c r="AW137" s="80">
        <f>AW136</f>
        <v>10.8725</v>
      </c>
      <c r="AZ137">
        <v>0</v>
      </c>
      <c r="BA137" t="s">
        <v>7</v>
      </c>
      <c r="BB137">
        <v>19456</v>
      </c>
      <c r="BC137">
        <v>256</v>
      </c>
      <c r="BD137">
        <v>4</v>
      </c>
      <c r="BE137">
        <v>4</v>
      </c>
      <c r="BF137">
        <v>1329.5</v>
      </c>
      <c r="BG137" s="62">
        <v>3.6934</v>
      </c>
      <c r="BH137" s="16">
        <v>45474</v>
      </c>
      <c r="BI137" s="18">
        <v>0.10609953703703703</v>
      </c>
      <c r="BJ137">
        <v>0</v>
      </c>
      <c r="BK137">
        <v>0</v>
      </c>
      <c r="BL137">
        <v>0</v>
      </c>
      <c r="BM137">
        <v>0</v>
      </c>
      <c r="BN137">
        <v>0</v>
      </c>
      <c r="BO137">
        <v>0</v>
      </c>
      <c r="BP137">
        <v>0</v>
      </c>
      <c r="BQ137">
        <v>0</v>
      </c>
      <c r="BR137">
        <v>0</v>
      </c>
      <c r="BS137">
        <v>0</v>
      </c>
      <c r="BT137">
        <v>0</v>
      </c>
      <c r="BU137">
        <v>0</v>
      </c>
    </row>
    <row r="138" spans="1:73" x14ac:dyDescent="0.25">
      <c r="A138" t="s">
        <v>111</v>
      </c>
      <c r="B138">
        <v>4</v>
      </c>
      <c r="C138" t="s">
        <v>7</v>
      </c>
      <c r="D138" s="20">
        <v>19584</v>
      </c>
      <c r="E138" s="20">
        <v>96</v>
      </c>
      <c r="F138" s="20">
        <v>1</v>
      </c>
      <c r="G138" s="20">
        <v>16</v>
      </c>
      <c r="H138" s="79">
        <v>507.53</v>
      </c>
      <c r="I138" s="62">
        <v>9.8673000000000002</v>
      </c>
      <c r="J138" s="16">
        <v>45549</v>
      </c>
      <c r="K138" s="25">
        <v>0.11465277777777778</v>
      </c>
      <c r="L138">
        <v>0</v>
      </c>
      <c r="M138">
        <v>0</v>
      </c>
      <c r="N138">
        <v>0</v>
      </c>
      <c r="O138">
        <v>0</v>
      </c>
      <c r="P138">
        <v>0</v>
      </c>
      <c r="Q138">
        <v>0</v>
      </c>
      <c r="R138">
        <v>0</v>
      </c>
      <c r="S138">
        <v>0</v>
      </c>
      <c r="T138">
        <v>0</v>
      </c>
      <c r="U138">
        <v>0</v>
      </c>
      <c r="V138">
        <v>0</v>
      </c>
      <c r="W138">
        <v>0</v>
      </c>
      <c r="X138" s="80">
        <f>X137</f>
        <v>10.01994</v>
      </c>
      <c r="Z138" t="s">
        <v>149</v>
      </c>
      <c r="AA138">
        <v>4</v>
      </c>
      <c r="AB138" t="s">
        <v>7</v>
      </c>
      <c r="AC138" s="20">
        <v>19584</v>
      </c>
      <c r="AD138" s="20">
        <v>128</v>
      </c>
      <c r="AE138" s="20">
        <v>4</v>
      </c>
      <c r="AF138" s="20">
        <v>4</v>
      </c>
      <c r="AG138" s="79">
        <v>462.17</v>
      </c>
      <c r="AH138" s="62">
        <v>10.836</v>
      </c>
      <c r="AI138" s="16">
        <v>45555</v>
      </c>
      <c r="AJ138" s="25">
        <v>0.83598379629629627</v>
      </c>
      <c r="AK138">
        <v>0</v>
      </c>
      <c r="AL138">
        <v>0</v>
      </c>
      <c r="AM138">
        <v>0</v>
      </c>
      <c r="AN138">
        <v>0</v>
      </c>
      <c r="AO138">
        <v>0</v>
      </c>
      <c r="AP138">
        <v>0</v>
      </c>
      <c r="AQ138">
        <v>0</v>
      </c>
      <c r="AR138">
        <v>0</v>
      </c>
      <c r="AS138">
        <v>0</v>
      </c>
      <c r="AT138">
        <v>0</v>
      </c>
      <c r="AU138">
        <v>0</v>
      </c>
      <c r="AV138">
        <v>0</v>
      </c>
      <c r="AW138" s="80">
        <f>AW137</f>
        <v>10.8725</v>
      </c>
      <c r="AZ138" t="s">
        <v>111</v>
      </c>
      <c r="BA138" t="s">
        <v>115</v>
      </c>
      <c r="BB138" t="s">
        <v>109</v>
      </c>
      <c r="BC138" t="s">
        <v>116</v>
      </c>
      <c r="BF138"/>
      <c r="BG138" s="23"/>
    </row>
    <row r="139" spans="1:73" x14ac:dyDescent="0.25">
      <c r="A139" t="s">
        <v>111</v>
      </c>
      <c r="B139">
        <v>0</v>
      </c>
      <c r="C139" t="s">
        <v>7</v>
      </c>
      <c r="D139" s="20">
        <v>17472</v>
      </c>
      <c r="E139" s="20">
        <v>224</v>
      </c>
      <c r="F139" s="20">
        <v>1</v>
      </c>
      <c r="G139" s="20">
        <v>16</v>
      </c>
      <c r="H139" s="79">
        <v>354.06</v>
      </c>
      <c r="I139" s="62">
        <v>10.044</v>
      </c>
      <c r="J139" s="16">
        <v>45546</v>
      </c>
      <c r="K139" s="25">
        <v>0.38218750000000001</v>
      </c>
      <c r="L139">
        <v>0</v>
      </c>
      <c r="M139">
        <v>0</v>
      </c>
      <c r="N139">
        <v>0</v>
      </c>
      <c r="O139">
        <v>0</v>
      </c>
      <c r="P139">
        <v>0</v>
      </c>
      <c r="Q139">
        <v>0</v>
      </c>
      <c r="R139">
        <v>0</v>
      </c>
      <c r="S139">
        <v>0</v>
      </c>
      <c r="T139">
        <v>0</v>
      </c>
      <c r="U139">
        <v>0</v>
      </c>
      <c r="V139">
        <v>0</v>
      </c>
      <c r="W139">
        <v>0</v>
      </c>
      <c r="X139" s="82">
        <f>AVERAGE(I139:I143)</f>
        <v>9.9906799999999993</v>
      </c>
      <c r="Z139" t="s">
        <v>149</v>
      </c>
      <c r="AA139">
        <v>0</v>
      </c>
      <c r="AB139" t="s">
        <v>7</v>
      </c>
      <c r="AC139" s="20">
        <v>19520</v>
      </c>
      <c r="AD139" s="20">
        <v>160</v>
      </c>
      <c r="AE139" s="20">
        <v>4</v>
      </c>
      <c r="AF139" s="20">
        <v>4</v>
      </c>
      <c r="AG139" s="79">
        <v>451.76</v>
      </c>
      <c r="AH139" s="62">
        <v>10.977</v>
      </c>
      <c r="AI139" s="16">
        <v>45558</v>
      </c>
      <c r="AJ139" s="25">
        <v>0.21284722222222222</v>
      </c>
      <c r="AK139">
        <v>0</v>
      </c>
      <c r="AL139">
        <v>0</v>
      </c>
      <c r="AM139">
        <v>0</v>
      </c>
      <c r="AN139">
        <v>0</v>
      </c>
      <c r="AO139">
        <v>0</v>
      </c>
      <c r="AP139">
        <v>0</v>
      </c>
      <c r="AQ139">
        <v>0</v>
      </c>
      <c r="AR139">
        <v>0</v>
      </c>
      <c r="AS139">
        <v>0</v>
      </c>
      <c r="AT139">
        <v>0</v>
      </c>
      <c r="AU139">
        <v>0</v>
      </c>
      <c r="AV139">
        <v>0</v>
      </c>
      <c r="AW139" s="82">
        <f>AVERAGE(AH139:AH142)</f>
        <v>10.864000000000001</v>
      </c>
      <c r="AZ139">
        <v>0</v>
      </c>
      <c r="BA139" t="s">
        <v>7</v>
      </c>
      <c r="BB139">
        <v>19584</v>
      </c>
      <c r="BC139">
        <v>192</v>
      </c>
      <c r="BD139">
        <v>2</v>
      </c>
      <c r="BE139">
        <v>8</v>
      </c>
      <c r="BF139">
        <v>431.52</v>
      </c>
      <c r="BG139" s="62">
        <v>11.605</v>
      </c>
      <c r="BH139" s="16">
        <v>45474</v>
      </c>
      <c r="BI139" s="18">
        <v>0.61783564814814818</v>
      </c>
      <c r="BJ139">
        <v>0</v>
      </c>
      <c r="BK139">
        <v>0</v>
      </c>
      <c r="BL139">
        <v>0</v>
      </c>
      <c r="BM139">
        <v>0</v>
      </c>
      <c r="BN139">
        <v>0</v>
      </c>
      <c r="BO139">
        <v>0</v>
      </c>
      <c r="BP139">
        <v>0</v>
      </c>
      <c r="BQ139">
        <v>0</v>
      </c>
      <c r="BR139">
        <v>0</v>
      </c>
      <c r="BS139">
        <v>0</v>
      </c>
      <c r="BT139">
        <v>0</v>
      </c>
      <c r="BU139">
        <v>0</v>
      </c>
    </row>
    <row r="140" spans="1:73" x14ac:dyDescent="0.25">
      <c r="A140" t="s">
        <v>111</v>
      </c>
      <c r="B140">
        <v>1</v>
      </c>
      <c r="C140" t="s">
        <v>7</v>
      </c>
      <c r="D140" s="20">
        <v>17472</v>
      </c>
      <c r="E140" s="20">
        <v>224</v>
      </c>
      <c r="F140" s="20">
        <v>1</v>
      </c>
      <c r="G140" s="20">
        <v>16</v>
      </c>
      <c r="H140" s="79">
        <v>366.51</v>
      </c>
      <c r="I140" s="62">
        <v>9.7029999999999994</v>
      </c>
      <c r="J140" s="16">
        <v>45546</v>
      </c>
      <c r="K140" s="25">
        <v>0.99878472222222225</v>
      </c>
      <c r="L140">
        <v>0</v>
      </c>
      <c r="M140">
        <v>0</v>
      </c>
      <c r="N140">
        <v>0</v>
      </c>
      <c r="O140">
        <v>0</v>
      </c>
      <c r="P140">
        <v>0</v>
      </c>
      <c r="Q140">
        <v>0</v>
      </c>
      <c r="R140">
        <v>0</v>
      </c>
      <c r="S140">
        <v>0</v>
      </c>
      <c r="T140">
        <v>0</v>
      </c>
      <c r="U140">
        <v>0</v>
      </c>
      <c r="V140">
        <v>0</v>
      </c>
      <c r="W140">
        <v>0</v>
      </c>
      <c r="X140" s="80">
        <f>X139</f>
        <v>9.9906799999999993</v>
      </c>
      <c r="Z140" t="s">
        <v>149</v>
      </c>
      <c r="AA140">
        <v>1</v>
      </c>
      <c r="AB140" t="s">
        <v>7</v>
      </c>
      <c r="AC140" s="20">
        <v>19520</v>
      </c>
      <c r="AD140" s="20">
        <v>160</v>
      </c>
      <c r="AE140" s="20">
        <v>4</v>
      </c>
      <c r="AF140" s="20">
        <v>4</v>
      </c>
      <c r="AG140" s="79">
        <v>466.88</v>
      </c>
      <c r="AH140" s="62">
        <v>10.622</v>
      </c>
      <c r="AI140" s="16">
        <v>45558</v>
      </c>
      <c r="AJ140" s="25">
        <v>0.70337962962962963</v>
      </c>
      <c r="AK140">
        <v>0</v>
      </c>
      <c r="AL140">
        <v>0</v>
      </c>
      <c r="AM140">
        <v>0</v>
      </c>
      <c r="AN140">
        <v>0</v>
      </c>
      <c r="AO140">
        <v>0</v>
      </c>
      <c r="AP140">
        <v>0</v>
      </c>
      <c r="AQ140">
        <v>0</v>
      </c>
      <c r="AR140">
        <v>0</v>
      </c>
      <c r="AS140">
        <v>0</v>
      </c>
      <c r="AT140">
        <v>0</v>
      </c>
      <c r="AU140">
        <v>0</v>
      </c>
      <c r="AV140">
        <v>0</v>
      </c>
      <c r="AW140" s="80">
        <f>AW139</f>
        <v>10.864000000000001</v>
      </c>
      <c r="AZ140">
        <v>2</v>
      </c>
      <c r="BA140" t="s">
        <v>7</v>
      </c>
      <c r="BB140">
        <v>18560</v>
      </c>
      <c r="BC140">
        <v>160</v>
      </c>
      <c r="BD140">
        <v>2</v>
      </c>
      <c r="BE140">
        <v>8</v>
      </c>
      <c r="BF140">
        <v>369.29</v>
      </c>
      <c r="BG140" s="62">
        <v>11.542999999999999</v>
      </c>
      <c r="BH140" s="16">
        <v>45475</v>
      </c>
      <c r="BI140" s="18">
        <v>6.4178240740740744E-2</v>
      </c>
      <c r="BJ140">
        <v>0</v>
      </c>
      <c r="BK140">
        <v>0</v>
      </c>
      <c r="BL140">
        <v>0</v>
      </c>
      <c r="BM140">
        <v>0</v>
      </c>
      <c r="BN140">
        <v>0</v>
      </c>
      <c r="BO140">
        <v>0</v>
      </c>
      <c r="BP140">
        <v>0</v>
      </c>
      <c r="BQ140">
        <v>0</v>
      </c>
      <c r="BR140">
        <v>0</v>
      </c>
      <c r="BS140">
        <v>0</v>
      </c>
      <c r="BT140">
        <v>0</v>
      </c>
      <c r="BU140">
        <v>0</v>
      </c>
    </row>
    <row r="141" spans="1:73" x14ac:dyDescent="0.25">
      <c r="A141" t="s">
        <v>111</v>
      </c>
      <c r="B141">
        <v>2</v>
      </c>
      <c r="C141" t="s">
        <v>7</v>
      </c>
      <c r="D141" s="20">
        <v>17472</v>
      </c>
      <c r="E141" s="20">
        <v>224</v>
      </c>
      <c r="F141" s="20">
        <v>1</v>
      </c>
      <c r="G141" s="20">
        <v>16</v>
      </c>
      <c r="H141" s="79">
        <v>353.86</v>
      </c>
      <c r="I141" s="62">
        <v>10.050000000000001</v>
      </c>
      <c r="J141" s="16">
        <v>45547</v>
      </c>
      <c r="K141" s="25">
        <v>0.61372685185185183</v>
      </c>
      <c r="L141">
        <v>0</v>
      </c>
      <c r="M141">
        <v>0</v>
      </c>
      <c r="N141">
        <v>0</v>
      </c>
      <c r="O141">
        <v>0</v>
      </c>
      <c r="P141">
        <v>0</v>
      </c>
      <c r="Q141">
        <v>0</v>
      </c>
      <c r="R141">
        <v>0</v>
      </c>
      <c r="S141">
        <v>0</v>
      </c>
      <c r="T141">
        <v>0</v>
      </c>
      <c r="U141">
        <v>0</v>
      </c>
      <c r="V141">
        <v>0</v>
      </c>
      <c r="W141">
        <v>0</v>
      </c>
      <c r="X141" s="80">
        <f>X140</f>
        <v>9.9906799999999993</v>
      </c>
      <c r="Z141" t="s">
        <v>149</v>
      </c>
      <c r="AA141">
        <v>2</v>
      </c>
      <c r="AB141" t="s">
        <v>7</v>
      </c>
      <c r="AC141" s="20">
        <v>19520</v>
      </c>
      <c r="AD141" s="20">
        <v>160</v>
      </c>
      <c r="AE141" s="20">
        <v>4</v>
      </c>
      <c r="AF141" s="20">
        <v>4</v>
      </c>
      <c r="AG141" s="79">
        <v>451.82</v>
      </c>
      <c r="AH141" s="62">
        <v>10.976000000000001</v>
      </c>
      <c r="AI141" s="16">
        <v>45554</v>
      </c>
      <c r="AJ141" s="25">
        <v>0.85063657407407411</v>
      </c>
      <c r="AK141">
        <v>0</v>
      </c>
      <c r="AL141">
        <v>0</v>
      </c>
      <c r="AM141">
        <v>0</v>
      </c>
      <c r="AN141">
        <v>0</v>
      </c>
      <c r="AO141">
        <v>0</v>
      </c>
      <c r="AP141">
        <v>0</v>
      </c>
      <c r="AQ141">
        <v>0</v>
      </c>
      <c r="AR141">
        <v>0</v>
      </c>
      <c r="AS141">
        <v>0</v>
      </c>
      <c r="AT141">
        <v>0</v>
      </c>
      <c r="AU141">
        <v>0</v>
      </c>
      <c r="AV141">
        <v>0</v>
      </c>
      <c r="AW141" s="80">
        <f>AW140</f>
        <v>10.864000000000001</v>
      </c>
      <c r="AZ141">
        <v>1</v>
      </c>
      <c r="BA141" t="s">
        <v>7</v>
      </c>
      <c r="BB141">
        <v>19584</v>
      </c>
      <c r="BC141">
        <v>96</v>
      </c>
      <c r="BD141">
        <v>2</v>
      </c>
      <c r="BE141">
        <v>8</v>
      </c>
      <c r="BF141">
        <v>434.53</v>
      </c>
      <c r="BG141" s="62">
        <v>11.525</v>
      </c>
      <c r="BH141" s="16">
        <v>45474</v>
      </c>
      <c r="BI141" s="18">
        <v>0.70192129629629629</v>
      </c>
      <c r="BJ141">
        <v>0</v>
      </c>
      <c r="BK141">
        <v>0</v>
      </c>
      <c r="BL141">
        <v>0</v>
      </c>
      <c r="BM141">
        <v>0</v>
      </c>
      <c r="BN141">
        <v>0</v>
      </c>
      <c r="BO141">
        <v>0</v>
      </c>
      <c r="BP141">
        <v>0</v>
      </c>
      <c r="BQ141">
        <v>0</v>
      </c>
      <c r="BR141">
        <v>0</v>
      </c>
      <c r="BS141">
        <v>0</v>
      </c>
      <c r="BT141">
        <v>0</v>
      </c>
      <c r="BU141">
        <v>0</v>
      </c>
    </row>
    <row r="142" spans="1:73" x14ac:dyDescent="0.25">
      <c r="A142" t="s">
        <v>111</v>
      </c>
      <c r="B142">
        <v>3</v>
      </c>
      <c r="C142" t="s">
        <v>7</v>
      </c>
      <c r="D142" s="20">
        <v>17472</v>
      </c>
      <c r="E142" s="20">
        <v>224</v>
      </c>
      <c r="F142" s="20">
        <v>1</v>
      </c>
      <c r="G142" s="20">
        <v>16</v>
      </c>
      <c r="H142" s="79">
        <v>334.53</v>
      </c>
      <c r="I142" s="62">
        <v>10.631</v>
      </c>
      <c r="J142" s="16">
        <v>45548</v>
      </c>
      <c r="K142" s="25">
        <v>0.27381944444444445</v>
      </c>
      <c r="L142">
        <v>0</v>
      </c>
      <c r="M142">
        <v>0</v>
      </c>
      <c r="N142">
        <v>0</v>
      </c>
      <c r="O142">
        <v>0</v>
      </c>
      <c r="P142">
        <v>0</v>
      </c>
      <c r="Q142">
        <v>0</v>
      </c>
      <c r="R142">
        <v>0</v>
      </c>
      <c r="S142">
        <v>0</v>
      </c>
      <c r="T142">
        <v>0</v>
      </c>
      <c r="U142">
        <v>0</v>
      </c>
      <c r="V142">
        <v>0</v>
      </c>
      <c r="W142">
        <v>0</v>
      </c>
      <c r="X142" s="80">
        <f>X141</f>
        <v>9.9906799999999993</v>
      </c>
      <c r="Z142" t="s">
        <v>149</v>
      </c>
      <c r="AA142">
        <v>3</v>
      </c>
      <c r="AB142" t="s">
        <v>7</v>
      </c>
      <c r="AC142" s="20">
        <v>19520</v>
      </c>
      <c r="AD142" s="20">
        <v>160</v>
      </c>
      <c r="AE142" s="20">
        <v>4</v>
      </c>
      <c r="AF142" s="20">
        <v>4</v>
      </c>
      <c r="AG142" s="79">
        <v>455.76</v>
      </c>
      <c r="AH142" s="62">
        <v>10.881</v>
      </c>
      <c r="AI142" s="16">
        <v>45555</v>
      </c>
      <c r="AJ142" s="25">
        <v>0.37738425925925928</v>
      </c>
      <c r="AK142">
        <v>0</v>
      </c>
      <c r="AL142">
        <v>0</v>
      </c>
      <c r="AM142">
        <v>0</v>
      </c>
      <c r="AN142">
        <v>0</v>
      </c>
      <c r="AO142">
        <v>0</v>
      </c>
      <c r="AP142">
        <v>0</v>
      </c>
      <c r="AQ142">
        <v>0</v>
      </c>
      <c r="AR142">
        <v>0</v>
      </c>
      <c r="AS142">
        <v>0</v>
      </c>
      <c r="AT142">
        <v>0</v>
      </c>
      <c r="AU142">
        <v>0</v>
      </c>
      <c r="AV142">
        <v>0</v>
      </c>
      <c r="AW142" s="80">
        <f>AW141</f>
        <v>10.864000000000001</v>
      </c>
      <c r="AZ142">
        <v>2</v>
      </c>
      <c r="BA142" t="s">
        <v>7</v>
      </c>
      <c r="BB142">
        <v>18560</v>
      </c>
      <c r="BC142">
        <v>64</v>
      </c>
      <c r="BD142">
        <v>2</v>
      </c>
      <c r="BE142">
        <v>8</v>
      </c>
      <c r="BF142">
        <v>372.83</v>
      </c>
      <c r="BG142" s="62">
        <v>11.433999999999999</v>
      </c>
      <c r="BH142" s="16">
        <v>45475</v>
      </c>
      <c r="BI142" s="18">
        <v>1.2638888888888889E-2</v>
      </c>
      <c r="BJ142">
        <v>0</v>
      </c>
      <c r="BK142">
        <v>0</v>
      </c>
      <c r="BL142">
        <v>0</v>
      </c>
      <c r="BM142">
        <v>0</v>
      </c>
      <c r="BN142">
        <v>0</v>
      </c>
      <c r="BO142">
        <v>0</v>
      </c>
      <c r="BP142">
        <v>0</v>
      </c>
      <c r="BQ142">
        <v>0</v>
      </c>
      <c r="BR142">
        <v>0</v>
      </c>
      <c r="BS142">
        <v>0</v>
      </c>
      <c r="BT142">
        <v>0</v>
      </c>
      <c r="BU142">
        <v>0</v>
      </c>
    </row>
    <row r="143" spans="1:73" x14ac:dyDescent="0.25">
      <c r="A143" t="s">
        <v>111</v>
      </c>
      <c r="B143">
        <v>4</v>
      </c>
      <c r="C143" t="s">
        <v>7</v>
      </c>
      <c r="D143" s="20">
        <v>17472</v>
      </c>
      <c r="E143" s="20">
        <v>224</v>
      </c>
      <c r="F143" s="20">
        <v>1</v>
      </c>
      <c r="G143" s="20">
        <v>16</v>
      </c>
      <c r="H143" s="79">
        <v>373.35</v>
      </c>
      <c r="I143" s="62">
        <v>9.5253999999999994</v>
      </c>
      <c r="J143" s="16">
        <v>45548</v>
      </c>
      <c r="K143" s="25">
        <v>0.90195601851851848</v>
      </c>
      <c r="L143">
        <v>0</v>
      </c>
      <c r="M143">
        <v>0</v>
      </c>
      <c r="N143">
        <v>0</v>
      </c>
      <c r="O143">
        <v>0</v>
      </c>
      <c r="P143">
        <v>0</v>
      </c>
      <c r="Q143">
        <v>0</v>
      </c>
      <c r="R143">
        <v>0</v>
      </c>
      <c r="S143">
        <v>0</v>
      </c>
      <c r="T143">
        <v>0</v>
      </c>
      <c r="U143">
        <v>0</v>
      </c>
      <c r="V143">
        <v>0</v>
      </c>
      <c r="W143">
        <v>0</v>
      </c>
      <c r="X143" s="80">
        <f>X142</f>
        <v>9.9906799999999993</v>
      </c>
      <c r="Z143" t="s">
        <v>149</v>
      </c>
      <c r="AA143">
        <v>4</v>
      </c>
      <c r="AB143" t="s">
        <v>7</v>
      </c>
      <c r="AC143" s="20">
        <v>19520</v>
      </c>
      <c r="AD143" s="20">
        <v>160</v>
      </c>
      <c r="AE143" s="20">
        <v>4</v>
      </c>
      <c r="AF143" s="20">
        <v>4</v>
      </c>
      <c r="AG143" s="79">
        <v>463.97</v>
      </c>
      <c r="AH143" s="62">
        <v>10.688000000000001</v>
      </c>
      <c r="AI143" s="16">
        <v>45555</v>
      </c>
      <c r="AJ143" s="25">
        <v>0.87197916666666664</v>
      </c>
      <c r="AK143">
        <v>0</v>
      </c>
      <c r="AL143">
        <v>0</v>
      </c>
      <c r="AM143">
        <v>0</v>
      </c>
      <c r="AN143">
        <v>0</v>
      </c>
      <c r="AO143">
        <v>0</v>
      </c>
      <c r="AP143">
        <v>0</v>
      </c>
      <c r="AQ143">
        <v>0</v>
      </c>
      <c r="AR143">
        <v>0</v>
      </c>
      <c r="AS143">
        <v>0</v>
      </c>
      <c r="AT143">
        <v>0</v>
      </c>
      <c r="AU143">
        <v>0</v>
      </c>
      <c r="AV143">
        <v>0</v>
      </c>
      <c r="AW143" s="80">
        <f>AW142</f>
        <v>10.864000000000001</v>
      </c>
      <c r="AZ143">
        <v>1</v>
      </c>
      <c r="BA143" t="s">
        <v>7</v>
      </c>
      <c r="BB143">
        <v>19584</v>
      </c>
      <c r="BC143">
        <v>192</v>
      </c>
      <c r="BD143">
        <v>2</v>
      </c>
      <c r="BE143">
        <v>8</v>
      </c>
      <c r="BF143">
        <v>439.14</v>
      </c>
      <c r="BG143" s="62">
        <v>11.404</v>
      </c>
      <c r="BH143" s="16">
        <v>45474</v>
      </c>
      <c r="BI143" s="18">
        <v>0.81188657407407405</v>
      </c>
      <c r="BJ143">
        <v>0</v>
      </c>
      <c r="BK143">
        <v>0</v>
      </c>
      <c r="BL143">
        <v>0</v>
      </c>
      <c r="BM143">
        <v>0</v>
      </c>
      <c r="BN143">
        <v>0</v>
      </c>
      <c r="BO143">
        <v>0</v>
      </c>
      <c r="BP143">
        <v>0</v>
      </c>
      <c r="BQ143">
        <v>0</v>
      </c>
      <c r="BR143">
        <v>0</v>
      </c>
      <c r="BS143">
        <v>0</v>
      </c>
      <c r="BT143">
        <v>0</v>
      </c>
      <c r="BU143">
        <v>0</v>
      </c>
    </row>
    <row r="144" spans="1:73" x14ac:dyDescent="0.25">
      <c r="A144" t="s">
        <v>111</v>
      </c>
      <c r="B144">
        <v>0</v>
      </c>
      <c r="C144" t="s">
        <v>7</v>
      </c>
      <c r="D144" s="20">
        <v>17536</v>
      </c>
      <c r="E144" s="20">
        <v>32</v>
      </c>
      <c r="F144" s="20">
        <v>2</v>
      </c>
      <c r="G144" s="20">
        <v>8</v>
      </c>
      <c r="H144" s="79">
        <v>361.71</v>
      </c>
      <c r="I144" s="62">
        <v>9.9400999999999993</v>
      </c>
      <c r="J144" s="16">
        <v>45546</v>
      </c>
      <c r="K144" s="25">
        <v>0.30666666666666664</v>
      </c>
      <c r="L144">
        <v>0</v>
      </c>
      <c r="M144">
        <v>0</v>
      </c>
      <c r="N144">
        <v>0</v>
      </c>
      <c r="O144">
        <v>0</v>
      </c>
      <c r="P144">
        <v>0</v>
      </c>
      <c r="Q144">
        <v>0</v>
      </c>
      <c r="R144">
        <v>0</v>
      </c>
      <c r="S144">
        <v>0</v>
      </c>
      <c r="T144">
        <v>0</v>
      </c>
      <c r="U144">
        <v>0</v>
      </c>
      <c r="V144">
        <v>0</v>
      </c>
      <c r="W144">
        <v>0</v>
      </c>
      <c r="X144" s="82">
        <f>AVERAGE(I144:I148)</f>
        <v>9.9669399999999992</v>
      </c>
      <c r="Z144" t="s">
        <v>149</v>
      </c>
      <c r="AA144">
        <v>0</v>
      </c>
      <c r="AB144" t="s">
        <v>7</v>
      </c>
      <c r="AC144" s="20">
        <v>18528</v>
      </c>
      <c r="AD144" s="20">
        <v>96</v>
      </c>
      <c r="AE144" s="20">
        <v>1</v>
      </c>
      <c r="AF144" s="20">
        <v>16</v>
      </c>
      <c r="AG144" s="79">
        <v>391.38</v>
      </c>
      <c r="AH144" s="62">
        <v>10.835000000000001</v>
      </c>
      <c r="AI144" s="16">
        <v>45557</v>
      </c>
      <c r="AJ144" s="25">
        <v>0.9957407407407407</v>
      </c>
      <c r="AK144">
        <v>0</v>
      </c>
      <c r="AL144">
        <v>0</v>
      </c>
      <c r="AM144">
        <v>0</v>
      </c>
      <c r="AN144">
        <v>0</v>
      </c>
      <c r="AO144">
        <v>0</v>
      </c>
      <c r="AP144">
        <v>0</v>
      </c>
      <c r="AQ144">
        <v>0</v>
      </c>
      <c r="AR144">
        <v>0</v>
      </c>
      <c r="AS144">
        <v>0</v>
      </c>
      <c r="AT144">
        <v>0</v>
      </c>
      <c r="AU144">
        <v>0</v>
      </c>
      <c r="AV144">
        <v>0</v>
      </c>
      <c r="AW144" s="82">
        <f>AVERAGE(AH144:AH147)</f>
        <v>10.846500000000001</v>
      </c>
      <c r="AZ144">
        <v>1</v>
      </c>
      <c r="BA144" t="s">
        <v>7</v>
      </c>
      <c r="BB144">
        <v>19584</v>
      </c>
      <c r="BC144">
        <v>128</v>
      </c>
      <c r="BD144">
        <v>2</v>
      </c>
      <c r="BE144">
        <v>8</v>
      </c>
      <c r="BF144">
        <v>446.51</v>
      </c>
      <c r="BG144" s="62">
        <v>11.215999999999999</v>
      </c>
      <c r="BH144" s="16">
        <v>45474</v>
      </c>
      <c r="BI144" s="18">
        <v>0.73124999999999996</v>
      </c>
      <c r="BJ144">
        <v>0</v>
      </c>
      <c r="BK144">
        <v>0</v>
      </c>
      <c r="BL144">
        <v>0</v>
      </c>
      <c r="BM144">
        <v>0</v>
      </c>
      <c r="BN144">
        <v>0</v>
      </c>
      <c r="BO144">
        <v>0</v>
      </c>
      <c r="BP144">
        <v>0</v>
      </c>
      <c r="BQ144">
        <v>0</v>
      </c>
      <c r="BR144">
        <v>0</v>
      </c>
      <c r="BS144">
        <v>0</v>
      </c>
      <c r="BT144">
        <v>0</v>
      </c>
      <c r="BU144">
        <v>0</v>
      </c>
    </row>
    <row r="145" spans="1:73" x14ac:dyDescent="0.25">
      <c r="A145" t="s">
        <v>111</v>
      </c>
      <c r="B145">
        <v>1</v>
      </c>
      <c r="C145" t="s">
        <v>7</v>
      </c>
      <c r="D145" s="20">
        <v>17536</v>
      </c>
      <c r="E145" s="20">
        <v>32</v>
      </c>
      <c r="F145" s="20">
        <v>2</v>
      </c>
      <c r="G145" s="20">
        <v>8</v>
      </c>
      <c r="H145" s="79">
        <v>366.38</v>
      </c>
      <c r="I145" s="62">
        <v>9.8135999999999992</v>
      </c>
      <c r="J145" s="16">
        <v>45546</v>
      </c>
      <c r="K145" s="25">
        <v>0.9233217592592593</v>
      </c>
      <c r="L145">
        <v>0</v>
      </c>
      <c r="M145">
        <v>0</v>
      </c>
      <c r="N145">
        <v>0</v>
      </c>
      <c r="O145">
        <v>0</v>
      </c>
      <c r="P145">
        <v>0</v>
      </c>
      <c r="Q145">
        <v>0</v>
      </c>
      <c r="R145">
        <v>0</v>
      </c>
      <c r="S145">
        <v>0</v>
      </c>
      <c r="T145">
        <v>0</v>
      </c>
      <c r="U145">
        <v>0</v>
      </c>
      <c r="V145">
        <v>0</v>
      </c>
      <c r="W145">
        <v>0</v>
      </c>
      <c r="X145" s="80">
        <f>X144</f>
        <v>9.9669399999999992</v>
      </c>
      <c r="Z145" t="s">
        <v>149</v>
      </c>
      <c r="AA145">
        <v>1</v>
      </c>
      <c r="AB145" t="s">
        <v>7</v>
      </c>
      <c r="AC145" s="20">
        <v>18528</v>
      </c>
      <c r="AD145" s="20">
        <v>96</v>
      </c>
      <c r="AE145" s="20">
        <v>1</v>
      </c>
      <c r="AF145" s="20">
        <v>16</v>
      </c>
      <c r="AG145" s="79">
        <v>390.86</v>
      </c>
      <c r="AH145" s="62">
        <v>10.85</v>
      </c>
      <c r="AI145" s="16">
        <v>45558</v>
      </c>
      <c r="AJ145" s="25">
        <v>0.49510416666666668</v>
      </c>
      <c r="AK145">
        <v>0</v>
      </c>
      <c r="AL145">
        <v>0</v>
      </c>
      <c r="AM145">
        <v>0</v>
      </c>
      <c r="AN145">
        <v>0</v>
      </c>
      <c r="AO145">
        <v>0</v>
      </c>
      <c r="AP145">
        <v>0</v>
      </c>
      <c r="AQ145">
        <v>0</v>
      </c>
      <c r="AR145">
        <v>0</v>
      </c>
      <c r="AS145">
        <v>0</v>
      </c>
      <c r="AT145">
        <v>0</v>
      </c>
      <c r="AU145">
        <v>0</v>
      </c>
      <c r="AV145">
        <v>0</v>
      </c>
      <c r="AW145" s="80">
        <f>AW144</f>
        <v>10.846500000000001</v>
      </c>
      <c r="AZ145">
        <v>2</v>
      </c>
      <c r="BA145" t="s">
        <v>7</v>
      </c>
      <c r="BB145">
        <v>17600</v>
      </c>
      <c r="BC145">
        <v>160</v>
      </c>
      <c r="BD145">
        <v>2</v>
      </c>
      <c r="BE145">
        <v>8</v>
      </c>
      <c r="BF145">
        <v>324.36</v>
      </c>
      <c r="BG145" s="62">
        <v>11.207000000000001</v>
      </c>
      <c r="BH145" s="16">
        <v>45474</v>
      </c>
      <c r="BI145" s="18">
        <v>0.93174768518518514</v>
      </c>
      <c r="BJ145">
        <v>0</v>
      </c>
      <c r="BK145">
        <v>0</v>
      </c>
      <c r="BL145">
        <v>0</v>
      </c>
      <c r="BM145">
        <v>0</v>
      </c>
      <c r="BN145">
        <v>0</v>
      </c>
      <c r="BO145">
        <v>0</v>
      </c>
      <c r="BP145">
        <v>0</v>
      </c>
      <c r="BQ145">
        <v>0</v>
      </c>
      <c r="BR145">
        <v>0</v>
      </c>
      <c r="BS145">
        <v>0</v>
      </c>
      <c r="BT145">
        <v>0</v>
      </c>
      <c r="BU145">
        <v>0</v>
      </c>
    </row>
    <row r="146" spans="1:73" x14ac:dyDescent="0.25">
      <c r="A146" t="s">
        <v>111</v>
      </c>
      <c r="B146">
        <v>2</v>
      </c>
      <c r="C146" t="s">
        <v>7</v>
      </c>
      <c r="D146" s="20">
        <v>17536</v>
      </c>
      <c r="E146" s="20">
        <v>32</v>
      </c>
      <c r="F146" s="20">
        <v>2</v>
      </c>
      <c r="G146" s="20">
        <v>8</v>
      </c>
      <c r="H146" s="79">
        <v>357.07</v>
      </c>
      <c r="I146" s="62">
        <v>10.069000000000001</v>
      </c>
      <c r="J146" s="16">
        <v>45547</v>
      </c>
      <c r="K146" s="25">
        <v>0.53869212962962965</v>
      </c>
      <c r="L146">
        <v>0</v>
      </c>
      <c r="M146">
        <v>0</v>
      </c>
      <c r="N146">
        <v>0</v>
      </c>
      <c r="O146">
        <v>0</v>
      </c>
      <c r="P146">
        <v>0</v>
      </c>
      <c r="Q146">
        <v>0</v>
      </c>
      <c r="R146">
        <v>0</v>
      </c>
      <c r="S146">
        <v>0</v>
      </c>
      <c r="T146">
        <v>0</v>
      </c>
      <c r="U146">
        <v>0</v>
      </c>
      <c r="V146">
        <v>0</v>
      </c>
      <c r="W146">
        <v>0</v>
      </c>
      <c r="X146" s="80">
        <f>X145</f>
        <v>9.9669399999999992</v>
      </c>
      <c r="Z146" t="s">
        <v>149</v>
      </c>
      <c r="AA146">
        <v>2</v>
      </c>
      <c r="AB146" t="s">
        <v>7</v>
      </c>
      <c r="AC146" s="20">
        <v>18528</v>
      </c>
      <c r="AD146" s="20">
        <v>96</v>
      </c>
      <c r="AE146" s="20">
        <v>1</v>
      </c>
      <c r="AF146" s="20">
        <v>16</v>
      </c>
      <c r="AG146" s="79">
        <v>391.14</v>
      </c>
      <c r="AH146" s="62">
        <v>10.842000000000001</v>
      </c>
      <c r="AI146" s="16">
        <v>45554</v>
      </c>
      <c r="AJ146" s="25">
        <v>0.6390393518518519</v>
      </c>
      <c r="AK146">
        <v>0</v>
      </c>
      <c r="AL146">
        <v>0</v>
      </c>
      <c r="AM146">
        <v>0</v>
      </c>
      <c r="AN146">
        <v>0</v>
      </c>
      <c r="AO146">
        <v>0</v>
      </c>
      <c r="AP146">
        <v>0</v>
      </c>
      <c r="AQ146">
        <v>0</v>
      </c>
      <c r="AR146">
        <v>0</v>
      </c>
      <c r="AS146">
        <v>0</v>
      </c>
      <c r="AT146">
        <v>0</v>
      </c>
      <c r="AU146">
        <v>0</v>
      </c>
      <c r="AV146">
        <v>0</v>
      </c>
      <c r="AW146" s="80">
        <f>AW145</f>
        <v>10.846500000000001</v>
      </c>
      <c r="AZ146">
        <v>2</v>
      </c>
      <c r="BA146" t="s">
        <v>7</v>
      </c>
      <c r="BB146">
        <v>17536</v>
      </c>
      <c r="BC146">
        <v>64</v>
      </c>
      <c r="BD146">
        <v>2</v>
      </c>
      <c r="BE146">
        <v>8</v>
      </c>
      <c r="BF146">
        <v>324.48</v>
      </c>
      <c r="BG146" s="62">
        <v>11.081</v>
      </c>
      <c r="BH146" s="16">
        <v>45474</v>
      </c>
      <c r="BI146" s="18">
        <v>0.88633101851851848</v>
      </c>
      <c r="BJ146">
        <v>0</v>
      </c>
      <c r="BK146">
        <v>0</v>
      </c>
      <c r="BL146">
        <v>0</v>
      </c>
      <c r="BM146">
        <v>0</v>
      </c>
      <c r="BN146">
        <v>0</v>
      </c>
      <c r="BO146">
        <v>0</v>
      </c>
      <c r="BP146">
        <v>0</v>
      </c>
      <c r="BQ146">
        <v>0</v>
      </c>
      <c r="BR146">
        <v>0</v>
      </c>
      <c r="BS146">
        <v>0</v>
      </c>
      <c r="BT146">
        <v>0</v>
      </c>
      <c r="BU146">
        <v>0</v>
      </c>
    </row>
    <row r="147" spans="1:73" x14ac:dyDescent="0.25">
      <c r="A147" t="s">
        <v>111</v>
      </c>
      <c r="B147">
        <v>3</v>
      </c>
      <c r="C147" t="s">
        <v>7</v>
      </c>
      <c r="D147" s="20">
        <v>17536</v>
      </c>
      <c r="E147" s="20">
        <v>32</v>
      </c>
      <c r="F147" s="20">
        <v>2</v>
      </c>
      <c r="G147" s="20">
        <v>8</v>
      </c>
      <c r="H147" s="79">
        <v>359.41</v>
      </c>
      <c r="I147" s="62">
        <v>10.004</v>
      </c>
      <c r="J147" s="16">
        <v>45548</v>
      </c>
      <c r="K147" s="25">
        <v>0.19936342592592593</v>
      </c>
      <c r="L147">
        <v>0</v>
      </c>
      <c r="M147">
        <v>0</v>
      </c>
      <c r="N147">
        <v>0</v>
      </c>
      <c r="O147">
        <v>0</v>
      </c>
      <c r="P147">
        <v>0</v>
      </c>
      <c r="Q147">
        <v>0</v>
      </c>
      <c r="R147">
        <v>0</v>
      </c>
      <c r="S147">
        <v>0</v>
      </c>
      <c r="T147">
        <v>0</v>
      </c>
      <c r="U147">
        <v>0</v>
      </c>
      <c r="V147">
        <v>0</v>
      </c>
      <c r="W147">
        <v>0</v>
      </c>
      <c r="X147" s="80">
        <f>X146</f>
        <v>9.9669399999999992</v>
      </c>
      <c r="Z147" t="s">
        <v>149</v>
      </c>
      <c r="AA147">
        <v>3</v>
      </c>
      <c r="AB147" t="s">
        <v>7</v>
      </c>
      <c r="AC147" s="20">
        <v>18528</v>
      </c>
      <c r="AD147" s="20">
        <v>96</v>
      </c>
      <c r="AE147" s="20">
        <v>1</v>
      </c>
      <c r="AF147" s="20">
        <v>16</v>
      </c>
      <c r="AG147" s="79">
        <v>390.54</v>
      </c>
      <c r="AH147" s="62">
        <v>10.859</v>
      </c>
      <c r="AI147" s="16">
        <v>45555</v>
      </c>
      <c r="AJ147" s="25">
        <v>0.16452546296296297</v>
      </c>
      <c r="AK147">
        <v>0</v>
      </c>
      <c r="AL147">
        <v>0</v>
      </c>
      <c r="AM147">
        <v>0</v>
      </c>
      <c r="AN147">
        <v>0</v>
      </c>
      <c r="AO147">
        <v>0</v>
      </c>
      <c r="AP147">
        <v>0</v>
      </c>
      <c r="AQ147">
        <v>0</v>
      </c>
      <c r="AR147">
        <v>0</v>
      </c>
      <c r="AS147">
        <v>0</v>
      </c>
      <c r="AT147">
        <v>0</v>
      </c>
      <c r="AU147">
        <v>0</v>
      </c>
      <c r="AV147">
        <v>0</v>
      </c>
      <c r="AW147" s="80">
        <f>AW146</f>
        <v>10.846500000000001</v>
      </c>
      <c r="AZ147">
        <v>2</v>
      </c>
      <c r="BA147" t="s">
        <v>7</v>
      </c>
      <c r="BB147">
        <v>17472</v>
      </c>
      <c r="BC147">
        <v>192</v>
      </c>
      <c r="BD147">
        <v>2</v>
      </c>
      <c r="BE147">
        <v>8</v>
      </c>
      <c r="BF147">
        <v>323.39</v>
      </c>
      <c r="BG147" s="62">
        <v>10.997</v>
      </c>
      <c r="BH147" s="16">
        <v>45474</v>
      </c>
      <c r="BI147" s="18">
        <v>0.94672453703703707</v>
      </c>
      <c r="BJ147">
        <v>0</v>
      </c>
      <c r="BK147">
        <v>0</v>
      </c>
      <c r="BL147">
        <v>0</v>
      </c>
      <c r="BM147">
        <v>0</v>
      </c>
      <c r="BN147">
        <v>0</v>
      </c>
      <c r="BO147">
        <v>0</v>
      </c>
      <c r="BP147">
        <v>0</v>
      </c>
      <c r="BQ147">
        <v>0</v>
      </c>
      <c r="BR147">
        <v>0</v>
      </c>
      <c r="BS147">
        <v>0</v>
      </c>
      <c r="BT147">
        <v>0</v>
      </c>
      <c r="BU147">
        <v>0</v>
      </c>
    </row>
    <row r="148" spans="1:73" x14ac:dyDescent="0.25">
      <c r="A148" t="s">
        <v>111</v>
      </c>
      <c r="B148">
        <v>4</v>
      </c>
      <c r="C148" t="s">
        <v>7</v>
      </c>
      <c r="D148" s="20">
        <v>17536</v>
      </c>
      <c r="E148" s="20">
        <v>32</v>
      </c>
      <c r="F148" s="20">
        <v>2</v>
      </c>
      <c r="G148" s="20">
        <v>8</v>
      </c>
      <c r="H148" s="79">
        <v>359.26</v>
      </c>
      <c r="I148" s="62">
        <v>10.007999999999999</v>
      </c>
      <c r="J148" s="16">
        <v>45548</v>
      </c>
      <c r="K148" s="25">
        <v>0.82739583333333333</v>
      </c>
      <c r="L148">
        <v>0</v>
      </c>
      <c r="M148">
        <v>0</v>
      </c>
      <c r="N148">
        <v>0</v>
      </c>
      <c r="O148">
        <v>0</v>
      </c>
      <c r="P148">
        <v>0</v>
      </c>
      <c r="Q148">
        <v>0</v>
      </c>
      <c r="R148">
        <v>0</v>
      </c>
      <c r="S148">
        <v>0</v>
      </c>
      <c r="T148">
        <v>0</v>
      </c>
      <c r="U148">
        <v>0</v>
      </c>
      <c r="V148">
        <v>0</v>
      </c>
      <c r="W148">
        <v>0</v>
      </c>
      <c r="X148" s="80">
        <f>X147</f>
        <v>9.9669399999999992</v>
      </c>
      <c r="Z148" t="s">
        <v>149</v>
      </c>
      <c r="AA148">
        <v>4</v>
      </c>
      <c r="AB148" t="s">
        <v>7</v>
      </c>
      <c r="AC148" s="20">
        <v>18528</v>
      </c>
      <c r="AD148" s="20">
        <v>96</v>
      </c>
      <c r="AE148" s="20">
        <v>1</v>
      </c>
      <c r="AF148" s="20">
        <v>16</v>
      </c>
      <c r="AG148" s="79">
        <v>390.75</v>
      </c>
      <c r="AH148" s="62">
        <v>10.853</v>
      </c>
      <c r="AI148" s="16">
        <v>45555</v>
      </c>
      <c r="AJ148" s="25">
        <v>0.6646643518518518</v>
      </c>
      <c r="AK148">
        <v>0</v>
      </c>
      <c r="AL148">
        <v>0</v>
      </c>
      <c r="AM148">
        <v>0</v>
      </c>
      <c r="AN148">
        <v>0</v>
      </c>
      <c r="AO148">
        <v>0</v>
      </c>
      <c r="AP148">
        <v>0</v>
      </c>
      <c r="AQ148">
        <v>0</v>
      </c>
      <c r="AR148">
        <v>0</v>
      </c>
      <c r="AS148">
        <v>0</v>
      </c>
      <c r="AT148">
        <v>0</v>
      </c>
      <c r="AU148">
        <v>0</v>
      </c>
      <c r="AV148">
        <v>0</v>
      </c>
      <c r="AW148" s="80">
        <f>AW147</f>
        <v>10.846500000000001</v>
      </c>
      <c r="AZ148">
        <v>2</v>
      </c>
      <c r="BA148" t="s">
        <v>7</v>
      </c>
      <c r="BB148">
        <v>18560</v>
      </c>
      <c r="BC148">
        <v>128</v>
      </c>
      <c r="BD148">
        <v>2</v>
      </c>
      <c r="BE148">
        <v>8</v>
      </c>
      <c r="BF148">
        <v>387.7</v>
      </c>
      <c r="BG148" s="62">
        <v>10.994999999999999</v>
      </c>
      <c r="BH148" s="16">
        <v>45475</v>
      </c>
      <c r="BI148" s="18">
        <v>4.7395833333333331E-2</v>
      </c>
      <c r="BJ148">
        <v>0</v>
      </c>
      <c r="BK148">
        <v>0</v>
      </c>
      <c r="BL148">
        <v>0</v>
      </c>
      <c r="BM148">
        <v>0</v>
      </c>
      <c r="BN148">
        <v>0</v>
      </c>
      <c r="BO148">
        <v>0</v>
      </c>
      <c r="BP148">
        <v>0</v>
      </c>
      <c r="BQ148">
        <v>0</v>
      </c>
      <c r="BR148">
        <v>0</v>
      </c>
      <c r="BS148">
        <v>0</v>
      </c>
      <c r="BT148">
        <v>0</v>
      </c>
      <c r="BU148">
        <v>0</v>
      </c>
    </row>
    <row r="149" spans="1:73" x14ac:dyDescent="0.25">
      <c r="A149" t="s">
        <v>111</v>
      </c>
      <c r="B149">
        <v>0</v>
      </c>
      <c r="C149" t="s">
        <v>7</v>
      </c>
      <c r="D149" s="20">
        <v>17472</v>
      </c>
      <c r="E149" s="20">
        <v>192</v>
      </c>
      <c r="F149" s="20">
        <v>1</v>
      </c>
      <c r="G149" s="20">
        <v>16</v>
      </c>
      <c r="H149" s="79">
        <v>353.51</v>
      </c>
      <c r="I149" s="62">
        <v>10.06</v>
      </c>
      <c r="J149" s="16">
        <v>45546</v>
      </c>
      <c r="K149" s="25">
        <v>0.36935185185185188</v>
      </c>
      <c r="L149">
        <v>0</v>
      </c>
      <c r="M149">
        <v>0</v>
      </c>
      <c r="N149">
        <v>0</v>
      </c>
      <c r="O149">
        <v>0</v>
      </c>
      <c r="P149">
        <v>0</v>
      </c>
      <c r="Q149">
        <v>0</v>
      </c>
      <c r="R149">
        <v>0</v>
      </c>
      <c r="S149">
        <v>0</v>
      </c>
      <c r="T149">
        <v>0</v>
      </c>
      <c r="U149">
        <v>0</v>
      </c>
      <c r="V149">
        <v>0</v>
      </c>
      <c r="W149">
        <v>0</v>
      </c>
      <c r="X149" s="82">
        <f>AVERAGE(I149:I153)</f>
        <v>9.9177</v>
      </c>
      <c r="Z149" t="s">
        <v>149</v>
      </c>
      <c r="AA149">
        <v>0</v>
      </c>
      <c r="AB149" t="s">
        <v>7</v>
      </c>
      <c r="AC149" s="20">
        <v>18560</v>
      </c>
      <c r="AD149" s="20">
        <v>128</v>
      </c>
      <c r="AE149" s="20">
        <v>1</v>
      </c>
      <c r="AF149" s="20">
        <v>16</v>
      </c>
      <c r="AG149" s="79">
        <v>395.74</v>
      </c>
      <c r="AH149" s="62">
        <v>10.772</v>
      </c>
      <c r="AI149" s="16">
        <v>45558</v>
      </c>
      <c r="AJ149" s="25">
        <v>9.1550925925925931E-3</v>
      </c>
      <c r="AK149">
        <v>0</v>
      </c>
      <c r="AL149">
        <v>0</v>
      </c>
      <c r="AM149">
        <v>0</v>
      </c>
      <c r="AN149">
        <v>0</v>
      </c>
      <c r="AO149">
        <v>0</v>
      </c>
      <c r="AP149">
        <v>0</v>
      </c>
      <c r="AQ149">
        <v>0</v>
      </c>
      <c r="AR149">
        <v>0</v>
      </c>
      <c r="AS149">
        <v>0</v>
      </c>
      <c r="AT149">
        <v>0</v>
      </c>
      <c r="AU149">
        <v>0</v>
      </c>
      <c r="AV149">
        <v>0</v>
      </c>
      <c r="AW149" s="82">
        <f>AVERAGE(AH149:AH152)</f>
        <v>10.76525</v>
      </c>
      <c r="AZ149">
        <v>2</v>
      </c>
      <c r="BA149" t="s">
        <v>7</v>
      </c>
      <c r="BB149">
        <v>18528</v>
      </c>
      <c r="BC149">
        <v>96</v>
      </c>
      <c r="BD149">
        <v>2</v>
      </c>
      <c r="BE149">
        <v>8</v>
      </c>
      <c r="BF149">
        <v>388.68</v>
      </c>
      <c r="BG149" s="62">
        <v>10.911</v>
      </c>
      <c r="BH149" s="16">
        <v>45475</v>
      </c>
      <c r="BI149" s="18">
        <v>3.0104166666666668E-2</v>
      </c>
      <c r="BJ149">
        <v>0</v>
      </c>
      <c r="BK149">
        <v>0</v>
      </c>
      <c r="BL149">
        <v>0</v>
      </c>
      <c r="BM149">
        <v>0</v>
      </c>
      <c r="BN149">
        <v>0</v>
      </c>
      <c r="BO149">
        <v>0</v>
      </c>
      <c r="BP149">
        <v>0</v>
      </c>
      <c r="BQ149">
        <v>0</v>
      </c>
      <c r="BR149">
        <v>0</v>
      </c>
      <c r="BS149">
        <v>0</v>
      </c>
      <c r="BT149">
        <v>0</v>
      </c>
      <c r="BU149">
        <v>0</v>
      </c>
    </row>
    <row r="150" spans="1:73" x14ac:dyDescent="0.25">
      <c r="A150" t="s">
        <v>111</v>
      </c>
      <c r="B150">
        <v>1</v>
      </c>
      <c r="C150" t="s">
        <v>7</v>
      </c>
      <c r="D150" s="20">
        <v>17472</v>
      </c>
      <c r="E150" s="20">
        <v>192</v>
      </c>
      <c r="F150" s="20">
        <v>1</v>
      </c>
      <c r="G150" s="20">
        <v>16</v>
      </c>
      <c r="H150" s="79">
        <v>380.34</v>
      </c>
      <c r="I150" s="62">
        <v>9.3501999999999992</v>
      </c>
      <c r="J150" s="16">
        <v>45546</v>
      </c>
      <c r="K150" s="25">
        <v>0.98575231481481485</v>
      </c>
      <c r="L150">
        <v>0</v>
      </c>
      <c r="M150">
        <v>0</v>
      </c>
      <c r="N150">
        <v>0</v>
      </c>
      <c r="O150">
        <v>0</v>
      </c>
      <c r="P150">
        <v>0</v>
      </c>
      <c r="Q150">
        <v>0</v>
      </c>
      <c r="R150">
        <v>0</v>
      </c>
      <c r="S150">
        <v>0</v>
      </c>
      <c r="T150">
        <v>0</v>
      </c>
      <c r="U150">
        <v>0</v>
      </c>
      <c r="V150">
        <v>0</v>
      </c>
      <c r="W150">
        <v>0</v>
      </c>
      <c r="X150" s="80">
        <f>X149</f>
        <v>9.9177</v>
      </c>
      <c r="Z150" t="s">
        <v>149</v>
      </c>
      <c r="AA150">
        <v>1</v>
      </c>
      <c r="AB150" t="s">
        <v>7</v>
      </c>
      <c r="AC150" s="20">
        <v>18560</v>
      </c>
      <c r="AD150" s="20">
        <v>128</v>
      </c>
      <c r="AE150" s="20">
        <v>1</v>
      </c>
      <c r="AF150" s="20">
        <v>16</v>
      </c>
      <c r="AG150" s="79">
        <v>395.47</v>
      </c>
      <c r="AH150" s="62">
        <v>10.779</v>
      </c>
      <c r="AI150" s="16">
        <v>45558</v>
      </c>
      <c r="AJ150" s="25">
        <v>0.50853009259259263</v>
      </c>
      <c r="AK150">
        <v>0</v>
      </c>
      <c r="AL150">
        <v>0</v>
      </c>
      <c r="AM150">
        <v>0</v>
      </c>
      <c r="AN150">
        <v>0</v>
      </c>
      <c r="AO150">
        <v>0</v>
      </c>
      <c r="AP150">
        <v>0</v>
      </c>
      <c r="AQ150">
        <v>0</v>
      </c>
      <c r="AR150">
        <v>0</v>
      </c>
      <c r="AS150">
        <v>0</v>
      </c>
      <c r="AT150">
        <v>0</v>
      </c>
      <c r="AU150">
        <v>0</v>
      </c>
      <c r="AV150">
        <v>0</v>
      </c>
      <c r="AW150" s="80">
        <f>AW149</f>
        <v>10.76525</v>
      </c>
      <c r="AZ150">
        <v>2</v>
      </c>
      <c r="BA150" t="s">
        <v>7</v>
      </c>
      <c r="BB150">
        <v>17568</v>
      </c>
      <c r="BC150">
        <v>96</v>
      </c>
      <c r="BD150">
        <v>2</v>
      </c>
      <c r="BE150">
        <v>8</v>
      </c>
      <c r="BF150">
        <v>331.46</v>
      </c>
      <c r="BG150" s="62">
        <v>10.907</v>
      </c>
      <c r="BH150" s="16">
        <v>45474</v>
      </c>
      <c r="BI150" s="18">
        <v>0.90164351851851854</v>
      </c>
      <c r="BJ150">
        <v>0</v>
      </c>
      <c r="BK150">
        <v>0</v>
      </c>
      <c r="BL150">
        <v>0</v>
      </c>
      <c r="BM150">
        <v>0</v>
      </c>
      <c r="BN150">
        <v>0</v>
      </c>
      <c r="BO150">
        <v>0</v>
      </c>
      <c r="BP150">
        <v>0</v>
      </c>
      <c r="BQ150">
        <v>0</v>
      </c>
      <c r="BR150">
        <v>0</v>
      </c>
      <c r="BS150">
        <v>0</v>
      </c>
      <c r="BT150">
        <v>0</v>
      </c>
      <c r="BU150">
        <v>0</v>
      </c>
    </row>
    <row r="151" spans="1:73" x14ac:dyDescent="0.25">
      <c r="A151" t="s">
        <v>111</v>
      </c>
      <c r="B151">
        <v>2</v>
      </c>
      <c r="C151" t="s">
        <v>7</v>
      </c>
      <c r="D151" s="20">
        <v>17472</v>
      </c>
      <c r="E151" s="20">
        <v>192</v>
      </c>
      <c r="F151" s="20">
        <v>1</v>
      </c>
      <c r="G151" s="20">
        <v>16</v>
      </c>
      <c r="H151" s="79">
        <v>379.97</v>
      </c>
      <c r="I151" s="62">
        <v>9.3592999999999993</v>
      </c>
      <c r="J151" s="16">
        <v>45547</v>
      </c>
      <c r="K151" s="25">
        <v>0.60085648148148152</v>
      </c>
      <c r="L151">
        <v>0</v>
      </c>
      <c r="M151">
        <v>0</v>
      </c>
      <c r="N151">
        <v>0</v>
      </c>
      <c r="O151">
        <v>0</v>
      </c>
      <c r="P151">
        <v>0</v>
      </c>
      <c r="Q151">
        <v>0</v>
      </c>
      <c r="R151">
        <v>0</v>
      </c>
      <c r="S151">
        <v>0</v>
      </c>
      <c r="T151">
        <v>0</v>
      </c>
      <c r="U151">
        <v>0</v>
      </c>
      <c r="V151">
        <v>0</v>
      </c>
      <c r="W151">
        <v>0</v>
      </c>
      <c r="X151" s="80">
        <f>X150</f>
        <v>9.9177</v>
      </c>
      <c r="Z151" t="s">
        <v>149</v>
      </c>
      <c r="AA151">
        <v>2</v>
      </c>
      <c r="AB151" t="s">
        <v>7</v>
      </c>
      <c r="AC151" s="20">
        <v>18560</v>
      </c>
      <c r="AD151" s="20">
        <v>128</v>
      </c>
      <c r="AE151" s="20">
        <v>1</v>
      </c>
      <c r="AF151" s="20">
        <v>16</v>
      </c>
      <c r="AG151" s="79">
        <v>396.11</v>
      </c>
      <c r="AH151" s="62">
        <v>10.762</v>
      </c>
      <c r="AI151" s="16">
        <v>45554</v>
      </c>
      <c r="AJ151" s="25">
        <v>0.65246527777777774</v>
      </c>
      <c r="AK151">
        <v>0</v>
      </c>
      <c r="AL151">
        <v>0</v>
      </c>
      <c r="AM151">
        <v>0</v>
      </c>
      <c r="AN151">
        <v>0</v>
      </c>
      <c r="AO151">
        <v>0</v>
      </c>
      <c r="AP151">
        <v>0</v>
      </c>
      <c r="AQ151">
        <v>0</v>
      </c>
      <c r="AR151">
        <v>0</v>
      </c>
      <c r="AS151">
        <v>0</v>
      </c>
      <c r="AT151">
        <v>0</v>
      </c>
      <c r="AU151">
        <v>0</v>
      </c>
      <c r="AV151">
        <v>0</v>
      </c>
      <c r="AW151" s="80">
        <f>AW150</f>
        <v>10.76525</v>
      </c>
      <c r="AZ151">
        <v>2</v>
      </c>
      <c r="BA151" t="s">
        <v>7</v>
      </c>
      <c r="BB151">
        <v>17472</v>
      </c>
      <c r="BC151">
        <v>224</v>
      </c>
      <c r="BD151">
        <v>2</v>
      </c>
      <c r="BE151">
        <v>8</v>
      </c>
      <c r="BF151">
        <v>326.16000000000003</v>
      </c>
      <c r="BG151" s="62">
        <v>10.903</v>
      </c>
      <c r="BH151" s="16">
        <v>45474</v>
      </c>
      <c r="BI151" s="18">
        <v>0.96179398148148143</v>
      </c>
      <c r="BJ151">
        <v>0</v>
      </c>
      <c r="BK151">
        <v>0</v>
      </c>
      <c r="BL151">
        <v>0</v>
      </c>
      <c r="BM151">
        <v>0</v>
      </c>
      <c r="BN151">
        <v>0</v>
      </c>
      <c r="BO151">
        <v>0</v>
      </c>
      <c r="BP151">
        <v>0</v>
      </c>
      <c r="BQ151">
        <v>0</v>
      </c>
      <c r="BR151">
        <v>0</v>
      </c>
      <c r="BS151">
        <v>0</v>
      </c>
      <c r="BT151">
        <v>0</v>
      </c>
      <c r="BU151">
        <v>0</v>
      </c>
    </row>
    <row r="152" spans="1:73" x14ac:dyDescent="0.25">
      <c r="A152" t="s">
        <v>111</v>
      </c>
      <c r="B152">
        <v>3</v>
      </c>
      <c r="C152" t="s">
        <v>7</v>
      </c>
      <c r="D152" s="20">
        <v>17472</v>
      </c>
      <c r="E152" s="20">
        <v>192</v>
      </c>
      <c r="F152" s="20">
        <v>1</v>
      </c>
      <c r="G152" s="20">
        <v>16</v>
      </c>
      <c r="H152" s="79">
        <v>354.78</v>
      </c>
      <c r="I152" s="62">
        <v>10.023999999999999</v>
      </c>
      <c r="J152" s="16">
        <v>45548</v>
      </c>
      <c r="K152" s="25">
        <v>0.26130787037037034</v>
      </c>
      <c r="L152">
        <v>0</v>
      </c>
      <c r="M152">
        <v>0</v>
      </c>
      <c r="N152">
        <v>0</v>
      </c>
      <c r="O152">
        <v>0</v>
      </c>
      <c r="P152">
        <v>0</v>
      </c>
      <c r="Q152">
        <v>0</v>
      </c>
      <c r="R152">
        <v>0</v>
      </c>
      <c r="S152">
        <v>0</v>
      </c>
      <c r="T152">
        <v>0</v>
      </c>
      <c r="U152">
        <v>0</v>
      </c>
      <c r="V152">
        <v>0</v>
      </c>
      <c r="W152">
        <v>0</v>
      </c>
      <c r="X152" s="80">
        <f>X151</f>
        <v>9.9177</v>
      </c>
      <c r="Z152" t="s">
        <v>149</v>
      </c>
      <c r="AA152">
        <v>3</v>
      </c>
      <c r="AB152" t="s">
        <v>7</v>
      </c>
      <c r="AC152" s="20">
        <v>18560</v>
      </c>
      <c r="AD152" s="20">
        <v>128</v>
      </c>
      <c r="AE152" s="20">
        <v>1</v>
      </c>
      <c r="AF152" s="20">
        <v>16</v>
      </c>
      <c r="AG152" s="79">
        <v>396.63</v>
      </c>
      <c r="AH152" s="62">
        <v>10.747999999999999</v>
      </c>
      <c r="AI152" s="16">
        <v>45555</v>
      </c>
      <c r="AJ152" s="25">
        <v>0.17793981481481483</v>
      </c>
      <c r="AK152">
        <v>0</v>
      </c>
      <c r="AL152">
        <v>0</v>
      </c>
      <c r="AM152">
        <v>0</v>
      </c>
      <c r="AN152">
        <v>0</v>
      </c>
      <c r="AO152">
        <v>0</v>
      </c>
      <c r="AP152">
        <v>0</v>
      </c>
      <c r="AQ152">
        <v>0</v>
      </c>
      <c r="AR152">
        <v>0</v>
      </c>
      <c r="AS152">
        <v>0</v>
      </c>
      <c r="AT152">
        <v>0</v>
      </c>
      <c r="AU152">
        <v>0</v>
      </c>
      <c r="AV152">
        <v>0</v>
      </c>
      <c r="AW152" s="80">
        <f>AW151</f>
        <v>10.76525</v>
      </c>
      <c r="AZ152">
        <v>2</v>
      </c>
      <c r="BA152" t="s">
        <v>7</v>
      </c>
      <c r="BB152">
        <v>18560</v>
      </c>
      <c r="BC152">
        <v>160</v>
      </c>
      <c r="BD152">
        <v>1</v>
      </c>
      <c r="BE152">
        <v>16</v>
      </c>
      <c r="BF152">
        <v>392.18</v>
      </c>
      <c r="BG152" s="62">
        <v>10.869</v>
      </c>
      <c r="BH152" s="16">
        <v>45475</v>
      </c>
      <c r="BI152" s="18">
        <v>5.9259259259259262E-2</v>
      </c>
      <c r="BJ152">
        <v>0</v>
      </c>
      <c r="BK152">
        <v>0</v>
      </c>
      <c r="BL152">
        <v>0</v>
      </c>
      <c r="BM152">
        <v>0</v>
      </c>
      <c r="BN152">
        <v>0</v>
      </c>
      <c r="BO152">
        <v>0</v>
      </c>
      <c r="BP152">
        <v>0</v>
      </c>
      <c r="BQ152">
        <v>0</v>
      </c>
      <c r="BR152">
        <v>0</v>
      </c>
      <c r="BS152">
        <v>0</v>
      </c>
      <c r="BT152">
        <v>0</v>
      </c>
      <c r="BU152">
        <v>0</v>
      </c>
    </row>
    <row r="153" spans="1:73" x14ac:dyDescent="0.25">
      <c r="A153" t="s">
        <v>111</v>
      </c>
      <c r="B153">
        <v>4</v>
      </c>
      <c r="C153" t="s">
        <v>7</v>
      </c>
      <c r="D153" s="20">
        <v>17472</v>
      </c>
      <c r="E153" s="20">
        <v>192</v>
      </c>
      <c r="F153" s="20">
        <v>1</v>
      </c>
      <c r="G153" s="20">
        <v>16</v>
      </c>
      <c r="H153" s="79">
        <v>329.42</v>
      </c>
      <c r="I153" s="62">
        <v>10.795</v>
      </c>
      <c r="J153" s="16">
        <v>45548</v>
      </c>
      <c r="K153" s="25">
        <v>0.88883101851851853</v>
      </c>
      <c r="L153">
        <v>0</v>
      </c>
      <c r="M153">
        <v>0</v>
      </c>
      <c r="N153">
        <v>0</v>
      </c>
      <c r="O153">
        <v>0</v>
      </c>
      <c r="P153">
        <v>0</v>
      </c>
      <c r="Q153">
        <v>0</v>
      </c>
      <c r="R153">
        <v>0</v>
      </c>
      <c r="S153">
        <v>0</v>
      </c>
      <c r="T153">
        <v>0</v>
      </c>
      <c r="U153">
        <v>0</v>
      </c>
      <c r="V153">
        <v>0</v>
      </c>
      <c r="W153">
        <v>0</v>
      </c>
      <c r="X153" s="80">
        <f>X152</f>
        <v>9.9177</v>
      </c>
      <c r="Z153" t="s">
        <v>149</v>
      </c>
      <c r="AA153">
        <v>4</v>
      </c>
      <c r="AB153" t="s">
        <v>7</v>
      </c>
      <c r="AC153" s="20">
        <v>18560</v>
      </c>
      <c r="AD153" s="20">
        <v>128</v>
      </c>
      <c r="AE153" s="20">
        <v>1</v>
      </c>
      <c r="AF153" s="20">
        <v>16</v>
      </c>
      <c r="AG153" s="79">
        <v>394.32</v>
      </c>
      <c r="AH153" s="62">
        <v>10.81</v>
      </c>
      <c r="AI153" s="16">
        <v>45555</v>
      </c>
      <c r="AJ153" s="25">
        <v>0.67805555555555552</v>
      </c>
      <c r="AK153">
        <v>0</v>
      </c>
      <c r="AL153">
        <v>0</v>
      </c>
      <c r="AM153">
        <v>0</v>
      </c>
      <c r="AN153">
        <v>0</v>
      </c>
      <c r="AO153">
        <v>0</v>
      </c>
      <c r="AP153">
        <v>0</v>
      </c>
      <c r="AQ153">
        <v>0</v>
      </c>
      <c r="AR153">
        <v>0</v>
      </c>
      <c r="AS153">
        <v>0</v>
      </c>
      <c r="AT153">
        <v>0</v>
      </c>
      <c r="AU153">
        <v>0</v>
      </c>
      <c r="AV153">
        <v>0</v>
      </c>
      <c r="AW153" s="80">
        <f>AW152</f>
        <v>10.76525</v>
      </c>
      <c r="AZ153">
        <v>2</v>
      </c>
      <c r="BA153" t="s">
        <v>7</v>
      </c>
      <c r="BB153">
        <v>17536</v>
      </c>
      <c r="BC153">
        <v>128</v>
      </c>
      <c r="BD153">
        <v>2</v>
      </c>
      <c r="BE153">
        <v>8</v>
      </c>
      <c r="BF153">
        <v>334.64</v>
      </c>
      <c r="BG153" s="62">
        <v>10.744</v>
      </c>
      <c r="BH153" s="16">
        <v>45474</v>
      </c>
      <c r="BI153" s="18">
        <v>0.91673611111111108</v>
      </c>
      <c r="BJ153">
        <v>0</v>
      </c>
      <c r="BK153">
        <v>0</v>
      </c>
      <c r="BL153">
        <v>0</v>
      </c>
      <c r="BM153">
        <v>0</v>
      </c>
      <c r="BN153">
        <v>0</v>
      </c>
      <c r="BO153">
        <v>0</v>
      </c>
      <c r="BP153">
        <v>0</v>
      </c>
      <c r="BQ153">
        <v>0</v>
      </c>
      <c r="BR153">
        <v>0</v>
      </c>
      <c r="BS153">
        <v>0</v>
      </c>
      <c r="BT153">
        <v>0</v>
      </c>
      <c r="BU153">
        <v>0</v>
      </c>
    </row>
    <row r="154" spans="1:73" x14ac:dyDescent="0.25">
      <c r="A154" t="s">
        <v>111</v>
      </c>
      <c r="B154">
        <v>0</v>
      </c>
      <c r="C154" t="s">
        <v>7</v>
      </c>
      <c r="D154" s="20">
        <v>17536</v>
      </c>
      <c r="E154" s="20">
        <v>64</v>
      </c>
      <c r="F154" s="20">
        <v>1</v>
      </c>
      <c r="G154" s="20">
        <v>16</v>
      </c>
      <c r="H154" s="79">
        <v>364.55</v>
      </c>
      <c r="I154" s="62">
        <v>9.8627000000000002</v>
      </c>
      <c r="J154" s="16">
        <v>45546</v>
      </c>
      <c r="K154" s="25">
        <v>0.31638888888888889</v>
      </c>
      <c r="L154">
        <v>0</v>
      </c>
      <c r="M154">
        <v>0</v>
      </c>
      <c r="N154">
        <v>0</v>
      </c>
      <c r="O154">
        <v>0</v>
      </c>
      <c r="P154">
        <v>0</v>
      </c>
      <c r="Q154">
        <v>0</v>
      </c>
      <c r="R154">
        <v>0</v>
      </c>
      <c r="S154">
        <v>0</v>
      </c>
      <c r="T154">
        <v>0</v>
      </c>
      <c r="U154">
        <v>0</v>
      </c>
      <c r="V154">
        <v>0</v>
      </c>
      <c r="W154">
        <v>0</v>
      </c>
      <c r="X154" s="82">
        <f>AVERAGE(I154:I158)</f>
        <v>9.9140800000000002</v>
      </c>
      <c r="Z154" t="s">
        <v>149</v>
      </c>
      <c r="AA154">
        <v>0</v>
      </c>
      <c r="AB154" t="s">
        <v>7</v>
      </c>
      <c r="AC154" s="20">
        <v>19584</v>
      </c>
      <c r="AD154" s="20">
        <v>192</v>
      </c>
      <c r="AE154" s="20">
        <v>2</v>
      </c>
      <c r="AF154" s="20">
        <v>8</v>
      </c>
      <c r="AG154" s="79">
        <v>402.78</v>
      </c>
      <c r="AH154" s="62">
        <v>12.433999999999999</v>
      </c>
      <c r="AI154" s="16">
        <v>45558</v>
      </c>
      <c r="AJ154" s="25">
        <v>0.25443287037037038</v>
      </c>
      <c r="AK154">
        <v>0</v>
      </c>
      <c r="AL154">
        <v>0</v>
      </c>
      <c r="AM154">
        <v>0</v>
      </c>
      <c r="AN154">
        <v>0</v>
      </c>
      <c r="AO154">
        <v>0</v>
      </c>
      <c r="AP154">
        <v>0</v>
      </c>
      <c r="AQ154">
        <v>0</v>
      </c>
      <c r="AR154">
        <v>0</v>
      </c>
      <c r="AS154">
        <v>0</v>
      </c>
      <c r="AT154">
        <v>0</v>
      </c>
      <c r="AU154">
        <v>0</v>
      </c>
      <c r="AV154">
        <v>0</v>
      </c>
      <c r="AW154" s="82">
        <f>AVERAGE(AH154:AH157)</f>
        <v>10.7478</v>
      </c>
      <c r="AZ154">
        <v>2</v>
      </c>
      <c r="BA154" t="s">
        <v>7</v>
      </c>
      <c r="BB154">
        <v>17600</v>
      </c>
      <c r="BC154">
        <v>160</v>
      </c>
      <c r="BD154">
        <v>1</v>
      </c>
      <c r="BE154">
        <v>16</v>
      </c>
      <c r="BF154">
        <v>340.98</v>
      </c>
      <c r="BG154" s="62">
        <v>10.66</v>
      </c>
      <c r="BH154" s="16">
        <v>45474</v>
      </c>
      <c r="BI154" s="18">
        <v>0.92712962962962964</v>
      </c>
      <c r="BJ154">
        <v>0</v>
      </c>
      <c r="BK154">
        <v>0</v>
      </c>
      <c r="BL154">
        <v>0</v>
      </c>
      <c r="BM154">
        <v>0</v>
      </c>
      <c r="BN154">
        <v>0</v>
      </c>
      <c r="BO154">
        <v>0</v>
      </c>
      <c r="BP154">
        <v>0</v>
      </c>
      <c r="BQ154">
        <v>0</v>
      </c>
      <c r="BR154">
        <v>0</v>
      </c>
      <c r="BS154">
        <v>0</v>
      </c>
      <c r="BT154">
        <v>0</v>
      </c>
      <c r="BU154">
        <v>0</v>
      </c>
    </row>
    <row r="155" spans="1:73" x14ac:dyDescent="0.25">
      <c r="A155" t="s">
        <v>111</v>
      </c>
      <c r="B155">
        <v>1</v>
      </c>
      <c r="C155" t="s">
        <v>7</v>
      </c>
      <c r="D155" s="20">
        <v>17536</v>
      </c>
      <c r="E155" s="20">
        <v>64</v>
      </c>
      <c r="F155" s="20">
        <v>1</v>
      </c>
      <c r="G155" s="20">
        <v>16</v>
      </c>
      <c r="H155" s="79">
        <v>359.48</v>
      </c>
      <c r="I155" s="62">
        <v>10.002000000000001</v>
      </c>
      <c r="J155" s="16">
        <v>45546</v>
      </c>
      <c r="K155" s="25">
        <v>0.93300925925925926</v>
      </c>
      <c r="L155">
        <v>0</v>
      </c>
      <c r="M155">
        <v>0</v>
      </c>
      <c r="N155">
        <v>0</v>
      </c>
      <c r="O155">
        <v>0</v>
      </c>
      <c r="P155">
        <v>0</v>
      </c>
      <c r="Q155">
        <v>0</v>
      </c>
      <c r="R155">
        <v>0</v>
      </c>
      <c r="S155">
        <v>0</v>
      </c>
      <c r="T155">
        <v>0</v>
      </c>
      <c r="U155">
        <v>0</v>
      </c>
      <c r="V155">
        <v>0</v>
      </c>
      <c r="W155">
        <v>0</v>
      </c>
      <c r="X155" s="80">
        <f>X154</f>
        <v>9.9140800000000002</v>
      </c>
      <c r="Z155" t="s">
        <v>149</v>
      </c>
      <c r="AA155">
        <v>1</v>
      </c>
      <c r="AB155" t="s">
        <v>7</v>
      </c>
      <c r="AC155" s="20">
        <v>19584</v>
      </c>
      <c r="AD155" s="20">
        <v>192</v>
      </c>
      <c r="AE155" s="20">
        <v>2</v>
      </c>
      <c r="AF155" s="20">
        <v>8</v>
      </c>
      <c r="AG155" s="79">
        <v>390.91</v>
      </c>
      <c r="AH155" s="62">
        <v>12.811</v>
      </c>
      <c r="AI155" s="16">
        <v>45558</v>
      </c>
      <c r="AJ155" s="25">
        <v>0.74935185185185182</v>
      </c>
      <c r="AK155">
        <v>0</v>
      </c>
      <c r="AL155">
        <v>0</v>
      </c>
      <c r="AM155">
        <v>0</v>
      </c>
      <c r="AN155">
        <v>0</v>
      </c>
      <c r="AO155">
        <v>0</v>
      </c>
      <c r="AP155">
        <v>0</v>
      </c>
      <c r="AQ155">
        <v>0</v>
      </c>
      <c r="AR155">
        <v>0</v>
      </c>
      <c r="AS155">
        <v>0</v>
      </c>
      <c r="AT155">
        <v>0</v>
      </c>
      <c r="AU155">
        <v>0</v>
      </c>
      <c r="AV155">
        <v>0</v>
      </c>
      <c r="AW155" s="80">
        <f>AW154</f>
        <v>10.7478</v>
      </c>
      <c r="AZ155">
        <v>1</v>
      </c>
      <c r="BA155" t="s">
        <v>7</v>
      </c>
      <c r="BB155">
        <v>19584</v>
      </c>
      <c r="BC155">
        <v>96</v>
      </c>
      <c r="BD155">
        <v>1</v>
      </c>
      <c r="BE155">
        <v>16</v>
      </c>
      <c r="BF155">
        <v>472.26</v>
      </c>
      <c r="BG155" s="62">
        <v>10.603999999999999</v>
      </c>
      <c r="BH155" s="16">
        <v>45474</v>
      </c>
      <c r="BI155" s="18">
        <v>0.59861111111111109</v>
      </c>
      <c r="BJ155">
        <v>0</v>
      </c>
      <c r="BK155">
        <v>0</v>
      </c>
      <c r="BL155">
        <v>0</v>
      </c>
      <c r="BM155">
        <v>0</v>
      </c>
      <c r="BN155">
        <v>0</v>
      </c>
      <c r="BO155">
        <v>0</v>
      </c>
      <c r="BP155">
        <v>0</v>
      </c>
      <c r="BQ155">
        <v>0</v>
      </c>
      <c r="BR155">
        <v>0</v>
      </c>
      <c r="BS155">
        <v>0</v>
      </c>
      <c r="BT155">
        <v>0</v>
      </c>
      <c r="BU155">
        <v>0</v>
      </c>
    </row>
    <row r="156" spans="1:73" x14ac:dyDescent="0.25">
      <c r="A156" t="s">
        <v>111</v>
      </c>
      <c r="B156">
        <v>2</v>
      </c>
      <c r="C156" t="s">
        <v>7</v>
      </c>
      <c r="D156" s="20">
        <v>17536</v>
      </c>
      <c r="E156" s="20">
        <v>64</v>
      </c>
      <c r="F156" s="20">
        <v>1</v>
      </c>
      <c r="G156" s="20">
        <v>16</v>
      </c>
      <c r="H156" s="79">
        <v>356.02</v>
      </c>
      <c r="I156" s="62">
        <v>10.099</v>
      </c>
      <c r="J156" s="16">
        <v>45547</v>
      </c>
      <c r="K156" s="25">
        <v>0.54831018518518515</v>
      </c>
      <c r="L156">
        <v>0</v>
      </c>
      <c r="M156">
        <v>0</v>
      </c>
      <c r="N156">
        <v>0</v>
      </c>
      <c r="O156">
        <v>0</v>
      </c>
      <c r="P156">
        <v>0</v>
      </c>
      <c r="Q156">
        <v>0</v>
      </c>
      <c r="R156">
        <v>0</v>
      </c>
      <c r="S156">
        <v>0</v>
      </c>
      <c r="T156">
        <v>0</v>
      </c>
      <c r="U156">
        <v>0</v>
      </c>
      <c r="V156">
        <v>0</v>
      </c>
      <c r="W156">
        <v>0</v>
      </c>
      <c r="X156" s="80">
        <f>X155</f>
        <v>9.9140800000000002</v>
      </c>
      <c r="Z156" t="s">
        <v>149</v>
      </c>
      <c r="AA156">
        <v>2</v>
      </c>
      <c r="AB156" t="s">
        <v>7</v>
      </c>
      <c r="AC156" s="20">
        <v>19584</v>
      </c>
      <c r="AD156" s="20">
        <v>192</v>
      </c>
      <c r="AE156" s="20">
        <v>2</v>
      </c>
      <c r="AF156" s="20">
        <v>8</v>
      </c>
      <c r="AG156" s="79">
        <v>1053.1500000000001</v>
      </c>
      <c r="AH156" s="62">
        <v>4.7552000000000003</v>
      </c>
      <c r="AI156" s="16">
        <v>45554</v>
      </c>
      <c r="AJ156" s="25">
        <v>0.89945601851851853</v>
      </c>
      <c r="AK156">
        <v>0</v>
      </c>
      <c r="AL156">
        <v>0</v>
      </c>
      <c r="AM156">
        <v>0</v>
      </c>
      <c r="AN156">
        <v>0</v>
      </c>
      <c r="AO156">
        <v>0</v>
      </c>
      <c r="AP156">
        <v>0</v>
      </c>
      <c r="AQ156">
        <v>0</v>
      </c>
      <c r="AR156">
        <v>0</v>
      </c>
      <c r="AS156">
        <v>0</v>
      </c>
      <c r="AT156">
        <v>0</v>
      </c>
      <c r="AU156">
        <v>0</v>
      </c>
      <c r="AV156">
        <v>0</v>
      </c>
      <c r="AW156" s="80">
        <f>AW155</f>
        <v>10.7478</v>
      </c>
      <c r="AZ156">
        <v>2</v>
      </c>
      <c r="BA156" t="s">
        <v>7</v>
      </c>
      <c r="BB156">
        <v>17472</v>
      </c>
      <c r="BC156">
        <v>192</v>
      </c>
      <c r="BD156">
        <v>1</v>
      </c>
      <c r="BE156">
        <v>16</v>
      </c>
      <c r="BF156">
        <v>336.2</v>
      </c>
      <c r="BG156" s="62">
        <v>10.577999999999999</v>
      </c>
      <c r="BH156" s="16">
        <v>45474</v>
      </c>
      <c r="BI156" s="18">
        <v>0.9421180555555555</v>
      </c>
      <c r="BJ156">
        <v>0</v>
      </c>
      <c r="BK156">
        <v>0</v>
      </c>
      <c r="BL156">
        <v>0</v>
      </c>
      <c r="BM156">
        <v>0</v>
      </c>
      <c r="BN156">
        <v>0</v>
      </c>
      <c r="BO156">
        <v>0</v>
      </c>
      <c r="BP156">
        <v>0</v>
      </c>
      <c r="BQ156">
        <v>0</v>
      </c>
      <c r="BR156">
        <v>0</v>
      </c>
      <c r="BS156">
        <v>0</v>
      </c>
      <c r="BT156">
        <v>0</v>
      </c>
      <c r="BU156">
        <v>0</v>
      </c>
    </row>
    <row r="157" spans="1:73" x14ac:dyDescent="0.25">
      <c r="A157" t="s">
        <v>111</v>
      </c>
      <c r="B157">
        <v>3</v>
      </c>
      <c r="C157" t="s">
        <v>7</v>
      </c>
      <c r="D157" s="20">
        <v>17536</v>
      </c>
      <c r="E157" s="20">
        <v>64</v>
      </c>
      <c r="F157" s="20">
        <v>1</v>
      </c>
      <c r="G157" s="20">
        <v>16</v>
      </c>
      <c r="H157" s="79">
        <v>354.51</v>
      </c>
      <c r="I157" s="62">
        <v>10.141999999999999</v>
      </c>
      <c r="J157" s="16">
        <v>45548</v>
      </c>
      <c r="K157" s="25">
        <v>0.20900462962962962</v>
      </c>
      <c r="L157">
        <v>0</v>
      </c>
      <c r="M157">
        <v>0</v>
      </c>
      <c r="N157">
        <v>0</v>
      </c>
      <c r="O157">
        <v>0</v>
      </c>
      <c r="P157">
        <v>0</v>
      </c>
      <c r="Q157">
        <v>0</v>
      </c>
      <c r="R157">
        <v>0</v>
      </c>
      <c r="S157">
        <v>0</v>
      </c>
      <c r="T157">
        <v>0</v>
      </c>
      <c r="U157">
        <v>0</v>
      </c>
      <c r="V157">
        <v>0</v>
      </c>
      <c r="W157">
        <v>0</v>
      </c>
      <c r="X157" s="80">
        <f>X156</f>
        <v>9.9140800000000002</v>
      </c>
      <c r="Z157" t="s">
        <v>149</v>
      </c>
      <c r="AA157">
        <v>3</v>
      </c>
      <c r="AB157" t="s">
        <v>7</v>
      </c>
      <c r="AC157" s="20">
        <v>19584</v>
      </c>
      <c r="AD157" s="20">
        <v>192</v>
      </c>
      <c r="AE157" s="20">
        <v>2</v>
      </c>
      <c r="AF157" s="20">
        <v>8</v>
      </c>
      <c r="AG157" s="79">
        <v>385.49</v>
      </c>
      <c r="AH157" s="62">
        <v>12.991</v>
      </c>
      <c r="AI157" s="16">
        <v>45555</v>
      </c>
      <c r="AJ157" s="25">
        <v>0.41943287037037036</v>
      </c>
      <c r="AK157">
        <v>0</v>
      </c>
      <c r="AL157">
        <v>0</v>
      </c>
      <c r="AM157">
        <v>0</v>
      </c>
      <c r="AN157">
        <v>0</v>
      </c>
      <c r="AO157">
        <v>0</v>
      </c>
      <c r="AP157">
        <v>0</v>
      </c>
      <c r="AQ157">
        <v>0</v>
      </c>
      <c r="AR157">
        <v>0</v>
      </c>
      <c r="AS157">
        <v>0</v>
      </c>
      <c r="AT157">
        <v>0</v>
      </c>
      <c r="AU157">
        <v>0</v>
      </c>
      <c r="AV157">
        <v>0</v>
      </c>
      <c r="AW157" s="80">
        <f>AW156</f>
        <v>10.7478</v>
      </c>
      <c r="AZ157">
        <v>2</v>
      </c>
      <c r="BA157" t="s">
        <v>7</v>
      </c>
      <c r="BB157">
        <v>18528</v>
      </c>
      <c r="BC157">
        <v>96</v>
      </c>
      <c r="BD157">
        <v>1</v>
      </c>
      <c r="BE157">
        <v>16</v>
      </c>
      <c r="BF157">
        <v>401.31</v>
      </c>
      <c r="BG157" s="62">
        <v>10.567</v>
      </c>
      <c r="BH157" s="16">
        <v>45475</v>
      </c>
      <c r="BI157" s="18">
        <v>2.4687500000000001E-2</v>
      </c>
      <c r="BJ157">
        <v>0</v>
      </c>
      <c r="BK157">
        <v>0</v>
      </c>
      <c r="BL157">
        <v>0</v>
      </c>
      <c r="BM157">
        <v>0</v>
      </c>
      <c r="BN157">
        <v>0</v>
      </c>
      <c r="BO157">
        <v>0</v>
      </c>
      <c r="BP157">
        <v>0</v>
      </c>
      <c r="BQ157">
        <v>0</v>
      </c>
      <c r="BR157">
        <v>0</v>
      </c>
      <c r="BS157">
        <v>0</v>
      </c>
      <c r="BT157">
        <v>0</v>
      </c>
      <c r="BU157">
        <v>0</v>
      </c>
    </row>
    <row r="158" spans="1:73" x14ac:dyDescent="0.25">
      <c r="A158" t="s">
        <v>111</v>
      </c>
      <c r="B158">
        <v>4</v>
      </c>
      <c r="C158" t="s">
        <v>7</v>
      </c>
      <c r="D158" s="20">
        <v>17536</v>
      </c>
      <c r="E158" s="20">
        <v>64</v>
      </c>
      <c r="F158" s="20">
        <v>1</v>
      </c>
      <c r="G158" s="20">
        <v>16</v>
      </c>
      <c r="H158" s="79">
        <v>379.88</v>
      </c>
      <c r="I158" s="62">
        <v>9.4647000000000006</v>
      </c>
      <c r="J158" s="16">
        <v>45548</v>
      </c>
      <c r="K158" s="25">
        <v>0.83728009259259262</v>
      </c>
      <c r="L158">
        <v>0</v>
      </c>
      <c r="M158">
        <v>0</v>
      </c>
      <c r="N158">
        <v>0</v>
      </c>
      <c r="O158">
        <v>0</v>
      </c>
      <c r="P158">
        <v>0</v>
      </c>
      <c r="Q158">
        <v>0</v>
      </c>
      <c r="R158">
        <v>0</v>
      </c>
      <c r="S158">
        <v>0</v>
      </c>
      <c r="T158">
        <v>0</v>
      </c>
      <c r="U158">
        <v>0</v>
      </c>
      <c r="V158">
        <v>0</v>
      </c>
      <c r="W158">
        <v>0</v>
      </c>
      <c r="X158" s="80">
        <f>X157</f>
        <v>9.9140800000000002</v>
      </c>
      <c r="Z158" t="s">
        <v>149</v>
      </c>
      <c r="AA158">
        <v>4</v>
      </c>
      <c r="AB158" t="s">
        <v>7</v>
      </c>
      <c r="AC158" s="20">
        <v>19584</v>
      </c>
      <c r="AD158" s="20">
        <v>192</v>
      </c>
      <c r="AE158" s="20">
        <v>2</v>
      </c>
      <c r="AF158" s="20">
        <v>8</v>
      </c>
      <c r="AG158" s="79">
        <v>1368.59</v>
      </c>
      <c r="AH158" s="62">
        <v>3.6591999999999998</v>
      </c>
      <c r="AI158" s="16">
        <v>45555</v>
      </c>
      <c r="AJ158" s="25">
        <v>0.92818287037037039</v>
      </c>
      <c r="AK158">
        <v>0</v>
      </c>
      <c r="AL158">
        <v>0</v>
      </c>
      <c r="AM158">
        <v>0</v>
      </c>
      <c r="AN158">
        <v>0</v>
      </c>
      <c r="AO158">
        <v>0</v>
      </c>
      <c r="AP158">
        <v>0</v>
      </c>
      <c r="AQ158">
        <v>0</v>
      </c>
      <c r="AR158">
        <v>0</v>
      </c>
      <c r="AS158">
        <v>0</v>
      </c>
      <c r="AT158">
        <v>0</v>
      </c>
      <c r="AU158">
        <v>0</v>
      </c>
      <c r="AV158">
        <v>0</v>
      </c>
      <c r="AW158" s="80">
        <f>AW157</f>
        <v>10.7478</v>
      </c>
      <c r="AZ158">
        <v>2</v>
      </c>
      <c r="BA158" t="s">
        <v>7</v>
      </c>
      <c r="BB158">
        <v>18560</v>
      </c>
      <c r="BC158">
        <v>128</v>
      </c>
      <c r="BD158">
        <v>1</v>
      </c>
      <c r="BE158">
        <v>16</v>
      </c>
      <c r="BF158">
        <v>403.64</v>
      </c>
      <c r="BG158" s="62">
        <v>10.561</v>
      </c>
      <c r="BH158" s="16">
        <v>45475</v>
      </c>
      <c r="BI158" s="18">
        <v>4.1979166666666665E-2</v>
      </c>
      <c r="BJ158">
        <v>0</v>
      </c>
      <c r="BK158">
        <v>0</v>
      </c>
      <c r="BL158">
        <v>0</v>
      </c>
      <c r="BM158">
        <v>0</v>
      </c>
      <c r="BN158">
        <v>0</v>
      </c>
      <c r="BO158">
        <v>0</v>
      </c>
      <c r="BP158">
        <v>0</v>
      </c>
      <c r="BQ158">
        <v>0</v>
      </c>
      <c r="BR158">
        <v>0</v>
      </c>
      <c r="BS158">
        <v>0</v>
      </c>
      <c r="BT158">
        <v>0</v>
      </c>
      <c r="BU158">
        <v>0</v>
      </c>
    </row>
    <row r="159" spans="1:73" x14ac:dyDescent="0.25">
      <c r="A159" t="s">
        <v>111</v>
      </c>
      <c r="B159">
        <v>0</v>
      </c>
      <c r="C159" t="s">
        <v>7</v>
      </c>
      <c r="D159" s="20">
        <v>19584</v>
      </c>
      <c r="E159" s="20">
        <v>64</v>
      </c>
      <c r="F159" s="20">
        <v>1</v>
      </c>
      <c r="G159" s="20">
        <v>16</v>
      </c>
      <c r="H159" s="79">
        <v>463.98</v>
      </c>
      <c r="I159" s="62">
        <v>10.794</v>
      </c>
      <c r="J159" s="16">
        <v>45546</v>
      </c>
      <c r="K159" s="25">
        <v>0.56585648148148149</v>
      </c>
      <c r="L159">
        <v>0</v>
      </c>
      <c r="M159">
        <v>0</v>
      </c>
      <c r="N159">
        <v>0</v>
      </c>
      <c r="O159">
        <v>0</v>
      </c>
      <c r="P159">
        <v>0</v>
      </c>
      <c r="Q159">
        <v>0</v>
      </c>
      <c r="R159">
        <v>0</v>
      </c>
      <c r="S159">
        <v>0</v>
      </c>
      <c r="T159">
        <v>0</v>
      </c>
      <c r="U159">
        <v>0</v>
      </c>
      <c r="V159">
        <v>0</v>
      </c>
      <c r="W159">
        <v>0</v>
      </c>
      <c r="X159" s="82">
        <f>AVERAGE(I159:I163)</f>
        <v>9.8803999999999998</v>
      </c>
      <c r="Z159" t="s">
        <v>149</v>
      </c>
      <c r="AA159">
        <v>0</v>
      </c>
      <c r="AB159" t="s">
        <v>7</v>
      </c>
      <c r="AC159" s="20">
        <v>18560</v>
      </c>
      <c r="AD159" s="20">
        <v>160</v>
      </c>
      <c r="AE159" s="20">
        <v>1</v>
      </c>
      <c r="AF159" s="20">
        <v>16</v>
      </c>
      <c r="AG159" s="79">
        <v>416.69</v>
      </c>
      <c r="AH159" s="62">
        <v>10.23</v>
      </c>
      <c r="AI159" s="16">
        <v>45558</v>
      </c>
      <c r="AJ159" s="25">
        <v>2.3043981481481481E-2</v>
      </c>
      <c r="AK159">
        <v>0</v>
      </c>
      <c r="AL159">
        <v>0</v>
      </c>
      <c r="AM159">
        <v>0</v>
      </c>
      <c r="AN159">
        <v>0</v>
      </c>
      <c r="AO159">
        <v>0</v>
      </c>
      <c r="AP159">
        <v>0</v>
      </c>
      <c r="AQ159">
        <v>0</v>
      </c>
      <c r="AR159">
        <v>0</v>
      </c>
      <c r="AS159">
        <v>0</v>
      </c>
      <c r="AT159">
        <v>0</v>
      </c>
      <c r="AU159">
        <v>0</v>
      </c>
      <c r="AV159">
        <v>0</v>
      </c>
      <c r="AW159" s="82">
        <f>AVERAGE(AH159:AH162)</f>
        <v>10.687749999999999</v>
      </c>
      <c r="AZ159">
        <v>2</v>
      </c>
      <c r="BA159" t="s">
        <v>7</v>
      </c>
      <c r="BB159">
        <v>18560</v>
      </c>
      <c r="BC159">
        <v>64</v>
      </c>
      <c r="BD159">
        <v>1</v>
      </c>
      <c r="BE159">
        <v>16</v>
      </c>
      <c r="BF159">
        <v>404.39</v>
      </c>
      <c r="BG159" s="62">
        <v>10.541</v>
      </c>
      <c r="BH159" s="16">
        <v>45475</v>
      </c>
      <c r="BI159" s="18">
        <v>7.4305555555555557E-3</v>
      </c>
      <c r="BJ159">
        <v>0</v>
      </c>
      <c r="BK159">
        <v>0</v>
      </c>
      <c r="BL159">
        <v>0</v>
      </c>
      <c r="BM159">
        <v>0</v>
      </c>
      <c r="BN159">
        <v>0</v>
      </c>
      <c r="BO159">
        <v>0</v>
      </c>
      <c r="BP159">
        <v>0</v>
      </c>
      <c r="BQ159">
        <v>0</v>
      </c>
      <c r="BR159">
        <v>0</v>
      </c>
      <c r="BS159">
        <v>0</v>
      </c>
      <c r="BT159">
        <v>0</v>
      </c>
      <c r="BU159">
        <v>0</v>
      </c>
    </row>
    <row r="160" spans="1:73" x14ac:dyDescent="0.25">
      <c r="A160" t="s">
        <v>111</v>
      </c>
      <c r="B160">
        <v>1</v>
      </c>
      <c r="C160" t="s">
        <v>7</v>
      </c>
      <c r="D160" s="20">
        <v>19584</v>
      </c>
      <c r="E160" s="20">
        <v>64</v>
      </c>
      <c r="F160" s="20">
        <v>1</v>
      </c>
      <c r="G160" s="20">
        <v>16</v>
      </c>
      <c r="H160" s="79">
        <v>521.66</v>
      </c>
      <c r="I160" s="62">
        <v>9.6000999999999994</v>
      </c>
      <c r="J160" s="16">
        <v>45547</v>
      </c>
      <c r="K160" s="25">
        <v>0.1900462962962963</v>
      </c>
      <c r="L160">
        <v>0</v>
      </c>
      <c r="M160">
        <v>0</v>
      </c>
      <c r="N160">
        <v>0</v>
      </c>
      <c r="O160">
        <v>0</v>
      </c>
      <c r="P160">
        <v>0</v>
      </c>
      <c r="Q160">
        <v>0</v>
      </c>
      <c r="R160">
        <v>0</v>
      </c>
      <c r="S160">
        <v>0</v>
      </c>
      <c r="T160">
        <v>0</v>
      </c>
      <c r="U160">
        <v>0</v>
      </c>
      <c r="V160">
        <v>0</v>
      </c>
      <c r="W160">
        <v>0</v>
      </c>
      <c r="X160" s="80">
        <f>X159</f>
        <v>9.8803999999999998</v>
      </c>
      <c r="Z160" t="s">
        <v>149</v>
      </c>
      <c r="AA160">
        <v>1</v>
      </c>
      <c r="AB160" t="s">
        <v>7</v>
      </c>
      <c r="AC160" s="20">
        <v>18560</v>
      </c>
      <c r="AD160" s="20">
        <v>160</v>
      </c>
      <c r="AE160" s="20">
        <v>1</v>
      </c>
      <c r="AF160" s="20">
        <v>16</v>
      </c>
      <c r="AG160" s="79">
        <v>397.32</v>
      </c>
      <c r="AH160" s="62">
        <v>10.728999999999999</v>
      </c>
      <c r="AI160" s="16">
        <v>45558</v>
      </c>
      <c r="AJ160" s="25">
        <v>0.52219907407407407</v>
      </c>
      <c r="AK160">
        <v>0</v>
      </c>
      <c r="AL160">
        <v>0</v>
      </c>
      <c r="AM160">
        <v>0</v>
      </c>
      <c r="AN160">
        <v>0</v>
      </c>
      <c r="AO160">
        <v>0</v>
      </c>
      <c r="AP160">
        <v>0</v>
      </c>
      <c r="AQ160">
        <v>0</v>
      </c>
      <c r="AR160">
        <v>0</v>
      </c>
      <c r="AS160">
        <v>0</v>
      </c>
      <c r="AT160">
        <v>0</v>
      </c>
      <c r="AU160">
        <v>0</v>
      </c>
      <c r="AV160">
        <v>0</v>
      </c>
      <c r="AW160" s="80">
        <f>AW159</f>
        <v>10.687749999999999</v>
      </c>
      <c r="AZ160">
        <v>1</v>
      </c>
      <c r="BA160" t="s">
        <v>7</v>
      </c>
      <c r="BB160">
        <v>19488</v>
      </c>
      <c r="BC160">
        <v>224</v>
      </c>
      <c r="BD160">
        <v>2</v>
      </c>
      <c r="BE160">
        <v>8</v>
      </c>
      <c r="BF160">
        <v>468.17</v>
      </c>
      <c r="BG160" s="62">
        <v>10.54</v>
      </c>
      <c r="BH160" s="16">
        <v>45474</v>
      </c>
      <c r="BI160" s="18">
        <v>0.82712962962962966</v>
      </c>
      <c r="BJ160">
        <v>0</v>
      </c>
      <c r="BK160">
        <v>0</v>
      </c>
      <c r="BL160">
        <v>0</v>
      </c>
      <c r="BM160">
        <v>0</v>
      </c>
      <c r="BN160">
        <v>0</v>
      </c>
      <c r="BO160">
        <v>0</v>
      </c>
      <c r="BP160">
        <v>0</v>
      </c>
      <c r="BQ160">
        <v>0</v>
      </c>
      <c r="BR160">
        <v>0</v>
      </c>
      <c r="BS160">
        <v>0</v>
      </c>
      <c r="BT160">
        <v>0</v>
      </c>
      <c r="BU160">
        <v>0</v>
      </c>
    </row>
    <row r="161" spans="1:73" x14ac:dyDescent="0.25">
      <c r="A161" t="s">
        <v>111</v>
      </c>
      <c r="B161">
        <v>2</v>
      </c>
      <c r="C161" t="s">
        <v>7</v>
      </c>
      <c r="D161" s="20">
        <v>19584</v>
      </c>
      <c r="E161" s="20">
        <v>64</v>
      </c>
      <c r="F161" s="20">
        <v>1</v>
      </c>
      <c r="G161" s="20">
        <v>16</v>
      </c>
      <c r="H161" s="79">
        <v>508.23</v>
      </c>
      <c r="I161" s="62">
        <v>9.8537999999999997</v>
      </c>
      <c r="J161" s="16">
        <v>45547</v>
      </c>
      <c r="K161" s="25">
        <v>0.80005787037037035</v>
      </c>
      <c r="L161">
        <v>0</v>
      </c>
      <c r="M161">
        <v>0</v>
      </c>
      <c r="N161">
        <v>0</v>
      </c>
      <c r="O161">
        <v>0</v>
      </c>
      <c r="P161">
        <v>0</v>
      </c>
      <c r="Q161">
        <v>0</v>
      </c>
      <c r="R161">
        <v>0</v>
      </c>
      <c r="S161">
        <v>0</v>
      </c>
      <c r="T161">
        <v>0</v>
      </c>
      <c r="U161">
        <v>0</v>
      </c>
      <c r="V161">
        <v>0</v>
      </c>
      <c r="W161">
        <v>0</v>
      </c>
      <c r="X161" s="80">
        <f>X160</f>
        <v>9.8803999999999998</v>
      </c>
      <c r="Z161" t="s">
        <v>149</v>
      </c>
      <c r="AA161">
        <v>2</v>
      </c>
      <c r="AB161" t="s">
        <v>7</v>
      </c>
      <c r="AC161" s="20">
        <v>18560</v>
      </c>
      <c r="AD161" s="20">
        <v>160</v>
      </c>
      <c r="AE161" s="20">
        <v>1</v>
      </c>
      <c r="AF161" s="20">
        <v>16</v>
      </c>
      <c r="AG161" s="79">
        <v>392.02</v>
      </c>
      <c r="AH161" s="62">
        <v>10.874000000000001</v>
      </c>
      <c r="AI161" s="16">
        <v>45554</v>
      </c>
      <c r="AJ161" s="25">
        <v>0.6661111111111111</v>
      </c>
      <c r="AK161">
        <v>0</v>
      </c>
      <c r="AL161">
        <v>0</v>
      </c>
      <c r="AM161">
        <v>0</v>
      </c>
      <c r="AN161">
        <v>0</v>
      </c>
      <c r="AO161">
        <v>0</v>
      </c>
      <c r="AP161">
        <v>0</v>
      </c>
      <c r="AQ161">
        <v>0</v>
      </c>
      <c r="AR161">
        <v>0</v>
      </c>
      <c r="AS161">
        <v>0</v>
      </c>
      <c r="AT161">
        <v>0</v>
      </c>
      <c r="AU161">
        <v>0</v>
      </c>
      <c r="AV161">
        <v>0</v>
      </c>
      <c r="AW161" s="80">
        <f>AW160</f>
        <v>10.687749999999999</v>
      </c>
      <c r="AZ161">
        <v>2</v>
      </c>
      <c r="BA161" t="s">
        <v>7</v>
      </c>
      <c r="BB161">
        <v>17408</v>
      </c>
      <c r="BC161">
        <v>256</v>
      </c>
      <c r="BD161">
        <v>2</v>
      </c>
      <c r="BE161">
        <v>8</v>
      </c>
      <c r="BF161">
        <v>334.82</v>
      </c>
      <c r="BG161" s="62">
        <v>10.505000000000001</v>
      </c>
      <c r="BH161" s="16">
        <v>45474</v>
      </c>
      <c r="BI161" s="18">
        <v>0.97729166666666667</v>
      </c>
      <c r="BJ161">
        <v>0</v>
      </c>
      <c r="BK161">
        <v>0</v>
      </c>
      <c r="BL161">
        <v>0</v>
      </c>
      <c r="BM161">
        <v>0</v>
      </c>
      <c r="BN161">
        <v>0</v>
      </c>
      <c r="BO161">
        <v>0</v>
      </c>
      <c r="BP161">
        <v>0</v>
      </c>
      <c r="BQ161">
        <v>0</v>
      </c>
      <c r="BR161">
        <v>0</v>
      </c>
      <c r="BS161">
        <v>0</v>
      </c>
      <c r="BT161">
        <v>0</v>
      </c>
      <c r="BU161">
        <v>0</v>
      </c>
    </row>
    <row r="162" spans="1:73" x14ac:dyDescent="0.25">
      <c r="A162" t="s">
        <v>111</v>
      </c>
      <c r="B162">
        <v>3</v>
      </c>
      <c r="C162" t="s">
        <v>7</v>
      </c>
      <c r="D162" s="20">
        <v>19584</v>
      </c>
      <c r="E162" s="20">
        <v>64</v>
      </c>
      <c r="F162" s="20">
        <v>1</v>
      </c>
      <c r="G162" s="20">
        <v>16</v>
      </c>
      <c r="H162" s="79">
        <v>517.23</v>
      </c>
      <c r="I162" s="62">
        <v>9.6823999999999995</v>
      </c>
      <c r="J162" s="16">
        <v>45548</v>
      </c>
      <c r="K162" s="25">
        <v>0.46425925925925926</v>
      </c>
      <c r="L162">
        <v>0</v>
      </c>
      <c r="M162">
        <v>0</v>
      </c>
      <c r="N162">
        <v>0</v>
      </c>
      <c r="O162">
        <v>0</v>
      </c>
      <c r="P162">
        <v>0</v>
      </c>
      <c r="Q162">
        <v>0</v>
      </c>
      <c r="R162">
        <v>0</v>
      </c>
      <c r="S162">
        <v>0</v>
      </c>
      <c r="T162">
        <v>0</v>
      </c>
      <c r="U162">
        <v>0</v>
      </c>
      <c r="V162">
        <v>0</v>
      </c>
      <c r="W162">
        <v>0</v>
      </c>
      <c r="X162" s="80">
        <f>X161</f>
        <v>9.8803999999999998</v>
      </c>
      <c r="Z162" t="s">
        <v>149</v>
      </c>
      <c r="AA162">
        <v>3</v>
      </c>
      <c r="AB162" t="s">
        <v>7</v>
      </c>
      <c r="AC162" s="20">
        <v>18560</v>
      </c>
      <c r="AD162" s="20">
        <v>160</v>
      </c>
      <c r="AE162" s="20">
        <v>1</v>
      </c>
      <c r="AF162" s="20">
        <v>16</v>
      </c>
      <c r="AG162" s="79">
        <v>390.45</v>
      </c>
      <c r="AH162" s="62">
        <v>10.917999999999999</v>
      </c>
      <c r="AI162" s="16">
        <v>45555</v>
      </c>
      <c r="AJ162" s="25">
        <v>0.19152777777777777</v>
      </c>
      <c r="AK162">
        <v>0</v>
      </c>
      <c r="AL162">
        <v>0</v>
      </c>
      <c r="AM162">
        <v>0</v>
      </c>
      <c r="AN162">
        <v>0</v>
      </c>
      <c r="AO162">
        <v>0</v>
      </c>
      <c r="AP162">
        <v>0</v>
      </c>
      <c r="AQ162">
        <v>0</v>
      </c>
      <c r="AR162">
        <v>0</v>
      </c>
      <c r="AS162">
        <v>0</v>
      </c>
      <c r="AT162">
        <v>0</v>
      </c>
      <c r="AU162">
        <v>0</v>
      </c>
      <c r="AV162">
        <v>0</v>
      </c>
      <c r="AW162" s="80">
        <f>AW161</f>
        <v>10.687749999999999</v>
      </c>
      <c r="AZ162">
        <v>2</v>
      </c>
      <c r="BA162" t="s">
        <v>7</v>
      </c>
      <c r="BB162">
        <v>17568</v>
      </c>
      <c r="BC162">
        <v>96</v>
      </c>
      <c r="BD162">
        <v>1</v>
      </c>
      <c r="BE162">
        <v>16</v>
      </c>
      <c r="BF162">
        <v>346.71</v>
      </c>
      <c r="BG162" s="62">
        <v>10.427</v>
      </c>
      <c r="BH162" s="16">
        <v>45474</v>
      </c>
      <c r="BI162" s="18">
        <v>0.89694444444444443</v>
      </c>
      <c r="BJ162">
        <v>0</v>
      </c>
      <c r="BK162">
        <v>0</v>
      </c>
      <c r="BL162">
        <v>0</v>
      </c>
      <c r="BM162">
        <v>0</v>
      </c>
      <c r="BN162">
        <v>0</v>
      </c>
      <c r="BO162">
        <v>0</v>
      </c>
      <c r="BP162">
        <v>0</v>
      </c>
      <c r="BQ162">
        <v>0</v>
      </c>
      <c r="BR162">
        <v>0</v>
      </c>
      <c r="BS162">
        <v>0</v>
      </c>
      <c r="BT162">
        <v>0</v>
      </c>
      <c r="BU162">
        <v>0</v>
      </c>
    </row>
    <row r="163" spans="1:73" x14ac:dyDescent="0.25">
      <c r="A163" t="s">
        <v>111</v>
      </c>
      <c r="B163">
        <v>4</v>
      </c>
      <c r="C163" t="s">
        <v>7</v>
      </c>
      <c r="D163" s="20">
        <v>19584</v>
      </c>
      <c r="E163" s="20">
        <v>64</v>
      </c>
      <c r="F163" s="20">
        <v>1</v>
      </c>
      <c r="G163" s="20">
        <v>16</v>
      </c>
      <c r="H163" s="79">
        <v>528.73</v>
      </c>
      <c r="I163" s="62">
        <v>9.4717000000000002</v>
      </c>
      <c r="J163" s="16">
        <v>45549</v>
      </c>
      <c r="K163" s="25">
        <v>0.10009259259259259</v>
      </c>
      <c r="L163">
        <v>0</v>
      </c>
      <c r="M163">
        <v>0</v>
      </c>
      <c r="N163">
        <v>0</v>
      </c>
      <c r="O163">
        <v>0</v>
      </c>
      <c r="P163">
        <v>0</v>
      </c>
      <c r="Q163">
        <v>0</v>
      </c>
      <c r="R163">
        <v>0</v>
      </c>
      <c r="S163">
        <v>0</v>
      </c>
      <c r="T163">
        <v>0</v>
      </c>
      <c r="U163">
        <v>0</v>
      </c>
      <c r="V163">
        <v>0</v>
      </c>
      <c r="W163">
        <v>0</v>
      </c>
      <c r="X163" s="80">
        <f>X162</f>
        <v>9.8803999999999998</v>
      </c>
      <c r="Z163" t="s">
        <v>149</v>
      </c>
      <c r="AA163">
        <v>4</v>
      </c>
      <c r="AB163" t="s">
        <v>7</v>
      </c>
      <c r="AC163" s="20">
        <v>18560</v>
      </c>
      <c r="AD163" s="20">
        <v>160</v>
      </c>
      <c r="AE163" s="20">
        <v>1</v>
      </c>
      <c r="AF163" s="20">
        <v>16</v>
      </c>
      <c r="AG163" s="79">
        <v>399.33</v>
      </c>
      <c r="AH163" s="62">
        <v>10.675000000000001</v>
      </c>
      <c r="AI163" s="16">
        <v>45555</v>
      </c>
      <c r="AJ163" s="25">
        <v>0.6917592592592593</v>
      </c>
      <c r="AK163">
        <v>0</v>
      </c>
      <c r="AL163">
        <v>0</v>
      </c>
      <c r="AM163">
        <v>0</v>
      </c>
      <c r="AN163">
        <v>0</v>
      </c>
      <c r="AO163">
        <v>0</v>
      </c>
      <c r="AP163">
        <v>0</v>
      </c>
      <c r="AQ163">
        <v>0</v>
      </c>
      <c r="AR163">
        <v>0</v>
      </c>
      <c r="AS163">
        <v>0</v>
      </c>
      <c r="AT163">
        <v>0</v>
      </c>
      <c r="AU163">
        <v>0</v>
      </c>
      <c r="AV163">
        <v>0</v>
      </c>
      <c r="AW163" s="80">
        <f>AW162</f>
        <v>10.687749999999999</v>
      </c>
      <c r="AZ163">
        <v>2</v>
      </c>
      <c r="BA163" t="s">
        <v>7</v>
      </c>
      <c r="BB163">
        <v>17472</v>
      </c>
      <c r="BC163">
        <v>224</v>
      </c>
      <c r="BD163">
        <v>1</v>
      </c>
      <c r="BE163">
        <v>16</v>
      </c>
      <c r="BF163">
        <v>342.28</v>
      </c>
      <c r="BG163" s="62">
        <v>10.39</v>
      </c>
      <c r="BH163" s="16">
        <v>45474</v>
      </c>
      <c r="BI163" s="18">
        <v>0.9571412037037037</v>
      </c>
      <c r="BJ163">
        <v>0</v>
      </c>
      <c r="BK163">
        <v>0</v>
      </c>
      <c r="BL163">
        <v>0</v>
      </c>
      <c r="BM163">
        <v>0</v>
      </c>
      <c r="BN163">
        <v>0</v>
      </c>
      <c r="BO163">
        <v>0</v>
      </c>
      <c r="BP163">
        <v>0</v>
      </c>
      <c r="BQ163">
        <v>0</v>
      </c>
      <c r="BR163">
        <v>0</v>
      </c>
      <c r="BS163">
        <v>0</v>
      </c>
      <c r="BT163">
        <v>0</v>
      </c>
      <c r="BU163">
        <v>0</v>
      </c>
    </row>
    <row r="164" spans="1:73" x14ac:dyDescent="0.25">
      <c r="A164" t="s">
        <v>111</v>
      </c>
      <c r="B164">
        <v>0</v>
      </c>
      <c r="C164" t="s">
        <v>7</v>
      </c>
      <c r="D164" s="20">
        <v>18560</v>
      </c>
      <c r="E164" s="20">
        <v>128</v>
      </c>
      <c r="F164" s="20">
        <v>1</v>
      </c>
      <c r="G164" s="20">
        <v>16</v>
      </c>
      <c r="H164" s="79">
        <v>438.3</v>
      </c>
      <c r="I164" s="62">
        <v>9.7256999999999998</v>
      </c>
      <c r="J164" s="16">
        <v>45546</v>
      </c>
      <c r="K164" s="25">
        <v>0.45741898148148147</v>
      </c>
      <c r="L164">
        <v>0</v>
      </c>
      <c r="M164">
        <v>0</v>
      </c>
      <c r="N164">
        <v>0</v>
      </c>
      <c r="O164">
        <v>0</v>
      </c>
      <c r="P164">
        <v>0</v>
      </c>
      <c r="Q164">
        <v>0</v>
      </c>
      <c r="R164">
        <v>0</v>
      </c>
      <c r="S164">
        <v>0</v>
      </c>
      <c r="T164">
        <v>0</v>
      </c>
      <c r="U164">
        <v>0</v>
      </c>
      <c r="V164">
        <v>0</v>
      </c>
      <c r="W164">
        <v>0</v>
      </c>
      <c r="X164" s="82">
        <f>AVERAGE(I164:I168)</f>
        <v>9.7984400000000011</v>
      </c>
      <c r="Z164" t="s">
        <v>149</v>
      </c>
      <c r="AA164">
        <v>0</v>
      </c>
      <c r="AB164" t="s">
        <v>7</v>
      </c>
      <c r="AC164" s="20">
        <v>18432</v>
      </c>
      <c r="AD164" s="20">
        <v>192</v>
      </c>
      <c r="AE164" s="20">
        <v>1</v>
      </c>
      <c r="AF164" s="20">
        <v>16</v>
      </c>
      <c r="AG164" s="79">
        <v>393.03</v>
      </c>
      <c r="AH164" s="62">
        <v>10.622999999999999</v>
      </c>
      <c r="AI164" s="16">
        <v>45558</v>
      </c>
      <c r="AJ164" s="25">
        <v>3.6539351851851851E-2</v>
      </c>
      <c r="AK164">
        <v>0</v>
      </c>
      <c r="AL164">
        <v>0</v>
      </c>
      <c r="AM164">
        <v>0</v>
      </c>
      <c r="AN164">
        <v>0</v>
      </c>
      <c r="AO164">
        <v>0</v>
      </c>
      <c r="AP164">
        <v>0</v>
      </c>
      <c r="AQ164">
        <v>0</v>
      </c>
      <c r="AR164">
        <v>0</v>
      </c>
      <c r="AS164">
        <v>0</v>
      </c>
      <c r="AT164">
        <v>0</v>
      </c>
      <c r="AU164">
        <v>0</v>
      </c>
      <c r="AV164">
        <v>0</v>
      </c>
      <c r="AW164" s="82">
        <f>AVERAGE(AH164:AH167)</f>
        <v>10.667249999999999</v>
      </c>
      <c r="AZ164">
        <v>2</v>
      </c>
      <c r="BA164" t="s">
        <v>7</v>
      </c>
      <c r="BB164">
        <v>17536</v>
      </c>
      <c r="BC164">
        <v>128</v>
      </c>
      <c r="BD164">
        <v>1</v>
      </c>
      <c r="BE164">
        <v>16</v>
      </c>
      <c r="BF164">
        <v>346.83</v>
      </c>
      <c r="BG164" s="62">
        <v>10.367000000000001</v>
      </c>
      <c r="BH164" s="16">
        <v>45474</v>
      </c>
      <c r="BI164" s="18">
        <v>0.91200231481481486</v>
      </c>
      <c r="BJ164">
        <v>0</v>
      </c>
      <c r="BK164">
        <v>0</v>
      </c>
      <c r="BL164">
        <v>0</v>
      </c>
      <c r="BM164">
        <v>0</v>
      </c>
      <c r="BN164">
        <v>0</v>
      </c>
      <c r="BO164">
        <v>0</v>
      </c>
      <c r="BP164">
        <v>0</v>
      </c>
      <c r="BQ164">
        <v>0</v>
      </c>
      <c r="BR164">
        <v>0</v>
      </c>
      <c r="BS164">
        <v>0</v>
      </c>
      <c r="BT164">
        <v>0</v>
      </c>
      <c r="BU164">
        <v>0</v>
      </c>
    </row>
    <row r="165" spans="1:73" x14ac:dyDescent="0.25">
      <c r="A165" t="s">
        <v>111</v>
      </c>
      <c r="B165">
        <v>1</v>
      </c>
      <c r="C165" t="s">
        <v>7</v>
      </c>
      <c r="D165" s="20">
        <v>18560</v>
      </c>
      <c r="E165" s="20">
        <v>128</v>
      </c>
      <c r="F165" s="20">
        <v>1</v>
      </c>
      <c r="G165" s="20">
        <v>16</v>
      </c>
      <c r="H165" s="79">
        <v>447.3</v>
      </c>
      <c r="I165" s="62">
        <v>9.5300999999999991</v>
      </c>
      <c r="J165" s="16">
        <v>45547</v>
      </c>
      <c r="K165" s="25">
        <v>7.3391203703703708E-2</v>
      </c>
      <c r="L165">
        <v>0</v>
      </c>
      <c r="M165">
        <v>0</v>
      </c>
      <c r="N165">
        <v>0</v>
      </c>
      <c r="O165">
        <v>0</v>
      </c>
      <c r="P165">
        <v>0</v>
      </c>
      <c r="Q165">
        <v>0</v>
      </c>
      <c r="R165">
        <v>0</v>
      </c>
      <c r="S165">
        <v>0</v>
      </c>
      <c r="T165">
        <v>0</v>
      </c>
      <c r="U165">
        <v>0</v>
      </c>
      <c r="V165">
        <v>0</v>
      </c>
      <c r="W165">
        <v>0</v>
      </c>
      <c r="X165" s="80">
        <f>X164</f>
        <v>9.7984400000000011</v>
      </c>
      <c r="Z165" t="s">
        <v>149</v>
      </c>
      <c r="AA165">
        <v>1</v>
      </c>
      <c r="AB165" t="s">
        <v>7</v>
      </c>
      <c r="AC165" s="20">
        <v>18432</v>
      </c>
      <c r="AD165" s="20">
        <v>192</v>
      </c>
      <c r="AE165" s="20">
        <v>1</v>
      </c>
      <c r="AF165" s="20">
        <v>16</v>
      </c>
      <c r="AG165" s="79">
        <v>390.19</v>
      </c>
      <c r="AH165" s="62">
        <v>10.7</v>
      </c>
      <c r="AI165" s="16">
        <v>45558</v>
      </c>
      <c r="AJ165" s="25">
        <v>0.53567129629629628</v>
      </c>
      <c r="AK165">
        <v>0</v>
      </c>
      <c r="AL165">
        <v>0</v>
      </c>
      <c r="AM165">
        <v>0</v>
      </c>
      <c r="AN165">
        <v>0</v>
      </c>
      <c r="AO165">
        <v>0</v>
      </c>
      <c r="AP165">
        <v>0</v>
      </c>
      <c r="AQ165">
        <v>0</v>
      </c>
      <c r="AR165">
        <v>0</v>
      </c>
      <c r="AS165">
        <v>0</v>
      </c>
      <c r="AT165">
        <v>0</v>
      </c>
      <c r="AU165">
        <v>0</v>
      </c>
      <c r="AV165">
        <v>0</v>
      </c>
      <c r="AW165" s="80">
        <f>AW164</f>
        <v>10.667249999999999</v>
      </c>
      <c r="AZ165">
        <v>2</v>
      </c>
      <c r="BA165" t="s">
        <v>7</v>
      </c>
      <c r="BB165">
        <v>17536</v>
      </c>
      <c r="BC165">
        <v>64</v>
      </c>
      <c r="BD165">
        <v>1</v>
      </c>
      <c r="BE165">
        <v>16</v>
      </c>
      <c r="BF165">
        <v>348.91</v>
      </c>
      <c r="BG165" s="62">
        <v>10.305</v>
      </c>
      <c r="BH165" s="16">
        <v>45474</v>
      </c>
      <c r="BI165" s="18">
        <v>0.88170138888888894</v>
      </c>
      <c r="BJ165">
        <v>0</v>
      </c>
      <c r="BK165">
        <v>0</v>
      </c>
      <c r="BL165">
        <v>0</v>
      </c>
      <c r="BM165">
        <v>0</v>
      </c>
      <c r="BN165">
        <v>0</v>
      </c>
      <c r="BO165">
        <v>0</v>
      </c>
      <c r="BP165">
        <v>0</v>
      </c>
      <c r="BQ165">
        <v>0</v>
      </c>
      <c r="BR165">
        <v>0</v>
      </c>
      <c r="BS165">
        <v>0</v>
      </c>
      <c r="BT165">
        <v>0</v>
      </c>
      <c r="BU165">
        <v>0</v>
      </c>
    </row>
    <row r="166" spans="1:73" x14ac:dyDescent="0.25">
      <c r="A166" t="s">
        <v>111</v>
      </c>
      <c r="B166">
        <v>2</v>
      </c>
      <c r="C166" t="s">
        <v>7</v>
      </c>
      <c r="D166" s="20">
        <v>18560</v>
      </c>
      <c r="E166" s="20">
        <v>128</v>
      </c>
      <c r="F166" s="20">
        <v>1</v>
      </c>
      <c r="G166" s="20">
        <v>16</v>
      </c>
      <c r="H166" s="79">
        <v>398.9</v>
      </c>
      <c r="I166" s="62">
        <v>10.686</v>
      </c>
      <c r="J166" s="16">
        <v>45547</v>
      </c>
      <c r="K166" s="25">
        <v>0.68745370370370373</v>
      </c>
      <c r="L166">
        <v>0</v>
      </c>
      <c r="M166">
        <v>0</v>
      </c>
      <c r="N166">
        <v>0</v>
      </c>
      <c r="O166">
        <v>0</v>
      </c>
      <c r="P166">
        <v>0</v>
      </c>
      <c r="Q166">
        <v>0</v>
      </c>
      <c r="R166">
        <v>0</v>
      </c>
      <c r="S166">
        <v>0</v>
      </c>
      <c r="T166">
        <v>0</v>
      </c>
      <c r="U166">
        <v>0</v>
      </c>
      <c r="V166">
        <v>0</v>
      </c>
      <c r="W166">
        <v>0</v>
      </c>
      <c r="X166" s="80">
        <f>X165</f>
        <v>9.7984400000000011</v>
      </c>
      <c r="Z166" t="s">
        <v>149</v>
      </c>
      <c r="AA166">
        <v>2</v>
      </c>
      <c r="AB166" t="s">
        <v>7</v>
      </c>
      <c r="AC166" s="20">
        <v>18432</v>
      </c>
      <c r="AD166" s="20">
        <v>192</v>
      </c>
      <c r="AE166" s="20">
        <v>1</v>
      </c>
      <c r="AF166" s="20">
        <v>16</v>
      </c>
      <c r="AG166" s="79">
        <v>390.81</v>
      </c>
      <c r="AH166" s="62">
        <v>10.683999999999999</v>
      </c>
      <c r="AI166" s="16">
        <v>45554</v>
      </c>
      <c r="AJ166" s="25">
        <v>0.67959490740740736</v>
      </c>
      <c r="AK166">
        <v>0</v>
      </c>
      <c r="AL166">
        <v>0</v>
      </c>
      <c r="AM166">
        <v>0</v>
      </c>
      <c r="AN166">
        <v>0</v>
      </c>
      <c r="AO166">
        <v>0</v>
      </c>
      <c r="AP166">
        <v>0</v>
      </c>
      <c r="AQ166">
        <v>0</v>
      </c>
      <c r="AR166">
        <v>0</v>
      </c>
      <c r="AS166">
        <v>0</v>
      </c>
      <c r="AT166">
        <v>0</v>
      </c>
      <c r="AU166">
        <v>0</v>
      </c>
      <c r="AV166">
        <v>0</v>
      </c>
      <c r="AW166" s="80">
        <f>AW165</f>
        <v>10.667249999999999</v>
      </c>
      <c r="AZ166">
        <v>2</v>
      </c>
      <c r="BA166" t="s">
        <v>7</v>
      </c>
      <c r="BB166">
        <v>18560</v>
      </c>
      <c r="BC166">
        <v>32</v>
      </c>
      <c r="BD166">
        <v>2</v>
      </c>
      <c r="BE166">
        <v>8</v>
      </c>
      <c r="BF166">
        <v>420.99</v>
      </c>
      <c r="BG166" s="62">
        <v>10.125999999999999</v>
      </c>
      <c r="BH166" s="16">
        <v>45474</v>
      </c>
      <c r="BI166" s="18">
        <v>0.99482638888888886</v>
      </c>
      <c r="BJ166">
        <v>0</v>
      </c>
      <c r="BK166">
        <v>0</v>
      </c>
      <c r="BL166">
        <v>0</v>
      </c>
      <c r="BM166">
        <v>0</v>
      </c>
      <c r="BN166">
        <v>0</v>
      </c>
      <c r="BO166">
        <v>0</v>
      </c>
      <c r="BP166">
        <v>0</v>
      </c>
      <c r="BQ166">
        <v>0</v>
      </c>
      <c r="BR166">
        <v>0</v>
      </c>
      <c r="BS166">
        <v>0</v>
      </c>
      <c r="BT166">
        <v>0</v>
      </c>
      <c r="BU166">
        <v>0</v>
      </c>
    </row>
    <row r="167" spans="1:73" x14ac:dyDescent="0.25">
      <c r="A167" t="s">
        <v>111</v>
      </c>
      <c r="B167">
        <v>3</v>
      </c>
      <c r="C167" t="s">
        <v>7</v>
      </c>
      <c r="D167" s="20">
        <v>18560</v>
      </c>
      <c r="E167" s="20">
        <v>128</v>
      </c>
      <c r="F167" s="20">
        <v>1</v>
      </c>
      <c r="G167" s="20">
        <v>16</v>
      </c>
      <c r="H167" s="79">
        <v>447.7</v>
      </c>
      <c r="I167" s="62">
        <v>9.5214999999999996</v>
      </c>
      <c r="J167" s="16">
        <v>45548</v>
      </c>
      <c r="K167" s="25">
        <v>0.34812500000000002</v>
      </c>
      <c r="L167">
        <v>0</v>
      </c>
      <c r="M167">
        <v>0</v>
      </c>
      <c r="N167">
        <v>0</v>
      </c>
      <c r="O167">
        <v>0</v>
      </c>
      <c r="P167">
        <v>0</v>
      </c>
      <c r="Q167">
        <v>0</v>
      </c>
      <c r="R167">
        <v>0</v>
      </c>
      <c r="S167">
        <v>0</v>
      </c>
      <c r="T167">
        <v>0</v>
      </c>
      <c r="U167">
        <v>0</v>
      </c>
      <c r="V167">
        <v>0</v>
      </c>
      <c r="W167">
        <v>0</v>
      </c>
      <c r="X167" s="80">
        <f>X166</f>
        <v>9.7984400000000011</v>
      </c>
      <c r="Z167" t="s">
        <v>149</v>
      </c>
      <c r="AA167">
        <v>3</v>
      </c>
      <c r="AB167" t="s">
        <v>7</v>
      </c>
      <c r="AC167" s="20">
        <v>18432</v>
      </c>
      <c r="AD167" s="20">
        <v>192</v>
      </c>
      <c r="AE167" s="20">
        <v>1</v>
      </c>
      <c r="AF167" s="20">
        <v>16</v>
      </c>
      <c r="AG167" s="79">
        <v>391.58</v>
      </c>
      <c r="AH167" s="62">
        <v>10.662000000000001</v>
      </c>
      <c r="AI167" s="16">
        <v>45555</v>
      </c>
      <c r="AJ167" s="25">
        <v>0.20499999999999999</v>
      </c>
      <c r="AK167">
        <v>0</v>
      </c>
      <c r="AL167">
        <v>0</v>
      </c>
      <c r="AM167">
        <v>0</v>
      </c>
      <c r="AN167">
        <v>0</v>
      </c>
      <c r="AO167">
        <v>0</v>
      </c>
      <c r="AP167">
        <v>0</v>
      </c>
      <c r="AQ167">
        <v>0</v>
      </c>
      <c r="AR167">
        <v>0</v>
      </c>
      <c r="AS167">
        <v>0</v>
      </c>
      <c r="AT167">
        <v>0</v>
      </c>
      <c r="AU167">
        <v>0</v>
      </c>
      <c r="AV167">
        <v>0</v>
      </c>
      <c r="AW167" s="80">
        <f>AW166</f>
        <v>10.667249999999999</v>
      </c>
      <c r="AZ167">
        <v>2</v>
      </c>
      <c r="BA167" t="s">
        <v>7</v>
      </c>
      <c r="BB167">
        <v>17536</v>
      </c>
      <c r="BC167">
        <v>32</v>
      </c>
      <c r="BD167">
        <v>2</v>
      </c>
      <c r="BE167">
        <v>8</v>
      </c>
      <c r="BF167">
        <v>364.59</v>
      </c>
      <c r="BG167" s="62">
        <v>9.8618000000000006</v>
      </c>
      <c r="BH167" s="16">
        <v>45474</v>
      </c>
      <c r="BI167" s="18">
        <v>0.87064814814814817</v>
      </c>
      <c r="BJ167">
        <v>0</v>
      </c>
      <c r="BK167">
        <v>0</v>
      </c>
      <c r="BL167">
        <v>0</v>
      </c>
      <c r="BM167">
        <v>0</v>
      </c>
      <c r="BN167">
        <v>0</v>
      </c>
      <c r="BO167">
        <v>0</v>
      </c>
      <c r="BP167">
        <v>0</v>
      </c>
      <c r="BQ167">
        <v>0</v>
      </c>
      <c r="BR167">
        <v>0</v>
      </c>
      <c r="BS167">
        <v>0</v>
      </c>
      <c r="BT167">
        <v>0</v>
      </c>
      <c r="BU167">
        <v>0</v>
      </c>
    </row>
    <row r="168" spans="1:73" x14ac:dyDescent="0.25">
      <c r="A168" t="s">
        <v>111</v>
      </c>
      <c r="B168">
        <v>4</v>
      </c>
      <c r="C168" t="s">
        <v>7</v>
      </c>
      <c r="D168" s="20">
        <v>18560</v>
      </c>
      <c r="E168" s="20">
        <v>128</v>
      </c>
      <c r="F168" s="20">
        <v>1</v>
      </c>
      <c r="G168" s="20">
        <v>16</v>
      </c>
      <c r="H168" s="79">
        <v>447.35</v>
      </c>
      <c r="I168" s="62">
        <v>9.5289000000000001</v>
      </c>
      <c r="J168" s="16">
        <v>45548</v>
      </c>
      <c r="K168" s="25">
        <v>0.97717592592592595</v>
      </c>
      <c r="L168">
        <v>0</v>
      </c>
      <c r="M168">
        <v>0</v>
      </c>
      <c r="N168">
        <v>0</v>
      </c>
      <c r="O168">
        <v>0</v>
      </c>
      <c r="P168">
        <v>0</v>
      </c>
      <c r="Q168">
        <v>0</v>
      </c>
      <c r="R168">
        <v>0</v>
      </c>
      <c r="S168">
        <v>0</v>
      </c>
      <c r="T168">
        <v>0</v>
      </c>
      <c r="U168">
        <v>0</v>
      </c>
      <c r="V168">
        <v>0</v>
      </c>
      <c r="W168">
        <v>0</v>
      </c>
      <c r="X168" s="80">
        <f>X167</f>
        <v>9.7984400000000011</v>
      </c>
      <c r="Z168" t="s">
        <v>149</v>
      </c>
      <c r="AA168">
        <v>4</v>
      </c>
      <c r="AB168" t="s">
        <v>7</v>
      </c>
      <c r="AC168" s="20">
        <v>18432</v>
      </c>
      <c r="AD168" s="20">
        <v>192</v>
      </c>
      <c r="AE168" s="20">
        <v>1</v>
      </c>
      <c r="AF168" s="20">
        <v>16</v>
      </c>
      <c r="AG168" s="79">
        <v>391.07</v>
      </c>
      <c r="AH168" s="62">
        <v>10.676</v>
      </c>
      <c r="AI168" s="16">
        <v>45555</v>
      </c>
      <c r="AJ168" s="25">
        <v>0.70521990740740736</v>
      </c>
      <c r="AK168">
        <v>0</v>
      </c>
      <c r="AL168">
        <v>0</v>
      </c>
      <c r="AM168">
        <v>0</v>
      </c>
      <c r="AN168">
        <v>0</v>
      </c>
      <c r="AO168">
        <v>0</v>
      </c>
      <c r="AP168">
        <v>0</v>
      </c>
      <c r="AQ168">
        <v>0</v>
      </c>
      <c r="AR168">
        <v>0</v>
      </c>
      <c r="AS168">
        <v>0</v>
      </c>
      <c r="AT168">
        <v>0</v>
      </c>
      <c r="AU168">
        <v>0</v>
      </c>
      <c r="AV168">
        <v>0</v>
      </c>
      <c r="AW168" s="80">
        <f>AW167</f>
        <v>10.667249999999999</v>
      </c>
      <c r="AZ168">
        <v>2</v>
      </c>
      <c r="BA168" t="s">
        <v>7</v>
      </c>
      <c r="BB168">
        <v>17408</v>
      </c>
      <c r="BC168">
        <v>256</v>
      </c>
      <c r="BD168">
        <v>1</v>
      </c>
      <c r="BE168">
        <v>16</v>
      </c>
      <c r="BF168">
        <v>356.69</v>
      </c>
      <c r="BG168" s="62">
        <v>9.8609000000000009</v>
      </c>
      <c r="BH168" s="16">
        <v>45474</v>
      </c>
      <c r="BI168" s="18">
        <v>0.97251157407407407</v>
      </c>
      <c r="BJ168">
        <v>0</v>
      </c>
      <c r="BK168">
        <v>0</v>
      </c>
      <c r="BL168">
        <v>0</v>
      </c>
      <c r="BM168">
        <v>0</v>
      </c>
      <c r="BN168">
        <v>0</v>
      </c>
      <c r="BO168">
        <v>0</v>
      </c>
      <c r="BP168">
        <v>0</v>
      </c>
      <c r="BQ168">
        <v>0</v>
      </c>
      <c r="BR168">
        <v>0</v>
      </c>
      <c r="BS168">
        <v>0</v>
      </c>
      <c r="BT168">
        <v>0</v>
      </c>
      <c r="BU168">
        <v>0</v>
      </c>
    </row>
    <row r="169" spans="1:73" x14ac:dyDescent="0.25">
      <c r="A169" t="s">
        <v>111</v>
      </c>
      <c r="B169">
        <v>0</v>
      </c>
      <c r="C169" t="s">
        <v>7</v>
      </c>
      <c r="D169" s="20">
        <v>19584</v>
      </c>
      <c r="E169" s="20">
        <v>128</v>
      </c>
      <c r="F169" s="20">
        <v>4</v>
      </c>
      <c r="G169" s="20">
        <v>4</v>
      </c>
      <c r="H169" s="79">
        <v>513.63</v>
      </c>
      <c r="I169" s="62">
        <v>9.7501999999999995</v>
      </c>
      <c r="J169" s="16">
        <v>45546</v>
      </c>
      <c r="K169" s="25">
        <v>0.63292824074074072</v>
      </c>
      <c r="L169">
        <v>0</v>
      </c>
      <c r="M169">
        <v>0</v>
      </c>
      <c r="N169">
        <v>0</v>
      </c>
      <c r="O169">
        <v>0</v>
      </c>
      <c r="P169">
        <v>0</v>
      </c>
      <c r="Q169">
        <v>0</v>
      </c>
      <c r="R169">
        <v>0</v>
      </c>
      <c r="S169">
        <v>0</v>
      </c>
      <c r="T169">
        <v>0</v>
      </c>
      <c r="U169">
        <v>0</v>
      </c>
      <c r="V169">
        <v>0</v>
      </c>
      <c r="W169">
        <v>0</v>
      </c>
      <c r="X169" s="82">
        <f>AVERAGE(I169:I173)</f>
        <v>9.7139199999999999</v>
      </c>
      <c r="Z169" t="s">
        <v>149</v>
      </c>
      <c r="AA169">
        <v>0</v>
      </c>
      <c r="AB169" t="s">
        <v>7</v>
      </c>
      <c r="AC169" s="20">
        <v>18528</v>
      </c>
      <c r="AD169" s="20">
        <v>96</v>
      </c>
      <c r="AE169" s="20">
        <v>4</v>
      </c>
      <c r="AF169" s="20">
        <v>4</v>
      </c>
      <c r="AG169" s="79">
        <v>397.54</v>
      </c>
      <c r="AH169" s="62">
        <v>10.667999999999999</v>
      </c>
      <c r="AI169" s="16">
        <v>45558</v>
      </c>
      <c r="AJ169" s="25">
        <v>4.386574074074074E-3</v>
      </c>
      <c r="AK169">
        <v>0</v>
      </c>
      <c r="AL169">
        <v>0</v>
      </c>
      <c r="AM169">
        <v>0</v>
      </c>
      <c r="AN169">
        <v>0</v>
      </c>
      <c r="AO169">
        <v>0</v>
      </c>
      <c r="AP169">
        <v>0</v>
      </c>
      <c r="AQ169">
        <v>0</v>
      </c>
      <c r="AR169">
        <v>0</v>
      </c>
      <c r="AS169">
        <v>0</v>
      </c>
      <c r="AT169">
        <v>0</v>
      </c>
      <c r="AU169">
        <v>0</v>
      </c>
      <c r="AV169">
        <v>0</v>
      </c>
      <c r="AW169" s="82">
        <f>AVERAGE(AH169:AH172)</f>
        <v>10.65925</v>
      </c>
      <c r="AZ169">
        <v>1</v>
      </c>
      <c r="BA169" t="s">
        <v>7</v>
      </c>
      <c r="BB169">
        <v>19584</v>
      </c>
      <c r="BC169">
        <v>96</v>
      </c>
      <c r="BD169">
        <v>4</v>
      </c>
      <c r="BE169">
        <v>4</v>
      </c>
      <c r="BF169">
        <v>512.74</v>
      </c>
      <c r="BG169" s="62">
        <v>9.7669999999999995</v>
      </c>
      <c r="BH169" s="16">
        <v>45474</v>
      </c>
      <c r="BI169" s="18">
        <v>0.70822916666666669</v>
      </c>
      <c r="BJ169">
        <v>0</v>
      </c>
      <c r="BK169">
        <v>0</v>
      </c>
      <c r="BL169">
        <v>0</v>
      </c>
      <c r="BM169">
        <v>0</v>
      </c>
      <c r="BN169">
        <v>0</v>
      </c>
      <c r="BO169">
        <v>0</v>
      </c>
      <c r="BP169">
        <v>0</v>
      </c>
      <c r="BQ169">
        <v>0</v>
      </c>
      <c r="BR169">
        <v>0</v>
      </c>
      <c r="BS169">
        <v>0</v>
      </c>
      <c r="BT169">
        <v>0</v>
      </c>
      <c r="BU169">
        <v>0</v>
      </c>
    </row>
    <row r="170" spans="1:73" x14ac:dyDescent="0.25">
      <c r="A170" t="s">
        <v>111</v>
      </c>
      <c r="B170">
        <v>1</v>
      </c>
      <c r="C170" t="s">
        <v>7</v>
      </c>
      <c r="D170" s="20">
        <v>19584</v>
      </c>
      <c r="E170" s="20">
        <v>128</v>
      </c>
      <c r="F170" s="20">
        <v>4</v>
      </c>
      <c r="G170" s="20">
        <v>4</v>
      </c>
      <c r="H170" s="79">
        <v>518.24</v>
      </c>
      <c r="I170" s="62">
        <v>9.6633999999999993</v>
      </c>
      <c r="J170" s="16">
        <v>45547</v>
      </c>
      <c r="K170" s="25">
        <v>0.25775462962962964</v>
      </c>
      <c r="L170">
        <v>0</v>
      </c>
      <c r="M170">
        <v>0</v>
      </c>
      <c r="N170">
        <v>0</v>
      </c>
      <c r="O170">
        <v>0</v>
      </c>
      <c r="P170">
        <v>0</v>
      </c>
      <c r="Q170">
        <v>0</v>
      </c>
      <c r="R170">
        <v>0</v>
      </c>
      <c r="S170">
        <v>0</v>
      </c>
      <c r="T170">
        <v>0</v>
      </c>
      <c r="U170">
        <v>0</v>
      </c>
      <c r="V170">
        <v>0</v>
      </c>
      <c r="W170">
        <v>0</v>
      </c>
      <c r="X170" s="80">
        <f>X169</f>
        <v>9.7139199999999999</v>
      </c>
      <c r="Z170" t="s">
        <v>149</v>
      </c>
      <c r="AA170">
        <v>1</v>
      </c>
      <c r="AB170" t="s">
        <v>7</v>
      </c>
      <c r="AC170" s="20">
        <v>18528</v>
      </c>
      <c r="AD170" s="20">
        <v>96</v>
      </c>
      <c r="AE170" s="20">
        <v>4</v>
      </c>
      <c r="AF170" s="20">
        <v>4</v>
      </c>
      <c r="AG170" s="79">
        <v>399.07</v>
      </c>
      <c r="AH170" s="62">
        <v>10.627000000000001</v>
      </c>
      <c r="AI170" s="16">
        <v>45558</v>
      </c>
      <c r="AJ170" s="25">
        <v>0.50376157407407407</v>
      </c>
      <c r="AK170">
        <v>0</v>
      </c>
      <c r="AL170">
        <v>0</v>
      </c>
      <c r="AM170">
        <v>0</v>
      </c>
      <c r="AN170">
        <v>0</v>
      </c>
      <c r="AO170">
        <v>0</v>
      </c>
      <c r="AP170">
        <v>0</v>
      </c>
      <c r="AQ170">
        <v>0</v>
      </c>
      <c r="AR170">
        <v>0</v>
      </c>
      <c r="AS170">
        <v>0</v>
      </c>
      <c r="AT170">
        <v>0</v>
      </c>
      <c r="AU170">
        <v>0</v>
      </c>
      <c r="AV170">
        <v>0</v>
      </c>
      <c r="AW170" s="80">
        <f>AW169</f>
        <v>10.65925</v>
      </c>
      <c r="AZ170">
        <v>1</v>
      </c>
      <c r="BA170" t="s">
        <v>7</v>
      </c>
      <c r="BB170">
        <v>19584</v>
      </c>
      <c r="BC170">
        <v>128</v>
      </c>
      <c r="BD170">
        <v>4</v>
      </c>
      <c r="BE170">
        <v>4</v>
      </c>
      <c r="BF170">
        <v>522.44000000000005</v>
      </c>
      <c r="BG170" s="62">
        <v>9.5858000000000008</v>
      </c>
      <c r="BH170" s="16">
        <v>45474</v>
      </c>
      <c r="BI170" s="18">
        <v>0.73769675925925926</v>
      </c>
      <c r="BJ170">
        <v>0</v>
      </c>
      <c r="BK170">
        <v>0</v>
      </c>
      <c r="BL170">
        <v>0</v>
      </c>
      <c r="BM170">
        <v>0</v>
      </c>
      <c r="BN170">
        <v>0</v>
      </c>
      <c r="BO170">
        <v>0</v>
      </c>
      <c r="BP170">
        <v>0</v>
      </c>
      <c r="BQ170">
        <v>0</v>
      </c>
      <c r="BR170">
        <v>0</v>
      </c>
      <c r="BS170">
        <v>0</v>
      </c>
      <c r="BT170">
        <v>0</v>
      </c>
      <c r="BU170">
        <v>0</v>
      </c>
    </row>
    <row r="171" spans="1:73" x14ac:dyDescent="0.25">
      <c r="A171" t="s">
        <v>111</v>
      </c>
      <c r="B171">
        <v>2</v>
      </c>
      <c r="C171" t="s">
        <v>7</v>
      </c>
      <c r="D171" s="20">
        <v>19584</v>
      </c>
      <c r="E171" s="20">
        <v>128</v>
      </c>
      <c r="F171" s="20">
        <v>4</v>
      </c>
      <c r="G171" s="20">
        <v>4</v>
      </c>
      <c r="H171" s="79">
        <v>516.62</v>
      </c>
      <c r="I171" s="62">
        <v>9.6937999999999995</v>
      </c>
      <c r="J171" s="16">
        <v>45547</v>
      </c>
      <c r="K171" s="25">
        <v>0.86937500000000001</v>
      </c>
      <c r="L171">
        <v>0</v>
      </c>
      <c r="M171">
        <v>0</v>
      </c>
      <c r="N171">
        <v>0</v>
      </c>
      <c r="O171">
        <v>0</v>
      </c>
      <c r="P171">
        <v>0</v>
      </c>
      <c r="Q171">
        <v>0</v>
      </c>
      <c r="R171">
        <v>0</v>
      </c>
      <c r="S171">
        <v>0</v>
      </c>
      <c r="T171">
        <v>0</v>
      </c>
      <c r="U171">
        <v>0</v>
      </c>
      <c r="V171">
        <v>0</v>
      </c>
      <c r="W171">
        <v>0</v>
      </c>
      <c r="X171" s="80">
        <f>X170</f>
        <v>9.7139199999999999</v>
      </c>
      <c r="Z171" t="s">
        <v>149</v>
      </c>
      <c r="AA171">
        <v>2</v>
      </c>
      <c r="AB171" t="s">
        <v>7</v>
      </c>
      <c r="AC171" s="20">
        <v>18528</v>
      </c>
      <c r="AD171" s="20">
        <v>96</v>
      </c>
      <c r="AE171" s="20">
        <v>4</v>
      </c>
      <c r="AF171" s="20">
        <v>4</v>
      </c>
      <c r="AG171" s="79">
        <v>397.98</v>
      </c>
      <c r="AH171" s="62">
        <v>10.656000000000001</v>
      </c>
      <c r="AI171" s="16">
        <v>45554</v>
      </c>
      <c r="AJ171" s="25">
        <v>0.64768518518518514</v>
      </c>
      <c r="AK171">
        <v>0</v>
      </c>
      <c r="AL171">
        <v>0</v>
      </c>
      <c r="AM171">
        <v>0</v>
      </c>
      <c r="AN171">
        <v>0</v>
      </c>
      <c r="AO171">
        <v>0</v>
      </c>
      <c r="AP171">
        <v>0</v>
      </c>
      <c r="AQ171">
        <v>0</v>
      </c>
      <c r="AR171">
        <v>0</v>
      </c>
      <c r="AS171">
        <v>0</v>
      </c>
      <c r="AT171">
        <v>0</v>
      </c>
      <c r="AU171">
        <v>0</v>
      </c>
      <c r="AV171">
        <v>0</v>
      </c>
      <c r="AW171" s="80">
        <f>AW170</f>
        <v>10.65925</v>
      </c>
      <c r="AZ171">
        <v>1</v>
      </c>
      <c r="BA171" t="s">
        <v>7</v>
      </c>
      <c r="BB171">
        <v>19520</v>
      </c>
      <c r="BC171">
        <v>160</v>
      </c>
      <c r="BD171">
        <v>4</v>
      </c>
      <c r="BE171">
        <v>4</v>
      </c>
      <c r="BF171">
        <v>520.70000000000005</v>
      </c>
      <c r="BG171" s="62">
        <v>9.5237999999999996</v>
      </c>
      <c r="BH171" s="16">
        <v>45474</v>
      </c>
      <c r="BI171" s="18">
        <v>0.77844907407407404</v>
      </c>
      <c r="BJ171">
        <v>0</v>
      </c>
      <c r="BK171">
        <v>0</v>
      </c>
      <c r="BL171">
        <v>0</v>
      </c>
      <c r="BM171">
        <v>0</v>
      </c>
      <c r="BN171">
        <v>0</v>
      </c>
      <c r="BO171">
        <v>0</v>
      </c>
      <c r="BP171">
        <v>0</v>
      </c>
      <c r="BQ171">
        <v>0</v>
      </c>
      <c r="BR171">
        <v>0</v>
      </c>
      <c r="BS171">
        <v>0</v>
      </c>
      <c r="BT171">
        <v>0</v>
      </c>
      <c r="BU171">
        <v>0</v>
      </c>
    </row>
    <row r="172" spans="1:73" x14ac:dyDescent="0.25">
      <c r="A172" t="s">
        <v>111</v>
      </c>
      <c r="B172">
        <v>3</v>
      </c>
      <c r="C172" t="s">
        <v>7</v>
      </c>
      <c r="D172" s="20">
        <v>19584</v>
      </c>
      <c r="E172" s="20">
        <v>128</v>
      </c>
      <c r="F172" s="20">
        <v>4</v>
      </c>
      <c r="G172" s="20">
        <v>4</v>
      </c>
      <c r="H172" s="79">
        <v>516.42999999999995</v>
      </c>
      <c r="I172" s="62">
        <v>9.6974</v>
      </c>
      <c r="J172" s="16">
        <v>45548</v>
      </c>
      <c r="K172" s="25">
        <v>0.53082175925925923</v>
      </c>
      <c r="L172">
        <v>0</v>
      </c>
      <c r="M172">
        <v>0</v>
      </c>
      <c r="N172">
        <v>0</v>
      </c>
      <c r="O172">
        <v>0</v>
      </c>
      <c r="P172">
        <v>0</v>
      </c>
      <c r="Q172">
        <v>0</v>
      </c>
      <c r="R172">
        <v>0</v>
      </c>
      <c r="S172">
        <v>0</v>
      </c>
      <c r="T172">
        <v>0</v>
      </c>
      <c r="U172">
        <v>0</v>
      </c>
      <c r="V172">
        <v>0</v>
      </c>
      <c r="W172">
        <v>0</v>
      </c>
      <c r="X172" s="80">
        <f>X171</f>
        <v>9.7139199999999999</v>
      </c>
      <c r="Z172" t="s">
        <v>149</v>
      </c>
      <c r="AA172">
        <v>3</v>
      </c>
      <c r="AB172" t="s">
        <v>7</v>
      </c>
      <c r="AC172" s="20">
        <v>18528</v>
      </c>
      <c r="AD172" s="20">
        <v>96</v>
      </c>
      <c r="AE172" s="20">
        <v>4</v>
      </c>
      <c r="AF172" s="20">
        <v>4</v>
      </c>
      <c r="AG172" s="79">
        <v>396.86</v>
      </c>
      <c r="AH172" s="62">
        <v>10.686</v>
      </c>
      <c r="AI172" s="16">
        <v>45555</v>
      </c>
      <c r="AJ172" s="25">
        <v>0.17315972222222223</v>
      </c>
      <c r="AK172">
        <v>0</v>
      </c>
      <c r="AL172">
        <v>0</v>
      </c>
      <c r="AM172">
        <v>0</v>
      </c>
      <c r="AN172">
        <v>0</v>
      </c>
      <c r="AO172">
        <v>0</v>
      </c>
      <c r="AP172">
        <v>0</v>
      </c>
      <c r="AQ172">
        <v>0</v>
      </c>
      <c r="AR172">
        <v>0</v>
      </c>
      <c r="AS172">
        <v>0</v>
      </c>
      <c r="AT172">
        <v>0</v>
      </c>
      <c r="AU172">
        <v>0</v>
      </c>
      <c r="AV172">
        <v>0</v>
      </c>
      <c r="AW172" s="80">
        <f>AW171</f>
        <v>10.65925</v>
      </c>
      <c r="AZ172">
        <v>2</v>
      </c>
      <c r="BA172" t="s">
        <v>7</v>
      </c>
      <c r="BB172">
        <v>18560</v>
      </c>
      <c r="BC172">
        <v>32</v>
      </c>
      <c r="BD172">
        <v>1</v>
      </c>
      <c r="BE172">
        <v>16</v>
      </c>
      <c r="BF172">
        <v>451.26</v>
      </c>
      <c r="BG172" s="62">
        <v>9.4464000000000006</v>
      </c>
      <c r="BH172" s="16">
        <v>45474</v>
      </c>
      <c r="BI172" s="18">
        <v>0.98906249999999996</v>
      </c>
      <c r="BJ172">
        <v>0</v>
      </c>
      <c r="BK172">
        <v>0</v>
      </c>
      <c r="BL172">
        <v>0</v>
      </c>
      <c r="BM172">
        <v>0</v>
      </c>
      <c r="BN172">
        <v>0</v>
      </c>
      <c r="BO172">
        <v>0</v>
      </c>
      <c r="BP172">
        <v>0</v>
      </c>
      <c r="BQ172">
        <v>0</v>
      </c>
      <c r="BR172">
        <v>0</v>
      </c>
      <c r="BS172">
        <v>0</v>
      </c>
      <c r="BT172">
        <v>0</v>
      </c>
      <c r="BU172">
        <v>0</v>
      </c>
    </row>
    <row r="173" spans="1:73" x14ac:dyDescent="0.25">
      <c r="A173" t="s">
        <v>111</v>
      </c>
      <c r="B173">
        <v>4</v>
      </c>
      <c r="C173" t="s">
        <v>7</v>
      </c>
      <c r="D173" s="20">
        <v>19584</v>
      </c>
      <c r="E173" s="20">
        <v>128</v>
      </c>
      <c r="F173" s="20">
        <v>4</v>
      </c>
      <c r="G173" s="20">
        <v>4</v>
      </c>
      <c r="H173" s="79">
        <v>512.86</v>
      </c>
      <c r="I173" s="62">
        <v>9.7647999999999993</v>
      </c>
      <c r="J173" s="16">
        <v>45549</v>
      </c>
      <c r="K173" s="25">
        <v>0.16866898148148149</v>
      </c>
      <c r="L173">
        <v>0</v>
      </c>
      <c r="M173">
        <v>0</v>
      </c>
      <c r="N173">
        <v>0</v>
      </c>
      <c r="O173">
        <v>0</v>
      </c>
      <c r="P173">
        <v>0</v>
      </c>
      <c r="Q173">
        <v>0</v>
      </c>
      <c r="R173">
        <v>0</v>
      </c>
      <c r="S173">
        <v>0</v>
      </c>
      <c r="T173">
        <v>0</v>
      </c>
      <c r="U173">
        <v>0</v>
      </c>
      <c r="V173">
        <v>0</v>
      </c>
      <c r="W173">
        <v>0</v>
      </c>
      <c r="X173" s="80">
        <f>X172</f>
        <v>9.7139199999999999</v>
      </c>
      <c r="Z173" t="s">
        <v>149</v>
      </c>
      <c r="AA173">
        <v>4</v>
      </c>
      <c r="AB173" t="s">
        <v>7</v>
      </c>
      <c r="AC173" s="20">
        <v>18528</v>
      </c>
      <c r="AD173" s="20">
        <v>96</v>
      </c>
      <c r="AE173" s="20">
        <v>4</v>
      </c>
      <c r="AF173" s="20">
        <v>4</v>
      </c>
      <c r="AG173" s="79">
        <v>397.27</v>
      </c>
      <c r="AH173" s="62">
        <v>10.675000000000001</v>
      </c>
      <c r="AI173" s="16">
        <v>45555</v>
      </c>
      <c r="AJ173" s="25">
        <v>0.67331018518518515</v>
      </c>
      <c r="AK173">
        <v>0</v>
      </c>
      <c r="AL173">
        <v>0</v>
      </c>
      <c r="AM173">
        <v>0</v>
      </c>
      <c r="AN173">
        <v>0</v>
      </c>
      <c r="AO173">
        <v>0</v>
      </c>
      <c r="AP173">
        <v>0</v>
      </c>
      <c r="AQ173">
        <v>0</v>
      </c>
      <c r="AR173">
        <v>0</v>
      </c>
      <c r="AS173">
        <v>0</v>
      </c>
      <c r="AT173">
        <v>0</v>
      </c>
      <c r="AU173">
        <v>0</v>
      </c>
      <c r="AV173">
        <v>0</v>
      </c>
      <c r="AW173" s="80">
        <f>AW172</f>
        <v>10.65925</v>
      </c>
      <c r="AZ173">
        <v>2</v>
      </c>
      <c r="BA173" t="s">
        <v>7</v>
      </c>
      <c r="BB173">
        <v>18560</v>
      </c>
      <c r="BC173">
        <v>160</v>
      </c>
      <c r="BD173">
        <v>4</v>
      </c>
      <c r="BE173">
        <v>4</v>
      </c>
      <c r="BF173">
        <v>455.08</v>
      </c>
      <c r="BG173" s="62">
        <v>9.3672000000000004</v>
      </c>
      <c r="BH173" s="16">
        <v>45475</v>
      </c>
      <c r="BI173" s="18">
        <v>6.9733796296296294E-2</v>
      </c>
      <c r="BJ173">
        <v>0</v>
      </c>
      <c r="BK173">
        <v>0</v>
      </c>
      <c r="BL173">
        <v>0</v>
      </c>
      <c r="BM173">
        <v>0</v>
      </c>
      <c r="BN173">
        <v>0</v>
      </c>
      <c r="BO173">
        <v>0</v>
      </c>
      <c r="BP173">
        <v>0</v>
      </c>
      <c r="BQ173">
        <v>0</v>
      </c>
      <c r="BR173">
        <v>0</v>
      </c>
      <c r="BS173">
        <v>0</v>
      </c>
      <c r="BT173">
        <v>0</v>
      </c>
      <c r="BU173">
        <v>0</v>
      </c>
    </row>
    <row r="174" spans="1:73" x14ac:dyDescent="0.25">
      <c r="A174" t="s">
        <v>111</v>
      </c>
      <c r="B174">
        <v>0</v>
      </c>
      <c r="C174" t="s">
        <v>7</v>
      </c>
      <c r="D174" s="20">
        <v>17472</v>
      </c>
      <c r="E174" s="20">
        <v>96</v>
      </c>
      <c r="F174" s="20">
        <v>1</v>
      </c>
      <c r="G174" s="20">
        <v>16</v>
      </c>
      <c r="H174" s="79">
        <v>385.92</v>
      </c>
      <c r="I174" s="62">
        <v>9.2149999999999999</v>
      </c>
      <c r="J174" s="16">
        <v>45546</v>
      </c>
      <c r="K174" s="25">
        <v>0.32997685185185183</v>
      </c>
      <c r="L174">
        <v>0</v>
      </c>
      <c r="M174">
        <v>0</v>
      </c>
      <c r="N174">
        <v>0</v>
      </c>
      <c r="O174">
        <v>0</v>
      </c>
      <c r="P174">
        <v>0</v>
      </c>
      <c r="Q174">
        <v>0</v>
      </c>
      <c r="R174">
        <v>0</v>
      </c>
      <c r="S174">
        <v>0</v>
      </c>
      <c r="T174">
        <v>0</v>
      </c>
      <c r="U174">
        <v>0</v>
      </c>
      <c r="V174">
        <v>0</v>
      </c>
      <c r="W174">
        <v>0</v>
      </c>
      <c r="X174" s="82">
        <f>AVERAGE(I174:I178)</f>
        <v>9.6876999999999995</v>
      </c>
      <c r="Z174" t="s">
        <v>149</v>
      </c>
      <c r="AA174">
        <v>0</v>
      </c>
      <c r="AB174" t="s">
        <v>7</v>
      </c>
      <c r="AC174" s="20">
        <v>17536</v>
      </c>
      <c r="AD174" s="20">
        <v>64</v>
      </c>
      <c r="AE174" s="20">
        <v>1</v>
      </c>
      <c r="AF174" s="20">
        <v>16</v>
      </c>
      <c r="AG174" s="79">
        <v>338.34</v>
      </c>
      <c r="AH174" s="62">
        <v>10.627000000000001</v>
      </c>
      <c r="AI174" s="16">
        <v>45557</v>
      </c>
      <c r="AJ174" s="25">
        <v>0.88392361111111106</v>
      </c>
      <c r="AK174">
        <v>0</v>
      </c>
      <c r="AL174">
        <v>0</v>
      </c>
      <c r="AM174">
        <v>0</v>
      </c>
      <c r="AN174">
        <v>0</v>
      </c>
      <c r="AO174">
        <v>0</v>
      </c>
      <c r="AP174">
        <v>0</v>
      </c>
      <c r="AQ174">
        <v>0</v>
      </c>
      <c r="AR174">
        <v>0</v>
      </c>
      <c r="AS174">
        <v>0</v>
      </c>
      <c r="AT174">
        <v>0</v>
      </c>
      <c r="AU174">
        <v>0</v>
      </c>
      <c r="AV174">
        <v>0</v>
      </c>
      <c r="AW174" s="82">
        <f>AVERAGE(AH174:AH177)</f>
        <v>10.6235</v>
      </c>
      <c r="AZ174">
        <v>1</v>
      </c>
      <c r="BA174" t="s">
        <v>7</v>
      </c>
      <c r="BB174">
        <v>19584</v>
      </c>
      <c r="BC174">
        <v>64</v>
      </c>
      <c r="BD174">
        <v>4</v>
      </c>
      <c r="BE174">
        <v>4</v>
      </c>
      <c r="BF174">
        <v>541.54</v>
      </c>
      <c r="BG174" s="62">
        <v>9.2477</v>
      </c>
      <c r="BH174" s="16">
        <v>45474</v>
      </c>
      <c r="BI174" s="18">
        <v>0.59260416666666671</v>
      </c>
      <c r="BJ174">
        <v>0</v>
      </c>
      <c r="BK174">
        <v>0</v>
      </c>
      <c r="BL174">
        <v>0</v>
      </c>
      <c r="BM174">
        <v>0</v>
      </c>
      <c r="BN174">
        <v>0</v>
      </c>
      <c r="BO174">
        <v>0</v>
      </c>
      <c r="BP174">
        <v>0</v>
      </c>
      <c r="BQ174">
        <v>0</v>
      </c>
      <c r="BR174">
        <v>0</v>
      </c>
      <c r="BS174">
        <v>0</v>
      </c>
      <c r="BT174">
        <v>0</v>
      </c>
      <c r="BU174">
        <v>0</v>
      </c>
    </row>
    <row r="175" spans="1:73" x14ac:dyDescent="0.25">
      <c r="A175" t="s">
        <v>111</v>
      </c>
      <c r="B175">
        <v>1</v>
      </c>
      <c r="C175" t="s">
        <v>7</v>
      </c>
      <c r="D175" s="20">
        <v>17472</v>
      </c>
      <c r="E175" s="20">
        <v>96</v>
      </c>
      <c r="F175" s="20">
        <v>1</v>
      </c>
      <c r="G175" s="20">
        <v>16</v>
      </c>
      <c r="H175" s="79">
        <v>368.61</v>
      </c>
      <c r="I175" s="62">
        <v>9.6476000000000006</v>
      </c>
      <c r="J175" s="16">
        <v>45546</v>
      </c>
      <c r="K175" s="25">
        <v>0.94643518518518521</v>
      </c>
      <c r="L175">
        <v>0</v>
      </c>
      <c r="M175">
        <v>0</v>
      </c>
      <c r="N175">
        <v>0</v>
      </c>
      <c r="O175">
        <v>0</v>
      </c>
      <c r="P175">
        <v>0</v>
      </c>
      <c r="Q175">
        <v>0</v>
      </c>
      <c r="R175">
        <v>0</v>
      </c>
      <c r="S175">
        <v>0</v>
      </c>
      <c r="T175">
        <v>0</v>
      </c>
      <c r="U175">
        <v>0</v>
      </c>
      <c r="V175">
        <v>0</v>
      </c>
      <c r="W175">
        <v>0</v>
      </c>
      <c r="X175" s="80">
        <f>X174</f>
        <v>9.6876999999999995</v>
      </c>
      <c r="Z175" t="s">
        <v>149</v>
      </c>
      <c r="AA175">
        <v>1</v>
      </c>
      <c r="AB175" t="s">
        <v>7</v>
      </c>
      <c r="AC175" s="20">
        <v>17536</v>
      </c>
      <c r="AD175" s="20">
        <v>64</v>
      </c>
      <c r="AE175" s="20">
        <v>1</v>
      </c>
      <c r="AF175" s="20">
        <v>16</v>
      </c>
      <c r="AG175" s="79">
        <v>338.38</v>
      </c>
      <c r="AH175" s="62">
        <v>10.625999999999999</v>
      </c>
      <c r="AI175" s="16">
        <v>45558</v>
      </c>
      <c r="AJ175" s="25">
        <v>0.38332175925925926</v>
      </c>
      <c r="AK175">
        <v>0</v>
      </c>
      <c r="AL175">
        <v>0</v>
      </c>
      <c r="AM175">
        <v>0</v>
      </c>
      <c r="AN175">
        <v>0</v>
      </c>
      <c r="AO175">
        <v>0</v>
      </c>
      <c r="AP175">
        <v>0</v>
      </c>
      <c r="AQ175">
        <v>0</v>
      </c>
      <c r="AR175">
        <v>0</v>
      </c>
      <c r="AS175">
        <v>0</v>
      </c>
      <c r="AT175">
        <v>0</v>
      </c>
      <c r="AU175">
        <v>0</v>
      </c>
      <c r="AV175">
        <v>0</v>
      </c>
      <c r="AW175" s="80">
        <f>AW174</f>
        <v>10.6235</v>
      </c>
      <c r="AZ175">
        <v>2</v>
      </c>
      <c r="BA175" t="s">
        <v>7</v>
      </c>
      <c r="BB175">
        <v>18528</v>
      </c>
      <c r="BC175">
        <v>96</v>
      </c>
      <c r="BD175">
        <v>4</v>
      </c>
      <c r="BE175">
        <v>4</v>
      </c>
      <c r="BF175">
        <v>458.62</v>
      </c>
      <c r="BG175" s="62">
        <v>9.2468000000000004</v>
      </c>
      <c r="BH175" s="16">
        <v>45475</v>
      </c>
      <c r="BI175" s="18">
        <v>3.6296296296296299E-2</v>
      </c>
      <c r="BJ175">
        <v>0</v>
      </c>
      <c r="BK175">
        <v>0</v>
      </c>
      <c r="BL175">
        <v>0</v>
      </c>
      <c r="BM175">
        <v>0</v>
      </c>
      <c r="BN175">
        <v>0</v>
      </c>
      <c r="BO175">
        <v>0</v>
      </c>
      <c r="BP175">
        <v>0</v>
      </c>
      <c r="BQ175">
        <v>0</v>
      </c>
      <c r="BR175">
        <v>0</v>
      </c>
      <c r="BS175">
        <v>0</v>
      </c>
      <c r="BT175">
        <v>0</v>
      </c>
      <c r="BU175">
        <v>0</v>
      </c>
    </row>
    <row r="176" spans="1:73" x14ac:dyDescent="0.25">
      <c r="A176" t="s">
        <v>111</v>
      </c>
      <c r="B176">
        <v>2</v>
      </c>
      <c r="C176" t="s">
        <v>7</v>
      </c>
      <c r="D176" s="20">
        <v>17472</v>
      </c>
      <c r="E176" s="20">
        <v>96</v>
      </c>
      <c r="F176" s="20">
        <v>1</v>
      </c>
      <c r="G176" s="20">
        <v>16</v>
      </c>
      <c r="H176" s="79">
        <v>368.49</v>
      </c>
      <c r="I176" s="62">
        <v>9.6509</v>
      </c>
      <c r="J176" s="16">
        <v>45547</v>
      </c>
      <c r="K176" s="25">
        <v>0.56153935185185189</v>
      </c>
      <c r="L176">
        <v>0</v>
      </c>
      <c r="M176">
        <v>0</v>
      </c>
      <c r="N176">
        <v>0</v>
      </c>
      <c r="O176">
        <v>0</v>
      </c>
      <c r="P176">
        <v>0</v>
      </c>
      <c r="Q176">
        <v>0</v>
      </c>
      <c r="R176">
        <v>0</v>
      </c>
      <c r="S176">
        <v>0</v>
      </c>
      <c r="T176">
        <v>0</v>
      </c>
      <c r="U176">
        <v>0</v>
      </c>
      <c r="V176">
        <v>0</v>
      </c>
      <c r="W176">
        <v>0</v>
      </c>
      <c r="X176" s="80">
        <f>X175</f>
        <v>9.6876999999999995</v>
      </c>
      <c r="Z176" t="s">
        <v>149</v>
      </c>
      <c r="AA176">
        <v>2</v>
      </c>
      <c r="AB176" t="s">
        <v>7</v>
      </c>
      <c r="AC176" s="20">
        <v>17536</v>
      </c>
      <c r="AD176" s="20">
        <v>64</v>
      </c>
      <c r="AE176" s="20">
        <v>1</v>
      </c>
      <c r="AF176" s="20">
        <v>16</v>
      </c>
      <c r="AG176" s="79">
        <v>338.16</v>
      </c>
      <c r="AH176" s="62">
        <v>10.632</v>
      </c>
      <c r="AI176" s="16">
        <v>45558</v>
      </c>
      <c r="AJ176" s="25">
        <v>0.88184027777777774</v>
      </c>
      <c r="AK176">
        <v>0</v>
      </c>
      <c r="AL176">
        <v>0</v>
      </c>
      <c r="AM176">
        <v>0</v>
      </c>
      <c r="AN176">
        <v>0</v>
      </c>
      <c r="AO176">
        <v>0</v>
      </c>
      <c r="AP176">
        <v>0</v>
      </c>
      <c r="AQ176">
        <v>0</v>
      </c>
      <c r="AR176">
        <v>0</v>
      </c>
      <c r="AS176">
        <v>0</v>
      </c>
      <c r="AT176">
        <v>0</v>
      </c>
      <c r="AU176">
        <v>0</v>
      </c>
      <c r="AV176">
        <v>0</v>
      </c>
      <c r="AW176" s="80">
        <f>AW175</f>
        <v>10.6235</v>
      </c>
      <c r="AZ176">
        <v>2</v>
      </c>
      <c r="BA176" t="s">
        <v>7</v>
      </c>
      <c r="BB176">
        <v>17536</v>
      </c>
      <c r="BC176">
        <v>32</v>
      </c>
      <c r="BD176">
        <v>1</v>
      </c>
      <c r="BE176">
        <v>16</v>
      </c>
      <c r="BF176">
        <v>390.8</v>
      </c>
      <c r="BG176" s="62">
        <v>9.2002000000000006</v>
      </c>
      <c r="BH176" s="16">
        <v>45474</v>
      </c>
      <c r="BI176" s="18">
        <v>0.86555555555555552</v>
      </c>
      <c r="BJ176">
        <v>0</v>
      </c>
      <c r="BK176">
        <v>0</v>
      </c>
      <c r="BL176">
        <v>0</v>
      </c>
      <c r="BM176">
        <v>0</v>
      </c>
      <c r="BN176">
        <v>0</v>
      </c>
      <c r="BO176">
        <v>0</v>
      </c>
      <c r="BP176">
        <v>0</v>
      </c>
      <c r="BQ176">
        <v>0</v>
      </c>
      <c r="BR176">
        <v>0</v>
      </c>
      <c r="BS176">
        <v>0</v>
      </c>
      <c r="BT176">
        <v>0</v>
      </c>
      <c r="BU176">
        <v>0</v>
      </c>
    </row>
    <row r="177" spans="1:73" x14ac:dyDescent="0.25">
      <c r="A177" t="s">
        <v>111</v>
      </c>
      <c r="B177">
        <v>3</v>
      </c>
      <c r="C177" t="s">
        <v>7</v>
      </c>
      <c r="D177" s="20">
        <v>17472</v>
      </c>
      <c r="E177" s="20">
        <v>96</v>
      </c>
      <c r="F177" s="20">
        <v>1</v>
      </c>
      <c r="G177" s="20">
        <v>16</v>
      </c>
      <c r="H177" s="79">
        <v>349.2</v>
      </c>
      <c r="I177" s="62">
        <v>10.183999999999999</v>
      </c>
      <c r="J177" s="16">
        <v>45548</v>
      </c>
      <c r="K177" s="25">
        <v>0.2220138888888889</v>
      </c>
      <c r="L177">
        <v>0</v>
      </c>
      <c r="M177">
        <v>0</v>
      </c>
      <c r="N177">
        <v>0</v>
      </c>
      <c r="O177">
        <v>0</v>
      </c>
      <c r="P177">
        <v>0</v>
      </c>
      <c r="Q177">
        <v>0</v>
      </c>
      <c r="R177">
        <v>0</v>
      </c>
      <c r="S177">
        <v>0</v>
      </c>
      <c r="T177">
        <v>0</v>
      </c>
      <c r="U177">
        <v>0</v>
      </c>
      <c r="V177">
        <v>0</v>
      </c>
      <c r="W177">
        <v>0</v>
      </c>
      <c r="X177" s="80">
        <f>X176</f>
        <v>9.6876999999999995</v>
      </c>
      <c r="Z177" t="s">
        <v>149</v>
      </c>
      <c r="AA177">
        <v>3</v>
      </c>
      <c r="AB177" t="s">
        <v>7</v>
      </c>
      <c r="AC177" s="20">
        <v>17536</v>
      </c>
      <c r="AD177" s="20">
        <v>64</v>
      </c>
      <c r="AE177" s="20">
        <v>1</v>
      </c>
      <c r="AF177" s="20">
        <v>16</v>
      </c>
      <c r="AG177" s="79">
        <v>338.89</v>
      </c>
      <c r="AH177" s="62">
        <v>10.609</v>
      </c>
      <c r="AI177" s="16">
        <v>45555</v>
      </c>
      <c r="AJ177" s="25">
        <v>5.2824074074074072E-2</v>
      </c>
      <c r="AK177">
        <v>0</v>
      </c>
      <c r="AL177">
        <v>0</v>
      </c>
      <c r="AM177">
        <v>0</v>
      </c>
      <c r="AN177">
        <v>0</v>
      </c>
      <c r="AO177">
        <v>0</v>
      </c>
      <c r="AP177">
        <v>0</v>
      </c>
      <c r="AQ177">
        <v>0</v>
      </c>
      <c r="AR177">
        <v>0</v>
      </c>
      <c r="AS177">
        <v>0</v>
      </c>
      <c r="AT177">
        <v>0</v>
      </c>
      <c r="AU177">
        <v>0</v>
      </c>
      <c r="AV177">
        <v>0</v>
      </c>
      <c r="AW177" s="80">
        <f>AW176</f>
        <v>10.6235</v>
      </c>
      <c r="AZ177">
        <v>2</v>
      </c>
      <c r="BA177" t="s">
        <v>7</v>
      </c>
      <c r="BB177">
        <v>18560</v>
      </c>
      <c r="BC177">
        <v>128</v>
      </c>
      <c r="BD177">
        <v>4</v>
      </c>
      <c r="BE177">
        <v>4</v>
      </c>
      <c r="BF177">
        <v>465.16</v>
      </c>
      <c r="BG177" s="62">
        <v>9.1640999999999995</v>
      </c>
      <c r="BH177" s="16">
        <v>45475</v>
      </c>
      <c r="BI177" s="18">
        <v>5.3680555555555558E-2</v>
      </c>
      <c r="BJ177">
        <v>0</v>
      </c>
      <c r="BK177">
        <v>0</v>
      </c>
      <c r="BL177">
        <v>0</v>
      </c>
      <c r="BM177">
        <v>0</v>
      </c>
      <c r="BN177">
        <v>0</v>
      </c>
      <c r="BO177">
        <v>0</v>
      </c>
      <c r="BP177">
        <v>0</v>
      </c>
      <c r="BQ177">
        <v>0</v>
      </c>
      <c r="BR177">
        <v>0</v>
      </c>
      <c r="BS177">
        <v>0</v>
      </c>
      <c r="BT177">
        <v>0</v>
      </c>
      <c r="BU177">
        <v>0</v>
      </c>
    </row>
    <row r="178" spans="1:73" x14ac:dyDescent="0.25">
      <c r="A178" t="s">
        <v>111</v>
      </c>
      <c r="B178">
        <v>4</v>
      </c>
      <c r="C178" t="s">
        <v>7</v>
      </c>
      <c r="D178" s="20">
        <v>17472</v>
      </c>
      <c r="E178" s="20">
        <v>96</v>
      </c>
      <c r="F178" s="20">
        <v>1</v>
      </c>
      <c r="G178" s="20">
        <v>16</v>
      </c>
      <c r="H178" s="79">
        <v>365.08</v>
      </c>
      <c r="I178" s="62">
        <v>9.7409999999999997</v>
      </c>
      <c r="J178" s="16">
        <v>45548</v>
      </c>
      <c r="K178" s="25">
        <v>0.85050925925925924</v>
      </c>
      <c r="L178">
        <v>0</v>
      </c>
      <c r="M178">
        <v>0</v>
      </c>
      <c r="N178">
        <v>0</v>
      </c>
      <c r="O178">
        <v>0</v>
      </c>
      <c r="P178">
        <v>0</v>
      </c>
      <c r="Q178">
        <v>0</v>
      </c>
      <c r="R178">
        <v>0</v>
      </c>
      <c r="S178">
        <v>0</v>
      </c>
      <c r="T178">
        <v>0</v>
      </c>
      <c r="U178">
        <v>0</v>
      </c>
      <c r="V178">
        <v>0</v>
      </c>
      <c r="W178">
        <v>0</v>
      </c>
      <c r="X178" s="80">
        <f>X177</f>
        <v>9.6876999999999995</v>
      </c>
      <c r="Z178" t="s">
        <v>149</v>
      </c>
      <c r="AA178">
        <v>4</v>
      </c>
      <c r="AB178" t="s">
        <v>7</v>
      </c>
      <c r="AC178" s="20">
        <v>17536</v>
      </c>
      <c r="AD178" s="20">
        <v>64</v>
      </c>
      <c r="AE178" s="20">
        <v>1</v>
      </c>
      <c r="AF178" s="20">
        <v>16</v>
      </c>
      <c r="AG178" s="79">
        <v>339.36</v>
      </c>
      <c r="AH178" s="62">
        <v>10.595000000000001</v>
      </c>
      <c r="AI178" s="16">
        <v>45555</v>
      </c>
      <c r="AJ178" s="25">
        <v>0.55295138888888884</v>
      </c>
      <c r="AK178">
        <v>0</v>
      </c>
      <c r="AL178">
        <v>0</v>
      </c>
      <c r="AM178">
        <v>0</v>
      </c>
      <c r="AN178">
        <v>0</v>
      </c>
      <c r="AO178">
        <v>0</v>
      </c>
      <c r="AP178">
        <v>0</v>
      </c>
      <c r="AQ178">
        <v>0</v>
      </c>
      <c r="AR178">
        <v>0</v>
      </c>
      <c r="AS178">
        <v>0</v>
      </c>
      <c r="AT178">
        <v>0</v>
      </c>
      <c r="AU178">
        <v>0</v>
      </c>
      <c r="AV178">
        <v>0</v>
      </c>
      <c r="AW178" s="80">
        <f>AW177</f>
        <v>10.6235</v>
      </c>
      <c r="AZ178">
        <v>2</v>
      </c>
      <c r="BA178" t="s">
        <v>7</v>
      </c>
      <c r="BB178">
        <v>17568</v>
      </c>
      <c r="BC178">
        <v>96</v>
      </c>
      <c r="BD178">
        <v>4</v>
      </c>
      <c r="BE178">
        <v>4</v>
      </c>
      <c r="BF178">
        <v>395.39</v>
      </c>
      <c r="BG178" s="62">
        <v>9.1433</v>
      </c>
      <c r="BH178" s="16">
        <v>45474</v>
      </c>
      <c r="BI178" s="18">
        <v>0.90708333333333335</v>
      </c>
      <c r="BJ178">
        <v>0</v>
      </c>
      <c r="BK178">
        <v>0</v>
      </c>
      <c r="BL178">
        <v>0</v>
      </c>
      <c r="BM178">
        <v>0</v>
      </c>
      <c r="BN178">
        <v>0</v>
      </c>
      <c r="BO178">
        <v>0</v>
      </c>
      <c r="BP178">
        <v>0</v>
      </c>
      <c r="BQ178">
        <v>0</v>
      </c>
      <c r="BR178">
        <v>0</v>
      </c>
      <c r="BS178">
        <v>0</v>
      </c>
      <c r="BT178">
        <v>0</v>
      </c>
      <c r="BU178">
        <v>0</v>
      </c>
    </row>
    <row r="179" spans="1:73" x14ac:dyDescent="0.25">
      <c r="A179" t="s">
        <v>111</v>
      </c>
      <c r="B179">
        <v>0</v>
      </c>
      <c r="C179" t="s">
        <v>7</v>
      </c>
      <c r="D179" s="20">
        <v>17440</v>
      </c>
      <c r="E179" s="20">
        <v>160</v>
      </c>
      <c r="F179" s="20">
        <v>1</v>
      </c>
      <c r="G179" s="20">
        <v>16</v>
      </c>
      <c r="H179" s="79">
        <v>377.16</v>
      </c>
      <c r="I179" s="62">
        <v>9.3773999999999997</v>
      </c>
      <c r="J179" s="16">
        <v>45546</v>
      </c>
      <c r="K179" s="25">
        <v>0.3565625</v>
      </c>
      <c r="L179">
        <v>0</v>
      </c>
      <c r="M179">
        <v>0</v>
      </c>
      <c r="N179">
        <v>0</v>
      </c>
      <c r="O179">
        <v>0</v>
      </c>
      <c r="P179">
        <v>0</v>
      </c>
      <c r="Q179">
        <v>0</v>
      </c>
      <c r="R179">
        <v>0</v>
      </c>
      <c r="S179">
        <v>0</v>
      </c>
      <c r="T179">
        <v>0</v>
      </c>
      <c r="U179">
        <v>0</v>
      </c>
      <c r="V179">
        <v>0</v>
      </c>
      <c r="W179">
        <v>0</v>
      </c>
      <c r="X179" s="82">
        <f>AVERAGE(I179:I183)</f>
        <v>9.6811199999999999</v>
      </c>
      <c r="Z179" t="s">
        <v>149</v>
      </c>
      <c r="AA179">
        <v>0</v>
      </c>
      <c r="AB179" t="s">
        <v>7</v>
      </c>
      <c r="AC179" s="20">
        <v>18560</v>
      </c>
      <c r="AD179" s="20">
        <v>64</v>
      </c>
      <c r="AE179" s="20">
        <v>4</v>
      </c>
      <c r="AF179" s="20">
        <v>4</v>
      </c>
      <c r="AG179" s="79">
        <v>403.62</v>
      </c>
      <c r="AH179" s="62">
        <v>10.561</v>
      </c>
      <c r="AI179" s="16">
        <v>45557</v>
      </c>
      <c r="AJ179" s="25">
        <v>0.99103009259259256</v>
      </c>
      <c r="AK179">
        <v>0</v>
      </c>
      <c r="AL179">
        <v>0</v>
      </c>
      <c r="AM179">
        <v>0</v>
      </c>
      <c r="AN179">
        <v>0</v>
      </c>
      <c r="AO179">
        <v>0</v>
      </c>
      <c r="AP179">
        <v>0</v>
      </c>
      <c r="AQ179">
        <v>0</v>
      </c>
      <c r="AR179">
        <v>0</v>
      </c>
      <c r="AS179">
        <v>0</v>
      </c>
      <c r="AT179">
        <v>0</v>
      </c>
      <c r="AU179">
        <v>0</v>
      </c>
      <c r="AV179">
        <v>0</v>
      </c>
      <c r="AW179" s="82">
        <f>AVERAGE(AH179:AH182)</f>
        <v>10.601749999999999</v>
      </c>
      <c r="AZ179">
        <v>2</v>
      </c>
      <c r="BA179" t="s">
        <v>7</v>
      </c>
      <c r="BB179">
        <v>17600</v>
      </c>
      <c r="BC179">
        <v>160</v>
      </c>
      <c r="BD179">
        <v>4</v>
      </c>
      <c r="BE179">
        <v>4</v>
      </c>
      <c r="BF179">
        <v>404.26</v>
      </c>
      <c r="BG179" s="62">
        <v>8.9916</v>
      </c>
      <c r="BH179" s="16">
        <v>45474</v>
      </c>
      <c r="BI179" s="18">
        <v>0.93730324074074078</v>
      </c>
      <c r="BJ179">
        <v>0</v>
      </c>
      <c r="BK179">
        <v>0</v>
      </c>
      <c r="BL179">
        <v>0</v>
      </c>
      <c r="BM179">
        <v>0</v>
      </c>
      <c r="BN179">
        <v>0</v>
      </c>
      <c r="BO179">
        <v>0</v>
      </c>
      <c r="BP179">
        <v>0</v>
      </c>
      <c r="BQ179">
        <v>0</v>
      </c>
      <c r="BR179">
        <v>0</v>
      </c>
      <c r="BS179">
        <v>0</v>
      </c>
      <c r="BT179">
        <v>0</v>
      </c>
      <c r="BU179">
        <v>0</v>
      </c>
    </row>
    <row r="180" spans="1:73" x14ac:dyDescent="0.25">
      <c r="A180" t="s">
        <v>111</v>
      </c>
      <c r="B180">
        <v>1</v>
      </c>
      <c r="C180" t="s">
        <v>7</v>
      </c>
      <c r="D180" s="20">
        <v>17440</v>
      </c>
      <c r="E180" s="20">
        <v>160</v>
      </c>
      <c r="F180" s="20">
        <v>1</v>
      </c>
      <c r="G180" s="20">
        <v>16</v>
      </c>
      <c r="H180" s="79">
        <v>361.76</v>
      </c>
      <c r="I180" s="62">
        <v>9.7765000000000004</v>
      </c>
      <c r="J180" s="16">
        <v>45546</v>
      </c>
      <c r="K180" s="25">
        <v>0.97270833333333329</v>
      </c>
      <c r="L180">
        <v>0</v>
      </c>
      <c r="M180">
        <v>0</v>
      </c>
      <c r="N180">
        <v>0</v>
      </c>
      <c r="O180">
        <v>0</v>
      </c>
      <c r="P180">
        <v>0</v>
      </c>
      <c r="Q180">
        <v>0</v>
      </c>
      <c r="R180">
        <v>0</v>
      </c>
      <c r="S180">
        <v>0</v>
      </c>
      <c r="T180">
        <v>0</v>
      </c>
      <c r="U180">
        <v>0</v>
      </c>
      <c r="V180">
        <v>0</v>
      </c>
      <c r="W180">
        <v>0</v>
      </c>
      <c r="X180" s="80">
        <f>X179</f>
        <v>9.6811199999999999</v>
      </c>
      <c r="Z180" t="s">
        <v>149</v>
      </c>
      <c r="AA180">
        <v>1</v>
      </c>
      <c r="AB180" t="s">
        <v>7</v>
      </c>
      <c r="AC180" s="20">
        <v>18560</v>
      </c>
      <c r="AD180" s="20">
        <v>64</v>
      </c>
      <c r="AE180" s="20">
        <v>4</v>
      </c>
      <c r="AF180" s="20">
        <v>4</v>
      </c>
      <c r="AG180" s="79">
        <v>401.63</v>
      </c>
      <c r="AH180" s="62">
        <v>10.614000000000001</v>
      </c>
      <c r="AI180" s="16">
        <v>45558</v>
      </c>
      <c r="AJ180" s="25">
        <v>0.49039351851851853</v>
      </c>
      <c r="AK180">
        <v>0</v>
      </c>
      <c r="AL180">
        <v>0</v>
      </c>
      <c r="AM180">
        <v>0</v>
      </c>
      <c r="AN180">
        <v>0</v>
      </c>
      <c r="AO180">
        <v>0</v>
      </c>
      <c r="AP180">
        <v>0</v>
      </c>
      <c r="AQ180">
        <v>0</v>
      </c>
      <c r="AR180">
        <v>0</v>
      </c>
      <c r="AS180">
        <v>0</v>
      </c>
      <c r="AT180">
        <v>0</v>
      </c>
      <c r="AU180">
        <v>0</v>
      </c>
      <c r="AV180">
        <v>0</v>
      </c>
      <c r="AW180" s="80">
        <f>AW179</f>
        <v>10.601749999999999</v>
      </c>
      <c r="AZ180">
        <v>1</v>
      </c>
      <c r="BA180" t="s">
        <v>7</v>
      </c>
      <c r="BB180">
        <v>19584</v>
      </c>
      <c r="BC180">
        <v>192</v>
      </c>
      <c r="BD180">
        <v>4</v>
      </c>
      <c r="BE180">
        <v>4</v>
      </c>
      <c r="BF180">
        <v>558.11</v>
      </c>
      <c r="BG180" s="62">
        <v>8.9731000000000005</v>
      </c>
      <c r="BH180" s="16">
        <v>45474</v>
      </c>
      <c r="BI180" s="18">
        <v>0.81914351851851852</v>
      </c>
      <c r="BJ180">
        <v>0</v>
      </c>
      <c r="BK180">
        <v>0</v>
      </c>
      <c r="BL180">
        <v>0</v>
      </c>
      <c r="BM180">
        <v>0</v>
      </c>
      <c r="BN180">
        <v>0</v>
      </c>
      <c r="BO180">
        <v>0</v>
      </c>
      <c r="BP180">
        <v>0</v>
      </c>
      <c r="BQ180">
        <v>0</v>
      </c>
      <c r="BR180">
        <v>0</v>
      </c>
      <c r="BS180">
        <v>0</v>
      </c>
      <c r="BT180">
        <v>0</v>
      </c>
      <c r="BU180">
        <v>0</v>
      </c>
    </row>
    <row r="181" spans="1:73" x14ac:dyDescent="0.25">
      <c r="A181" t="s">
        <v>111</v>
      </c>
      <c r="B181">
        <v>2</v>
      </c>
      <c r="C181" t="s">
        <v>7</v>
      </c>
      <c r="D181" s="20">
        <v>17440</v>
      </c>
      <c r="E181" s="20">
        <v>160</v>
      </c>
      <c r="F181" s="20">
        <v>1</v>
      </c>
      <c r="G181" s="20">
        <v>16</v>
      </c>
      <c r="H181" s="79">
        <v>373.78</v>
      </c>
      <c r="I181" s="62">
        <v>9.4619999999999997</v>
      </c>
      <c r="J181" s="16">
        <v>45547</v>
      </c>
      <c r="K181" s="25">
        <v>0.58788194444444442</v>
      </c>
      <c r="L181">
        <v>0</v>
      </c>
      <c r="M181">
        <v>0</v>
      </c>
      <c r="N181">
        <v>0</v>
      </c>
      <c r="O181">
        <v>0</v>
      </c>
      <c r="P181">
        <v>0</v>
      </c>
      <c r="Q181">
        <v>0</v>
      </c>
      <c r="R181">
        <v>0</v>
      </c>
      <c r="S181">
        <v>0</v>
      </c>
      <c r="T181">
        <v>0</v>
      </c>
      <c r="U181">
        <v>0</v>
      </c>
      <c r="V181">
        <v>0</v>
      </c>
      <c r="W181">
        <v>0</v>
      </c>
      <c r="X181" s="80">
        <f>X180</f>
        <v>9.6811199999999999</v>
      </c>
      <c r="Z181" t="s">
        <v>149</v>
      </c>
      <c r="AA181">
        <v>2</v>
      </c>
      <c r="AB181" t="s">
        <v>7</v>
      </c>
      <c r="AC181" s="20">
        <v>18560</v>
      </c>
      <c r="AD181" s="20">
        <v>64</v>
      </c>
      <c r="AE181" s="20">
        <v>4</v>
      </c>
      <c r="AF181" s="20">
        <v>4</v>
      </c>
      <c r="AG181" s="79">
        <v>401.93</v>
      </c>
      <c r="AH181" s="62">
        <v>10.606</v>
      </c>
      <c r="AI181" s="16">
        <v>45554</v>
      </c>
      <c r="AJ181" s="25">
        <v>0.63432870370370376</v>
      </c>
      <c r="AK181">
        <v>0</v>
      </c>
      <c r="AL181">
        <v>0</v>
      </c>
      <c r="AM181">
        <v>0</v>
      </c>
      <c r="AN181">
        <v>0</v>
      </c>
      <c r="AO181">
        <v>0</v>
      </c>
      <c r="AP181">
        <v>0</v>
      </c>
      <c r="AQ181">
        <v>0</v>
      </c>
      <c r="AR181">
        <v>0</v>
      </c>
      <c r="AS181">
        <v>0</v>
      </c>
      <c r="AT181">
        <v>0</v>
      </c>
      <c r="AU181">
        <v>0</v>
      </c>
      <c r="AV181">
        <v>0</v>
      </c>
      <c r="AW181" s="80">
        <f>AW180</f>
        <v>10.601749999999999</v>
      </c>
      <c r="AZ181">
        <v>2</v>
      </c>
      <c r="BA181" t="s">
        <v>7</v>
      </c>
      <c r="BB181">
        <v>17536</v>
      </c>
      <c r="BC181">
        <v>128</v>
      </c>
      <c r="BD181">
        <v>4</v>
      </c>
      <c r="BE181">
        <v>4</v>
      </c>
      <c r="BF181">
        <v>403.03</v>
      </c>
      <c r="BG181" s="62">
        <v>8.9212000000000007</v>
      </c>
      <c r="BH181" s="16">
        <v>45474</v>
      </c>
      <c r="BI181" s="18">
        <v>0.92228009259259258</v>
      </c>
      <c r="BJ181">
        <v>0</v>
      </c>
      <c r="BK181">
        <v>0</v>
      </c>
      <c r="BL181">
        <v>0</v>
      </c>
      <c r="BM181">
        <v>0</v>
      </c>
      <c r="BN181">
        <v>0</v>
      </c>
      <c r="BO181">
        <v>0</v>
      </c>
      <c r="BP181">
        <v>0</v>
      </c>
      <c r="BQ181">
        <v>0</v>
      </c>
      <c r="BR181">
        <v>0</v>
      </c>
      <c r="BS181">
        <v>0</v>
      </c>
      <c r="BT181">
        <v>0</v>
      </c>
      <c r="BU181">
        <v>0</v>
      </c>
    </row>
    <row r="182" spans="1:73" x14ac:dyDescent="0.25">
      <c r="A182" t="s">
        <v>111</v>
      </c>
      <c r="B182">
        <v>3</v>
      </c>
      <c r="C182" t="s">
        <v>7</v>
      </c>
      <c r="D182" s="20">
        <v>17440</v>
      </c>
      <c r="E182" s="20">
        <v>160</v>
      </c>
      <c r="F182" s="20">
        <v>1</v>
      </c>
      <c r="G182" s="20">
        <v>16</v>
      </c>
      <c r="H182" s="79">
        <v>369.89</v>
      </c>
      <c r="I182" s="62">
        <v>9.5617000000000001</v>
      </c>
      <c r="J182" s="16">
        <v>45548</v>
      </c>
      <c r="K182" s="25">
        <v>0.24842592592592594</v>
      </c>
      <c r="L182">
        <v>0</v>
      </c>
      <c r="M182">
        <v>0</v>
      </c>
      <c r="N182">
        <v>0</v>
      </c>
      <c r="O182">
        <v>0</v>
      </c>
      <c r="P182">
        <v>0</v>
      </c>
      <c r="Q182">
        <v>0</v>
      </c>
      <c r="R182">
        <v>0</v>
      </c>
      <c r="S182">
        <v>0</v>
      </c>
      <c r="T182">
        <v>0</v>
      </c>
      <c r="U182">
        <v>0</v>
      </c>
      <c r="V182">
        <v>0</v>
      </c>
      <c r="W182">
        <v>0</v>
      </c>
      <c r="X182" s="80">
        <f>X181</f>
        <v>9.6811199999999999</v>
      </c>
      <c r="Z182" t="s">
        <v>149</v>
      </c>
      <c r="AA182">
        <v>3</v>
      </c>
      <c r="AB182" t="s">
        <v>7</v>
      </c>
      <c r="AC182" s="20">
        <v>18560</v>
      </c>
      <c r="AD182" s="20">
        <v>64</v>
      </c>
      <c r="AE182" s="20">
        <v>4</v>
      </c>
      <c r="AF182" s="20">
        <v>4</v>
      </c>
      <c r="AG182" s="79">
        <v>401.15</v>
      </c>
      <c r="AH182" s="62">
        <v>10.625999999999999</v>
      </c>
      <c r="AI182" s="16">
        <v>45555</v>
      </c>
      <c r="AJ182" s="25">
        <v>0.15981481481481483</v>
      </c>
      <c r="AK182">
        <v>0</v>
      </c>
      <c r="AL182">
        <v>0</v>
      </c>
      <c r="AM182">
        <v>0</v>
      </c>
      <c r="AN182">
        <v>0</v>
      </c>
      <c r="AO182">
        <v>0</v>
      </c>
      <c r="AP182">
        <v>0</v>
      </c>
      <c r="AQ182">
        <v>0</v>
      </c>
      <c r="AR182">
        <v>0</v>
      </c>
      <c r="AS182">
        <v>0</v>
      </c>
      <c r="AT182">
        <v>0</v>
      </c>
      <c r="AU182">
        <v>0</v>
      </c>
      <c r="AV182">
        <v>0</v>
      </c>
      <c r="AW182" s="80">
        <f>AW181</f>
        <v>10.601749999999999</v>
      </c>
      <c r="AZ182">
        <v>2</v>
      </c>
      <c r="BA182" t="s">
        <v>7</v>
      </c>
      <c r="BB182">
        <v>18560</v>
      </c>
      <c r="BC182">
        <v>64</v>
      </c>
      <c r="BD182">
        <v>4</v>
      </c>
      <c r="BE182">
        <v>4</v>
      </c>
      <c r="BF182">
        <v>478.84</v>
      </c>
      <c r="BG182" s="62">
        <v>8.9024000000000001</v>
      </c>
      <c r="BH182" s="16">
        <v>45475</v>
      </c>
      <c r="BI182" s="18">
        <v>1.9074074074074073E-2</v>
      </c>
      <c r="BJ182">
        <v>0</v>
      </c>
      <c r="BK182">
        <v>0</v>
      </c>
      <c r="BL182">
        <v>0</v>
      </c>
      <c r="BM182">
        <v>0</v>
      </c>
      <c r="BN182">
        <v>0</v>
      </c>
      <c r="BO182">
        <v>0</v>
      </c>
      <c r="BP182">
        <v>0</v>
      </c>
      <c r="BQ182">
        <v>0</v>
      </c>
      <c r="BR182">
        <v>0</v>
      </c>
      <c r="BS182">
        <v>0</v>
      </c>
      <c r="BT182">
        <v>0</v>
      </c>
      <c r="BU182">
        <v>0</v>
      </c>
    </row>
    <row r="183" spans="1:73" x14ac:dyDescent="0.25">
      <c r="A183" t="s">
        <v>111</v>
      </c>
      <c r="B183">
        <v>4</v>
      </c>
      <c r="C183" t="s">
        <v>7</v>
      </c>
      <c r="D183" s="20">
        <v>17440</v>
      </c>
      <c r="E183" s="20">
        <v>160</v>
      </c>
      <c r="F183" s="20">
        <v>1</v>
      </c>
      <c r="G183" s="20">
        <v>16</v>
      </c>
      <c r="H183" s="79">
        <v>345.8</v>
      </c>
      <c r="I183" s="62">
        <v>10.228</v>
      </c>
      <c r="J183" s="16">
        <v>45548</v>
      </c>
      <c r="K183" s="25">
        <v>0.87649305555555557</v>
      </c>
      <c r="L183">
        <v>0</v>
      </c>
      <c r="M183">
        <v>0</v>
      </c>
      <c r="N183">
        <v>0</v>
      </c>
      <c r="O183">
        <v>0</v>
      </c>
      <c r="P183">
        <v>0</v>
      </c>
      <c r="Q183">
        <v>0</v>
      </c>
      <c r="R183">
        <v>0</v>
      </c>
      <c r="S183">
        <v>0</v>
      </c>
      <c r="T183">
        <v>0</v>
      </c>
      <c r="U183">
        <v>0</v>
      </c>
      <c r="V183">
        <v>0</v>
      </c>
      <c r="W183">
        <v>0</v>
      </c>
      <c r="X183" s="80">
        <f>X182</f>
        <v>9.6811199999999999</v>
      </c>
      <c r="Z183" t="s">
        <v>149</v>
      </c>
      <c r="AA183">
        <v>4</v>
      </c>
      <c r="AB183" t="s">
        <v>7</v>
      </c>
      <c r="AC183" s="20">
        <v>18560</v>
      </c>
      <c r="AD183" s="20">
        <v>64</v>
      </c>
      <c r="AE183" s="20">
        <v>4</v>
      </c>
      <c r="AF183" s="20">
        <v>4</v>
      </c>
      <c r="AG183" s="79">
        <v>403.03</v>
      </c>
      <c r="AH183" s="62">
        <v>10.577</v>
      </c>
      <c r="AI183" s="16">
        <v>45555</v>
      </c>
      <c r="AJ183" s="25">
        <v>0.65995370370370365</v>
      </c>
      <c r="AK183">
        <v>0</v>
      </c>
      <c r="AL183">
        <v>0</v>
      </c>
      <c r="AM183">
        <v>0</v>
      </c>
      <c r="AN183">
        <v>0</v>
      </c>
      <c r="AO183">
        <v>0</v>
      </c>
      <c r="AP183">
        <v>0</v>
      </c>
      <c r="AQ183">
        <v>0</v>
      </c>
      <c r="AR183">
        <v>0</v>
      </c>
      <c r="AS183">
        <v>0</v>
      </c>
      <c r="AT183">
        <v>0</v>
      </c>
      <c r="AU183">
        <v>0</v>
      </c>
      <c r="AV183">
        <v>0</v>
      </c>
      <c r="AW183" s="80">
        <f>AW182</f>
        <v>10.601749999999999</v>
      </c>
      <c r="AZ183">
        <v>2</v>
      </c>
      <c r="BA183" t="s">
        <v>7</v>
      </c>
      <c r="BB183">
        <v>17472</v>
      </c>
      <c r="BC183">
        <v>192</v>
      </c>
      <c r="BD183">
        <v>4</v>
      </c>
      <c r="BE183">
        <v>4</v>
      </c>
      <c r="BF183">
        <v>400.89</v>
      </c>
      <c r="BG183" s="62">
        <v>8.8709000000000007</v>
      </c>
      <c r="BH183" s="16">
        <v>45474</v>
      </c>
      <c r="BI183" s="18">
        <v>0.95223379629629634</v>
      </c>
      <c r="BJ183">
        <v>0</v>
      </c>
      <c r="BK183">
        <v>0</v>
      </c>
      <c r="BL183">
        <v>0</v>
      </c>
      <c r="BM183">
        <v>0</v>
      </c>
      <c r="BN183">
        <v>0</v>
      </c>
      <c r="BO183">
        <v>0</v>
      </c>
      <c r="BP183">
        <v>0</v>
      </c>
      <c r="BQ183">
        <v>0</v>
      </c>
      <c r="BR183">
        <v>0</v>
      </c>
      <c r="BS183">
        <v>0</v>
      </c>
      <c r="BT183">
        <v>0</v>
      </c>
      <c r="BU183">
        <v>0</v>
      </c>
    </row>
    <row r="184" spans="1:73" x14ac:dyDescent="0.25">
      <c r="A184" t="s">
        <v>111</v>
      </c>
      <c r="B184">
        <v>0</v>
      </c>
      <c r="C184" t="s">
        <v>7</v>
      </c>
      <c r="D184" s="20">
        <v>19584</v>
      </c>
      <c r="E184" s="20">
        <v>96</v>
      </c>
      <c r="F184" s="20">
        <v>4</v>
      </c>
      <c r="G184" s="20">
        <v>4</v>
      </c>
      <c r="H184" s="79">
        <v>517.41</v>
      </c>
      <c r="I184" s="62">
        <v>9.6790000000000003</v>
      </c>
      <c r="J184" s="16">
        <v>45546</v>
      </c>
      <c r="K184" s="25">
        <v>0.58429398148148148</v>
      </c>
      <c r="L184">
        <v>0</v>
      </c>
      <c r="M184">
        <v>0</v>
      </c>
      <c r="N184">
        <v>0</v>
      </c>
      <c r="O184">
        <v>0</v>
      </c>
      <c r="P184">
        <v>0</v>
      </c>
      <c r="Q184">
        <v>0</v>
      </c>
      <c r="R184">
        <v>0</v>
      </c>
      <c r="S184">
        <v>0</v>
      </c>
      <c r="T184">
        <v>0</v>
      </c>
      <c r="U184">
        <v>0</v>
      </c>
      <c r="V184">
        <v>0</v>
      </c>
      <c r="W184">
        <v>0</v>
      </c>
      <c r="X184" s="82">
        <f>AVERAGE(I184:I188)</f>
        <v>9.6645599999999998</v>
      </c>
      <c r="Z184" t="s">
        <v>149</v>
      </c>
      <c r="AA184">
        <v>0</v>
      </c>
      <c r="AB184" t="s">
        <v>7</v>
      </c>
      <c r="AC184" s="20">
        <v>19584</v>
      </c>
      <c r="AD184" s="20">
        <v>32</v>
      </c>
      <c r="AE184" s="20">
        <v>1</v>
      </c>
      <c r="AF184" s="20">
        <v>16</v>
      </c>
      <c r="AG184" s="79">
        <v>472.24</v>
      </c>
      <c r="AH184" s="62">
        <v>10.605</v>
      </c>
      <c r="AI184" s="16">
        <v>45558</v>
      </c>
      <c r="AJ184" s="25">
        <v>9.2789351851851845E-2</v>
      </c>
      <c r="AK184">
        <v>0</v>
      </c>
      <c r="AL184">
        <v>0</v>
      </c>
      <c r="AM184">
        <v>0</v>
      </c>
      <c r="AN184">
        <v>0</v>
      </c>
      <c r="AO184">
        <v>0</v>
      </c>
      <c r="AP184">
        <v>0</v>
      </c>
      <c r="AQ184">
        <v>0</v>
      </c>
      <c r="AR184">
        <v>0</v>
      </c>
      <c r="AS184">
        <v>0</v>
      </c>
      <c r="AT184">
        <v>0</v>
      </c>
      <c r="AU184">
        <v>0</v>
      </c>
      <c r="AV184">
        <v>0</v>
      </c>
      <c r="AW184" s="82">
        <f>AVERAGE(AH184:AH187)</f>
        <v>10.593</v>
      </c>
      <c r="AZ184">
        <v>2</v>
      </c>
      <c r="BA184" t="s">
        <v>7</v>
      </c>
      <c r="BB184">
        <v>17472</v>
      </c>
      <c r="BC184">
        <v>224</v>
      </c>
      <c r="BD184">
        <v>4</v>
      </c>
      <c r="BE184">
        <v>4</v>
      </c>
      <c r="BF184">
        <v>407.65</v>
      </c>
      <c r="BG184" s="62">
        <v>8.7236999999999991</v>
      </c>
      <c r="BH184" s="16">
        <v>45474</v>
      </c>
      <c r="BI184" s="18">
        <v>0.96737268518518515</v>
      </c>
      <c r="BJ184">
        <v>0</v>
      </c>
      <c r="BK184">
        <v>0</v>
      </c>
      <c r="BL184">
        <v>0</v>
      </c>
      <c r="BM184">
        <v>0</v>
      </c>
      <c r="BN184">
        <v>0</v>
      </c>
      <c r="BO184">
        <v>0</v>
      </c>
      <c r="BP184">
        <v>0</v>
      </c>
      <c r="BQ184">
        <v>0</v>
      </c>
      <c r="BR184">
        <v>0</v>
      </c>
      <c r="BS184">
        <v>0</v>
      </c>
      <c r="BT184">
        <v>0</v>
      </c>
      <c r="BU184">
        <v>0</v>
      </c>
    </row>
    <row r="185" spans="1:73" x14ac:dyDescent="0.25">
      <c r="A185" t="s">
        <v>111</v>
      </c>
      <c r="B185">
        <v>1</v>
      </c>
      <c r="C185" t="s">
        <v>7</v>
      </c>
      <c r="D185" s="20">
        <v>19584</v>
      </c>
      <c r="E185" s="20">
        <v>96</v>
      </c>
      <c r="F185" s="20">
        <v>4</v>
      </c>
      <c r="G185" s="20">
        <v>4</v>
      </c>
      <c r="H185" s="79">
        <v>516.38</v>
      </c>
      <c r="I185" s="62">
        <v>9.6981999999999999</v>
      </c>
      <c r="J185" s="16">
        <v>45547</v>
      </c>
      <c r="K185" s="25">
        <v>0.21893518518518518</v>
      </c>
      <c r="L185">
        <v>0</v>
      </c>
      <c r="M185">
        <v>0</v>
      </c>
      <c r="N185">
        <v>0</v>
      </c>
      <c r="O185">
        <v>0</v>
      </c>
      <c r="P185">
        <v>0</v>
      </c>
      <c r="Q185">
        <v>0</v>
      </c>
      <c r="R185">
        <v>0</v>
      </c>
      <c r="S185">
        <v>0</v>
      </c>
      <c r="T185">
        <v>0</v>
      </c>
      <c r="U185">
        <v>0</v>
      </c>
      <c r="V185">
        <v>0</v>
      </c>
      <c r="W185">
        <v>0</v>
      </c>
      <c r="X185" s="80">
        <f>X184</f>
        <v>9.6645599999999998</v>
      </c>
      <c r="Z185" t="s">
        <v>149</v>
      </c>
      <c r="AA185">
        <v>1</v>
      </c>
      <c r="AB185" t="s">
        <v>7</v>
      </c>
      <c r="AC185" s="20">
        <v>19584</v>
      </c>
      <c r="AD185" s="20">
        <v>32</v>
      </c>
      <c r="AE185" s="20">
        <v>1</v>
      </c>
      <c r="AF185" s="20">
        <v>16</v>
      </c>
      <c r="AG185" s="79">
        <v>472.39</v>
      </c>
      <c r="AH185" s="62">
        <v>10.601000000000001</v>
      </c>
      <c r="AI185" s="16">
        <v>45558</v>
      </c>
      <c r="AJ185" s="25">
        <v>0.58601851851851849</v>
      </c>
      <c r="AK185">
        <v>0</v>
      </c>
      <c r="AL185">
        <v>0</v>
      </c>
      <c r="AM185">
        <v>0</v>
      </c>
      <c r="AN185">
        <v>0</v>
      </c>
      <c r="AO185">
        <v>0</v>
      </c>
      <c r="AP185">
        <v>0</v>
      </c>
      <c r="AQ185">
        <v>0</v>
      </c>
      <c r="AR185">
        <v>0</v>
      </c>
      <c r="AS185">
        <v>0</v>
      </c>
      <c r="AT185">
        <v>0</v>
      </c>
      <c r="AU185">
        <v>0</v>
      </c>
      <c r="AV185">
        <v>0</v>
      </c>
      <c r="AW185" s="80">
        <f>AW184</f>
        <v>10.593</v>
      </c>
      <c r="AZ185">
        <v>2</v>
      </c>
      <c r="BA185" t="s">
        <v>7</v>
      </c>
      <c r="BB185">
        <v>17536</v>
      </c>
      <c r="BC185">
        <v>64</v>
      </c>
      <c r="BD185">
        <v>4</v>
      </c>
      <c r="BE185">
        <v>4</v>
      </c>
      <c r="BF185">
        <v>418.86</v>
      </c>
      <c r="BG185" s="62">
        <v>8.5838999999999999</v>
      </c>
      <c r="BH185" s="16">
        <v>45474</v>
      </c>
      <c r="BI185" s="18">
        <v>0.89203703703703707</v>
      </c>
      <c r="BJ185">
        <v>0</v>
      </c>
      <c r="BK185">
        <v>0</v>
      </c>
      <c r="BL185">
        <v>0</v>
      </c>
      <c r="BM185">
        <v>0</v>
      </c>
      <c r="BN185">
        <v>0</v>
      </c>
      <c r="BO185">
        <v>0</v>
      </c>
      <c r="BP185">
        <v>0</v>
      </c>
      <c r="BQ185">
        <v>0</v>
      </c>
      <c r="BR185">
        <v>0</v>
      </c>
      <c r="BS185">
        <v>0</v>
      </c>
      <c r="BT185">
        <v>0</v>
      </c>
      <c r="BU185">
        <v>0</v>
      </c>
    </row>
    <row r="186" spans="1:73" x14ac:dyDescent="0.25">
      <c r="A186" t="s">
        <v>111</v>
      </c>
      <c r="B186">
        <v>2</v>
      </c>
      <c r="C186" t="s">
        <v>7</v>
      </c>
      <c r="D186" s="20">
        <v>19584</v>
      </c>
      <c r="E186" s="20">
        <v>96</v>
      </c>
      <c r="F186" s="20">
        <v>4</v>
      </c>
      <c r="G186" s="20">
        <v>4</v>
      </c>
      <c r="H186" s="79">
        <v>520.72</v>
      </c>
      <c r="I186" s="62">
        <v>9.6174999999999997</v>
      </c>
      <c r="J186" s="16">
        <v>45547</v>
      </c>
      <c r="K186" s="25">
        <v>0.82881944444444444</v>
      </c>
      <c r="L186">
        <v>0</v>
      </c>
      <c r="M186">
        <v>0</v>
      </c>
      <c r="N186">
        <v>0</v>
      </c>
      <c r="O186">
        <v>0</v>
      </c>
      <c r="P186">
        <v>0</v>
      </c>
      <c r="Q186">
        <v>0</v>
      </c>
      <c r="R186">
        <v>0</v>
      </c>
      <c r="S186">
        <v>0</v>
      </c>
      <c r="T186">
        <v>0</v>
      </c>
      <c r="U186">
        <v>0</v>
      </c>
      <c r="V186">
        <v>0</v>
      </c>
      <c r="W186">
        <v>0</v>
      </c>
      <c r="X186" s="80">
        <f>X185</f>
        <v>9.6645599999999998</v>
      </c>
      <c r="Z186" t="s">
        <v>149</v>
      </c>
      <c r="AA186">
        <v>2</v>
      </c>
      <c r="AB186" t="s">
        <v>7</v>
      </c>
      <c r="AC186" s="20">
        <v>19584</v>
      </c>
      <c r="AD186" s="20">
        <v>32</v>
      </c>
      <c r="AE186" s="20">
        <v>1</v>
      </c>
      <c r="AF186" s="20">
        <v>16</v>
      </c>
      <c r="AG186" s="79">
        <v>472.25</v>
      </c>
      <c r="AH186" s="62">
        <v>10.605</v>
      </c>
      <c r="AI186" s="16">
        <v>45554</v>
      </c>
      <c r="AJ186" s="25">
        <v>0.73048611111111106</v>
      </c>
      <c r="AK186">
        <v>0</v>
      </c>
      <c r="AL186">
        <v>0</v>
      </c>
      <c r="AM186">
        <v>0</v>
      </c>
      <c r="AN186">
        <v>0</v>
      </c>
      <c r="AO186">
        <v>0</v>
      </c>
      <c r="AP186">
        <v>0</v>
      </c>
      <c r="AQ186">
        <v>0</v>
      </c>
      <c r="AR186">
        <v>0</v>
      </c>
      <c r="AS186">
        <v>0</v>
      </c>
      <c r="AT186">
        <v>0</v>
      </c>
      <c r="AU186">
        <v>0</v>
      </c>
      <c r="AV186">
        <v>0</v>
      </c>
      <c r="AW186" s="80">
        <f>AW185</f>
        <v>10.593</v>
      </c>
      <c r="AZ186">
        <v>2</v>
      </c>
      <c r="BA186" t="s">
        <v>7</v>
      </c>
      <c r="BB186">
        <v>17408</v>
      </c>
      <c r="BC186">
        <v>256</v>
      </c>
      <c r="BD186">
        <v>4</v>
      </c>
      <c r="BE186">
        <v>4</v>
      </c>
      <c r="BF186">
        <v>410.54</v>
      </c>
      <c r="BG186" s="62">
        <v>8.5675000000000008</v>
      </c>
      <c r="BH186" s="16">
        <v>45474</v>
      </c>
      <c r="BI186" s="18">
        <v>0.98290509259259262</v>
      </c>
      <c r="BJ186">
        <v>0</v>
      </c>
      <c r="BK186">
        <v>0</v>
      </c>
      <c r="BL186">
        <v>0</v>
      </c>
      <c r="BM186">
        <v>0</v>
      </c>
      <c r="BN186">
        <v>0</v>
      </c>
      <c r="BO186">
        <v>0</v>
      </c>
      <c r="BP186">
        <v>0</v>
      </c>
      <c r="BQ186">
        <v>0</v>
      </c>
      <c r="BR186">
        <v>0</v>
      </c>
      <c r="BS186">
        <v>0</v>
      </c>
      <c r="BT186">
        <v>0</v>
      </c>
      <c r="BU186">
        <v>0</v>
      </c>
    </row>
    <row r="187" spans="1:73" x14ac:dyDescent="0.25">
      <c r="A187" t="s">
        <v>111</v>
      </c>
      <c r="B187">
        <v>3</v>
      </c>
      <c r="C187" t="s">
        <v>7</v>
      </c>
      <c r="D187" s="20">
        <v>19584</v>
      </c>
      <c r="E187" s="20">
        <v>96</v>
      </c>
      <c r="F187" s="20">
        <v>4</v>
      </c>
      <c r="G187" s="20">
        <v>4</v>
      </c>
      <c r="H187" s="79">
        <v>519.07000000000005</v>
      </c>
      <c r="I187" s="62">
        <v>9.6479999999999997</v>
      </c>
      <c r="J187" s="16">
        <v>45548</v>
      </c>
      <c r="K187" s="25">
        <v>0.49326388888888889</v>
      </c>
      <c r="L187">
        <v>0</v>
      </c>
      <c r="M187">
        <v>0</v>
      </c>
      <c r="N187">
        <v>0</v>
      </c>
      <c r="O187">
        <v>0</v>
      </c>
      <c r="P187">
        <v>0</v>
      </c>
      <c r="Q187">
        <v>0</v>
      </c>
      <c r="R187">
        <v>0</v>
      </c>
      <c r="S187">
        <v>0</v>
      </c>
      <c r="T187">
        <v>0</v>
      </c>
      <c r="U187">
        <v>0</v>
      </c>
      <c r="V187">
        <v>0</v>
      </c>
      <c r="W187">
        <v>0</v>
      </c>
      <c r="X187" s="80">
        <f>X186</f>
        <v>9.6645599999999998</v>
      </c>
      <c r="Z187" t="s">
        <v>149</v>
      </c>
      <c r="AA187">
        <v>3</v>
      </c>
      <c r="AB187" t="s">
        <v>7</v>
      </c>
      <c r="AC187" s="20">
        <v>19584</v>
      </c>
      <c r="AD187" s="20">
        <v>32</v>
      </c>
      <c r="AE187" s="20">
        <v>1</v>
      </c>
      <c r="AF187" s="20">
        <v>16</v>
      </c>
      <c r="AG187" s="79">
        <v>474.2</v>
      </c>
      <c r="AH187" s="62">
        <v>10.561</v>
      </c>
      <c r="AI187" s="16">
        <v>45555</v>
      </c>
      <c r="AJ187" s="25">
        <v>0.2558449074074074</v>
      </c>
      <c r="AK187">
        <v>0</v>
      </c>
      <c r="AL187">
        <v>0</v>
      </c>
      <c r="AM187">
        <v>0</v>
      </c>
      <c r="AN187">
        <v>0</v>
      </c>
      <c r="AO187">
        <v>0</v>
      </c>
      <c r="AP187">
        <v>0</v>
      </c>
      <c r="AQ187">
        <v>0</v>
      </c>
      <c r="AR187">
        <v>0</v>
      </c>
      <c r="AS187">
        <v>0</v>
      </c>
      <c r="AT187">
        <v>0</v>
      </c>
      <c r="AU187">
        <v>0</v>
      </c>
      <c r="AV187">
        <v>0</v>
      </c>
      <c r="AW187" s="80">
        <f>AW186</f>
        <v>10.593</v>
      </c>
      <c r="AZ187">
        <v>2</v>
      </c>
      <c r="BA187" t="s">
        <v>7</v>
      </c>
      <c r="BB187">
        <v>18560</v>
      </c>
      <c r="BC187">
        <v>32</v>
      </c>
      <c r="BD187">
        <v>4</v>
      </c>
      <c r="BE187">
        <v>4</v>
      </c>
      <c r="BF187">
        <v>522.64</v>
      </c>
      <c r="BG187" s="62">
        <v>8.1562999999999999</v>
      </c>
      <c r="BH187" s="16">
        <v>45475</v>
      </c>
      <c r="BI187" s="18">
        <v>1.7824074074074075E-3</v>
      </c>
      <c r="BJ187">
        <v>0</v>
      </c>
      <c r="BK187">
        <v>0</v>
      </c>
      <c r="BL187">
        <v>0</v>
      </c>
      <c r="BM187">
        <v>0</v>
      </c>
      <c r="BN187">
        <v>0</v>
      </c>
      <c r="BO187">
        <v>0</v>
      </c>
      <c r="BP187">
        <v>0</v>
      </c>
      <c r="BQ187">
        <v>0</v>
      </c>
      <c r="BR187">
        <v>0</v>
      </c>
      <c r="BS187">
        <v>0</v>
      </c>
      <c r="BT187">
        <v>0</v>
      </c>
      <c r="BU187">
        <v>0</v>
      </c>
    </row>
    <row r="188" spans="1:73" x14ac:dyDescent="0.25">
      <c r="A188" t="s">
        <v>111</v>
      </c>
      <c r="B188">
        <v>4</v>
      </c>
      <c r="C188" t="s">
        <v>7</v>
      </c>
      <c r="D188" s="20">
        <v>19584</v>
      </c>
      <c r="E188" s="20">
        <v>96</v>
      </c>
      <c r="F188" s="20">
        <v>4</v>
      </c>
      <c r="G188" s="20">
        <v>4</v>
      </c>
      <c r="H188" s="79">
        <v>517.35</v>
      </c>
      <c r="I188" s="62">
        <v>9.6800999999999995</v>
      </c>
      <c r="J188" s="16">
        <v>45549</v>
      </c>
      <c r="K188" s="25">
        <v>0.1260300925925926</v>
      </c>
      <c r="L188">
        <v>0</v>
      </c>
      <c r="M188">
        <v>0</v>
      </c>
      <c r="N188">
        <v>0</v>
      </c>
      <c r="O188">
        <v>0</v>
      </c>
      <c r="P188">
        <v>0</v>
      </c>
      <c r="Q188">
        <v>0</v>
      </c>
      <c r="R188">
        <v>0</v>
      </c>
      <c r="S188">
        <v>0</v>
      </c>
      <c r="T188">
        <v>0</v>
      </c>
      <c r="U188">
        <v>0</v>
      </c>
      <c r="V188">
        <v>0</v>
      </c>
      <c r="W188">
        <v>0</v>
      </c>
      <c r="X188" s="80">
        <f>X187</f>
        <v>9.6645599999999998</v>
      </c>
      <c r="Z188" t="s">
        <v>149</v>
      </c>
      <c r="AA188">
        <v>4</v>
      </c>
      <c r="AB188" t="s">
        <v>7</v>
      </c>
      <c r="AC188" s="20">
        <v>19584</v>
      </c>
      <c r="AD188" s="20">
        <v>32</v>
      </c>
      <c r="AE188" s="20">
        <v>1</v>
      </c>
      <c r="AF188" s="20">
        <v>16</v>
      </c>
      <c r="AG188" s="79">
        <v>473.12</v>
      </c>
      <c r="AH188" s="62">
        <v>10.585000000000001</v>
      </c>
      <c r="AI188" s="16">
        <v>45555</v>
      </c>
      <c r="AJ188" s="25">
        <v>0.76431712962962961</v>
      </c>
      <c r="AK188">
        <v>0</v>
      </c>
      <c r="AL188">
        <v>0</v>
      </c>
      <c r="AM188">
        <v>0</v>
      </c>
      <c r="AN188">
        <v>0</v>
      </c>
      <c r="AO188">
        <v>0</v>
      </c>
      <c r="AP188">
        <v>0</v>
      </c>
      <c r="AQ188">
        <v>0</v>
      </c>
      <c r="AR188">
        <v>0</v>
      </c>
      <c r="AS188">
        <v>0</v>
      </c>
      <c r="AT188">
        <v>0</v>
      </c>
      <c r="AU188">
        <v>0</v>
      </c>
      <c r="AV188">
        <v>0</v>
      </c>
      <c r="AW188" s="80">
        <f>AW187</f>
        <v>10.593</v>
      </c>
      <c r="AZ188">
        <v>2</v>
      </c>
      <c r="BA188" t="s">
        <v>7</v>
      </c>
      <c r="BB188">
        <v>17536</v>
      </c>
      <c r="BC188">
        <v>32</v>
      </c>
      <c r="BD188">
        <v>4</v>
      </c>
      <c r="BE188">
        <v>4</v>
      </c>
      <c r="BF188">
        <v>454.93</v>
      </c>
      <c r="BG188" s="62">
        <v>7.9034000000000004</v>
      </c>
      <c r="BH188" s="16">
        <v>45474</v>
      </c>
      <c r="BI188" s="18">
        <v>0.87677083333333339</v>
      </c>
      <c r="BJ188">
        <v>0</v>
      </c>
      <c r="BK188">
        <v>0</v>
      </c>
      <c r="BL188">
        <v>0</v>
      </c>
      <c r="BM188">
        <v>0</v>
      </c>
      <c r="BN188">
        <v>0</v>
      </c>
      <c r="BO188">
        <v>0</v>
      </c>
      <c r="BP188">
        <v>0</v>
      </c>
      <c r="BQ188">
        <v>0</v>
      </c>
      <c r="BR188">
        <v>0</v>
      </c>
      <c r="BS188">
        <v>0</v>
      </c>
      <c r="BT188">
        <v>0</v>
      </c>
      <c r="BU188">
        <v>0</v>
      </c>
    </row>
    <row r="189" spans="1:73" x14ac:dyDescent="0.25">
      <c r="A189" t="s">
        <v>111</v>
      </c>
      <c r="B189">
        <v>0</v>
      </c>
      <c r="C189" t="s">
        <v>7</v>
      </c>
      <c r="D189" s="20">
        <v>17408</v>
      </c>
      <c r="E189" s="20">
        <v>256</v>
      </c>
      <c r="F189" s="20">
        <v>1</v>
      </c>
      <c r="G189" s="20">
        <v>16</v>
      </c>
      <c r="H189" s="79">
        <v>368.12</v>
      </c>
      <c r="I189" s="62">
        <v>9.5548999999999999</v>
      </c>
      <c r="J189" s="16">
        <v>45546</v>
      </c>
      <c r="K189" s="25">
        <v>0.39539351851851851</v>
      </c>
      <c r="L189">
        <v>0</v>
      </c>
      <c r="M189">
        <v>0</v>
      </c>
      <c r="N189">
        <v>0</v>
      </c>
      <c r="O189">
        <v>0</v>
      </c>
      <c r="P189">
        <v>0</v>
      </c>
      <c r="Q189">
        <v>0</v>
      </c>
      <c r="R189">
        <v>0</v>
      </c>
      <c r="S189">
        <v>0</v>
      </c>
      <c r="T189">
        <v>0</v>
      </c>
      <c r="U189">
        <v>0</v>
      </c>
      <c r="V189">
        <v>0</v>
      </c>
      <c r="W189">
        <v>0</v>
      </c>
      <c r="X189" s="82">
        <f>AVERAGE(I189:I193)</f>
        <v>9.4858999999999991</v>
      </c>
      <c r="Z189" t="s">
        <v>149</v>
      </c>
      <c r="AA189">
        <v>0</v>
      </c>
      <c r="AB189" t="s">
        <v>7</v>
      </c>
      <c r="AC189" s="20">
        <v>18560</v>
      </c>
      <c r="AD189" s="20">
        <v>160</v>
      </c>
      <c r="AE189" s="20">
        <v>4</v>
      </c>
      <c r="AF189" s="20">
        <v>4</v>
      </c>
      <c r="AG189" s="79">
        <v>405.55</v>
      </c>
      <c r="AH189" s="62">
        <v>10.510999999999999</v>
      </c>
      <c r="AI189" s="16">
        <v>45558</v>
      </c>
      <c r="AJ189" s="25">
        <v>3.1817129629629633E-2</v>
      </c>
      <c r="AK189">
        <v>0</v>
      </c>
      <c r="AL189">
        <v>0</v>
      </c>
      <c r="AM189">
        <v>0</v>
      </c>
      <c r="AN189">
        <v>0</v>
      </c>
      <c r="AO189">
        <v>0</v>
      </c>
      <c r="AP189">
        <v>0</v>
      </c>
      <c r="AQ189">
        <v>0</v>
      </c>
      <c r="AR189">
        <v>0</v>
      </c>
      <c r="AS189">
        <v>0</v>
      </c>
      <c r="AT189">
        <v>0</v>
      </c>
      <c r="AU189">
        <v>0</v>
      </c>
      <c r="AV189">
        <v>0</v>
      </c>
      <c r="AW189" s="82">
        <f>AVERAGE(AH189:AH192)</f>
        <v>10.5045</v>
      </c>
      <c r="AZ189">
        <v>0</v>
      </c>
      <c r="BA189" t="s">
        <v>7</v>
      </c>
      <c r="BB189">
        <v>19584</v>
      </c>
      <c r="BC189">
        <v>192</v>
      </c>
      <c r="BD189">
        <v>4</v>
      </c>
      <c r="BE189">
        <v>4</v>
      </c>
      <c r="BF189">
        <v>793.81</v>
      </c>
      <c r="BG189" s="62">
        <v>6.3087999999999997</v>
      </c>
      <c r="BH189" s="16">
        <v>45474</v>
      </c>
      <c r="BI189" s="18">
        <v>0.54358796296296297</v>
      </c>
      <c r="BJ189">
        <v>0</v>
      </c>
      <c r="BK189">
        <v>0</v>
      </c>
      <c r="BL189">
        <v>0</v>
      </c>
      <c r="BM189">
        <v>0</v>
      </c>
      <c r="BN189">
        <v>0</v>
      </c>
      <c r="BO189">
        <v>0</v>
      </c>
      <c r="BP189">
        <v>0</v>
      </c>
      <c r="BQ189">
        <v>0</v>
      </c>
      <c r="BR189">
        <v>0</v>
      </c>
      <c r="BS189">
        <v>0</v>
      </c>
      <c r="BT189">
        <v>0</v>
      </c>
      <c r="BU189">
        <v>0</v>
      </c>
    </row>
    <row r="190" spans="1:73" x14ac:dyDescent="0.25">
      <c r="A190" t="s">
        <v>111</v>
      </c>
      <c r="B190">
        <v>1</v>
      </c>
      <c r="C190" t="s">
        <v>7</v>
      </c>
      <c r="D190" s="20">
        <v>17408</v>
      </c>
      <c r="E190" s="20">
        <v>256</v>
      </c>
      <c r="F190" s="20">
        <v>1</v>
      </c>
      <c r="G190" s="20">
        <v>16</v>
      </c>
      <c r="H190" s="79">
        <v>375.4</v>
      </c>
      <c r="I190" s="62">
        <v>9.3695000000000004</v>
      </c>
      <c r="J190" s="16">
        <v>45547</v>
      </c>
      <c r="K190" s="25">
        <v>1.2013888888888888E-2</v>
      </c>
      <c r="L190">
        <v>0</v>
      </c>
      <c r="M190">
        <v>0</v>
      </c>
      <c r="N190">
        <v>0</v>
      </c>
      <c r="O190">
        <v>0</v>
      </c>
      <c r="P190">
        <v>0</v>
      </c>
      <c r="Q190">
        <v>0</v>
      </c>
      <c r="R190">
        <v>0</v>
      </c>
      <c r="S190">
        <v>0</v>
      </c>
      <c r="T190">
        <v>0</v>
      </c>
      <c r="U190">
        <v>0</v>
      </c>
      <c r="V190">
        <v>0</v>
      </c>
      <c r="W190">
        <v>0</v>
      </c>
      <c r="X190" s="80">
        <f>X189</f>
        <v>9.4858999999999991</v>
      </c>
      <c r="Z190" t="s">
        <v>149</v>
      </c>
      <c r="AA190">
        <v>1</v>
      </c>
      <c r="AB190" t="s">
        <v>7</v>
      </c>
      <c r="AC190" s="20">
        <v>18560</v>
      </c>
      <c r="AD190" s="20">
        <v>160</v>
      </c>
      <c r="AE190" s="20">
        <v>4</v>
      </c>
      <c r="AF190" s="20">
        <v>4</v>
      </c>
      <c r="AG190" s="79">
        <v>405.9</v>
      </c>
      <c r="AH190" s="62">
        <v>10.502000000000001</v>
      </c>
      <c r="AI190" s="16">
        <v>45558</v>
      </c>
      <c r="AJ190" s="25">
        <v>0.53097222222222218</v>
      </c>
      <c r="AK190">
        <v>0</v>
      </c>
      <c r="AL190">
        <v>0</v>
      </c>
      <c r="AM190">
        <v>0</v>
      </c>
      <c r="AN190">
        <v>0</v>
      </c>
      <c r="AO190">
        <v>0</v>
      </c>
      <c r="AP190">
        <v>0</v>
      </c>
      <c r="AQ190">
        <v>0</v>
      </c>
      <c r="AR190">
        <v>0</v>
      </c>
      <c r="AS190">
        <v>0</v>
      </c>
      <c r="AT190">
        <v>0</v>
      </c>
      <c r="AU190">
        <v>0</v>
      </c>
      <c r="AV190">
        <v>0</v>
      </c>
      <c r="AW190" s="80">
        <f>AW189</f>
        <v>10.5045</v>
      </c>
      <c r="AZ190">
        <v>1</v>
      </c>
      <c r="BA190" t="s">
        <v>7</v>
      </c>
      <c r="BB190">
        <v>19456</v>
      </c>
      <c r="BC190">
        <v>256</v>
      </c>
      <c r="BD190">
        <v>2</v>
      </c>
      <c r="BE190">
        <v>8</v>
      </c>
      <c r="BF190">
        <v>949.52</v>
      </c>
      <c r="BG190" s="62">
        <v>5.1715</v>
      </c>
      <c r="BH190" s="16">
        <v>45474</v>
      </c>
      <c r="BI190" s="18">
        <v>0.84672453703703698</v>
      </c>
      <c r="BJ190">
        <v>0</v>
      </c>
      <c r="BK190">
        <v>0</v>
      </c>
      <c r="BL190">
        <v>0</v>
      </c>
      <c r="BM190">
        <v>0</v>
      </c>
      <c r="BN190">
        <v>0</v>
      </c>
      <c r="BO190">
        <v>0</v>
      </c>
      <c r="BP190">
        <v>0</v>
      </c>
      <c r="BQ190">
        <v>0</v>
      </c>
      <c r="BR190">
        <v>0</v>
      </c>
      <c r="BS190">
        <v>0</v>
      </c>
      <c r="BT190">
        <v>0</v>
      </c>
      <c r="BU190">
        <v>0</v>
      </c>
    </row>
    <row r="191" spans="1:73" x14ac:dyDescent="0.25">
      <c r="A191" t="s">
        <v>111</v>
      </c>
      <c r="B191">
        <v>2</v>
      </c>
      <c r="C191" t="s">
        <v>7</v>
      </c>
      <c r="D191" s="20">
        <v>17408</v>
      </c>
      <c r="E191" s="20">
        <v>256</v>
      </c>
      <c r="F191" s="20">
        <v>1</v>
      </c>
      <c r="G191" s="20">
        <v>16</v>
      </c>
      <c r="H191" s="79">
        <v>371.43</v>
      </c>
      <c r="I191" s="62">
        <v>9.4697999999999993</v>
      </c>
      <c r="J191" s="16">
        <v>45547</v>
      </c>
      <c r="K191" s="25">
        <v>0.62688657407407411</v>
      </c>
      <c r="L191">
        <v>0</v>
      </c>
      <c r="M191">
        <v>0</v>
      </c>
      <c r="N191">
        <v>0</v>
      </c>
      <c r="O191">
        <v>0</v>
      </c>
      <c r="P191">
        <v>0</v>
      </c>
      <c r="Q191">
        <v>0</v>
      </c>
      <c r="R191">
        <v>0</v>
      </c>
      <c r="S191">
        <v>0</v>
      </c>
      <c r="T191">
        <v>0</v>
      </c>
      <c r="U191">
        <v>0</v>
      </c>
      <c r="V191">
        <v>0</v>
      </c>
      <c r="W191">
        <v>0</v>
      </c>
      <c r="X191" s="80">
        <f>X190</f>
        <v>9.4858999999999991</v>
      </c>
      <c r="Z191" t="s">
        <v>149</v>
      </c>
      <c r="AA191">
        <v>2</v>
      </c>
      <c r="AB191" t="s">
        <v>7</v>
      </c>
      <c r="AC191" s="20">
        <v>18560</v>
      </c>
      <c r="AD191" s="20">
        <v>160</v>
      </c>
      <c r="AE191" s="20">
        <v>4</v>
      </c>
      <c r="AF191" s="20">
        <v>4</v>
      </c>
      <c r="AG191" s="79">
        <v>406.62</v>
      </c>
      <c r="AH191" s="62">
        <v>10.483000000000001</v>
      </c>
      <c r="AI191" s="16">
        <v>45554</v>
      </c>
      <c r="AJ191" s="25">
        <v>0.67489583333333336</v>
      </c>
      <c r="AK191">
        <v>0</v>
      </c>
      <c r="AL191">
        <v>0</v>
      </c>
      <c r="AM191">
        <v>0</v>
      </c>
      <c r="AN191">
        <v>0</v>
      </c>
      <c r="AO191">
        <v>0</v>
      </c>
      <c r="AP191">
        <v>0</v>
      </c>
      <c r="AQ191">
        <v>0</v>
      </c>
      <c r="AR191">
        <v>0</v>
      </c>
      <c r="AS191">
        <v>0</v>
      </c>
      <c r="AT191">
        <v>0</v>
      </c>
      <c r="AU191">
        <v>0</v>
      </c>
      <c r="AV191">
        <v>0</v>
      </c>
      <c r="AW191" s="80">
        <f>AW190</f>
        <v>10.5045</v>
      </c>
      <c r="AZ191">
        <v>1</v>
      </c>
      <c r="BA191" t="s">
        <v>7</v>
      </c>
      <c r="BB191">
        <v>19456</v>
      </c>
      <c r="BC191">
        <v>256</v>
      </c>
      <c r="BD191">
        <v>4</v>
      </c>
      <c r="BE191">
        <v>4</v>
      </c>
      <c r="BF191">
        <v>988.3</v>
      </c>
      <c r="BG191" s="62">
        <v>4.9686000000000003</v>
      </c>
      <c r="BH191" s="16">
        <v>45474</v>
      </c>
      <c r="BI191" s="18">
        <v>0.86011574074074071</v>
      </c>
      <c r="BJ191">
        <v>0</v>
      </c>
      <c r="BK191">
        <v>0</v>
      </c>
      <c r="BL191">
        <v>0</v>
      </c>
      <c r="BM191">
        <v>0</v>
      </c>
      <c r="BN191">
        <v>0</v>
      </c>
      <c r="BO191">
        <v>0</v>
      </c>
      <c r="BP191">
        <v>0</v>
      </c>
      <c r="BQ191">
        <v>0</v>
      </c>
      <c r="BR191">
        <v>0</v>
      </c>
      <c r="BS191">
        <v>0</v>
      </c>
      <c r="BT191">
        <v>0</v>
      </c>
      <c r="BU191">
        <v>0</v>
      </c>
    </row>
    <row r="192" spans="1:73" x14ac:dyDescent="0.25">
      <c r="A192" t="s">
        <v>111</v>
      </c>
      <c r="B192">
        <v>3</v>
      </c>
      <c r="C192" t="s">
        <v>7</v>
      </c>
      <c r="D192" s="20">
        <v>17408</v>
      </c>
      <c r="E192" s="20">
        <v>256</v>
      </c>
      <c r="F192" s="20">
        <v>1</v>
      </c>
      <c r="G192" s="20">
        <v>16</v>
      </c>
      <c r="H192" s="79">
        <v>362.61</v>
      </c>
      <c r="I192" s="62">
        <v>9.7001000000000008</v>
      </c>
      <c r="J192" s="16">
        <v>45548</v>
      </c>
      <c r="K192" s="25">
        <v>0.28686342592592595</v>
      </c>
      <c r="L192">
        <v>0</v>
      </c>
      <c r="M192">
        <v>0</v>
      </c>
      <c r="N192">
        <v>0</v>
      </c>
      <c r="O192">
        <v>0</v>
      </c>
      <c r="P192">
        <v>0</v>
      </c>
      <c r="Q192">
        <v>0</v>
      </c>
      <c r="R192">
        <v>0</v>
      </c>
      <c r="S192">
        <v>0</v>
      </c>
      <c r="T192">
        <v>0</v>
      </c>
      <c r="U192">
        <v>0</v>
      </c>
      <c r="V192">
        <v>0</v>
      </c>
      <c r="W192">
        <v>0</v>
      </c>
      <c r="X192" s="80">
        <f>X191</f>
        <v>9.4858999999999991</v>
      </c>
      <c r="Z192" t="s">
        <v>149</v>
      </c>
      <c r="AA192">
        <v>3</v>
      </c>
      <c r="AB192" t="s">
        <v>7</v>
      </c>
      <c r="AC192" s="20">
        <v>18560</v>
      </c>
      <c r="AD192" s="20">
        <v>160</v>
      </c>
      <c r="AE192" s="20">
        <v>4</v>
      </c>
      <c r="AF192" s="20">
        <v>4</v>
      </c>
      <c r="AG192" s="79">
        <v>405.13</v>
      </c>
      <c r="AH192" s="62">
        <v>10.522</v>
      </c>
      <c r="AI192" s="16">
        <v>45555</v>
      </c>
      <c r="AJ192" s="25">
        <v>0.20028935185185184</v>
      </c>
      <c r="AK192">
        <v>0</v>
      </c>
      <c r="AL192">
        <v>0</v>
      </c>
      <c r="AM192">
        <v>0</v>
      </c>
      <c r="AN192">
        <v>0</v>
      </c>
      <c r="AO192">
        <v>0</v>
      </c>
      <c r="AP192">
        <v>0</v>
      </c>
      <c r="AQ192">
        <v>0</v>
      </c>
      <c r="AR192">
        <v>0</v>
      </c>
      <c r="AS192">
        <v>0</v>
      </c>
      <c r="AT192">
        <v>0</v>
      </c>
      <c r="AU192">
        <v>0</v>
      </c>
      <c r="AV192">
        <v>0</v>
      </c>
      <c r="AW192" s="80">
        <f>AW191</f>
        <v>10.5045</v>
      </c>
      <c r="AZ192">
        <v>1</v>
      </c>
      <c r="BA192" t="s">
        <v>7</v>
      </c>
      <c r="BB192">
        <v>19584</v>
      </c>
      <c r="BC192">
        <v>128</v>
      </c>
      <c r="BD192">
        <v>1</v>
      </c>
      <c r="BE192">
        <v>16</v>
      </c>
      <c r="BF192">
        <v>1461.39</v>
      </c>
      <c r="BG192" s="62">
        <v>3.4268999999999998</v>
      </c>
      <c r="BH192" s="16">
        <v>45474</v>
      </c>
      <c r="BI192" s="18">
        <v>0.72568287037037038</v>
      </c>
      <c r="BJ192">
        <v>0</v>
      </c>
      <c r="BK192">
        <v>0</v>
      </c>
      <c r="BL192">
        <v>0</v>
      </c>
      <c r="BM192">
        <v>0</v>
      </c>
      <c r="BN192">
        <v>0</v>
      </c>
      <c r="BO192">
        <v>0</v>
      </c>
      <c r="BP192">
        <v>0</v>
      </c>
      <c r="BQ192">
        <v>0</v>
      </c>
      <c r="BR192">
        <v>0</v>
      </c>
      <c r="BS192">
        <v>0</v>
      </c>
      <c r="BT192">
        <v>0</v>
      </c>
      <c r="BU192">
        <v>0</v>
      </c>
    </row>
    <row r="193" spans="1:74" x14ac:dyDescent="0.25">
      <c r="A193" t="s">
        <v>111</v>
      </c>
      <c r="B193">
        <v>4</v>
      </c>
      <c r="C193" t="s">
        <v>7</v>
      </c>
      <c r="D193" s="20">
        <v>17408</v>
      </c>
      <c r="E193" s="20">
        <v>256</v>
      </c>
      <c r="F193" s="20">
        <v>1</v>
      </c>
      <c r="G193" s="20">
        <v>16</v>
      </c>
      <c r="H193" s="79">
        <v>376.78</v>
      </c>
      <c r="I193" s="62">
        <v>9.3352000000000004</v>
      </c>
      <c r="J193" s="16">
        <v>45548</v>
      </c>
      <c r="K193" s="25">
        <v>0.9151273148148148</v>
      </c>
      <c r="L193">
        <v>0</v>
      </c>
      <c r="M193">
        <v>0</v>
      </c>
      <c r="N193">
        <v>0</v>
      </c>
      <c r="O193">
        <v>0</v>
      </c>
      <c r="P193">
        <v>0</v>
      </c>
      <c r="Q193">
        <v>0</v>
      </c>
      <c r="R193">
        <v>0</v>
      </c>
      <c r="S193">
        <v>0</v>
      </c>
      <c r="T193">
        <v>0</v>
      </c>
      <c r="U193">
        <v>0</v>
      </c>
      <c r="V193">
        <v>0</v>
      </c>
      <c r="W193">
        <v>0</v>
      </c>
      <c r="X193" s="80">
        <f>X192</f>
        <v>9.4858999999999991</v>
      </c>
      <c r="Z193" t="s">
        <v>149</v>
      </c>
      <c r="AA193">
        <v>4</v>
      </c>
      <c r="AB193" t="s">
        <v>7</v>
      </c>
      <c r="AC193" s="20">
        <v>18560</v>
      </c>
      <c r="AD193" s="20">
        <v>160</v>
      </c>
      <c r="AE193" s="20">
        <v>4</v>
      </c>
      <c r="AF193" s="20">
        <v>4</v>
      </c>
      <c r="AG193" s="79">
        <v>402.81</v>
      </c>
      <c r="AH193" s="62">
        <v>10.583</v>
      </c>
      <c r="AI193" s="16">
        <v>45555</v>
      </c>
      <c r="AJ193" s="25">
        <v>0.70052083333333337</v>
      </c>
      <c r="AK193">
        <v>0</v>
      </c>
      <c r="AL193">
        <v>0</v>
      </c>
      <c r="AM193">
        <v>0</v>
      </c>
      <c r="AN193">
        <v>0</v>
      </c>
      <c r="AO193">
        <v>0</v>
      </c>
      <c r="AP193">
        <v>0</v>
      </c>
      <c r="AQ193">
        <v>0</v>
      </c>
      <c r="AR193">
        <v>0</v>
      </c>
      <c r="AS193">
        <v>0</v>
      </c>
      <c r="AT193">
        <v>0</v>
      </c>
      <c r="AU193">
        <v>0</v>
      </c>
      <c r="AV193">
        <v>0</v>
      </c>
      <c r="AW193" s="80">
        <f>AW192</f>
        <v>10.5045</v>
      </c>
      <c r="AZ193">
        <v>1</v>
      </c>
      <c r="BA193" t="s">
        <v>7</v>
      </c>
      <c r="BB193">
        <v>18432</v>
      </c>
      <c r="BC193">
        <v>256</v>
      </c>
      <c r="BD193">
        <v>1</v>
      </c>
      <c r="BE193">
        <v>16</v>
      </c>
      <c r="BF193">
        <v>1369.28</v>
      </c>
      <c r="BG193" s="62">
        <v>3.0491999999999999</v>
      </c>
      <c r="BH193" s="16">
        <v>45474</v>
      </c>
      <c r="BI193" s="18">
        <v>0.58597222222222223</v>
      </c>
      <c r="BJ193">
        <v>0</v>
      </c>
      <c r="BK193">
        <v>0</v>
      </c>
      <c r="BL193">
        <v>0</v>
      </c>
      <c r="BM193">
        <v>0</v>
      </c>
      <c r="BN193">
        <v>0</v>
      </c>
      <c r="BO193">
        <v>0</v>
      </c>
      <c r="BP193">
        <v>0</v>
      </c>
      <c r="BQ193">
        <v>0</v>
      </c>
      <c r="BR193">
        <v>0</v>
      </c>
      <c r="BS193">
        <v>0</v>
      </c>
      <c r="BT193">
        <v>0</v>
      </c>
      <c r="BU193">
        <v>0</v>
      </c>
      <c r="BV193" s="23"/>
    </row>
    <row r="194" spans="1:74" x14ac:dyDescent="0.25">
      <c r="A194" t="s">
        <v>111</v>
      </c>
      <c r="B194">
        <v>0</v>
      </c>
      <c r="C194" t="s">
        <v>7</v>
      </c>
      <c r="D194" s="20">
        <v>17536</v>
      </c>
      <c r="E194" s="20">
        <v>128</v>
      </c>
      <c r="F194" s="20">
        <v>1</v>
      </c>
      <c r="G194" s="20">
        <v>16</v>
      </c>
      <c r="H194" s="79">
        <v>391.57</v>
      </c>
      <c r="I194" s="62">
        <v>9.1821000000000002</v>
      </c>
      <c r="J194" s="16">
        <v>45546</v>
      </c>
      <c r="K194" s="25">
        <v>0.34325231481481483</v>
      </c>
      <c r="L194">
        <v>0</v>
      </c>
      <c r="M194">
        <v>0</v>
      </c>
      <c r="N194">
        <v>0</v>
      </c>
      <c r="O194">
        <v>0</v>
      </c>
      <c r="P194">
        <v>0</v>
      </c>
      <c r="Q194">
        <v>0</v>
      </c>
      <c r="R194">
        <v>0</v>
      </c>
      <c r="S194">
        <v>0</v>
      </c>
      <c r="T194">
        <v>0</v>
      </c>
      <c r="U194">
        <v>0</v>
      </c>
      <c r="V194">
        <v>0</v>
      </c>
      <c r="W194">
        <v>0</v>
      </c>
      <c r="X194" s="82">
        <f>AVERAGE(I194:I198)</f>
        <v>9.4415400000000016</v>
      </c>
      <c r="Z194" t="s">
        <v>149</v>
      </c>
      <c r="AA194">
        <v>0</v>
      </c>
      <c r="AB194" t="s">
        <v>7</v>
      </c>
      <c r="AC194" s="20">
        <v>18560</v>
      </c>
      <c r="AD194" s="20">
        <v>128</v>
      </c>
      <c r="AE194" s="20">
        <v>4</v>
      </c>
      <c r="AF194" s="20">
        <v>4</v>
      </c>
      <c r="AG194" s="79">
        <v>405.77</v>
      </c>
      <c r="AH194" s="62">
        <v>10.505000000000001</v>
      </c>
      <c r="AI194" s="16">
        <v>45558</v>
      </c>
      <c r="AJ194" s="25">
        <v>1.800925925925926E-2</v>
      </c>
      <c r="AK194">
        <v>0</v>
      </c>
      <c r="AL194">
        <v>0</v>
      </c>
      <c r="AM194">
        <v>0</v>
      </c>
      <c r="AN194">
        <v>0</v>
      </c>
      <c r="AO194">
        <v>0</v>
      </c>
      <c r="AP194">
        <v>0</v>
      </c>
      <c r="AQ194">
        <v>0</v>
      </c>
      <c r="AR194">
        <v>0</v>
      </c>
      <c r="AS194">
        <v>0</v>
      </c>
      <c r="AT194">
        <v>0</v>
      </c>
      <c r="AU194">
        <v>0</v>
      </c>
      <c r="AV194">
        <v>0</v>
      </c>
      <c r="AW194" s="82">
        <f>AVERAGE(AH194:AH197)</f>
        <v>10.490000000000002</v>
      </c>
      <c r="AZ194">
        <v>0</v>
      </c>
      <c r="BA194" t="s">
        <v>7</v>
      </c>
      <c r="BB194">
        <v>19488</v>
      </c>
      <c r="BC194">
        <v>224</v>
      </c>
      <c r="BD194">
        <v>1</v>
      </c>
      <c r="BE194">
        <v>16</v>
      </c>
      <c r="BF194">
        <v>1802.34</v>
      </c>
      <c r="BG194" s="62">
        <v>2.7378999999999998</v>
      </c>
      <c r="BH194" s="16">
        <v>45474</v>
      </c>
      <c r="BI194" s="18">
        <v>0.56759259259259254</v>
      </c>
      <c r="BJ194">
        <v>0</v>
      </c>
      <c r="BK194">
        <v>0</v>
      </c>
      <c r="BL194">
        <v>0</v>
      </c>
      <c r="BM194">
        <v>0</v>
      </c>
      <c r="BN194">
        <v>0</v>
      </c>
      <c r="BO194">
        <v>0</v>
      </c>
      <c r="BP194">
        <v>0</v>
      </c>
      <c r="BQ194">
        <v>0</v>
      </c>
      <c r="BR194">
        <v>0</v>
      </c>
      <c r="BS194">
        <v>0</v>
      </c>
      <c r="BT194">
        <v>0</v>
      </c>
      <c r="BU194">
        <v>0</v>
      </c>
      <c r="BV194" s="23"/>
    </row>
    <row r="195" spans="1:74" x14ac:dyDescent="0.25">
      <c r="A195" t="s">
        <v>111</v>
      </c>
      <c r="B195">
        <v>1</v>
      </c>
      <c r="C195" t="s">
        <v>7</v>
      </c>
      <c r="D195" s="20">
        <v>17536</v>
      </c>
      <c r="E195" s="20">
        <v>128</v>
      </c>
      <c r="F195" s="20">
        <v>1</v>
      </c>
      <c r="G195" s="20">
        <v>16</v>
      </c>
      <c r="H195" s="79">
        <v>391.86</v>
      </c>
      <c r="I195" s="62">
        <v>9.1753999999999998</v>
      </c>
      <c r="J195" s="16">
        <v>45546</v>
      </c>
      <c r="K195" s="25">
        <v>0.95972222222222225</v>
      </c>
      <c r="L195">
        <v>0</v>
      </c>
      <c r="M195">
        <v>0</v>
      </c>
      <c r="N195">
        <v>0</v>
      </c>
      <c r="O195">
        <v>0</v>
      </c>
      <c r="P195">
        <v>0</v>
      </c>
      <c r="Q195">
        <v>0</v>
      </c>
      <c r="R195">
        <v>0</v>
      </c>
      <c r="S195">
        <v>0</v>
      </c>
      <c r="T195">
        <v>0</v>
      </c>
      <c r="U195">
        <v>0</v>
      </c>
      <c r="V195">
        <v>0</v>
      </c>
      <c r="W195">
        <v>0</v>
      </c>
      <c r="X195" s="80">
        <f>X194</f>
        <v>9.4415400000000016</v>
      </c>
      <c r="Z195" t="s">
        <v>149</v>
      </c>
      <c r="AA195">
        <v>1</v>
      </c>
      <c r="AB195" t="s">
        <v>7</v>
      </c>
      <c r="AC195" s="20">
        <v>18560</v>
      </c>
      <c r="AD195" s="20">
        <v>128</v>
      </c>
      <c r="AE195" s="20">
        <v>4</v>
      </c>
      <c r="AF195" s="20">
        <v>4</v>
      </c>
      <c r="AG195" s="79">
        <v>405.53</v>
      </c>
      <c r="AH195" s="62">
        <v>10.512</v>
      </c>
      <c r="AI195" s="16">
        <v>45558</v>
      </c>
      <c r="AJ195" s="25">
        <v>0.5173726851851852</v>
      </c>
      <c r="AK195">
        <v>0</v>
      </c>
      <c r="AL195">
        <v>0</v>
      </c>
      <c r="AM195">
        <v>0</v>
      </c>
      <c r="AN195">
        <v>0</v>
      </c>
      <c r="AO195">
        <v>0</v>
      </c>
      <c r="AP195">
        <v>0</v>
      </c>
      <c r="AQ195">
        <v>0</v>
      </c>
      <c r="AR195">
        <v>0</v>
      </c>
      <c r="AS195">
        <v>0</v>
      </c>
      <c r="AT195">
        <v>0</v>
      </c>
      <c r="AU195">
        <v>0</v>
      </c>
      <c r="AV195">
        <v>0</v>
      </c>
      <c r="AW195" s="80">
        <f>AW194</f>
        <v>10.490000000000002</v>
      </c>
      <c r="AZ195">
        <v>1</v>
      </c>
      <c r="BA195" t="s">
        <v>7</v>
      </c>
      <c r="BB195">
        <v>19584</v>
      </c>
      <c r="BC195">
        <v>192</v>
      </c>
      <c r="BD195">
        <v>1</v>
      </c>
      <c r="BE195">
        <v>16</v>
      </c>
      <c r="BF195">
        <v>2067.88</v>
      </c>
      <c r="BG195" s="62">
        <v>2.4218000000000002</v>
      </c>
      <c r="BH195" s="16">
        <v>45474</v>
      </c>
      <c r="BI195" s="18">
        <v>0.80633101851851852</v>
      </c>
      <c r="BJ195">
        <v>0</v>
      </c>
      <c r="BK195">
        <v>0</v>
      </c>
      <c r="BL195">
        <v>0</v>
      </c>
      <c r="BM195">
        <v>0</v>
      </c>
      <c r="BN195">
        <v>0</v>
      </c>
      <c r="BO195">
        <v>0</v>
      </c>
      <c r="BP195">
        <v>0</v>
      </c>
      <c r="BQ195">
        <v>0</v>
      </c>
      <c r="BR195">
        <v>0</v>
      </c>
      <c r="BS195">
        <v>0</v>
      </c>
      <c r="BT195">
        <v>0</v>
      </c>
      <c r="BU195">
        <v>0</v>
      </c>
      <c r="BV195" s="23"/>
    </row>
    <row r="196" spans="1:74" x14ac:dyDescent="0.25">
      <c r="A196" t="s">
        <v>111</v>
      </c>
      <c r="B196">
        <v>2</v>
      </c>
      <c r="C196" t="s">
        <v>7</v>
      </c>
      <c r="D196" s="20">
        <v>17536</v>
      </c>
      <c r="E196" s="20">
        <v>128</v>
      </c>
      <c r="F196" s="20">
        <v>1</v>
      </c>
      <c r="G196" s="20">
        <v>16</v>
      </c>
      <c r="H196" s="79">
        <v>376.22</v>
      </c>
      <c r="I196" s="62">
        <v>9.5568000000000008</v>
      </c>
      <c r="J196" s="16">
        <v>45547</v>
      </c>
      <c r="K196" s="25">
        <v>0.57461805555555556</v>
      </c>
      <c r="L196">
        <v>0</v>
      </c>
      <c r="M196">
        <v>0</v>
      </c>
      <c r="N196">
        <v>0</v>
      </c>
      <c r="O196">
        <v>0</v>
      </c>
      <c r="P196">
        <v>0</v>
      </c>
      <c r="Q196">
        <v>0</v>
      </c>
      <c r="R196">
        <v>0</v>
      </c>
      <c r="S196">
        <v>0</v>
      </c>
      <c r="T196">
        <v>0</v>
      </c>
      <c r="U196">
        <v>0</v>
      </c>
      <c r="V196">
        <v>0</v>
      </c>
      <c r="W196">
        <v>0</v>
      </c>
      <c r="X196" s="80">
        <f>X195</f>
        <v>9.4415400000000016</v>
      </c>
      <c r="Z196" t="s">
        <v>149</v>
      </c>
      <c r="AA196">
        <v>2</v>
      </c>
      <c r="AB196" t="s">
        <v>7</v>
      </c>
      <c r="AC196" s="20">
        <v>18560</v>
      </c>
      <c r="AD196" s="20">
        <v>128</v>
      </c>
      <c r="AE196" s="20">
        <v>4</v>
      </c>
      <c r="AF196" s="20">
        <v>4</v>
      </c>
      <c r="AG196" s="79">
        <v>408.87</v>
      </c>
      <c r="AH196" s="62">
        <v>10.426</v>
      </c>
      <c r="AI196" s="16">
        <v>45554</v>
      </c>
      <c r="AJ196" s="25">
        <v>0.66135416666666669</v>
      </c>
      <c r="AK196">
        <v>0</v>
      </c>
      <c r="AL196">
        <v>0</v>
      </c>
      <c r="AM196">
        <v>0</v>
      </c>
      <c r="AN196">
        <v>0</v>
      </c>
      <c r="AO196">
        <v>0</v>
      </c>
      <c r="AP196">
        <v>0</v>
      </c>
      <c r="AQ196">
        <v>0</v>
      </c>
      <c r="AR196">
        <v>0</v>
      </c>
      <c r="AS196">
        <v>0</v>
      </c>
      <c r="AT196">
        <v>0</v>
      </c>
      <c r="AU196">
        <v>0</v>
      </c>
      <c r="AV196">
        <v>0</v>
      </c>
      <c r="AW196" s="80">
        <f>AW195</f>
        <v>10.490000000000002</v>
      </c>
      <c r="AZ196">
        <v>1</v>
      </c>
      <c r="BA196" t="s">
        <v>7</v>
      </c>
      <c r="BB196">
        <v>19520</v>
      </c>
      <c r="BC196">
        <v>160</v>
      </c>
      <c r="BD196">
        <v>1</v>
      </c>
      <c r="BE196">
        <v>16</v>
      </c>
      <c r="BF196">
        <v>2785.27</v>
      </c>
      <c r="BG196" s="62">
        <v>1.7805</v>
      </c>
      <c r="BH196" s="16">
        <v>45474</v>
      </c>
      <c r="BI196" s="18">
        <v>0.7714699074074074</v>
      </c>
      <c r="BJ196">
        <v>0</v>
      </c>
      <c r="BK196">
        <v>0</v>
      </c>
      <c r="BL196">
        <v>0</v>
      </c>
      <c r="BM196">
        <v>0</v>
      </c>
      <c r="BN196">
        <v>0</v>
      </c>
      <c r="BO196">
        <v>0</v>
      </c>
      <c r="BP196">
        <v>0</v>
      </c>
      <c r="BQ196">
        <v>0</v>
      </c>
      <c r="BR196">
        <v>0</v>
      </c>
      <c r="BS196">
        <v>0</v>
      </c>
      <c r="BT196">
        <v>0</v>
      </c>
      <c r="BU196">
        <v>0</v>
      </c>
      <c r="BV196" s="23"/>
    </row>
    <row r="197" spans="1:74" x14ac:dyDescent="0.25">
      <c r="A197" t="s">
        <v>111</v>
      </c>
      <c r="B197">
        <v>3</v>
      </c>
      <c r="C197" t="s">
        <v>7</v>
      </c>
      <c r="D197" s="20">
        <v>17536</v>
      </c>
      <c r="E197" s="20">
        <v>128</v>
      </c>
      <c r="F197" s="20">
        <v>1</v>
      </c>
      <c r="G197" s="20">
        <v>16</v>
      </c>
      <c r="H197" s="79">
        <v>373.01</v>
      </c>
      <c r="I197" s="62">
        <v>9.6389999999999993</v>
      </c>
      <c r="J197" s="16">
        <v>45548</v>
      </c>
      <c r="K197" s="25">
        <v>0.23517361111111112</v>
      </c>
      <c r="L197">
        <v>0</v>
      </c>
      <c r="M197">
        <v>0</v>
      </c>
      <c r="N197">
        <v>0</v>
      </c>
      <c r="O197">
        <v>0</v>
      </c>
      <c r="P197">
        <v>0</v>
      </c>
      <c r="Q197">
        <v>0</v>
      </c>
      <c r="R197">
        <v>0</v>
      </c>
      <c r="S197">
        <v>0</v>
      </c>
      <c r="T197">
        <v>0</v>
      </c>
      <c r="U197">
        <v>0</v>
      </c>
      <c r="V197">
        <v>0</v>
      </c>
      <c r="W197">
        <v>0</v>
      </c>
      <c r="X197" s="80">
        <f>X196</f>
        <v>9.4415400000000016</v>
      </c>
      <c r="Z197" t="s">
        <v>149</v>
      </c>
      <c r="AA197">
        <v>3</v>
      </c>
      <c r="AB197" t="s">
        <v>7</v>
      </c>
      <c r="AC197" s="20">
        <v>18560</v>
      </c>
      <c r="AD197" s="20">
        <v>128</v>
      </c>
      <c r="AE197" s="20">
        <v>4</v>
      </c>
      <c r="AF197" s="20">
        <v>4</v>
      </c>
      <c r="AG197" s="79">
        <v>405.33</v>
      </c>
      <c r="AH197" s="62">
        <v>10.516999999999999</v>
      </c>
      <c r="AI197" s="16">
        <v>45555</v>
      </c>
      <c r="AJ197" s="25">
        <v>0.18679398148148149</v>
      </c>
      <c r="AK197">
        <v>0</v>
      </c>
      <c r="AL197">
        <v>0</v>
      </c>
      <c r="AM197">
        <v>0</v>
      </c>
      <c r="AN197">
        <v>0</v>
      </c>
      <c r="AO197">
        <v>0</v>
      </c>
      <c r="AP197">
        <v>0</v>
      </c>
      <c r="AQ197">
        <v>0</v>
      </c>
      <c r="AR197">
        <v>0</v>
      </c>
      <c r="AS197">
        <v>0</v>
      </c>
      <c r="AT197">
        <v>0</v>
      </c>
      <c r="AU197">
        <v>0</v>
      </c>
      <c r="AV197">
        <v>0</v>
      </c>
      <c r="AW197" s="80">
        <f>AW196</f>
        <v>10.490000000000002</v>
      </c>
      <c r="AZ197">
        <v>0</v>
      </c>
      <c r="BA197" t="s">
        <v>7</v>
      </c>
      <c r="BB197">
        <v>19456</v>
      </c>
      <c r="BC197">
        <v>256</v>
      </c>
      <c r="BD197">
        <v>1</v>
      </c>
      <c r="BE197">
        <v>16</v>
      </c>
      <c r="BF197">
        <v>6385.92</v>
      </c>
      <c r="BG197" s="62">
        <v>0.76895000000000002</v>
      </c>
      <c r="BH197" s="16">
        <v>45474</v>
      </c>
      <c r="BI197" s="18">
        <v>0.69643518518518521</v>
      </c>
      <c r="BJ197">
        <v>0</v>
      </c>
      <c r="BK197">
        <v>0</v>
      </c>
      <c r="BL197">
        <v>0</v>
      </c>
      <c r="BM197">
        <v>0</v>
      </c>
      <c r="BN197">
        <v>0</v>
      </c>
      <c r="BO197">
        <v>0</v>
      </c>
      <c r="BP197">
        <v>0</v>
      </c>
      <c r="BQ197">
        <v>0</v>
      </c>
      <c r="BR197">
        <v>0</v>
      </c>
      <c r="BS197">
        <v>0</v>
      </c>
      <c r="BT197">
        <v>0</v>
      </c>
      <c r="BU197">
        <v>0</v>
      </c>
      <c r="BV197" s="23"/>
    </row>
    <row r="198" spans="1:74" x14ac:dyDescent="0.25">
      <c r="A198" t="s">
        <v>111</v>
      </c>
      <c r="B198">
        <v>4</v>
      </c>
      <c r="C198" t="s">
        <v>7</v>
      </c>
      <c r="D198" s="20">
        <v>17536</v>
      </c>
      <c r="E198" s="20">
        <v>128</v>
      </c>
      <c r="F198" s="20">
        <v>1</v>
      </c>
      <c r="G198" s="20">
        <v>16</v>
      </c>
      <c r="H198" s="79">
        <v>372.42</v>
      </c>
      <c r="I198" s="62">
        <v>9.6544000000000008</v>
      </c>
      <c r="J198" s="16">
        <v>45548</v>
      </c>
      <c r="K198" s="25">
        <v>0.86359953703703707</v>
      </c>
      <c r="L198">
        <v>0</v>
      </c>
      <c r="M198">
        <v>0</v>
      </c>
      <c r="N198">
        <v>0</v>
      </c>
      <c r="O198">
        <v>0</v>
      </c>
      <c r="P198">
        <v>0</v>
      </c>
      <c r="Q198">
        <v>0</v>
      </c>
      <c r="R198">
        <v>0</v>
      </c>
      <c r="S198">
        <v>0</v>
      </c>
      <c r="T198">
        <v>0</v>
      </c>
      <c r="U198">
        <v>0</v>
      </c>
      <c r="V198">
        <v>0</v>
      </c>
      <c r="W198">
        <v>0</v>
      </c>
      <c r="X198" s="80">
        <f>X197</f>
        <v>9.4415400000000016</v>
      </c>
      <c r="Z198" t="s">
        <v>149</v>
      </c>
      <c r="AA198">
        <v>4</v>
      </c>
      <c r="AB198" t="s">
        <v>7</v>
      </c>
      <c r="AC198" s="20">
        <v>18560</v>
      </c>
      <c r="AD198" s="20">
        <v>128</v>
      </c>
      <c r="AE198" s="20">
        <v>4</v>
      </c>
      <c r="AF198" s="20">
        <v>4</v>
      </c>
      <c r="AG198" s="79">
        <v>405.98</v>
      </c>
      <c r="AH198" s="62">
        <v>10.5</v>
      </c>
      <c r="AI198" s="16">
        <v>45555</v>
      </c>
      <c r="AJ198" s="25">
        <v>0.68690972222222224</v>
      </c>
      <c r="AK198">
        <v>0</v>
      </c>
      <c r="AL198">
        <v>0</v>
      </c>
      <c r="AM198">
        <v>0</v>
      </c>
      <c r="AN198">
        <v>0</v>
      </c>
      <c r="AO198">
        <v>0</v>
      </c>
      <c r="AP198">
        <v>0</v>
      </c>
      <c r="AQ198">
        <v>0</v>
      </c>
      <c r="AR198">
        <v>0</v>
      </c>
      <c r="AS198">
        <v>0</v>
      </c>
      <c r="AT198">
        <v>0</v>
      </c>
      <c r="AU198">
        <v>0</v>
      </c>
      <c r="AV198">
        <v>0</v>
      </c>
      <c r="AW198" s="80">
        <f>AW197</f>
        <v>10.490000000000002</v>
      </c>
      <c r="BF198"/>
      <c r="BG198" s="23"/>
      <c r="BV198" s="23"/>
    </row>
    <row r="199" spans="1:74" x14ac:dyDescent="0.25">
      <c r="A199" t="s">
        <v>111</v>
      </c>
      <c r="B199">
        <v>0</v>
      </c>
      <c r="C199" t="s">
        <v>7</v>
      </c>
      <c r="D199" s="20">
        <v>19520</v>
      </c>
      <c r="E199" s="20">
        <v>160</v>
      </c>
      <c r="F199" s="20">
        <v>4</v>
      </c>
      <c r="G199" s="20">
        <v>4</v>
      </c>
      <c r="H199" s="79">
        <v>525.11</v>
      </c>
      <c r="I199" s="62">
        <v>9.4438999999999993</v>
      </c>
      <c r="J199" s="16">
        <v>45546</v>
      </c>
      <c r="K199" s="25">
        <v>0.66392361111111109</v>
      </c>
      <c r="L199">
        <v>0</v>
      </c>
      <c r="M199">
        <v>0</v>
      </c>
      <c r="N199">
        <v>0</v>
      </c>
      <c r="O199">
        <v>0</v>
      </c>
      <c r="P199">
        <v>0</v>
      </c>
      <c r="Q199">
        <v>0</v>
      </c>
      <c r="R199">
        <v>0</v>
      </c>
      <c r="S199">
        <v>0</v>
      </c>
      <c r="T199">
        <v>0</v>
      </c>
      <c r="U199">
        <v>0</v>
      </c>
      <c r="V199">
        <v>0</v>
      </c>
      <c r="W199">
        <v>0</v>
      </c>
      <c r="X199" s="82">
        <f>AVERAGE(I199:I203)</f>
        <v>9.4279599999999988</v>
      </c>
      <c r="Z199" t="s">
        <v>149</v>
      </c>
      <c r="AA199">
        <v>0</v>
      </c>
      <c r="AB199" t="s">
        <v>7</v>
      </c>
      <c r="AC199" s="20">
        <v>17472</v>
      </c>
      <c r="AD199" s="20">
        <v>96</v>
      </c>
      <c r="AE199" s="20">
        <v>1</v>
      </c>
      <c r="AF199" s="20">
        <v>16</v>
      </c>
      <c r="AG199" s="79">
        <v>339.99</v>
      </c>
      <c r="AH199" s="62">
        <v>10.46</v>
      </c>
      <c r="AI199" s="16">
        <v>45557</v>
      </c>
      <c r="AJ199" s="25">
        <v>0.89569444444444446</v>
      </c>
      <c r="AK199">
        <v>0</v>
      </c>
      <c r="AL199">
        <v>0</v>
      </c>
      <c r="AM199">
        <v>0</v>
      </c>
      <c r="AN199">
        <v>0</v>
      </c>
      <c r="AO199">
        <v>0</v>
      </c>
      <c r="AP199">
        <v>0</v>
      </c>
      <c r="AQ199">
        <v>0</v>
      </c>
      <c r="AR199">
        <v>0</v>
      </c>
      <c r="AS199">
        <v>0</v>
      </c>
      <c r="AT199">
        <v>0</v>
      </c>
      <c r="AU199">
        <v>0</v>
      </c>
      <c r="AV199">
        <v>0</v>
      </c>
      <c r="AW199" s="82">
        <f>AVERAGE(AH199:AH202)</f>
        <v>10.46625</v>
      </c>
      <c r="BF199"/>
      <c r="BG199" s="23"/>
      <c r="BV199" s="23"/>
    </row>
    <row r="200" spans="1:74" x14ac:dyDescent="0.25">
      <c r="A200" t="s">
        <v>111</v>
      </c>
      <c r="B200">
        <v>1</v>
      </c>
      <c r="C200" t="s">
        <v>7</v>
      </c>
      <c r="D200" s="20">
        <v>19520</v>
      </c>
      <c r="E200" s="20">
        <v>160</v>
      </c>
      <c r="F200" s="20">
        <v>4</v>
      </c>
      <c r="G200" s="20">
        <v>4</v>
      </c>
      <c r="H200" s="79">
        <v>511.11</v>
      </c>
      <c r="I200" s="62">
        <v>9.7026000000000003</v>
      </c>
      <c r="J200" s="16">
        <v>45547</v>
      </c>
      <c r="K200" s="25">
        <v>0.30781249999999999</v>
      </c>
      <c r="L200">
        <v>0</v>
      </c>
      <c r="M200">
        <v>0</v>
      </c>
      <c r="N200">
        <v>0</v>
      </c>
      <c r="O200">
        <v>0</v>
      </c>
      <c r="P200">
        <v>0</v>
      </c>
      <c r="Q200">
        <v>0</v>
      </c>
      <c r="R200">
        <v>0</v>
      </c>
      <c r="S200">
        <v>0</v>
      </c>
      <c r="T200">
        <v>0</v>
      </c>
      <c r="U200">
        <v>0</v>
      </c>
      <c r="V200">
        <v>0</v>
      </c>
      <c r="W200">
        <v>0</v>
      </c>
      <c r="X200" s="80">
        <f>X199</f>
        <v>9.4279599999999988</v>
      </c>
      <c r="Z200" t="s">
        <v>149</v>
      </c>
      <c r="AA200">
        <v>1</v>
      </c>
      <c r="AB200" t="s">
        <v>7</v>
      </c>
      <c r="AC200" s="20">
        <v>17472</v>
      </c>
      <c r="AD200" s="20">
        <v>96</v>
      </c>
      <c r="AE200" s="20">
        <v>1</v>
      </c>
      <c r="AF200" s="20">
        <v>16</v>
      </c>
      <c r="AG200" s="79">
        <v>339.38</v>
      </c>
      <c r="AH200" s="62">
        <v>10.478999999999999</v>
      </c>
      <c r="AI200" s="16">
        <v>45558</v>
      </c>
      <c r="AJ200" s="25">
        <v>0.39510416666666665</v>
      </c>
      <c r="AK200">
        <v>0</v>
      </c>
      <c r="AL200">
        <v>0</v>
      </c>
      <c r="AM200">
        <v>0</v>
      </c>
      <c r="AN200">
        <v>0</v>
      </c>
      <c r="AO200">
        <v>0</v>
      </c>
      <c r="AP200">
        <v>0</v>
      </c>
      <c r="AQ200">
        <v>0</v>
      </c>
      <c r="AR200">
        <v>0</v>
      </c>
      <c r="AS200">
        <v>0</v>
      </c>
      <c r="AT200">
        <v>0</v>
      </c>
      <c r="AU200">
        <v>0</v>
      </c>
      <c r="AV200">
        <v>0</v>
      </c>
      <c r="AW200" s="80">
        <f>AW199</f>
        <v>10.46625</v>
      </c>
      <c r="BF200"/>
      <c r="BG200" s="23"/>
      <c r="BV200" s="23"/>
    </row>
    <row r="201" spans="1:74" x14ac:dyDescent="0.25">
      <c r="A201" t="s">
        <v>111</v>
      </c>
      <c r="B201">
        <v>2</v>
      </c>
      <c r="C201" t="s">
        <v>7</v>
      </c>
      <c r="D201" s="20">
        <v>19520</v>
      </c>
      <c r="E201" s="20">
        <v>160</v>
      </c>
      <c r="F201" s="20">
        <v>4</v>
      </c>
      <c r="G201" s="20">
        <v>4</v>
      </c>
      <c r="H201" s="79">
        <v>554.96</v>
      </c>
      <c r="I201" s="62">
        <v>8.9359000000000002</v>
      </c>
      <c r="J201" s="16">
        <v>45547</v>
      </c>
      <c r="K201" s="25">
        <v>0.9126967592592593</v>
      </c>
      <c r="L201">
        <v>0</v>
      </c>
      <c r="M201">
        <v>0</v>
      </c>
      <c r="N201">
        <v>0</v>
      </c>
      <c r="O201">
        <v>0</v>
      </c>
      <c r="P201">
        <v>0</v>
      </c>
      <c r="Q201">
        <v>0</v>
      </c>
      <c r="R201">
        <v>0</v>
      </c>
      <c r="S201">
        <v>0</v>
      </c>
      <c r="T201">
        <v>0</v>
      </c>
      <c r="U201">
        <v>0</v>
      </c>
      <c r="V201">
        <v>0</v>
      </c>
      <c r="W201">
        <v>0</v>
      </c>
      <c r="X201" s="80">
        <f>X200</f>
        <v>9.4279599999999988</v>
      </c>
      <c r="Z201" t="s">
        <v>149</v>
      </c>
      <c r="AA201">
        <v>2</v>
      </c>
      <c r="AB201" t="s">
        <v>7</v>
      </c>
      <c r="AC201" s="20">
        <v>17472</v>
      </c>
      <c r="AD201" s="20">
        <v>96</v>
      </c>
      <c r="AE201" s="20">
        <v>1</v>
      </c>
      <c r="AF201" s="20">
        <v>16</v>
      </c>
      <c r="AG201" s="79">
        <v>339.64</v>
      </c>
      <c r="AH201" s="62">
        <v>10.471</v>
      </c>
      <c r="AI201" s="16">
        <v>45558</v>
      </c>
      <c r="AJ201" s="25">
        <v>0.89362268518518517</v>
      </c>
      <c r="AK201">
        <v>0</v>
      </c>
      <c r="AL201">
        <v>0</v>
      </c>
      <c r="AM201">
        <v>0</v>
      </c>
      <c r="AN201">
        <v>0</v>
      </c>
      <c r="AO201">
        <v>0</v>
      </c>
      <c r="AP201">
        <v>0</v>
      </c>
      <c r="AQ201">
        <v>0</v>
      </c>
      <c r="AR201">
        <v>0</v>
      </c>
      <c r="AS201">
        <v>0</v>
      </c>
      <c r="AT201">
        <v>0</v>
      </c>
      <c r="AU201">
        <v>0</v>
      </c>
      <c r="AV201">
        <v>0</v>
      </c>
      <c r="AW201" s="80">
        <f>AW200</f>
        <v>10.46625</v>
      </c>
      <c r="AZ201">
        <v>0</v>
      </c>
      <c r="BA201" t="s">
        <v>7</v>
      </c>
      <c r="BB201">
        <v>17536</v>
      </c>
      <c r="BC201">
        <v>32</v>
      </c>
      <c r="BD201">
        <v>1</v>
      </c>
      <c r="BE201">
        <v>16</v>
      </c>
      <c r="BF201">
        <v>423.02</v>
      </c>
      <c r="BG201" s="23">
        <v>8.4995999999999992</v>
      </c>
      <c r="BH201" s="16">
        <v>45501</v>
      </c>
      <c r="BI201" s="18">
        <v>0.93274305555555559</v>
      </c>
      <c r="BJ201">
        <v>0</v>
      </c>
      <c r="BK201">
        <v>0</v>
      </c>
      <c r="BL201">
        <v>0</v>
      </c>
      <c r="BM201">
        <v>0</v>
      </c>
      <c r="BN201">
        <v>0</v>
      </c>
      <c r="BO201">
        <v>0</v>
      </c>
      <c r="BP201">
        <v>0</v>
      </c>
      <c r="BQ201">
        <v>0</v>
      </c>
      <c r="BR201">
        <v>0</v>
      </c>
      <c r="BS201">
        <v>0</v>
      </c>
      <c r="BT201">
        <v>0</v>
      </c>
      <c r="BU201">
        <v>0</v>
      </c>
      <c r="BV201" s="113">
        <f>AVERAGE(BG201:BG202)</f>
        <v>8.4985999999999997</v>
      </c>
    </row>
    <row r="202" spans="1:74" x14ac:dyDescent="0.25">
      <c r="A202" t="s">
        <v>111</v>
      </c>
      <c r="B202">
        <v>3</v>
      </c>
      <c r="C202" t="s">
        <v>7</v>
      </c>
      <c r="D202" s="20">
        <v>19520</v>
      </c>
      <c r="E202" s="20">
        <v>160</v>
      </c>
      <c r="F202" s="20">
        <v>4</v>
      </c>
      <c r="G202" s="20">
        <v>4</v>
      </c>
      <c r="H202" s="79">
        <v>521.91</v>
      </c>
      <c r="I202" s="62">
        <v>9.5017999999999994</v>
      </c>
      <c r="J202" s="16">
        <v>45548</v>
      </c>
      <c r="K202" s="25">
        <v>0.57138888888888884</v>
      </c>
      <c r="L202">
        <v>0</v>
      </c>
      <c r="M202">
        <v>0</v>
      </c>
      <c r="N202">
        <v>0</v>
      </c>
      <c r="O202">
        <v>0</v>
      </c>
      <c r="P202">
        <v>0</v>
      </c>
      <c r="Q202">
        <v>0</v>
      </c>
      <c r="R202">
        <v>0</v>
      </c>
      <c r="S202">
        <v>0</v>
      </c>
      <c r="T202">
        <v>0</v>
      </c>
      <c r="U202">
        <v>0</v>
      </c>
      <c r="V202">
        <v>0</v>
      </c>
      <c r="W202">
        <v>0</v>
      </c>
      <c r="X202" s="80">
        <f>X201</f>
        <v>9.4279599999999988</v>
      </c>
      <c r="Z202" t="s">
        <v>149</v>
      </c>
      <c r="AA202">
        <v>3</v>
      </c>
      <c r="AB202" t="s">
        <v>7</v>
      </c>
      <c r="AC202" s="20">
        <v>17472</v>
      </c>
      <c r="AD202" s="20">
        <v>96</v>
      </c>
      <c r="AE202" s="20">
        <v>1</v>
      </c>
      <c r="AF202" s="20">
        <v>16</v>
      </c>
      <c r="AG202" s="79">
        <v>340.14</v>
      </c>
      <c r="AH202" s="62">
        <v>10.455</v>
      </c>
      <c r="AI202" s="16">
        <v>45555</v>
      </c>
      <c r="AJ202" s="25">
        <v>6.458333333333334E-2</v>
      </c>
      <c r="AK202">
        <v>0</v>
      </c>
      <c r="AL202">
        <v>0</v>
      </c>
      <c r="AM202">
        <v>0</v>
      </c>
      <c r="AN202">
        <v>0</v>
      </c>
      <c r="AO202">
        <v>0</v>
      </c>
      <c r="AP202">
        <v>0</v>
      </c>
      <c r="AQ202">
        <v>0</v>
      </c>
      <c r="AR202">
        <v>0</v>
      </c>
      <c r="AS202">
        <v>0</v>
      </c>
      <c r="AT202">
        <v>0</v>
      </c>
      <c r="AU202">
        <v>0</v>
      </c>
      <c r="AV202">
        <v>0</v>
      </c>
      <c r="AW202" s="80">
        <f>AW201</f>
        <v>10.46625</v>
      </c>
      <c r="AZ202">
        <v>1</v>
      </c>
      <c r="BA202" t="s">
        <v>7</v>
      </c>
      <c r="BB202">
        <v>17536</v>
      </c>
      <c r="BC202">
        <v>32</v>
      </c>
      <c r="BD202">
        <v>1</v>
      </c>
      <c r="BE202">
        <v>16</v>
      </c>
      <c r="BF202">
        <v>423.12</v>
      </c>
      <c r="BG202" s="23">
        <v>8.4976000000000003</v>
      </c>
      <c r="BH202" s="16">
        <v>45502</v>
      </c>
      <c r="BI202" s="18">
        <v>0.32018518518518518</v>
      </c>
      <c r="BJ202">
        <v>0</v>
      </c>
      <c r="BK202">
        <v>0</v>
      </c>
      <c r="BL202">
        <v>0</v>
      </c>
      <c r="BM202">
        <v>0</v>
      </c>
      <c r="BN202">
        <v>0</v>
      </c>
      <c r="BO202">
        <v>0</v>
      </c>
      <c r="BP202">
        <v>0</v>
      </c>
      <c r="BQ202">
        <v>0</v>
      </c>
      <c r="BR202">
        <v>0</v>
      </c>
      <c r="BS202">
        <v>0</v>
      </c>
      <c r="BT202">
        <v>0</v>
      </c>
      <c r="BU202">
        <v>0</v>
      </c>
      <c r="BV202" s="113"/>
    </row>
    <row r="203" spans="1:74" x14ac:dyDescent="0.25">
      <c r="A203" t="s">
        <v>111</v>
      </c>
      <c r="B203">
        <v>4</v>
      </c>
      <c r="C203" t="s">
        <v>7</v>
      </c>
      <c r="D203" s="20">
        <v>19520</v>
      </c>
      <c r="E203" s="20">
        <v>160</v>
      </c>
      <c r="F203" s="20">
        <v>4</v>
      </c>
      <c r="G203" s="20">
        <v>4</v>
      </c>
      <c r="H203" s="79">
        <v>518.97</v>
      </c>
      <c r="I203" s="62">
        <v>9.5556000000000001</v>
      </c>
      <c r="J203" s="16">
        <v>45549</v>
      </c>
      <c r="K203" s="25">
        <v>0.21482638888888889</v>
      </c>
      <c r="L203">
        <v>0</v>
      </c>
      <c r="M203">
        <v>0</v>
      </c>
      <c r="N203">
        <v>0</v>
      </c>
      <c r="O203">
        <v>0</v>
      </c>
      <c r="P203">
        <v>0</v>
      </c>
      <c r="Q203">
        <v>0</v>
      </c>
      <c r="R203">
        <v>0</v>
      </c>
      <c r="S203">
        <v>0</v>
      </c>
      <c r="T203">
        <v>0</v>
      </c>
      <c r="U203">
        <v>0</v>
      </c>
      <c r="V203">
        <v>0</v>
      </c>
      <c r="W203">
        <v>0</v>
      </c>
      <c r="X203" s="80">
        <f>X202</f>
        <v>9.4279599999999988</v>
      </c>
      <c r="Z203" t="s">
        <v>149</v>
      </c>
      <c r="AA203">
        <v>4</v>
      </c>
      <c r="AB203" t="s">
        <v>7</v>
      </c>
      <c r="AC203" s="20">
        <v>17472</v>
      </c>
      <c r="AD203" s="20">
        <v>96</v>
      </c>
      <c r="AE203" s="20">
        <v>1</v>
      </c>
      <c r="AF203" s="20">
        <v>16</v>
      </c>
      <c r="AG203" s="79">
        <v>339.36</v>
      </c>
      <c r="AH203" s="62">
        <v>10.478999999999999</v>
      </c>
      <c r="AI203" s="16">
        <v>45555</v>
      </c>
      <c r="AJ203" s="25">
        <v>0.56473379629629628</v>
      </c>
      <c r="AK203">
        <v>0</v>
      </c>
      <c r="AL203">
        <v>0</v>
      </c>
      <c r="AM203">
        <v>0</v>
      </c>
      <c r="AN203">
        <v>0</v>
      </c>
      <c r="AO203">
        <v>0</v>
      </c>
      <c r="AP203">
        <v>0</v>
      </c>
      <c r="AQ203">
        <v>0</v>
      </c>
      <c r="AR203">
        <v>0</v>
      </c>
      <c r="AS203">
        <v>0</v>
      </c>
      <c r="AT203">
        <v>0</v>
      </c>
      <c r="AU203">
        <v>0</v>
      </c>
      <c r="AV203">
        <v>0</v>
      </c>
      <c r="AW203" s="80">
        <f>AW202</f>
        <v>10.46625</v>
      </c>
      <c r="AZ203">
        <v>0</v>
      </c>
      <c r="BA203" t="s">
        <v>7</v>
      </c>
      <c r="BB203">
        <v>18560</v>
      </c>
      <c r="BC203">
        <v>32</v>
      </c>
      <c r="BD203">
        <v>1</v>
      </c>
      <c r="BE203">
        <v>16</v>
      </c>
      <c r="BF203">
        <v>485.88</v>
      </c>
      <c r="BG203" s="23">
        <v>8.7734000000000005</v>
      </c>
      <c r="BH203" s="16">
        <v>45502</v>
      </c>
      <c r="BI203" s="18">
        <v>4.3298611111111114E-2</v>
      </c>
      <c r="BJ203">
        <v>0</v>
      </c>
      <c r="BK203">
        <v>0</v>
      </c>
      <c r="BL203">
        <v>0</v>
      </c>
      <c r="BM203">
        <v>0</v>
      </c>
      <c r="BN203">
        <v>0</v>
      </c>
      <c r="BO203">
        <v>0</v>
      </c>
      <c r="BP203">
        <v>0</v>
      </c>
      <c r="BQ203">
        <v>0</v>
      </c>
      <c r="BR203">
        <v>0</v>
      </c>
      <c r="BS203">
        <v>0</v>
      </c>
      <c r="BT203">
        <v>0</v>
      </c>
      <c r="BU203">
        <v>0</v>
      </c>
      <c r="BV203" s="113">
        <f t="shared" ref="BV203" si="0">AVERAGE(BG203:BG204)</f>
        <v>8.775500000000001</v>
      </c>
    </row>
    <row r="204" spans="1:74" x14ac:dyDescent="0.25">
      <c r="A204" t="s">
        <v>111</v>
      </c>
      <c r="B204">
        <v>0</v>
      </c>
      <c r="C204" t="s">
        <v>7</v>
      </c>
      <c r="D204" s="20">
        <v>19488</v>
      </c>
      <c r="E204" s="20">
        <v>224</v>
      </c>
      <c r="F204" s="20">
        <v>2</v>
      </c>
      <c r="G204" s="20">
        <v>8</v>
      </c>
      <c r="H204" s="79">
        <v>431.32</v>
      </c>
      <c r="I204" s="62">
        <v>11.441000000000001</v>
      </c>
      <c r="J204" s="16">
        <v>45546</v>
      </c>
      <c r="K204" s="25">
        <v>0.80758101851851849</v>
      </c>
      <c r="L204">
        <v>0</v>
      </c>
      <c r="M204">
        <v>0</v>
      </c>
      <c r="N204">
        <v>0</v>
      </c>
      <c r="O204">
        <v>0</v>
      </c>
      <c r="P204">
        <v>0</v>
      </c>
      <c r="Q204">
        <v>0</v>
      </c>
      <c r="R204">
        <v>0</v>
      </c>
      <c r="S204">
        <v>0</v>
      </c>
      <c r="T204">
        <v>0</v>
      </c>
      <c r="U204">
        <v>0</v>
      </c>
      <c r="V204">
        <v>0</v>
      </c>
      <c r="W204">
        <v>0</v>
      </c>
      <c r="X204" s="82">
        <f>AVERAGE(I204:I208)</f>
        <v>9.4066399999999994</v>
      </c>
      <c r="Z204" t="s">
        <v>149</v>
      </c>
      <c r="AA204">
        <v>0</v>
      </c>
      <c r="AB204" t="s">
        <v>7</v>
      </c>
      <c r="AC204" s="20">
        <v>18368</v>
      </c>
      <c r="AD204" s="20">
        <v>224</v>
      </c>
      <c r="AE204" s="20">
        <v>1</v>
      </c>
      <c r="AF204" s="20">
        <v>16</v>
      </c>
      <c r="AG204" s="79">
        <v>395.04</v>
      </c>
      <c r="AH204" s="62">
        <v>10.459</v>
      </c>
      <c r="AI204" s="16">
        <v>45558</v>
      </c>
      <c r="AJ204" s="25">
        <v>5.0034722222222223E-2</v>
      </c>
      <c r="AK204">
        <v>0</v>
      </c>
      <c r="AL204">
        <v>0</v>
      </c>
      <c r="AM204">
        <v>0</v>
      </c>
      <c r="AN204">
        <v>0</v>
      </c>
      <c r="AO204">
        <v>0</v>
      </c>
      <c r="AP204">
        <v>0</v>
      </c>
      <c r="AQ204">
        <v>0</v>
      </c>
      <c r="AR204">
        <v>0</v>
      </c>
      <c r="AS204">
        <v>0</v>
      </c>
      <c r="AT204">
        <v>0</v>
      </c>
      <c r="AU204">
        <v>0</v>
      </c>
      <c r="AV204">
        <v>0</v>
      </c>
      <c r="AW204" s="82">
        <f>AVERAGE(AH204:AH207)</f>
        <v>10.4125</v>
      </c>
      <c r="AZ204">
        <v>1</v>
      </c>
      <c r="BA204" t="s">
        <v>7</v>
      </c>
      <c r="BB204">
        <v>18560</v>
      </c>
      <c r="BC204">
        <v>32</v>
      </c>
      <c r="BD204">
        <v>1</v>
      </c>
      <c r="BE204">
        <v>16</v>
      </c>
      <c r="BF204">
        <v>485.64</v>
      </c>
      <c r="BG204" s="23">
        <v>8.7775999999999996</v>
      </c>
      <c r="BH204" s="16">
        <v>45502</v>
      </c>
      <c r="BI204" s="18">
        <v>0.43069444444444444</v>
      </c>
      <c r="BJ204">
        <v>0</v>
      </c>
      <c r="BK204">
        <v>0</v>
      </c>
      <c r="BL204">
        <v>0</v>
      </c>
      <c r="BM204">
        <v>0</v>
      </c>
      <c r="BN204">
        <v>0</v>
      </c>
      <c r="BO204">
        <v>0</v>
      </c>
      <c r="BP204">
        <v>0</v>
      </c>
      <c r="BQ204">
        <v>0</v>
      </c>
      <c r="BR204">
        <v>0</v>
      </c>
      <c r="BS204">
        <v>0</v>
      </c>
      <c r="BT204">
        <v>0</v>
      </c>
      <c r="BU204">
        <v>0</v>
      </c>
      <c r="BV204" s="113"/>
    </row>
    <row r="205" spans="1:74" x14ac:dyDescent="0.25">
      <c r="A205" t="s">
        <v>111</v>
      </c>
      <c r="B205">
        <v>1</v>
      </c>
      <c r="C205" t="s">
        <v>7</v>
      </c>
      <c r="D205" s="20">
        <v>19488</v>
      </c>
      <c r="E205" s="20">
        <v>224</v>
      </c>
      <c r="F205" s="20">
        <v>2</v>
      </c>
      <c r="G205" s="20">
        <v>8</v>
      </c>
      <c r="H205" s="79">
        <v>422.24</v>
      </c>
      <c r="I205" s="62">
        <v>11.686999999999999</v>
      </c>
      <c r="J205" s="16">
        <v>45547</v>
      </c>
      <c r="K205" s="25">
        <v>0.42247685185185185</v>
      </c>
      <c r="L205">
        <v>0</v>
      </c>
      <c r="M205">
        <v>0</v>
      </c>
      <c r="N205">
        <v>0</v>
      </c>
      <c r="O205">
        <v>0</v>
      </c>
      <c r="P205">
        <v>0</v>
      </c>
      <c r="Q205">
        <v>0</v>
      </c>
      <c r="R205">
        <v>0</v>
      </c>
      <c r="S205">
        <v>0</v>
      </c>
      <c r="T205">
        <v>0</v>
      </c>
      <c r="U205">
        <v>0</v>
      </c>
      <c r="V205">
        <v>0</v>
      </c>
      <c r="W205">
        <v>0</v>
      </c>
      <c r="X205" s="80">
        <f>X204</f>
        <v>9.4066399999999994</v>
      </c>
      <c r="Z205" t="s">
        <v>149</v>
      </c>
      <c r="AA205">
        <v>1</v>
      </c>
      <c r="AB205" t="s">
        <v>7</v>
      </c>
      <c r="AC205" s="20">
        <v>18368</v>
      </c>
      <c r="AD205" s="20">
        <v>224</v>
      </c>
      <c r="AE205" s="20">
        <v>1</v>
      </c>
      <c r="AF205" s="20">
        <v>16</v>
      </c>
      <c r="AG205" s="79">
        <v>401.31</v>
      </c>
      <c r="AH205" s="62">
        <v>10.295999999999999</v>
      </c>
      <c r="AI205" s="16">
        <v>45558</v>
      </c>
      <c r="AJ205" s="25">
        <v>0.54920138888888892</v>
      </c>
      <c r="AK205">
        <v>0</v>
      </c>
      <c r="AL205">
        <v>0</v>
      </c>
      <c r="AM205">
        <v>0</v>
      </c>
      <c r="AN205">
        <v>0</v>
      </c>
      <c r="AO205">
        <v>0</v>
      </c>
      <c r="AP205">
        <v>0</v>
      </c>
      <c r="AQ205">
        <v>0</v>
      </c>
      <c r="AR205">
        <v>0</v>
      </c>
      <c r="AS205">
        <v>0</v>
      </c>
      <c r="AT205">
        <v>0</v>
      </c>
      <c r="AU205">
        <v>0</v>
      </c>
      <c r="AV205">
        <v>0</v>
      </c>
      <c r="AW205" s="80">
        <f>AW204</f>
        <v>10.4125</v>
      </c>
      <c r="AZ205">
        <v>0</v>
      </c>
      <c r="BA205" t="s">
        <v>7</v>
      </c>
      <c r="BB205">
        <v>19584</v>
      </c>
      <c r="BC205">
        <v>32</v>
      </c>
      <c r="BD205">
        <v>1</v>
      </c>
      <c r="BE205">
        <v>16</v>
      </c>
      <c r="BF205">
        <v>555.17999999999995</v>
      </c>
      <c r="BG205" s="23">
        <v>9.0204000000000004</v>
      </c>
      <c r="BH205" s="16">
        <v>45502</v>
      </c>
      <c r="BI205" s="18">
        <v>0.17174768518518518</v>
      </c>
      <c r="BJ205">
        <v>0</v>
      </c>
      <c r="BK205">
        <v>0</v>
      </c>
      <c r="BL205">
        <v>0</v>
      </c>
      <c r="BM205">
        <v>0</v>
      </c>
      <c r="BN205">
        <v>0</v>
      </c>
      <c r="BO205">
        <v>0</v>
      </c>
      <c r="BP205">
        <v>0</v>
      </c>
      <c r="BQ205">
        <v>0</v>
      </c>
      <c r="BR205">
        <v>0</v>
      </c>
      <c r="BS205">
        <v>0</v>
      </c>
      <c r="BT205">
        <v>0</v>
      </c>
      <c r="BU205">
        <v>0</v>
      </c>
      <c r="BV205" s="113">
        <f t="shared" ref="BV205" si="1">AVERAGE(BG205:BG206)</f>
        <v>9.0227000000000004</v>
      </c>
    </row>
    <row r="206" spans="1:74" x14ac:dyDescent="0.25">
      <c r="A206" t="s">
        <v>111</v>
      </c>
      <c r="B206">
        <v>2</v>
      </c>
      <c r="C206" t="s">
        <v>7</v>
      </c>
      <c r="D206" s="20">
        <v>19488</v>
      </c>
      <c r="E206" s="20">
        <v>224</v>
      </c>
      <c r="F206" s="20">
        <v>2</v>
      </c>
      <c r="G206" s="20">
        <v>8</v>
      </c>
      <c r="H206" s="79">
        <v>3012.24</v>
      </c>
      <c r="I206" s="62">
        <v>1.6382000000000001</v>
      </c>
      <c r="J206" s="16">
        <v>45548</v>
      </c>
      <c r="K206" s="25">
        <v>3.2002314814814817E-2</v>
      </c>
      <c r="L206">
        <v>0</v>
      </c>
      <c r="M206">
        <v>0</v>
      </c>
      <c r="N206">
        <v>0</v>
      </c>
      <c r="O206">
        <v>0</v>
      </c>
      <c r="P206">
        <v>0</v>
      </c>
      <c r="Q206">
        <v>0</v>
      </c>
      <c r="R206">
        <v>0</v>
      </c>
      <c r="S206">
        <v>0</v>
      </c>
      <c r="T206">
        <v>0</v>
      </c>
      <c r="U206">
        <v>0</v>
      </c>
      <c r="V206">
        <v>0</v>
      </c>
      <c r="W206">
        <v>0</v>
      </c>
      <c r="X206" s="80">
        <f>X205</f>
        <v>9.4066399999999994</v>
      </c>
      <c r="Z206" t="s">
        <v>149</v>
      </c>
      <c r="AA206">
        <v>2</v>
      </c>
      <c r="AB206" t="s">
        <v>7</v>
      </c>
      <c r="AC206" s="20">
        <v>18368</v>
      </c>
      <c r="AD206" s="20">
        <v>224</v>
      </c>
      <c r="AE206" s="20">
        <v>1</v>
      </c>
      <c r="AF206" s="20">
        <v>16</v>
      </c>
      <c r="AG206" s="79">
        <v>396.21</v>
      </c>
      <c r="AH206" s="62">
        <v>10.428000000000001</v>
      </c>
      <c r="AI206" s="16">
        <v>45554</v>
      </c>
      <c r="AJ206" s="25">
        <v>0.69309027777777776</v>
      </c>
      <c r="AK206">
        <v>0</v>
      </c>
      <c r="AL206">
        <v>0</v>
      </c>
      <c r="AM206">
        <v>0</v>
      </c>
      <c r="AN206">
        <v>0</v>
      </c>
      <c r="AO206">
        <v>0</v>
      </c>
      <c r="AP206">
        <v>0</v>
      </c>
      <c r="AQ206">
        <v>0</v>
      </c>
      <c r="AR206">
        <v>0</v>
      </c>
      <c r="AS206">
        <v>0</v>
      </c>
      <c r="AT206">
        <v>0</v>
      </c>
      <c r="AU206">
        <v>0</v>
      </c>
      <c r="AV206">
        <v>0</v>
      </c>
      <c r="AW206" s="80">
        <f>AW205</f>
        <v>10.4125</v>
      </c>
      <c r="AZ206">
        <v>1</v>
      </c>
      <c r="BA206" t="s">
        <v>7</v>
      </c>
      <c r="BB206">
        <v>19584</v>
      </c>
      <c r="BC206">
        <v>32</v>
      </c>
      <c r="BD206">
        <v>1</v>
      </c>
      <c r="BE206">
        <v>16</v>
      </c>
      <c r="BF206">
        <v>554.9</v>
      </c>
      <c r="BG206" s="23">
        <v>9.0250000000000004</v>
      </c>
      <c r="BH206" s="16">
        <v>45502</v>
      </c>
      <c r="BI206" s="18">
        <v>0.56001157407407409</v>
      </c>
      <c r="BJ206">
        <v>0</v>
      </c>
      <c r="BK206">
        <v>0</v>
      </c>
      <c r="BL206">
        <v>0</v>
      </c>
      <c r="BM206">
        <v>0</v>
      </c>
      <c r="BN206">
        <v>0</v>
      </c>
      <c r="BO206">
        <v>0</v>
      </c>
      <c r="BP206">
        <v>0</v>
      </c>
      <c r="BQ206">
        <v>0</v>
      </c>
      <c r="BR206">
        <v>0</v>
      </c>
      <c r="BS206">
        <v>0</v>
      </c>
      <c r="BT206">
        <v>0</v>
      </c>
      <c r="BU206">
        <v>0</v>
      </c>
      <c r="BV206" s="113"/>
    </row>
    <row r="207" spans="1:74" x14ac:dyDescent="0.25">
      <c r="A207" t="s">
        <v>111</v>
      </c>
      <c r="B207">
        <v>3</v>
      </c>
      <c r="C207" t="s">
        <v>7</v>
      </c>
      <c r="D207" s="20">
        <v>19488</v>
      </c>
      <c r="E207" s="20">
        <v>224</v>
      </c>
      <c r="F207" s="20">
        <v>2</v>
      </c>
      <c r="G207" s="20">
        <v>8</v>
      </c>
      <c r="H207" s="79">
        <v>450.67</v>
      </c>
      <c r="I207" s="62">
        <v>10.95</v>
      </c>
      <c r="J207" s="16">
        <v>45548</v>
      </c>
      <c r="K207" s="25">
        <v>0.66239583333333329</v>
      </c>
      <c r="L207">
        <v>0</v>
      </c>
      <c r="M207">
        <v>0</v>
      </c>
      <c r="N207">
        <v>0</v>
      </c>
      <c r="O207">
        <v>0</v>
      </c>
      <c r="P207">
        <v>0</v>
      </c>
      <c r="Q207">
        <v>0</v>
      </c>
      <c r="R207">
        <v>0</v>
      </c>
      <c r="S207">
        <v>0</v>
      </c>
      <c r="T207">
        <v>0</v>
      </c>
      <c r="U207">
        <v>0</v>
      </c>
      <c r="V207">
        <v>0</v>
      </c>
      <c r="W207">
        <v>0</v>
      </c>
      <c r="X207" s="80">
        <f>X206</f>
        <v>9.4066399999999994</v>
      </c>
      <c r="Z207" t="s">
        <v>149</v>
      </c>
      <c r="AA207">
        <v>3</v>
      </c>
      <c r="AB207" t="s">
        <v>7</v>
      </c>
      <c r="AC207" s="20">
        <v>18368</v>
      </c>
      <c r="AD207" s="20">
        <v>224</v>
      </c>
      <c r="AE207" s="20">
        <v>1</v>
      </c>
      <c r="AF207" s="20">
        <v>16</v>
      </c>
      <c r="AG207" s="79">
        <v>394.77</v>
      </c>
      <c r="AH207" s="62">
        <v>10.467000000000001</v>
      </c>
      <c r="AI207" s="16">
        <v>45555</v>
      </c>
      <c r="AJ207" s="25">
        <v>0.2184837962962963</v>
      </c>
      <c r="AK207">
        <v>0</v>
      </c>
      <c r="AL207">
        <v>0</v>
      </c>
      <c r="AM207">
        <v>0</v>
      </c>
      <c r="AN207">
        <v>0</v>
      </c>
      <c r="AO207">
        <v>0</v>
      </c>
      <c r="AP207">
        <v>0</v>
      </c>
      <c r="AQ207">
        <v>0</v>
      </c>
      <c r="AR207">
        <v>0</v>
      </c>
      <c r="AS207">
        <v>0</v>
      </c>
      <c r="AT207">
        <v>0</v>
      </c>
      <c r="AU207">
        <v>0</v>
      </c>
      <c r="AV207">
        <v>0</v>
      </c>
      <c r="AW207" s="80">
        <f>AW206</f>
        <v>10.4125</v>
      </c>
      <c r="AZ207">
        <v>0</v>
      </c>
      <c r="BA207" t="s">
        <v>7</v>
      </c>
      <c r="BB207">
        <v>17536</v>
      </c>
      <c r="BC207">
        <v>32</v>
      </c>
      <c r="BD207">
        <v>2</v>
      </c>
      <c r="BE207">
        <v>8</v>
      </c>
      <c r="BF207">
        <v>379.44</v>
      </c>
      <c r="BG207" s="23">
        <v>9.4756999999999998</v>
      </c>
      <c r="BH207" s="16">
        <v>45501</v>
      </c>
      <c r="BI207" s="18">
        <v>0.93729166666666663</v>
      </c>
      <c r="BJ207">
        <v>0</v>
      </c>
      <c r="BK207">
        <v>0</v>
      </c>
      <c r="BL207">
        <v>0</v>
      </c>
      <c r="BM207">
        <v>0</v>
      </c>
      <c r="BN207">
        <v>0</v>
      </c>
      <c r="BO207">
        <v>0</v>
      </c>
      <c r="BP207">
        <v>0</v>
      </c>
      <c r="BQ207">
        <v>0</v>
      </c>
      <c r="BR207">
        <v>0</v>
      </c>
      <c r="BS207">
        <v>0</v>
      </c>
      <c r="BT207">
        <v>0</v>
      </c>
      <c r="BU207">
        <v>0</v>
      </c>
      <c r="BV207" s="113">
        <f t="shared" ref="BV207" si="2">AVERAGE(BG207:BG208)</f>
        <v>9.4718499999999999</v>
      </c>
    </row>
    <row r="208" spans="1:74" x14ac:dyDescent="0.25">
      <c r="A208" t="s">
        <v>111</v>
      </c>
      <c r="B208">
        <v>4</v>
      </c>
      <c r="C208" t="s">
        <v>7</v>
      </c>
      <c r="D208" s="20">
        <v>19488</v>
      </c>
      <c r="E208" s="20">
        <v>224</v>
      </c>
      <c r="F208" s="20">
        <v>2</v>
      </c>
      <c r="G208" s="20">
        <v>8</v>
      </c>
      <c r="H208" s="79">
        <v>436.05</v>
      </c>
      <c r="I208" s="62">
        <v>11.317</v>
      </c>
      <c r="J208" s="16">
        <v>45549</v>
      </c>
      <c r="K208" s="25">
        <v>0.34623842592592591</v>
      </c>
      <c r="L208">
        <v>0</v>
      </c>
      <c r="M208">
        <v>0</v>
      </c>
      <c r="N208">
        <v>0</v>
      </c>
      <c r="O208">
        <v>0</v>
      </c>
      <c r="P208">
        <v>0</v>
      </c>
      <c r="Q208">
        <v>0</v>
      </c>
      <c r="R208">
        <v>0</v>
      </c>
      <c r="S208">
        <v>0</v>
      </c>
      <c r="T208">
        <v>0</v>
      </c>
      <c r="U208">
        <v>0</v>
      </c>
      <c r="V208">
        <v>0</v>
      </c>
      <c r="W208">
        <v>0</v>
      </c>
      <c r="X208" s="80">
        <f>X207</f>
        <v>9.4066399999999994</v>
      </c>
      <c r="Z208" t="s">
        <v>149</v>
      </c>
      <c r="AA208">
        <v>4</v>
      </c>
      <c r="AB208" t="s">
        <v>7</v>
      </c>
      <c r="AC208" s="20">
        <v>18368</v>
      </c>
      <c r="AD208" s="20">
        <v>224</v>
      </c>
      <c r="AE208" s="20">
        <v>1</v>
      </c>
      <c r="AF208" s="20">
        <v>16</v>
      </c>
      <c r="AG208" s="79">
        <v>394.96</v>
      </c>
      <c r="AH208" s="62">
        <v>10.462</v>
      </c>
      <c r="AI208" s="16">
        <v>45555</v>
      </c>
      <c r="AJ208" s="25">
        <v>0.71870370370370373</v>
      </c>
      <c r="AK208">
        <v>0</v>
      </c>
      <c r="AL208">
        <v>0</v>
      </c>
      <c r="AM208">
        <v>0</v>
      </c>
      <c r="AN208">
        <v>0</v>
      </c>
      <c r="AO208">
        <v>0</v>
      </c>
      <c r="AP208">
        <v>0</v>
      </c>
      <c r="AQ208">
        <v>0</v>
      </c>
      <c r="AR208">
        <v>0</v>
      </c>
      <c r="AS208">
        <v>0</v>
      </c>
      <c r="AT208">
        <v>0</v>
      </c>
      <c r="AU208">
        <v>0</v>
      </c>
      <c r="AV208">
        <v>0</v>
      </c>
      <c r="AW208" s="80">
        <f>AW207</f>
        <v>10.4125</v>
      </c>
      <c r="AZ208">
        <v>1</v>
      </c>
      <c r="BA208" t="s">
        <v>7</v>
      </c>
      <c r="BB208">
        <v>17536</v>
      </c>
      <c r="BC208">
        <v>32</v>
      </c>
      <c r="BD208">
        <v>2</v>
      </c>
      <c r="BE208">
        <v>8</v>
      </c>
      <c r="BF208">
        <v>379.75</v>
      </c>
      <c r="BG208" s="23">
        <v>9.468</v>
      </c>
      <c r="BH208" s="16">
        <v>45502</v>
      </c>
      <c r="BI208" s="18">
        <v>0.32473379629629628</v>
      </c>
      <c r="BJ208">
        <v>0</v>
      </c>
      <c r="BK208">
        <v>0</v>
      </c>
      <c r="BL208">
        <v>0</v>
      </c>
      <c r="BM208">
        <v>0</v>
      </c>
      <c r="BN208">
        <v>0</v>
      </c>
      <c r="BO208">
        <v>0</v>
      </c>
      <c r="BP208">
        <v>0</v>
      </c>
      <c r="BQ208">
        <v>0</v>
      </c>
      <c r="BR208">
        <v>0</v>
      </c>
      <c r="BS208">
        <v>0</v>
      </c>
      <c r="BT208">
        <v>0</v>
      </c>
      <c r="BU208">
        <v>0</v>
      </c>
      <c r="BV208" s="113"/>
    </row>
    <row r="209" spans="1:74" x14ac:dyDescent="0.25">
      <c r="A209" t="s">
        <v>111</v>
      </c>
      <c r="B209">
        <v>0</v>
      </c>
      <c r="C209" t="s">
        <v>7</v>
      </c>
      <c r="D209" s="20">
        <v>18560</v>
      </c>
      <c r="E209" s="20">
        <v>160</v>
      </c>
      <c r="F209" s="20">
        <v>4</v>
      </c>
      <c r="G209" s="20">
        <v>4</v>
      </c>
      <c r="H209" s="79">
        <v>454.82</v>
      </c>
      <c r="I209" s="62">
        <v>9.3725000000000005</v>
      </c>
      <c r="J209" s="16">
        <v>45546</v>
      </c>
      <c r="K209" s="25">
        <v>0.48222222222222222</v>
      </c>
      <c r="L209">
        <v>0</v>
      </c>
      <c r="M209">
        <v>0</v>
      </c>
      <c r="N209">
        <v>0</v>
      </c>
      <c r="O209">
        <v>0</v>
      </c>
      <c r="P209">
        <v>0</v>
      </c>
      <c r="Q209">
        <v>0</v>
      </c>
      <c r="R209">
        <v>0</v>
      </c>
      <c r="S209">
        <v>0</v>
      </c>
      <c r="T209">
        <v>0</v>
      </c>
      <c r="U209">
        <v>0</v>
      </c>
      <c r="V209">
        <v>0</v>
      </c>
      <c r="W209">
        <v>0</v>
      </c>
      <c r="X209" s="82">
        <f>AVERAGE(I209:I213)</f>
        <v>9.391020000000001</v>
      </c>
      <c r="Z209" t="s">
        <v>149</v>
      </c>
      <c r="AA209">
        <v>0</v>
      </c>
      <c r="AB209" t="s">
        <v>7</v>
      </c>
      <c r="AC209" s="20">
        <v>19488</v>
      </c>
      <c r="AD209" s="20">
        <v>224</v>
      </c>
      <c r="AE209" s="20">
        <v>4</v>
      </c>
      <c r="AF209" s="20">
        <v>4</v>
      </c>
      <c r="AG209" s="79">
        <v>471.71</v>
      </c>
      <c r="AH209" s="62">
        <v>10.461</v>
      </c>
      <c r="AI209" s="16">
        <v>45558</v>
      </c>
      <c r="AJ209" s="25">
        <v>0.29628472222222224</v>
      </c>
      <c r="AK209">
        <v>0</v>
      </c>
      <c r="AL209">
        <v>0</v>
      </c>
      <c r="AM209">
        <v>0</v>
      </c>
      <c r="AN209">
        <v>0</v>
      </c>
      <c r="AO209">
        <v>0</v>
      </c>
      <c r="AP209">
        <v>0</v>
      </c>
      <c r="AQ209">
        <v>0</v>
      </c>
      <c r="AR209">
        <v>0</v>
      </c>
      <c r="AS209">
        <v>0</v>
      </c>
      <c r="AT209">
        <v>0</v>
      </c>
      <c r="AU209">
        <v>0</v>
      </c>
      <c r="AV209">
        <v>0</v>
      </c>
      <c r="AW209" s="82">
        <f>AVERAGE(AH209:AH212)</f>
        <v>10.40925</v>
      </c>
      <c r="AZ209">
        <v>0</v>
      </c>
      <c r="BA209" t="s">
        <v>7</v>
      </c>
      <c r="BB209">
        <v>18560</v>
      </c>
      <c r="BC209">
        <v>32</v>
      </c>
      <c r="BD209">
        <v>2</v>
      </c>
      <c r="BE209">
        <v>8</v>
      </c>
      <c r="BF209">
        <v>435.38</v>
      </c>
      <c r="BG209" s="23">
        <v>9.7909000000000006</v>
      </c>
      <c r="BH209" s="16">
        <v>45502</v>
      </c>
      <c r="BI209" s="18">
        <v>4.8495370370370369E-2</v>
      </c>
      <c r="BJ209">
        <v>0</v>
      </c>
      <c r="BK209">
        <v>0</v>
      </c>
      <c r="BL209">
        <v>0</v>
      </c>
      <c r="BM209">
        <v>0</v>
      </c>
      <c r="BN209">
        <v>0</v>
      </c>
      <c r="BO209">
        <v>0</v>
      </c>
      <c r="BP209">
        <v>0</v>
      </c>
      <c r="BQ209">
        <v>0</v>
      </c>
      <c r="BR209">
        <v>0</v>
      </c>
      <c r="BS209">
        <v>0</v>
      </c>
      <c r="BT209">
        <v>0</v>
      </c>
      <c r="BU209">
        <v>0</v>
      </c>
      <c r="BV209" s="113">
        <f t="shared" ref="BV209" si="3">AVERAGE(BG209:BG210)</f>
        <v>9.7761500000000012</v>
      </c>
    </row>
    <row r="210" spans="1:74" x14ac:dyDescent="0.25">
      <c r="A210" t="s">
        <v>111</v>
      </c>
      <c r="B210">
        <v>1</v>
      </c>
      <c r="C210" t="s">
        <v>7</v>
      </c>
      <c r="D210" s="20">
        <v>18560</v>
      </c>
      <c r="E210" s="20">
        <v>160</v>
      </c>
      <c r="F210" s="20">
        <v>4</v>
      </c>
      <c r="G210" s="20">
        <v>4</v>
      </c>
      <c r="H210" s="79">
        <v>451.58</v>
      </c>
      <c r="I210" s="62">
        <v>9.4398</v>
      </c>
      <c r="J210" s="16">
        <v>45547</v>
      </c>
      <c r="K210" s="25">
        <v>9.8530092592592586E-2</v>
      </c>
      <c r="L210">
        <v>0</v>
      </c>
      <c r="M210">
        <v>0</v>
      </c>
      <c r="N210">
        <v>0</v>
      </c>
      <c r="O210">
        <v>0</v>
      </c>
      <c r="P210">
        <v>0</v>
      </c>
      <c r="Q210">
        <v>0</v>
      </c>
      <c r="R210">
        <v>0</v>
      </c>
      <c r="S210">
        <v>0</v>
      </c>
      <c r="T210">
        <v>0</v>
      </c>
      <c r="U210">
        <v>0</v>
      </c>
      <c r="V210">
        <v>0</v>
      </c>
      <c r="W210">
        <v>0</v>
      </c>
      <c r="X210" s="80">
        <f>X209</f>
        <v>9.391020000000001</v>
      </c>
      <c r="Z210" t="s">
        <v>149</v>
      </c>
      <c r="AA210">
        <v>1</v>
      </c>
      <c r="AB210" t="s">
        <v>7</v>
      </c>
      <c r="AC210" s="20">
        <v>19488</v>
      </c>
      <c r="AD210" s="20">
        <v>224</v>
      </c>
      <c r="AE210" s="20">
        <v>4</v>
      </c>
      <c r="AF210" s="20">
        <v>4</v>
      </c>
      <c r="AG210" s="79">
        <v>481.81</v>
      </c>
      <c r="AH210" s="62">
        <v>10.242000000000001</v>
      </c>
      <c r="AI210" s="16">
        <v>45558</v>
      </c>
      <c r="AJ210" s="25">
        <v>0.79181712962962958</v>
      </c>
      <c r="AK210">
        <v>0</v>
      </c>
      <c r="AL210">
        <v>0</v>
      </c>
      <c r="AM210">
        <v>0</v>
      </c>
      <c r="AN210">
        <v>0</v>
      </c>
      <c r="AO210">
        <v>0</v>
      </c>
      <c r="AP210">
        <v>0</v>
      </c>
      <c r="AQ210">
        <v>0</v>
      </c>
      <c r="AR210">
        <v>0</v>
      </c>
      <c r="AS210">
        <v>0</v>
      </c>
      <c r="AT210">
        <v>0</v>
      </c>
      <c r="AU210">
        <v>0</v>
      </c>
      <c r="AV210">
        <v>0</v>
      </c>
      <c r="AW210" s="80">
        <f>AW209</f>
        <v>10.40925</v>
      </c>
      <c r="AZ210">
        <v>1</v>
      </c>
      <c r="BA210" t="s">
        <v>7</v>
      </c>
      <c r="BB210">
        <v>18560</v>
      </c>
      <c r="BC210">
        <v>32</v>
      </c>
      <c r="BD210">
        <v>2</v>
      </c>
      <c r="BE210">
        <v>8</v>
      </c>
      <c r="BF210">
        <v>436.7</v>
      </c>
      <c r="BG210" s="23">
        <v>9.7614000000000001</v>
      </c>
      <c r="BH210" s="16">
        <v>45502</v>
      </c>
      <c r="BI210" s="18">
        <v>0.43591435185185184</v>
      </c>
      <c r="BJ210">
        <v>0</v>
      </c>
      <c r="BK210">
        <v>0</v>
      </c>
      <c r="BL210">
        <v>0</v>
      </c>
      <c r="BM210">
        <v>0</v>
      </c>
      <c r="BN210">
        <v>0</v>
      </c>
      <c r="BO210">
        <v>0</v>
      </c>
      <c r="BP210">
        <v>0</v>
      </c>
      <c r="BQ210">
        <v>0</v>
      </c>
      <c r="BR210">
        <v>0</v>
      </c>
      <c r="BS210">
        <v>0</v>
      </c>
      <c r="BT210">
        <v>0</v>
      </c>
      <c r="BU210">
        <v>0</v>
      </c>
      <c r="BV210" s="113"/>
    </row>
    <row r="211" spans="1:74" x14ac:dyDescent="0.25">
      <c r="A211" t="s">
        <v>111</v>
      </c>
      <c r="B211">
        <v>2</v>
      </c>
      <c r="C211" t="s">
        <v>7</v>
      </c>
      <c r="D211" s="20">
        <v>18560</v>
      </c>
      <c r="E211" s="20">
        <v>160</v>
      </c>
      <c r="F211" s="20">
        <v>4</v>
      </c>
      <c r="G211" s="20">
        <v>4</v>
      </c>
      <c r="H211" s="79">
        <v>455.15</v>
      </c>
      <c r="I211" s="62">
        <v>9.3657000000000004</v>
      </c>
      <c r="J211" s="16">
        <v>45547</v>
      </c>
      <c r="K211" s="25">
        <v>0.71255787037037033</v>
      </c>
      <c r="L211">
        <v>0</v>
      </c>
      <c r="M211">
        <v>0</v>
      </c>
      <c r="N211">
        <v>0</v>
      </c>
      <c r="O211">
        <v>0</v>
      </c>
      <c r="P211">
        <v>0</v>
      </c>
      <c r="Q211">
        <v>0</v>
      </c>
      <c r="R211">
        <v>0</v>
      </c>
      <c r="S211">
        <v>0</v>
      </c>
      <c r="T211">
        <v>0</v>
      </c>
      <c r="U211">
        <v>0</v>
      </c>
      <c r="V211">
        <v>0</v>
      </c>
      <c r="W211">
        <v>0</v>
      </c>
      <c r="X211" s="80">
        <f>X210</f>
        <v>9.391020000000001</v>
      </c>
      <c r="Z211" t="s">
        <v>149</v>
      </c>
      <c r="AA211">
        <v>2</v>
      </c>
      <c r="AB211" t="s">
        <v>7</v>
      </c>
      <c r="AC211" s="20">
        <v>19488</v>
      </c>
      <c r="AD211" s="20">
        <v>224</v>
      </c>
      <c r="AE211" s="20">
        <v>4</v>
      </c>
      <c r="AF211" s="20">
        <v>4</v>
      </c>
      <c r="AG211" s="79">
        <v>466.82</v>
      </c>
      <c r="AH211" s="62">
        <v>10.571</v>
      </c>
      <c r="AI211" s="16">
        <v>45554</v>
      </c>
      <c r="AJ211" s="25">
        <v>0.95865740740740746</v>
      </c>
      <c r="AK211">
        <v>0</v>
      </c>
      <c r="AL211">
        <v>0</v>
      </c>
      <c r="AM211">
        <v>0</v>
      </c>
      <c r="AN211">
        <v>0</v>
      </c>
      <c r="AO211">
        <v>0</v>
      </c>
      <c r="AP211">
        <v>0</v>
      </c>
      <c r="AQ211">
        <v>0</v>
      </c>
      <c r="AR211">
        <v>0</v>
      </c>
      <c r="AS211">
        <v>0</v>
      </c>
      <c r="AT211">
        <v>0</v>
      </c>
      <c r="AU211">
        <v>0</v>
      </c>
      <c r="AV211">
        <v>0</v>
      </c>
      <c r="AW211" s="80">
        <f>AW210</f>
        <v>10.40925</v>
      </c>
      <c r="AZ211">
        <v>0</v>
      </c>
      <c r="BA211" t="s">
        <v>7</v>
      </c>
      <c r="BB211">
        <v>19584</v>
      </c>
      <c r="BC211">
        <v>32</v>
      </c>
      <c r="BD211">
        <v>2</v>
      </c>
      <c r="BE211">
        <v>8</v>
      </c>
      <c r="BF211">
        <v>501.33</v>
      </c>
      <c r="BG211" s="23">
        <v>9.9893999999999998</v>
      </c>
      <c r="BH211" s="16">
        <v>45502</v>
      </c>
      <c r="BI211" s="18">
        <v>0.17773148148148149</v>
      </c>
      <c r="BJ211">
        <v>0</v>
      </c>
      <c r="BK211">
        <v>0</v>
      </c>
      <c r="BL211">
        <v>0</v>
      </c>
      <c r="BM211">
        <v>0</v>
      </c>
      <c r="BN211">
        <v>0</v>
      </c>
      <c r="BO211">
        <v>0</v>
      </c>
      <c r="BP211">
        <v>0</v>
      </c>
      <c r="BQ211">
        <v>0</v>
      </c>
      <c r="BR211">
        <v>0</v>
      </c>
      <c r="BS211">
        <v>0</v>
      </c>
      <c r="BT211">
        <v>0</v>
      </c>
      <c r="BU211">
        <v>0</v>
      </c>
      <c r="BV211" s="113">
        <f t="shared" ref="BV211" si="4">AVERAGE(BG211:BG212)</f>
        <v>9.9848499999999998</v>
      </c>
    </row>
    <row r="212" spans="1:74" x14ac:dyDescent="0.25">
      <c r="A212" t="s">
        <v>111</v>
      </c>
      <c r="B212">
        <v>3</v>
      </c>
      <c r="C212" t="s">
        <v>7</v>
      </c>
      <c r="D212" s="20">
        <v>18560</v>
      </c>
      <c r="E212" s="20">
        <v>160</v>
      </c>
      <c r="F212" s="20">
        <v>4</v>
      </c>
      <c r="G212" s="20">
        <v>4</v>
      </c>
      <c r="H212" s="79">
        <v>451.87</v>
      </c>
      <c r="I212" s="62">
        <v>9.4336000000000002</v>
      </c>
      <c r="J212" s="16">
        <v>45548</v>
      </c>
      <c r="K212" s="25">
        <v>0.37302083333333336</v>
      </c>
      <c r="L212">
        <v>0</v>
      </c>
      <c r="M212">
        <v>0</v>
      </c>
      <c r="N212">
        <v>0</v>
      </c>
      <c r="O212">
        <v>0</v>
      </c>
      <c r="P212">
        <v>0</v>
      </c>
      <c r="Q212">
        <v>0</v>
      </c>
      <c r="R212">
        <v>0</v>
      </c>
      <c r="S212">
        <v>0</v>
      </c>
      <c r="T212">
        <v>0</v>
      </c>
      <c r="U212">
        <v>0</v>
      </c>
      <c r="V212">
        <v>0</v>
      </c>
      <c r="W212">
        <v>0</v>
      </c>
      <c r="X212" s="80">
        <f>X211</f>
        <v>9.391020000000001</v>
      </c>
      <c r="Z212" t="s">
        <v>149</v>
      </c>
      <c r="AA212">
        <v>3</v>
      </c>
      <c r="AB212" t="s">
        <v>7</v>
      </c>
      <c r="AC212" s="20">
        <v>19488</v>
      </c>
      <c r="AD212" s="20">
        <v>224</v>
      </c>
      <c r="AE212" s="20">
        <v>4</v>
      </c>
      <c r="AF212" s="20">
        <v>4</v>
      </c>
      <c r="AG212" s="79">
        <v>476.2</v>
      </c>
      <c r="AH212" s="62">
        <v>10.363</v>
      </c>
      <c r="AI212" s="16">
        <v>45555</v>
      </c>
      <c r="AJ212" s="25">
        <v>0.46252314814814816</v>
      </c>
      <c r="AK212">
        <v>0</v>
      </c>
      <c r="AL212">
        <v>0</v>
      </c>
      <c r="AM212">
        <v>0</v>
      </c>
      <c r="AN212">
        <v>0</v>
      </c>
      <c r="AO212">
        <v>0</v>
      </c>
      <c r="AP212">
        <v>0</v>
      </c>
      <c r="AQ212">
        <v>0</v>
      </c>
      <c r="AR212">
        <v>0</v>
      </c>
      <c r="AS212">
        <v>0</v>
      </c>
      <c r="AT212">
        <v>0</v>
      </c>
      <c r="AU212">
        <v>0</v>
      </c>
      <c r="AV212">
        <v>0</v>
      </c>
      <c r="AW212" s="80">
        <f>AW211</f>
        <v>10.40925</v>
      </c>
      <c r="AZ212">
        <v>1</v>
      </c>
      <c r="BA212" t="s">
        <v>7</v>
      </c>
      <c r="BB212">
        <v>19584</v>
      </c>
      <c r="BC212">
        <v>32</v>
      </c>
      <c r="BD212">
        <v>2</v>
      </c>
      <c r="BE212">
        <v>8</v>
      </c>
      <c r="BF212">
        <v>501.79</v>
      </c>
      <c r="BG212" s="23">
        <v>9.9802999999999997</v>
      </c>
      <c r="BH212" s="16">
        <v>45502</v>
      </c>
      <c r="BI212" s="18">
        <v>0.5659953703703704</v>
      </c>
      <c r="BJ212">
        <v>0</v>
      </c>
      <c r="BK212">
        <v>0</v>
      </c>
      <c r="BL212">
        <v>0</v>
      </c>
      <c r="BM212">
        <v>0</v>
      </c>
      <c r="BN212">
        <v>0</v>
      </c>
      <c r="BO212">
        <v>0</v>
      </c>
      <c r="BP212">
        <v>0</v>
      </c>
      <c r="BQ212">
        <v>0</v>
      </c>
      <c r="BR212">
        <v>0</v>
      </c>
      <c r="BS212">
        <v>0</v>
      </c>
      <c r="BT212">
        <v>0</v>
      </c>
      <c r="BU212">
        <v>0</v>
      </c>
      <c r="BV212" s="113"/>
    </row>
    <row r="213" spans="1:74" x14ac:dyDescent="0.25">
      <c r="A213" t="s">
        <v>111</v>
      </c>
      <c r="B213">
        <v>4</v>
      </c>
      <c r="C213" t="s">
        <v>7</v>
      </c>
      <c r="D213" s="20">
        <v>18560</v>
      </c>
      <c r="E213" s="20">
        <v>160</v>
      </c>
      <c r="F213" s="20">
        <v>4</v>
      </c>
      <c r="G213" s="20">
        <v>4</v>
      </c>
      <c r="H213" s="79">
        <v>456.23</v>
      </c>
      <c r="I213" s="62">
        <v>9.3435000000000006</v>
      </c>
      <c r="J213" s="16">
        <v>45549</v>
      </c>
      <c r="K213" s="25">
        <v>2.3611111111111111E-3</v>
      </c>
      <c r="L213">
        <v>0</v>
      </c>
      <c r="M213">
        <v>0</v>
      </c>
      <c r="N213">
        <v>0</v>
      </c>
      <c r="O213">
        <v>0</v>
      </c>
      <c r="P213">
        <v>0</v>
      </c>
      <c r="Q213">
        <v>0</v>
      </c>
      <c r="R213">
        <v>0</v>
      </c>
      <c r="S213">
        <v>0</v>
      </c>
      <c r="T213">
        <v>0</v>
      </c>
      <c r="U213">
        <v>0</v>
      </c>
      <c r="V213">
        <v>0</v>
      </c>
      <c r="W213">
        <v>0</v>
      </c>
      <c r="X213" s="80">
        <f>X212</f>
        <v>9.391020000000001</v>
      </c>
      <c r="Z213" t="s">
        <v>149</v>
      </c>
      <c r="AA213">
        <v>4</v>
      </c>
      <c r="AB213" t="s">
        <v>7</v>
      </c>
      <c r="AC213" s="20">
        <v>19488</v>
      </c>
      <c r="AD213" s="20">
        <v>224</v>
      </c>
      <c r="AE213" s="20">
        <v>4</v>
      </c>
      <c r="AF213" s="20">
        <v>4</v>
      </c>
      <c r="AG213" s="79">
        <v>481.24</v>
      </c>
      <c r="AH213" s="62">
        <v>10.254</v>
      </c>
      <c r="AI213" s="16">
        <v>45555</v>
      </c>
      <c r="AJ213" s="25">
        <v>0.97343749999999996</v>
      </c>
      <c r="AK213">
        <v>0</v>
      </c>
      <c r="AL213">
        <v>0</v>
      </c>
      <c r="AM213">
        <v>0</v>
      </c>
      <c r="AN213">
        <v>0</v>
      </c>
      <c r="AO213">
        <v>0</v>
      </c>
      <c r="AP213">
        <v>0</v>
      </c>
      <c r="AQ213">
        <v>0</v>
      </c>
      <c r="AR213">
        <v>0</v>
      </c>
      <c r="AS213">
        <v>0</v>
      </c>
      <c r="AT213">
        <v>0</v>
      </c>
      <c r="AU213">
        <v>0</v>
      </c>
      <c r="AV213">
        <v>0</v>
      </c>
      <c r="AW213" s="80">
        <f>AW212</f>
        <v>10.40925</v>
      </c>
      <c r="AZ213">
        <v>0</v>
      </c>
      <c r="BA213" t="s">
        <v>7</v>
      </c>
      <c r="BB213">
        <v>17536</v>
      </c>
      <c r="BC213">
        <v>32</v>
      </c>
      <c r="BD213">
        <v>4</v>
      </c>
      <c r="BE213">
        <v>4</v>
      </c>
      <c r="BF213">
        <v>442.15</v>
      </c>
      <c r="BG213" s="23">
        <v>8.1318000000000001</v>
      </c>
      <c r="BH213" s="16">
        <v>45501</v>
      </c>
      <c r="BI213" s="18">
        <v>0.94255787037037042</v>
      </c>
      <c r="BJ213">
        <v>0</v>
      </c>
      <c r="BK213">
        <v>0</v>
      </c>
      <c r="BL213">
        <v>0</v>
      </c>
      <c r="BM213">
        <v>0</v>
      </c>
      <c r="BN213">
        <v>0</v>
      </c>
      <c r="BO213">
        <v>0</v>
      </c>
      <c r="BP213">
        <v>0</v>
      </c>
      <c r="BQ213">
        <v>0</v>
      </c>
      <c r="BR213">
        <v>0</v>
      </c>
      <c r="BS213">
        <v>0</v>
      </c>
      <c r="BT213">
        <v>0</v>
      </c>
      <c r="BU213">
        <v>0</v>
      </c>
      <c r="BV213" s="113">
        <f t="shared" ref="BV213" si="5">AVERAGE(BG213:BG214)</f>
        <v>8.1142500000000002</v>
      </c>
    </row>
    <row r="214" spans="1:74" x14ac:dyDescent="0.25">
      <c r="A214" t="s">
        <v>111</v>
      </c>
      <c r="B214">
        <v>0</v>
      </c>
      <c r="C214" t="s">
        <v>7</v>
      </c>
      <c r="D214" s="20">
        <v>19584</v>
      </c>
      <c r="E214" s="20">
        <v>64</v>
      </c>
      <c r="F214" s="20">
        <v>4</v>
      </c>
      <c r="G214" s="20">
        <v>4</v>
      </c>
      <c r="H214" s="79">
        <v>537.59</v>
      </c>
      <c r="I214" s="62">
        <v>9.3156999999999996</v>
      </c>
      <c r="J214" s="16">
        <v>45546</v>
      </c>
      <c r="K214" s="25">
        <v>0.57226851851851857</v>
      </c>
      <c r="L214">
        <v>0</v>
      </c>
      <c r="M214">
        <v>0</v>
      </c>
      <c r="N214">
        <v>0</v>
      </c>
      <c r="O214">
        <v>0</v>
      </c>
      <c r="P214">
        <v>0</v>
      </c>
      <c r="Q214">
        <v>0</v>
      </c>
      <c r="R214">
        <v>0</v>
      </c>
      <c r="S214">
        <v>0</v>
      </c>
      <c r="T214">
        <v>0</v>
      </c>
      <c r="U214">
        <v>0</v>
      </c>
      <c r="V214">
        <v>0</v>
      </c>
      <c r="W214">
        <v>0</v>
      </c>
      <c r="X214" s="82">
        <f>AVERAGE(I214:I218)</f>
        <v>9.3255999999999997</v>
      </c>
      <c r="Z214" t="s">
        <v>149</v>
      </c>
      <c r="AA214">
        <v>0</v>
      </c>
      <c r="AB214" t="s">
        <v>7</v>
      </c>
      <c r="AC214" s="20">
        <v>18432</v>
      </c>
      <c r="AD214" s="20">
        <v>192</v>
      </c>
      <c r="AE214" s="20">
        <v>4</v>
      </c>
      <c r="AF214" s="20">
        <v>4</v>
      </c>
      <c r="AG214" s="79">
        <v>402.41</v>
      </c>
      <c r="AH214" s="62">
        <v>10.375</v>
      </c>
      <c r="AI214" s="16">
        <v>45558</v>
      </c>
      <c r="AJ214" s="25">
        <v>4.5243055555555557E-2</v>
      </c>
      <c r="AK214">
        <v>0</v>
      </c>
      <c r="AL214">
        <v>0</v>
      </c>
      <c r="AM214">
        <v>0</v>
      </c>
      <c r="AN214">
        <v>0</v>
      </c>
      <c r="AO214">
        <v>0</v>
      </c>
      <c r="AP214">
        <v>0</v>
      </c>
      <c r="AQ214">
        <v>0</v>
      </c>
      <c r="AR214">
        <v>0</v>
      </c>
      <c r="AS214">
        <v>0</v>
      </c>
      <c r="AT214">
        <v>0</v>
      </c>
      <c r="AU214">
        <v>0</v>
      </c>
      <c r="AV214">
        <v>0</v>
      </c>
      <c r="AW214" s="82">
        <f>AVERAGE(AH214:AH217)</f>
        <v>10.40625</v>
      </c>
      <c r="AZ214">
        <v>1</v>
      </c>
      <c r="BA214" t="s">
        <v>7</v>
      </c>
      <c r="BB214">
        <v>17536</v>
      </c>
      <c r="BC214">
        <v>32</v>
      </c>
      <c r="BD214">
        <v>4</v>
      </c>
      <c r="BE214">
        <v>4</v>
      </c>
      <c r="BF214">
        <v>444.06</v>
      </c>
      <c r="BG214" s="23">
        <v>8.0967000000000002</v>
      </c>
      <c r="BH214" s="16">
        <v>45502</v>
      </c>
      <c r="BI214" s="18">
        <v>0.33002314814814815</v>
      </c>
      <c r="BJ214">
        <v>0</v>
      </c>
      <c r="BK214">
        <v>0</v>
      </c>
      <c r="BL214">
        <v>0</v>
      </c>
      <c r="BM214">
        <v>0</v>
      </c>
      <c r="BN214">
        <v>0</v>
      </c>
      <c r="BO214">
        <v>0</v>
      </c>
      <c r="BP214">
        <v>0</v>
      </c>
      <c r="BQ214">
        <v>0</v>
      </c>
      <c r="BR214">
        <v>0</v>
      </c>
      <c r="BS214">
        <v>0</v>
      </c>
      <c r="BT214">
        <v>0</v>
      </c>
      <c r="BU214">
        <v>0</v>
      </c>
      <c r="BV214" s="113"/>
    </row>
    <row r="215" spans="1:74" x14ac:dyDescent="0.25">
      <c r="A215" t="s">
        <v>111</v>
      </c>
      <c r="B215">
        <v>1</v>
      </c>
      <c r="C215" t="s">
        <v>7</v>
      </c>
      <c r="D215" s="20">
        <v>19584</v>
      </c>
      <c r="E215" s="20">
        <v>64</v>
      </c>
      <c r="F215" s="20">
        <v>4</v>
      </c>
      <c r="G215" s="20">
        <v>4</v>
      </c>
      <c r="H215" s="79">
        <v>539.32000000000005</v>
      </c>
      <c r="I215" s="62">
        <v>9.2858000000000001</v>
      </c>
      <c r="J215" s="16">
        <v>45547</v>
      </c>
      <c r="K215" s="25">
        <v>0.20159722222222223</v>
      </c>
      <c r="L215">
        <v>0</v>
      </c>
      <c r="M215">
        <v>0</v>
      </c>
      <c r="N215">
        <v>0</v>
      </c>
      <c r="O215">
        <v>0</v>
      </c>
      <c r="P215">
        <v>0</v>
      </c>
      <c r="Q215">
        <v>0</v>
      </c>
      <c r="R215">
        <v>0</v>
      </c>
      <c r="S215">
        <v>0</v>
      </c>
      <c r="T215">
        <v>0</v>
      </c>
      <c r="U215">
        <v>0</v>
      </c>
      <c r="V215">
        <v>0</v>
      </c>
      <c r="W215">
        <v>0</v>
      </c>
      <c r="X215" s="80">
        <f>X214</f>
        <v>9.3255999999999997</v>
      </c>
      <c r="Z215" t="s">
        <v>149</v>
      </c>
      <c r="AA215">
        <v>1</v>
      </c>
      <c r="AB215" t="s">
        <v>7</v>
      </c>
      <c r="AC215" s="20">
        <v>18432</v>
      </c>
      <c r="AD215" s="20">
        <v>192</v>
      </c>
      <c r="AE215" s="20">
        <v>4</v>
      </c>
      <c r="AF215" s="20">
        <v>4</v>
      </c>
      <c r="AG215" s="79">
        <v>398.64</v>
      </c>
      <c r="AH215" s="62">
        <v>10.474</v>
      </c>
      <c r="AI215" s="16">
        <v>45558</v>
      </c>
      <c r="AJ215" s="25">
        <v>0.54432870370370368</v>
      </c>
      <c r="AK215">
        <v>0</v>
      </c>
      <c r="AL215">
        <v>0</v>
      </c>
      <c r="AM215">
        <v>0</v>
      </c>
      <c r="AN215">
        <v>0</v>
      </c>
      <c r="AO215">
        <v>0</v>
      </c>
      <c r="AP215">
        <v>0</v>
      </c>
      <c r="AQ215">
        <v>0</v>
      </c>
      <c r="AR215">
        <v>0</v>
      </c>
      <c r="AS215">
        <v>0</v>
      </c>
      <c r="AT215">
        <v>0</v>
      </c>
      <c r="AU215">
        <v>0</v>
      </c>
      <c r="AV215">
        <v>0</v>
      </c>
      <c r="AW215" s="80">
        <f>AW214</f>
        <v>10.40625</v>
      </c>
      <c r="AZ215">
        <v>0</v>
      </c>
      <c r="BA215" t="s">
        <v>7</v>
      </c>
      <c r="BB215">
        <v>18560</v>
      </c>
      <c r="BC215">
        <v>32</v>
      </c>
      <c r="BD215">
        <v>4</v>
      </c>
      <c r="BE215">
        <v>4</v>
      </c>
      <c r="BF215">
        <v>507.81</v>
      </c>
      <c r="BG215" s="23">
        <v>8.3945000000000007</v>
      </c>
      <c r="BH215" s="16">
        <v>45502</v>
      </c>
      <c r="BI215" s="18">
        <v>5.4537037037037037E-2</v>
      </c>
      <c r="BJ215">
        <v>0</v>
      </c>
      <c r="BK215">
        <v>0</v>
      </c>
      <c r="BL215">
        <v>0</v>
      </c>
      <c r="BM215">
        <v>0</v>
      </c>
      <c r="BN215">
        <v>0</v>
      </c>
      <c r="BO215">
        <v>0</v>
      </c>
      <c r="BP215">
        <v>0</v>
      </c>
      <c r="BQ215">
        <v>0</v>
      </c>
      <c r="BR215">
        <v>0</v>
      </c>
      <c r="BS215">
        <v>0</v>
      </c>
      <c r="BT215">
        <v>0</v>
      </c>
      <c r="BU215">
        <v>0</v>
      </c>
      <c r="BV215" s="113">
        <f t="shared" ref="BV215:BV277" si="6">AVERAGE(BG215:BG216)</f>
        <v>8.4068000000000005</v>
      </c>
    </row>
    <row r="216" spans="1:74" x14ac:dyDescent="0.25">
      <c r="A216" t="s">
        <v>111</v>
      </c>
      <c r="B216">
        <v>2</v>
      </c>
      <c r="C216" t="s">
        <v>7</v>
      </c>
      <c r="D216" s="20">
        <v>19584</v>
      </c>
      <c r="E216" s="20">
        <v>64</v>
      </c>
      <c r="F216" s="20">
        <v>4</v>
      </c>
      <c r="G216" s="20">
        <v>4</v>
      </c>
      <c r="H216" s="79">
        <v>535.35</v>
      </c>
      <c r="I216" s="62">
        <v>9.3545999999999996</v>
      </c>
      <c r="J216" s="16">
        <v>45547</v>
      </c>
      <c r="K216" s="25">
        <v>0.81149305555555551</v>
      </c>
      <c r="L216">
        <v>0</v>
      </c>
      <c r="M216">
        <v>0</v>
      </c>
      <c r="N216">
        <v>0</v>
      </c>
      <c r="O216">
        <v>0</v>
      </c>
      <c r="P216">
        <v>0</v>
      </c>
      <c r="Q216">
        <v>0</v>
      </c>
      <c r="R216">
        <v>0</v>
      </c>
      <c r="S216">
        <v>0</v>
      </c>
      <c r="T216">
        <v>0</v>
      </c>
      <c r="U216">
        <v>0</v>
      </c>
      <c r="V216">
        <v>0</v>
      </c>
      <c r="W216">
        <v>0</v>
      </c>
      <c r="X216" s="80">
        <f>X215</f>
        <v>9.3255999999999997</v>
      </c>
      <c r="Z216" t="s">
        <v>149</v>
      </c>
      <c r="AA216">
        <v>2</v>
      </c>
      <c r="AB216" t="s">
        <v>7</v>
      </c>
      <c r="AC216" s="20">
        <v>18432</v>
      </c>
      <c r="AD216" s="20">
        <v>192</v>
      </c>
      <c r="AE216" s="20">
        <v>4</v>
      </c>
      <c r="AF216" s="20">
        <v>4</v>
      </c>
      <c r="AG216" s="79">
        <v>402.52</v>
      </c>
      <c r="AH216" s="62">
        <v>10.372999999999999</v>
      </c>
      <c r="AI216" s="16">
        <v>45554</v>
      </c>
      <c r="AJ216" s="25">
        <v>0.68829861111111112</v>
      </c>
      <c r="AK216">
        <v>0</v>
      </c>
      <c r="AL216">
        <v>0</v>
      </c>
      <c r="AM216">
        <v>0</v>
      </c>
      <c r="AN216">
        <v>0</v>
      </c>
      <c r="AO216">
        <v>0</v>
      </c>
      <c r="AP216">
        <v>0</v>
      </c>
      <c r="AQ216">
        <v>0</v>
      </c>
      <c r="AR216">
        <v>0</v>
      </c>
      <c r="AS216">
        <v>0</v>
      </c>
      <c r="AT216">
        <v>0</v>
      </c>
      <c r="AU216">
        <v>0</v>
      </c>
      <c r="AV216">
        <v>0</v>
      </c>
      <c r="AW216" s="80">
        <f>AW215</f>
        <v>10.40625</v>
      </c>
      <c r="AZ216">
        <v>1</v>
      </c>
      <c r="BA216" t="s">
        <v>7</v>
      </c>
      <c r="BB216">
        <v>18560</v>
      </c>
      <c r="BC216">
        <v>32</v>
      </c>
      <c r="BD216">
        <v>4</v>
      </c>
      <c r="BE216">
        <v>4</v>
      </c>
      <c r="BF216">
        <v>506.33</v>
      </c>
      <c r="BG216" s="23">
        <v>8.4191000000000003</v>
      </c>
      <c r="BH216" s="16">
        <v>45502</v>
      </c>
      <c r="BI216" s="18">
        <v>0.44193287037037038</v>
      </c>
      <c r="BJ216">
        <v>0</v>
      </c>
      <c r="BK216">
        <v>0</v>
      </c>
      <c r="BL216">
        <v>0</v>
      </c>
      <c r="BM216">
        <v>0</v>
      </c>
      <c r="BN216">
        <v>0</v>
      </c>
      <c r="BO216">
        <v>0</v>
      </c>
      <c r="BP216">
        <v>0</v>
      </c>
      <c r="BQ216">
        <v>0</v>
      </c>
      <c r="BR216">
        <v>0</v>
      </c>
      <c r="BS216">
        <v>0</v>
      </c>
      <c r="BT216">
        <v>0</v>
      </c>
      <c r="BU216">
        <v>0</v>
      </c>
      <c r="BV216" s="113"/>
    </row>
    <row r="217" spans="1:74" x14ac:dyDescent="0.25">
      <c r="A217" t="s">
        <v>111</v>
      </c>
      <c r="B217">
        <v>3</v>
      </c>
      <c r="C217" t="s">
        <v>7</v>
      </c>
      <c r="D217" s="20">
        <v>19584</v>
      </c>
      <c r="E217" s="20">
        <v>64</v>
      </c>
      <c r="F217" s="20">
        <v>4</v>
      </c>
      <c r="G217" s="20">
        <v>4</v>
      </c>
      <c r="H217" s="79">
        <v>535.83000000000004</v>
      </c>
      <c r="I217" s="62">
        <v>9.3462999999999994</v>
      </c>
      <c r="J217" s="16">
        <v>45548</v>
      </c>
      <c r="K217" s="25">
        <v>0.47574074074074074</v>
      </c>
      <c r="L217">
        <v>0</v>
      </c>
      <c r="M217">
        <v>0</v>
      </c>
      <c r="N217">
        <v>0</v>
      </c>
      <c r="O217">
        <v>0</v>
      </c>
      <c r="P217">
        <v>0</v>
      </c>
      <c r="Q217">
        <v>0</v>
      </c>
      <c r="R217">
        <v>0</v>
      </c>
      <c r="S217">
        <v>0</v>
      </c>
      <c r="T217">
        <v>0</v>
      </c>
      <c r="U217">
        <v>0</v>
      </c>
      <c r="V217">
        <v>0</v>
      </c>
      <c r="W217">
        <v>0</v>
      </c>
      <c r="X217" s="80">
        <f>X216</f>
        <v>9.3255999999999997</v>
      </c>
      <c r="Z217" t="s">
        <v>149</v>
      </c>
      <c r="AA217">
        <v>3</v>
      </c>
      <c r="AB217" t="s">
        <v>7</v>
      </c>
      <c r="AC217" s="20">
        <v>18432</v>
      </c>
      <c r="AD217" s="20">
        <v>192</v>
      </c>
      <c r="AE217" s="20">
        <v>4</v>
      </c>
      <c r="AF217" s="20">
        <v>4</v>
      </c>
      <c r="AG217" s="79">
        <v>401.35</v>
      </c>
      <c r="AH217" s="62">
        <v>10.403</v>
      </c>
      <c r="AI217" s="16">
        <v>45555</v>
      </c>
      <c r="AJ217" s="25">
        <v>0.21369212962962963</v>
      </c>
      <c r="AK217">
        <v>0</v>
      </c>
      <c r="AL217">
        <v>0</v>
      </c>
      <c r="AM217">
        <v>0</v>
      </c>
      <c r="AN217">
        <v>0</v>
      </c>
      <c r="AO217">
        <v>0</v>
      </c>
      <c r="AP217">
        <v>0</v>
      </c>
      <c r="AQ217">
        <v>0</v>
      </c>
      <c r="AR217">
        <v>0</v>
      </c>
      <c r="AS217">
        <v>0</v>
      </c>
      <c r="AT217">
        <v>0</v>
      </c>
      <c r="AU217">
        <v>0</v>
      </c>
      <c r="AV217">
        <v>0</v>
      </c>
      <c r="AW217" s="80">
        <f>AW216</f>
        <v>10.40625</v>
      </c>
      <c r="AZ217">
        <v>0</v>
      </c>
      <c r="BA217" t="s">
        <v>7</v>
      </c>
      <c r="BB217">
        <v>19584</v>
      </c>
      <c r="BC217">
        <v>32</v>
      </c>
      <c r="BD217">
        <v>4</v>
      </c>
      <c r="BE217">
        <v>4</v>
      </c>
      <c r="BF217">
        <v>581.15</v>
      </c>
      <c r="BG217" s="23">
        <v>8.6173999999999999</v>
      </c>
      <c r="BH217" s="16">
        <v>45502</v>
      </c>
      <c r="BI217" s="18">
        <v>0.18462962962962962</v>
      </c>
      <c r="BJ217">
        <v>0</v>
      </c>
      <c r="BK217">
        <v>0</v>
      </c>
      <c r="BL217">
        <v>0</v>
      </c>
      <c r="BM217">
        <v>0</v>
      </c>
      <c r="BN217">
        <v>0</v>
      </c>
      <c r="BO217">
        <v>0</v>
      </c>
      <c r="BP217">
        <v>0</v>
      </c>
      <c r="BQ217">
        <v>0</v>
      </c>
      <c r="BR217">
        <v>0</v>
      </c>
      <c r="BS217">
        <v>0</v>
      </c>
      <c r="BT217">
        <v>0</v>
      </c>
      <c r="BU217">
        <v>0</v>
      </c>
      <c r="BV217" s="113">
        <f t="shared" si="6"/>
        <v>8.6054500000000012</v>
      </c>
    </row>
    <row r="218" spans="1:74" x14ac:dyDescent="0.25">
      <c r="A218" t="s">
        <v>111</v>
      </c>
      <c r="B218">
        <v>4</v>
      </c>
      <c r="C218" t="s">
        <v>145</v>
      </c>
      <c r="D218" s="20">
        <v>19584</v>
      </c>
      <c r="E218" s="20">
        <v>64</v>
      </c>
      <c r="F218" s="20">
        <v>4</v>
      </c>
      <c r="G218" s="20">
        <v>4</v>
      </c>
      <c r="H218" s="79">
        <v>0</v>
      </c>
      <c r="I218" s="23"/>
      <c r="J218" s="16">
        <v>45549</v>
      </c>
      <c r="K218" s="25">
        <v>0.10854166666666666</v>
      </c>
      <c r="L218">
        <v>0</v>
      </c>
      <c r="M218">
        <v>0</v>
      </c>
      <c r="N218">
        <v>0</v>
      </c>
      <c r="O218">
        <v>0</v>
      </c>
      <c r="P218">
        <v>0</v>
      </c>
      <c r="Q218">
        <v>0</v>
      </c>
      <c r="R218">
        <v>0</v>
      </c>
      <c r="S218">
        <v>0</v>
      </c>
      <c r="T218">
        <v>0</v>
      </c>
      <c r="U218">
        <v>0</v>
      </c>
      <c r="V218">
        <v>0</v>
      </c>
      <c r="W218">
        <v>0</v>
      </c>
      <c r="X218" s="80">
        <f>X217</f>
        <v>9.3255999999999997</v>
      </c>
      <c r="Z218" t="s">
        <v>149</v>
      </c>
      <c r="AA218">
        <v>4</v>
      </c>
      <c r="AB218" t="s">
        <v>7</v>
      </c>
      <c r="AC218" s="20">
        <v>18432</v>
      </c>
      <c r="AD218" s="20">
        <v>192</v>
      </c>
      <c r="AE218" s="20">
        <v>4</v>
      </c>
      <c r="AF218" s="20">
        <v>4</v>
      </c>
      <c r="AG218" s="79">
        <v>400.81</v>
      </c>
      <c r="AH218" s="62">
        <v>10.417</v>
      </c>
      <c r="AI218" s="16">
        <v>45555</v>
      </c>
      <c r="AJ218" s="25">
        <v>0.71391203703703698</v>
      </c>
      <c r="AK218">
        <v>0</v>
      </c>
      <c r="AL218">
        <v>0</v>
      </c>
      <c r="AM218">
        <v>0</v>
      </c>
      <c r="AN218">
        <v>0</v>
      </c>
      <c r="AO218">
        <v>0</v>
      </c>
      <c r="AP218">
        <v>0</v>
      </c>
      <c r="AQ218">
        <v>0</v>
      </c>
      <c r="AR218">
        <v>0</v>
      </c>
      <c r="AS218">
        <v>0</v>
      </c>
      <c r="AT218">
        <v>0</v>
      </c>
      <c r="AU218">
        <v>0</v>
      </c>
      <c r="AV218">
        <v>0</v>
      </c>
      <c r="AW218" s="80">
        <f>AW217</f>
        <v>10.40625</v>
      </c>
      <c r="AZ218">
        <v>1</v>
      </c>
      <c r="BA218" t="s">
        <v>7</v>
      </c>
      <c r="BB218">
        <v>19584</v>
      </c>
      <c r="BC218">
        <v>32</v>
      </c>
      <c r="BD218">
        <v>4</v>
      </c>
      <c r="BE218">
        <v>4</v>
      </c>
      <c r="BF218">
        <v>582.77</v>
      </c>
      <c r="BG218" s="23">
        <v>8.5935000000000006</v>
      </c>
      <c r="BH218" s="16">
        <v>45502</v>
      </c>
      <c r="BI218" s="18">
        <v>0.57291666666666663</v>
      </c>
      <c r="BJ218">
        <v>0</v>
      </c>
      <c r="BK218">
        <v>0</v>
      </c>
      <c r="BL218">
        <v>0</v>
      </c>
      <c r="BM218">
        <v>0</v>
      </c>
      <c r="BN218">
        <v>0</v>
      </c>
      <c r="BO218">
        <v>0</v>
      </c>
      <c r="BP218">
        <v>0</v>
      </c>
      <c r="BQ218">
        <v>0</v>
      </c>
      <c r="BR218">
        <v>0</v>
      </c>
      <c r="BS218">
        <v>0</v>
      </c>
      <c r="BT218">
        <v>0</v>
      </c>
      <c r="BU218">
        <v>0</v>
      </c>
      <c r="BV218" s="113"/>
    </row>
    <row r="219" spans="1:74" x14ac:dyDescent="0.25">
      <c r="A219" t="s">
        <v>111</v>
      </c>
      <c r="B219">
        <v>0</v>
      </c>
      <c r="C219" t="s">
        <v>7</v>
      </c>
      <c r="D219" s="20">
        <v>18560</v>
      </c>
      <c r="E219" s="20">
        <v>128</v>
      </c>
      <c r="F219" s="20">
        <v>4</v>
      </c>
      <c r="G219" s="20">
        <v>4</v>
      </c>
      <c r="H219" s="79">
        <v>457.34</v>
      </c>
      <c r="I219" s="62">
        <v>9.3209</v>
      </c>
      <c r="J219" s="16">
        <v>45546</v>
      </c>
      <c r="K219" s="25">
        <v>0.46747685185185184</v>
      </c>
      <c r="L219">
        <v>0</v>
      </c>
      <c r="M219">
        <v>0</v>
      </c>
      <c r="N219">
        <v>0</v>
      </c>
      <c r="O219">
        <v>0</v>
      </c>
      <c r="P219">
        <v>0</v>
      </c>
      <c r="Q219">
        <v>0</v>
      </c>
      <c r="R219">
        <v>0</v>
      </c>
      <c r="S219">
        <v>0</v>
      </c>
      <c r="T219">
        <v>0</v>
      </c>
      <c r="U219">
        <v>0</v>
      </c>
      <c r="V219">
        <v>0</v>
      </c>
      <c r="W219">
        <v>0</v>
      </c>
      <c r="X219" s="82">
        <f>AVERAGE(I219:I223)</f>
        <v>9.2676600000000011</v>
      </c>
      <c r="Z219" t="s">
        <v>149</v>
      </c>
      <c r="AA219">
        <v>0</v>
      </c>
      <c r="AB219" t="s">
        <v>7</v>
      </c>
      <c r="AC219" s="20">
        <v>17536</v>
      </c>
      <c r="AD219" s="20">
        <v>128</v>
      </c>
      <c r="AE219" s="20">
        <v>1</v>
      </c>
      <c r="AF219" s="20">
        <v>16</v>
      </c>
      <c r="AG219" s="79">
        <v>347.37</v>
      </c>
      <c r="AH219" s="62">
        <v>10.351000000000001</v>
      </c>
      <c r="AI219" s="16">
        <v>45557</v>
      </c>
      <c r="AJ219" s="25">
        <v>0.90740740740740744</v>
      </c>
      <c r="AK219">
        <v>0</v>
      </c>
      <c r="AL219">
        <v>0</v>
      </c>
      <c r="AM219">
        <v>0</v>
      </c>
      <c r="AN219">
        <v>0</v>
      </c>
      <c r="AO219">
        <v>0</v>
      </c>
      <c r="AP219">
        <v>0</v>
      </c>
      <c r="AQ219">
        <v>0</v>
      </c>
      <c r="AR219">
        <v>0</v>
      </c>
      <c r="AS219">
        <v>0</v>
      </c>
      <c r="AT219">
        <v>0</v>
      </c>
      <c r="AU219">
        <v>0</v>
      </c>
      <c r="AV219">
        <v>0</v>
      </c>
      <c r="AW219" s="82">
        <f>AVERAGE(AH219:AH222)</f>
        <v>10.363250000000001</v>
      </c>
      <c r="AZ219">
        <v>0</v>
      </c>
      <c r="BA219" t="s">
        <v>7</v>
      </c>
      <c r="BB219">
        <v>17536</v>
      </c>
      <c r="BC219">
        <v>64</v>
      </c>
      <c r="BD219">
        <v>1</v>
      </c>
      <c r="BE219">
        <v>16</v>
      </c>
      <c r="BF219">
        <v>396.58</v>
      </c>
      <c r="BG219" s="23">
        <v>9.0663</v>
      </c>
      <c r="BH219" s="16">
        <v>45501</v>
      </c>
      <c r="BI219" s="18">
        <v>0.94730324074074079</v>
      </c>
      <c r="BJ219">
        <v>0</v>
      </c>
      <c r="BK219">
        <v>0</v>
      </c>
      <c r="BL219">
        <v>0</v>
      </c>
      <c r="BM219">
        <v>0</v>
      </c>
      <c r="BN219">
        <v>0</v>
      </c>
      <c r="BO219">
        <v>0</v>
      </c>
      <c r="BP219">
        <v>0</v>
      </c>
      <c r="BQ219">
        <v>0</v>
      </c>
      <c r="BR219">
        <v>0</v>
      </c>
      <c r="BS219">
        <v>0</v>
      </c>
      <c r="BT219">
        <v>0</v>
      </c>
      <c r="BU219">
        <v>0</v>
      </c>
      <c r="BV219" s="113">
        <f t="shared" si="6"/>
        <v>9.0561000000000007</v>
      </c>
    </row>
    <row r="220" spans="1:74" x14ac:dyDescent="0.25">
      <c r="A220" t="s">
        <v>111</v>
      </c>
      <c r="B220">
        <v>1</v>
      </c>
      <c r="C220" t="s">
        <v>7</v>
      </c>
      <c r="D220" s="20">
        <v>18560</v>
      </c>
      <c r="E220" s="20">
        <v>128</v>
      </c>
      <c r="F220" s="20">
        <v>4</v>
      </c>
      <c r="G220" s="20">
        <v>4</v>
      </c>
      <c r="H220" s="79">
        <v>460.58</v>
      </c>
      <c r="I220" s="62">
        <v>9.2553000000000001</v>
      </c>
      <c r="J220" s="16">
        <v>45547</v>
      </c>
      <c r="K220" s="25">
        <v>8.3657407407407403E-2</v>
      </c>
      <c r="L220">
        <v>0</v>
      </c>
      <c r="M220">
        <v>0</v>
      </c>
      <c r="N220">
        <v>0</v>
      </c>
      <c r="O220">
        <v>0</v>
      </c>
      <c r="P220">
        <v>0</v>
      </c>
      <c r="Q220">
        <v>0</v>
      </c>
      <c r="R220">
        <v>0</v>
      </c>
      <c r="S220">
        <v>0</v>
      </c>
      <c r="T220">
        <v>0</v>
      </c>
      <c r="U220">
        <v>0</v>
      </c>
      <c r="V220">
        <v>0</v>
      </c>
      <c r="W220">
        <v>0</v>
      </c>
      <c r="X220" s="80">
        <f>X219</f>
        <v>9.2676600000000011</v>
      </c>
      <c r="Z220" t="s">
        <v>149</v>
      </c>
      <c r="AA220">
        <v>1</v>
      </c>
      <c r="AB220" t="s">
        <v>7</v>
      </c>
      <c r="AC220" s="20">
        <v>17536</v>
      </c>
      <c r="AD220" s="20">
        <v>128</v>
      </c>
      <c r="AE220" s="20">
        <v>1</v>
      </c>
      <c r="AF220" s="20">
        <v>16</v>
      </c>
      <c r="AG220" s="79">
        <v>347.41</v>
      </c>
      <c r="AH220" s="62">
        <v>10.349</v>
      </c>
      <c r="AI220" s="16">
        <v>45558</v>
      </c>
      <c r="AJ220" s="25">
        <v>0.40682870370370372</v>
      </c>
      <c r="AK220">
        <v>0</v>
      </c>
      <c r="AL220">
        <v>0</v>
      </c>
      <c r="AM220">
        <v>0</v>
      </c>
      <c r="AN220">
        <v>0</v>
      </c>
      <c r="AO220">
        <v>0</v>
      </c>
      <c r="AP220">
        <v>0</v>
      </c>
      <c r="AQ220">
        <v>0</v>
      </c>
      <c r="AR220">
        <v>0</v>
      </c>
      <c r="AS220">
        <v>0</v>
      </c>
      <c r="AT220">
        <v>0</v>
      </c>
      <c r="AU220">
        <v>0</v>
      </c>
      <c r="AV220">
        <v>0</v>
      </c>
      <c r="AW220" s="80">
        <f>AW219</f>
        <v>10.363250000000001</v>
      </c>
      <c r="AZ220">
        <v>1</v>
      </c>
      <c r="BA220" t="s">
        <v>7</v>
      </c>
      <c r="BB220">
        <v>17536</v>
      </c>
      <c r="BC220">
        <v>64</v>
      </c>
      <c r="BD220">
        <v>1</v>
      </c>
      <c r="BE220">
        <v>16</v>
      </c>
      <c r="BF220">
        <v>397.47</v>
      </c>
      <c r="BG220" s="23">
        <v>9.0458999999999996</v>
      </c>
      <c r="BH220" s="16">
        <v>45502</v>
      </c>
      <c r="BI220" s="18">
        <v>0.33478009259259262</v>
      </c>
      <c r="BJ220">
        <v>0</v>
      </c>
      <c r="BK220">
        <v>0</v>
      </c>
      <c r="BL220">
        <v>0</v>
      </c>
      <c r="BM220">
        <v>0</v>
      </c>
      <c r="BN220">
        <v>0</v>
      </c>
      <c r="BO220">
        <v>0</v>
      </c>
      <c r="BP220">
        <v>0</v>
      </c>
      <c r="BQ220">
        <v>0</v>
      </c>
      <c r="BR220">
        <v>0</v>
      </c>
      <c r="BS220">
        <v>0</v>
      </c>
      <c r="BT220">
        <v>0</v>
      </c>
      <c r="BU220">
        <v>0</v>
      </c>
      <c r="BV220" s="113"/>
    </row>
    <row r="221" spans="1:74" x14ac:dyDescent="0.25">
      <c r="A221" t="s">
        <v>111</v>
      </c>
      <c r="B221">
        <v>2</v>
      </c>
      <c r="C221" t="s">
        <v>7</v>
      </c>
      <c r="D221" s="20">
        <v>18560</v>
      </c>
      <c r="E221" s="20">
        <v>128</v>
      </c>
      <c r="F221" s="20">
        <v>4</v>
      </c>
      <c r="G221" s="20">
        <v>4</v>
      </c>
      <c r="H221" s="79">
        <v>459.79</v>
      </c>
      <c r="I221" s="62">
        <v>9.2712000000000003</v>
      </c>
      <c r="J221" s="16">
        <v>45547</v>
      </c>
      <c r="K221" s="25">
        <v>0.6975810185185185</v>
      </c>
      <c r="L221">
        <v>0</v>
      </c>
      <c r="M221">
        <v>0</v>
      </c>
      <c r="N221">
        <v>0</v>
      </c>
      <c r="O221">
        <v>0</v>
      </c>
      <c r="P221">
        <v>0</v>
      </c>
      <c r="Q221">
        <v>0</v>
      </c>
      <c r="R221">
        <v>0</v>
      </c>
      <c r="S221">
        <v>0</v>
      </c>
      <c r="T221">
        <v>0</v>
      </c>
      <c r="U221">
        <v>0</v>
      </c>
      <c r="V221">
        <v>0</v>
      </c>
      <c r="W221">
        <v>0</v>
      </c>
      <c r="X221" s="80">
        <f>X220</f>
        <v>9.2676600000000011</v>
      </c>
      <c r="Z221" t="s">
        <v>149</v>
      </c>
      <c r="AA221">
        <v>2</v>
      </c>
      <c r="AB221" t="s">
        <v>7</v>
      </c>
      <c r="AC221" s="20">
        <v>17536</v>
      </c>
      <c r="AD221" s="20">
        <v>128</v>
      </c>
      <c r="AE221" s="20">
        <v>1</v>
      </c>
      <c r="AF221" s="20">
        <v>16</v>
      </c>
      <c r="AG221" s="79">
        <v>347.44</v>
      </c>
      <c r="AH221" s="62">
        <v>10.349</v>
      </c>
      <c r="AI221" s="16">
        <v>45558</v>
      </c>
      <c r="AJ221" s="25">
        <v>0.90533564814814815</v>
      </c>
      <c r="AK221">
        <v>0</v>
      </c>
      <c r="AL221">
        <v>0</v>
      </c>
      <c r="AM221">
        <v>0</v>
      </c>
      <c r="AN221">
        <v>0</v>
      </c>
      <c r="AO221">
        <v>0</v>
      </c>
      <c r="AP221">
        <v>0</v>
      </c>
      <c r="AQ221">
        <v>0</v>
      </c>
      <c r="AR221">
        <v>0</v>
      </c>
      <c r="AS221">
        <v>0</v>
      </c>
      <c r="AT221">
        <v>0</v>
      </c>
      <c r="AU221">
        <v>0</v>
      </c>
      <c r="AV221">
        <v>0</v>
      </c>
      <c r="AW221" s="80">
        <f>AW220</f>
        <v>10.363250000000001</v>
      </c>
      <c r="AZ221">
        <v>0</v>
      </c>
      <c r="BA221" t="s">
        <v>7</v>
      </c>
      <c r="BB221">
        <v>18560</v>
      </c>
      <c r="BC221">
        <v>64</v>
      </c>
      <c r="BD221">
        <v>1</v>
      </c>
      <c r="BE221">
        <v>16</v>
      </c>
      <c r="BF221">
        <v>454.06</v>
      </c>
      <c r="BG221" s="23">
        <v>9.3882999999999992</v>
      </c>
      <c r="BH221" s="16">
        <v>45502</v>
      </c>
      <c r="BI221" s="18">
        <v>5.9965277777777777E-2</v>
      </c>
      <c r="BJ221">
        <v>0</v>
      </c>
      <c r="BK221">
        <v>0</v>
      </c>
      <c r="BL221">
        <v>0</v>
      </c>
      <c r="BM221">
        <v>0</v>
      </c>
      <c r="BN221">
        <v>0</v>
      </c>
      <c r="BO221">
        <v>0</v>
      </c>
      <c r="BP221">
        <v>0</v>
      </c>
      <c r="BQ221">
        <v>0</v>
      </c>
      <c r="BR221">
        <v>0</v>
      </c>
      <c r="BS221">
        <v>0</v>
      </c>
      <c r="BT221">
        <v>0</v>
      </c>
      <c r="BU221">
        <v>0</v>
      </c>
      <c r="BV221" s="113">
        <f t="shared" si="6"/>
        <v>9.3893999999999984</v>
      </c>
    </row>
    <row r="222" spans="1:74" x14ac:dyDescent="0.25">
      <c r="A222" t="s">
        <v>111</v>
      </c>
      <c r="B222">
        <v>3</v>
      </c>
      <c r="C222" t="s">
        <v>7</v>
      </c>
      <c r="D222" s="20">
        <v>18560</v>
      </c>
      <c r="E222" s="20">
        <v>128</v>
      </c>
      <c r="F222" s="20">
        <v>4</v>
      </c>
      <c r="G222" s="20">
        <v>4</v>
      </c>
      <c r="H222" s="79">
        <v>460.75</v>
      </c>
      <c r="I222" s="62">
        <v>9.2518999999999991</v>
      </c>
      <c r="J222" s="16">
        <v>45548</v>
      </c>
      <c r="K222" s="25">
        <v>0.35820601851851852</v>
      </c>
      <c r="L222">
        <v>0</v>
      </c>
      <c r="M222">
        <v>0</v>
      </c>
      <c r="N222">
        <v>0</v>
      </c>
      <c r="O222">
        <v>0</v>
      </c>
      <c r="P222">
        <v>0</v>
      </c>
      <c r="Q222">
        <v>0</v>
      </c>
      <c r="R222">
        <v>0</v>
      </c>
      <c r="S222">
        <v>0</v>
      </c>
      <c r="T222">
        <v>0</v>
      </c>
      <c r="U222">
        <v>0</v>
      </c>
      <c r="V222">
        <v>0</v>
      </c>
      <c r="W222">
        <v>0</v>
      </c>
      <c r="X222" s="80">
        <f>X221</f>
        <v>9.2676600000000011</v>
      </c>
      <c r="Z222" t="s">
        <v>149</v>
      </c>
      <c r="AA222">
        <v>3</v>
      </c>
      <c r="AB222" t="s">
        <v>7</v>
      </c>
      <c r="AC222" s="20">
        <v>17536</v>
      </c>
      <c r="AD222" s="20">
        <v>128</v>
      </c>
      <c r="AE222" s="20">
        <v>1</v>
      </c>
      <c r="AF222" s="20">
        <v>16</v>
      </c>
      <c r="AG222" s="79">
        <v>345.58</v>
      </c>
      <c r="AH222" s="62">
        <v>10.404</v>
      </c>
      <c r="AI222" s="16">
        <v>45555</v>
      </c>
      <c r="AJ222" s="25">
        <v>7.6273148148148145E-2</v>
      </c>
      <c r="AK222">
        <v>0</v>
      </c>
      <c r="AL222">
        <v>0</v>
      </c>
      <c r="AM222">
        <v>0</v>
      </c>
      <c r="AN222">
        <v>0</v>
      </c>
      <c r="AO222">
        <v>0</v>
      </c>
      <c r="AP222">
        <v>0</v>
      </c>
      <c r="AQ222">
        <v>0</v>
      </c>
      <c r="AR222">
        <v>0</v>
      </c>
      <c r="AS222">
        <v>0</v>
      </c>
      <c r="AT222">
        <v>0</v>
      </c>
      <c r="AU222">
        <v>0</v>
      </c>
      <c r="AV222">
        <v>0</v>
      </c>
      <c r="AW222" s="80">
        <f>AW221</f>
        <v>10.363250000000001</v>
      </c>
      <c r="AZ222">
        <v>1</v>
      </c>
      <c r="BA222" t="s">
        <v>7</v>
      </c>
      <c r="BB222">
        <v>18560</v>
      </c>
      <c r="BC222">
        <v>64</v>
      </c>
      <c r="BD222">
        <v>1</v>
      </c>
      <c r="BE222">
        <v>16</v>
      </c>
      <c r="BF222">
        <v>453.95</v>
      </c>
      <c r="BG222" s="23">
        <v>9.3904999999999994</v>
      </c>
      <c r="BH222" s="16">
        <v>45502</v>
      </c>
      <c r="BI222" s="18">
        <v>0.4473611111111111</v>
      </c>
      <c r="BJ222">
        <v>0</v>
      </c>
      <c r="BK222">
        <v>0</v>
      </c>
      <c r="BL222">
        <v>0</v>
      </c>
      <c r="BM222">
        <v>0</v>
      </c>
      <c r="BN222">
        <v>0</v>
      </c>
      <c r="BO222">
        <v>0</v>
      </c>
      <c r="BP222">
        <v>0</v>
      </c>
      <c r="BQ222">
        <v>0</v>
      </c>
      <c r="BR222">
        <v>0</v>
      </c>
      <c r="BS222">
        <v>0</v>
      </c>
      <c r="BT222">
        <v>0</v>
      </c>
      <c r="BU222">
        <v>0</v>
      </c>
      <c r="BV222" s="113"/>
    </row>
    <row r="223" spans="1:74" x14ac:dyDescent="0.25">
      <c r="A223" t="s">
        <v>111</v>
      </c>
      <c r="B223">
        <v>4</v>
      </c>
      <c r="C223" t="s">
        <v>7</v>
      </c>
      <c r="D223" s="20">
        <v>18560</v>
      </c>
      <c r="E223" s="20">
        <v>128</v>
      </c>
      <c r="F223" s="20">
        <v>4</v>
      </c>
      <c r="G223" s="20">
        <v>4</v>
      </c>
      <c r="H223" s="79">
        <v>461.39</v>
      </c>
      <c r="I223" s="62">
        <v>9.2390000000000008</v>
      </c>
      <c r="J223" s="16">
        <v>45548</v>
      </c>
      <c r="K223" s="25">
        <v>0.98731481481481487</v>
      </c>
      <c r="L223">
        <v>0</v>
      </c>
      <c r="M223">
        <v>0</v>
      </c>
      <c r="N223">
        <v>0</v>
      </c>
      <c r="O223">
        <v>0</v>
      </c>
      <c r="P223">
        <v>0</v>
      </c>
      <c r="Q223">
        <v>0</v>
      </c>
      <c r="R223">
        <v>0</v>
      </c>
      <c r="S223">
        <v>0</v>
      </c>
      <c r="T223">
        <v>0</v>
      </c>
      <c r="U223">
        <v>0</v>
      </c>
      <c r="V223">
        <v>0</v>
      </c>
      <c r="W223">
        <v>0</v>
      </c>
      <c r="X223" s="80">
        <f>X222</f>
        <v>9.2676600000000011</v>
      </c>
      <c r="Z223" t="s">
        <v>149</v>
      </c>
      <c r="AA223">
        <v>4</v>
      </c>
      <c r="AB223" t="s">
        <v>7</v>
      </c>
      <c r="AC223" s="20">
        <v>17536</v>
      </c>
      <c r="AD223" s="20">
        <v>128</v>
      </c>
      <c r="AE223" s="20">
        <v>1</v>
      </c>
      <c r="AF223" s="20">
        <v>16</v>
      </c>
      <c r="AG223" s="79">
        <v>346.98</v>
      </c>
      <c r="AH223" s="62">
        <v>10.362</v>
      </c>
      <c r="AI223" s="16">
        <v>45555</v>
      </c>
      <c r="AJ223" s="25">
        <v>0.57644675925925926</v>
      </c>
      <c r="AK223">
        <v>0</v>
      </c>
      <c r="AL223">
        <v>0</v>
      </c>
      <c r="AM223">
        <v>0</v>
      </c>
      <c r="AN223">
        <v>0</v>
      </c>
      <c r="AO223">
        <v>0</v>
      </c>
      <c r="AP223">
        <v>0</v>
      </c>
      <c r="AQ223">
        <v>0</v>
      </c>
      <c r="AR223">
        <v>0</v>
      </c>
      <c r="AS223">
        <v>0</v>
      </c>
      <c r="AT223">
        <v>0</v>
      </c>
      <c r="AU223">
        <v>0</v>
      </c>
      <c r="AV223">
        <v>0</v>
      </c>
      <c r="AW223" s="80">
        <f>AW222</f>
        <v>10.363250000000001</v>
      </c>
      <c r="AZ223">
        <v>0</v>
      </c>
      <c r="BA223" t="s">
        <v>7</v>
      </c>
      <c r="BB223">
        <v>19584</v>
      </c>
      <c r="BC223">
        <v>64</v>
      </c>
      <c r="BD223">
        <v>1</v>
      </c>
      <c r="BE223">
        <v>16</v>
      </c>
      <c r="BF223">
        <v>517.17999999999995</v>
      </c>
      <c r="BG223" s="23">
        <v>9.6832999999999991</v>
      </c>
      <c r="BH223" s="16">
        <v>45502</v>
      </c>
      <c r="BI223" s="18">
        <v>0.19082175925925926</v>
      </c>
      <c r="BJ223">
        <v>0</v>
      </c>
      <c r="BK223">
        <v>0</v>
      </c>
      <c r="BL223">
        <v>0</v>
      </c>
      <c r="BM223">
        <v>0</v>
      </c>
      <c r="BN223">
        <v>0</v>
      </c>
      <c r="BO223">
        <v>0</v>
      </c>
      <c r="BP223">
        <v>0</v>
      </c>
      <c r="BQ223">
        <v>0</v>
      </c>
      <c r="BR223">
        <v>0</v>
      </c>
      <c r="BS223">
        <v>0</v>
      </c>
      <c r="BT223">
        <v>0</v>
      </c>
      <c r="BU223">
        <v>0</v>
      </c>
      <c r="BV223" s="113">
        <f t="shared" si="6"/>
        <v>9.6646000000000001</v>
      </c>
    </row>
    <row r="224" spans="1:74" x14ac:dyDescent="0.25">
      <c r="A224" t="s">
        <v>111</v>
      </c>
      <c r="B224">
        <v>0</v>
      </c>
      <c r="C224" t="s">
        <v>7</v>
      </c>
      <c r="D224" s="20">
        <v>19584</v>
      </c>
      <c r="E224" s="20">
        <v>32</v>
      </c>
      <c r="F224" s="20">
        <v>1</v>
      </c>
      <c r="G224" s="20">
        <v>16</v>
      </c>
      <c r="H224" s="79">
        <v>549.26</v>
      </c>
      <c r="I224" s="62">
        <v>9.1178000000000008</v>
      </c>
      <c r="J224" s="16">
        <v>45546</v>
      </c>
      <c r="K224" s="25">
        <v>0.54724537037037035</v>
      </c>
      <c r="L224">
        <v>0</v>
      </c>
      <c r="M224">
        <v>0</v>
      </c>
      <c r="N224">
        <v>0</v>
      </c>
      <c r="O224">
        <v>0</v>
      </c>
      <c r="P224">
        <v>0</v>
      </c>
      <c r="Q224">
        <v>0</v>
      </c>
      <c r="R224">
        <v>0</v>
      </c>
      <c r="S224">
        <v>0</v>
      </c>
      <c r="T224">
        <v>0</v>
      </c>
      <c r="U224">
        <v>0</v>
      </c>
      <c r="V224">
        <v>0</v>
      </c>
      <c r="W224">
        <v>0</v>
      </c>
      <c r="X224" s="82">
        <f>AVERAGE(I224:I228)</f>
        <v>9.2334800000000001</v>
      </c>
      <c r="Z224" t="s">
        <v>149</v>
      </c>
      <c r="AA224">
        <v>0</v>
      </c>
      <c r="AB224" t="s">
        <v>7</v>
      </c>
      <c r="AC224" s="20">
        <v>17440</v>
      </c>
      <c r="AD224" s="20">
        <v>160</v>
      </c>
      <c r="AE224" s="20">
        <v>1</v>
      </c>
      <c r="AF224" s="20">
        <v>16</v>
      </c>
      <c r="AG224" s="79">
        <v>343.88</v>
      </c>
      <c r="AH224" s="62">
        <v>10.285</v>
      </c>
      <c r="AI224" s="16">
        <v>45557</v>
      </c>
      <c r="AJ224" s="25">
        <v>0.91935185185185186</v>
      </c>
      <c r="AK224">
        <v>0</v>
      </c>
      <c r="AL224">
        <v>0</v>
      </c>
      <c r="AM224">
        <v>0</v>
      </c>
      <c r="AN224">
        <v>0</v>
      </c>
      <c r="AO224">
        <v>0</v>
      </c>
      <c r="AP224">
        <v>0</v>
      </c>
      <c r="AQ224">
        <v>0</v>
      </c>
      <c r="AR224">
        <v>0</v>
      </c>
      <c r="AS224">
        <v>0</v>
      </c>
      <c r="AT224">
        <v>0</v>
      </c>
      <c r="AU224">
        <v>0</v>
      </c>
      <c r="AV224">
        <v>0</v>
      </c>
      <c r="AW224" s="82">
        <f>AVERAGE(AH224:AH227)</f>
        <v>10.309000000000001</v>
      </c>
      <c r="AZ224">
        <v>1</v>
      </c>
      <c r="BA224" t="s">
        <v>7</v>
      </c>
      <c r="BB224">
        <v>19584</v>
      </c>
      <c r="BC224">
        <v>64</v>
      </c>
      <c r="BD224">
        <v>1</v>
      </c>
      <c r="BE224">
        <v>16</v>
      </c>
      <c r="BF224">
        <v>519.17999999999995</v>
      </c>
      <c r="BG224" s="23">
        <v>9.6458999999999993</v>
      </c>
      <c r="BH224" s="16">
        <v>45502</v>
      </c>
      <c r="BI224" s="18">
        <v>0.57913194444444449</v>
      </c>
      <c r="BJ224">
        <v>0</v>
      </c>
      <c r="BK224">
        <v>0</v>
      </c>
      <c r="BL224">
        <v>0</v>
      </c>
      <c r="BM224">
        <v>0</v>
      </c>
      <c r="BN224">
        <v>0</v>
      </c>
      <c r="BO224">
        <v>0</v>
      </c>
      <c r="BP224">
        <v>0</v>
      </c>
      <c r="BQ224">
        <v>0</v>
      </c>
      <c r="BR224">
        <v>0</v>
      </c>
      <c r="BS224">
        <v>0</v>
      </c>
      <c r="BT224">
        <v>0</v>
      </c>
      <c r="BU224">
        <v>0</v>
      </c>
      <c r="BV224" s="113"/>
    </row>
    <row r="225" spans="1:74" x14ac:dyDescent="0.25">
      <c r="A225" t="s">
        <v>111</v>
      </c>
      <c r="B225">
        <v>1</v>
      </c>
      <c r="C225" t="s">
        <v>7</v>
      </c>
      <c r="D225" s="20">
        <v>19584</v>
      </c>
      <c r="E225" s="20">
        <v>32</v>
      </c>
      <c r="F225" s="20">
        <v>1</v>
      </c>
      <c r="G225" s="20">
        <v>16</v>
      </c>
      <c r="H225" s="79">
        <v>541.19000000000005</v>
      </c>
      <c r="I225" s="62">
        <v>9.2536000000000005</v>
      </c>
      <c r="J225" s="16">
        <v>45547</v>
      </c>
      <c r="K225" s="25">
        <v>0.17087962962962963</v>
      </c>
      <c r="L225">
        <v>0</v>
      </c>
      <c r="M225">
        <v>0</v>
      </c>
      <c r="N225">
        <v>0</v>
      </c>
      <c r="O225">
        <v>0</v>
      </c>
      <c r="P225">
        <v>0</v>
      </c>
      <c r="Q225">
        <v>0</v>
      </c>
      <c r="R225">
        <v>0</v>
      </c>
      <c r="S225">
        <v>0</v>
      </c>
      <c r="T225">
        <v>0</v>
      </c>
      <c r="U225">
        <v>0</v>
      </c>
      <c r="V225">
        <v>0</v>
      </c>
      <c r="W225">
        <v>0</v>
      </c>
      <c r="X225" s="80">
        <f>X224</f>
        <v>9.2334800000000001</v>
      </c>
      <c r="Z225" t="s">
        <v>149</v>
      </c>
      <c r="AA225">
        <v>1</v>
      </c>
      <c r="AB225" t="s">
        <v>7</v>
      </c>
      <c r="AC225" s="20">
        <v>17440</v>
      </c>
      <c r="AD225" s="20">
        <v>160</v>
      </c>
      <c r="AE225" s="20">
        <v>1</v>
      </c>
      <c r="AF225" s="20">
        <v>16</v>
      </c>
      <c r="AG225" s="79">
        <v>343.5</v>
      </c>
      <c r="AH225" s="62">
        <v>10.295999999999999</v>
      </c>
      <c r="AI225" s="16">
        <v>45558</v>
      </c>
      <c r="AJ225" s="25">
        <v>0.41875000000000001</v>
      </c>
      <c r="AK225">
        <v>0</v>
      </c>
      <c r="AL225">
        <v>0</v>
      </c>
      <c r="AM225">
        <v>0</v>
      </c>
      <c r="AN225">
        <v>0</v>
      </c>
      <c r="AO225">
        <v>0</v>
      </c>
      <c r="AP225">
        <v>0</v>
      </c>
      <c r="AQ225">
        <v>0</v>
      </c>
      <c r="AR225">
        <v>0</v>
      </c>
      <c r="AS225">
        <v>0</v>
      </c>
      <c r="AT225">
        <v>0</v>
      </c>
      <c r="AU225">
        <v>0</v>
      </c>
      <c r="AV225">
        <v>0</v>
      </c>
      <c r="AW225" s="80">
        <f>AW224</f>
        <v>10.309000000000001</v>
      </c>
      <c r="AZ225">
        <v>0</v>
      </c>
      <c r="BA225" t="s">
        <v>7</v>
      </c>
      <c r="BB225">
        <v>17536</v>
      </c>
      <c r="BC225">
        <v>64</v>
      </c>
      <c r="BD225">
        <v>2</v>
      </c>
      <c r="BE225">
        <v>8</v>
      </c>
      <c r="BF225">
        <v>341.1</v>
      </c>
      <c r="BG225" s="23">
        <v>10.541</v>
      </c>
      <c r="BH225" s="16">
        <v>45501</v>
      </c>
      <c r="BI225" s="18">
        <v>0.95138888888888884</v>
      </c>
      <c r="BJ225">
        <v>0</v>
      </c>
      <c r="BK225">
        <v>0</v>
      </c>
      <c r="BL225">
        <v>0</v>
      </c>
      <c r="BM225">
        <v>0</v>
      </c>
      <c r="BN225">
        <v>0</v>
      </c>
      <c r="BO225">
        <v>0</v>
      </c>
      <c r="BP225">
        <v>0</v>
      </c>
      <c r="BQ225">
        <v>0</v>
      </c>
      <c r="BR225">
        <v>0</v>
      </c>
      <c r="BS225">
        <v>0</v>
      </c>
      <c r="BT225">
        <v>0</v>
      </c>
      <c r="BU225">
        <v>0</v>
      </c>
      <c r="BV225" s="113">
        <f t="shared" si="6"/>
        <v>10.542</v>
      </c>
    </row>
    <row r="226" spans="1:74" x14ac:dyDescent="0.25">
      <c r="A226" t="s">
        <v>111</v>
      </c>
      <c r="B226">
        <v>2</v>
      </c>
      <c r="C226" t="s">
        <v>7</v>
      </c>
      <c r="D226" s="20">
        <v>19584</v>
      </c>
      <c r="E226" s="20">
        <v>32</v>
      </c>
      <c r="F226" s="20">
        <v>1</v>
      </c>
      <c r="G226" s="20">
        <v>16</v>
      </c>
      <c r="H226" s="79">
        <v>566.83000000000004</v>
      </c>
      <c r="I226" s="62">
        <v>8.8351000000000006</v>
      </c>
      <c r="J226" s="16">
        <v>45547</v>
      </c>
      <c r="K226" s="25">
        <v>0.78096064814814814</v>
      </c>
      <c r="L226">
        <v>0</v>
      </c>
      <c r="M226">
        <v>0</v>
      </c>
      <c r="N226">
        <v>0</v>
      </c>
      <c r="O226">
        <v>0</v>
      </c>
      <c r="P226">
        <v>0</v>
      </c>
      <c r="Q226">
        <v>0</v>
      </c>
      <c r="R226">
        <v>0</v>
      </c>
      <c r="S226">
        <v>0</v>
      </c>
      <c r="T226">
        <v>0</v>
      </c>
      <c r="U226">
        <v>0</v>
      </c>
      <c r="V226">
        <v>0</v>
      </c>
      <c r="W226">
        <v>0</v>
      </c>
      <c r="X226" s="80">
        <f>X225</f>
        <v>9.2334800000000001</v>
      </c>
      <c r="Z226" t="s">
        <v>149</v>
      </c>
      <c r="AA226">
        <v>2</v>
      </c>
      <c r="AB226" t="s">
        <v>7</v>
      </c>
      <c r="AC226" s="20">
        <v>17440</v>
      </c>
      <c r="AD226" s="20">
        <v>160</v>
      </c>
      <c r="AE226" s="20">
        <v>1</v>
      </c>
      <c r="AF226" s="20">
        <v>16</v>
      </c>
      <c r="AG226" s="79">
        <v>342.32</v>
      </c>
      <c r="AH226" s="62">
        <v>10.332000000000001</v>
      </c>
      <c r="AI226" s="16">
        <v>45558</v>
      </c>
      <c r="AJ226" s="25">
        <v>0.91724537037037035</v>
      </c>
      <c r="AK226">
        <v>0</v>
      </c>
      <c r="AL226">
        <v>0</v>
      </c>
      <c r="AM226">
        <v>0</v>
      </c>
      <c r="AN226">
        <v>0</v>
      </c>
      <c r="AO226">
        <v>0</v>
      </c>
      <c r="AP226">
        <v>0</v>
      </c>
      <c r="AQ226">
        <v>0</v>
      </c>
      <c r="AR226">
        <v>0</v>
      </c>
      <c r="AS226">
        <v>0</v>
      </c>
      <c r="AT226">
        <v>0</v>
      </c>
      <c r="AU226">
        <v>0</v>
      </c>
      <c r="AV226">
        <v>0</v>
      </c>
      <c r="AW226" s="80">
        <f>AW225</f>
        <v>10.309000000000001</v>
      </c>
      <c r="AZ226">
        <v>1</v>
      </c>
      <c r="BA226" t="s">
        <v>7</v>
      </c>
      <c r="BB226">
        <v>17536</v>
      </c>
      <c r="BC226">
        <v>64</v>
      </c>
      <c r="BD226">
        <v>2</v>
      </c>
      <c r="BE226">
        <v>8</v>
      </c>
      <c r="BF226">
        <v>341.02</v>
      </c>
      <c r="BG226" s="23">
        <v>10.542999999999999</v>
      </c>
      <c r="BH226" s="16">
        <v>45502</v>
      </c>
      <c r="BI226" s="18">
        <v>0.33887731481481481</v>
      </c>
      <c r="BJ226">
        <v>0</v>
      </c>
      <c r="BK226">
        <v>0</v>
      </c>
      <c r="BL226">
        <v>0</v>
      </c>
      <c r="BM226">
        <v>0</v>
      </c>
      <c r="BN226">
        <v>0</v>
      </c>
      <c r="BO226">
        <v>0</v>
      </c>
      <c r="BP226">
        <v>0</v>
      </c>
      <c r="BQ226">
        <v>0</v>
      </c>
      <c r="BR226">
        <v>0</v>
      </c>
      <c r="BS226">
        <v>0</v>
      </c>
      <c r="BT226">
        <v>0</v>
      </c>
      <c r="BU226">
        <v>0</v>
      </c>
      <c r="BV226" s="113"/>
    </row>
    <row r="227" spans="1:74" x14ac:dyDescent="0.25">
      <c r="A227" t="s">
        <v>111</v>
      </c>
      <c r="B227">
        <v>3</v>
      </c>
      <c r="C227" t="s">
        <v>7</v>
      </c>
      <c r="D227" s="20">
        <v>19584</v>
      </c>
      <c r="E227" s="20">
        <v>32</v>
      </c>
      <c r="F227" s="20">
        <v>1</v>
      </c>
      <c r="G227" s="20">
        <v>16</v>
      </c>
      <c r="H227" s="79">
        <v>540.04</v>
      </c>
      <c r="I227" s="62">
        <v>9.2733000000000008</v>
      </c>
      <c r="J227" s="16">
        <v>45548</v>
      </c>
      <c r="K227" s="25">
        <v>0.44527777777777777</v>
      </c>
      <c r="L227">
        <v>0</v>
      </c>
      <c r="M227">
        <v>0</v>
      </c>
      <c r="N227">
        <v>0</v>
      </c>
      <c r="O227">
        <v>0</v>
      </c>
      <c r="P227">
        <v>0</v>
      </c>
      <c r="Q227">
        <v>0</v>
      </c>
      <c r="R227">
        <v>0</v>
      </c>
      <c r="S227">
        <v>0</v>
      </c>
      <c r="T227">
        <v>0</v>
      </c>
      <c r="U227">
        <v>0</v>
      </c>
      <c r="V227">
        <v>0</v>
      </c>
      <c r="W227">
        <v>0</v>
      </c>
      <c r="X227" s="80">
        <f>X226</f>
        <v>9.2334800000000001</v>
      </c>
      <c r="Z227" t="s">
        <v>149</v>
      </c>
      <c r="AA227">
        <v>3</v>
      </c>
      <c r="AB227" t="s">
        <v>7</v>
      </c>
      <c r="AC227" s="20">
        <v>17440</v>
      </c>
      <c r="AD227" s="20">
        <v>160</v>
      </c>
      <c r="AE227" s="20">
        <v>1</v>
      </c>
      <c r="AF227" s="20">
        <v>16</v>
      </c>
      <c r="AG227" s="79">
        <v>342.6</v>
      </c>
      <c r="AH227" s="62">
        <v>10.323</v>
      </c>
      <c r="AI227" s="16">
        <v>45555</v>
      </c>
      <c r="AJ227" s="25">
        <v>8.819444444444445E-2</v>
      </c>
      <c r="AK227">
        <v>0</v>
      </c>
      <c r="AL227">
        <v>0</v>
      </c>
      <c r="AM227">
        <v>0</v>
      </c>
      <c r="AN227">
        <v>0</v>
      </c>
      <c r="AO227">
        <v>0</v>
      </c>
      <c r="AP227">
        <v>0</v>
      </c>
      <c r="AQ227">
        <v>0</v>
      </c>
      <c r="AR227">
        <v>0</v>
      </c>
      <c r="AS227">
        <v>0</v>
      </c>
      <c r="AT227">
        <v>0</v>
      </c>
      <c r="AU227">
        <v>0</v>
      </c>
      <c r="AV227">
        <v>0</v>
      </c>
      <c r="AW227" s="80">
        <f>AW226</f>
        <v>10.309000000000001</v>
      </c>
      <c r="AZ227">
        <v>0</v>
      </c>
      <c r="BA227" t="s">
        <v>7</v>
      </c>
      <c r="BB227">
        <v>18560</v>
      </c>
      <c r="BC227">
        <v>64</v>
      </c>
      <c r="BD227">
        <v>2</v>
      </c>
      <c r="BE227">
        <v>8</v>
      </c>
      <c r="BF227">
        <v>392.33</v>
      </c>
      <c r="BG227" s="23">
        <v>10.865</v>
      </c>
      <c r="BH227" s="16">
        <v>45502</v>
      </c>
      <c r="BI227" s="18">
        <v>6.4664351851851848E-2</v>
      </c>
      <c r="BJ227">
        <v>0</v>
      </c>
      <c r="BK227">
        <v>0</v>
      </c>
      <c r="BL227">
        <v>0</v>
      </c>
      <c r="BM227">
        <v>0</v>
      </c>
      <c r="BN227">
        <v>0</v>
      </c>
      <c r="BO227">
        <v>0</v>
      </c>
      <c r="BP227">
        <v>0</v>
      </c>
      <c r="BQ227">
        <v>0</v>
      </c>
      <c r="BR227">
        <v>0</v>
      </c>
      <c r="BS227">
        <v>0</v>
      </c>
      <c r="BT227">
        <v>0</v>
      </c>
      <c r="BU227">
        <v>0</v>
      </c>
      <c r="BV227" s="113">
        <f t="shared" si="6"/>
        <v>10.864000000000001</v>
      </c>
    </row>
    <row r="228" spans="1:74" x14ac:dyDescent="0.25">
      <c r="A228" t="s">
        <v>111</v>
      </c>
      <c r="B228">
        <v>4</v>
      </c>
      <c r="C228" t="s">
        <v>7</v>
      </c>
      <c r="D228" s="20">
        <v>19584</v>
      </c>
      <c r="E228" s="20">
        <v>32</v>
      </c>
      <c r="F228" s="20">
        <v>1</v>
      </c>
      <c r="G228" s="20">
        <v>16</v>
      </c>
      <c r="H228" s="79">
        <v>516.95000000000005</v>
      </c>
      <c r="I228" s="62">
        <v>9.6875999999999998</v>
      </c>
      <c r="J228" s="16">
        <v>45549</v>
      </c>
      <c r="K228" s="25">
        <v>8.0752314814814818E-2</v>
      </c>
      <c r="L228">
        <v>0</v>
      </c>
      <c r="M228">
        <v>0</v>
      </c>
      <c r="N228">
        <v>0</v>
      </c>
      <c r="O228">
        <v>0</v>
      </c>
      <c r="P228">
        <v>0</v>
      </c>
      <c r="Q228">
        <v>0</v>
      </c>
      <c r="R228">
        <v>0</v>
      </c>
      <c r="S228">
        <v>0</v>
      </c>
      <c r="T228">
        <v>0</v>
      </c>
      <c r="U228">
        <v>0</v>
      </c>
      <c r="V228">
        <v>0</v>
      </c>
      <c r="W228">
        <v>0</v>
      </c>
      <c r="X228" s="80">
        <f>X227</f>
        <v>9.2334800000000001</v>
      </c>
      <c r="Z228" t="s">
        <v>149</v>
      </c>
      <c r="AA228">
        <v>4</v>
      </c>
      <c r="AB228" t="s">
        <v>7</v>
      </c>
      <c r="AC228" s="20">
        <v>17440</v>
      </c>
      <c r="AD228" s="20">
        <v>160</v>
      </c>
      <c r="AE228" s="20">
        <v>1</v>
      </c>
      <c r="AF228" s="20">
        <v>16</v>
      </c>
      <c r="AG228" s="79">
        <v>343</v>
      </c>
      <c r="AH228" s="62">
        <v>10.311</v>
      </c>
      <c r="AI228" s="16">
        <v>45555</v>
      </c>
      <c r="AJ228" s="25">
        <v>0.58837962962962964</v>
      </c>
      <c r="AK228">
        <v>0</v>
      </c>
      <c r="AL228">
        <v>0</v>
      </c>
      <c r="AM228">
        <v>0</v>
      </c>
      <c r="AN228">
        <v>0</v>
      </c>
      <c r="AO228">
        <v>0</v>
      </c>
      <c r="AP228">
        <v>0</v>
      </c>
      <c r="AQ228">
        <v>0</v>
      </c>
      <c r="AR228">
        <v>0</v>
      </c>
      <c r="AS228">
        <v>0</v>
      </c>
      <c r="AT228">
        <v>0</v>
      </c>
      <c r="AU228">
        <v>0</v>
      </c>
      <c r="AV228">
        <v>0</v>
      </c>
      <c r="AW228" s="80">
        <f>AW227</f>
        <v>10.309000000000001</v>
      </c>
      <c r="AZ228">
        <v>1</v>
      </c>
      <c r="BA228" t="s">
        <v>7</v>
      </c>
      <c r="BB228">
        <v>18560</v>
      </c>
      <c r="BC228">
        <v>64</v>
      </c>
      <c r="BD228">
        <v>2</v>
      </c>
      <c r="BE228">
        <v>8</v>
      </c>
      <c r="BF228">
        <v>392.41</v>
      </c>
      <c r="BG228" s="23">
        <v>10.863</v>
      </c>
      <c r="BH228" s="16">
        <v>45502</v>
      </c>
      <c r="BI228" s="18">
        <v>0.4520601851851852</v>
      </c>
      <c r="BJ228">
        <v>0</v>
      </c>
      <c r="BK228">
        <v>0</v>
      </c>
      <c r="BL228">
        <v>0</v>
      </c>
      <c r="BM228">
        <v>0</v>
      </c>
      <c r="BN228">
        <v>0</v>
      </c>
      <c r="BO228">
        <v>0</v>
      </c>
      <c r="BP228">
        <v>0</v>
      </c>
      <c r="BQ228">
        <v>0</v>
      </c>
      <c r="BR228">
        <v>0</v>
      </c>
      <c r="BS228">
        <v>0</v>
      </c>
      <c r="BT228">
        <v>0</v>
      </c>
      <c r="BU228">
        <v>0</v>
      </c>
      <c r="BV228" s="113"/>
    </row>
    <row r="229" spans="1:74" x14ac:dyDescent="0.25">
      <c r="A229" t="s">
        <v>111</v>
      </c>
      <c r="B229">
        <v>0</v>
      </c>
      <c r="C229" t="s">
        <v>7</v>
      </c>
      <c r="D229" s="20">
        <v>19488</v>
      </c>
      <c r="E229" s="20">
        <v>224</v>
      </c>
      <c r="F229" s="20">
        <v>4</v>
      </c>
      <c r="G229" s="20">
        <v>4</v>
      </c>
      <c r="H229" s="79">
        <v>531.62</v>
      </c>
      <c r="I229" s="62">
        <v>9.2824000000000009</v>
      </c>
      <c r="J229" s="16">
        <v>45546</v>
      </c>
      <c r="K229" s="25">
        <v>0.81396990740740738</v>
      </c>
      <c r="L229">
        <v>0</v>
      </c>
      <c r="M229">
        <v>0</v>
      </c>
      <c r="N229">
        <v>0</v>
      </c>
      <c r="O229">
        <v>0</v>
      </c>
      <c r="P229">
        <v>0</v>
      </c>
      <c r="Q229">
        <v>0</v>
      </c>
      <c r="R229">
        <v>0</v>
      </c>
      <c r="S229">
        <v>0</v>
      </c>
      <c r="T229">
        <v>0</v>
      </c>
      <c r="U229">
        <v>0</v>
      </c>
      <c r="V229">
        <v>0</v>
      </c>
      <c r="W229">
        <v>0</v>
      </c>
      <c r="X229" s="82">
        <f>AVERAGE(I229:I233)</f>
        <v>9.2313200000000002</v>
      </c>
      <c r="Z229" t="s">
        <v>149</v>
      </c>
      <c r="AA229">
        <v>0</v>
      </c>
      <c r="AB229" t="s">
        <v>7</v>
      </c>
      <c r="AC229" s="20">
        <v>17472</v>
      </c>
      <c r="AD229" s="20">
        <v>192</v>
      </c>
      <c r="AE229" s="20">
        <v>1</v>
      </c>
      <c r="AF229" s="20">
        <v>16</v>
      </c>
      <c r="AG229" s="79">
        <v>345.63</v>
      </c>
      <c r="AH229" s="62">
        <v>10.289</v>
      </c>
      <c r="AI229" s="16">
        <v>45557</v>
      </c>
      <c r="AJ229" s="25">
        <v>0.93120370370370376</v>
      </c>
      <c r="AK229">
        <v>0</v>
      </c>
      <c r="AL229">
        <v>0</v>
      </c>
      <c r="AM229">
        <v>0</v>
      </c>
      <c r="AN229">
        <v>0</v>
      </c>
      <c r="AO229">
        <v>0</v>
      </c>
      <c r="AP229">
        <v>0</v>
      </c>
      <c r="AQ229">
        <v>0</v>
      </c>
      <c r="AR229">
        <v>0</v>
      </c>
      <c r="AS229">
        <v>0</v>
      </c>
      <c r="AT229">
        <v>0</v>
      </c>
      <c r="AU229">
        <v>0</v>
      </c>
      <c r="AV229">
        <v>0</v>
      </c>
      <c r="AW229" s="82">
        <f>AVERAGE(AH229:AH232)</f>
        <v>10.30025</v>
      </c>
      <c r="AZ229">
        <v>0</v>
      </c>
      <c r="BA229" t="s">
        <v>7</v>
      </c>
      <c r="BB229">
        <v>19584</v>
      </c>
      <c r="BC229">
        <v>64</v>
      </c>
      <c r="BD229">
        <v>2</v>
      </c>
      <c r="BE229">
        <v>8</v>
      </c>
      <c r="BF229">
        <v>449.16</v>
      </c>
      <c r="BG229" s="23">
        <v>11.15</v>
      </c>
      <c r="BH229" s="16">
        <v>45502</v>
      </c>
      <c r="BI229" s="18">
        <v>0.19620370370370371</v>
      </c>
      <c r="BJ229">
        <v>0</v>
      </c>
      <c r="BK229">
        <v>0</v>
      </c>
      <c r="BL229">
        <v>0</v>
      </c>
      <c r="BM229">
        <v>0</v>
      </c>
      <c r="BN229">
        <v>0</v>
      </c>
      <c r="BO229">
        <v>0</v>
      </c>
      <c r="BP229">
        <v>0</v>
      </c>
      <c r="BQ229">
        <v>0</v>
      </c>
      <c r="BR229">
        <v>0</v>
      </c>
      <c r="BS229">
        <v>0</v>
      </c>
      <c r="BT229">
        <v>0</v>
      </c>
      <c r="BU229">
        <v>0</v>
      </c>
      <c r="BV229" s="113">
        <f t="shared" si="6"/>
        <v>11.146000000000001</v>
      </c>
    </row>
    <row r="230" spans="1:74" x14ac:dyDescent="0.25">
      <c r="A230" t="s">
        <v>111</v>
      </c>
      <c r="B230">
        <v>1</v>
      </c>
      <c r="C230" t="s">
        <v>7</v>
      </c>
      <c r="D230" s="20">
        <v>19488</v>
      </c>
      <c r="E230" s="20">
        <v>224</v>
      </c>
      <c r="F230" s="20">
        <v>4</v>
      </c>
      <c r="G230" s="20">
        <v>4</v>
      </c>
      <c r="H230" s="79">
        <v>531.42999999999995</v>
      </c>
      <c r="I230" s="62">
        <v>9.2856000000000005</v>
      </c>
      <c r="J230" s="16">
        <v>45547</v>
      </c>
      <c r="K230" s="25">
        <v>0.42885416666666665</v>
      </c>
      <c r="L230">
        <v>0</v>
      </c>
      <c r="M230">
        <v>0</v>
      </c>
      <c r="N230">
        <v>0</v>
      </c>
      <c r="O230">
        <v>0</v>
      </c>
      <c r="P230">
        <v>0</v>
      </c>
      <c r="Q230">
        <v>0</v>
      </c>
      <c r="R230">
        <v>0</v>
      </c>
      <c r="S230">
        <v>0</v>
      </c>
      <c r="T230">
        <v>0</v>
      </c>
      <c r="U230">
        <v>0</v>
      </c>
      <c r="V230">
        <v>0</v>
      </c>
      <c r="W230">
        <v>0</v>
      </c>
      <c r="X230" s="80">
        <f>X229</f>
        <v>9.2313200000000002</v>
      </c>
      <c r="Z230" t="s">
        <v>149</v>
      </c>
      <c r="AA230">
        <v>1</v>
      </c>
      <c r="AB230" t="s">
        <v>7</v>
      </c>
      <c r="AC230" s="20">
        <v>17472</v>
      </c>
      <c r="AD230" s="20">
        <v>192</v>
      </c>
      <c r="AE230" s="20">
        <v>1</v>
      </c>
      <c r="AF230" s="20">
        <v>16</v>
      </c>
      <c r="AG230" s="79">
        <v>345.05</v>
      </c>
      <c r="AH230" s="62">
        <v>10.305999999999999</v>
      </c>
      <c r="AI230" s="16">
        <v>45558</v>
      </c>
      <c r="AJ230" s="25">
        <v>0.43056712962962962</v>
      </c>
      <c r="AK230">
        <v>0</v>
      </c>
      <c r="AL230">
        <v>0</v>
      </c>
      <c r="AM230">
        <v>0</v>
      </c>
      <c r="AN230">
        <v>0</v>
      </c>
      <c r="AO230">
        <v>0</v>
      </c>
      <c r="AP230">
        <v>0</v>
      </c>
      <c r="AQ230">
        <v>0</v>
      </c>
      <c r="AR230">
        <v>0</v>
      </c>
      <c r="AS230">
        <v>0</v>
      </c>
      <c r="AT230">
        <v>0</v>
      </c>
      <c r="AU230">
        <v>0</v>
      </c>
      <c r="AV230">
        <v>0</v>
      </c>
      <c r="AW230" s="80">
        <f>AW229</f>
        <v>10.30025</v>
      </c>
      <c r="AZ230">
        <v>1</v>
      </c>
      <c r="BA230" t="s">
        <v>7</v>
      </c>
      <c r="BB230">
        <v>19584</v>
      </c>
      <c r="BC230">
        <v>64</v>
      </c>
      <c r="BD230">
        <v>2</v>
      </c>
      <c r="BE230">
        <v>8</v>
      </c>
      <c r="BF230">
        <v>449.47</v>
      </c>
      <c r="BG230" s="23">
        <v>11.141999999999999</v>
      </c>
      <c r="BH230" s="16">
        <v>45502</v>
      </c>
      <c r="BI230" s="18">
        <v>0.58451388888888889</v>
      </c>
      <c r="BJ230">
        <v>0</v>
      </c>
      <c r="BK230">
        <v>0</v>
      </c>
      <c r="BL230">
        <v>0</v>
      </c>
      <c r="BM230">
        <v>0</v>
      </c>
      <c r="BN230">
        <v>0</v>
      </c>
      <c r="BO230">
        <v>0</v>
      </c>
      <c r="BP230">
        <v>0</v>
      </c>
      <c r="BQ230">
        <v>0</v>
      </c>
      <c r="BR230">
        <v>0</v>
      </c>
      <c r="BS230">
        <v>0</v>
      </c>
      <c r="BT230">
        <v>0</v>
      </c>
      <c r="BU230">
        <v>0</v>
      </c>
      <c r="BV230" s="113"/>
    </row>
    <row r="231" spans="1:74" x14ac:dyDescent="0.25">
      <c r="A231" t="s">
        <v>111</v>
      </c>
      <c r="B231">
        <v>2</v>
      </c>
      <c r="C231" t="s">
        <v>7</v>
      </c>
      <c r="D231" s="20">
        <v>19488</v>
      </c>
      <c r="E231" s="20">
        <v>224</v>
      </c>
      <c r="F231" s="20">
        <v>4</v>
      </c>
      <c r="G231" s="20">
        <v>4</v>
      </c>
      <c r="H231" s="79">
        <v>534.28</v>
      </c>
      <c r="I231" s="62">
        <v>9.2362000000000002</v>
      </c>
      <c r="J231" s="16">
        <v>45548</v>
      </c>
      <c r="K231" s="25">
        <v>3.8414351851851852E-2</v>
      </c>
      <c r="L231">
        <v>0</v>
      </c>
      <c r="M231">
        <v>0</v>
      </c>
      <c r="N231">
        <v>0</v>
      </c>
      <c r="O231">
        <v>0</v>
      </c>
      <c r="P231">
        <v>0</v>
      </c>
      <c r="Q231">
        <v>0</v>
      </c>
      <c r="R231">
        <v>0</v>
      </c>
      <c r="S231">
        <v>0</v>
      </c>
      <c r="T231">
        <v>0</v>
      </c>
      <c r="U231">
        <v>0</v>
      </c>
      <c r="V231">
        <v>0</v>
      </c>
      <c r="W231">
        <v>0</v>
      </c>
      <c r="X231" s="80">
        <f>X230</f>
        <v>9.2313200000000002</v>
      </c>
      <c r="Z231" t="s">
        <v>149</v>
      </c>
      <c r="AA231">
        <v>2</v>
      </c>
      <c r="AB231" t="s">
        <v>7</v>
      </c>
      <c r="AC231" s="20">
        <v>17472</v>
      </c>
      <c r="AD231" s="20">
        <v>192</v>
      </c>
      <c r="AE231" s="20">
        <v>1</v>
      </c>
      <c r="AF231" s="20">
        <v>16</v>
      </c>
      <c r="AG231" s="79">
        <v>344.94</v>
      </c>
      <c r="AH231" s="62">
        <v>10.31</v>
      </c>
      <c r="AI231" s="16">
        <v>45558</v>
      </c>
      <c r="AJ231" s="25">
        <v>0.92902777777777779</v>
      </c>
      <c r="AK231">
        <v>0</v>
      </c>
      <c r="AL231">
        <v>0</v>
      </c>
      <c r="AM231">
        <v>0</v>
      </c>
      <c r="AN231">
        <v>0</v>
      </c>
      <c r="AO231">
        <v>0</v>
      </c>
      <c r="AP231">
        <v>0</v>
      </c>
      <c r="AQ231">
        <v>0</v>
      </c>
      <c r="AR231">
        <v>0</v>
      </c>
      <c r="AS231">
        <v>0</v>
      </c>
      <c r="AT231">
        <v>0</v>
      </c>
      <c r="AU231">
        <v>0</v>
      </c>
      <c r="AV231">
        <v>0</v>
      </c>
      <c r="AW231" s="80">
        <f>AW230</f>
        <v>10.30025</v>
      </c>
      <c r="AZ231">
        <v>0</v>
      </c>
      <c r="BA231" t="s">
        <v>7</v>
      </c>
      <c r="BB231">
        <v>17536</v>
      </c>
      <c r="BC231">
        <v>64</v>
      </c>
      <c r="BD231">
        <v>4</v>
      </c>
      <c r="BE231">
        <v>4</v>
      </c>
      <c r="BF231">
        <v>412.64</v>
      </c>
      <c r="BG231" s="23">
        <v>8.7133000000000003</v>
      </c>
      <c r="BH231" s="16">
        <v>45501</v>
      </c>
      <c r="BI231" s="18">
        <v>0.9563194444444445</v>
      </c>
      <c r="BJ231">
        <v>0</v>
      </c>
      <c r="BK231">
        <v>0</v>
      </c>
      <c r="BL231">
        <v>0</v>
      </c>
      <c r="BM231">
        <v>0</v>
      </c>
      <c r="BN231">
        <v>0</v>
      </c>
      <c r="BO231">
        <v>0</v>
      </c>
      <c r="BP231">
        <v>0</v>
      </c>
      <c r="BQ231">
        <v>0</v>
      </c>
      <c r="BR231">
        <v>0</v>
      </c>
      <c r="BS231">
        <v>0</v>
      </c>
      <c r="BT231">
        <v>0</v>
      </c>
      <c r="BU231">
        <v>0</v>
      </c>
      <c r="BV231" s="113">
        <f t="shared" si="6"/>
        <v>8.7373499999999993</v>
      </c>
    </row>
    <row r="232" spans="1:74" x14ac:dyDescent="0.25">
      <c r="A232" t="s">
        <v>111</v>
      </c>
      <c r="B232">
        <v>3</v>
      </c>
      <c r="C232" t="s">
        <v>7</v>
      </c>
      <c r="D232" s="20">
        <v>19488</v>
      </c>
      <c r="E232" s="20">
        <v>224</v>
      </c>
      <c r="F232" s="20">
        <v>4</v>
      </c>
      <c r="G232" s="20">
        <v>4</v>
      </c>
      <c r="H232" s="79">
        <v>536.52</v>
      </c>
      <c r="I232" s="62">
        <v>9.1976999999999993</v>
      </c>
      <c r="J232" s="16">
        <v>45548</v>
      </c>
      <c r="K232" s="25">
        <v>0.66883101851851856</v>
      </c>
      <c r="L232">
        <v>0</v>
      </c>
      <c r="M232">
        <v>0</v>
      </c>
      <c r="N232">
        <v>0</v>
      </c>
      <c r="O232">
        <v>0</v>
      </c>
      <c r="P232">
        <v>0</v>
      </c>
      <c r="Q232">
        <v>0</v>
      </c>
      <c r="R232">
        <v>0</v>
      </c>
      <c r="S232">
        <v>0</v>
      </c>
      <c r="T232">
        <v>0</v>
      </c>
      <c r="U232">
        <v>0</v>
      </c>
      <c r="V232">
        <v>0</v>
      </c>
      <c r="W232">
        <v>0</v>
      </c>
      <c r="X232" s="80">
        <f>X231</f>
        <v>9.2313200000000002</v>
      </c>
      <c r="Z232" t="s">
        <v>149</v>
      </c>
      <c r="AA232">
        <v>3</v>
      </c>
      <c r="AB232" t="s">
        <v>7</v>
      </c>
      <c r="AC232" s="20">
        <v>17472</v>
      </c>
      <c r="AD232" s="20">
        <v>192</v>
      </c>
      <c r="AE232" s="20">
        <v>1</v>
      </c>
      <c r="AF232" s="20">
        <v>16</v>
      </c>
      <c r="AG232" s="79">
        <v>345.41</v>
      </c>
      <c r="AH232" s="62">
        <v>10.295999999999999</v>
      </c>
      <c r="AI232" s="16">
        <v>45555</v>
      </c>
      <c r="AJ232" s="25">
        <v>0.10003472222222222</v>
      </c>
      <c r="AK232">
        <v>0</v>
      </c>
      <c r="AL232">
        <v>0</v>
      </c>
      <c r="AM232">
        <v>0</v>
      </c>
      <c r="AN232">
        <v>0</v>
      </c>
      <c r="AO232">
        <v>0</v>
      </c>
      <c r="AP232">
        <v>0</v>
      </c>
      <c r="AQ232">
        <v>0</v>
      </c>
      <c r="AR232">
        <v>0</v>
      </c>
      <c r="AS232">
        <v>0</v>
      </c>
      <c r="AT232">
        <v>0</v>
      </c>
      <c r="AU232">
        <v>0</v>
      </c>
      <c r="AV232">
        <v>0</v>
      </c>
      <c r="AW232" s="80">
        <f>AW231</f>
        <v>10.30025</v>
      </c>
      <c r="AZ232">
        <v>1</v>
      </c>
      <c r="BA232" t="s">
        <v>7</v>
      </c>
      <c r="BB232">
        <v>17536</v>
      </c>
      <c r="BC232">
        <v>64</v>
      </c>
      <c r="BD232">
        <v>4</v>
      </c>
      <c r="BE232">
        <v>4</v>
      </c>
      <c r="BF232">
        <v>410.38</v>
      </c>
      <c r="BG232" s="23">
        <v>8.7614000000000001</v>
      </c>
      <c r="BH232" s="16">
        <v>45502</v>
      </c>
      <c r="BI232" s="18">
        <v>0.34377314814814813</v>
      </c>
      <c r="BJ232">
        <v>0</v>
      </c>
      <c r="BK232">
        <v>0</v>
      </c>
      <c r="BL232">
        <v>0</v>
      </c>
      <c r="BM232">
        <v>0</v>
      </c>
      <c r="BN232">
        <v>0</v>
      </c>
      <c r="BO232">
        <v>0</v>
      </c>
      <c r="BP232">
        <v>0</v>
      </c>
      <c r="BQ232">
        <v>0</v>
      </c>
      <c r="BR232">
        <v>0</v>
      </c>
      <c r="BS232">
        <v>0</v>
      </c>
      <c r="BT232">
        <v>0</v>
      </c>
      <c r="BU232">
        <v>0</v>
      </c>
      <c r="BV232" s="113"/>
    </row>
    <row r="233" spans="1:74" x14ac:dyDescent="0.25">
      <c r="A233" t="s">
        <v>111</v>
      </c>
      <c r="B233">
        <v>4</v>
      </c>
      <c r="C233" t="s">
        <v>7</v>
      </c>
      <c r="D233" s="20">
        <v>19488</v>
      </c>
      <c r="E233" s="20">
        <v>224</v>
      </c>
      <c r="F233" s="20">
        <v>4</v>
      </c>
      <c r="G233" s="20">
        <v>4</v>
      </c>
      <c r="H233" s="79">
        <v>539.03</v>
      </c>
      <c r="I233" s="62">
        <v>9.1547000000000001</v>
      </c>
      <c r="J233" s="16">
        <v>45549</v>
      </c>
      <c r="K233" s="25">
        <v>0.35269675925925925</v>
      </c>
      <c r="L233">
        <v>0</v>
      </c>
      <c r="M233">
        <v>0</v>
      </c>
      <c r="N233">
        <v>0</v>
      </c>
      <c r="O233">
        <v>0</v>
      </c>
      <c r="P233">
        <v>0</v>
      </c>
      <c r="Q233">
        <v>0</v>
      </c>
      <c r="R233">
        <v>0</v>
      </c>
      <c r="S233">
        <v>0</v>
      </c>
      <c r="T233">
        <v>0</v>
      </c>
      <c r="U233">
        <v>0</v>
      </c>
      <c r="V233">
        <v>0</v>
      </c>
      <c r="W233">
        <v>0</v>
      </c>
      <c r="X233" s="80">
        <f>X232</f>
        <v>9.2313200000000002</v>
      </c>
      <c r="Z233" t="s">
        <v>149</v>
      </c>
      <c r="AA233">
        <v>4</v>
      </c>
      <c r="AB233" t="s">
        <v>7</v>
      </c>
      <c r="AC233" s="20">
        <v>17472</v>
      </c>
      <c r="AD233" s="20">
        <v>192</v>
      </c>
      <c r="AE233" s="20">
        <v>1</v>
      </c>
      <c r="AF233" s="20">
        <v>16</v>
      </c>
      <c r="AG233" s="79">
        <v>344.72</v>
      </c>
      <c r="AH233" s="62">
        <v>10.316000000000001</v>
      </c>
      <c r="AI233" s="16">
        <v>45555</v>
      </c>
      <c r="AJ233" s="25">
        <v>0.60018518518518515</v>
      </c>
      <c r="AK233">
        <v>0</v>
      </c>
      <c r="AL233">
        <v>0</v>
      </c>
      <c r="AM233">
        <v>0</v>
      </c>
      <c r="AN233">
        <v>0</v>
      </c>
      <c r="AO233">
        <v>0</v>
      </c>
      <c r="AP233">
        <v>0</v>
      </c>
      <c r="AQ233">
        <v>0</v>
      </c>
      <c r="AR233">
        <v>0</v>
      </c>
      <c r="AS233">
        <v>0</v>
      </c>
      <c r="AT233">
        <v>0</v>
      </c>
      <c r="AU233">
        <v>0</v>
      </c>
      <c r="AV233">
        <v>0</v>
      </c>
      <c r="AW233" s="80">
        <f>AW232</f>
        <v>10.30025</v>
      </c>
      <c r="AZ233">
        <v>0</v>
      </c>
      <c r="BA233" t="s">
        <v>7</v>
      </c>
      <c r="BB233">
        <v>18560</v>
      </c>
      <c r="BC233">
        <v>64</v>
      </c>
      <c r="BD233">
        <v>4</v>
      </c>
      <c r="BE233">
        <v>4</v>
      </c>
      <c r="BF233">
        <v>477.93</v>
      </c>
      <c r="BG233" s="23">
        <v>8.9193999999999996</v>
      </c>
      <c r="BH233" s="16">
        <v>45502</v>
      </c>
      <c r="BI233" s="18">
        <v>7.0358796296296294E-2</v>
      </c>
      <c r="BJ233">
        <v>0</v>
      </c>
      <c r="BK233">
        <v>0</v>
      </c>
      <c r="BL233">
        <v>0</v>
      </c>
      <c r="BM233">
        <v>0</v>
      </c>
      <c r="BN233">
        <v>0</v>
      </c>
      <c r="BO233">
        <v>0</v>
      </c>
      <c r="BP233">
        <v>0</v>
      </c>
      <c r="BQ233">
        <v>0</v>
      </c>
      <c r="BR233">
        <v>0</v>
      </c>
      <c r="BS233">
        <v>0</v>
      </c>
      <c r="BT233">
        <v>0</v>
      </c>
      <c r="BU233">
        <v>0</v>
      </c>
      <c r="BV233" s="113">
        <f t="shared" si="6"/>
        <v>8.9045500000000004</v>
      </c>
    </row>
    <row r="234" spans="1:74" x14ac:dyDescent="0.25">
      <c r="A234" t="s">
        <v>111</v>
      </c>
      <c r="B234">
        <v>0</v>
      </c>
      <c r="C234" t="s">
        <v>7</v>
      </c>
      <c r="D234" s="20">
        <v>18528</v>
      </c>
      <c r="E234" s="20">
        <v>96</v>
      </c>
      <c r="F234" s="20">
        <v>4</v>
      </c>
      <c r="G234" s="20">
        <v>4</v>
      </c>
      <c r="H234" s="79">
        <v>459.73</v>
      </c>
      <c r="I234" s="62">
        <v>9.2245000000000008</v>
      </c>
      <c r="J234" s="16">
        <v>45546</v>
      </c>
      <c r="K234" s="25">
        <v>0.45215277777777779</v>
      </c>
      <c r="L234">
        <v>0</v>
      </c>
      <c r="M234">
        <v>0</v>
      </c>
      <c r="N234">
        <v>0</v>
      </c>
      <c r="O234">
        <v>0</v>
      </c>
      <c r="P234">
        <v>0</v>
      </c>
      <c r="Q234">
        <v>0</v>
      </c>
      <c r="R234">
        <v>0</v>
      </c>
      <c r="S234">
        <v>0</v>
      </c>
      <c r="T234">
        <v>0</v>
      </c>
      <c r="U234">
        <v>0</v>
      </c>
      <c r="V234">
        <v>0</v>
      </c>
      <c r="W234">
        <v>0</v>
      </c>
      <c r="X234" s="82">
        <f>AVERAGE(I234:I238)</f>
        <v>9.1966599999999996</v>
      </c>
      <c r="Z234" t="s">
        <v>149</v>
      </c>
      <c r="AA234">
        <v>0</v>
      </c>
      <c r="AB234" t="s">
        <v>7</v>
      </c>
      <c r="AC234" s="20">
        <v>18368</v>
      </c>
      <c r="AD234" s="20">
        <v>224</v>
      </c>
      <c r="AE234" s="20">
        <v>4</v>
      </c>
      <c r="AF234" s="20">
        <v>4</v>
      </c>
      <c r="AG234" s="79">
        <v>400.92</v>
      </c>
      <c r="AH234" s="62">
        <v>10.305999999999999</v>
      </c>
      <c r="AI234" s="16">
        <v>45558</v>
      </c>
      <c r="AJ234" s="25">
        <v>5.8761574074074077E-2</v>
      </c>
      <c r="AK234">
        <v>0</v>
      </c>
      <c r="AL234">
        <v>0</v>
      </c>
      <c r="AM234">
        <v>0</v>
      </c>
      <c r="AN234">
        <v>0</v>
      </c>
      <c r="AO234">
        <v>0</v>
      </c>
      <c r="AP234">
        <v>0</v>
      </c>
      <c r="AQ234">
        <v>0</v>
      </c>
      <c r="AR234">
        <v>0</v>
      </c>
      <c r="AS234">
        <v>0</v>
      </c>
      <c r="AT234">
        <v>0</v>
      </c>
      <c r="AU234">
        <v>0</v>
      </c>
      <c r="AV234">
        <v>0</v>
      </c>
      <c r="AW234" s="82">
        <f>AVERAGE(AH234:AH237)</f>
        <v>10.297499999999999</v>
      </c>
      <c r="AZ234">
        <v>1</v>
      </c>
      <c r="BA234" t="s">
        <v>7</v>
      </c>
      <c r="BB234">
        <v>18560</v>
      </c>
      <c r="BC234">
        <v>64</v>
      </c>
      <c r="BD234">
        <v>4</v>
      </c>
      <c r="BE234">
        <v>4</v>
      </c>
      <c r="BF234">
        <v>479.52</v>
      </c>
      <c r="BG234" s="23">
        <v>8.8896999999999995</v>
      </c>
      <c r="BH234" s="16">
        <v>45502</v>
      </c>
      <c r="BI234" s="18">
        <v>0.45776620370370369</v>
      </c>
      <c r="BJ234">
        <v>0</v>
      </c>
      <c r="BK234">
        <v>0</v>
      </c>
      <c r="BL234">
        <v>0</v>
      </c>
      <c r="BM234">
        <v>0</v>
      </c>
      <c r="BN234">
        <v>0</v>
      </c>
      <c r="BO234">
        <v>0</v>
      </c>
      <c r="BP234">
        <v>0</v>
      </c>
      <c r="BQ234">
        <v>0</v>
      </c>
      <c r="BR234">
        <v>0</v>
      </c>
      <c r="BS234">
        <v>0</v>
      </c>
      <c r="BT234">
        <v>0</v>
      </c>
      <c r="BU234">
        <v>0</v>
      </c>
      <c r="BV234" s="113"/>
    </row>
    <row r="235" spans="1:74" x14ac:dyDescent="0.25">
      <c r="A235" t="s">
        <v>111</v>
      </c>
      <c r="B235">
        <v>1</v>
      </c>
      <c r="C235" t="s">
        <v>7</v>
      </c>
      <c r="D235" s="20">
        <v>18528</v>
      </c>
      <c r="E235" s="20">
        <v>96</v>
      </c>
      <c r="F235" s="20">
        <v>4</v>
      </c>
      <c r="G235" s="20">
        <v>4</v>
      </c>
      <c r="H235" s="79">
        <v>462.23</v>
      </c>
      <c r="I235" s="62">
        <v>9.1745999999999999</v>
      </c>
      <c r="J235" s="16">
        <v>45547</v>
      </c>
      <c r="K235" s="25">
        <v>6.8020833333333336E-2</v>
      </c>
      <c r="L235">
        <v>0</v>
      </c>
      <c r="M235">
        <v>0</v>
      </c>
      <c r="N235">
        <v>0</v>
      </c>
      <c r="O235">
        <v>0</v>
      </c>
      <c r="P235">
        <v>0</v>
      </c>
      <c r="Q235">
        <v>0</v>
      </c>
      <c r="R235">
        <v>0</v>
      </c>
      <c r="S235">
        <v>0</v>
      </c>
      <c r="T235">
        <v>0</v>
      </c>
      <c r="U235">
        <v>0</v>
      </c>
      <c r="V235">
        <v>0</v>
      </c>
      <c r="W235">
        <v>0</v>
      </c>
      <c r="X235" s="80">
        <f>X234</f>
        <v>9.1966599999999996</v>
      </c>
      <c r="Z235" t="s">
        <v>149</v>
      </c>
      <c r="AA235">
        <v>1</v>
      </c>
      <c r="AB235" t="s">
        <v>7</v>
      </c>
      <c r="AC235" s="20">
        <v>18368</v>
      </c>
      <c r="AD235" s="20">
        <v>224</v>
      </c>
      <c r="AE235" s="20">
        <v>4</v>
      </c>
      <c r="AF235" s="20">
        <v>4</v>
      </c>
      <c r="AG235" s="79">
        <v>401.85</v>
      </c>
      <c r="AH235" s="62">
        <v>10.282</v>
      </c>
      <c r="AI235" s="16">
        <v>45558</v>
      </c>
      <c r="AJ235" s="25">
        <v>0.55792824074074077</v>
      </c>
      <c r="AK235">
        <v>0</v>
      </c>
      <c r="AL235">
        <v>0</v>
      </c>
      <c r="AM235">
        <v>0</v>
      </c>
      <c r="AN235">
        <v>0</v>
      </c>
      <c r="AO235">
        <v>0</v>
      </c>
      <c r="AP235">
        <v>0</v>
      </c>
      <c r="AQ235">
        <v>0</v>
      </c>
      <c r="AR235">
        <v>0</v>
      </c>
      <c r="AS235">
        <v>0</v>
      </c>
      <c r="AT235">
        <v>0</v>
      </c>
      <c r="AU235">
        <v>0</v>
      </c>
      <c r="AV235">
        <v>0</v>
      </c>
      <c r="AW235" s="80">
        <f>AW234</f>
        <v>10.297499999999999</v>
      </c>
      <c r="AZ235">
        <v>0</v>
      </c>
      <c r="BA235" t="s">
        <v>7</v>
      </c>
      <c r="BB235">
        <v>19584</v>
      </c>
      <c r="BC235">
        <v>64</v>
      </c>
      <c r="BD235">
        <v>4</v>
      </c>
      <c r="BE235">
        <v>4</v>
      </c>
      <c r="BF235">
        <v>536.46</v>
      </c>
      <c r="BG235" s="23">
        <v>9.3352000000000004</v>
      </c>
      <c r="BH235" s="16">
        <v>45502</v>
      </c>
      <c r="BI235" s="18">
        <v>0.20258101851851851</v>
      </c>
      <c r="BJ235">
        <v>0</v>
      </c>
      <c r="BK235">
        <v>0</v>
      </c>
      <c r="BL235">
        <v>0</v>
      </c>
      <c r="BM235">
        <v>0</v>
      </c>
      <c r="BN235">
        <v>0</v>
      </c>
      <c r="BO235">
        <v>0</v>
      </c>
      <c r="BP235">
        <v>0</v>
      </c>
      <c r="BQ235">
        <v>0</v>
      </c>
      <c r="BR235">
        <v>0</v>
      </c>
      <c r="BS235">
        <v>0</v>
      </c>
      <c r="BT235">
        <v>0</v>
      </c>
      <c r="BU235">
        <v>0</v>
      </c>
      <c r="BV235" s="113">
        <f t="shared" si="6"/>
        <v>9.3232499999999998</v>
      </c>
    </row>
    <row r="236" spans="1:74" x14ac:dyDescent="0.25">
      <c r="A236" t="s">
        <v>111</v>
      </c>
      <c r="B236">
        <v>2</v>
      </c>
      <c r="C236" t="s">
        <v>7</v>
      </c>
      <c r="D236" s="20">
        <v>18528</v>
      </c>
      <c r="E236" s="20">
        <v>96</v>
      </c>
      <c r="F236" s="20">
        <v>4</v>
      </c>
      <c r="G236" s="20">
        <v>4</v>
      </c>
      <c r="H236" s="79">
        <v>459.82</v>
      </c>
      <c r="I236" s="62">
        <v>9.2226999999999997</v>
      </c>
      <c r="J236" s="16">
        <v>45547</v>
      </c>
      <c r="K236" s="25">
        <v>0.68263888888888891</v>
      </c>
      <c r="L236">
        <v>0</v>
      </c>
      <c r="M236">
        <v>0</v>
      </c>
      <c r="N236">
        <v>0</v>
      </c>
      <c r="O236">
        <v>0</v>
      </c>
      <c r="P236">
        <v>0</v>
      </c>
      <c r="Q236">
        <v>0</v>
      </c>
      <c r="R236">
        <v>0</v>
      </c>
      <c r="S236">
        <v>0</v>
      </c>
      <c r="T236">
        <v>0</v>
      </c>
      <c r="U236">
        <v>0</v>
      </c>
      <c r="V236">
        <v>0</v>
      </c>
      <c r="W236">
        <v>0</v>
      </c>
      <c r="X236" s="80">
        <f>X235</f>
        <v>9.1966599999999996</v>
      </c>
      <c r="Z236" t="s">
        <v>149</v>
      </c>
      <c r="AA236">
        <v>2</v>
      </c>
      <c r="AB236" t="s">
        <v>7</v>
      </c>
      <c r="AC236" s="20">
        <v>18368</v>
      </c>
      <c r="AD236" s="20">
        <v>224</v>
      </c>
      <c r="AE236" s="20">
        <v>4</v>
      </c>
      <c r="AF236" s="20">
        <v>4</v>
      </c>
      <c r="AG236" s="79">
        <v>401.86</v>
      </c>
      <c r="AH236" s="62">
        <v>10.282</v>
      </c>
      <c r="AI236" s="16">
        <v>45554</v>
      </c>
      <c r="AJ236" s="25">
        <v>0.70182870370370365</v>
      </c>
      <c r="AK236">
        <v>0</v>
      </c>
      <c r="AL236">
        <v>0</v>
      </c>
      <c r="AM236">
        <v>0</v>
      </c>
      <c r="AN236">
        <v>0</v>
      </c>
      <c r="AO236">
        <v>0</v>
      </c>
      <c r="AP236">
        <v>0</v>
      </c>
      <c r="AQ236">
        <v>0</v>
      </c>
      <c r="AR236">
        <v>0</v>
      </c>
      <c r="AS236">
        <v>0</v>
      </c>
      <c r="AT236">
        <v>0</v>
      </c>
      <c r="AU236">
        <v>0</v>
      </c>
      <c r="AV236">
        <v>0</v>
      </c>
      <c r="AW236" s="80">
        <f>AW235</f>
        <v>10.297499999999999</v>
      </c>
      <c r="AZ236">
        <v>1</v>
      </c>
      <c r="BA236" t="s">
        <v>7</v>
      </c>
      <c r="BB236">
        <v>19584</v>
      </c>
      <c r="BC236">
        <v>64</v>
      </c>
      <c r="BD236">
        <v>4</v>
      </c>
      <c r="BE236">
        <v>4</v>
      </c>
      <c r="BF236">
        <v>537.84</v>
      </c>
      <c r="BG236" s="23">
        <v>9.3112999999999992</v>
      </c>
      <c r="BH236" s="16">
        <v>45502</v>
      </c>
      <c r="BI236" s="18">
        <v>0.59091435185185182</v>
      </c>
      <c r="BJ236">
        <v>0</v>
      </c>
      <c r="BK236">
        <v>0</v>
      </c>
      <c r="BL236">
        <v>0</v>
      </c>
      <c r="BM236">
        <v>0</v>
      </c>
      <c r="BN236">
        <v>0</v>
      </c>
      <c r="BO236">
        <v>0</v>
      </c>
      <c r="BP236">
        <v>0</v>
      </c>
      <c r="BQ236">
        <v>0</v>
      </c>
      <c r="BR236">
        <v>0</v>
      </c>
      <c r="BS236">
        <v>0</v>
      </c>
      <c r="BT236">
        <v>0</v>
      </c>
      <c r="BU236">
        <v>0</v>
      </c>
      <c r="BV236" s="113"/>
    </row>
    <row r="237" spans="1:74" x14ac:dyDescent="0.25">
      <c r="A237" t="s">
        <v>111</v>
      </c>
      <c r="B237">
        <v>3</v>
      </c>
      <c r="C237" t="s">
        <v>7</v>
      </c>
      <c r="D237" s="20">
        <v>18528</v>
      </c>
      <c r="E237" s="20">
        <v>96</v>
      </c>
      <c r="F237" s="20">
        <v>4</v>
      </c>
      <c r="G237" s="20">
        <v>4</v>
      </c>
      <c r="H237" s="79">
        <v>462.19</v>
      </c>
      <c r="I237" s="62">
        <v>9.1753999999999998</v>
      </c>
      <c r="J237" s="16">
        <v>45548</v>
      </c>
      <c r="K237" s="25">
        <v>0.3427546296296296</v>
      </c>
      <c r="L237">
        <v>0</v>
      </c>
      <c r="M237">
        <v>0</v>
      </c>
      <c r="N237">
        <v>0</v>
      </c>
      <c r="O237">
        <v>0</v>
      </c>
      <c r="P237">
        <v>0</v>
      </c>
      <c r="Q237">
        <v>0</v>
      </c>
      <c r="R237">
        <v>0</v>
      </c>
      <c r="S237">
        <v>0</v>
      </c>
      <c r="T237">
        <v>0</v>
      </c>
      <c r="U237">
        <v>0</v>
      </c>
      <c r="V237">
        <v>0</v>
      </c>
      <c r="W237">
        <v>0</v>
      </c>
      <c r="X237" s="80">
        <f>X236</f>
        <v>9.1966599999999996</v>
      </c>
      <c r="Z237" t="s">
        <v>149</v>
      </c>
      <c r="AA237">
        <v>3</v>
      </c>
      <c r="AB237" t="s">
        <v>7</v>
      </c>
      <c r="AC237" s="20">
        <v>18368</v>
      </c>
      <c r="AD237" s="20">
        <v>224</v>
      </c>
      <c r="AE237" s="20">
        <v>4</v>
      </c>
      <c r="AF237" s="20">
        <v>4</v>
      </c>
      <c r="AG237" s="79">
        <v>400.37</v>
      </c>
      <c r="AH237" s="62">
        <v>10.32</v>
      </c>
      <c r="AI237" s="16">
        <v>45555</v>
      </c>
      <c r="AJ237" s="25">
        <v>0.22719907407407408</v>
      </c>
      <c r="AK237">
        <v>0</v>
      </c>
      <c r="AL237">
        <v>0</v>
      </c>
      <c r="AM237">
        <v>0</v>
      </c>
      <c r="AN237">
        <v>0</v>
      </c>
      <c r="AO237">
        <v>0</v>
      </c>
      <c r="AP237">
        <v>0</v>
      </c>
      <c r="AQ237">
        <v>0</v>
      </c>
      <c r="AR237">
        <v>0</v>
      </c>
      <c r="AS237">
        <v>0</v>
      </c>
      <c r="AT237">
        <v>0</v>
      </c>
      <c r="AU237">
        <v>0</v>
      </c>
      <c r="AV237">
        <v>0</v>
      </c>
      <c r="AW237" s="80">
        <f>AW236</f>
        <v>10.297499999999999</v>
      </c>
      <c r="AZ237">
        <v>0</v>
      </c>
      <c r="BA237" t="s">
        <v>7</v>
      </c>
      <c r="BB237">
        <v>17472</v>
      </c>
      <c r="BC237">
        <v>96</v>
      </c>
      <c r="BD237">
        <v>1</v>
      </c>
      <c r="BE237">
        <v>16</v>
      </c>
      <c r="BF237">
        <v>389.15</v>
      </c>
      <c r="BG237" s="23">
        <v>9.1385000000000005</v>
      </c>
      <c r="BH237" s="16">
        <v>45501</v>
      </c>
      <c r="BI237" s="18">
        <v>0.96098379629629627</v>
      </c>
      <c r="BJ237">
        <v>0</v>
      </c>
      <c r="BK237">
        <v>0</v>
      </c>
      <c r="BL237">
        <v>0</v>
      </c>
      <c r="BM237">
        <v>0</v>
      </c>
      <c r="BN237">
        <v>0</v>
      </c>
      <c r="BO237">
        <v>0</v>
      </c>
      <c r="BP237">
        <v>0</v>
      </c>
      <c r="BQ237">
        <v>0</v>
      </c>
      <c r="BR237">
        <v>0</v>
      </c>
      <c r="BS237">
        <v>0</v>
      </c>
      <c r="BT237">
        <v>0</v>
      </c>
      <c r="BU237">
        <v>0</v>
      </c>
      <c r="BV237" s="113">
        <f t="shared" si="6"/>
        <v>9.1476500000000005</v>
      </c>
    </row>
    <row r="238" spans="1:74" x14ac:dyDescent="0.25">
      <c r="A238" t="s">
        <v>111</v>
      </c>
      <c r="B238">
        <v>4</v>
      </c>
      <c r="C238" t="s">
        <v>7</v>
      </c>
      <c r="D238" s="20">
        <v>18528</v>
      </c>
      <c r="E238" s="20">
        <v>96</v>
      </c>
      <c r="F238" s="20">
        <v>4</v>
      </c>
      <c r="G238" s="20">
        <v>4</v>
      </c>
      <c r="H238" s="79">
        <v>461.65</v>
      </c>
      <c r="I238" s="62">
        <v>9.1860999999999997</v>
      </c>
      <c r="J238" s="16">
        <v>45548</v>
      </c>
      <c r="K238" s="25">
        <v>0.97180555555555559</v>
      </c>
      <c r="L238">
        <v>0</v>
      </c>
      <c r="M238">
        <v>0</v>
      </c>
      <c r="N238">
        <v>0</v>
      </c>
      <c r="O238">
        <v>0</v>
      </c>
      <c r="P238">
        <v>0</v>
      </c>
      <c r="Q238">
        <v>0</v>
      </c>
      <c r="R238">
        <v>0</v>
      </c>
      <c r="S238">
        <v>0</v>
      </c>
      <c r="T238">
        <v>0</v>
      </c>
      <c r="U238">
        <v>0</v>
      </c>
      <c r="V238">
        <v>0</v>
      </c>
      <c r="W238">
        <v>0</v>
      </c>
      <c r="X238" s="80">
        <f>X237</f>
        <v>9.1966599999999996</v>
      </c>
      <c r="Z238" t="s">
        <v>149</v>
      </c>
      <c r="AA238">
        <v>4</v>
      </c>
      <c r="AB238" t="s">
        <v>7</v>
      </c>
      <c r="AC238" s="20">
        <v>18368</v>
      </c>
      <c r="AD238" s="20">
        <v>224</v>
      </c>
      <c r="AE238" s="20">
        <v>4</v>
      </c>
      <c r="AF238" s="20">
        <v>4</v>
      </c>
      <c r="AG238" s="79">
        <v>401.52</v>
      </c>
      <c r="AH238" s="62">
        <v>10.29</v>
      </c>
      <c r="AI238" s="16">
        <v>45555</v>
      </c>
      <c r="AJ238" s="25">
        <v>0.72745370370370366</v>
      </c>
      <c r="AK238">
        <v>0</v>
      </c>
      <c r="AL238">
        <v>0</v>
      </c>
      <c r="AM238">
        <v>0</v>
      </c>
      <c r="AN238">
        <v>0</v>
      </c>
      <c r="AO238">
        <v>0</v>
      </c>
      <c r="AP238">
        <v>0</v>
      </c>
      <c r="AQ238">
        <v>0</v>
      </c>
      <c r="AR238">
        <v>0</v>
      </c>
      <c r="AS238">
        <v>0</v>
      </c>
      <c r="AT238">
        <v>0</v>
      </c>
      <c r="AU238">
        <v>0</v>
      </c>
      <c r="AV238">
        <v>0</v>
      </c>
      <c r="AW238" s="80">
        <f>AW237</f>
        <v>10.297499999999999</v>
      </c>
      <c r="AZ238">
        <v>1</v>
      </c>
      <c r="BA238" t="s">
        <v>7</v>
      </c>
      <c r="BB238">
        <v>17472</v>
      </c>
      <c r="BC238">
        <v>96</v>
      </c>
      <c r="BD238">
        <v>1</v>
      </c>
      <c r="BE238">
        <v>16</v>
      </c>
      <c r="BF238">
        <v>388.37</v>
      </c>
      <c r="BG238" s="23">
        <v>9.1568000000000005</v>
      </c>
      <c r="BH238" s="16">
        <v>45502</v>
      </c>
      <c r="BI238" s="18">
        <v>0.34842592592592592</v>
      </c>
      <c r="BJ238">
        <v>0</v>
      </c>
      <c r="BK238">
        <v>0</v>
      </c>
      <c r="BL238">
        <v>0</v>
      </c>
      <c r="BM238">
        <v>0</v>
      </c>
      <c r="BN238">
        <v>0</v>
      </c>
      <c r="BO238">
        <v>0</v>
      </c>
      <c r="BP238">
        <v>0</v>
      </c>
      <c r="BQ238">
        <v>0</v>
      </c>
      <c r="BR238">
        <v>0</v>
      </c>
      <c r="BS238">
        <v>0</v>
      </c>
      <c r="BT238">
        <v>0</v>
      </c>
      <c r="BU238">
        <v>0</v>
      </c>
      <c r="BV238" s="113"/>
    </row>
    <row r="239" spans="1:74" x14ac:dyDescent="0.25">
      <c r="A239" t="s">
        <v>111</v>
      </c>
      <c r="B239">
        <v>0</v>
      </c>
      <c r="C239" t="s">
        <v>7</v>
      </c>
      <c r="D239" s="20">
        <v>18368</v>
      </c>
      <c r="E239" s="20">
        <v>224</v>
      </c>
      <c r="F239" s="20">
        <v>4</v>
      </c>
      <c r="G239" s="20">
        <v>4</v>
      </c>
      <c r="H239" s="79">
        <v>450.08</v>
      </c>
      <c r="I239" s="62">
        <v>9.1803000000000008</v>
      </c>
      <c r="J239" s="16">
        <v>45546</v>
      </c>
      <c r="K239" s="25">
        <v>0.51171296296296298</v>
      </c>
      <c r="L239">
        <v>0</v>
      </c>
      <c r="M239">
        <v>0</v>
      </c>
      <c r="N239">
        <v>0</v>
      </c>
      <c r="O239">
        <v>0</v>
      </c>
      <c r="P239">
        <v>0</v>
      </c>
      <c r="Q239">
        <v>0</v>
      </c>
      <c r="R239">
        <v>0</v>
      </c>
      <c r="S239">
        <v>0</v>
      </c>
      <c r="T239">
        <v>0</v>
      </c>
      <c r="U239">
        <v>0</v>
      </c>
      <c r="V239">
        <v>0</v>
      </c>
      <c r="W239">
        <v>0</v>
      </c>
      <c r="X239" s="82">
        <f>AVERAGE(I239:I243)</f>
        <v>9.1637400000000007</v>
      </c>
      <c r="Z239" t="s">
        <v>149</v>
      </c>
      <c r="AA239">
        <v>0</v>
      </c>
      <c r="AB239" t="s">
        <v>7</v>
      </c>
      <c r="AC239" s="20">
        <v>19456</v>
      </c>
      <c r="AD239" s="20">
        <v>256</v>
      </c>
      <c r="AE239" s="20">
        <v>4</v>
      </c>
      <c r="AF239" s="20">
        <v>4</v>
      </c>
      <c r="AG239" s="79">
        <v>480.31</v>
      </c>
      <c r="AH239" s="62">
        <v>10.223000000000001</v>
      </c>
      <c r="AI239" s="16">
        <v>45558</v>
      </c>
      <c r="AJ239" s="25">
        <v>0.3664351851851852</v>
      </c>
      <c r="AK239">
        <v>0</v>
      </c>
      <c r="AL239">
        <v>0</v>
      </c>
      <c r="AM239">
        <v>0</v>
      </c>
      <c r="AN239">
        <v>0</v>
      </c>
      <c r="AO239">
        <v>0</v>
      </c>
      <c r="AP239">
        <v>0</v>
      </c>
      <c r="AQ239">
        <v>0</v>
      </c>
      <c r="AR239">
        <v>0</v>
      </c>
      <c r="AS239">
        <v>0</v>
      </c>
      <c r="AT239">
        <v>0</v>
      </c>
      <c r="AU239">
        <v>0</v>
      </c>
      <c r="AV239">
        <v>0</v>
      </c>
      <c r="AW239" s="82">
        <f>AVERAGE(AH239:AH242)</f>
        <v>10.284000000000001</v>
      </c>
      <c r="AZ239">
        <v>0</v>
      </c>
      <c r="BA239" t="s">
        <v>7</v>
      </c>
      <c r="BB239">
        <v>18528</v>
      </c>
      <c r="BC239">
        <v>96</v>
      </c>
      <c r="BD239">
        <v>1</v>
      </c>
      <c r="BE239">
        <v>16</v>
      </c>
      <c r="BF239">
        <v>448.69</v>
      </c>
      <c r="BG239" s="23">
        <v>9.4514999999999993</v>
      </c>
      <c r="BH239" s="16">
        <v>45502</v>
      </c>
      <c r="BI239" s="18">
        <v>7.5729166666666667E-2</v>
      </c>
      <c r="BJ239">
        <v>0</v>
      </c>
      <c r="BK239">
        <v>0</v>
      </c>
      <c r="BL239">
        <v>0</v>
      </c>
      <c r="BM239">
        <v>0</v>
      </c>
      <c r="BN239">
        <v>0</v>
      </c>
      <c r="BO239">
        <v>0</v>
      </c>
      <c r="BP239">
        <v>0</v>
      </c>
      <c r="BQ239">
        <v>0</v>
      </c>
      <c r="BR239">
        <v>0</v>
      </c>
      <c r="BS239">
        <v>0</v>
      </c>
      <c r="BT239">
        <v>0</v>
      </c>
      <c r="BU239">
        <v>0</v>
      </c>
      <c r="BV239" s="113">
        <f t="shared" si="6"/>
        <v>9.4551999999999996</v>
      </c>
    </row>
    <row r="240" spans="1:74" x14ac:dyDescent="0.25">
      <c r="A240" t="s">
        <v>111</v>
      </c>
      <c r="B240">
        <v>1</v>
      </c>
      <c r="C240" t="s">
        <v>7</v>
      </c>
      <c r="D240" s="20">
        <v>18368</v>
      </c>
      <c r="E240" s="20">
        <v>224</v>
      </c>
      <c r="F240" s="20">
        <v>4</v>
      </c>
      <c r="G240" s="20">
        <v>4</v>
      </c>
      <c r="H240" s="79">
        <v>446.97</v>
      </c>
      <c r="I240" s="62">
        <v>9.2440999999999995</v>
      </c>
      <c r="J240" s="16">
        <v>45547</v>
      </c>
      <c r="K240" s="25">
        <v>0.12746527777777777</v>
      </c>
      <c r="L240">
        <v>0</v>
      </c>
      <c r="M240">
        <v>0</v>
      </c>
      <c r="N240">
        <v>0</v>
      </c>
      <c r="O240">
        <v>0</v>
      </c>
      <c r="P240">
        <v>0</v>
      </c>
      <c r="Q240">
        <v>0</v>
      </c>
      <c r="R240">
        <v>0</v>
      </c>
      <c r="S240">
        <v>0</v>
      </c>
      <c r="T240">
        <v>0</v>
      </c>
      <c r="U240">
        <v>0</v>
      </c>
      <c r="V240">
        <v>0</v>
      </c>
      <c r="W240">
        <v>0</v>
      </c>
      <c r="X240" s="80">
        <f>X239</f>
        <v>9.1637400000000007</v>
      </c>
      <c r="Z240" t="s">
        <v>149</v>
      </c>
      <c r="AA240">
        <v>1</v>
      </c>
      <c r="AB240" t="s">
        <v>7</v>
      </c>
      <c r="AC240" s="20">
        <v>19456</v>
      </c>
      <c r="AD240" s="20">
        <v>256</v>
      </c>
      <c r="AE240" s="20">
        <v>4</v>
      </c>
      <c r="AF240" s="20">
        <v>4</v>
      </c>
      <c r="AG240" s="79">
        <v>477.9</v>
      </c>
      <c r="AH240" s="62">
        <v>10.275</v>
      </c>
      <c r="AI240" s="16">
        <v>45558</v>
      </c>
      <c r="AJ240" s="25">
        <v>0.86493055555555554</v>
      </c>
      <c r="AK240">
        <v>0</v>
      </c>
      <c r="AL240">
        <v>0</v>
      </c>
      <c r="AM240">
        <v>0</v>
      </c>
      <c r="AN240">
        <v>0</v>
      </c>
      <c r="AO240">
        <v>0</v>
      </c>
      <c r="AP240">
        <v>0</v>
      </c>
      <c r="AQ240">
        <v>0</v>
      </c>
      <c r="AR240">
        <v>0</v>
      </c>
      <c r="AS240">
        <v>0</v>
      </c>
      <c r="AT240">
        <v>0</v>
      </c>
      <c r="AU240">
        <v>0</v>
      </c>
      <c r="AV240">
        <v>0</v>
      </c>
      <c r="AW240" s="80">
        <f>AW239</f>
        <v>10.284000000000001</v>
      </c>
      <c r="AZ240">
        <v>1</v>
      </c>
      <c r="BA240" t="s">
        <v>7</v>
      </c>
      <c r="BB240">
        <v>18528</v>
      </c>
      <c r="BC240">
        <v>96</v>
      </c>
      <c r="BD240">
        <v>1</v>
      </c>
      <c r="BE240">
        <v>16</v>
      </c>
      <c r="BF240">
        <v>448.34</v>
      </c>
      <c r="BG240" s="23">
        <v>9.4588999999999999</v>
      </c>
      <c r="BH240" s="16">
        <v>45502</v>
      </c>
      <c r="BI240" s="18">
        <v>0.46313657407407405</v>
      </c>
      <c r="BJ240">
        <v>0</v>
      </c>
      <c r="BK240">
        <v>0</v>
      </c>
      <c r="BL240">
        <v>0</v>
      </c>
      <c r="BM240">
        <v>0</v>
      </c>
      <c r="BN240">
        <v>0</v>
      </c>
      <c r="BO240">
        <v>0</v>
      </c>
      <c r="BP240">
        <v>0</v>
      </c>
      <c r="BQ240">
        <v>0</v>
      </c>
      <c r="BR240">
        <v>0</v>
      </c>
      <c r="BS240">
        <v>0</v>
      </c>
      <c r="BT240">
        <v>0</v>
      </c>
      <c r="BU240">
        <v>0</v>
      </c>
      <c r="BV240" s="113"/>
    </row>
    <row r="241" spans="1:74" x14ac:dyDescent="0.25">
      <c r="A241" t="s">
        <v>111</v>
      </c>
      <c r="B241">
        <v>2</v>
      </c>
      <c r="C241" t="s">
        <v>7</v>
      </c>
      <c r="D241" s="20">
        <v>18368</v>
      </c>
      <c r="E241" s="20">
        <v>224</v>
      </c>
      <c r="F241" s="20">
        <v>4</v>
      </c>
      <c r="G241" s="20">
        <v>4</v>
      </c>
      <c r="H241" s="79">
        <v>451.76</v>
      </c>
      <c r="I241" s="62">
        <v>9.1462000000000003</v>
      </c>
      <c r="J241" s="16">
        <v>45547</v>
      </c>
      <c r="K241" s="25">
        <v>0.74219907407407404</v>
      </c>
      <c r="L241">
        <v>0</v>
      </c>
      <c r="M241">
        <v>0</v>
      </c>
      <c r="N241">
        <v>0</v>
      </c>
      <c r="O241">
        <v>0</v>
      </c>
      <c r="P241">
        <v>0</v>
      </c>
      <c r="Q241">
        <v>0</v>
      </c>
      <c r="R241">
        <v>0</v>
      </c>
      <c r="S241">
        <v>0</v>
      </c>
      <c r="T241">
        <v>0</v>
      </c>
      <c r="U241">
        <v>0</v>
      </c>
      <c r="V241">
        <v>0</v>
      </c>
      <c r="W241">
        <v>0</v>
      </c>
      <c r="X241" s="80">
        <f>X240</f>
        <v>9.1637400000000007</v>
      </c>
      <c r="Z241" t="s">
        <v>149</v>
      </c>
      <c r="AA241">
        <v>2</v>
      </c>
      <c r="AB241" t="s">
        <v>7</v>
      </c>
      <c r="AC241" s="20">
        <v>19456</v>
      </c>
      <c r="AD241" s="20">
        <v>256</v>
      </c>
      <c r="AE241" s="20">
        <v>4</v>
      </c>
      <c r="AF241" s="20">
        <v>4</v>
      </c>
      <c r="AG241" s="79">
        <v>479.22</v>
      </c>
      <c r="AH241" s="62">
        <v>10.247</v>
      </c>
      <c r="AI241" s="16">
        <v>45555</v>
      </c>
      <c r="AJ241" s="25">
        <v>3.5891203703703703E-2</v>
      </c>
      <c r="AK241">
        <v>0</v>
      </c>
      <c r="AL241">
        <v>0</v>
      </c>
      <c r="AM241">
        <v>0</v>
      </c>
      <c r="AN241">
        <v>0</v>
      </c>
      <c r="AO241">
        <v>0</v>
      </c>
      <c r="AP241">
        <v>0</v>
      </c>
      <c r="AQ241">
        <v>0</v>
      </c>
      <c r="AR241">
        <v>0</v>
      </c>
      <c r="AS241">
        <v>0</v>
      </c>
      <c r="AT241">
        <v>0</v>
      </c>
      <c r="AU241">
        <v>0</v>
      </c>
      <c r="AV241">
        <v>0</v>
      </c>
      <c r="AW241" s="80">
        <f>AW240</f>
        <v>10.284000000000001</v>
      </c>
      <c r="AZ241">
        <v>0</v>
      </c>
      <c r="BA241" t="s">
        <v>7</v>
      </c>
      <c r="BB241">
        <v>19584</v>
      </c>
      <c r="BC241">
        <v>96</v>
      </c>
      <c r="BD241">
        <v>1</v>
      </c>
      <c r="BE241">
        <v>16</v>
      </c>
      <c r="BF241">
        <v>558.17999999999995</v>
      </c>
      <c r="BG241" s="23">
        <v>8.9719999999999995</v>
      </c>
      <c r="BH241" s="16">
        <v>45502</v>
      </c>
      <c r="BI241" s="18">
        <v>0.20929398148148148</v>
      </c>
      <c r="BJ241">
        <v>0</v>
      </c>
      <c r="BK241">
        <v>0</v>
      </c>
      <c r="BL241">
        <v>0</v>
      </c>
      <c r="BM241">
        <v>0</v>
      </c>
      <c r="BN241">
        <v>0</v>
      </c>
      <c r="BO241">
        <v>0</v>
      </c>
      <c r="BP241">
        <v>0</v>
      </c>
      <c r="BQ241">
        <v>0</v>
      </c>
      <c r="BR241">
        <v>0</v>
      </c>
      <c r="BS241">
        <v>0</v>
      </c>
      <c r="BT241">
        <v>0</v>
      </c>
      <c r="BU241">
        <v>0</v>
      </c>
      <c r="BV241" s="113">
        <f t="shared" si="6"/>
        <v>9.000350000000001</v>
      </c>
    </row>
    <row r="242" spans="1:74" x14ac:dyDescent="0.25">
      <c r="A242" t="s">
        <v>111</v>
      </c>
      <c r="B242">
        <v>3</v>
      </c>
      <c r="C242" t="s">
        <v>7</v>
      </c>
      <c r="D242" s="20">
        <v>18368</v>
      </c>
      <c r="E242" s="20">
        <v>224</v>
      </c>
      <c r="F242" s="20">
        <v>4</v>
      </c>
      <c r="G242" s="20">
        <v>4</v>
      </c>
      <c r="H242" s="79">
        <v>450.94</v>
      </c>
      <c r="I242" s="62">
        <v>9.1628000000000007</v>
      </c>
      <c r="J242" s="16">
        <v>45548</v>
      </c>
      <c r="K242" s="25">
        <v>0.40243055555555557</v>
      </c>
      <c r="L242">
        <v>0</v>
      </c>
      <c r="M242">
        <v>0</v>
      </c>
      <c r="N242">
        <v>0</v>
      </c>
      <c r="O242">
        <v>0</v>
      </c>
      <c r="P242">
        <v>0</v>
      </c>
      <c r="Q242">
        <v>0</v>
      </c>
      <c r="R242">
        <v>0</v>
      </c>
      <c r="S242">
        <v>0</v>
      </c>
      <c r="T242">
        <v>0</v>
      </c>
      <c r="U242">
        <v>0</v>
      </c>
      <c r="V242">
        <v>0</v>
      </c>
      <c r="W242">
        <v>0</v>
      </c>
      <c r="X242" s="80">
        <f>X241</f>
        <v>9.1637400000000007</v>
      </c>
      <c r="Z242" t="s">
        <v>149</v>
      </c>
      <c r="AA242">
        <v>3</v>
      </c>
      <c r="AB242" t="s">
        <v>7</v>
      </c>
      <c r="AC242" s="20">
        <v>19456</v>
      </c>
      <c r="AD242" s="20">
        <v>256</v>
      </c>
      <c r="AE242" s="20">
        <v>4</v>
      </c>
      <c r="AF242" s="20">
        <v>4</v>
      </c>
      <c r="AG242" s="79">
        <v>472.58</v>
      </c>
      <c r="AH242" s="62">
        <v>10.391</v>
      </c>
      <c r="AI242" s="16">
        <v>45555</v>
      </c>
      <c r="AJ242" s="25">
        <v>0.53605324074074079</v>
      </c>
      <c r="AK242">
        <v>0</v>
      </c>
      <c r="AL242">
        <v>0</v>
      </c>
      <c r="AM242">
        <v>0</v>
      </c>
      <c r="AN242">
        <v>0</v>
      </c>
      <c r="AO242">
        <v>0</v>
      </c>
      <c r="AP242">
        <v>0</v>
      </c>
      <c r="AQ242">
        <v>0</v>
      </c>
      <c r="AR242">
        <v>0</v>
      </c>
      <c r="AS242">
        <v>0</v>
      </c>
      <c r="AT242">
        <v>0</v>
      </c>
      <c r="AU242">
        <v>0</v>
      </c>
      <c r="AV242">
        <v>0</v>
      </c>
      <c r="AW242" s="80">
        <f>AW241</f>
        <v>10.284000000000001</v>
      </c>
      <c r="AZ242">
        <v>1</v>
      </c>
      <c r="BA242" t="s">
        <v>7</v>
      </c>
      <c r="BB242">
        <v>19584</v>
      </c>
      <c r="BC242">
        <v>96</v>
      </c>
      <c r="BD242">
        <v>1</v>
      </c>
      <c r="BE242">
        <v>16</v>
      </c>
      <c r="BF242">
        <v>554.66999999999996</v>
      </c>
      <c r="BG242" s="23">
        <v>9.0287000000000006</v>
      </c>
      <c r="BH242" s="16">
        <v>45502</v>
      </c>
      <c r="BI242" s="18">
        <v>0.59756944444444449</v>
      </c>
      <c r="BJ242">
        <v>0</v>
      </c>
      <c r="BK242">
        <v>0</v>
      </c>
      <c r="BL242">
        <v>0</v>
      </c>
      <c r="BM242">
        <v>0</v>
      </c>
      <c r="BN242">
        <v>0</v>
      </c>
      <c r="BO242">
        <v>0</v>
      </c>
      <c r="BP242">
        <v>0</v>
      </c>
      <c r="BQ242">
        <v>0</v>
      </c>
      <c r="BR242">
        <v>0</v>
      </c>
      <c r="BS242">
        <v>0</v>
      </c>
      <c r="BT242">
        <v>0</v>
      </c>
      <c r="BU242">
        <v>0</v>
      </c>
      <c r="BV242" s="113"/>
    </row>
    <row r="243" spans="1:74" x14ac:dyDescent="0.25">
      <c r="A243" t="s">
        <v>111</v>
      </c>
      <c r="B243">
        <v>4</v>
      </c>
      <c r="C243" t="s">
        <v>7</v>
      </c>
      <c r="D243" s="20">
        <v>18368</v>
      </c>
      <c r="E243" s="20">
        <v>224</v>
      </c>
      <c r="F243" s="20">
        <v>4</v>
      </c>
      <c r="G243" s="20">
        <v>4</v>
      </c>
      <c r="H243" s="79">
        <v>454.79</v>
      </c>
      <c r="I243" s="62">
        <v>9.0853000000000002</v>
      </c>
      <c r="J243" s="16">
        <v>45549</v>
      </c>
      <c r="K243" s="25">
        <v>3.1875000000000001E-2</v>
      </c>
      <c r="L243">
        <v>0</v>
      </c>
      <c r="M243">
        <v>0</v>
      </c>
      <c r="N243">
        <v>0</v>
      </c>
      <c r="O243">
        <v>0</v>
      </c>
      <c r="P243">
        <v>0</v>
      </c>
      <c r="Q243">
        <v>0</v>
      </c>
      <c r="R243">
        <v>0</v>
      </c>
      <c r="S243">
        <v>0</v>
      </c>
      <c r="T243">
        <v>0</v>
      </c>
      <c r="U243">
        <v>0</v>
      </c>
      <c r="V243">
        <v>0</v>
      </c>
      <c r="W243">
        <v>0</v>
      </c>
      <c r="X243" s="80">
        <f>X242</f>
        <v>9.1637400000000007</v>
      </c>
      <c r="Z243" t="s">
        <v>149</v>
      </c>
      <c r="AA243">
        <v>4</v>
      </c>
      <c r="AB243" t="s">
        <v>7</v>
      </c>
      <c r="AC243" s="20">
        <v>19456</v>
      </c>
      <c r="AD243" s="20">
        <v>256</v>
      </c>
      <c r="AE243" s="20">
        <v>4</v>
      </c>
      <c r="AF243" s="20">
        <v>4</v>
      </c>
      <c r="AG243" s="79">
        <v>1557.45</v>
      </c>
      <c r="AH243" s="62">
        <v>3.1528999999999998</v>
      </c>
      <c r="AI243" s="16">
        <v>45556</v>
      </c>
      <c r="AJ243" s="25">
        <v>5.5127314814814816E-2</v>
      </c>
      <c r="AK243">
        <v>0</v>
      </c>
      <c r="AL243">
        <v>0</v>
      </c>
      <c r="AM243">
        <v>0</v>
      </c>
      <c r="AN243">
        <v>0</v>
      </c>
      <c r="AO243">
        <v>0</v>
      </c>
      <c r="AP243">
        <v>0</v>
      </c>
      <c r="AQ243">
        <v>0</v>
      </c>
      <c r="AR243">
        <v>0</v>
      </c>
      <c r="AS243">
        <v>0</v>
      </c>
      <c r="AT243">
        <v>0</v>
      </c>
      <c r="AU243">
        <v>0</v>
      </c>
      <c r="AV243">
        <v>0</v>
      </c>
      <c r="AW243" s="80">
        <f>AW242</f>
        <v>10.284000000000001</v>
      </c>
      <c r="AZ243">
        <v>0</v>
      </c>
      <c r="BA243" t="s">
        <v>7</v>
      </c>
      <c r="BB243">
        <v>17472</v>
      </c>
      <c r="BC243">
        <v>96</v>
      </c>
      <c r="BD243">
        <v>2</v>
      </c>
      <c r="BE243">
        <v>8</v>
      </c>
      <c r="BF243">
        <v>333.02</v>
      </c>
      <c r="BG243" s="23">
        <v>10.679</v>
      </c>
      <c r="BH243" s="16">
        <v>45501</v>
      </c>
      <c r="BI243" s="18">
        <v>0.96497685185185189</v>
      </c>
      <c r="BJ243">
        <v>0</v>
      </c>
      <c r="BK243">
        <v>0</v>
      </c>
      <c r="BL243">
        <v>0</v>
      </c>
      <c r="BM243">
        <v>0</v>
      </c>
      <c r="BN243">
        <v>0</v>
      </c>
      <c r="BO243">
        <v>0</v>
      </c>
      <c r="BP243">
        <v>0</v>
      </c>
      <c r="BQ243">
        <v>0</v>
      </c>
      <c r="BR243">
        <v>0</v>
      </c>
      <c r="BS243">
        <v>0</v>
      </c>
      <c r="BT243">
        <v>0</v>
      </c>
      <c r="BU243">
        <v>0</v>
      </c>
      <c r="BV243" s="113">
        <f t="shared" si="6"/>
        <v>10.666</v>
      </c>
    </row>
    <row r="244" spans="1:74" x14ac:dyDescent="0.25">
      <c r="A244" t="s">
        <v>111</v>
      </c>
      <c r="B244">
        <v>0</v>
      </c>
      <c r="C244" t="s">
        <v>7</v>
      </c>
      <c r="D244" s="20">
        <v>18560</v>
      </c>
      <c r="E244" s="20">
        <v>32</v>
      </c>
      <c r="F244" s="20">
        <v>1</v>
      </c>
      <c r="G244" s="20">
        <v>16</v>
      </c>
      <c r="H244" s="79">
        <v>476.32</v>
      </c>
      <c r="I244" s="62">
        <v>8.9495000000000005</v>
      </c>
      <c r="J244" s="16">
        <v>45546</v>
      </c>
      <c r="K244" s="25">
        <v>0.40987268518518516</v>
      </c>
      <c r="L244">
        <v>0</v>
      </c>
      <c r="M244">
        <v>0</v>
      </c>
      <c r="N244">
        <v>0</v>
      </c>
      <c r="O244">
        <v>0</v>
      </c>
      <c r="P244">
        <v>0</v>
      </c>
      <c r="Q244">
        <v>0</v>
      </c>
      <c r="R244">
        <v>0</v>
      </c>
      <c r="S244">
        <v>0</v>
      </c>
      <c r="T244">
        <v>0</v>
      </c>
      <c r="U244">
        <v>0</v>
      </c>
      <c r="V244">
        <v>0</v>
      </c>
      <c r="W244">
        <v>0</v>
      </c>
      <c r="X244" s="82">
        <f>AVERAGE(I244:I248)</f>
        <v>9.1236800000000002</v>
      </c>
      <c r="Z244" t="s">
        <v>149</v>
      </c>
      <c r="AA244">
        <v>0</v>
      </c>
      <c r="AB244" t="s">
        <v>7</v>
      </c>
      <c r="AC244" s="20">
        <v>17472</v>
      </c>
      <c r="AD244" s="20">
        <v>96</v>
      </c>
      <c r="AE244" s="20">
        <v>4</v>
      </c>
      <c r="AF244" s="20">
        <v>4</v>
      </c>
      <c r="AG244" s="79">
        <v>345.58</v>
      </c>
      <c r="AH244" s="62">
        <v>10.291</v>
      </c>
      <c r="AI244" s="16">
        <v>45557</v>
      </c>
      <c r="AJ244" s="25">
        <v>0.9032175925925926</v>
      </c>
      <c r="AK244">
        <v>0</v>
      </c>
      <c r="AL244">
        <v>0</v>
      </c>
      <c r="AM244">
        <v>0</v>
      </c>
      <c r="AN244">
        <v>0</v>
      </c>
      <c r="AO244">
        <v>0</v>
      </c>
      <c r="AP244">
        <v>0</v>
      </c>
      <c r="AQ244">
        <v>0</v>
      </c>
      <c r="AR244">
        <v>0</v>
      </c>
      <c r="AS244">
        <v>0</v>
      </c>
      <c r="AT244">
        <v>0</v>
      </c>
      <c r="AU244">
        <v>0</v>
      </c>
      <c r="AV244">
        <v>0</v>
      </c>
      <c r="AW244" s="82">
        <f>AVERAGE(AH244:AH247)</f>
        <v>10.282249999999999</v>
      </c>
      <c r="AZ244">
        <v>1</v>
      </c>
      <c r="BA244" t="s">
        <v>7</v>
      </c>
      <c r="BB244">
        <v>17472</v>
      </c>
      <c r="BC244">
        <v>96</v>
      </c>
      <c r="BD244">
        <v>2</v>
      </c>
      <c r="BE244">
        <v>8</v>
      </c>
      <c r="BF244">
        <v>333.82</v>
      </c>
      <c r="BG244" s="23">
        <v>10.653</v>
      </c>
      <c r="BH244" s="16">
        <v>45502</v>
      </c>
      <c r="BI244" s="18">
        <v>0.35243055555555558</v>
      </c>
      <c r="BJ244">
        <v>0</v>
      </c>
      <c r="BK244">
        <v>0</v>
      </c>
      <c r="BL244">
        <v>0</v>
      </c>
      <c r="BM244">
        <v>0</v>
      </c>
      <c r="BN244">
        <v>0</v>
      </c>
      <c r="BO244">
        <v>0</v>
      </c>
      <c r="BP244">
        <v>0</v>
      </c>
      <c r="BQ244">
        <v>0</v>
      </c>
      <c r="BR244">
        <v>0</v>
      </c>
      <c r="BS244">
        <v>0</v>
      </c>
      <c r="BT244">
        <v>0</v>
      </c>
      <c r="BU244">
        <v>0</v>
      </c>
      <c r="BV244" s="113"/>
    </row>
    <row r="245" spans="1:74" x14ac:dyDescent="0.25">
      <c r="A245" t="s">
        <v>111</v>
      </c>
      <c r="B245">
        <v>1</v>
      </c>
      <c r="C245" t="s">
        <v>7</v>
      </c>
      <c r="D245" s="20">
        <v>18560</v>
      </c>
      <c r="E245" s="20">
        <v>32</v>
      </c>
      <c r="F245" s="20">
        <v>1</v>
      </c>
      <c r="G245" s="20">
        <v>16</v>
      </c>
      <c r="H245" s="79">
        <v>442.29</v>
      </c>
      <c r="I245" s="62">
        <v>9.6379999999999999</v>
      </c>
      <c r="J245" s="16">
        <v>45547</v>
      </c>
      <c r="K245" s="25">
        <v>2.6111111111111113E-2</v>
      </c>
      <c r="L245">
        <v>0</v>
      </c>
      <c r="M245">
        <v>0</v>
      </c>
      <c r="N245">
        <v>0</v>
      </c>
      <c r="O245">
        <v>0</v>
      </c>
      <c r="P245">
        <v>0</v>
      </c>
      <c r="Q245">
        <v>0</v>
      </c>
      <c r="R245">
        <v>0</v>
      </c>
      <c r="S245">
        <v>0</v>
      </c>
      <c r="T245">
        <v>0</v>
      </c>
      <c r="U245">
        <v>0</v>
      </c>
      <c r="V245">
        <v>0</v>
      </c>
      <c r="W245">
        <v>0</v>
      </c>
      <c r="X245" s="80">
        <f>X244</f>
        <v>9.1236800000000002</v>
      </c>
      <c r="Z245" t="s">
        <v>149</v>
      </c>
      <c r="AA245">
        <v>1</v>
      </c>
      <c r="AB245" t="s">
        <v>7</v>
      </c>
      <c r="AC245" s="20">
        <v>17472</v>
      </c>
      <c r="AD245" s="20">
        <v>96</v>
      </c>
      <c r="AE245" s="20">
        <v>4</v>
      </c>
      <c r="AF245" s="20">
        <v>4</v>
      </c>
      <c r="AG245" s="79">
        <v>346.26</v>
      </c>
      <c r="AH245" s="62">
        <v>10.27</v>
      </c>
      <c r="AI245" s="16">
        <v>45558</v>
      </c>
      <c r="AJ245" s="25">
        <v>0.40263888888888888</v>
      </c>
      <c r="AK245">
        <v>0</v>
      </c>
      <c r="AL245">
        <v>0</v>
      </c>
      <c r="AM245">
        <v>0</v>
      </c>
      <c r="AN245">
        <v>0</v>
      </c>
      <c r="AO245">
        <v>0</v>
      </c>
      <c r="AP245">
        <v>0</v>
      </c>
      <c r="AQ245">
        <v>0</v>
      </c>
      <c r="AR245">
        <v>0</v>
      </c>
      <c r="AS245">
        <v>0</v>
      </c>
      <c r="AT245">
        <v>0</v>
      </c>
      <c r="AU245">
        <v>0</v>
      </c>
      <c r="AV245">
        <v>0</v>
      </c>
      <c r="AW245" s="80">
        <f>AW244</f>
        <v>10.282249999999999</v>
      </c>
      <c r="AZ245">
        <v>0</v>
      </c>
      <c r="BA245" t="s">
        <v>7</v>
      </c>
      <c r="BB245">
        <v>18528</v>
      </c>
      <c r="BC245">
        <v>96</v>
      </c>
      <c r="BD245">
        <v>2</v>
      </c>
      <c r="BE245">
        <v>8</v>
      </c>
      <c r="BF245">
        <v>396.66</v>
      </c>
      <c r="BG245" s="23">
        <v>10.691000000000001</v>
      </c>
      <c r="BH245" s="16">
        <v>45502</v>
      </c>
      <c r="BI245" s="18">
        <v>8.0474537037037039E-2</v>
      </c>
      <c r="BJ245">
        <v>0</v>
      </c>
      <c r="BK245">
        <v>0</v>
      </c>
      <c r="BL245">
        <v>0</v>
      </c>
      <c r="BM245">
        <v>0</v>
      </c>
      <c r="BN245">
        <v>0</v>
      </c>
      <c r="BO245">
        <v>0</v>
      </c>
      <c r="BP245">
        <v>0</v>
      </c>
      <c r="BQ245">
        <v>0</v>
      </c>
      <c r="BR245">
        <v>0</v>
      </c>
      <c r="BS245">
        <v>0</v>
      </c>
      <c r="BT245">
        <v>0</v>
      </c>
      <c r="BU245">
        <v>0</v>
      </c>
      <c r="BV245" s="113">
        <f t="shared" si="6"/>
        <v>10.699000000000002</v>
      </c>
    </row>
    <row r="246" spans="1:74" x14ac:dyDescent="0.25">
      <c r="A246" t="s">
        <v>111</v>
      </c>
      <c r="B246">
        <v>2</v>
      </c>
      <c r="C246" t="s">
        <v>7</v>
      </c>
      <c r="D246" s="20">
        <v>18560</v>
      </c>
      <c r="E246" s="20">
        <v>32</v>
      </c>
      <c r="F246" s="20">
        <v>1</v>
      </c>
      <c r="G246" s="20">
        <v>16</v>
      </c>
      <c r="H246" s="79">
        <v>447.94</v>
      </c>
      <c r="I246" s="62">
        <v>9.5165000000000006</v>
      </c>
      <c r="J246" s="16">
        <v>45547</v>
      </c>
      <c r="K246" s="25">
        <v>0.641087962962963</v>
      </c>
      <c r="L246">
        <v>0</v>
      </c>
      <c r="M246">
        <v>0</v>
      </c>
      <c r="N246">
        <v>0</v>
      </c>
      <c r="O246">
        <v>0</v>
      </c>
      <c r="P246">
        <v>0</v>
      </c>
      <c r="Q246">
        <v>0</v>
      </c>
      <c r="R246">
        <v>0</v>
      </c>
      <c r="S246">
        <v>0</v>
      </c>
      <c r="T246">
        <v>0</v>
      </c>
      <c r="U246">
        <v>0</v>
      </c>
      <c r="V246">
        <v>0</v>
      </c>
      <c r="W246">
        <v>0</v>
      </c>
      <c r="X246" s="80">
        <f>X245</f>
        <v>9.1236800000000002</v>
      </c>
      <c r="Z246" t="s">
        <v>149</v>
      </c>
      <c r="AA246">
        <v>2</v>
      </c>
      <c r="AB246" t="s">
        <v>7</v>
      </c>
      <c r="AC246" s="20">
        <v>17472</v>
      </c>
      <c r="AD246" s="20">
        <v>96</v>
      </c>
      <c r="AE246" s="20">
        <v>4</v>
      </c>
      <c r="AF246" s="20">
        <v>4</v>
      </c>
      <c r="AG246" s="79">
        <v>346.21</v>
      </c>
      <c r="AH246" s="62">
        <v>10.272</v>
      </c>
      <c r="AI246" s="16">
        <v>45558</v>
      </c>
      <c r="AJ246" s="25">
        <v>0.90114583333333331</v>
      </c>
      <c r="AK246">
        <v>0</v>
      </c>
      <c r="AL246">
        <v>0</v>
      </c>
      <c r="AM246">
        <v>0</v>
      </c>
      <c r="AN246">
        <v>0</v>
      </c>
      <c r="AO246">
        <v>0</v>
      </c>
      <c r="AP246">
        <v>0</v>
      </c>
      <c r="AQ246">
        <v>0</v>
      </c>
      <c r="AR246">
        <v>0</v>
      </c>
      <c r="AS246">
        <v>0</v>
      </c>
      <c r="AT246">
        <v>0</v>
      </c>
      <c r="AU246">
        <v>0</v>
      </c>
      <c r="AV246">
        <v>0</v>
      </c>
      <c r="AW246" s="80">
        <f>AW245</f>
        <v>10.282249999999999</v>
      </c>
      <c r="AZ246">
        <v>1</v>
      </c>
      <c r="BA246" t="s">
        <v>7</v>
      </c>
      <c r="BB246">
        <v>18528</v>
      </c>
      <c r="BC246">
        <v>96</v>
      </c>
      <c r="BD246">
        <v>2</v>
      </c>
      <c r="BE246">
        <v>8</v>
      </c>
      <c r="BF246">
        <v>396.07</v>
      </c>
      <c r="BG246" s="23">
        <v>10.707000000000001</v>
      </c>
      <c r="BH246" s="16">
        <v>45502</v>
      </c>
      <c r="BI246" s="18">
        <v>0.46788194444444442</v>
      </c>
      <c r="BJ246">
        <v>0</v>
      </c>
      <c r="BK246">
        <v>0</v>
      </c>
      <c r="BL246">
        <v>0</v>
      </c>
      <c r="BM246">
        <v>0</v>
      </c>
      <c r="BN246">
        <v>0</v>
      </c>
      <c r="BO246">
        <v>0</v>
      </c>
      <c r="BP246">
        <v>0</v>
      </c>
      <c r="BQ246">
        <v>0</v>
      </c>
      <c r="BR246">
        <v>0</v>
      </c>
      <c r="BS246">
        <v>0</v>
      </c>
      <c r="BT246">
        <v>0</v>
      </c>
      <c r="BU246">
        <v>0</v>
      </c>
      <c r="BV246" s="113"/>
    </row>
    <row r="247" spans="1:74" x14ac:dyDescent="0.25">
      <c r="A247" t="s">
        <v>111</v>
      </c>
      <c r="B247">
        <v>3</v>
      </c>
      <c r="C247" t="s">
        <v>7</v>
      </c>
      <c r="D247" s="20">
        <v>18560</v>
      </c>
      <c r="E247" s="20">
        <v>32</v>
      </c>
      <c r="F247" s="20">
        <v>1</v>
      </c>
      <c r="G247" s="20">
        <v>16</v>
      </c>
      <c r="H247" s="79">
        <v>492.11</v>
      </c>
      <c r="I247" s="62">
        <v>8.6623000000000001</v>
      </c>
      <c r="J247" s="16">
        <v>45548</v>
      </c>
      <c r="K247" s="25">
        <v>0.30152777777777778</v>
      </c>
      <c r="L247">
        <v>0</v>
      </c>
      <c r="M247">
        <v>0</v>
      </c>
      <c r="N247">
        <v>0</v>
      </c>
      <c r="O247">
        <v>0</v>
      </c>
      <c r="P247">
        <v>0</v>
      </c>
      <c r="Q247">
        <v>0</v>
      </c>
      <c r="R247">
        <v>0</v>
      </c>
      <c r="S247">
        <v>0</v>
      </c>
      <c r="T247">
        <v>0</v>
      </c>
      <c r="U247">
        <v>0</v>
      </c>
      <c r="V247">
        <v>0</v>
      </c>
      <c r="W247">
        <v>0</v>
      </c>
      <c r="X247" s="80">
        <f>X246</f>
        <v>9.1236800000000002</v>
      </c>
      <c r="Z247" t="s">
        <v>149</v>
      </c>
      <c r="AA247">
        <v>3</v>
      </c>
      <c r="AB247" t="s">
        <v>7</v>
      </c>
      <c r="AC247" s="20">
        <v>17472</v>
      </c>
      <c r="AD247" s="20">
        <v>96</v>
      </c>
      <c r="AE247" s="20">
        <v>4</v>
      </c>
      <c r="AF247" s="20">
        <v>4</v>
      </c>
      <c r="AG247" s="79">
        <v>345.41</v>
      </c>
      <c r="AH247" s="62">
        <v>10.295999999999999</v>
      </c>
      <c r="AI247" s="16">
        <v>45555</v>
      </c>
      <c r="AJ247" s="25">
        <v>7.210648148148148E-2</v>
      </c>
      <c r="AK247">
        <v>0</v>
      </c>
      <c r="AL247">
        <v>0</v>
      </c>
      <c r="AM247">
        <v>0</v>
      </c>
      <c r="AN247">
        <v>0</v>
      </c>
      <c r="AO247">
        <v>0</v>
      </c>
      <c r="AP247">
        <v>0</v>
      </c>
      <c r="AQ247">
        <v>0</v>
      </c>
      <c r="AR247">
        <v>0</v>
      </c>
      <c r="AS247">
        <v>0</v>
      </c>
      <c r="AT247">
        <v>0</v>
      </c>
      <c r="AU247">
        <v>0</v>
      </c>
      <c r="AV247">
        <v>0</v>
      </c>
      <c r="AW247" s="80">
        <f>AW246</f>
        <v>10.282249999999999</v>
      </c>
      <c r="AZ247">
        <v>0</v>
      </c>
      <c r="BA247" t="s">
        <v>7</v>
      </c>
      <c r="BB247">
        <v>19584</v>
      </c>
      <c r="BC247">
        <v>96</v>
      </c>
      <c r="BD247">
        <v>2</v>
      </c>
      <c r="BE247">
        <v>8</v>
      </c>
      <c r="BF247">
        <v>439.9</v>
      </c>
      <c r="BG247" s="23">
        <v>11.384</v>
      </c>
      <c r="BH247" s="16">
        <v>45502</v>
      </c>
      <c r="BI247" s="18">
        <v>0.21457175925925925</v>
      </c>
      <c r="BJ247">
        <v>0</v>
      </c>
      <c r="BK247">
        <v>0</v>
      </c>
      <c r="BL247">
        <v>0</v>
      </c>
      <c r="BM247">
        <v>0</v>
      </c>
      <c r="BN247">
        <v>0</v>
      </c>
      <c r="BO247">
        <v>0</v>
      </c>
      <c r="BP247">
        <v>0</v>
      </c>
      <c r="BQ247">
        <v>0</v>
      </c>
      <c r="BR247">
        <v>0</v>
      </c>
      <c r="BS247">
        <v>0</v>
      </c>
      <c r="BT247">
        <v>0</v>
      </c>
      <c r="BU247">
        <v>0</v>
      </c>
      <c r="BV247" s="113">
        <f t="shared" si="6"/>
        <v>11.371500000000001</v>
      </c>
    </row>
    <row r="248" spans="1:74" x14ac:dyDescent="0.25">
      <c r="A248" t="s">
        <v>111</v>
      </c>
      <c r="B248">
        <v>4</v>
      </c>
      <c r="C248" t="s">
        <v>7</v>
      </c>
      <c r="D248" s="20">
        <v>18560</v>
      </c>
      <c r="E248" s="20">
        <v>32</v>
      </c>
      <c r="F248" s="20">
        <v>1</v>
      </c>
      <c r="G248" s="20">
        <v>16</v>
      </c>
      <c r="H248" s="79">
        <v>481.56</v>
      </c>
      <c r="I248" s="62">
        <v>8.8521000000000001</v>
      </c>
      <c r="J248" s="16">
        <v>45548</v>
      </c>
      <c r="K248" s="25">
        <v>0.92969907407407404</v>
      </c>
      <c r="L248">
        <v>0</v>
      </c>
      <c r="M248">
        <v>0</v>
      </c>
      <c r="N248">
        <v>0</v>
      </c>
      <c r="O248">
        <v>0</v>
      </c>
      <c r="P248">
        <v>0</v>
      </c>
      <c r="Q248">
        <v>0</v>
      </c>
      <c r="R248">
        <v>0</v>
      </c>
      <c r="S248">
        <v>0</v>
      </c>
      <c r="T248">
        <v>0</v>
      </c>
      <c r="U248">
        <v>0</v>
      </c>
      <c r="V248">
        <v>0</v>
      </c>
      <c r="W248">
        <v>0</v>
      </c>
      <c r="X248" s="80">
        <f>X247</f>
        <v>9.1236800000000002</v>
      </c>
      <c r="Z248" t="s">
        <v>149</v>
      </c>
      <c r="AA248">
        <v>4</v>
      </c>
      <c r="AB248" t="s">
        <v>7</v>
      </c>
      <c r="AC248" s="20">
        <v>17472</v>
      </c>
      <c r="AD248" s="20">
        <v>96</v>
      </c>
      <c r="AE248" s="20">
        <v>4</v>
      </c>
      <c r="AF248" s="20">
        <v>4</v>
      </c>
      <c r="AG248" s="79">
        <v>346.21</v>
      </c>
      <c r="AH248" s="62">
        <v>10.272</v>
      </c>
      <c r="AI248" s="16">
        <v>45555</v>
      </c>
      <c r="AJ248" s="25">
        <v>0.57225694444444442</v>
      </c>
      <c r="AK248">
        <v>0</v>
      </c>
      <c r="AL248">
        <v>0</v>
      </c>
      <c r="AM248">
        <v>0</v>
      </c>
      <c r="AN248">
        <v>0</v>
      </c>
      <c r="AO248">
        <v>0</v>
      </c>
      <c r="AP248">
        <v>0</v>
      </c>
      <c r="AQ248">
        <v>0</v>
      </c>
      <c r="AR248">
        <v>0</v>
      </c>
      <c r="AS248">
        <v>0</v>
      </c>
      <c r="AT248">
        <v>0</v>
      </c>
      <c r="AU248">
        <v>0</v>
      </c>
      <c r="AV248">
        <v>0</v>
      </c>
      <c r="AW248" s="80">
        <f>AW247</f>
        <v>10.282249999999999</v>
      </c>
      <c r="AZ248">
        <v>1</v>
      </c>
      <c r="BA248" t="s">
        <v>7</v>
      </c>
      <c r="BB248">
        <v>19584</v>
      </c>
      <c r="BC248">
        <v>96</v>
      </c>
      <c r="BD248">
        <v>2</v>
      </c>
      <c r="BE248">
        <v>8</v>
      </c>
      <c r="BF248">
        <v>440.88</v>
      </c>
      <c r="BG248" s="23">
        <v>11.359</v>
      </c>
      <c r="BH248" s="16">
        <v>45502</v>
      </c>
      <c r="BI248" s="18">
        <v>0.60285879629629635</v>
      </c>
      <c r="BJ248">
        <v>0</v>
      </c>
      <c r="BK248">
        <v>0</v>
      </c>
      <c r="BL248">
        <v>0</v>
      </c>
      <c r="BM248">
        <v>0</v>
      </c>
      <c r="BN248">
        <v>0</v>
      </c>
      <c r="BO248">
        <v>0</v>
      </c>
      <c r="BP248">
        <v>0</v>
      </c>
      <c r="BQ248">
        <v>0</v>
      </c>
      <c r="BR248">
        <v>0</v>
      </c>
      <c r="BS248">
        <v>0</v>
      </c>
      <c r="BT248">
        <v>0</v>
      </c>
      <c r="BU248">
        <v>0</v>
      </c>
      <c r="BV248" s="113"/>
    </row>
    <row r="249" spans="1:74" x14ac:dyDescent="0.25">
      <c r="A249" t="s">
        <v>111</v>
      </c>
      <c r="B249">
        <v>0</v>
      </c>
      <c r="C249" t="s">
        <v>7</v>
      </c>
      <c r="D249" s="20">
        <v>18432</v>
      </c>
      <c r="E249" s="20">
        <v>192</v>
      </c>
      <c r="F249" s="20">
        <v>4</v>
      </c>
      <c r="G249" s="20">
        <v>4</v>
      </c>
      <c r="H249" s="79">
        <v>455.01</v>
      </c>
      <c r="I249" s="62">
        <v>9.1760999999999999</v>
      </c>
      <c r="J249" s="16">
        <v>45546</v>
      </c>
      <c r="K249" s="25">
        <v>0.49723379629629627</v>
      </c>
      <c r="L249">
        <v>0</v>
      </c>
      <c r="M249">
        <v>0</v>
      </c>
      <c r="N249">
        <v>0</v>
      </c>
      <c r="O249">
        <v>0</v>
      </c>
      <c r="P249">
        <v>0</v>
      </c>
      <c r="Q249">
        <v>0</v>
      </c>
      <c r="R249">
        <v>0</v>
      </c>
      <c r="S249">
        <v>0</v>
      </c>
      <c r="T249">
        <v>0</v>
      </c>
      <c r="U249">
        <v>0</v>
      </c>
      <c r="V249">
        <v>0</v>
      </c>
      <c r="W249">
        <v>0</v>
      </c>
      <c r="X249" s="82">
        <f>AVERAGE(I249:I253)</f>
        <v>9.1128600000000013</v>
      </c>
      <c r="Z249" t="s">
        <v>149</v>
      </c>
      <c r="AA249">
        <v>0</v>
      </c>
      <c r="AB249" t="s">
        <v>7</v>
      </c>
      <c r="AC249" s="20">
        <v>17536</v>
      </c>
      <c r="AD249" s="20">
        <v>64</v>
      </c>
      <c r="AE249" s="20">
        <v>4</v>
      </c>
      <c r="AF249" s="20">
        <v>4</v>
      </c>
      <c r="AG249" s="79">
        <v>352.73</v>
      </c>
      <c r="AH249" s="62">
        <v>10.193</v>
      </c>
      <c r="AI249" s="16">
        <v>45557</v>
      </c>
      <c r="AJ249" s="25">
        <v>0.89159722222222226</v>
      </c>
      <c r="AK249">
        <v>0</v>
      </c>
      <c r="AL249">
        <v>0</v>
      </c>
      <c r="AM249">
        <v>0</v>
      </c>
      <c r="AN249">
        <v>0</v>
      </c>
      <c r="AO249">
        <v>0</v>
      </c>
      <c r="AP249">
        <v>0</v>
      </c>
      <c r="AQ249">
        <v>0</v>
      </c>
      <c r="AR249">
        <v>0</v>
      </c>
      <c r="AS249">
        <v>0</v>
      </c>
      <c r="AT249">
        <v>0</v>
      </c>
      <c r="AU249">
        <v>0</v>
      </c>
      <c r="AV249">
        <v>0</v>
      </c>
      <c r="AW249" s="82">
        <f>AVERAGE(AH249:AH252)</f>
        <v>10.206</v>
      </c>
      <c r="AZ249">
        <v>0</v>
      </c>
      <c r="BA249" t="s">
        <v>7</v>
      </c>
      <c r="BB249">
        <v>17472</v>
      </c>
      <c r="BC249">
        <v>96</v>
      </c>
      <c r="BD249">
        <v>4</v>
      </c>
      <c r="BE249">
        <v>4</v>
      </c>
      <c r="BF249">
        <v>400.22</v>
      </c>
      <c r="BG249" s="23">
        <v>8.8857999999999997</v>
      </c>
      <c r="BH249" s="16">
        <v>45501</v>
      </c>
      <c r="BI249" s="18">
        <v>0.96975694444444449</v>
      </c>
      <c r="BJ249">
        <v>0</v>
      </c>
      <c r="BK249">
        <v>0</v>
      </c>
      <c r="BL249">
        <v>0</v>
      </c>
      <c r="BM249">
        <v>0</v>
      </c>
      <c r="BN249">
        <v>0</v>
      </c>
      <c r="BO249">
        <v>0</v>
      </c>
      <c r="BP249">
        <v>0</v>
      </c>
      <c r="BQ249">
        <v>0</v>
      </c>
      <c r="BR249">
        <v>0</v>
      </c>
      <c r="BS249">
        <v>0</v>
      </c>
      <c r="BT249">
        <v>0</v>
      </c>
      <c r="BU249">
        <v>0</v>
      </c>
      <c r="BV249" s="113">
        <f t="shared" si="6"/>
        <v>8.8657000000000004</v>
      </c>
    </row>
    <row r="250" spans="1:74" x14ac:dyDescent="0.25">
      <c r="A250" t="s">
        <v>111</v>
      </c>
      <c r="B250">
        <v>1</v>
      </c>
      <c r="C250" t="s">
        <v>7</v>
      </c>
      <c r="D250" s="20">
        <v>18432</v>
      </c>
      <c r="E250" s="20">
        <v>192</v>
      </c>
      <c r="F250" s="20">
        <v>4</v>
      </c>
      <c r="G250" s="20">
        <v>4</v>
      </c>
      <c r="H250" s="79">
        <v>458.42</v>
      </c>
      <c r="I250" s="62">
        <v>9.1079000000000008</v>
      </c>
      <c r="J250" s="16">
        <v>45547</v>
      </c>
      <c r="K250" s="25">
        <v>0.11325231481481482</v>
      </c>
      <c r="L250">
        <v>0</v>
      </c>
      <c r="M250">
        <v>0</v>
      </c>
      <c r="N250">
        <v>0</v>
      </c>
      <c r="O250">
        <v>0</v>
      </c>
      <c r="P250">
        <v>0</v>
      </c>
      <c r="Q250">
        <v>0</v>
      </c>
      <c r="R250">
        <v>0</v>
      </c>
      <c r="S250">
        <v>0</v>
      </c>
      <c r="T250">
        <v>0</v>
      </c>
      <c r="U250">
        <v>0</v>
      </c>
      <c r="V250">
        <v>0</v>
      </c>
      <c r="W250">
        <v>0</v>
      </c>
      <c r="X250" s="80">
        <f>X249</f>
        <v>9.1128600000000013</v>
      </c>
      <c r="Z250" t="s">
        <v>149</v>
      </c>
      <c r="AA250">
        <v>1</v>
      </c>
      <c r="AB250" t="s">
        <v>7</v>
      </c>
      <c r="AC250" s="20">
        <v>17536</v>
      </c>
      <c r="AD250" s="20">
        <v>64</v>
      </c>
      <c r="AE250" s="20">
        <v>4</v>
      </c>
      <c r="AF250" s="20">
        <v>4</v>
      </c>
      <c r="AG250" s="79">
        <v>352.69</v>
      </c>
      <c r="AH250" s="62">
        <v>10.194000000000001</v>
      </c>
      <c r="AI250" s="16">
        <v>45558</v>
      </c>
      <c r="AJ250" s="25">
        <v>0.39100694444444445</v>
      </c>
      <c r="AK250">
        <v>0</v>
      </c>
      <c r="AL250">
        <v>0</v>
      </c>
      <c r="AM250">
        <v>0</v>
      </c>
      <c r="AN250">
        <v>0</v>
      </c>
      <c r="AO250">
        <v>0</v>
      </c>
      <c r="AP250">
        <v>0</v>
      </c>
      <c r="AQ250">
        <v>0</v>
      </c>
      <c r="AR250">
        <v>0</v>
      </c>
      <c r="AS250">
        <v>0</v>
      </c>
      <c r="AT250">
        <v>0</v>
      </c>
      <c r="AU250">
        <v>0</v>
      </c>
      <c r="AV250">
        <v>0</v>
      </c>
      <c r="AW250" s="80">
        <f>AW249</f>
        <v>10.206</v>
      </c>
      <c r="AZ250">
        <v>1</v>
      </c>
      <c r="BA250" t="s">
        <v>7</v>
      </c>
      <c r="BB250">
        <v>17472</v>
      </c>
      <c r="BC250">
        <v>96</v>
      </c>
      <c r="BD250">
        <v>4</v>
      </c>
      <c r="BE250">
        <v>4</v>
      </c>
      <c r="BF250">
        <v>402.04</v>
      </c>
      <c r="BG250" s="23">
        <v>8.8455999999999992</v>
      </c>
      <c r="BH250" s="16">
        <v>45502</v>
      </c>
      <c r="BI250" s="18">
        <v>0.35723379629629631</v>
      </c>
      <c r="BJ250">
        <v>0</v>
      </c>
      <c r="BK250">
        <v>0</v>
      </c>
      <c r="BL250">
        <v>0</v>
      </c>
      <c r="BM250">
        <v>0</v>
      </c>
      <c r="BN250">
        <v>0</v>
      </c>
      <c r="BO250">
        <v>0</v>
      </c>
      <c r="BP250">
        <v>0</v>
      </c>
      <c r="BQ250">
        <v>0</v>
      </c>
      <c r="BR250">
        <v>0</v>
      </c>
      <c r="BS250">
        <v>0</v>
      </c>
      <c r="BT250">
        <v>0</v>
      </c>
      <c r="BU250">
        <v>0</v>
      </c>
      <c r="BV250" s="113"/>
    </row>
    <row r="251" spans="1:74" x14ac:dyDescent="0.25">
      <c r="A251" t="s">
        <v>111</v>
      </c>
      <c r="B251">
        <v>2</v>
      </c>
      <c r="C251" t="s">
        <v>7</v>
      </c>
      <c r="D251" s="20">
        <v>18432</v>
      </c>
      <c r="E251" s="20">
        <v>192</v>
      </c>
      <c r="F251" s="20">
        <v>4</v>
      </c>
      <c r="G251" s="20">
        <v>4</v>
      </c>
      <c r="H251" s="79">
        <v>459.36</v>
      </c>
      <c r="I251" s="62">
        <v>9.0891000000000002</v>
      </c>
      <c r="J251" s="16">
        <v>45547</v>
      </c>
      <c r="K251" s="25">
        <v>0.72745370370370366</v>
      </c>
      <c r="L251">
        <v>0</v>
      </c>
      <c r="M251">
        <v>0</v>
      </c>
      <c r="N251">
        <v>0</v>
      </c>
      <c r="O251">
        <v>0</v>
      </c>
      <c r="P251">
        <v>0</v>
      </c>
      <c r="Q251">
        <v>0</v>
      </c>
      <c r="R251">
        <v>0</v>
      </c>
      <c r="S251">
        <v>0</v>
      </c>
      <c r="T251">
        <v>0</v>
      </c>
      <c r="U251">
        <v>0</v>
      </c>
      <c r="V251">
        <v>0</v>
      </c>
      <c r="W251">
        <v>0</v>
      </c>
      <c r="X251" s="80">
        <f>X250</f>
        <v>9.1128600000000013</v>
      </c>
      <c r="Z251" t="s">
        <v>149</v>
      </c>
      <c r="AA251">
        <v>2</v>
      </c>
      <c r="AB251" t="s">
        <v>7</v>
      </c>
      <c r="AC251" s="20">
        <v>17536</v>
      </c>
      <c r="AD251" s="20">
        <v>64</v>
      </c>
      <c r="AE251" s="20">
        <v>4</v>
      </c>
      <c r="AF251" s="20">
        <v>4</v>
      </c>
      <c r="AG251" s="79">
        <v>352.44</v>
      </c>
      <c r="AH251" s="62">
        <v>10.202</v>
      </c>
      <c r="AI251" s="16">
        <v>45558</v>
      </c>
      <c r="AJ251" s="25">
        <v>0.88951388888888894</v>
      </c>
      <c r="AK251">
        <v>0</v>
      </c>
      <c r="AL251">
        <v>0</v>
      </c>
      <c r="AM251">
        <v>0</v>
      </c>
      <c r="AN251">
        <v>0</v>
      </c>
      <c r="AO251">
        <v>0</v>
      </c>
      <c r="AP251">
        <v>0</v>
      </c>
      <c r="AQ251">
        <v>0</v>
      </c>
      <c r="AR251">
        <v>0</v>
      </c>
      <c r="AS251">
        <v>0</v>
      </c>
      <c r="AT251">
        <v>0</v>
      </c>
      <c r="AU251">
        <v>0</v>
      </c>
      <c r="AV251">
        <v>0</v>
      </c>
      <c r="AW251" s="80">
        <f>AW250</f>
        <v>10.206</v>
      </c>
      <c r="AZ251">
        <v>0</v>
      </c>
      <c r="BA251" t="s">
        <v>7</v>
      </c>
      <c r="BB251">
        <v>18528</v>
      </c>
      <c r="BC251">
        <v>96</v>
      </c>
      <c r="BD251">
        <v>4</v>
      </c>
      <c r="BE251">
        <v>4</v>
      </c>
      <c r="BF251">
        <v>471.86</v>
      </c>
      <c r="BG251" s="23">
        <v>8.9873999999999992</v>
      </c>
      <c r="BH251" s="16">
        <v>45502</v>
      </c>
      <c r="BI251" s="18">
        <v>8.6099537037037044E-2</v>
      </c>
      <c r="BJ251">
        <v>0</v>
      </c>
      <c r="BK251">
        <v>0</v>
      </c>
      <c r="BL251">
        <v>0</v>
      </c>
      <c r="BM251">
        <v>0</v>
      </c>
      <c r="BN251">
        <v>0</v>
      </c>
      <c r="BO251">
        <v>0</v>
      </c>
      <c r="BP251">
        <v>0</v>
      </c>
      <c r="BQ251">
        <v>0</v>
      </c>
      <c r="BR251">
        <v>0</v>
      </c>
      <c r="BS251">
        <v>0</v>
      </c>
      <c r="BT251">
        <v>0</v>
      </c>
      <c r="BU251">
        <v>0</v>
      </c>
      <c r="BV251" s="113">
        <f t="shared" si="6"/>
        <v>9.0122999999999998</v>
      </c>
    </row>
    <row r="252" spans="1:74" x14ac:dyDescent="0.25">
      <c r="A252" t="s">
        <v>111</v>
      </c>
      <c r="B252">
        <v>3</v>
      </c>
      <c r="C252" t="s">
        <v>7</v>
      </c>
      <c r="D252" s="20">
        <v>18432</v>
      </c>
      <c r="E252" s="20">
        <v>192</v>
      </c>
      <c r="F252" s="20">
        <v>4</v>
      </c>
      <c r="G252" s="20">
        <v>4</v>
      </c>
      <c r="H252" s="79">
        <v>458.8</v>
      </c>
      <c r="I252" s="62">
        <v>9.1001999999999992</v>
      </c>
      <c r="J252" s="16">
        <v>45548</v>
      </c>
      <c r="K252" s="25">
        <v>0.38775462962962964</v>
      </c>
      <c r="L252">
        <v>0</v>
      </c>
      <c r="M252">
        <v>0</v>
      </c>
      <c r="N252">
        <v>0</v>
      </c>
      <c r="O252">
        <v>0</v>
      </c>
      <c r="P252">
        <v>0</v>
      </c>
      <c r="Q252">
        <v>0</v>
      </c>
      <c r="R252">
        <v>0</v>
      </c>
      <c r="S252">
        <v>0</v>
      </c>
      <c r="T252">
        <v>0</v>
      </c>
      <c r="U252">
        <v>0</v>
      </c>
      <c r="V252">
        <v>0</v>
      </c>
      <c r="W252">
        <v>0</v>
      </c>
      <c r="X252" s="80">
        <f>X251</f>
        <v>9.1128600000000013</v>
      </c>
      <c r="Z252" t="s">
        <v>149</v>
      </c>
      <c r="AA252">
        <v>3</v>
      </c>
      <c r="AB252" t="s">
        <v>7</v>
      </c>
      <c r="AC252" s="20">
        <v>17536</v>
      </c>
      <c r="AD252" s="20">
        <v>64</v>
      </c>
      <c r="AE252" s="20">
        <v>4</v>
      </c>
      <c r="AF252" s="20">
        <v>4</v>
      </c>
      <c r="AG252" s="79">
        <v>351.3</v>
      </c>
      <c r="AH252" s="62">
        <v>10.234999999999999</v>
      </c>
      <c r="AI252" s="16">
        <v>45555</v>
      </c>
      <c r="AJ252" s="25">
        <v>6.0474537037037035E-2</v>
      </c>
      <c r="AK252">
        <v>0</v>
      </c>
      <c r="AL252">
        <v>0</v>
      </c>
      <c r="AM252">
        <v>0</v>
      </c>
      <c r="AN252">
        <v>0</v>
      </c>
      <c r="AO252">
        <v>0</v>
      </c>
      <c r="AP252">
        <v>0</v>
      </c>
      <c r="AQ252">
        <v>0</v>
      </c>
      <c r="AR252">
        <v>0</v>
      </c>
      <c r="AS252">
        <v>0</v>
      </c>
      <c r="AT252">
        <v>0</v>
      </c>
      <c r="AU252">
        <v>0</v>
      </c>
      <c r="AV252">
        <v>0</v>
      </c>
      <c r="AW252" s="80">
        <f>AW251</f>
        <v>10.206</v>
      </c>
      <c r="AZ252">
        <v>1</v>
      </c>
      <c r="BA252" t="s">
        <v>7</v>
      </c>
      <c r="BB252">
        <v>18528</v>
      </c>
      <c r="BC252">
        <v>96</v>
      </c>
      <c r="BD252">
        <v>4</v>
      </c>
      <c r="BE252">
        <v>4</v>
      </c>
      <c r="BF252">
        <v>469.26</v>
      </c>
      <c r="BG252" s="23">
        <v>9.0372000000000003</v>
      </c>
      <c r="BH252" s="16">
        <v>45502</v>
      </c>
      <c r="BI252" s="18">
        <v>0.47347222222222224</v>
      </c>
      <c r="BJ252">
        <v>0</v>
      </c>
      <c r="BK252">
        <v>0</v>
      </c>
      <c r="BL252">
        <v>0</v>
      </c>
      <c r="BM252">
        <v>0</v>
      </c>
      <c r="BN252">
        <v>0</v>
      </c>
      <c r="BO252">
        <v>0</v>
      </c>
      <c r="BP252">
        <v>0</v>
      </c>
      <c r="BQ252">
        <v>0</v>
      </c>
      <c r="BR252">
        <v>0</v>
      </c>
      <c r="BS252">
        <v>0</v>
      </c>
      <c r="BT252">
        <v>0</v>
      </c>
      <c r="BU252">
        <v>0</v>
      </c>
      <c r="BV252" s="113"/>
    </row>
    <row r="253" spans="1:74" x14ac:dyDescent="0.25">
      <c r="A253" t="s">
        <v>111</v>
      </c>
      <c r="B253">
        <v>4</v>
      </c>
      <c r="C253" t="s">
        <v>7</v>
      </c>
      <c r="D253" s="20">
        <v>18432</v>
      </c>
      <c r="E253" s="20">
        <v>192</v>
      </c>
      <c r="F253" s="20">
        <v>4</v>
      </c>
      <c r="G253" s="20">
        <v>4</v>
      </c>
      <c r="H253" s="79">
        <v>459.27</v>
      </c>
      <c r="I253" s="62">
        <v>9.0909999999999993</v>
      </c>
      <c r="J253" s="16">
        <v>45549</v>
      </c>
      <c r="K253" s="25">
        <v>1.7534722222222222E-2</v>
      </c>
      <c r="L253">
        <v>0</v>
      </c>
      <c r="M253">
        <v>0</v>
      </c>
      <c r="N253">
        <v>0</v>
      </c>
      <c r="O253">
        <v>0</v>
      </c>
      <c r="P253">
        <v>0</v>
      </c>
      <c r="Q253">
        <v>0</v>
      </c>
      <c r="R253">
        <v>0</v>
      </c>
      <c r="S253">
        <v>0</v>
      </c>
      <c r="T253">
        <v>0</v>
      </c>
      <c r="U253">
        <v>0</v>
      </c>
      <c r="V253">
        <v>0</v>
      </c>
      <c r="W253">
        <v>0</v>
      </c>
      <c r="X253" s="80">
        <f>X252</f>
        <v>9.1128600000000013</v>
      </c>
      <c r="Z253" t="s">
        <v>149</v>
      </c>
      <c r="AA253">
        <v>4</v>
      </c>
      <c r="AB253" t="s">
        <v>7</v>
      </c>
      <c r="AC253" s="20">
        <v>17536</v>
      </c>
      <c r="AD253" s="20">
        <v>64</v>
      </c>
      <c r="AE253" s="20">
        <v>4</v>
      </c>
      <c r="AF253" s="20">
        <v>4</v>
      </c>
      <c r="AG253" s="79">
        <v>352.92</v>
      </c>
      <c r="AH253" s="62">
        <v>10.188000000000001</v>
      </c>
      <c r="AI253" s="16">
        <v>45555</v>
      </c>
      <c r="AJ253" s="25">
        <v>0.56062500000000004</v>
      </c>
      <c r="AK253">
        <v>0</v>
      </c>
      <c r="AL253">
        <v>0</v>
      </c>
      <c r="AM253">
        <v>0</v>
      </c>
      <c r="AN253">
        <v>0</v>
      </c>
      <c r="AO253">
        <v>0</v>
      </c>
      <c r="AP253">
        <v>0</v>
      </c>
      <c r="AQ253">
        <v>0</v>
      </c>
      <c r="AR253">
        <v>0</v>
      </c>
      <c r="AS253">
        <v>0</v>
      </c>
      <c r="AT253">
        <v>0</v>
      </c>
      <c r="AU253">
        <v>0</v>
      </c>
      <c r="AV253">
        <v>0</v>
      </c>
      <c r="AW253" s="80">
        <f>AW252</f>
        <v>10.206</v>
      </c>
      <c r="AZ253">
        <v>0</v>
      </c>
      <c r="BA253" t="s">
        <v>7</v>
      </c>
      <c r="BB253">
        <v>19584</v>
      </c>
      <c r="BC253">
        <v>96</v>
      </c>
      <c r="BD253">
        <v>4</v>
      </c>
      <c r="BE253">
        <v>4</v>
      </c>
      <c r="BF253">
        <v>528.82000000000005</v>
      </c>
      <c r="BG253" s="23">
        <v>9.4701000000000004</v>
      </c>
      <c r="BH253" s="16">
        <v>45502</v>
      </c>
      <c r="BI253" s="18">
        <v>0.22086805555555555</v>
      </c>
      <c r="BJ253">
        <v>0</v>
      </c>
      <c r="BK253">
        <v>0</v>
      </c>
      <c r="BL253">
        <v>0</v>
      </c>
      <c r="BM253">
        <v>0</v>
      </c>
      <c r="BN253">
        <v>0</v>
      </c>
      <c r="BO253">
        <v>0</v>
      </c>
      <c r="BP253">
        <v>0</v>
      </c>
      <c r="BQ253">
        <v>0</v>
      </c>
      <c r="BR253">
        <v>0</v>
      </c>
      <c r="BS253">
        <v>0</v>
      </c>
      <c r="BT253">
        <v>0</v>
      </c>
      <c r="BU253">
        <v>0</v>
      </c>
      <c r="BV253" s="113">
        <f t="shared" si="6"/>
        <v>9.460049999999999</v>
      </c>
    </row>
    <row r="254" spans="1:74" x14ac:dyDescent="0.25">
      <c r="A254" t="s">
        <v>111</v>
      </c>
      <c r="B254">
        <v>0</v>
      </c>
      <c r="C254" t="s">
        <v>7</v>
      </c>
      <c r="D254" s="20">
        <v>17472</v>
      </c>
      <c r="E254" s="20">
        <v>96</v>
      </c>
      <c r="F254" s="20">
        <v>4</v>
      </c>
      <c r="G254" s="20">
        <v>4</v>
      </c>
      <c r="H254" s="79">
        <v>391.73</v>
      </c>
      <c r="I254" s="62">
        <v>9.0783000000000005</v>
      </c>
      <c r="J254" s="16">
        <v>45546</v>
      </c>
      <c r="K254" s="25">
        <v>0.33854166666666669</v>
      </c>
      <c r="L254">
        <v>0</v>
      </c>
      <c r="M254">
        <v>0</v>
      </c>
      <c r="N254">
        <v>0</v>
      </c>
      <c r="O254">
        <v>0</v>
      </c>
      <c r="P254">
        <v>0</v>
      </c>
      <c r="Q254">
        <v>0</v>
      </c>
      <c r="R254">
        <v>0</v>
      </c>
      <c r="S254">
        <v>0</v>
      </c>
      <c r="T254">
        <v>0</v>
      </c>
      <c r="U254">
        <v>0</v>
      </c>
      <c r="V254">
        <v>0</v>
      </c>
      <c r="W254">
        <v>0</v>
      </c>
      <c r="X254" s="82">
        <f>AVERAGE(I254:I258)</f>
        <v>9.0299600000000009</v>
      </c>
      <c r="Z254" t="s">
        <v>149</v>
      </c>
      <c r="AA254">
        <v>0</v>
      </c>
      <c r="AB254" t="s">
        <v>7</v>
      </c>
      <c r="AC254" s="20">
        <v>18560</v>
      </c>
      <c r="AD254" s="20">
        <v>32</v>
      </c>
      <c r="AE254" s="20">
        <v>1</v>
      </c>
      <c r="AF254" s="20">
        <v>16</v>
      </c>
      <c r="AG254" s="79">
        <v>418.6</v>
      </c>
      <c r="AH254" s="62">
        <v>10.183999999999999</v>
      </c>
      <c r="AI254" s="16">
        <v>45557</v>
      </c>
      <c r="AJ254" s="25">
        <v>0.96809027777777779</v>
      </c>
      <c r="AK254">
        <v>0</v>
      </c>
      <c r="AL254">
        <v>0</v>
      </c>
      <c r="AM254">
        <v>0</v>
      </c>
      <c r="AN254">
        <v>0</v>
      </c>
      <c r="AO254">
        <v>0</v>
      </c>
      <c r="AP254">
        <v>0</v>
      </c>
      <c r="AQ254">
        <v>0</v>
      </c>
      <c r="AR254">
        <v>0</v>
      </c>
      <c r="AS254">
        <v>0</v>
      </c>
      <c r="AT254">
        <v>0</v>
      </c>
      <c r="AU254">
        <v>0</v>
      </c>
      <c r="AV254">
        <v>0</v>
      </c>
      <c r="AW254" s="82">
        <f>AVERAGE(AH254:AH257)</f>
        <v>10.202249999999999</v>
      </c>
      <c r="AZ254">
        <v>1</v>
      </c>
      <c r="BA254" t="s">
        <v>7</v>
      </c>
      <c r="BB254">
        <v>19584</v>
      </c>
      <c r="BC254">
        <v>96</v>
      </c>
      <c r="BD254">
        <v>4</v>
      </c>
      <c r="BE254">
        <v>4</v>
      </c>
      <c r="BF254">
        <v>529.94000000000005</v>
      </c>
      <c r="BG254" s="23">
        <v>9.4499999999999993</v>
      </c>
      <c r="BH254" s="16">
        <v>45502</v>
      </c>
      <c r="BI254" s="18">
        <v>0.60916666666666663</v>
      </c>
      <c r="BJ254">
        <v>0</v>
      </c>
      <c r="BK254">
        <v>0</v>
      </c>
      <c r="BL254">
        <v>0</v>
      </c>
      <c r="BM254">
        <v>0</v>
      </c>
      <c r="BN254">
        <v>0</v>
      </c>
      <c r="BO254">
        <v>0</v>
      </c>
      <c r="BP254">
        <v>0</v>
      </c>
      <c r="BQ254">
        <v>0</v>
      </c>
      <c r="BR254">
        <v>0</v>
      </c>
      <c r="BS254">
        <v>0</v>
      </c>
      <c r="BT254">
        <v>0</v>
      </c>
      <c r="BU254">
        <v>0</v>
      </c>
      <c r="BV254" s="113"/>
    </row>
    <row r="255" spans="1:74" x14ac:dyDescent="0.25">
      <c r="A255" t="s">
        <v>111</v>
      </c>
      <c r="B255">
        <v>1</v>
      </c>
      <c r="C255" t="s">
        <v>7</v>
      </c>
      <c r="D255" s="20">
        <v>17472</v>
      </c>
      <c r="E255" s="20">
        <v>96</v>
      </c>
      <c r="F255" s="20">
        <v>4</v>
      </c>
      <c r="G255" s="20">
        <v>4</v>
      </c>
      <c r="H255" s="79">
        <v>394.22</v>
      </c>
      <c r="I255" s="62">
        <v>9.0211000000000006</v>
      </c>
      <c r="J255" s="16">
        <v>45546</v>
      </c>
      <c r="K255" s="25">
        <v>0.95501157407407411</v>
      </c>
      <c r="L255">
        <v>0</v>
      </c>
      <c r="M255">
        <v>0</v>
      </c>
      <c r="N255">
        <v>0</v>
      </c>
      <c r="O255">
        <v>0</v>
      </c>
      <c r="P255">
        <v>0</v>
      </c>
      <c r="Q255">
        <v>0</v>
      </c>
      <c r="R255">
        <v>0</v>
      </c>
      <c r="S255">
        <v>0</v>
      </c>
      <c r="T255">
        <v>0</v>
      </c>
      <c r="U255">
        <v>0</v>
      </c>
      <c r="V255">
        <v>0</v>
      </c>
      <c r="W255">
        <v>0</v>
      </c>
      <c r="X255" s="80">
        <f>X254</f>
        <v>9.0299600000000009</v>
      </c>
      <c r="Z255" t="s">
        <v>149</v>
      </c>
      <c r="AA255">
        <v>1</v>
      </c>
      <c r="AB255" t="s">
        <v>7</v>
      </c>
      <c r="AC255" s="20">
        <v>18560</v>
      </c>
      <c r="AD255" s="20">
        <v>32</v>
      </c>
      <c r="AE255" s="20">
        <v>1</v>
      </c>
      <c r="AF255" s="20">
        <v>16</v>
      </c>
      <c r="AG255" s="79">
        <v>417.33</v>
      </c>
      <c r="AH255" s="62">
        <v>10.214</v>
      </c>
      <c r="AI255" s="16">
        <v>45558</v>
      </c>
      <c r="AJ255" s="25">
        <v>0.46747685185185184</v>
      </c>
      <c r="AK255">
        <v>0</v>
      </c>
      <c r="AL255">
        <v>0</v>
      </c>
      <c r="AM255">
        <v>0</v>
      </c>
      <c r="AN255">
        <v>0</v>
      </c>
      <c r="AO255">
        <v>0</v>
      </c>
      <c r="AP255">
        <v>0</v>
      </c>
      <c r="AQ255">
        <v>0</v>
      </c>
      <c r="AR255">
        <v>0</v>
      </c>
      <c r="AS255">
        <v>0</v>
      </c>
      <c r="AT255">
        <v>0</v>
      </c>
      <c r="AU255">
        <v>0</v>
      </c>
      <c r="AV255">
        <v>0</v>
      </c>
      <c r="AW255" s="80">
        <f>AW254</f>
        <v>10.202249999999999</v>
      </c>
      <c r="AZ255">
        <v>0</v>
      </c>
      <c r="BA255" t="s">
        <v>7</v>
      </c>
      <c r="BB255">
        <v>17536</v>
      </c>
      <c r="BC255">
        <v>128</v>
      </c>
      <c r="BD255">
        <v>1</v>
      </c>
      <c r="BE255">
        <v>16</v>
      </c>
      <c r="BF255">
        <v>387.29</v>
      </c>
      <c r="BG255" s="23">
        <v>9.2836999999999996</v>
      </c>
      <c r="BH255" s="16">
        <v>45501</v>
      </c>
      <c r="BI255" s="18">
        <v>0.97439814814814818</v>
      </c>
      <c r="BJ255">
        <v>0</v>
      </c>
      <c r="BK255">
        <v>0</v>
      </c>
      <c r="BL255">
        <v>0</v>
      </c>
      <c r="BM255">
        <v>0</v>
      </c>
      <c r="BN255">
        <v>0</v>
      </c>
      <c r="BO255">
        <v>0</v>
      </c>
      <c r="BP255">
        <v>0</v>
      </c>
      <c r="BQ255">
        <v>0</v>
      </c>
      <c r="BR255">
        <v>0</v>
      </c>
      <c r="BS255">
        <v>0</v>
      </c>
      <c r="BT255">
        <v>0</v>
      </c>
      <c r="BU255">
        <v>0</v>
      </c>
      <c r="BV255" s="113">
        <f t="shared" si="6"/>
        <v>9.282</v>
      </c>
    </row>
    <row r="256" spans="1:74" x14ac:dyDescent="0.25">
      <c r="A256" t="s">
        <v>111</v>
      </c>
      <c r="B256">
        <v>2</v>
      </c>
      <c r="C256" t="s">
        <v>7</v>
      </c>
      <c r="D256" s="20">
        <v>17472</v>
      </c>
      <c r="E256" s="20">
        <v>96</v>
      </c>
      <c r="F256" s="20">
        <v>4</v>
      </c>
      <c r="G256" s="20">
        <v>4</v>
      </c>
      <c r="H256" s="79">
        <v>395.42</v>
      </c>
      <c r="I256" s="62">
        <v>8.9937000000000005</v>
      </c>
      <c r="J256" s="16">
        <v>45547</v>
      </c>
      <c r="K256" s="25">
        <v>0.5700925925925926</v>
      </c>
      <c r="L256">
        <v>0</v>
      </c>
      <c r="M256">
        <v>0</v>
      </c>
      <c r="N256">
        <v>0</v>
      </c>
      <c r="O256">
        <v>0</v>
      </c>
      <c r="P256">
        <v>0</v>
      </c>
      <c r="Q256">
        <v>0</v>
      </c>
      <c r="R256">
        <v>0</v>
      </c>
      <c r="S256">
        <v>0</v>
      </c>
      <c r="T256">
        <v>0</v>
      </c>
      <c r="U256">
        <v>0</v>
      </c>
      <c r="V256">
        <v>0</v>
      </c>
      <c r="W256">
        <v>0</v>
      </c>
      <c r="X256" s="80">
        <f>X255</f>
        <v>9.0299600000000009</v>
      </c>
      <c r="Z256" t="s">
        <v>149</v>
      </c>
      <c r="AA256">
        <v>2</v>
      </c>
      <c r="AB256" t="s">
        <v>7</v>
      </c>
      <c r="AC256">
        <v>18560</v>
      </c>
      <c r="AD256">
        <v>32</v>
      </c>
      <c r="AE256">
        <v>1</v>
      </c>
      <c r="AF256">
        <v>16</v>
      </c>
      <c r="AG256" s="79">
        <v>417.48</v>
      </c>
      <c r="AH256" s="62">
        <v>10.211</v>
      </c>
      <c r="AI256" s="16">
        <v>45558</v>
      </c>
      <c r="AJ256" s="18">
        <v>0.96597222222222223</v>
      </c>
      <c r="AK256">
        <v>0</v>
      </c>
      <c r="AL256">
        <v>0</v>
      </c>
      <c r="AM256">
        <v>0</v>
      </c>
      <c r="AN256">
        <v>0</v>
      </c>
      <c r="AO256">
        <v>0</v>
      </c>
      <c r="AP256">
        <v>0</v>
      </c>
      <c r="AQ256">
        <v>0</v>
      </c>
      <c r="AR256">
        <v>0</v>
      </c>
      <c r="AS256">
        <v>0</v>
      </c>
      <c r="AT256">
        <v>0</v>
      </c>
      <c r="AU256">
        <v>0</v>
      </c>
      <c r="AV256">
        <v>0</v>
      </c>
      <c r="AW256" s="80">
        <f>AW255</f>
        <v>10.202249999999999</v>
      </c>
      <c r="AZ256">
        <v>1</v>
      </c>
      <c r="BA256" t="s">
        <v>7</v>
      </c>
      <c r="BB256">
        <v>17536</v>
      </c>
      <c r="BC256">
        <v>128</v>
      </c>
      <c r="BD256">
        <v>1</v>
      </c>
      <c r="BE256">
        <v>16</v>
      </c>
      <c r="BF256">
        <v>387.43</v>
      </c>
      <c r="BG256" s="23">
        <v>9.2803000000000004</v>
      </c>
      <c r="BH256" s="16">
        <v>45502</v>
      </c>
      <c r="BI256" s="18">
        <v>0.361875</v>
      </c>
      <c r="BJ256">
        <v>0</v>
      </c>
      <c r="BK256">
        <v>0</v>
      </c>
      <c r="BL256">
        <v>0</v>
      </c>
      <c r="BM256">
        <v>0</v>
      </c>
      <c r="BN256">
        <v>0</v>
      </c>
      <c r="BO256">
        <v>0</v>
      </c>
      <c r="BP256">
        <v>0</v>
      </c>
      <c r="BQ256">
        <v>0</v>
      </c>
      <c r="BR256">
        <v>0</v>
      </c>
      <c r="BS256">
        <v>0</v>
      </c>
      <c r="BT256">
        <v>0</v>
      </c>
      <c r="BU256">
        <v>0</v>
      </c>
      <c r="BV256" s="113"/>
    </row>
    <row r="257" spans="1:74" x14ac:dyDescent="0.25">
      <c r="A257" t="s">
        <v>111</v>
      </c>
      <c r="B257">
        <v>3</v>
      </c>
      <c r="C257" t="s">
        <v>7</v>
      </c>
      <c r="D257" s="20">
        <v>17472</v>
      </c>
      <c r="E257" s="20">
        <v>96</v>
      </c>
      <c r="F257" s="20">
        <v>4</v>
      </c>
      <c r="G257" s="20">
        <v>4</v>
      </c>
      <c r="H257" s="79">
        <v>395.51</v>
      </c>
      <c r="I257" s="62">
        <v>8.9916</v>
      </c>
      <c r="J257" s="16">
        <v>45548</v>
      </c>
      <c r="K257" s="25">
        <v>0.23068287037037036</v>
      </c>
      <c r="L257">
        <v>0</v>
      </c>
      <c r="M257">
        <v>0</v>
      </c>
      <c r="N257">
        <v>0</v>
      </c>
      <c r="O257">
        <v>0</v>
      </c>
      <c r="P257">
        <v>0</v>
      </c>
      <c r="Q257">
        <v>0</v>
      </c>
      <c r="R257">
        <v>0</v>
      </c>
      <c r="S257">
        <v>0</v>
      </c>
      <c r="T257">
        <v>0</v>
      </c>
      <c r="U257">
        <v>0</v>
      </c>
      <c r="V257">
        <v>0</v>
      </c>
      <c r="W257">
        <v>0</v>
      </c>
      <c r="X257" s="80">
        <f>X256</f>
        <v>9.0299600000000009</v>
      </c>
      <c r="Z257" t="s">
        <v>149</v>
      </c>
      <c r="AA257">
        <v>3</v>
      </c>
      <c r="AB257" t="s">
        <v>7</v>
      </c>
      <c r="AC257" s="20">
        <v>18560</v>
      </c>
      <c r="AD257" s="20">
        <v>32</v>
      </c>
      <c r="AE257" s="20">
        <v>1</v>
      </c>
      <c r="AF257" s="20">
        <v>16</v>
      </c>
      <c r="AG257" s="79">
        <v>417.9</v>
      </c>
      <c r="AH257" s="62">
        <v>10.199999999999999</v>
      </c>
      <c r="AI257" s="16">
        <v>45555</v>
      </c>
      <c r="AJ257" s="25">
        <v>0.13689814814814816</v>
      </c>
      <c r="AK257">
        <v>0</v>
      </c>
      <c r="AL257">
        <v>0</v>
      </c>
      <c r="AM257">
        <v>0</v>
      </c>
      <c r="AN257">
        <v>0</v>
      </c>
      <c r="AO257">
        <v>0</v>
      </c>
      <c r="AP257">
        <v>0</v>
      </c>
      <c r="AQ257">
        <v>0</v>
      </c>
      <c r="AR257">
        <v>0</v>
      </c>
      <c r="AS257">
        <v>0</v>
      </c>
      <c r="AT257">
        <v>0</v>
      </c>
      <c r="AU257">
        <v>0</v>
      </c>
      <c r="AV257">
        <v>0</v>
      </c>
      <c r="AW257" s="80">
        <f>AW256</f>
        <v>10.202249999999999</v>
      </c>
      <c r="AZ257">
        <v>0</v>
      </c>
      <c r="BA257" t="s">
        <v>7</v>
      </c>
      <c r="BB257">
        <v>18560</v>
      </c>
      <c r="BC257">
        <v>128</v>
      </c>
      <c r="BD257">
        <v>1</v>
      </c>
      <c r="BE257">
        <v>16</v>
      </c>
      <c r="BF257">
        <v>442.28</v>
      </c>
      <c r="BG257" s="23">
        <v>9.6381999999999994</v>
      </c>
      <c r="BH257" s="16">
        <v>45502</v>
      </c>
      <c r="BI257" s="18">
        <v>9.1388888888888895E-2</v>
      </c>
      <c r="BJ257">
        <v>0</v>
      </c>
      <c r="BK257">
        <v>0</v>
      </c>
      <c r="BL257">
        <v>0</v>
      </c>
      <c r="BM257">
        <v>0</v>
      </c>
      <c r="BN257">
        <v>0</v>
      </c>
      <c r="BO257">
        <v>0</v>
      </c>
      <c r="BP257">
        <v>0</v>
      </c>
      <c r="BQ257">
        <v>0</v>
      </c>
      <c r="BR257">
        <v>0</v>
      </c>
      <c r="BS257">
        <v>0</v>
      </c>
      <c r="BT257">
        <v>0</v>
      </c>
      <c r="BU257">
        <v>0</v>
      </c>
      <c r="BV257" s="113">
        <f t="shared" si="6"/>
        <v>9.6351499999999994</v>
      </c>
    </row>
    <row r="258" spans="1:74" x14ac:dyDescent="0.25">
      <c r="A258" t="s">
        <v>111</v>
      </c>
      <c r="B258">
        <v>4</v>
      </c>
      <c r="C258" t="s">
        <v>7</v>
      </c>
      <c r="D258" s="20">
        <v>17472</v>
      </c>
      <c r="E258" s="20">
        <v>96</v>
      </c>
      <c r="F258" s="20">
        <v>4</v>
      </c>
      <c r="G258" s="20">
        <v>4</v>
      </c>
      <c r="H258" s="79">
        <v>392.3</v>
      </c>
      <c r="I258" s="62">
        <v>9.0650999999999993</v>
      </c>
      <c r="J258" s="16">
        <v>45548</v>
      </c>
      <c r="K258" s="25">
        <v>0.85910879629629633</v>
      </c>
      <c r="L258">
        <v>0</v>
      </c>
      <c r="M258">
        <v>0</v>
      </c>
      <c r="N258">
        <v>0</v>
      </c>
      <c r="O258">
        <v>0</v>
      </c>
      <c r="P258">
        <v>0</v>
      </c>
      <c r="Q258">
        <v>0</v>
      </c>
      <c r="R258">
        <v>0</v>
      </c>
      <c r="S258">
        <v>0</v>
      </c>
      <c r="T258">
        <v>0</v>
      </c>
      <c r="U258">
        <v>0</v>
      </c>
      <c r="V258">
        <v>0</v>
      </c>
      <c r="W258">
        <v>0</v>
      </c>
      <c r="X258" s="80">
        <f>X257</f>
        <v>9.0299600000000009</v>
      </c>
      <c r="Z258" t="s">
        <v>149</v>
      </c>
      <c r="AA258">
        <v>4</v>
      </c>
      <c r="AB258" t="s">
        <v>7</v>
      </c>
      <c r="AC258" s="20">
        <v>18560</v>
      </c>
      <c r="AD258" s="20">
        <v>32</v>
      </c>
      <c r="AE258" s="20">
        <v>1</v>
      </c>
      <c r="AF258" s="20">
        <v>16</v>
      </c>
      <c r="AG258" s="79">
        <v>418.05</v>
      </c>
      <c r="AH258" s="62">
        <v>10.196999999999999</v>
      </c>
      <c r="AI258" s="16">
        <v>45555</v>
      </c>
      <c r="AJ258" s="25">
        <v>0.63701388888888888</v>
      </c>
      <c r="AK258">
        <v>0</v>
      </c>
      <c r="AL258">
        <v>0</v>
      </c>
      <c r="AM258">
        <v>0</v>
      </c>
      <c r="AN258">
        <v>0</v>
      </c>
      <c r="AO258">
        <v>0</v>
      </c>
      <c r="AP258">
        <v>0</v>
      </c>
      <c r="AQ258">
        <v>0</v>
      </c>
      <c r="AR258">
        <v>0</v>
      </c>
      <c r="AS258">
        <v>0</v>
      </c>
      <c r="AT258">
        <v>0</v>
      </c>
      <c r="AU258">
        <v>0</v>
      </c>
      <c r="AV258">
        <v>0</v>
      </c>
      <c r="AW258" s="80">
        <f>AW257</f>
        <v>10.202249999999999</v>
      </c>
      <c r="AZ258">
        <v>1</v>
      </c>
      <c r="BA258" t="s">
        <v>7</v>
      </c>
      <c r="BB258">
        <v>18560</v>
      </c>
      <c r="BC258">
        <v>128</v>
      </c>
      <c r="BD258">
        <v>1</v>
      </c>
      <c r="BE258">
        <v>16</v>
      </c>
      <c r="BF258">
        <v>442.56</v>
      </c>
      <c r="BG258" s="23">
        <v>9.6320999999999994</v>
      </c>
      <c r="BH258" s="16">
        <v>45502</v>
      </c>
      <c r="BI258" s="18">
        <v>0.47877314814814814</v>
      </c>
      <c r="BJ258">
        <v>0</v>
      </c>
      <c r="BK258">
        <v>0</v>
      </c>
      <c r="BL258">
        <v>0</v>
      </c>
      <c r="BM258">
        <v>0</v>
      </c>
      <c r="BN258">
        <v>0</v>
      </c>
      <c r="BO258">
        <v>0</v>
      </c>
      <c r="BP258">
        <v>0</v>
      </c>
      <c r="BQ258">
        <v>0</v>
      </c>
      <c r="BR258">
        <v>0</v>
      </c>
      <c r="BS258">
        <v>0</v>
      </c>
      <c r="BT258">
        <v>0</v>
      </c>
      <c r="BU258">
        <v>0</v>
      </c>
      <c r="BV258" s="113"/>
    </row>
    <row r="259" spans="1:74" x14ac:dyDescent="0.25">
      <c r="A259" t="s">
        <v>111</v>
      </c>
      <c r="B259">
        <v>0</v>
      </c>
      <c r="C259" t="s">
        <v>7</v>
      </c>
      <c r="D259" s="20">
        <v>17536</v>
      </c>
      <c r="E259" s="20">
        <v>128</v>
      </c>
      <c r="F259" s="20">
        <v>4</v>
      </c>
      <c r="G259" s="20">
        <v>4</v>
      </c>
      <c r="H259" s="79">
        <v>398.06</v>
      </c>
      <c r="I259" s="62">
        <v>9.0324000000000009</v>
      </c>
      <c r="J259" s="16">
        <v>45546</v>
      </c>
      <c r="K259" s="25">
        <v>0.35203703703703704</v>
      </c>
      <c r="L259">
        <v>0</v>
      </c>
      <c r="M259">
        <v>0</v>
      </c>
      <c r="N259">
        <v>0</v>
      </c>
      <c r="O259">
        <v>0</v>
      </c>
      <c r="P259">
        <v>0</v>
      </c>
      <c r="Q259">
        <v>0</v>
      </c>
      <c r="R259">
        <v>0</v>
      </c>
      <c r="S259">
        <v>0</v>
      </c>
      <c r="T259">
        <v>0</v>
      </c>
      <c r="U259">
        <v>0</v>
      </c>
      <c r="V259">
        <v>0</v>
      </c>
      <c r="W259">
        <v>0</v>
      </c>
      <c r="X259" s="82">
        <f>AVERAGE(I259:I263)</f>
        <v>9.0226600000000001</v>
      </c>
      <c r="Z259" t="s">
        <v>149</v>
      </c>
      <c r="AA259">
        <v>0</v>
      </c>
      <c r="AB259" t="s">
        <v>7</v>
      </c>
      <c r="AC259" s="20">
        <v>19584</v>
      </c>
      <c r="AD259" s="20">
        <v>32</v>
      </c>
      <c r="AE259" s="20">
        <v>4</v>
      </c>
      <c r="AF259" s="20">
        <v>4</v>
      </c>
      <c r="AG259" s="79">
        <v>493.88</v>
      </c>
      <c r="AH259" s="62">
        <v>10.14</v>
      </c>
      <c r="AI259" s="16">
        <v>45558</v>
      </c>
      <c r="AJ259" s="25">
        <v>0.10371527777777778</v>
      </c>
      <c r="AK259">
        <v>0</v>
      </c>
      <c r="AL259">
        <v>0</v>
      </c>
      <c r="AM259">
        <v>0</v>
      </c>
      <c r="AN259">
        <v>0</v>
      </c>
      <c r="AO259">
        <v>0</v>
      </c>
      <c r="AP259">
        <v>0</v>
      </c>
      <c r="AQ259">
        <v>0</v>
      </c>
      <c r="AR259">
        <v>0</v>
      </c>
      <c r="AS259">
        <v>0</v>
      </c>
      <c r="AT259">
        <v>0</v>
      </c>
      <c r="AU259">
        <v>0</v>
      </c>
      <c r="AV259">
        <v>0</v>
      </c>
      <c r="AW259" s="82">
        <f>AVERAGE(AH259:AH262)</f>
        <v>10.145249999999999</v>
      </c>
      <c r="AZ259">
        <v>0</v>
      </c>
      <c r="BA259" t="s">
        <v>7</v>
      </c>
      <c r="BB259">
        <v>19584</v>
      </c>
      <c r="BC259">
        <v>128</v>
      </c>
      <c r="BD259">
        <v>1</v>
      </c>
      <c r="BE259">
        <v>16</v>
      </c>
      <c r="BF259">
        <v>512.28</v>
      </c>
      <c r="BG259" s="23">
        <v>9.7759</v>
      </c>
      <c r="BH259" s="16">
        <v>45502</v>
      </c>
      <c r="BI259" s="18">
        <v>0.22701388888888888</v>
      </c>
      <c r="BJ259">
        <v>0</v>
      </c>
      <c r="BK259">
        <v>0</v>
      </c>
      <c r="BL259">
        <v>0</v>
      </c>
      <c r="BM259">
        <v>0</v>
      </c>
      <c r="BN259">
        <v>0</v>
      </c>
      <c r="BO259">
        <v>0</v>
      </c>
      <c r="BP259">
        <v>0</v>
      </c>
      <c r="BQ259">
        <v>0</v>
      </c>
      <c r="BR259">
        <v>0</v>
      </c>
      <c r="BS259">
        <v>0</v>
      </c>
      <c r="BT259">
        <v>0</v>
      </c>
      <c r="BU259">
        <v>0</v>
      </c>
      <c r="BV259" s="113">
        <f t="shared" si="6"/>
        <v>9.5141999999999989</v>
      </c>
    </row>
    <row r="260" spans="1:74" x14ac:dyDescent="0.25">
      <c r="A260" t="s">
        <v>111</v>
      </c>
      <c r="B260">
        <v>1</v>
      </c>
      <c r="C260" t="s">
        <v>7</v>
      </c>
      <c r="D260" s="20">
        <v>17536</v>
      </c>
      <c r="E260" s="20">
        <v>128</v>
      </c>
      <c r="F260" s="20">
        <v>4</v>
      </c>
      <c r="G260" s="20">
        <v>4</v>
      </c>
      <c r="H260" s="79">
        <v>398.61</v>
      </c>
      <c r="I260" s="62">
        <v>9.0200999999999993</v>
      </c>
      <c r="J260" s="16">
        <v>45546</v>
      </c>
      <c r="K260" s="25">
        <v>0.96835648148148146</v>
      </c>
      <c r="L260">
        <v>0</v>
      </c>
      <c r="M260">
        <v>0</v>
      </c>
      <c r="N260">
        <v>0</v>
      </c>
      <c r="O260">
        <v>0</v>
      </c>
      <c r="P260">
        <v>0</v>
      </c>
      <c r="Q260">
        <v>0</v>
      </c>
      <c r="R260">
        <v>0</v>
      </c>
      <c r="S260">
        <v>0</v>
      </c>
      <c r="T260">
        <v>0</v>
      </c>
      <c r="U260">
        <v>0</v>
      </c>
      <c r="V260">
        <v>0</v>
      </c>
      <c r="W260">
        <v>0</v>
      </c>
      <c r="X260" s="80">
        <f>X259</f>
        <v>9.0226600000000001</v>
      </c>
      <c r="Z260" t="s">
        <v>149</v>
      </c>
      <c r="AA260">
        <v>1</v>
      </c>
      <c r="AB260" t="s">
        <v>7</v>
      </c>
      <c r="AC260" s="20">
        <v>19584</v>
      </c>
      <c r="AD260" s="20">
        <v>32</v>
      </c>
      <c r="AE260" s="20">
        <v>4</v>
      </c>
      <c r="AF260" s="20">
        <v>4</v>
      </c>
      <c r="AG260" s="79">
        <v>493.65</v>
      </c>
      <c r="AH260" s="62">
        <v>10.145</v>
      </c>
      <c r="AI260" s="16">
        <v>45558</v>
      </c>
      <c r="AJ260" s="25">
        <v>0.59695601851851854</v>
      </c>
      <c r="AK260">
        <v>0</v>
      </c>
      <c r="AL260">
        <v>0</v>
      </c>
      <c r="AM260">
        <v>0</v>
      </c>
      <c r="AN260">
        <v>0</v>
      </c>
      <c r="AO260">
        <v>0</v>
      </c>
      <c r="AP260">
        <v>0</v>
      </c>
      <c r="AQ260">
        <v>0</v>
      </c>
      <c r="AR260">
        <v>0</v>
      </c>
      <c r="AS260">
        <v>0</v>
      </c>
      <c r="AT260">
        <v>0</v>
      </c>
      <c r="AU260">
        <v>0</v>
      </c>
      <c r="AV260">
        <v>0</v>
      </c>
      <c r="AW260" s="80">
        <f>AW259</f>
        <v>10.145249999999999</v>
      </c>
      <c r="AZ260">
        <v>1</v>
      </c>
      <c r="BA260" t="s">
        <v>7</v>
      </c>
      <c r="BB260">
        <v>19584</v>
      </c>
      <c r="BC260">
        <v>128</v>
      </c>
      <c r="BD260">
        <v>1</v>
      </c>
      <c r="BE260">
        <v>16</v>
      </c>
      <c r="BF260">
        <v>541.26</v>
      </c>
      <c r="BG260" s="23">
        <v>9.2524999999999995</v>
      </c>
      <c r="BH260" s="16">
        <v>45502</v>
      </c>
      <c r="BI260" s="18">
        <v>0.61565972222222221</v>
      </c>
      <c r="BJ260">
        <v>0</v>
      </c>
      <c r="BK260">
        <v>0</v>
      </c>
      <c r="BL260">
        <v>0</v>
      </c>
      <c r="BM260">
        <v>0</v>
      </c>
      <c r="BN260">
        <v>0</v>
      </c>
      <c r="BO260">
        <v>0</v>
      </c>
      <c r="BP260">
        <v>0</v>
      </c>
      <c r="BQ260">
        <v>0</v>
      </c>
      <c r="BR260">
        <v>0</v>
      </c>
      <c r="BS260">
        <v>0</v>
      </c>
      <c r="BT260">
        <v>0</v>
      </c>
      <c r="BU260">
        <v>0</v>
      </c>
      <c r="BV260" s="113"/>
    </row>
    <row r="261" spans="1:74" x14ac:dyDescent="0.25">
      <c r="A261" t="s">
        <v>111</v>
      </c>
      <c r="B261">
        <v>2</v>
      </c>
      <c r="C261" t="s">
        <v>7</v>
      </c>
      <c r="D261" s="20">
        <v>17536</v>
      </c>
      <c r="E261" s="20">
        <v>128</v>
      </c>
      <c r="F261" s="20">
        <v>4</v>
      </c>
      <c r="G261" s="20">
        <v>4</v>
      </c>
      <c r="H261" s="79">
        <v>399.25</v>
      </c>
      <c r="I261" s="62">
        <v>9.0056999999999992</v>
      </c>
      <c r="J261" s="16">
        <v>45547</v>
      </c>
      <c r="K261" s="25">
        <v>0.58337962962962964</v>
      </c>
      <c r="L261">
        <v>0</v>
      </c>
      <c r="M261">
        <v>0</v>
      </c>
      <c r="N261">
        <v>0</v>
      </c>
      <c r="O261">
        <v>0</v>
      </c>
      <c r="P261">
        <v>0</v>
      </c>
      <c r="Q261">
        <v>0</v>
      </c>
      <c r="R261">
        <v>0</v>
      </c>
      <c r="S261">
        <v>0</v>
      </c>
      <c r="T261">
        <v>0</v>
      </c>
      <c r="U261">
        <v>0</v>
      </c>
      <c r="V261">
        <v>0</v>
      </c>
      <c r="W261">
        <v>0</v>
      </c>
      <c r="X261" s="80">
        <f>X260</f>
        <v>9.0226600000000001</v>
      </c>
      <c r="Z261" t="s">
        <v>149</v>
      </c>
      <c r="AA261">
        <v>2</v>
      </c>
      <c r="AB261" t="s">
        <v>7</v>
      </c>
      <c r="AC261" s="20">
        <v>19584</v>
      </c>
      <c r="AD261" s="20">
        <v>32</v>
      </c>
      <c r="AE261" s="20">
        <v>4</v>
      </c>
      <c r="AF261" s="20">
        <v>4</v>
      </c>
      <c r="AG261" s="79">
        <v>492.57</v>
      </c>
      <c r="AH261" s="62">
        <v>10.167</v>
      </c>
      <c r="AI261" s="16">
        <v>45554</v>
      </c>
      <c r="AJ261" s="25">
        <v>0.74138888888888888</v>
      </c>
      <c r="AK261">
        <v>0</v>
      </c>
      <c r="AL261">
        <v>0</v>
      </c>
      <c r="AM261">
        <v>0</v>
      </c>
      <c r="AN261">
        <v>0</v>
      </c>
      <c r="AO261">
        <v>0</v>
      </c>
      <c r="AP261">
        <v>0</v>
      </c>
      <c r="AQ261">
        <v>0</v>
      </c>
      <c r="AR261">
        <v>0</v>
      </c>
      <c r="AS261">
        <v>0</v>
      </c>
      <c r="AT261">
        <v>0</v>
      </c>
      <c r="AU261">
        <v>0</v>
      </c>
      <c r="AV261">
        <v>0</v>
      </c>
      <c r="AW261" s="80">
        <f>AW260</f>
        <v>10.145249999999999</v>
      </c>
      <c r="AZ261">
        <v>0</v>
      </c>
      <c r="BA261" t="s">
        <v>7</v>
      </c>
      <c r="BB261">
        <v>17536</v>
      </c>
      <c r="BC261">
        <v>128</v>
      </c>
      <c r="BD261">
        <v>2</v>
      </c>
      <c r="BE261">
        <v>8</v>
      </c>
      <c r="BF261">
        <v>341.3</v>
      </c>
      <c r="BG261" s="23">
        <v>10.535</v>
      </c>
      <c r="BH261" s="16">
        <v>45501</v>
      </c>
      <c r="BI261" s="18">
        <v>0.97849537037037038</v>
      </c>
      <c r="BJ261">
        <v>0</v>
      </c>
      <c r="BK261">
        <v>0</v>
      </c>
      <c r="BL261">
        <v>0</v>
      </c>
      <c r="BM261">
        <v>0</v>
      </c>
      <c r="BN261">
        <v>0</v>
      </c>
      <c r="BO261">
        <v>0</v>
      </c>
      <c r="BP261">
        <v>0</v>
      </c>
      <c r="BQ261">
        <v>0</v>
      </c>
      <c r="BR261">
        <v>0</v>
      </c>
      <c r="BS261">
        <v>0</v>
      </c>
      <c r="BT261">
        <v>0</v>
      </c>
      <c r="BU261">
        <v>0</v>
      </c>
      <c r="BV261" s="113">
        <f t="shared" si="6"/>
        <v>10.532</v>
      </c>
    </row>
    <row r="262" spans="1:74" x14ac:dyDescent="0.25">
      <c r="A262" t="s">
        <v>111</v>
      </c>
      <c r="B262">
        <v>3</v>
      </c>
      <c r="C262" t="s">
        <v>7</v>
      </c>
      <c r="D262" s="20">
        <v>17536</v>
      </c>
      <c r="E262" s="20">
        <v>128</v>
      </c>
      <c r="F262" s="20">
        <v>4</v>
      </c>
      <c r="G262" s="20">
        <v>4</v>
      </c>
      <c r="H262" s="79">
        <v>399.51</v>
      </c>
      <c r="I262" s="62">
        <v>8.9998000000000005</v>
      </c>
      <c r="J262" s="16">
        <v>45548</v>
      </c>
      <c r="K262" s="25">
        <v>0.2439699074074074</v>
      </c>
      <c r="L262">
        <v>0</v>
      </c>
      <c r="M262">
        <v>0</v>
      </c>
      <c r="N262">
        <v>0</v>
      </c>
      <c r="O262">
        <v>0</v>
      </c>
      <c r="P262">
        <v>0</v>
      </c>
      <c r="Q262">
        <v>0</v>
      </c>
      <c r="R262">
        <v>0</v>
      </c>
      <c r="S262">
        <v>0</v>
      </c>
      <c r="T262">
        <v>0</v>
      </c>
      <c r="U262">
        <v>0</v>
      </c>
      <c r="V262">
        <v>0</v>
      </c>
      <c r="W262">
        <v>0</v>
      </c>
      <c r="X262" s="80">
        <f>X261</f>
        <v>9.0226600000000001</v>
      </c>
      <c r="Z262" t="s">
        <v>149</v>
      </c>
      <c r="AA262">
        <v>3</v>
      </c>
      <c r="AB262" t="s">
        <v>7</v>
      </c>
      <c r="AC262" s="20">
        <v>19584</v>
      </c>
      <c r="AD262" s="20">
        <v>32</v>
      </c>
      <c r="AE262" s="20">
        <v>4</v>
      </c>
      <c r="AF262" s="20">
        <v>4</v>
      </c>
      <c r="AG262" s="79">
        <v>494.41</v>
      </c>
      <c r="AH262" s="62">
        <v>10.129</v>
      </c>
      <c r="AI262" s="16">
        <v>45555</v>
      </c>
      <c r="AJ262" s="25">
        <v>0.26678240740740738</v>
      </c>
      <c r="AK262">
        <v>0</v>
      </c>
      <c r="AL262">
        <v>0</v>
      </c>
      <c r="AM262">
        <v>0</v>
      </c>
      <c r="AN262">
        <v>0</v>
      </c>
      <c r="AO262">
        <v>0</v>
      </c>
      <c r="AP262">
        <v>0</v>
      </c>
      <c r="AQ262">
        <v>0</v>
      </c>
      <c r="AR262">
        <v>0</v>
      </c>
      <c r="AS262">
        <v>0</v>
      </c>
      <c r="AT262">
        <v>0</v>
      </c>
      <c r="AU262">
        <v>0</v>
      </c>
      <c r="AV262">
        <v>0</v>
      </c>
      <c r="AW262" s="80">
        <f>AW261</f>
        <v>10.145249999999999</v>
      </c>
      <c r="AZ262">
        <v>1</v>
      </c>
      <c r="BA262" t="s">
        <v>7</v>
      </c>
      <c r="BB262">
        <v>17536</v>
      </c>
      <c r="BC262">
        <v>128</v>
      </c>
      <c r="BD262">
        <v>2</v>
      </c>
      <c r="BE262">
        <v>8</v>
      </c>
      <c r="BF262">
        <v>341.48</v>
      </c>
      <c r="BG262" s="23">
        <v>10.529</v>
      </c>
      <c r="BH262" s="16">
        <v>45502</v>
      </c>
      <c r="BI262" s="18">
        <v>0.36598379629629629</v>
      </c>
      <c r="BJ262">
        <v>0</v>
      </c>
      <c r="BK262">
        <v>0</v>
      </c>
      <c r="BL262">
        <v>0</v>
      </c>
      <c r="BM262">
        <v>0</v>
      </c>
      <c r="BN262">
        <v>0</v>
      </c>
      <c r="BO262">
        <v>0</v>
      </c>
      <c r="BP262">
        <v>0</v>
      </c>
      <c r="BQ262">
        <v>0</v>
      </c>
      <c r="BR262">
        <v>0</v>
      </c>
      <c r="BS262">
        <v>0</v>
      </c>
      <c r="BT262">
        <v>0</v>
      </c>
      <c r="BU262">
        <v>0</v>
      </c>
      <c r="BV262" s="113"/>
    </row>
    <row r="263" spans="1:74" x14ac:dyDescent="0.25">
      <c r="A263" t="s">
        <v>111</v>
      </c>
      <c r="B263">
        <v>4</v>
      </c>
      <c r="C263" t="s">
        <v>7</v>
      </c>
      <c r="D263" s="20">
        <v>17536</v>
      </c>
      <c r="E263" s="20">
        <v>128</v>
      </c>
      <c r="F263" s="20">
        <v>4</v>
      </c>
      <c r="G263" s="20">
        <v>4</v>
      </c>
      <c r="H263" s="79">
        <v>397.06</v>
      </c>
      <c r="I263" s="62">
        <v>9.0553000000000008</v>
      </c>
      <c r="J263" s="16">
        <v>45548</v>
      </c>
      <c r="K263" s="25">
        <v>0.87231481481481477</v>
      </c>
      <c r="L263">
        <v>0</v>
      </c>
      <c r="M263">
        <v>0</v>
      </c>
      <c r="N263">
        <v>0</v>
      </c>
      <c r="O263">
        <v>0</v>
      </c>
      <c r="P263">
        <v>0</v>
      </c>
      <c r="Q263">
        <v>0</v>
      </c>
      <c r="R263">
        <v>0</v>
      </c>
      <c r="S263">
        <v>0</v>
      </c>
      <c r="T263">
        <v>0</v>
      </c>
      <c r="U263">
        <v>0</v>
      </c>
      <c r="V263">
        <v>0</v>
      </c>
      <c r="W263">
        <v>0</v>
      </c>
      <c r="X263" s="80">
        <f>X262</f>
        <v>9.0226600000000001</v>
      </c>
      <c r="Z263" t="s">
        <v>149</v>
      </c>
      <c r="AA263">
        <v>4</v>
      </c>
      <c r="AB263" t="s">
        <v>7</v>
      </c>
      <c r="AC263" s="20">
        <v>19584</v>
      </c>
      <c r="AD263" s="20">
        <v>32</v>
      </c>
      <c r="AE263" s="20">
        <v>4</v>
      </c>
      <c r="AF263" s="20">
        <v>4</v>
      </c>
      <c r="AG263" s="79">
        <v>491.5</v>
      </c>
      <c r="AH263" s="62">
        <v>10.189</v>
      </c>
      <c r="AI263" s="16">
        <v>45555</v>
      </c>
      <c r="AJ263" s="25">
        <v>0.77520833333333339</v>
      </c>
      <c r="AK263">
        <v>0</v>
      </c>
      <c r="AL263">
        <v>0</v>
      </c>
      <c r="AM263">
        <v>0</v>
      </c>
      <c r="AN263">
        <v>0</v>
      </c>
      <c r="AO263">
        <v>0</v>
      </c>
      <c r="AP263">
        <v>0</v>
      </c>
      <c r="AQ263">
        <v>0</v>
      </c>
      <c r="AR263">
        <v>0</v>
      </c>
      <c r="AS263">
        <v>0</v>
      </c>
      <c r="AT263">
        <v>0</v>
      </c>
      <c r="AU263">
        <v>0</v>
      </c>
      <c r="AV263">
        <v>0</v>
      </c>
      <c r="AW263" s="80">
        <f>AW262</f>
        <v>10.145249999999999</v>
      </c>
      <c r="AZ263">
        <v>0</v>
      </c>
      <c r="BA263" t="s">
        <v>7</v>
      </c>
      <c r="BB263">
        <v>18560</v>
      </c>
      <c r="BC263">
        <v>128</v>
      </c>
      <c r="BD263">
        <v>2</v>
      </c>
      <c r="BE263">
        <v>8</v>
      </c>
      <c r="BF263">
        <v>393.28</v>
      </c>
      <c r="BG263" s="23">
        <v>10.839</v>
      </c>
      <c r="BH263" s="16">
        <v>45502</v>
      </c>
      <c r="BI263" s="18">
        <v>9.6111111111111105E-2</v>
      </c>
      <c r="BJ263">
        <v>0</v>
      </c>
      <c r="BK263">
        <v>0</v>
      </c>
      <c r="BL263">
        <v>0</v>
      </c>
      <c r="BM263">
        <v>0</v>
      </c>
      <c r="BN263">
        <v>0</v>
      </c>
      <c r="BO263">
        <v>0</v>
      </c>
      <c r="BP263">
        <v>0</v>
      </c>
      <c r="BQ263">
        <v>0</v>
      </c>
      <c r="BR263">
        <v>0</v>
      </c>
      <c r="BS263">
        <v>0</v>
      </c>
      <c r="BT263">
        <v>0</v>
      </c>
      <c r="BU263">
        <v>0</v>
      </c>
      <c r="BV263" s="113">
        <f t="shared" si="6"/>
        <v>10.8545</v>
      </c>
    </row>
    <row r="264" spans="1:74" x14ac:dyDescent="0.25">
      <c r="A264" t="s">
        <v>111</v>
      </c>
      <c r="B264">
        <v>0</v>
      </c>
      <c r="C264" t="s">
        <v>7</v>
      </c>
      <c r="D264" s="20">
        <v>17440</v>
      </c>
      <c r="E264" s="20">
        <v>160</v>
      </c>
      <c r="F264" s="20">
        <v>4</v>
      </c>
      <c r="G264" s="20">
        <v>4</v>
      </c>
      <c r="H264" s="79">
        <v>392.83</v>
      </c>
      <c r="I264" s="62">
        <v>9.0031999999999996</v>
      </c>
      <c r="J264" s="16">
        <v>45546</v>
      </c>
      <c r="K264" s="25">
        <v>0.36508101851851854</v>
      </c>
      <c r="L264">
        <v>0</v>
      </c>
      <c r="M264">
        <v>0</v>
      </c>
      <c r="N264">
        <v>0</v>
      </c>
      <c r="O264">
        <v>0</v>
      </c>
      <c r="P264">
        <v>0</v>
      </c>
      <c r="Q264">
        <v>0</v>
      </c>
      <c r="R264">
        <v>0</v>
      </c>
      <c r="S264">
        <v>0</v>
      </c>
      <c r="T264">
        <v>0</v>
      </c>
      <c r="U264">
        <v>0</v>
      </c>
      <c r="V264">
        <v>0</v>
      </c>
      <c r="W264">
        <v>0</v>
      </c>
      <c r="X264" s="82">
        <f>AVERAGE(I264:I268)</f>
        <v>8.9774799999999999</v>
      </c>
      <c r="Z264" t="s">
        <v>149</v>
      </c>
      <c r="AA264">
        <v>0</v>
      </c>
      <c r="AB264" t="s">
        <v>7</v>
      </c>
      <c r="AC264" s="20">
        <v>18432</v>
      </c>
      <c r="AD264" s="20">
        <v>256</v>
      </c>
      <c r="AE264" s="20">
        <v>4</v>
      </c>
      <c r="AF264" s="20">
        <v>4</v>
      </c>
      <c r="AG264" s="79">
        <v>413.4</v>
      </c>
      <c r="AH264" s="62">
        <v>10.1</v>
      </c>
      <c r="AI264" s="16">
        <v>45558</v>
      </c>
      <c r="AJ264" s="25">
        <v>8.7129629629629626E-2</v>
      </c>
      <c r="AK264">
        <v>0</v>
      </c>
      <c r="AL264">
        <v>0</v>
      </c>
      <c r="AM264">
        <v>0</v>
      </c>
      <c r="AN264">
        <v>0</v>
      </c>
      <c r="AO264">
        <v>0</v>
      </c>
      <c r="AP264">
        <v>0</v>
      </c>
      <c r="AQ264">
        <v>0</v>
      </c>
      <c r="AR264">
        <v>0</v>
      </c>
      <c r="AS264">
        <v>0</v>
      </c>
      <c r="AT264">
        <v>0</v>
      </c>
      <c r="AU264">
        <v>0</v>
      </c>
      <c r="AV264">
        <v>0</v>
      </c>
      <c r="AW264" s="82">
        <f>AVERAGE(AH264:AH267)</f>
        <v>10.117999999999999</v>
      </c>
      <c r="AZ264">
        <v>1</v>
      </c>
      <c r="BA264" t="s">
        <v>7</v>
      </c>
      <c r="BB264">
        <v>18560</v>
      </c>
      <c r="BC264">
        <v>128</v>
      </c>
      <c r="BD264">
        <v>2</v>
      </c>
      <c r="BE264">
        <v>8</v>
      </c>
      <c r="BF264">
        <v>392.16</v>
      </c>
      <c r="BG264" s="23">
        <v>10.87</v>
      </c>
      <c r="BH264" s="16">
        <v>45502</v>
      </c>
      <c r="BI264" s="18">
        <v>0.48347222222222225</v>
      </c>
      <c r="BJ264">
        <v>0</v>
      </c>
      <c r="BK264">
        <v>0</v>
      </c>
      <c r="BL264">
        <v>0</v>
      </c>
      <c r="BM264">
        <v>0</v>
      </c>
      <c r="BN264">
        <v>0</v>
      </c>
      <c r="BO264">
        <v>0</v>
      </c>
      <c r="BP264">
        <v>0</v>
      </c>
      <c r="BQ264">
        <v>0</v>
      </c>
      <c r="BR264">
        <v>0</v>
      </c>
      <c r="BS264">
        <v>0</v>
      </c>
      <c r="BT264">
        <v>0</v>
      </c>
      <c r="BU264">
        <v>0</v>
      </c>
      <c r="BV264" s="113"/>
    </row>
    <row r="265" spans="1:74" x14ac:dyDescent="0.25">
      <c r="A265" t="s">
        <v>111</v>
      </c>
      <c r="B265">
        <v>1</v>
      </c>
      <c r="C265" t="s">
        <v>7</v>
      </c>
      <c r="D265" s="20">
        <v>17440</v>
      </c>
      <c r="E265" s="20">
        <v>160</v>
      </c>
      <c r="F265" s="20">
        <v>4</v>
      </c>
      <c r="G265" s="20">
        <v>4</v>
      </c>
      <c r="H265" s="79">
        <v>392.84</v>
      </c>
      <c r="I265" s="62">
        <v>9.0030999999999999</v>
      </c>
      <c r="J265" s="16">
        <v>45546</v>
      </c>
      <c r="K265" s="25">
        <v>0.9811805555555555</v>
      </c>
      <c r="L265">
        <v>0</v>
      </c>
      <c r="M265">
        <v>0</v>
      </c>
      <c r="N265">
        <v>0</v>
      </c>
      <c r="O265">
        <v>0</v>
      </c>
      <c r="P265">
        <v>0</v>
      </c>
      <c r="Q265">
        <v>0</v>
      </c>
      <c r="R265">
        <v>0</v>
      </c>
      <c r="S265">
        <v>0</v>
      </c>
      <c r="T265">
        <v>0</v>
      </c>
      <c r="U265">
        <v>0</v>
      </c>
      <c r="V265">
        <v>0</v>
      </c>
      <c r="W265">
        <v>0</v>
      </c>
      <c r="X265" s="80">
        <f>X264</f>
        <v>8.9774799999999999</v>
      </c>
      <c r="Z265" t="s">
        <v>149</v>
      </c>
      <c r="AA265">
        <v>1</v>
      </c>
      <c r="AB265" t="s">
        <v>7</v>
      </c>
      <c r="AC265" s="20">
        <v>18432</v>
      </c>
      <c r="AD265" s="20">
        <v>256</v>
      </c>
      <c r="AE265" s="20">
        <v>4</v>
      </c>
      <c r="AF265" s="20">
        <v>4</v>
      </c>
      <c r="AG265" s="79">
        <v>413.69</v>
      </c>
      <c r="AH265" s="62">
        <v>10.093</v>
      </c>
      <c r="AI265" s="16">
        <v>45558</v>
      </c>
      <c r="AJ265" s="25">
        <v>0.58035879629629628</v>
      </c>
      <c r="AK265">
        <v>0</v>
      </c>
      <c r="AL265">
        <v>0</v>
      </c>
      <c r="AM265">
        <v>0</v>
      </c>
      <c r="AN265">
        <v>0</v>
      </c>
      <c r="AO265">
        <v>0</v>
      </c>
      <c r="AP265">
        <v>0</v>
      </c>
      <c r="AQ265">
        <v>0</v>
      </c>
      <c r="AR265">
        <v>0</v>
      </c>
      <c r="AS265">
        <v>0</v>
      </c>
      <c r="AT265">
        <v>0</v>
      </c>
      <c r="AU265">
        <v>0</v>
      </c>
      <c r="AV265">
        <v>0</v>
      </c>
      <c r="AW265" s="80">
        <f>AW264</f>
        <v>10.117999999999999</v>
      </c>
      <c r="AZ265">
        <v>0</v>
      </c>
      <c r="BA265" t="s">
        <v>7</v>
      </c>
      <c r="BB265">
        <v>19584</v>
      </c>
      <c r="BC265">
        <v>128</v>
      </c>
      <c r="BD265">
        <v>2</v>
      </c>
      <c r="BE265">
        <v>8</v>
      </c>
      <c r="BF265">
        <v>450.33</v>
      </c>
      <c r="BG265" s="23">
        <v>11.121</v>
      </c>
      <c r="BH265" s="16">
        <v>45502</v>
      </c>
      <c r="BI265" s="18">
        <v>0.23241898148148149</v>
      </c>
      <c r="BJ265">
        <v>0</v>
      </c>
      <c r="BK265">
        <v>0</v>
      </c>
      <c r="BL265">
        <v>0</v>
      </c>
      <c r="BM265">
        <v>0</v>
      </c>
      <c r="BN265">
        <v>0</v>
      </c>
      <c r="BO265">
        <v>0</v>
      </c>
      <c r="BP265">
        <v>0</v>
      </c>
      <c r="BQ265">
        <v>0</v>
      </c>
      <c r="BR265">
        <v>0</v>
      </c>
      <c r="BS265">
        <v>0</v>
      </c>
      <c r="BT265">
        <v>0</v>
      </c>
      <c r="BU265">
        <v>0</v>
      </c>
      <c r="BV265" s="113">
        <f t="shared" si="6"/>
        <v>11.125</v>
      </c>
    </row>
    <row r="266" spans="1:74" x14ac:dyDescent="0.25">
      <c r="A266" t="s">
        <v>111</v>
      </c>
      <c r="B266">
        <v>2</v>
      </c>
      <c r="C266" t="s">
        <v>7</v>
      </c>
      <c r="D266" s="20">
        <v>17440</v>
      </c>
      <c r="E266" s="20">
        <v>160</v>
      </c>
      <c r="F266" s="20">
        <v>4</v>
      </c>
      <c r="G266" s="20">
        <v>4</v>
      </c>
      <c r="H266" s="79">
        <v>394.32</v>
      </c>
      <c r="I266" s="62">
        <v>8.9693000000000005</v>
      </c>
      <c r="J266" s="16">
        <v>45547</v>
      </c>
      <c r="K266" s="25">
        <v>0.59628472222222217</v>
      </c>
      <c r="L266">
        <v>0</v>
      </c>
      <c r="M266">
        <v>0</v>
      </c>
      <c r="N266">
        <v>0</v>
      </c>
      <c r="O266">
        <v>0</v>
      </c>
      <c r="P266">
        <v>0</v>
      </c>
      <c r="Q266">
        <v>0</v>
      </c>
      <c r="R266">
        <v>0</v>
      </c>
      <c r="S266">
        <v>0</v>
      </c>
      <c r="T266">
        <v>0</v>
      </c>
      <c r="U266">
        <v>0</v>
      </c>
      <c r="V266">
        <v>0</v>
      </c>
      <c r="W266">
        <v>0</v>
      </c>
      <c r="X266" s="80">
        <f>X265</f>
        <v>8.9774799999999999</v>
      </c>
      <c r="Z266" t="s">
        <v>149</v>
      </c>
      <c r="AA266">
        <v>2</v>
      </c>
      <c r="AB266" t="s">
        <v>7</v>
      </c>
      <c r="AC266" s="20">
        <v>18432</v>
      </c>
      <c r="AD266" s="20">
        <v>256</v>
      </c>
      <c r="AE266" s="20">
        <v>4</v>
      </c>
      <c r="AF266" s="20">
        <v>4</v>
      </c>
      <c r="AG266" s="79">
        <v>410.39</v>
      </c>
      <c r="AH266" s="62">
        <v>10.173999999999999</v>
      </c>
      <c r="AI266" s="16">
        <v>45554</v>
      </c>
      <c r="AJ266" s="25">
        <v>0.7248148148148148</v>
      </c>
      <c r="AK266">
        <v>0</v>
      </c>
      <c r="AL266">
        <v>0</v>
      </c>
      <c r="AM266">
        <v>0</v>
      </c>
      <c r="AN266">
        <v>0</v>
      </c>
      <c r="AO266">
        <v>0</v>
      </c>
      <c r="AP266">
        <v>0</v>
      </c>
      <c r="AQ266">
        <v>0</v>
      </c>
      <c r="AR266">
        <v>0</v>
      </c>
      <c r="AS266">
        <v>0</v>
      </c>
      <c r="AT266">
        <v>0</v>
      </c>
      <c r="AU266">
        <v>0</v>
      </c>
      <c r="AV266">
        <v>0</v>
      </c>
      <c r="AW266" s="80">
        <f>AW265</f>
        <v>10.117999999999999</v>
      </c>
      <c r="AZ266">
        <v>1</v>
      </c>
      <c r="BA266" t="s">
        <v>7</v>
      </c>
      <c r="BB266">
        <v>19584</v>
      </c>
      <c r="BC266">
        <v>128</v>
      </c>
      <c r="BD266">
        <v>2</v>
      </c>
      <c r="BE266">
        <v>8</v>
      </c>
      <c r="BF266">
        <v>450</v>
      </c>
      <c r="BG266" s="23">
        <v>11.129</v>
      </c>
      <c r="BH266" s="16">
        <v>45502</v>
      </c>
      <c r="BI266" s="18">
        <v>0.62106481481481479</v>
      </c>
      <c r="BJ266">
        <v>0</v>
      </c>
      <c r="BK266">
        <v>0</v>
      </c>
      <c r="BL266">
        <v>0</v>
      </c>
      <c r="BM266">
        <v>0</v>
      </c>
      <c r="BN266">
        <v>0</v>
      </c>
      <c r="BO266">
        <v>0</v>
      </c>
      <c r="BP266">
        <v>0</v>
      </c>
      <c r="BQ266">
        <v>0</v>
      </c>
      <c r="BR266">
        <v>0</v>
      </c>
      <c r="BS266">
        <v>0</v>
      </c>
      <c r="BT266">
        <v>0</v>
      </c>
      <c r="BU266">
        <v>0</v>
      </c>
      <c r="BV266" s="113"/>
    </row>
    <row r="267" spans="1:74" x14ac:dyDescent="0.25">
      <c r="A267" t="s">
        <v>111</v>
      </c>
      <c r="B267">
        <v>3</v>
      </c>
      <c r="C267" t="s">
        <v>7</v>
      </c>
      <c r="D267" s="20">
        <v>17440</v>
      </c>
      <c r="E267" s="20">
        <v>160</v>
      </c>
      <c r="F267" s="20">
        <v>4</v>
      </c>
      <c r="G267" s="20">
        <v>4</v>
      </c>
      <c r="H267" s="79">
        <v>395.05</v>
      </c>
      <c r="I267" s="62">
        <v>8.9527000000000001</v>
      </c>
      <c r="J267" s="16">
        <v>45548</v>
      </c>
      <c r="K267" s="25">
        <v>0.25702546296296297</v>
      </c>
      <c r="L267">
        <v>0</v>
      </c>
      <c r="M267">
        <v>0</v>
      </c>
      <c r="N267">
        <v>0</v>
      </c>
      <c r="O267">
        <v>0</v>
      </c>
      <c r="P267">
        <v>0</v>
      </c>
      <c r="Q267">
        <v>0</v>
      </c>
      <c r="R267">
        <v>0</v>
      </c>
      <c r="S267">
        <v>0</v>
      </c>
      <c r="T267">
        <v>0</v>
      </c>
      <c r="U267">
        <v>0</v>
      </c>
      <c r="V267">
        <v>0</v>
      </c>
      <c r="W267">
        <v>0</v>
      </c>
      <c r="X267" s="80">
        <f>X266</f>
        <v>8.9774799999999999</v>
      </c>
      <c r="Z267" t="s">
        <v>149</v>
      </c>
      <c r="AA267">
        <v>3</v>
      </c>
      <c r="AB267" t="s">
        <v>7</v>
      </c>
      <c r="AC267" s="20">
        <v>18432</v>
      </c>
      <c r="AD267" s="20">
        <v>256</v>
      </c>
      <c r="AE267" s="20">
        <v>4</v>
      </c>
      <c r="AF267" s="20">
        <v>4</v>
      </c>
      <c r="AG267" s="79">
        <v>413.2</v>
      </c>
      <c r="AH267" s="62">
        <v>10.105</v>
      </c>
      <c r="AI267" s="16">
        <v>45555</v>
      </c>
      <c r="AJ267" s="25">
        <v>0.25016203703703704</v>
      </c>
      <c r="AK267">
        <v>0</v>
      </c>
      <c r="AL267">
        <v>0</v>
      </c>
      <c r="AM267">
        <v>0</v>
      </c>
      <c r="AN267">
        <v>0</v>
      </c>
      <c r="AO267">
        <v>0</v>
      </c>
      <c r="AP267">
        <v>0</v>
      </c>
      <c r="AQ267">
        <v>0</v>
      </c>
      <c r="AR267">
        <v>0</v>
      </c>
      <c r="AS267">
        <v>0</v>
      </c>
      <c r="AT267">
        <v>0</v>
      </c>
      <c r="AU267">
        <v>0</v>
      </c>
      <c r="AV267">
        <v>0</v>
      </c>
      <c r="AW267" s="80">
        <f>AW266</f>
        <v>10.117999999999999</v>
      </c>
      <c r="AZ267">
        <v>0</v>
      </c>
      <c r="BA267" t="s">
        <v>7</v>
      </c>
      <c r="BB267">
        <v>17536</v>
      </c>
      <c r="BC267">
        <v>128</v>
      </c>
      <c r="BD267">
        <v>4</v>
      </c>
      <c r="BE267">
        <v>4</v>
      </c>
      <c r="BF267">
        <v>406.78</v>
      </c>
      <c r="BG267" s="23">
        <v>8.8388000000000009</v>
      </c>
      <c r="BH267" s="16">
        <v>45501</v>
      </c>
      <c r="BI267" s="18">
        <v>0.98335648148148147</v>
      </c>
      <c r="BJ267">
        <v>0</v>
      </c>
      <c r="BK267">
        <v>0</v>
      </c>
      <c r="BL267">
        <v>0</v>
      </c>
      <c r="BM267">
        <v>0</v>
      </c>
      <c r="BN267">
        <v>0</v>
      </c>
      <c r="BO267">
        <v>0</v>
      </c>
      <c r="BP267">
        <v>0</v>
      </c>
      <c r="BQ267">
        <v>0</v>
      </c>
      <c r="BR267">
        <v>0</v>
      </c>
      <c r="BS267">
        <v>0</v>
      </c>
      <c r="BT267">
        <v>0</v>
      </c>
      <c r="BU267">
        <v>0</v>
      </c>
      <c r="BV267" s="113">
        <f t="shared" si="6"/>
        <v>8.8481500000000004</v>
      </c>
    </row>
    <row r="268" spans="1:74" x14ac:dyDescent="0.25">
      <c r="A268" t="s">
        <v>111</v>
      </c>
      <c r="B268">
        <v>4</v>
      </c>
      <c r="C268" t="s">
        <v>7</v>
      </c>
      <c r="D268" s="20">
        <v>17440</v>
      </c>
      <c r="E268" s="20">
        <v>160</v>
      </c>
      <c r="F268" s="20">
        <v>4</v>
      </c>
      <c r="G268" s="20">
        <v>4</v>
      </c>
      <c r="H268" s="79">
        <v>394.77</v>
      </c>
      <c r="I268" s="62">
        <v>8.9590999999999994</v>
      </c>
      <c r="J268" s="16">
        <v>45548</v>
      </c>
      <c r="K268" s="25">
        <v>0.88484953703703706</v>
      </c>
      <c r="L268">
        <v>0</v>
      </c>
      <c r="M268">
        <v>0</v>
      </c>
      <c r="N268">
        <v>0</v>
      </c>
      <c r="O268">
        <v>0</v>
      </c>
      <c r="P268">
        <v>0</v>
      </c>
      <c r="Q268">
        <v>0</v>
      </c>
      <c r="R268">
        <v>0</v>
      </c>
      <c r="S268">
        <v>0</v>
      </c>
      <c r="T268">
        <v>0</v>
      </c>
      <c r="U268">
        <v>0</v>
      </c>
      <c r="V268">
        <v>0</v>
      </c>
      <c r="W268">
        <v>0</v>
      </c>
      <c r="X268" s="80">
        <f>X267</f>
        <v>8.9774799999999999</v>
      </c>
      <c r="Z268" t="s">
        <v>149</v>
      </c>
      <c r="AA268">
        <v>4</v>
      </c>
      <c r="AB268" t="s">
        <v>7</v>
      </c>
      <c r="AC268" s="20">
        <v>18432</v>
      </c>
      <c r="AD268" s="20">
        <v>256</v>
      </c>
      <c r="AE268" s="20">
        <v>4</v>
      </c>
      <c r="AF268" s="20">
        <v>4</v>
      </c>
      <c r="AG268" s="79">
        <v>413.2</v>
      </c>
      <c r="AH268" s="62">
        <v>10.105</v>
      </c>
      <c r="AI268" s="16">
        <v>45555</v>
      </c>
      <c r="AJ268" s="25">
        <v>0.75863425925925931</v>
      </c>
      <c r="AK268">
        <v>0</v>
      </c>
      <c r="AL268">
        <v>0</v>
      </c>
      <c r="AM268">
        <v>0</v>
      </c>
      <c r="AN268">
        <v>0</v>
      </c>
      <c r="AO268">
        <v>0</v>
      </c>
      <c r="AP268">
        <v>0</v>
      </c>
      <c r="AQ268">
        <v>0</v>
      </c>
      <c r="AR268">
        <v>0</v>
      </c>
      <c r="AS268">
        <v>0</v>
      </c>
      <c r="AT268">
        <v>0</v>
      </c>
      <c r="AU268">
        <v>0</v>
      </c>
      <c r="AV268">
        <v>0</v>
      </c>
      <c r="AW268" s="80">
        <f>AW267</f>
        <v>10.117999999999999</v>
      </c>
      <c r="AZ268">
        <v>1</v>
      </c>
      <c r="BA268" t="s">
        <v>7</v>
      </c>
      <c r="BB268">
        <v>17536</v>
      </c>
      <c r="BC268">
        <v>128</v>
      </c>
      <c r="BD268">
        <v>4</v>
      </c>
      <c r="BE268">
        <v>4</v>
      </c>
      <c r="BF268">
        <v>405.92</v>
      </c>
      <c r="BG268" s="23">
        <v>8.8574999999999999</v>
      </c>
      <c r="BH268" s="16">
        <v>45502</v>
      </c>
      <c r="BI268" s="18">
        <v>0.37083333333333335</v>
      </c>
      <c r="BJ268">
        <v>0</v>
      </c>
      <c r="BK268">
        <v>0</v>
      </c>
      <c r="BL268">
        <v>0</v>
      </c>
      <c r="BM268">
        <v>0</v>
      </c>
      <c r="BN268">
        <v>0</v>
      </c>
      <c r="BO268">
        <v>0</v>
      </c>
      <c r="BP268">
        <v>0</v>
      </c>
      <c r="BQ268">
        <v>0</v>
      </c>
      <c r="BR268">
        <v>0</v>
      </c>
      <c r="BS268">
        <v>0</v>
      </c>
      <c r="BT268">
        <v>0</v>
      </c>
      <c r="BU268">
        <v>0</v>
      </c>
      <c r="BV268" s="113"/>
    </row>
    <row r="269" spans="1:74" x14ac:dyDescent="0.25">
      <c r="A269" t="s">
        <v>111</v>
      </c>
      <c r="B269">
        <v>0</v>
      </c>
      <c r="C269" t="s">
        <v>7</v>
      </c>
      <c r="D269" s="20">
        <v>18560</v>
      </c>
      <c r="E269" s="20">
        <v>64</v>
      </c>
      <c r="F269" s="20">
        <v>4</v>
      </c>
      <c r="G269" s="20">
        <v>4</v>
      </c>
      <c r="H269" s="79">
        <v>472.42</v>
      </c>
      <c r="I269" s="62">
        <v>9.0234000000000005</v>
      </c>
      <c r="J269" s="16">
        <v>45546</v>
      </c>
      <c r="K269" s="25">
        <v>0.43663194444444442</v>
      </c>
      <c r="L269">
        <v>0</v>
      </c>
      <c r="M269">
        <v>0</v>
      </c>
      <c r="N269">
        <v>0</v>
      </c>
      <c r="O269">
        <v>0</v>
      </c>
      <c r="P269">
        <v>0</v>
      </c>
      <c r="Q269">
        <v>0</v>
      </c>
      <c r="R269">
        <v>0</v>
      </c>
      <c r="S269">
        <v>0</v>
      </c>
      <c r="T269">
        <v>0</v>
      </c>
      <c r="U269">
        <v>0</v>
      </c>
      <c r="V269">
        <v>0</v>
      </c>
      <c r="W269">
        <v>0</v>
      </c>
      <c r="X269" s="82">
        <f>AVERAGE(I269:I273)</f>
        <v>8.9625000000000004</v>
      </c>
      <c r="Z269" t="s">
        <v>149</v>
      </c>
      <c r="AA269">
        <v>0</v>
      </c>
      <c r="AB269" t="s">
        <v>7</v>
      </c>
      <c r="AC269" s="20">
        <v>17472</v>
      </c>
      <c r="AD269" s="20">
        <v>224</v>
      </c>
      <c r="AE269" s="20">
        <v>1</v>
      </c>
      <c r="AF269" s="20">
        <v>16</v>
      </c>
      <c r="AG269" s="79">
        <v>352.97</v>
      </c>
      <c r="AH269" s="62">
        <v>10.074999999999999</v>
      </c>
      <c r="AI269" s="16">
        <v>45557</v>
      </c>
      <c r="AJ269" s="25">
        <v>0.94313657407407403</v>
      </c>
      <c r="AK269">
        <v>0</v>
      </c>
      <c r="AL269">
        <v>0</v>
      </c>
      <c r="AM269">
        <v>0</v>
      </c>
      <c r="AN269">
        <v>0</v>
      </c>
      <c r="AO269">
        <v>0</v>
      </c>
      <c r="AP269">
        <v>0</v>
      </c>
      <c r="AQ269">
        <v>0</v>
      </c>
      <c r="AR269">
        <v>0</v>
      </c>
      <c r="AS269">
        <v>0</v>
      </c>
      <c r="AT269">
        <v>0</v>
      </c>
      <c r="AU269">
        <v>0</v>
      </c>
      <c r="AV269">
        <v>0</v>
      </c>
      <c r="AW269" s="82">
        <f>AVERAGE(AH269:AH272)</f>
        <v>10.078250000000001</v>
      </c>
      <c r="AZ269">
        <v>0</v>
      </c>
      <c r="BA269" t="s">
        <v>7</v>
      </c>
      <c r="BB269">
        <v>18560</v>
      </c>
      <c r="BC269">
        <v>128</v>
      </c>
      <c r="BD269">
        <v>4</v>
      </c>
      <c r="BE269">
        <v>4</v>
      </c>
      <c r="BF269">
        <v>470.83</v>
      </c>
      <c r="BG269" s="23">
        <v>9.0539000000000005</v>
      </c>
      <c r="BH269" s="16">
        <v>45502</v>
      </c>
      <c r="BI269" s="18">
        <v>0.10172453703703704</v>
      </c>
      <c r="BJ269">
        <v>0</v>
      </c>
      <c r="BK269">
        <v>0</v>
      </c>
      <c r="BL269">
        <v>0</v>
      </c>
      <c r="BM269">
        <v>0</v>
      </c>
      <c r="BN269">
        <v>0</v>
      </c>
      <c r="BO269">
        <v>0</v>
      </c>
      <c r="BP269">
        <v>0</v>
      </c>
      <c r="BQ269">
        <v>0</v>
      </c>
      <c r="BR269">
        <v>0</v>
      </c>
      <c r="BS269">
        <v>0</v>
      </c>
      <c r="BT269">
        <v>0</v>
      </c>
      <c r="BU269">
        <v>0</v>
      </c>
      <c r="BV269" s="113">
        <f t="shared" si="6"/>
        <v>9.0503499999999999</v>
      </c>
    </row>
    <row r="270" spans="1:74" x14ac:dyDescent="0.25">
      <c r="A270" t="s">
        <v>111</v>
      </c>
      <c r="B270">
        <v>1</v>
      </c>
      <c r="C270" t="s">
        <v>7</v>
      </c>
      <c r="D270" s="20">
        <v>18560</v>
      </c>
      <c r="E270" s="20">
        <v>64</v>
      </c>
      <c r="F270" s="20">
        <v>4</v>
      </c>
      <c r="G270" s="20">
        <v>4</v>
      </c>
      <c r="H270" s="79">
        <v>475.61</v>
      </c>
      <c r="I270" s="62">
        <v>8.9628999999999994</v>
      </c>
      <c r="J270" s="16">
        <v>45547</v>
      </c>
      <c r="K270" s="25">
        <v>5.2708333333333336E-2</v>
      </c>
      <c r="L270">
        <v>0</v>
      </c>
      <c r="M270">
        <v>0</v>
      </c>
      <c r="N270">
        <v>0</v>
      </c>
      <c r="O270">
        <v>0</v>
      </c>
      <c r="P270">
        <v>0</v>
      </c>
      <c r="Q270">
        <v>0</v>
      </c>
      <c r="R270">
        <v>0</v>
      </c>
      <c r="S270">
        <v>0</v>
      </c>
      <c r="T270">
        <v>0</v>
      </c>
      <c r="U270">
        <v>0</v>
      </c>
      <c r="V270">
        <v>0</v>
      </c>
      <c r="W270">
        <v>0</v>
      </c>
      <c r="X270" s="80">
        <f>X269</f>
        <v>8.9625000000000004</v>
      </c>
      <c r="Z270" t="s">
        <v>149</v>
      </c>
      <c r="AA270">
        <v>1</v>
      </c>
      <c r="AB270" t="s">
        <v>7</v>
      </c>
      <c r="AC270" s="20">
        <v>17472</v>
      </c>
      <c r="AD270" s="20">
        <v>224</v>
      </c>
      <c r="AE270" s="20">
        <v>1</v>
      </c>
      <c r="AF270" s="20">
        <v>16</v>
      </c>
      <c r="AG270" s="79">
        <v>353.48</v>
      </c>
      <c r="AH270" s="62">
        <v>10.061</v>
      </c>
      <c r="AI270" s="16">
        <v>45558</v>
      </c>
      <c r="AJ270" s="25">
        <v>0.4425115740740741</v>
      </c>
      <c r="AK270">
        <v>0</v>
      </c>
      <c r="AL270">
        <v>0</v>
      </c>
      <c r="AM270">
        <v>0</v>
      </c>
      <c r="AN270">
        <v>0</v>
      </c>
      <c r="AO270">
        <v>0</v>
      </c>
      <c r="AP270">
        <v>0</v>
      </c>
      <c r="AQ270">
        <v>0</v>
      </c>
      <c r="AR270">
        <v>0</v>
      </c>
      <c r="AS270">
        <v>0</v>
      </c>
      <c r="AT270">
        <v>0</v>
      </c>
      <c r="AU270">
        <v>0</v>
      </c>
      <c r="AV270">
        <v>0</v>
      </c>
      <c r="AW270" s="80">
        <f>AW269</f>
        <v>10.078250000000001</v>
      </c>
      <c r="AZ270">
        <v>1</v>
      </c>
      <c r="BA270" t="s">
        <v>7</v>
      </c>
      <c r="BB270">
        <v>18560</v>
      </c>
      <c r="BC270">
        <v>128</v>
      </c>
      <c r="BD270">
        <v>4</v>
      </c>
      <c r="BE270">
        <v>4</v>
      </c>
      <c r="BF270">
        <v>471.19</v>
      </c>
      <c r="BG270" s="23">
        <v>9.0467999999999993</v>
      </c>
      <c r="BH270" s="16">
        <v>45502</v>
      </c>
      <c r="BI270" s="18">
        <v>0.48908564814814814</v>
      </c>
      <c r="BJ270">
        <v>0</v>
      </c>
      <c r="BK270">
        <v>0</v>
      </c>
      <c r="BL270">
        <v>0</v>
      </c>
      <c r="BM270">
        <v>0</v>
      </c>
      <c r="BN270">
        <v>0</v>
      </c>
      <c r="BO270">
        <v>0</v>
      </c>
      <c r="BP270">
        <v>0</v>
      </c>
      <c r="BQ270">
        <v>0</v>
      </c>
      <c r="BR270">
        <v>0</v>
      </c>
      <c r="BS270">
        <v>0</v>
      </c>
      <c r="BT270">
        <v>0</v>
      </c>
      <c r="BU270">
        <v>0</v>
      </c>
      <c r="BV270" s="113"/>
    </row>
    <row r="271" spans="1:74" x14ac:dyDescent="0.25">
      <c r="A271" t="s">
        <v>111</v>
      </c>
      <c r="B271">
        <v>2</v>
      </c>
      <c r="C271" t="s">
        <v>7</v>
      </c>
      <c r="D271" s="20">
        <v>18560</v>
      </c>
      <c r="E271" s="20">
        <v>64</v>
      </c>
      <c r="F271" s="20">
        <v>4</v>
      </c>
      <c r="G271" s="20">
        <v>4</v>
      </c>
      <c r="H271" s="79">
        <v>475</v>
      </c>
      <c r="I271" s="62">
        <v>8.9743999999999993</v>
      </c>
      <c r="J271" s="16">
        <v>45547</v>
      </c>
      <c r="K271" s="25">
        <v>0.66754629629629625</v>
      </c>
      <c r="L271">
        <v>0</v>
      </c>
      <c r="M271">
        <v>0</v>
      </c>
      <c r="N271">
        <v>0</v>
      </c>
      <c r="O271">
        <v>0</v>
      </c>
      <c r="P271">
        <v>0</v>
      </c>
      <c r="Q271">
        <v>0</v>
      </c>
      <c r="R271">
        <v>0</v>
      </c>
      <c r="S271">
        <v>0</v>
      </c>
      <c r="T271">
        <v>0</v>
      </c>
      <c r="U271">
        <v>0</v>
      </c>
      <c r="V271">
        <v>0</v>
      </c>
      <c r="W271">
        <v>0</v>
      </c>
      <c r="X271" s="80">
        <f>X270</f>
        <v>8.9625000000000004</v>
      </c>
      <c r="Z271" t="s">
        <v>149</v>
      </c>
      <c r="AA271">
        <v>2</v>
      </c>
      <c r="AB271" t="s">
        <v>7</v>
      </c>
      <c r="AC271" s="20">
        <v>17472</v>
      </c>
      <c r="AD271" s="20">
        <v>224</v>
      </c>
      <c r="AE271" s="20">
        <v>1</v>
      </c>
      <c r="AF271" s="20">
        <v>16</v>
      </c>
      <c r="AG271" s="79">
        <v>352.39</v>
      </c>
      <c r="AH271" s="62">
        <v>10.092000000000001</v>
      </c>
      <c r="AI271" s="16">
        <v>45558</v>
      </c>
      <c r="AJ271" s="25">
        <v>0.9409143518518519</v>
      </c>
      <c r="AK271">
        <v>0</v>
      </c>
      <c r="AL271">
        <v>0</v>
      </c>
      <c r="AM271">
        <v>0</v>
      </c>
      <c r="AN271">
        <v>0</v>
      </c>
      <c r="AO271">
        <v>0</v>
      </c>
      <c r="AP271">
        <v>0</v>
      </c>
      <c r="AQ271">
        <v>0</v>
      </c>
      <c r="AR271">
        <v>0</v>
      </c>
      <c r="AS271">
        <v>0</v>
      </c>
      <c r="AT271">
        <v>0</v>
      </c>
      <c r="AU271">
        <v>0</v>
      </c>
      <c r="AV271">
        <v>0</v>
      </c>
      <c r="AW271" s="80">
        <f>AW270</f>
        <v>10.078250000000001</v>
      </c>
      <c r="AZ271">
        <v>0</v>
      </c>
      <c r="BA271" t="s">
        <v>7</v>
      </c>
      <c r="BB271">
        <v>19584</v>
      </c>
      <c r="BC271">
        <v>128</v>
      </c>
      <c r="BD271">
        <v>4</v>
      </c>
      <c r="BE271">
        <v>4</v>
      </c>
      <c r="BF271">
        <v>527.05999999999995</v>
      </c>
      <c r="BG271" s="23">
        <v>9.5016999999999996</v>
      </c>
      <c r="BH271" s="16">
        <v>45502</v>
      </c>
      <c r="BI271" s="18">
        <v>0.23869212962962963</v>
      </c>
      <c r="BJ271">
        <v>0</v>
      </c>
      <c r="BK271">
        <v>0</v>
      </c>
      <c r="BL271">
        <v>0</v>
      </c>
      <c r="BM271">
        <v>0</v>
      </c>
      <c r="BN271">
        <v>0</v>
      </c>
      <c r="BO271">
        <v>0</v>
      </c>
      <c r="BP271">
        <v>0</v>
      </c>
      <c r="BQ271">
        <v>0</v>
      </c>
      <c r="BR271">
        <v>0</v>
      </c>
      <c r="BS271">
        <v>0</v>
      </c>
      <c r="BT271">
        <v>0</v>
      </c>
      <c r="BU271">
        <v>0</v>
      </c>
      <c r="BV271" s="113">
        <f t="shared" si="6"/>
        <v>9.5194499999999991</v>
      </c>
    </row>
    <row r="272" spans="1:74" x14ac:dyDescent="0.25">
      <c r="A272" t="s">
        <v>111</v>
      </c>
      <c r="B272">
        <v>3</v>
      </c>
      <c r="C272" t="s">
        <v>7</v>
      </c>
      <c r="D272" s="20">
        <v>18560</v>
      </c>
      <c r="E272" s="20">
        <v>64</v>
      </c>
      <c r="F272" s="20">
        <v>4</v>
      </c>
      <c r="G272" s="20">
        <v>4</v>
      </c>
      <c r="H272" s="79">
        <v>476.65</v>
      </c>
      <c r="I272" s="62">
        <v>8.9433000000000007</v>
      </c>
      <c r="J272" s="16">
        <v>45548</v>
      </c>
      <c r="K272" s="25">
        <v>0.32780092592592591</v>
      </c>
      <c r="L272">
        <v>0</v>
      </c>
      <c r="M272">
        <v>0</v>
      </c>
      <c r="N272">
        <v>0</v>
      </c>
      <c r="O272">
        <v>0</v>
      </c>
      <c r="P272">
        <v>0</v>
      </c>
      <c r="Q272">
        <v>0</v>
      </c>
      <c r="R272">
        <v>0</v>
      </c>
      <c r="S272">
        <v>0</v>
      </c>
      <c r="T272">
        <v>0</v>
      </c>
      <c r="U272">
        <v>0</v>
      </c>
      <c r="V272">
        <v>0</v>
      </c>
      <c r="W272">
        <v>0</v>
      </c>
      <c r="X272" s="80">
        <f>X271</f>
        <v>8.9625000000000004</v>
      </c>
      <c r="Z272" t="s">
        <v>149</v>
      </c>
      <c r="AA272">
        <v>3</v>
      </c>
      <c r="AB272" t="s">
        <v>7</v>
      </c>
      <c r="AC272" s="20">
        <v>17472</v>
      </c>
      <c r="AD272" s="20">
        <v>224</v>
      </c>
      <c r="AE272" s="20">
        <v>1</v>
      </c>
      <c r="AF272" s="20">
        <v>16</v>
      </c>
      <c r="AG272" s="79">
        <v>352.62</v>
      </c>
      <c r="AH272" s="62">
        <v>10.085000000000001</v>
      </c>
      <c r="AI272" s="16">
        <v>45555</v>
      </c>
      <c r="AJ272" s="25">
        <v>0.11194444444444444</v>
      </c>
      <c r="AK272">
        <v>0</v>
      </c>
      <c r="AL272">
        <v>0</v>
      </c>
      <c r="AM272">
        <v>0</v>
      </c>
      <c r="AN272">
        <v>0</v>
      </c>
      <c r="AO272">
        <v>0</v>
      </c>
      <c r="AP272">
        <v>0</v>
      </c>
      <c r="AQ272">
        <v>0</v>
      </c>
      <c r="AR272">
        <v>0</v>
      </c>
      <c r="AS272">
        <v>0</v>
      </c>
      <c r="AT272">
        <v>0</v>
      </c>
      <c r="AU272">
        <v>0</v>
      </c>
      <c r="AV272">
        <v>0</v>
      </c>
      <c r="AW272" s="80">
        <f>AW271</f>
        <v>10.078250000000001</v>
      </c>
      <c r="AZ272">
        <v>1</v>
      </c>
      <c r="BA272" t="s">
        <v>7</v>
      </c>
      <c r="BB272">
        <v>19584</v>
      </c>
      <c r="BC272">
        <v>128</v>
      </c>
      <c r="BD272">
        <v>4</v>
      </c>
      <c r="BE272">
        <v>4</v>
      </c>
      <c r="BF272">
        <v>525.1</v>
      </c>
      <c r="BG272" s="23">
        <v>9.5372000000000003</v>
      </c>
      <c r="BH272" s="16">
        <v>45502</v>
      </c>
      <c r="BI272" s="18">
        <v>0.62732638888888892</v>
      </c>
      <c r="BJ272">
        <v>0</v>
      </c>
      <c r="BK272">
        <v>0</v>
      </c>
      <c r="BL272">
        <v>0</v>
      </c>
      <c r="BM272">
        <v>0</v>
      </c>
      <c r="BN272">
        <v>0</v>
      </c>
      <c r="BO272">
        <v>0</v>
      </c>
      <c r="BP272">
        <v>0</v>
      </c>
      <c r="BQ272">
        <v>0</v>
      </c>
      <c r="BR272">
        <v>0</v>
      </c>
      <c r="BS272">
        <v>0</v>
      </c>
      <c r="BT272">
        <v>0</v>
      </c>
      <c r="BU272">
        <v>0</v>
      </c>
      <c r="BV272" s="113"/>
    </row>
    <row r="273" spans="1:74" x14ac:dyDescent="0.25">
      <c r="A273" t="s">
        <v>111</v>
      </c>
      <c r="B273">
        <v>4</v>
      </c>
      <c r="C273" t="s">
        <v>7</v>
      </c>
      <c r="D273" s="20">
        <v>18560</v>
      </c>
      <c r="E273" s="20">
        <v>64</v>
      </c>
      <c r="F273" s="20">
        <v>4</v>
      </c>
      <c r="G273" s="20">
        <v>4</v>
      </c>
      <c r="H273" s="79">
        <v>478.51</v>
      </c>
      <c r="I273" s="62">
        <v>8.9085000000000001</v>
      </c>
      <c r="J273" s="16">
        <v>45548</v>
      </c>
      <c r="K273" s="25">
        <v>0.95655092592592594</v>
      </c>
      <c r="L273">
        <v>0</v>
      </c>
      <c r="M273">
        <v>0</v>
      </c>
      <c r="N273">
        <v>0</v>
      </c>
      <c r="O273">
        <v>0</v>
      </c>
      <c r="P273">
        <v>0</v>
      </c>
      <c r="Q273">
        <v>0</v>
      </c>
      <c r="R273">
        <v>0</v>
      </c>
      <c r="S273">
        <v>0</v>
      </c>
      <c r="T273">
        <v>0</v>
      </c>
      <c r="U273">
        <v>0</v>
      </c>
      <c r="V273">
        <v>0</v>
      </c>
      <c r="W273">
        <v>0</v>
      </c>
      <c r="X273" s="80">
        <f>X272</f>
        <v>8.9625000000000004</v>
      </c>
      <c r="Z273" t="s">
        <v>149</v>
      </c>
      <c r="AA273">
        <v>4</v>
      </c>
      <c r="AB273" t="s">
        <v>7</v>
      </c>
      <c r="AC273" s="20">
        <v>17472</v>
      </c>
      <c r="AD273" s="20">
        <v>224</v>
      </c>
      <c r="AE273" s="20">
        <v>1</v>
      </c>
      <c r="AF273" s="20">
        <v>16</v>
      </c>
      <c r="AG273" s="79">
        <v>351.88</v>
      </c>
      <c r="AH273" s="62">
        <v>10.106</v>
      </c>
      <c r="AI273" s="16">
        <v>45555</v>
      </c>
      <c r="AJ273" s="25">
        <v>0.6121064814814815</v>
      </c>
      <c r="AK273">
        <v>0</v>
      </c>
      <c r="AL273">
        <v>0</v>
      </c>
      <c r="AM273">
        <v>0</v>
      </c>
      <c r="AN273">
        <v>0</v>
      </c>
      <c r="AO273">
        <v>0</v>
      </c>
      <c r="AP273">
        <v>0</v>
      </c>
      <c r="AQ273">
        <v>0</v>
      </c>
      <c r="AR273">
        <v>0</v>
      </c>
      <c r="AS273">
        <v>0</v>
      </c>
      <c r="AT273">
        <v>0</v>
      </c>
      <c r="AU273">
        <v>0</v>
      </c>
      <c r="AV273">
        <v>0</v>
      </c>
      <c r="AW273" s="80">
        <f>AW272</f>
        <v>10.078250000000001</v>
      </c>
      <c r="AZ273">
        <v>0</v>
      </c>
      <c r="BA273" t="s">
        <v>7</v>
      </c>
      <c r="BB273">
        <v>17440</v>
      </c>
      <c r="BC273">
        <v>160</v>
      </c>
      <c r="BD273">
        <v>1</v>
      </c>
      <c r="BE273">
        <v>16</v>
      </c>
      <c r="BF273">
        <v>384.88</v>
      </c>
      <c r="BG273" s="23">
        <v>9.1892999999999994</v>
      </c>
      <c r="BH273" s="16">
        <v>45501</v>
      </c>
      <c r="BI273" s="18">
        <v>0.98796296296296293</v>
      </c>
      <c r="BJ273">
        <v>0</v>
      </c>
      <c r="BK273">
        <v>0</v>
      </c>
      <c r="BL273">
        <v>0</v>
      </c>
      <c r="BM273">
        <v>0</v>
      </c>
      <c r="BN273">
        <v>0</v>
      </c>
      <c r="BO273">
        <v>0</v>
      </c>
      <c r="BP273">
        <v>0</v>
      </c>
      <c r="BQ273">
        <v>0</v>
      </c>
      <c r="BR273">
        <v>0</v>
      </c>
      <c r="BS273">
        <v>0</v>
      </c>
      <c r="BT273">
        <v>0</v>
      </c>
      <c r="BU273">
        <v>0</v>
      </c>
      <c r="BV273" s="113">
        <f t="shared" si="6"/>
        <v>9.1893499999999992</v>
      </c>
    </row>
    <row r="274" spans="1:74" x14ac:dyDescent="0.25">
      <c r="A274" t="s">
        <v>111</v>
      </c>
      <c r="B274">
        <v>0</v>
      </c>
      <c r="C274" t="s">
        <v>7</v>
      </c>
      <c r="D274" s="20">
        <v>17472</v>
      </c>
      <c r="E274" s="20">
        <v>192</v>
      </c>
      <c r="F274" s="20">
        <v>4</v>
      </c>
      <c r="G274" s="20">
        <v>4</v>
      </c>
      <c r="H274" s="79">
        <v>396.33</v>
      </c>
      <c r="I274" s="62">
        <v>8.9730000000000008</v>
      </c>
      <c r="J274" s="16">
        <v>45546</v>
      </c>
      <c r="K274" s="25">
        <v>0.37791666666666668</v>
      </c>
      <c r="L274">
        <v>0</v>
      </c>
      <c r="M274">
        <v>0</v>
      </c>
      <c r="N274">
        <v>0</v>
      </c>
      <c r="O274">
        <v>0</v>
      </c>
      <c r="P274">
        <v>0</v>
      </c>
      <c r="Q274">
        <v>0</v>
      </c>
      <c r="R274">
        <v>0</v>
      </c>
      <c r="S274">
        <v>0</v>
      </c>
      <c r="T274">
        <v>0</v>
      </c>
      <c r="U274">
        <v>0</v>
      </c>
      <c r="V274">
        <v>0</v>
      </c>
      <c r="W274">
        <v>0</v>
      </c>
      <c r="X274" s="82">
        <f>AVERAGE(I274:I278)</f>
        <v>8.9497199999999992</v>
      </c>
      <c r="Z274" t="s">
        <v>149</v>
      </c>
      <c r="AA274">
        <v>0</v>
      </c>
      <c r="AB274" t="s">
        <v>7</v>
      </c>
      <c r="AC274" s="20">
        <v>17440</v>
      </c>
      <c r="AD274" s="20">
        <v>160</v>
      </c>
      <c r="AE274" s="20">
        <v>4</v>
      </c>
      <c r="AF274" s="20">
        <v>4</v>
      </c>
      <c r="AG274" s="79">
        <v>353.71</v>
      </c>
      <c r="AH274" s="62">
        <v>9.9990000000000006</v>
      </c>
      <c r="AI274" s="16">
        <v>45557</v>
      </c>
      <c r="AJ274" s="25">
        <v>0.92703703703703699</v>
      </c>
      <c r="AK274">
        <v>0</v>
      </c>
      <c r="AL274">
        <v>0</v>
      </c>
      <c r="AM274">
        <v>0</v>
      </c>
      <c r="AN274">
        <v>0</v>
      </c>
      <c r="AO274">
        <v>0</v>
      </c>
      <c r="AP274">
        <v>0</v>
      </c>
      <c r="AQ274">
        <v>0</v>
      </c>
      <c r="AR274">
        <v>0</v>
      </c>
      <c r="AS274">
        <v>0</v>
      </c>
      <c r="AT274">
        <v>0</v>
      </c>
      <c r="AU274">
        <v>0</v>
      </c>
      <c r="AV274">
        <v>0</v>
      </c>
      <c r="AW274" s="82">
        <f>AVERAGE(AH274:AH277)</f>
        <v>10.0725</v>
      </c>
      <c r="AZ274">
        <v>1</v>
      </c>
      <c r="BA274" t="s">
        <v>7</v>
      </c>
      <c r="BB274">
        <v>17440</v>
      </c>
      <c r="BC274">
        <v>160</v>
      </c>
      <c r="BD274">
        <v>1</v>
      </c>
      <c r="BE274">
        <v>16</v>
      </c>
      <c r="BF274">
        <v>384.87</v>
      </c>
      <c r="BG274" s="23">
        <v>9.1893999999999991</v>
      </c>
      <c r="BH274" s="16">
        <v>45502</v>
      </c>
      <c r="BI274" s="18">
        <v>0.37543981481481481</v>
      </c>
      <c r="BJ274">
        <v>0</v>
      </c>
      <c r="BK274">
        <v>0</v>
      </c>
      <c r="BL274">
        <v>0</v>
      </c>
      <c r="BM274">
        <v>0</v>
      </c>
      <c r="BN274">
        <v>0</v>
      </c>
      <c r="BO274">
        <v>0</v>
      </c>
      <c r="BP274">
        <v>0</v>
      </c>
      <c r="BQ274">
        <v>0</v>
      </c>
      <c r="BR274">
        <v>0</v>
      </c>
      <c r="BS274">
        <v>0</v>
      </c>
      <c r="BT274">
        <v>0</v>
      </c>
      <c r="BU274">
        <v>0</v>
      </c>
      <c r="BV274" s="113"/>
    </row>
    <row r="275" spans="1:74" x14ac:dyDescent="0.25">
      <c r="A275" t="s">
        <v>111</v>
      </c>
      <c r="B275">
        <v>1</v>
      </c>
      <c r="C275" t="s">
        <v>7</v>
      </c>
      <c r="D275" s="20">
        <v>17472</v>
      </c>
      <c r="E275" s="20">
        <v>192</v>
      </c>
      <c r="F275" s="20">
        <v>4</v>
      </c>
      <c r="G275" s="20">
        <v>4</v>
      </c>
      <c r="H275" s="79">
        <v>397.14</v>
      </c>
      <c r="I275" s="62">
        <v>8.9545999999999992</v>
      </c>
      <c r="J275" s="16">
        <v>45546</v>
      </c>
      <c r="K275" s="25">
        <v>0.99436342592592597</v>
      </c>
      <c r="L275">
        <v>0</v>
      </c>
      <c r="M275">
        <v>0</v>
      </c>
      <c r="N275">
        <v>0</v>
      </c>
      <c r="O275">
        <v>0</v>
      </c>
      <c r="P275">
        <v>0</v>
      </c>
      <c r="Q275">
        <v>0</v>
      </c>
      <c r="R275">
        <v>0</v>
      </c>
      <c r="S275">
        <v>0</v>
      </c>
      <c r="T275">
        <v>0</v>
      </c>
      <c r="U275">
        <v>0</v>
      </c>
      <c r="V275">
        <v>0</v>
      </c>
      <c r="W275">
        <v>0</v>
      </c>
      <c r="X275" s="80">
        <f>X274</f>
        <v>8.9497199999999992</v>
      </c>
      <c r="Z275" t="s">
        <v>149</v>
      </c>
      <c r="AA275">
        <v>1</v>
      </c>
      <c r="AB275" t="s">
        <v>7</v>
      </c>
      <c r="AC275" s="20">
        <v>17440</v>
      </c>
      <c r="AD275" s="20">
        <v>160</v>
      </c>
      <c r="AE275" s="20">
        <v>4</v>
      </c>
      <c r="AF275" s="20">
        <v>4</v>
      </c>
      <c r="AG275" s="79">
        <v>351.2</v>
      </c>
      <c r="AH275" s="62">
        <v>10.071</v>
      </c>
      <c r="AI275" s="16">
        <v>45558</v>
      </c>
      <c r="AJ275" s="25">
        <v>0.42641203703703706</v>
      </c>
      <c r="AK275">
        <v>0</v>
      </c>
      <c r="AL275">
        <v>0</v>
      </c>
      <c r="AM275">
        <v>0</v>
      </c>
      <c r="AN275">
        <v>0</v>
      </c>
      <c r="AO275">
        <v>0</v>
      </c>
      <c r="AP275">
        <v>0</v>
      </c>
      <c r="AQ275">
        <v>0</v>
      </c>
      <c r="AR275">
        <v>0</v>
      </c>
      <c r="AS275">
        <v>0</v>
      </c>
      <c r="AT275">
        <v>0</v>
      </c>
      <c r="AU275">
        <v>0</v>
      </c>
      <c r="AV275">
        <v>0</v>
      </c>
      <c r="AW275" s="80">
        <f>AW274</f>
        <v>10.0725</v>
      </c>
      <c r="AZ275">
        <v>0</v>
      </c>
      <c r="BA275" t="s">
        <v>7</v>
      </c>
      <c r="BB275">
        <v>18560</v>
      </c>
      <c r="BC275">
        <v>160</v>
      </c>
      <c r="BD275">
        <v>1</v>
      </c>
      <c r="BE275">
        <v>16</v>
      </c>
      <c r="BF275">
        <v>441.33</v>
      </c>
      <c r="BG275" s="23">
        <v>9.6590000000000007</v>
      </c>
      <c r="BH275" s="16">
        <v>45502</v>
      </c>
      <c r="BI275" s="18">
        <v>0.10701388888888889</v>
      </c>
      <c r="BJ275">
        <v>0</v>
      </c>
      <c r="BK275">
        <v>0</v>
      </c>
      <c r="BL275">
        <v>0</v>
      </c>
      <c r="BM275">
        <v>0</v>
      </c>
      <c r="BN275">
        <v>0</v>
      </c>
      <c r="BO275">
        <v>0</v>
      </c>
      <c r="BP275">
        <v>0</v>
      </c>
      <c r="BQ275">
        <v>0</v>
      </c>
      <c r="BR275">
        <v>0</v>
      </c>
      <c r="BS275">
        <v>0</v>
      </c>
      <c r="BT275">
        <v>0</v>
      </c>
      <c r="BU275">
        <v>0</v>
      </c>
      <c r="BV275" s="113">
        <f t="shared" si="6"/>
        <v>9.6281500000000015</v>
      </c>
    </row>
    <row r="276" spans="1:74" x14ac:dyDescent="0.25">
      <c r="A276" t="s">
        <v>111</v>
      </c>
      <c r="B276">
        <v>2</v>
      </c>
      <c r="C276" t="s">
        <v>7</v>
      </c>
      <c r="D276" s="20">
        <v>17472</v>
      </c>
      <c r="E276" s="20">
        <v>192</v>
      </c>
      <c r="F276" s="20">
        <v>4</v>
      </c>
      <c r="G276" s="20">
        <v>4</v>
      </c>
      <c r="H276" s="79">
        <v>398.11</v>
      </c>
      <c r="I276" s="62">
        <v>8.9328000000000003</v>
      </c>
      <c r="J276" s="16">
        <v>45547</v>
      </c>
      <c r="K276" s="25">
        <v>0.60945601851851849</v>
      </c>
      <c r="L276">
        <v>0</v>
      </c>
      <c r="M276">
        <v>0</v>
      </c>
      <c r="N276">
        <v>0</v>
      </c>
      <c r="O276">
        <v>0</v>
      </c>
      <c r="P276">
        <v>0</v>
      </c>
      <c r="Q276">
        <v>0</v>
      </c>
      <c r="R276">
        <v>0</v>
      </c>
      <c r="S276">
        <v>0</v>
      </c>
      <c r="T276">
        <v>0</v>
      </c>
      <c r="U276">
        <v>0</v>
      </c>
      <c r="V276">
        <v>0</v>
      </c>
      <c r="W276">
        <v>0</v>
      </c>
      <c r="X276" s="80">
        <f>X275</f>
        <v>8.9497199999999992</v>
      </c>
      <c r="Z276" t="s">
        <v>149</v>
      </c>
      <c r="AA276">
        <v>2</v>
      </c>
      <c r="AB276" t="s">
        <v>7</v>
      </c>
      <c r="AC276" s="20">
        <v>17440</v>
      </c>
      <c r="AD276" s="20">
        <v>160</v>
      </c>
      <c r="AE276" s="20">
        <v>4</v>
      </c>
      <c r="AF276" s="20">
        <v>4</v>
      </c>
      <c r="AG276" s="79">
        <v>347.69</v>
      </c>
      <c r="AH276" s="62">
        <v>10.172000000000001</v>
      </c>
      <c r="AI276" s="16">
        <v>45558</v>
      </c>
      <c r="AJ276" s="25">
        <v>0.92487268518518517</v>
      </c>
      <c r="AK276">
        <v>0</v>
      </c>
      <c r="AL276">
        <v>0</v>
      </c>
      <c r="AM276">
        <v>0</v>
      </c>
      <c r="AN276">
        <v>0</v>
      </c>
      <c r="AO276">
        <v>0</v>
      </c>
      <c r="AP276">
        <v>0</v>
      </c>
      <c r="AQ276">
        <v>0</v>
      </c>
      <c r="AR276">
        <v>0</v>
      </c>
      <c r="AS276">
        <v>0</v>
      </c>
      <c r="AT276">
        <v>0</v>
      </c>
      <c r="AU276">
        <v>0</v>
      </c>
      <c r="AV276">
        <v>0</v>
      </c>
      <c r="AW276" s="80">
        <f>AW275</f>
        <v>10.0725</v>
      </c>
      <c r="AZ276">
        <v>1</v>
      </c>
      <c r="BA276" t="s">
        <v>7</v>
      </c>
      <c r="BB276">
        <v>18560</v>
      </c>
      <c r="BC276">
        <v>160</v>
      </c>
      <c r="BD276">
        <v>1</v>
      </c>
      <c r="BE276">
        <v>16</v>
      </c>
      <c r="BF276">
        <v>444.17</v>
      </c>
      <c r="BG276" s="23">
        <v>9.5973000000000006</v>
      </c>
      <c r="BH276" s="16">
        <v>45502</v>
      </c>
      <c r="BI276" s="18">
        <v>0.49442129629629628</v>
      </c>
      <c r="BJ276">
        <v>0</v>
      </c>
      <c r="BK276">
        <v>0</v>
      </c>
      <c r="BL276">
        <v>0</v>
      </c>
      <c r="BM276">
        <v>0</v>
      </c>
      <c r="BN276">
        <v>0</v>
      </c>
      <c r="BO276">
        <v>0</v>
      </c>
      <c r="BP276">
        <v>0</v>
      </c>
      <c r="BQ276">
        <v>0</v>
      </c>
      <c r="BR276">
        <v>0</v>
      </c>
      <c r="BS276">
        <v>0</v>
      </c>
      <c r="BT276">
        <v>0</v>
      </c>
      <c r="BU276">
        <v>0</v>
      </c>
      <c r="BV276" s="113"/>
    </row>
    <row r="277" spans="1:74" x14ac:dyDescent="0.25">
      <c r="A277" t="s">
        <v>111</v>
      </c>
      <c r="B277">
        <v>3</v>
      </c>
      <c r="C277" t="s">
        <v>7</v>
      </c>
      <c r="D277" s="20">
        <v>17472</v>
      </c>
      <c r="E277" s="20">
        <v>192</v>
      </c>
      <c r="F277" s="20">
        <v>4</v>
      </c>
      <c r="G277" s="20">
        <v>4</v>
      </c>
      <c r="H277" s="79">
        <v>397.42</v>
      </c>
      <c r="I277" s="62">
        <v>8.9483999999999995</v>
      </c>
      <c r="J277" s="16">
        <v>45548</v>
      </c>
      <c r="K277" s="25">
        <v>0.26976851851851852</v>
      </c>
      <c r="L277">
        <v>0</v>
      </c>
      <c r="M277">
        <v>0</v>
      </c>
      <c r="N277">
        <v>0</v>
      </c>
      <c r="O277">
        <v>0</v>
      </c>
      <c r="P277">
        <v>0</v>
      </c>
      <c r="Q277">
        <v>0</v>
      </c>
      <c r="R277">
        <v>0</v>
      </c>
      <c r="S277">
        <v>0</v>
      </c>
      <c r="T277">
        <v>0</v>
      </c>
      <c r="U277">
        <v>0</v>
      </c>
      <c r="V277">
        <v>0</v>
      </c>
      <c r="W277">
        <v>0</v>
      </c>
      <c r="X277" s="80">
        <f>X276</f>
        <v>8.9497199999999992</v>
      </c>
      <c r="Z277" t="s">
        <v>149</v>
      </c>
      <c r="AA277">
        <v>3</v>
      </c>
      <c r="AB277" t="s">
        <v>7</v>
      </c>
      <c r="AC277" s="20">
        <v>17440</v>
      </c>
      <c r="AD277" s="20">
        <v>160</v>
      </c>
      <c r="AE277" s="20">
        <v>4</v>
      </c>
      <c r="AF277" s="20">
        <v>4</v>
      </c>
      <c r="AG277" s="79">
        <v>351.99</v>
      </c>
      <c r="AH277" s="62">
        <v>10.048</v>
      </c>
      <c r="AI277" s="16">
        <v>45555</v>
      </c>
      <c r="AJ277" s="25">
        <v>9.5868055555555554E-2</v>
      </c>
      <c r="AK277">
        <v>0</v>
      </c>
      <c r="AL277">
        <v>0</v>
      </c>
      <c r="AM277">
        <v>0</v>
      </c>
      <c r="AN277">
        <v>0</v>
      </c>
      <c r="AO277">
        <v>0</v>
      </c>
      <c r="AP277">
        <v>0</v>
      </c>
      <c r="AQ277">
        <v>0</v>
      </c>
      <c r="AR277">
        <v>0</v>
      </c>
      <c r="AS277">
        <v>0</v>
      </c>
      <c r="AT277">
        <v>0</v>
      </c>
      <c r="AU277">
        <v>0</v>
      </c>
      <c r="AV277">
        <v>0</v>
      </c>
      <c r="AW277" s="80">
        <f>AW276</f>
        <v>10.0725</v>
      </c>
      <c r="AZ277">
        <v>0</v>
      </c>
      <c r="BA277" t="s">
        <v>7</v>
      </c>
      <c r="BB277">
        <v>19520</v>
      </c>
      <c r="BC277">
        <v>160</v>
      </c>
      <c r="BD277">
        <v>1</v>
      </c>
      <c r="BE277">
        <v>16</v>
      </c>
      <c r="BF277">
        <v>560.53</v>
      </c>
      <c r="BG277" s="23">
        <v>8.8469999999999995</v>
      </c>
      <c r="BH277" s="16">
        <v>45502</v>
      </c>
      <c r="BI277" s="18">
        <v>0.24542824074074074</v>
      </c>
      <c r="BJ277">
        <v>0</v>
      </c>
      <c r="BK277">
        <v>0</v>
      </c>
      <c r="BL277">
        <v>0</v>
      </c>
      <c r="BM277">
        <v>0</v>
      </c>
      <c r="BN277">
        <v>0</v>
      </c>
      <c r="BO277">
        <v>0</v>
      </c>
      <c r="BP277">
        <v>0</v>
      </c>
      <c r="BQ277">
        <v>0</v>
      </c>
      <c r="BR277">
        <v>0</v>
      </c>
      <c r="BS277">
        <v>0</v>
      </c>
      <c r="BT277">
        <v>0</v>
      </c>
      <c r="BU277">
        <v>0</v>
      </c>
      <c r="BV277" s="113">
        <f t="shared" si="6"/>
        <v>8.4444999999999997</v>
      </c>
    </row>
    <row r="278" spans="1:74" x14ac:dyDescent="0.25">
      <c r="A278" t="s">
        <v>111</v>
      </c>
      <c r="B278">
        <v>4</v>
      </c>
      <c r="C278" t="s">
        <v>7</v>
      </c>
      <c r="D278" s="20">
        <v>17472</v>
      </c>
      <c r="E278" s="20">
        <v>192</v>
      </c>
      <c r="F278" s="20">
        <v>4</v>
      </c>
      <c r="G278" s="20">
        <v>4</v>
      </c>
      <c r="H278" s="79">
        <v>397.8</v>
      </c>
      <c r="I278" s="62">
        <v>8.9398</v>
      </c>
      <c r="J278" s="16">
        <v>45548</v>
      </c>
      <c r="K278" s="25">
        <v>0.89746527777777774</v>
      </c>
      <c r="L278">
        <v>0</v>
      </c>
      <c r="M278">
        <v>0</v>
      </c>
      <c r="N278">
        <v>0</v>
      </c>
      <c r="O278">
        <v>0</v>
      </c>
      <c r="P278">
        <v>0</v>
      </c>
      <c r="Q278">
        <v>0</v>
      </c>
      <c r="R278">
        <v>0</v>
      </c>
      <c r="S278">
        <v>0</v>
      </c>
      <c r="T278">
        <v>0</v>
      </c>
      <c r="U278">
        <v>0</v>
      </c>
      <c r="V278">
        <v>0</v>
      </c>
      <c r="W278">
        <v>0</v>
      </c>
      <c r="X278" s="80">
        <f>X277</f>
        <v>8.9497199999999992</v>
      </c>
      <c r="Z278" t="s">
        <v>149</v>
      </c>
      <c r="AA278">
        <v>4</v>
      </c>
      <c r="AB278" t="s">
        <v>7</v>
      </c>
      <c r="AC278" s="20">
        <v>17440</v>
      </c>
      <c r="AD278" s="20">
        <v>160</v>
      </c>
      <c r="AE278" s="20">
        <v>4</v>
      </c>
      <c r="AF278" s="20">
        <v>4</v>
      </c>
      <c r="AG278" s="79">
        <v>350.64</v>
      </c>
      <c r="AH278" s="62">
        <v>10.087</v>
      </c>
      <c r="AI278" s="16">
        <v>45555</v>
      </c>
      <c r="AJ278" s="25">
        <v>0.59603009259259254</v>
      </c>
      <c r="AK278">
        <v>0</v>
      </c>
      <c r="AL278">
        <v>0</v>
      </c>
      <c r="AM278">
        <v>0</v>
      </c>
      <c r="AN278">
        <v>0</v>
      </c>
      <c r="AO278">
        <v>0</v>
      </c>
      <c r="AP278">
        <v>0</v>
      </c>
      <c r="AQ278">
        <v>0</v>
      </c>
      <c r="AR278">
        <v>0</v>
      </c>
      <c r="AS278">
        <v>0</v>
      </c>
      <c r="AT278">
        <v>0</v>
      </c>
      <c r="AU278">
        <v>0</v>
      </c>
      <c r="AV278">
        <v>0</v>
      </c>
      <c r="AW278" s="80">
        <f>AW277</f>
        <v>10.0725</v>
      </c>
      <c r="AZ278">
        <v>1</v>
      </c>
      <c r="BA278" t="s">
        <v>7</v>
      </c>
      <c r="BB278">
        <v>19520</v>
      </c>
      <c r="BC278">
        <v>160</v>
      </c>
      <c r="BD278">
        <v>1</v>
      </c>
      <c r="BE278">
        <v>16</v>
      </c>
      <c r="BF278">
        <v>616.65</v>
      </c>
      <c r="BG278" s="23">
        <v>8.0419999999999998</v>
      </c>
      <c r="BH278" s="16">
        <v>45502</v>
      </c>
      <c r="BI278" s="18">
        <v>0.63469907407407411</v>
      </c>
      <c r="BJ278">
        <v>0</v>
      </c>
      <c r="BK278">
        <v>0</v>
      </c>
      <c r="BL278">
        <v>0</v>
      </c>
      <c r="BM278">
        <v>0</v>
      </c>
      <c r="BN278">
        <v>0</v>
      </c>
      <c r="BO278">
        <v>0</v>
      </c>
      <c r="BP278">
        <v>0</v>
      </c>
      <c r="BQ278">
        <v>0</v>
      </c>
      <c r="BR278">
        <v>0</v>
      </c>
      <c r="BS278">
        <v>0</v>
      </c>
      <c r="BT278">
        <v>0</v>
      </c>
      <c r="BU278">
        <v>0</v>
      </c>
      <c r="BV278" s="113"/>
    </row>
    <row r="279" spans="1:74" x14ac:dyDescent="0.25">
      <c r="A279" t="s">
        <v>111</v>
      </c>
      <c r="B279">
        <v>0</v>
      </c>
      <c r="C279" t="s">
        <v>7</v>
      </c>
      <c r="D279" s="20">
        <v>18432</v>
      </c>
      <c r="E279" s="20">
        <v>256</v>
      </c>
      <c r="F279" s="20">
        <v>4</v>
      </c>
      <c r="G279" s="20">
        <v>4</v>
      </c>
      <c r="H279" s="79">
        <v>468.8</v>
      </c>
      <c r="I279" s="62">
        <v>8.9062000000000001</v>
      </c>
      <c r="J279" s="16">
        <v>45546</v>
      </c>
      <c r="K279" s="25">
        <v>0.54068287037037033</v>
      </c>
      <c r="L279">
        <v>0</v>
      </c>
      <c r="M279">
        <v>0</v>
      </c>
      <c r="N279">
        <v>0</v>
      </c>
      <c r="O279">
        <v>0</v>
      </c>
      <c r="P279">
        <v>0</v>
      </c>
      <c r="Q279">
        <v>0</v>
      </c>
      <c r="R279">
        <v>0</v>
      </c>
      <c r="S279">
        <v>0</v>
      </c>
      <c r="T279">
        <v>0</v>
      </c>
      <c r="U279">
        <v>0</v>
      </c>
      <c r="V279">
        <v>0</v>
      </c>
      <c r="W279">
        <v>0</v>
      </c>
      <c r="X279" s="82">
        <f>AVERAGE(I279:I283)</f>
        <v>8.9176400000000005</v>
      </c>
      <c r="Z279" t="s">
        <v>149</v>
      </c>
      <c r="AA279">
        <v>0</v>
      </c>
      <c r="AB279" t="s">
        <v>7</v>
      </c>
      <c r="AC279" s="20">
        <v>17536</v>
      </c>
      <c r="AD279" s="20">
        <v>128</v>
      </c>
      <c r="AE279" s="20">
        <v>4</v>
      </c>
      <c r="AF279" s="20">
        <v>4</v>
      </c>
      <c r="AG279" s="79">
        <v>358.27</v>
      </c>
      <c r="AH279" s="62">
        <v>10.036</v>
      </c>
      <c r="AI279" s="16">
        <v>45557</v>
      </c>
      <c r="AJ279" s="25">
        <v>0.91520833333333329</v>
      </c>
      <c r="AK279">
        <v>0</v>
      </c>
      <c r="AL279">
        <v>0</v>
      </c>
      <c r="AM279">
        <v>0</v>
      </c>
      <c r="AN279">
        <v>0</v>
      </c>
      <c r="AO279">
        <v>0</v>
      </c>
      <c r="AP279">
        <v>0</v>
      </c>
      <c r="AQ279">
        <v>0</v>
      </c>
      <c r="AR279">
        <v>0</v>
      </c>
      <c r="AS279">
        <v>0</v>
      </c>
      <c r="AT279">
        <v>0</v>
      </c>
      <c r="AU279">
        <v>0</v>
      </c>
      <c r="AV279">
        <v>0</v>
      </c>
      <c r="AW279" s="82">
        <f>AVERAGE(AH279:AH282)</f>
        <v>10.05475</v>
      </c>
      <c r="AZ279">
        <v>0</v>
      </c>
      <c r="BA279" t="s">
        <v>7</v>
      </c>
      <c r="BB279">
        <v>17440</v>
      </c>
      <c r="BC279">
        <v>160</v>
      </c>
      <c r="BD279">
        <v>2</v>
      </c>
      <c r="BE279">
        <v>8</v>
      </c>
      <c r="BF279">
        <v>328.15</v>
      </c>
      <c r="BG279" s="23">
        <v>10.778</v>
      </c>
      <c r="BH279" s="16">
        <v>45501</v>
      </c>
      <c r="BI279" s="18">
        <v>0.99190972222222218</v>
      </c>
      <c r="BJ279">
        <v>0</v>
      </c>
      <c r="BK279">
        <v>0</v>
      </c>
      <c r="BL279">
        <v>0</v>
      </c>
      <c r="BM279">
        <v>0</v>
      </c>
      <c r="BN279">
        <v>0</v>
      </c>
      <c r="BO279">
        <v>0</v>
      </c>
      <c r="BP279">
        <v>0</v>
      </c>
      <c r="BQ279">
        <v>0</v>
      </c>
      <c r="BR279">
        <v>0</v>
      </c>
      <c r="BS279">
        <v>0</v>
      </c>
      <c r="BT279">
        <v>0</v>
      </c>
      <c r="BU279">
        <v>0</v>
      </c>
      <c r="BV279" s="113">
        <f t="shared" ref="BV279:BV335" si="7">AVERAGE(BG279:BG280)</f>
        <v>10.781500000000001</v>
      </c>
    </row>
    <row r="280" spans="1:74" x14ac:dyDescent="0.25">
      <c r="A280" t="s">
        <v>111</v>
      </c>
      <c r="B280">
        <v>1</v>
      </c>
      <c r="C280" t="s">
        <v>7</v>
      </c>
      <c r="D280" s="20">
        <v>18432</v>
      </c>
      <c r="E280" s="20">
        <v>256</v>
      </c>
      <c r="F280" s="20">
        <v>4</v>
      </c>
      <c r="G280" s="20">
        <v>4</v>
      </c>
      <c r="H280" s="79">
        <v>465.03</v>
      </c>
      <c r="I280" s="62">
        <v>8.9784000000000006</v>
      </c>
      <c r="J280" s="16">
        <v>45547</v>
      </c>
      <c r="K280" s="25">
        <v>0.16439814814814815</v>
      </c>
      <c r="L280">
        <v>0</v>
      </c>
      <c r="M280">
        <v>0</v>
      </c>
      <c r="N280">
        <v>0</v>
      </c>
      <c r="O280">
        <v>0</v>
      </c>
      <c r="P280">
        <v>0</v>
      </c>
      <c r="Q280">
        <v>0</v>
      </c>
      <c r="R280">
        <v>0</v>
      </c>
      <c r="S280">
        <v>0</v>
      </c>
      <c r="T280">
        <v>0</v>
      </c>
      <c r="U280">
        <v>0</v>
      </c>
      <c r="V280">
        <v>0</v>
      </c>
      <c r="W280">
        <v>0</v>
      </c>
      <c r="X280" s="80">
        <f>X279</f>
        <v>8.9176400000000005</v>
      </c>
      <c r="Z280" t="s">
        <v>149</v>
      </c>
      <c r="AA280">
        <v>1</v>
      </c>
      <c r="AB280" t="s">
        <v>7</v>
      </c>
      <c r="AC280" s="20">
        <v>17536</v>
      </c>
      <c r="AD280" s="20">
        <v>128</v>
      </c>
      <c r="AE280" s="20">
        <v>4</v>
      </c>
      <c r="AF280" s="20">
        <v>4</v>
      </c>
      <c r="AG280" s="79">
        <v>357.63</v>
      </c>
      <c r="AH280" s="62">
        <v>10.054</v>
      </c>
      <c r="AI280" s="16">
        <v>45558</v>
      </c>
      <c r="AJ280" s="25">
        <v>0.41460648148148149</v>
      </c>
      <c r="AK280">
        <v>0</v>
      </c>
      <c r="AL280">
        <v>0</v>
      </c>
      <c r="AM280">
        <v>0</v>
      </c>
      <c r="AN280">
        <v>0</v>
      </c>
      <c r="AO280">
        <v>0</v>
      </c>
      <c r="AP280">
        <v>0</v>
      </c>
      <c r="AQ280">
        <v>0</v>
      </c>
      <c r="AR280">
        <v>0</v>
      </c>
      <c r="AS280">
        <v>0</v>
      </c>
      <c r="AT280">
        <v>0</v>
      </c>
      <c r="AU280">
        <v>0</v>
      </c>
      <c r="AV280">
        <v>0</v>
      </c>
      <c r="AW280" s="80">
        <f>AW279</f>
        <v>10.05475</v>
      </c>
      <c r="AZ280">
        <v>1</v>
      </c>
      <c r="BA280" t="s">
        <v>7</v>
      </c>
      <c r="BB280">
        <v>17440</v>
      </c>
      <c r="BC280">
        <v>160</v>
      </c>
      <c r="BD280">
        <v>2</v>
      </c>
      <c r="BE280">
        <v>8</v>
      </c>
      <c r="BF280">
        <v>327.92</v>
      </c>
      <c r="BG280" s="23">
        <v>10.785</v>
      </c>
      <c r="BH280" s="16">
        <v>45502</v>
      </c>
      <c r="BI280" s="18">
        <v>0.37937500000000002</v>
      </c>
      <c r="BJ280">
        <v>0</v>
      </c>
      <c r="BK280">
        <v>0</v>
      </c>
      <c r="BL280">
        <v>0</v>
      </c>
      <c r="BM280">
        <v>0</v>
      </c>
      <c r="BN280">
        <v>0</v>
      </c>
      <c r="BO280">
        <v>0</v>
      </c>
      <c r="BP280">
        <v>0</v>
      </c>
      <c r="BQ280">
        <v>0</v>
      </c>
      <c r="BR280">
        <v>0</v>
      </c>
      <c r="BS280">
        <v>0</v>
      </c>
      <c r="BT280">
        <v>0</v>
      </c>
      <c r="BU280">
        <v>0</v>
      </c>
      <c r="BV280" s="113"/>
    </row>
    <row r="281" spans="1:74" x14ac:dyDescent="0.25">
      <c r="A281" t="s">
        <v>111</v>
      </c>
      <c r="B281">
        <v>2</v>
      </c>
      <c r="C281" t="s">
        <v>7</v>
      </c>
      <c r="D281" s="20">
        <v>18432</v>
      </c>
      <c r="E281" s="20">
        <v>256</v>
      </c>
      <c r="F281" s="20">
        <v>4</v>
      </c>
      <c r="G281" s="20">
        <v>4</v>
      </c>
      <c r="H281" s="79">
        <v>469.92</v>
      </c>
      <c r="I281" s="62">
        <v>8.8849999999999998</v>
      </c>
      <c r="J281" s="16">
        <v>45547</v>
      </c>
      <c r="K281" s="25">
        <v>0.77417824074074071</v>
      </c>
      <c r="L281">
        <v>0</v>
      </c>
      <c r="M281">
        <v>0</v>
      </c>
      <c r="N281">
        <v>0</v>
      </c>
      <c r="O281">
        <v>0</v>
      </c>
      <c r="P281">
        <v>0</v>
      </c>
      <c r="Q281">
        <v>0</v>
      </c>
      <c r="R281">
        <v>0</v>
      </c>
      <c r="S281">
        <v>0</v>
      </c>
      <c r="T281">
        <v>0</v>
      </c>
      <c r="U281">
        <v>0</v>
      </c>
      <c r="V281">
        <v>0</v>
      </c>
      <c r="W281">
        <v>0</v>
      </c>
      <c r="X281" s="80">
        <f>X280</f>
        <v>8.9176400000000005</v>
      </c>
      <c r="Z281" t="s">
        <v>149</v>
      </c>
      <c r="AA281">
        <v>2</v>
      </c>
      <c r="AB281" t="s">
        <v>7</v>
      </c>
      <c r="AC281" s="20">
        <v>17536</v>
      </c>
      <c r="AD281" s="20">
        <v>128</v>
      </c>
      <c r="AE281" s="20">
        <v>4</v>
      </c>
      <c r="AF281" s="20">
        <v>4</v>
      </c>
      <c r="AG281" s="79">
        <v>356.7</v>
      </c>
      <c r="AH281" s="62">
        <v>10.08</v>
      </c>
      <c r="AI281" s="16">
        <v>45558</v>
      </c>
      <c r="AJ281" s="25">
        <v>0.91312499999999996</v>
      </c>
      <c r="AK281">
        <v>0</v>
      </c>
      <c r="AL281">
        <v>0</v>
      </c>
      <c r="AM281">
        <v>0</v>
      </c>
      <c r="AN281">
        <v>0</v>
      </c>
      <c r="AO281">
        <v>0</v>
      </c>
      <c r="AP281">
        <v>0</v>
      </c>
      <c r="AQ281">
        <v>0</v>
      </c>
      <c r="AR281">
        <v>0</v>
      </c>
      <c r="AS281">
        <v>0</v>
      </c>
      <c r="AT281">
        <v>0</v>
      </c>
      <c r="AU281">
        <v>0</v>
      </c>
      <c r="AV281">
        <v>0</v>
      </c>
      <c r="AW281" s="80">
        <f>AW280</f>
        <v>10.05475</v>
      </c>
      <c r="AZ281">
        <v>0</v>
      </c>
      <c r="BA281" t="s">
        <v>7</v>
      </c>
      <c r="BB281">
        <v>18560</v>
      </c>
      <c r="BC281">
        <v>160</v>
      </c>
      <c r="BD281">
        <v>2</v>
      </c>
      <c r="BE281">
        <v>8</v>
      </c>
      <c r="BF281">
        <v>377.24</v>
      </c>
      <c r="BG281" s="23">
        <v>11.3</v>
      </c>
      <c r="BH281" s="16">
        <v>45502</v>
      </c>
      <c r="BI281" s="18">
        <v>0.11153935185185185</v>
      </c>
      <c r="BJ281">
        <v>0</v>
      </c>
      <c r="BK281">
        <v>0</v>
      </c>
      <c r="BL281">
        <v>0</v>
      </c>
      <c r="BM281">
        <v>0</v>
      </c>
      <c r="BN281">
        <v>0</v>
      </c>
      <c r="BO281">
        <v>0</v>
      </c>
      <c r="BP281">
        <v>0</v>
      </c>
      <c r="BQ281">
        <v>0</v>
      </c>
      <c r="BR281">
        <v>0</v>
      </c>
      <c r="BS281">
        <v>0</v>
      </c>
      <c r="BT281">
        <v>0</v>
      </c>
      <c r="BU281">
        <v>0</v>
      </c>
      <c r="BV281" s="113">
        <f t="shared" si="7"/>
        <v>11.284500000000001</v>
      </c>
    </row>
    <row r="282" spans="1:74" x14ac:dyDescent="0.25">
      <c r="A282" t="s">
        <v>111</v>
      </c>
      <c r="B282">
        <v>3</v>
      </c>
      <c r="C282" t="s">
        <v>7</v>
      </c>
      <c r="D282" s="20">
        <v>18432</v>
      </c>
      <c r="E282" s="20">
        <v>256</v>
      </c>
      <c r="F282" s="20">
        <v>4</v>
      </c>
      <c r="G282" s="20">
        <v>4</v>
      </c>
      <c r="H282" s="79">
        <v>468.36</v>
      </c>
      <c r="I282" s="62">
        <v>8.9146000000000001</v>
      </c>
      <c r="J282" s="16">
        <v>45548</v>
      </c>
      <c r="K282" s="25">
        <v>0.43881944444444443</v>
      </c>
      <c r="L282">
        <v>0</v>
      </c>
      <c r="M282">
        <v>0</v>
      </c>
      <c r="N282">
        <v>0</v>
      </c>
      <c r="O282">
        <v>0</v>
      </c>
      <c r="P282">
        <v>0</v>
      </c>
      <c r="Q282">
        <v>0</v>
      </c>
      <c r="R282">
        <v>0</v>
      </c>
      <c r="S282">
        <v>0</v>
      </c>
      <c r="T282">
        <v>0</v>
      </c>
      <c r="U282">
        <v>0</v>
      </c>
      <c r="V282">
        <v>0</v>
      </c>
      <c r="W282">
        <v>0</v>
      </c>
      <c r="X282" s="80">
        <f>X281</f>
        <v>8.9176400000000005</v>
      </c>
      <c r="Z282" t="s">
        <v>149</v>
      </c>
      <c r="AA282">
        <v>3</v>
      </c>
      <c r="AB282" t="s">
        <v>7</v>
      </c>
      <c r="AC282" s="20">
        <v>17536</v>
      </c>
      <c r="AD282" s="20">
        <v>128</v>
      </c>
      <c r="AE282" s="20">
        <v>4</v>
      </c>
      <c r="AF282" s="20">
        <v>4</v>
      </c>
      <c r="AG282" s="79">
        <v>357.78</v>
      </c>
      <c r="AH282" s="62">
        <v>10.048999999999999</v>
      </c>
      <c r="AI282" s="16">
        <v>45555</v>
      </c>
      <c r="AJ282" s="25">
        <v>8.4062499999999998E-2</v>
      </c>
      <c r="AK282">
        <v>0</v>
      </c>
      <c r="AL282">
        <v>0</v>
      </c>
      <c r="AM282">
        <v>0</v>
      </c>
      <c r="AN282">
        <v>0</v>
      </c>
      <c r="AO282">
        <v>0</v>
      </c>
      <c r="AP282">
        <v>0</v>
      </c>
      <c r="AQ282">
        <v>0</v>
      </c>
      <c r="AR282">
        <v>0</v>
      </c>
      <c r="AS282">
        <v>0</v>
      </c>
      <c r="AT282">
        <v>0</v>
      </c>
      <c r="AU282">
        <v>0</v>
      </c>
      <c r="AV282">
        <v>0</v>
      </c>
      <c r="AW282" s="80">
        <f>AW281</f>
        <v>10.05475</v>
      </c>
      <c r="AZ282">
        <v>1</v>
      </c>
      <c r="BA282" t="s">
        <v>7</v>
      </c>
      <c r="BB282">
        <v>18560</v>
      </c>
      <c r="BC282">
        <v>160</v>
      </c>
      <c r="BD282">
        <v>2</v>
      </c>
      <c r="BE282">
        <v>8</v>
      </c>
      <c r="BF282">
        <v>378.29</v>
      </c>
      <c r="BG282" s="23">
        <v>11.269</v>
      </c>
      <c r="BH282" s="16">
        <v>45502</v>
      </c>
      <c r="BI282" s="18">
        <v>0.49895833333333334</v>
      </c>
      <c r="BJ282">
        <v>0</v>
      </c>
      <c r="BK282">
        <v>0</v>
      </c>
      <c r="BL282">
        <v>0</v>
      </c>
      <c r="BM282">
        <v>0</v>
      </c>
      <c r="BN282">
        <v>0</v>
      </c>
      <c r="BO282">
        <v>0</v>
      </c>
      <c r="BP282">
        <v>0</v>
      </c>
      <c r="BQ282">
        <v>0</v>
      </c>
      <c r="BR282">
        <v>0</v>
      </c>
      <c r="BS282">
        <v>0</v>
      </c>
      <c r="BT282">
        <v>0</v>
      </c>
      <c r="BU282">
        <v>0</v>
      </c>
      <c r="BV282" s="113"/>
    </row>
    <row r="283" spans="1:74" x14ac:dyDescent="0.25">
      <c r="A283" t="s">
        <v>111</v>
      </c>
      <c r="B283">
        <v>4</v>
      </c>
      <c r="C283" t="s">
        <v>7</v>
      </c>
      <c r="D283" s="20">
        <v>18432</v>
      </c>
      <c r="E283" s="20">
        <v>256</v>
      </c>
      <c r="F283" s="20">
        <v>4</v>
      </c>
      <c r="G283" s="20">
        <v>4</v>
      </c>
      <c r="H283" s="79">
        <v>468.91</v>
      </c>
      <c r="I283" s="62">
        <v>8.9039999999999999</v>
      </c>
      <c r="J283" s="16">
        <v>45549</v>
      </c>
      <c r="K283" s="25">
        <v>7.4560185185185188E-2</v>
      </c>
      <c r="L283">
        <v>0</v>
      </c>
      <c r="M283">
        <v>0</v>
      </c>
      <c r="N283">
        <v>0</v>
      </c>
      <c r="O283">
        <v>0</v>
      </c>
      <c r="P283">
        <v>0</v>
      </c>
      <c r="Q283">
        <v>0</v>
      </c>
      <c r="R283">
        <v>0</v>
      </c>
      <c r="S283">
        <v>0</v>
      </c>
      <c r="T283">
        <v>0</v>
      </c>
      <c r="U283">
        <v>0</v>
      </c>
      <c r="V283">
        <v>0</v>
      </c>
      <c r="W283">
        <v>0</v>
      </c>
      <c r="X283" s="80">
        <f>X282</f>
        <v>8.9176400000000005</v>
      </c>
      <c r="Z283" t="s">
        <v>149</v>
      </c>
      <c r="AA283">
        <v>4</v>
      </c>
      <c r="AB283" t="s">
        <v>7</v>
      </c>
      <c r="AC283" s="20">
        <v>17536</v>
      </c>
      <c r="AD283" s="20">
        <v>128</v>
      </c>
      <c r="AE283" s="20">
        <v>4</v>
      </c>
      <c r="AF283" s="20">
        <v>4</v>
      </c>
      <c r="AG283" s="79">
        <v>358.07</v>
      </c>
      <c r="AH283" s="62">
        <v>10.041</v>
      </c>
      <c r="AI283" s="16">
        <v>45555</v>
      </c>
      <c r="AJ283" s="25">
        <v>0.58424768518518522</v>
      </c>
      <c r="AK283">
        <v>0</v>
      </c>
      <c r="AL283">
        <v>0</v>
      </c>
      <c r="AM283">
        <v>0</v>
      </c>
      <c r="AN283">
        <v>0</v>
      </c>
      <c r="AO283">
        <v>0</v>
      </c>
      <c r="AP283">
        <v>0</v>
      </c>
      <c r="AQ283">
        <v>0</v>
      </c>
      <c r="AR283">
        <v>0</v>
      </c>
      <c r="AS283">
        <v>0</v>
      </c>
      <c r="AT283">
        <v>0</v>
      </c>
      <c r="AU283">
        <v>0</v>
      </c>
      <c r="AV283">
        <v>0</v>
      </c>
      <c r="AW283" s="80">
        <f>AW282</f>
        <v>10.05475</v>
      </c>
      <c r="AZ283">
        <v>0</v>
      </c>
      <c r="BA283" t="s">
        <v>7</v>
      </c>
      <c r="BB283">
        <v>19520</v>
      </c>
      <c r="BC283">
        <v>160</v>
      </c>
      <c r="BD283">
        <v>2</v>
      </c>
      <c r="BE283">
        <v>8</v>
      </c>
      <c r="BF283">
        <v>431.85</v>
      </c>
      <c r="BG283" s="23">
        <v>11.483000000000001</v>
      </c>
      <c r="BH283" s="16">
        <v>45502</v>
      </c>
      <c r="BI283" s="18">
        <v>0.25061342592592595</v>
      </c>
      <c r="BJ283">
        <v>0</v>
      </c>
      <c r="BK283">
        <v>0</v>
      </c>
      <c r="BL283">
        <v>0</v>
      </c>
      <c r="BM283">
        <v>0</v>
      </c>
      <c r="BN283">
        <v>0</v>
      </c>
      <c r="BO283">
        <v>0</v>
      </c>
      <c r="BP283">
        <v>0</v>
      </c>
      <c r="BQ283">
        <v>0</v>
      </c>
      <c r="BR283">
        <v>0</v>
      </c>
      <c r="BS283">
        <v>0</v>
      </c>
      <c r="BT283">
        <v>0</v>
      </c>
      <c r="BU283">
        <v>0</v>
      </c>
      <c r="BV283" s="113">
        <f t="shared" si="7"/>
        <v>11.4785</v>
      </c>
    </row>
    <row r="284" spans="1:74" x14ac:dyDescent="0.25">
      <c r="A284" t="s">
        <v>111</v>
      </c>
      <c r="B284">
        <v>0</v>
      </c>
      <c r="C284" t="s">
        <v>7</v>
      </c>
      <c r="D284" s="20">
        <v>17536</v>
      </c>
      <c r="E284" s="20">
        <v>32</v>
      </c>
      <c r="F284" s="20">
        <v>1</v>
      </c>
      <c r="G284" s="20">
        <v>16</v>
      </c>
      <c r="H284" s="79">
        <v>413.51</v>
      </c>
      <c r="I284" s="62">
        <v>8.6950000000000003</v>
      </c>
      <c r="J284" s="16">
        <v>45546</v>
      </c>
      <c r="K284" s="25">
        <v>0.30232638888888891</v>
      </c>
      <c r="L284">
        <v>0</v>
      </c>
      <c r="M284">
        <v>0</v>
      </c>
      <c r="N284">
        <v>0</v>
      </c>
      <c r="O284">
        <v>0</v>
      </c>
      <c r="P284">
        <v>0</v>
      </c>
      <c r="Q284">
        <v>0</v>
      </c>
      <c r="R284">
        <v>0</v>
      </c>
      <c r="S284">
        <v>0</v>
      </c>
      <c r="T284">
        <v>0</v>
      </c>
      <c r="U284">
        <v>0</v>
      </c>
      <c r="V284">
        <v>0</v>
      </c>
      <c r="W284">
        <v>0</v>
      </c>
      <c r="X284" s="82">
        <f>AVERAGE(I284:I288)</f>
        <v>8.8632400000000011</v>
      </c>
      <c r="Z284" t="s">
        <v>149</v>
      </c>
      <c r="AA284">
        <v>0</v>
      </c>
      <c r="AB284" t="s">
        <v>7</v>
      </c>
      <c r="AC284" s="20">
        <v>17472</v>
      </c>
      <c r="AD284" s="20">
        <v>192</v>
      </c>
      <c r="AE284" s="20">
        <v>4</v>
      </c>
      <c r="AF284" s="20">
        <v>4</v>
      </c>
      <c r="AG284" s="79">
        <v>354.75</v>
      </c>
      <c r="AH284" s="62">
        <v>10.025</v>
      </c>
      <c r="AI284" s="16">
        <v>45557</v>
      </c>
      <c r="AJ284" s="25">
        <v>0.93887731481481485</v>
      </c>
      <c r="AK284">
        <v>0</v>
      </c>
      <c r="AL284">
        <v>0</v>
      </c>
      <c r="AM284">
        <v>0</v>
      </c>
      <c r="AN284">
        <v>0</v>
      </c>
      <c r="AO284">
        <v>0</v>
      </c>
      <c r="AP284">
        <v>0</v>
      </c>
      <c r="AQ284">
        <v>0</v>
      </c>
      <c r="AR284">
        <v>0</v>
      </c>
      <c r="AS284">
        <v>0</v>
      </c>
      <c r="AT284">
        <v>0</v>
      </c>
      <c r="AU284">
        <v>0</v>
      </c>
      <c r="AV284">
        <v>0</v>
      </c>
      <c r="AW284" s="82">
        <f>AVERAGE(AH284:AH287)</f>
        <v>10.043725</v>
      </c>
      <c r="AZ284">
        <v>1</v>
      </c>
      <c r="BA284" t="s">
        <v>7</v>
      </c>
      <c r="BB284">
        <v>19520</v>
      </c>
      <c r="BC284">
        <v>160</v>
      </c>
      <c r="BD284">
        <v>2</v>
      </c>
      <c r="BE284">
        <v>8</v>
      </c>
      <c r="BF284">
        <v>432.19</v>
      </c>
      <c r="BG284" s="23">
        <v>11.474</v>
      </c>
      <c r="BH284" s="16">
        <v>45502</v>
      </c>
      <c r="BI284" s="18">
        <v>0.63989583333333333</v>
      </c>
      <c r="BJ284">
        <v>0</v>
      </c>
      <c r="BK284">
        <v>0</v>
      </c>
      <c r="BL284">
        <v>0</v>
      </c>
      <c r="BM284">
        <v>0</v>
      </c>
      <c r="BN284">
        <v>0</v>
      </c>
      <c r="BO284">
        <v>0</v>
      </c>
      <c r="BP284">
        <v>0</v>
      </c>
      <c r="BQ284">
        <v>0</v>
      </c>
      <c r="BR284">
        <v>0</v>
      </c>
      <c r="BS284">
        <v>0</v>
      </c>
      <c r="BT284">
        <v>0</v>
      </c>
      <c r="BU284">
        <v>0</v>
      </c>
      <c r="BV284" s="113"/>
    </row>
    <row r="285" spans="1:74" x14ac:dyDescent="0.25">
      <c r="A285" t="s">
        <v>111</v>
      </c>
      <c r="B285">
        <v>1</v>
      </c>
      <c r="C285" t="s">
        <v>7</v>
      </c>
      <c r="D285" s="20">
        <v>17536</v>
      </c>
      <c r="E285" s="20">
        <v>32</v>
      </c>
      <c r="F285" s="20">
        <v>1</v>
      </c>
      <c r="G285" s="20">
        <v>16</v>
      </c>
      <c r="H285" s="79">
        <v>413.53</v>
      </c>
      <c r="I285" s="62">
        <v>8.6945999999999994</v>
      </c>
      <c r="J285" s="16">
        <v>45546</v>
      </c>
      <c r="K285" s="25">
        <v>0.91892361111111109</v>
      </c>
      <c r="L285">
        <v>0</v>
      </c>
      <c r="M285">
        <v>0</v>
      </c>
      <c r="N285">
        <v>0</v>
      </c>
      <c r="O285">
        <v>0</v>
      </c>
      <c r="P285">
        <v>0</v>
      </c>
      <c r="Q285">
        <v>0</v>
      </c>
      <c r="R285">
        <v>0</v>
      </c>
      <c r="S285">
        <v>0</v>
      </c>
      <c r="T285">
        <v>0</v>
      </c>
      <c r="U285">
        <v>0</v>
      </c>
      <c r="V285">
        <v>0</v>
      </c>
      <c r="W285">
        <v>0</v>
      </c>
      <c r="X285" s="80">
        <f>X284</f>
        <v>8.8632400000000011</v>
      </c>
      <c r="Z285" t="s">
        <v>149</v>
      </c>
      <c r="AA285">
        <v>1</v>
      </c>
      <c r="AB285" t="s">
        <v>7</v>
      </c>
      <c r="AC285" s="20">
        <v>17472</v>
      </c>
      <c r="AD285" s="20">
        <v>192</v>
      </c>
      <c r="AE285" s="20">
        <v>4</v>
      </c>
      <c r="AF285" s="20">
        <v>4</v>
      </c>
      <c r="AG285" s="79">
        <v>356.02</v>
      </c>
      <c r="AH285" s="62">
        <v>9.9888999999999992</v>
      </c>
      <c r="AI285" s="16">
        <v>45558</v>
      </c>
      <c r="AJ285" s="25">
        <v>0.4382523148148148</v>
      </c>
      <c r="AK285">
        <v>0</v>
      </c>
      <c r="AL285">
        <v>0</v>
      </c>
      <c r="AM285">
        <v>0</v>
      </c>
      <c r="AN285">
        <v>0</v>
      </c>
      <c r="AO285">
        <v>0</v>
      </c>
      <c r="AP285">
        <v>0</v>
      </c>
      <c r="AQ285">
        <v>0</v>
      </c>
      <c r="AR285">
        <v>0</v>
      </c>
      <c r="AS285">
        <v>0</v>
      </c>
      <c r="AT285">
        <v>0</v>
      </c>
      <c r="AU285">
        <v>0</v>
      </c>
      <c r="AV285">
        <v>0</v>
      </c>
      <c r="AW285" s="80">
        <f>AW284</f>
        <v>10.043725</v>
      </c>
      <c r="AZ285">
        <v>0</v>
      </c>
      <c r="BA285" t="s">
        <v>7</v>
      </c>
      <c r="BB285">
        <v>17440</v>
      </c>
      <c r="BC285">
        <v>160</v>
      </c>
      <c r="BD285">
        <v>4</v>
      </c>
      <c r="BE285">
        <v>4</v>
      </c>
      <c r="BF285">
        <v>402.57</v>
      </c>
      <c r="BG285" s="23">
        <v>8.7852999999999994</v>
      </c>
      <c r="BH285" s="16">
        <v>45501</v>
      </c>
      <c r="BI285" s="18">
        <v>0.99672453703703701</v>
      </c>
      <c r="BJ285">
        <v>0</v>
      </c>
      <c r="BK285">
        <v>0</v>
      </c>
      <c r="BL285">
        <v>0</v>
      </c>
      <c r="BM285">
        <v>0</v>
      </c>
      <c r="BN285">
        <v>0</v>
      </c>
      <c r="BO285">
        <v>0</v>
      </c>
      <c r="BP285">
        <v>0</v>
      </c>
      <c r="BQ285">
        <v>0</v>
      </c>
      <c r="BR285">
        <v>0</v>
      </c>
      <c r="BS285">
        <v>0</v>
      </c>
      <c r="BT285">
        <v>0</v>
      </c>
      <c r="BU285">
        <v>0</v>
      </c>
      <c r="BV285" s="113">
        <f t="shared" si="7"/>
        <v>8.7948500000000003</v>
      </c>
    </row>
    <row r="286" spans="1:74" x14ac:dyDescent="0.25">
      <c r="A286" t="s">
        <v>111</v>
      </c>
      <c r="B286">
        <v>2</v>
      </c>
      <c r="C286" t="s">
        <v>7</v>
      </c>
      <c r="D286" s="20">
        <v>17536</v>
      </c>
      <c r="E286" s="20">
        <v>32</v>
      </c>
      <c r="F286" s="20">
        <v>1</v>
      </c>
      <c r="G286" s="20">
        <v>16</v>
      </c>
      <c r="H286" s="79">
        <v>410.5</v>
      </c>
      <c r="I286" s="62">
        <v>8.7588000000000008</v>
      </c>
      <c r="J286" s="16">
        <v>45547</v>
      </c>
      <c r="K286" s="25">
        <v>0.53439814814814812</v>
      </c>
      <c r="L286">
        <v>0</v>
      </c>
      <c r="M286">
        <v>0</v>
      </c>
      <c r="N286">
        <v>0</v>
      </c>
      <c r="O286">
        <v>0</v>
      </c>
      <c r="P286">
        <v>0</v>
      </c>
      <c r="Q286">
        <v>0</v>
      </c>
      <c r="R286">
        <v>0</v>
      </c>
      <c r="S286">
        <v>0</v>
      </c>
      <c r="T286">
        <v>0</v>
      </c>
      <c r="U286">
        <v>0</v>
      </c>
      <c r="V286">
        <v>0</v>
      </c>
      <c r="W286">
        <v>0</v>
      </c>
      <c r="X286" s="80">
        <f>X285</f>
        <v>8.8632400000000011</v>
      </c>
      <c r="Z286" t="s">
        <v>149</v>
      </c>
      <c r="AA286">
        <v>2</v>
      </c>
      <c r="AB286" t="s">
        <v>7</v>
      </c>
      <c r="AC286" s="20">
        <v>17472</v>
      </c>
      <c r="AD286" s="20">
        <v>192</v>
      </c>
      <c r="AE286" s="20">
        <v>4</v>
      </c>
      <c r="AF286" s="20">
        <v>4</v>
      </c>
      <c r="AG286" s="79">
        <v>351.93</v>
      </c>
      <c r="AH286" s="62">
        <v>10.105</v>
      </c>
      <c r="AI286" s="16">
        <v>45558</v>
      </c>
      <c r="AJ286" s="25">
        <v>0.93666666666666665</v>
      </c>
      <c r="AK286">
        <v>0</v>
      </c>
      <c r="AL286">
        <v>0</v>
      </c>
      <c r="AM286">
        <v>0</v>
      </c>
      <c r="AN286">
        <v>0</v>
      </c>
      <c r="AO286">
        <v>0</v>
      </c>
      <c r="AP286">
        <v>0</v>
      </c>
      <c r="AQ286">
        <v>0</v>
      </c>
      <c r="AR286">
        <v>0</v>
      </c>
      <c r="AS286">
        <v>0</v>
      </c>
      <c r="AT286">
        <v>0</v>
      </c>
      <c r="AU286">
        <v>0</v>
      </c>
      <c r="AV286">
        <v>0</v>
      </c>
      <c r="AW286" s="80">
        <f>AW285</f>
        <v>10.043725</v>
      </c>
      <c r="AZ286">
        <v>1</v>
      </c>
      <c r="BA286" t="s">
        <v>7</v>
      </c>
      <c r="BB286">
        <v>17440</v>
      </c>
      <c r="BC286">
        <v>160</v>
      </c>
      <c r="BD286">
        <v>4</v>
      </c>
      <c r="BE286">
        <v>4</v>
      </c>
      <c r="BF286">
        <v>401.7</v>
      </c>
      <c r="BG286" s="23">
        <v>8.8043999999999993</v>
      </c>
      <c r="BH286" s="16">
        <v>45502</v>
      </c>
      <c r="BI286" s="18">
        <v>0.38417824074074075</v>
      </c>
      <c r="BJ286">
        <v>0</v>
      </c>
      <c r="BK286">
        <v>0</v>
      </c>
      <c r="BL286">
        <v>0</v>
      </c>
      <c r="BM286">
        <v>0</v>
      </c>
      <c r="BN286">
        <v>0</v>
      </c>
      <c r="BO286">
        <v>0</v>
      </c>
      <c r="BP286">
        <v>0</v>
      </c>
      <c r="BQ286">
        <v>0</v>
      </c>
      <c r="BR286">
        <v>0</v>
      </c>
      <c r="BS286">
        <v>0</v>
      </c>
      <c r="BT286">
        <v>0</v>
      </c>
      <c r="BU286">
        <v>0</v>
      </c>
      <c r="BV286" s="113"/>
    </row>
    <row r="287" spans="1:74" x14ac:dyDescent="0.25">
      <c r="A287" t="s">
        <v>111</v>
      </c>
      <c r="B287">
        <v>3</v>
      </c>
      <c r="C287" t="s">
        <v>7</v>
      </c>
      <c r="D287" s="20">
        <v>17536</v>
      </c>
      <c r="E287" s="20">
        <v>32</v>
      </c>
      <c r="F287" s="20">
        <v>1</v>
      </c>
      <c r="G287" s="20">
        <v>16</v>
      </c>
      <c r="H287" s="79">
        <v>406.42</v>
      </c>
      <c r="I287" s="62">
        <v>8.8467000000000002</v>
      </c>
      <c r="J287" s="16">
        <v>45548</v>
      </c>
      <c r="K287" s="25">
        <v>0.19503472222222223</v>
      </c>
      <c r="L287">
        <v>0</v>
      </c>
      <c r="M287">
        <v>0</v>
      </c>
      <c r="N287">
        <v>0</v>
      </c>
      <c r="O287">
        <v>0</v>
      </c>
      <c r="P287">
        <v>0</v>
      </c>
      <c r="Q287">
        <v>0</v>
      </c>
      <c r="R287">
        <v>0</v>
      </c>
      <c r="S287">
        <v>0</v>
      </c>
      <c r="T287">
        <v>0</v>
      </c>
      <c r="U287">
        <v>0</v>
      </c>
      <c r="V287">
        <v>0</v>
      </c>
      <c r="W287">
        <v>0</v>
      </c>
      <c r="X287" s="80">
        <f>X286</f>
        <v>8.8632400000000011</v>
      </c>
      <c r="Z287" t="s">
        <v>149</v>
      </c>
      <c r="AA287">
        <v>3</v>
      </c>
      <c r="AB287" t="s">
        <v>7</v>
      </c>
      <c r="AC287" s="20">
        <v>17472</v>
      </c>
      <c r="AD287" s="20">
        <v>192</v>
      </c>
      <c r="AE287" s="20">
        <v>4</v>
      </c>
      <c r="AF287" s="20">
        <v>4</v>
      </c>
      <c r="AG287" s="79">
        <v>353.64</v>
      </c>
      <c r="AH287" s="62">
        <v>10.055999999999999</v>
      </c>
      <c r="AI287" s="16">
        <v>45555</v>
      </c>
      <c r="AJ287" s="25">
        <v>0.10769675925925926</v>
      </c>
      <c r="AK287">
        <v>0</v>
      </c>
      <c r="AL287">
        <v>0</v>
      </c>
      <c r="AM287">
        <v>0</v>
      </c>
      <c r="AN287">
        <v>0</v>
      </c>
      <c r="AO287">
        <v>0</v>
      </c>
      <c r="AP287">
        <v>0</v>
      </c>
      <c r="AQ287">
        <v>0</v>
      </c>
      <c r="AR287">
        <v>0</v>
      </c>
      <c r="AS287">
        <v>0</v>
      </c>
      <c r="AT287">
        <v>0</v>
      </c>
      <c r="AU287">
        <v>0</v>
      </c>
      <c r="AV287">
        <v>0</v>
      </c>
      <c r="AW287" s="80">
        <f>AW286</f>
        <v>10.043725</v>
      </c>
      <c r="AZ287">
        <v>0</v>
      </c>
      <c r="BA287" t="s">
        <v>7</v>
      </c>
      <c r="BB287">
        <v>18560</v>
      </c>
      <c r="BC287">
        <v>160</v>
      </c>
      <c r="BD287">
        <v>4</v>
      </c>
      <c r="BE287">
        <v>4</v>
      </c>
      <c r="BF287">
        <v>465.91</v>
      </c>
      <c r="BG287" s="23">
        <v>9.1494999999999997</v>
      </c>
      <c r="BH287" s="16">
        <v>45502</v>
      </c>
      <c r="BI287" s="18">
        <v>0.11708333333333333</v>
      </c>
      <c r="BJ287">
        <v>0</v>
      </c>
      <c r="BK287">
        <v>0</v>
      </c>
      <c r="BL287">
        <v>0</v>
      </c>
      <c r="BM287">
        <v>0</v>
      </c>
      <c r="BN287">
        <v>0</v>
      </c>
      <c r="BO287">
        <v>0</v>
      </c>
      <c r="BP287">
        <v>0</v>
      </c>
      <c r="BQ287">
        <v>0</v>
      </c>
      <c r="BR287">
        <v>0</v>
      </c>
      <c r="BS287">
        <v>0</v>
      </c>
      <c r="BT287">
        <v>0</v>
      </c>
      <c r="BU287">
        <v>0</v>
      </c>
      <c r="BV287" s="113">
        <f t="shared" si="7"/>
        <v>9.1837499999999999</v>
      </c>
    </row>
    <row r="288" spans="1:74" x14ac:dyDescent="0.25">
      <c r="A288" t="s">
        <v>111</v>
      </c>
      <c r="B288">
        <v>4</v>
      </c>
      <c r="C288" t="s">
        <v>7</v>
      </c>
      <c r="D288" s="20">
        <v>17536</v>
      </c>
      <c r="E288" s="20">
        <v>32</v>
      </c>
      <c r="F288" s="20">
        <v>1</v>
      </c>
      <c r="G288" s="20">
        <v>16</v>
      </c>
      <c r="H288" s="79">
        <v>385.74</v>
      </c>
      <c r="I288" s="62">
        <v>9.3210999999999995</v>
      </c>
      <c r="J288" s="16">
        <v>45548</v>
      </c>
      <c r="K288" s="25">
        <v>0.82307870370370373</v>
      </c>
      <c r="L288">
        <v>0</v>
      </c>
      <c r="M288">
        <v>0</v>
      </c>
      <c r="N288">
        <v>0</v>
      </c>
      <c r="O288">
        <v>0</v>
      </c>
      <c r="P288">
        <v>0</v>
      </c>
      <c r="Q288">
        <v>0</v>
      </c>
      <c r="R288">
        <v>0</v>
      </c>
      <c r="S288">
        <v>0</v>
      </c>
      <c r="T288">
        <v>0</v>
      </c>
      <c r="U288">
        <v>0</v>
      </c>
      <c r="V288">
        <v>0</v>
      </c>
      <c r="W288">
        <v>0</v>
      </c>
      <c r="X288" s="80">
        <f>X287</f>
        <v>8.8632400000000011</v>
      </c>
      <c r="Z288" t="s">
        <v>149</v>
      </c>
      <c r="AA288">
        <v>4</v>
      </c>
      <c r="AB288" t="s">
        <v>7</v>
      </c>
      <c r="AC288" s="20">
        <v>17472</v>
      </c>
      <c r="AD288" s="20">
        <v>192</v>
      </c>
      <c r="AE288" s="20">
        <v>4</v>
      </c>
      <c r="AF288" s="20">
        <v>4</v>
      </c>
      <c r="AG288" s="79">
        <v>354.71</v>
      </c>
      <c r="AH288" s="62">
        <v>10.026</v>
      </c>
      <c r="AI288" s="16">
        <v>45555</v>
      </c>
      <c r="AJ288" s="25">
        <v>0.60785879629629624</v>
      </c>
      <c r="AK288">
        <v>0</v>
      </c>
      <c r="AL288">
        <v>0</v>
      </c>
      <c r="AM288">
        <v>0</v>
      </c>
      <c r="AN288">
        <v>0</v>
      </c>
      <c r="AO288">
        <v>0</v>
      </c>
      <c r="AP288">
        <v>0</v>
      </c>
      <c r="AQ288">
        <v>0</v>
      </c>
      <c r="AR288">
        <v>0</v>
      </c>
      <c r="AS288">
        <v>0</v>
      </c>
      <c r="AT288">
        <v>0</v>
      </c>
      <c r="AU288">
        <v>0</v>
      </c>
      <c r="AV288">
        <v>0</v>
      </c>
      <c r="AW288" s="80">
        <f>AW287</f>
        <v>10.043725</v>
      </c>
      <c r="AZ288">
        <v>1</v>
      </c>
      <c r="BA288" t="s">
        <v>7</v>
      </c>
      <c r="BB288">
        <v>18560</v>
      </c>
      <c r="BC288">
        <v>160</v>
      </c>
      <c r="BD288">
        <v>4</v>
      </c>
      <c r="BE288">
        <v>4</v>
      </c>
      <c r="BF288">
        <v>462.44</v>
      </c>
      <c r="BG288" s="23">
        <v>9.218</v>
      </c>
      <c r="BH288" s="16">
        <v>45502</v>
      </c>
      <c r="BI288" s="18">
        <v>0.50446759259259255</v>
      </c>
      <c r="BJ288">
        <v>0</v>
      </c>
      <c r="BK288">
        <v>0</v>
      </c>
      <c r="BL288">
        <v>0</v>
      </c>
      <c r="BM288">
        <v>0</v>
      </c>
      <c r="BN288">
        <v>0</v>
      </c>
      <c r="BO288">
        <v>0</v>
      </c>
      <c r="BP288">
        <v>0</v>
      </c>
      <c r="BQ288">
        <v>0</v>
      </c>
      <c r="BR288">
        <v>0</v>
      </c>
      <c r="BS288">
        <v>0</v>
      </c>
      <c r="BT288">
        <v>0</v>
      </c>
      <c r="BU288">
        <v>0</v>
      </c>
      <c r="BV288" s="113"/>
    </row>
    <row r="289" spans="1:74" x14ac:dyDescent="0.25">
      <c r="A289" t="s">
        <v>111</v>
      </c>
      <c r="B289">
        <v>0</v>
      </c>
      <c r="C289" t="s">
        <v>7</v>
      </c>
      <c r="D289" s="20">
        <v>17472</v>
      </c>
      <c r="E289" s="20">
        <v>224</v>
      </c>
      <c r="F289" s="20">
        <v>4</v>
      </c>
      <c r="G289" s="20">
        <v>4</v>
      </c>
      <c r="H289" s="79">
        <v>404.36</v>
      </c>
      <c r="I289" s="62">
        <v>8.7947000000000006</v>
      </c>
      <c r="J289" s="16">
        <v>45546</v>
      </c>
      <c r="K289" s="25">
        <v>0.39093749999999999</v>
      </c>
      <c r="L289">
        <v>0</v>
      </c>
      <c r="M289">
        <v>0</v>
      </c>
      <c r="N289">
        <v>0</v>
      </c>
      <c r="O289">
        <v>0</v>
      </c>
      <c r="P289">
        <v>0</v>
      </c>
      <c r="Q289">
        <v>0</v>
      </c>
      <c r="R289">
        <v>0</v>
      </c>
      <c r="S289">
        <v>0</v>
      </c>
      <c r="T289">
        <v>0</v>
      </c>
      <c r="U289">
        <v>0</v>
      </c>
      <c r="V289">
        <v>0</v>
      </c>
      <c r="W289">
        <v>0</v>
      </c>
      <c r="X289" s="82">
        <f>AVERAGE(I289:I293)</f>
        <v>8.8047599999999981</v>
      </c>
      <c r="Z289" t="s">
        <v>149</v>
      </c>
      <c r="AA289">
        <v>0</v>
      </c>
      <c r="AB289" t="s">
        <v>7</v>
      </c>
      <c r="AC289" s="20">
        <v>17408</v>
      </c>
      <c r="AD289" s="20">
        <v>256</v>
      </c>
      <c r="AE289" s="20">
        <v>1</v>
      </c>
      <c r="AF289" s="20">
        <v>16</v>
      </c>
      <c r="AG289" s="79">
        <v>351.88</v>
      </c>
      <c r="AH289" s="62">
        <v>9.9956999999999994</v>
      </c>
      <c r="AI289" s="16">
        <v>45557</v>
      </c>
      <c r="AJ289" s="25">
        <v>0.95523148148148151</v>
      </c>
      <c r="AK289">
        <v>0</v>
      </c>
      <c r="AL289">
        <v>0</v>
      </c>
      <c r="AM289">
        <v>0</v>
      </c>
      <c r="AN289">
        <v>0</v>
      </c>
      <c r="AO289">
        <v>0</v>
      </c>
      <c r="AP289">
        <v>0</v>
      </c>
      <c r="AQ289">
        <v>0</v>
      </c>
      <c r="AR289">
        <v>0</v>
      </c>
      <c r="AS289">
        <v>0</v>
      </c>
      <c r="AT289">
        <v>0</v>
      </c>
      <c r="AU289">
        <v>0</v>
      </c>
      <c r="AV289">
        <v>0</v>
      </c>
      <c r="AW289" s="82">
        <f>AVERAGE(AH289:AH292)</f>
        <v>9.9677249999999997</v>
      </c>
      <c r="AZ289">
        <v>0</v>
      </c>
      <c r="BA289" t="s">
        <v>7</v>
      </c>
      <c r="BB289">
        <v>19520</v>
      </c>
      <c r="BC289">
        <v>160</v>
      </c>
      <c r="BD289">
        <v>4</v>
      </c>
      <c r="BE289">
        <v>4</v>
      </c>
      <c r="BF289">
        <v>524.03</v>
      </c>
      <c r="BG289" s="23">
        <v>9.4634</v>
      </c>
      <c r="BH289" s="16">
        <v>45502</v>
      </c>
      <c r="BI289" s="18">
        <v>0.25687500000000002</v>
      </c>
      <c r="BJ289">
        <v>0</v>
      </c>
      <c r="BK289">
        <v>0</v>
      </c>
      <c r="BL289">
        <v>0</v>
      </c>
      <c r="BM289">
        <v>0</v>
      </c>
      <c r="BN289">
        <v>0</v>
      </c>
      <c r="BO289">
        <v>0</v>
      </c>
      <c r="BP289">
        <v>0</v>
      </c>
      <c r="BQ289">
        <v>0</v>
      </c>
      <c r="BR289">
        <v>0</v>
      </c>
      <c r="BS289">
        <v>0</v>
      </c>
      <c r="BT289">
        <v>0</v>
      </c>
      <c r="BU289">
        <v>0</v>
      </c>
      <c r="BV289" s="113">
        <f t="shared" si="7"/>
        <v>9.4562500000000007</v>
      </c>
    </row>
    <row r="290" spans="1:74" x14ac:dyDescent="0.25">
      <c r="A290" t="s">
        <v>111</v>
      </c>
      <c r="B290">
        <v>1</v>
      </c>
      <c r="C290" t="s">
        <v>7</v>
      </c>
      <c r="D290" s="20">
        <v>17472</v>
      </c>
      <c r="E290" s="20">
        <v>224</v>
      </c>
      <c r="F290" s="20">
        <v>4</v>
      </c>
      <c r="G290" s="20">
        <v>4</v>
      </c>
      <c r="H290" s="79">
        <v>400.49</v>
      </c>
      <c r="I290" s="62">
        <v>8.8797999999999995</v>
      </c>
      <c r="J290" s="16">
        <v>45547</v>
      </c>
      <c r="K290" s="25">
        <v>7.4537037037037037E-3</v>
      </c>
      <c r="L290">
        <v>0</v>
      </c>
      <c r="M290">
        <v>0</v>
      </c>
      <c r="N290">
        <v>0</v>
      </c>
      <c r="O290">
        <v>0</v>
      </c>
      <c r="P290">
        <v>0</v>
      </c>
      <c r="Q290">
        <v>0</v>
      </c>
      <c r="R290">
        <v>0</v>
      </c>
      <c r="S290">
        <v>0</v>
      </c>
      <c r="T290">
        <v>0</v>
      </c>
      <c r="U290">
        <v>0</v>
      </c>
      <c r="V290">
        <v>0</v>
      </c>
      <c r="W290">
        <v>0</v>
      </c>
      <c r="X290" s="80">
        <f>X289</f>
        <v>8.8047599999999981</v>
      </c>
      <c r="Z290" t="s">
        <v>149</v>
      </c>
      <c r="AA290">
        <v>1</v>
      </c>
      <c r="AB290" t="s">
        <v>7</v>
      </c>
      <c r="AC290" s="20">
        <v>17408</v>
      </c>
      <c r="AD290" s="20">
        <v>256</v>
      </c>
      <c r="AE290" s="20">
        <v>1</v>
      </c>
      <c r="AF290" s="20">
        <v>16</v>
      </c>
      <c r="AG290" s="79">
        <v>351.79</v>
      </c>
      <c r="AH290" s="62">
        <v>9.9984000000000002</v>
      </c>
      <c r="AI290" s="16">
        <v>45558</v>
      </c>
      <c r="AJ290" s="25">
        <v>0.45460648148148147</v>
      </c>
      <c r="AK290">
        <v>0</v>
      </c>
      <c r="AL290">
        <v>0</v>
      </c>
      <c r="AM290">
        <v>0</v>
      </c>
      <c r="AN290">
        <v>0</v>
      </c>
      <c r="AO290">
        <v>0</v>
      </c>
      <c r="AP290">
        <v>0</v>
      </c>
      <c r="AQ290">
        <v>0</v>
      </c>
      <c r="AR290">
        <v>0</v>
      </c>
      <c r="AS290">
        <v>0</v>
      </c>
      <c r="AT290">
        <v>0</v>
      </c>
      <c r="AU290">
        <v>0</v>
      </c>
      <c r="AV290">
        <v>0</v>
      </c>
      <c r="AW290" s="80">
        <f>AW289</f>
        <v>9.9677249999999997</v>
      </c>
      <c r="AZ290">
        <v>1</v>
      </c>
      <c r="BA290" t="s">
        <v>7</v>
      </c>
      <c r="BB290">
        <v>19520</v>
      </c>
      <c r="BC290">
        <v>160</v>
      </c>
      <c r="BD290">
        <v>4</v>
      </c>
      <c r="BE290">
        <v>4</v>
      </c>
      <c r="BF290">
        <v>524.82000000000005</v>
      </c>
      <c r="BG290" s="23">
        <v>9.4490999999999996</v>
      </c>
      <c r="BH290" s="16">
        <v>45502</v>
      </c>
      <c r="BI290" s="18">
        <v>0.64614583333333331</v>
      </c>
      <c r="BJ290">
        <v>0</v>
      </c>
      <c r="BK290">
        <v>0</v>
      </c>
      <c r="BL290">
        <v>0</v>
      </c>
      <c r="BM290">
        <v>0</v>
      </c>
      <c r="BN290">
        <v>0</v>
      </c>
      <c r="BO290">
        <v>0</v>
      </c>
      <c r="BP290">
        <v>0</v>
      </c>
      <c r="BQ290">
        <v>0</v>
      </c>
      <c r="BR290">
        <v>0</v>
      </c>
      <c r="BS290">
        <v>0</v>
      </c>
      <c r="BT290">
        <v>0</v>
      </c>
      <c r="BU290">
        <v>0</v>
      </c>
      <c r="BV290" s="113"/>
    </row>
    <row r="291" spans="1:74" x14ac:dyDescent="0.25">
      <c r="A291" t="s">
        <v>111</v>
      </c>
      <c r="B291">
        <v>2</v>
      </c>
      <c r="C291" t="s">
        <v>7</v>
      </c>
      <c r="D291" s="20">
        <v>17472</v>
      </c>
      <c r="E291" s="20">
        <v>224</v>
      </c>
      <c r="F291" s="20">
        <v>4</v>
      </c>
      <c r="G291" s="20">
        <v>4</v>
      </c>
      <c r="H291" s="79">
        <v>404.76</v>
      </c>
      <c r="I291" s="62">
        <v>8.7860999999999994</v>
      </c>
      <c r="J291" s="16">
        <v>45547</v>
      </c>
      <c r="K291" s="25">
        <v>0.62237268518518518</v>
      </c>
      <c r="L291">
        <v>0</v>
      </c>
      <c r="M291">
        <v>0</v>
      </c>
      <c r="N291">
        <v>0</v>
      </c>
      <c r="O291">
        <v>0</v>
      </c>
      <c r="P291">
        <v>0</v>
      </c>
      <c r="Q291">
        <v>0</v>
      </c>
      <c r="R291">
        <v>0</v>
      </c>
      <c r="S291">
        <v>0</v>
      </c>
      <c r="T291">
        <v>0</v>
      </c>
      <c r="U291">
        <v>0</v>
      </c>
      <c r="V291">
        <v>0</v>
      </c>
      <c r="W291">
        <v>0</v>
      </c>
      <c r="X291" s="80">
        <f>X290</f>
        <v>8.8047599999999981</v>
      </c>
      <c r="Z291" t="s">
        <v>149</v>
      </c>
      <c r="AA291">
        <v>2</v>
      </c>
      <c r="AB291" t="s">
        <v>7</v>
      </c>
      <c r="AC291" s="20">
        <v>17408</v>
      </c>
      <c r="AD291" s="20">
        <v>256</v>
      </c>
      <c r="AE291" s="20">
        <v>1</v>
      </c>
      <c r="AF291" s="20">
        <v>16</v>
      </c>
      <c r="AG291" s="79">
        <v>357.38</v>
      </c>
      <c r="AH291" s="62">
        <v>9.8417999999999992</v>
      </c>
      <c r="AI291" s="16">
        <v>45558</v>
      </c>
      <c r="AJ291" s="25">
        <v>0.95309027777777777</v>
      </c>
      <c r="AK291">
        <v>0</v>
      </c>
      <c r="AL291">
        <v>0</v>
      </c>
      <c r="AM291">
        <v>0</v>
      </c>
      <c r="AN291">
        <v>0</v>
      </c>
      <c r="AO291">
        <v>0</v>
      </c>
      <c r="AP291">
        <v>0</v>
      </c>
      <c r="AQ291">
        <v>0</v>
      </c>
      <c r="AR291">
        <v>0</v>
      </c>
      <c r="AS291">
        <v>0</v>
      </c>
      <c r="AT291">
        <v>0</v>
      </c>
      <c r="AU291">
        <v>0</v>
      </c>
      <c r="AV291">
        <v>0</v>
      </c>
      <c r="AW291" s="80">
        <f>AW290</f>
        <v>9.9677249999999997</v>
      </c>
      <c r="AZ291">
        <v>0</v>
      </c>
      <c r="BA291" t="s">
        <v>7</v>
      </c>
      <c r="BB291">
        <v>17472</v>
      </c>
      <c r="BC291">
        <v>192</v>
      </c>
      <c r="BD291">
        <v>1</v>
      </c>
      <c r="BE291">
        <v>16</v>
      </c>
      <c r="BF291">
        <v>385.54</v>
      </c>
      <c r="BG291" s="23">
        <v>9.2240000000000002</v>
      </c>
      <c r="BH291" s="16">
        <v>45502</v>
      </c>
      <c r="BI291" s="18">
        <v>1.3425925925925925E-3</v>
      </c>
      <c r="BJ291">
        <v>0</v>
      </c>
      <c r="BK291">
        <v>0</v>
      </c>
      <c r="BL291">
        <v>0</v>
      </c>
      <c r="BM291">
        <v>0</v>
      </c>
      <c r="BN291">
        <v>0</v>
      </c>
      <c r="BO291">
        <v>0</v>
      </c>
      <c r="BP291">
        <v>0</v>
      </c>
      <c r="BQ291">
        <v>0</v>
      </c>
      <c r="BR291">
        <v>0</v>
      </c>
      <c r="BS291">
        <v>0</v>
      </c>
      <c r="BT291">
        <v>0</v>
      </c>
      <c r="BU291">
        <v>0</v>
      </c>
      <c r="BV291" s="113">
        <f t="shared" si="7"/>
        <v>9.2331000000000003</v>
      </c>
    </row>
    <row r="292" spans="1:74" x14ac:dyDescent="0.25">
      <c r="A292" t="s">
        <v>111</v>
      </c>
      <c r="B292">
        <v>3</v>
      </c>
      <c r="C292" t="s">
        <v>7</v>
      </c>
      <c r="D292" s="20">
        <v>17472</v>
      </c>
      <c r="E292" s="20">
        <v>224</v>
      </c>
      <c r="F292" s="20">
        <v>4</v>
      </c>
      <c r="G292" s="20">
        <v>4</v>
      </c>
      <c r="H292" s="79">
        <v>403.27</v>
      </c>
      <c r="I292" s="62">
        <v>8.8184000000000005</v>
      </c>
      <c r="J292" s="16">
        <v>45548</v>
      </c>
      <c r="K292" s="25">
        <v>0.2824652777777778</v>
      </c>
      <c r="L292">
        <v>0</v>
      </c>
      <c r="M292">
        <v>0</v>
      </c>
      <c r="N292">
        <v>0</v>
      </c>
      <c r="O292">
        <v>0</v>
      </c>
      <c r="P292">
        <v>0</v>
      </c>
      <c r="Q292">
        <v>0</v>
      </c>
      <c r="R292">
        <v>0</v>
      </c>
      <c r="S292">
        <v>0</v>
      </c>
      <c r="T292">
        <v>0</v>
      </c>
      <c r="U292">
        <v>0</v>
      </c>
      <c r="V292">
        <v>0</v>
      </c>
      <c r="W292">
        <v>0</v>
      </c>
      <c r="X292" s="80">
        <f>X291</f>
        <v>8.8047599999999981</v>
      </c>
      <c r="Z292" t="s">
        <v>149</v>
      </c>
      <c r="AA292">
        <v>3</v>
      </c>
      <c r="AB292" t="s">
        <v>7</v>
      </c>
      <c r="AC292" s="20">
        <v>17408</v>
      </c>
      <c r="AD292" s="20">
        <v>256</v>
      </c>
      <c r="AE292" s="20">
        <v>1</v>
      </c>
      <c r="AF292" s="20">
        <v>16</v>
      </c>
      <c r="AG292" s="79">
        <v>350.49</v>
      </c>
      <c r="AH292" s="62">
        <v>10.035</v>
      </c>
      <c r="AI292" s="16">
        <v>45555</v>
      </c>
      <c r="AJ292" s="25">
        <v>0.12399305555555555</v>
      </c>
      <c r="AK292">
        <v>0</v>
      </c>
      <c r="AL292">
        <v>0</v>
      </c>
      <c r="AM292">
        <v>0</v>
      </c>
      <c r="AN292">
        <v>0</v>
      </c>
      <c r="AO292">
        <v>0</v>
      </c>
      <c r="AP292">
        <v>0</v>
      </c>
      <c r="AQ292">
        <v>0</v>
      </c>
      <c r="AR292">
        <v>0</v>
      </c>
      <c r="AS292">
        <v>0</v>
      </c>
      <c r="AT292">
        <v>0</v>
      </c>
      <c r="AU292">
        <v>0</v>
      </c>
      <c r="AV292">
        <v>0</v>
      </c>
      <c r="AW292" s="80">
        <f>AW291</f>
        <v>9.9677249999999997</v>
      </c>
      <c r="AZ292">
        <v>1</v>
      </c>
      <c r="BA292" t="s">
        <v>7</v>
      </c>
      <c r="BB292">
        <v>17472</v>
      </c>
      <c r="BC292">
        <v>192</v>
      </c>
      <c r="BD292">
        <v>1</v>
      </c>
      <c r="BE292">
        <v>16</v>
      </c>
      <c r="BF292">
        <v>384.78</v>
      </c>
      <c r="BG292" s="23">
        <v>9.2422000000000004</v>
      </c>
      <c r="BH292" s="16">
        <v>45502</v>
      </c>
      <c r="BI292" s="18">
        <v>0.38878472222222221</v>
      </c>
      <c r="BJ292">
        <v>0</v>
      </c>
      <c r="BK292">
        <v>0</v>
      </c>
      <c r="BL292">
        <v>0</v>
      </c>
      <c r="BM292">
        <v>0</v>
      </c>
      <c r="BN292">
        <v>0</v>
      </c>
      <c r="BO292">
        <v>0</v>
      </c>
      <c r="BP292">
        <v>0</v>
      </c>
      <c r="BQ292">
        <v>0</v>
      </c>
      <c r="BR292">
        <v>0</v>
      </c>
      <c r="BS292">
        <v>0</v>
      </c>
      <c r="BT292">
        <v>0</v>
      </c>
      <c r="BU292">
        <v>0</v>
      </c>
      <c r="BV292" s="113"/>
    </row>
    <row r="293" spans="1:74" x14ac:dyDescent="0.25">
      <c r="A293" t="s">
        <v>111</v>
      </c>
      <c r="B293">
        <v>4</v>
      </c>
      <c r="C293" t="s">
        <v>7</v>
      </c>
      <c r="D293" s="20">
        <v>17472</v>
      </c>
      <c r="E293" s="20">
        <v>224</v>
      </c>
      <c r="F293" s="20">
        <v>4</v>
      </c>
      <c r="G293" s="20">
        <v>4</v>
      </c>
      <c r="H293" s="79">
        <v>406.67</v>
      </c>
      <c r="I293" s="62">
        <v>8.7447999999999997</v>
      </c>
      <c r="J293" s="16">
        <v>45548</v>
      </c>
      <c r="K293" s="25">
        <v>0.9105671296296296</v>
      </c>
      <c r="L293">
        <v>0</v>
      </c>
      <c r="M293">
        <v>0</v>
      </c>
      <c r="N293">
        <v>0</v>
      </c>
      <c r="O293">
        <v>0</v>
      </c>
      <c r="P293">
        <v>0</v>
      </c>
      <c r="Q293">
        <v>0</v>
      </c>
      <c r="R293">
        <v>0</v>
      </c>
      <c r="S293">
        <v>0</v>
      </c>
      <c r="T293">
        <v>0</v>
      </c>
      <c r="U293">
        <v>0</v>
      </c>
      <c r="V293">
        <v>0</v>
      </c>
      <c r="W293">
        <v>0</v>
      </c>
      <c r="X293" s="80">
        <f>X292</f>
        <v>8.8047599999999981</v>
      </c>
      <c r="Z293" t="s">
        <v>149</v>
      </c>
      <c r="AA293">
        <v>4</v>
      </c>
      <c r="AB293" t="s">
        <v>7</v>
      </c>
      <c r="AC293" s="20">
        <v>17408</v>
      </c>
      <c r="AD293" s="20">
        <v>256</v>
      </c>
      <c r="AE293" s="20">
        <v>1</v>
      </c>
      <c r="AF293" s="20">
        <v>16</v>
      </c>
      <c r="AG293" s="79">
        <v>350.48</v>
      </c>
      <c r="AH293" s="62">
        <v>10.036</v>
      </c>
      <c r="AI293" s="16">
        <v>45555</v>
      </c>
      <c r="AJ293" s="25">
        <v>0.62414351851851857</v>
      </c>
      <c r="AK293">
        <v>0</v>
      </c>
      <c r="AL293">
        <v>0</v>
      </c>
      <c r="AM293">
        <v>0</v>
      </c>
      <c r="AN293">
        <v>0</v>
      </c>
      <c r="AO293">
        <v>0</v>
      </c>
      <c r="AP293">
        <v>0</v>
      </c>
      <c r="AQ293">
        <v>0</v>
      </c>
      <c r="AR293">
        <v>0</v>
      </c>
      <c r="AS293">
        <v>0</v>
      </c>
      <c r="AT293">
        <v>0</v>
      </c>
      <c r="AU293">
        <v>0</v>
      </c>
      <c r="AV293">
        <v>0</v>
      </c>
      <c r="AW293" s="80">
        <f>AW292</f>
        <v>9.9677249999999997</v>
      </c>
      <c r="AZ293">
        <v>0</v>
      </c>
      <c r="BA293" t="s">
        <v>7</v>
      </c>
      <c r="BB293">
        <v>18432</v>
      </c>
      <c r="BC293">
        <v>192</v>
      </c>
      <c r="BD293">
        <v>1</v>
      </c>
      <c r="BE293">
        <v>16</v>
      </c>
      <c r="BF293">
        <v>444.83</v>
      </c>
      <c r="BG293" s="23">
        <v>9.3861000000000008</v>
      </c>
      <c r="BH293" s="16">
        <v>45502</v>
      </c>
      <c r="BI293" s="18">
        <v>0.12239583333333333</v>
      </c>
      <c r="BJ293">
        <v>0</v>
      </c>
      <c r="BK293">
        <v>0</v>
      </c>
      <c r="BL293">
        <v>0</v>
      </c>
      <c r="BM293">
        <v>0</v>
      </c>
      <c r="BN293">
        <v>0</v>
      </c>
      <c r="BO293">
        <v>0</v>
      </c>
      <c r="BP293">
        <v>0</v>
      </c>
      <c r="BQ293">
        <v>0</v>
      </c>
      <c r="BR293">
        <v>0</v>
      </c>
      <c r="BS293">
        <v>0</v>
      </c>
      <c r="BT293">
        <v>0</v>
      </c>
      <c r="BU293">
        <v>0</v>
      </c>
      <c r="BV293" s="113">
        <f t="shared" si="7"/>
        <v>9.3848000000000003</v>
      </c>
    </row>
    <row r="294" spans="1:74" x14ac:dyDescent="0.25">
      <c r="A294" t="s">
        <v>111</v>
      </c>
      <c r="B294">
        <v>0</v>
      </c>
      <c r="C294" t="s">
        <v>7</v>
      </c>
      <c r="D294" s="20">
        <v>17536</v>
      </c>
      <c r="E294" s="20">
        <v>64</v>
      </c>
      <c r="F294" s="20">
        <v>4</v>
      </c>
      <c r="G294" s="20">
        <v>4</v>
      </c>
      <c r="H294" s="79">
        <v>413.57</v>
      </c>
      <c r="I294" s="62">
        <v>8.6936999999999998</v>
      </c>
      <c r="J294" s="16">
        <v>45546</v>
      </c>
      <c r="K294" s="25">
        <v>0.32533564814814814</v>
      </c>
      <c r="L294">
        <v>0</v>
      </c>
      <c r="M294">
        <v>0</v>
      </c>
      <c r="N294">
        <v>0</v>
      </c>
      <c r="O294">
        <v>0</v>
      </c>
      <c r="P294">
        <v>0</v>
      </c>
      <c r="Q294">
        <v>0</v>
      </c>
      <c r="R294">
        <v>0</v>
      </c>
      <c r="S294">
        <v>0</v>
      </c>
      <c r="T294">
        <v>0</v>
      </c>
      <c r="U294">
        <v>0</v>
      </c>
      <c r="V294">
        <v>0</v>
      </c>
      <c r="W294">
        <v>0</v>
      </c>
      <c r="X294" s="82">
        <f>AVERAGE(I294:I298)</f>
        <v>8.7027400000000004</v>
      </c>
      <c r="Z294" t="s">
        <v>149</v>
      </c>
      <c r="AA294">
        <v>0</v>
      </c>
      <c r="AB294" t="s">
        <v>7</v>
      </c>
      <c r="AC294" s="20">
        <v>18560</v>
      </c>
      <c r="AD294" s="20">
        <v>32</v>
      </c>
      <c r="AE294" s="20">
        <v>4</v>
      </c>
      <c r="AF294" s="20">
        <v>4</v>
      </c>
      <c r="AG294" s="79">
        <v>430.47</v>
      </c>
      <c r="AH294" s="62">
        <v>9.9025999999999996</v>
      </c>
      <c r="AI294" s="16">
        <v>45557</v>
      </c>
      <c r="AJ294" s="25">
        <v>0.9776273148148148</v>
      </c>
      <c r="AK294">
        <v>0</v>
      </c>
      <c r="AL294">
        <v>0</v>
      </c>
      <c r="AM294">
        <v>0</v>
      </c>
      <c r="AN294">
        <v>0</v>
      </c>
      <c r="AO294">
        <v>0</v>
      </c>
      <c r="AP294">
        <v>0</v>
      </c>
      <c r="AQ294">
        <v>0</v>
      </c>
      <c r="AR294">
        <v>0</v>
      </c>
      <c r="AS294">
        <v>0</v>
      </c>
      <c r="AT294">
        <v>0</v>
      </c>
      <c r="AU294">
        <v>0</v>
      </c>
      <c r="AV294">
        <v>0</v>
      </c>
      <c r="AW294" s="82">
        <f>AVERAGE(AH294:AH297)</f>
        <v>9.8872250000000008</v>
      </c>
      <c r="AZ294">
        <v>1</v>
      </c>
      <c r="BA294" t="s">
        <v>7</v>
      </c>
      <c r="BB294">
        <v>18432</v>
      </c>
      <c r="BC294">
        <v>192</v>
      </c>
      <c r="BD294">
        <v>1</v>
      </c>
      <c r="BE294">
        <v>16</v>
      </c>
      <c r="BF294">
        <v>444.95</v>
      </c>
      <c r="BG294" s="23">
        <v>9.3834999999999997</v>
      </c>
      <c r="BH294" s="16">
        <v>45502</v>
      </c>
      <c r="BI294" s="18">
        <v>0.50979166666666664</v>
      </c>
      <c r="BJ294">
        <v>0</v>
      </c>
      <c r="BK294">
        <v>0</v>
      </c>
      <c r="BL294">
        <v>0</v>
      </c>
      <c r="BM294">
        <v>0</v>
      </c>
      <c r="BN294">
        <v>0</v>
      </c>
      <c r="BO294">
        <v>0</v>
      </c>
      <c r="BP294">
        <v>0</v>
      </c>
      <c r="BQ294">
        <v>0</v>
      </c>
      <c r="BR294">
        <v>0</v>
      </c>
      <c r="BS294">
        <v>0</v>
      </c>
      <c r="BT294">
        <v>0</v>
      </c>
      <c r="BU294">
        <v>0</v>
      </c>
      <c r="BV294" s="113"/>
    </row>
    <row r="295" spans="1:74" x14ac:dyDescent="0.25">
      <c r="A295" t="s">
        <v>111</v>
      </c>
      <c r="B295">
        <v>1</v>
      </c>
      <c r="C295" t="s">
        <v>7</v>
      </c>
      <c r="D295" s="20">
        <v>17536</v>
      </c>
      <c r="E295" s="20">
        <v>64</v>
      </c>
      <c r="F295" s="20">
        <v>4</v>
      </c>
      <c r="G295" s="20">
        <v>4</v>
      </c>
      <c r="H295" s="79">
        <v>413.15</v>
      </c>
      <c r="I295" s="62">
        <v>8.7026000000000003</v>
      </c>
      <c r="J295" s="16">
        <v>45546</v>
      </c>
      <c r="K295" s="25">
        <v>0.94199074074074074</v>
      </c>
      <c r="L295">
        <v>0</v>
      </c>
      <c r="M295">
        <v>0</v>
      </c>
      <c r="N295">
        <v>0</v>
      </c>
      <c r="O295">
        <v>0</v>
      </c>
      <c r="P295">
        <v>0</v>
      </c>
      <c r="Q295">
        <v>0</v>
      </c>
      <c r="R295">
        <v>0</v>
      </c>
      <c r="S295">
        <v>0</v>
      </c>
      <c r="T295">
        <v>0</v>
      </c>
      <c r="U295">
        <v>0</v>
      </c>
      <c r="V295">
        <v>0</v>
      </c>
      <c r="W295">
        <v>0</v>
      </c>
      <c r="X295" s="80">
        <f>X294</f>
        <v>8.7027400000000004</v>
      </c>
      <c r="Z295" t="s">
        <v>149</v>
      </c>
      <c r="AA295">
        <v>1</v>
      </c>
      <c r="AB295" t="s">
        <v>7</v>
      </c>
      <c r="AC295" s="20">
        <v>18560</v>
      </c>
      <c r="AD295" s="20">
        <v>32</v>
      </c>
      <c r="AE295" s="20">
        <v>4</v>
      </c>
      <c r="AF295" s="20">
        <v>4</v>
      </c>
      <c r="AG295" s="79">
        <v>429.99</v>
      </c>
      <c r="AH295" s="62">
        <v>9.9137000000000004</v>
      </c>
      <c r="AI295" s="16">
        <v>45558</v>
      </c>
      <c r="AJ295" s="25">
        <v>0.47700231481481481</v>
      </c>
      <c r="AK295">
        <v>0</v>
      </c>
      <c r="AL295">
        <v>0</v>
      </c>
      <c r="AM295">
        <v>0</v>
      </c>
      <c r="AN295">
        <v>0</v>
      </c>
      <c r="AO295">
        <v>0</v>
      </c>
      <c r="AP295">
        <v>0</v>
      </c>
      <c r="AQ295">
        <v>0</v>
      </c>
      <c r="AR295">
        <v>0</v>
      </c>
      <c r="AS295">
        <v>0</v>
      </c>
      <c r="AT295">
        <v>0</v>
      </c>
      <c r="AU295">
        <v>0</v>
      </c>
      <c r="AV295">
        <v>0</v>
      </c>
      <c r="AW295" s="80">
        <f>AW294</f>
        <v>9.8872250000000008</v>
      </c>
      <c r="AZ295">
        <v>0</v>
      </c>
      <c r="BA295" t="s">
        <v>7</v>
      </c>
      <c r="BB295">
        <v>19584</v>
      </c>
      <c r="BC295">
        <v>192</v>
      </c>
      <c r="BD295">
        <v>1</v>
      </c>
      <c r="BE295">
        <v>16</v>
      </c>
      <c r="BF295">
        <v>1006.98</v>
      </c>
      <c r="BG295" s="23">
        <v>4.9733000000000001</v>
      </c>
      <c r="BH295" s="16">
        <v>45502</v>
      </c>
      <c r="BI295" s="18">
        <v>0.26885416666666667</v>
      </c>
      <c r="BJ295">
        <v>0</v>
      </c>
      <c r="BK295">
        <v>0</v>
      </c>
      <c r="BL295">
        <v>0</v>
      </c>
      <c r="BM295">
        <v>0</v>
      </c>
      <c r="BN295">
        <v>0</v>
      </c>
      <c r="BO295">
        <v>0</v>
      </c>
      <c r="BP295">
        <v>0</v>
      </c>
      <c r="BQ295">
        <v>0</v>
      </c>
      <c r="BR295">
        <v>0</v>
      </c>
      <c r="BS295">
        <v>0</v>
      </c>
      <c r="BT295">
        <v>0</v>
      </c>
      <c r="BU295">
        <v>0</v>
      </c>
      <c r="BV295" s="113">
        <f t="shared" si="7"/>
        <v>4.8480500000000006</v>
      </c>
    </row>
    <row r="296" spans="1:74" x14ac:dyDescent="0.25">
      <c r="A296" t="s">
        <v>111</v>
      </c>
      <c r="B296">
        <v>2</v>
      </c>
      <c r="C296" t="s">
        <v>7</v>
      </c>
      <c r="D296" s="20">
        <v>17536</v>
      </c>
      <c r="E296" s="20">
        <v>64</v>
      </c>
      <c r="F296" s="20">
        <v>4</v>
      </c>
      <c r="G296" s="20">
        <v>4</v>
      </c>
      <c r="H296" s="79">
        <v>412.46</v>
      </c>
      <c r="I296" s="62">
        <v>8.7172000000000001</v>
      </c>
      <c r="J296" s="16">
        <v>45547</v>
      </c>
      <c r="K296" s="25">
        <v>0.55709490740740741</v>
      </c>
      <c r="L296">
        <v>0</v>
      </c>
      <c r="M296">
        <v>0</v>
      </c>
      <c r="N296">
        <v>0</v>
      </c>
      <c r="O296">
        <v>0</v>
      </c>
      <c r="P296">
        <v>0</v>
      </c>
      <c r="Q296">
        <v>0</v>
      </c>
      <c r="R296">
        <v>0</v>
      </c>
      <c r="S296">
        <v>0</v>
      </c>
      <c r="T296">
        <v>0</v>
      </c>
      <c r="U296">
        <v>0</v>
      </c>
      <c r="V296">
        <v>0</v>
      </c>
      <c r="W296">
        <v>0</v>
      </c>
      <c r="X296" s="80">
        <f>X295</f>
        <v>8.7027400000000004</v>
      </c>
      <c r="Z296" t="s">
        <v>149</v>
      </c>
      <c r="AA296">
        <v>2</v>
      </c>
      <c r="AB296" t="s">
        <v>7</v>
      </c>
      <c r="AC296" s="20">
        <v>18560</v>
      </c>
      <c r="AD296" s="20">
        <v>32</v>
      </c>
      <c r="AE296" s="20">
        <v>4</v>
      </c>
      <c r="AF296" s="20">
        <v>4</v>
      </c>
      <c r="AG296" s="79">
        <v>432.83</v>
      </c>
      <c r="AH296" s="62">
        <v>9.8486999999999991</v>
      </c>
      <c r="AI296" s="16">
        <v>45554</v>
      </c>
      <c r="AJ296" s="25">
        <v>0.62093750000000003</v>
      </c>
      <c r="AK296">
        <v>0</v>
      </c>
      <c r="AL296">
        <v>0</v>
      </c>
      <c r="AM296">
        <v>0</v>
      </c>
      <c r="AN296">
        <v>0</v>
      </c>
      <c r="AO296">
        <v>0</v>
      </c>
      <c r="AP296">
        <v>0</v>
      </c>
      <c r="AQ296">
        <v>0</v>
      </c>
      <c r="AR296">
        <v>0</v>
      </c>
      <c r="AS296">
        <v>0</v>
      </c>
      <c r="AT296">
        <v>0</v>
      </c>
      <c r="AU296">
        <v>0</v>
      </c>
      <c r="AV296">
        <v>0</v>
      </c>
      <c r="AW296" s="80">
        <f>AW295</f>
        <v>9.8872250000000008</v>
      </c>
      <c r="AZ296">
        <v>1</v>
      </c>
      <c r="BA296" t="s">
        <v>7</v>
      </c>
      <c r="BB296">
        <v>19584</v>
      </c>
      <c r="BC296">
        <v>192</v>
      </c>
      <c r="BD296">
        <v>1</v>
      </c>
      <c r="BE296">
        <v>16</v>
      </c>
      <c r="BF296">
        <v>1060.3800000000001</v>
      </c>
      <c r="BG296" s="23">
        <v>4.7228000000000003</v>
      </c>
      <c r="BH296" s="16">
        <v>45502</v>
      </c>
      <c r="BI296" s="18">
        <v>0.65872685185185187</v>
      </c>
      <c r="BJ296">
        <v>0</v>
      </c>
      <c r="BK296">
        <v>0</v>
      </c>
      <c r="BL296">
        <v>0</v>
      </c>
      <c r="BM296">
        <v>0</v>
      </c>
      <c r="BN296">
        <v>0</v>
      </c>
      <c r="BO296">
        <v>0</v>
      </c>
      <c r="BP296">
        <v>0</v>
      </c>
      <c r="BQ296">
        <v>0</v>
      </c>
      <c r="BR296">
        <v>0</v>
      </c>
      <c r="BS296">
        <v>0</v>
      </c>
      <c r="BT296">
        <v>0</v>
      </c>
      <c r="BU296">
        <v>0</v>
      </c>
      <c r="BV296" s="113"/>
    </row>
    <row r="297" spans="1:74" x14ac:dyDescent="0.25">
      <c r="A297" t="s">
        <v>111</v>
      </c>
      <c r="B297">
        <v>3</v>
      </c>
      <c r="C297" t="s">
        <v>7</v>
      </c>
      <c r="D297" s="20">
        <v>17536</v>
      </c>
      <c r="E297" s="20">
        <v>64</v>
      </c>
      <c r="F297" s="20">
        <v>4</v>
      </c>
      <c r="G297" s="20">
        <v>4</v>
      </c>
      <c r="H297" s="79">
        <v>412.52</v>
      </c>
      <c r="I297" s="62">
        <v>8.7158999999999995</v>
      </c>
      <c r="J297" s="16">
        <v>45548</v>
      </c>
      <c r="K297" s="25">
        <v>0.21778935185185186</v>
      </c>
      <c r="L297">
        <v>0</v>
      </c>
      <c r="M297">
        <v>0</v>
      </c>
      <c r="N297">
        <v>0</v>
      </c>
      <c r="O297">
        <v>0</v>
      </c>
      <c r="P297">
        <v>0</v>
      </c>
      <c r="Q297">
        <v>0</v>
      </c>
      <c r="R297">
        <v>0</v>
      </c>
      <c r="S297">
        <v>0</v>
      </c>
      <c r="T297">
        <v>0</v>
      </c>
      <c r="U297">
        <v>0</v>
      </c>
      <c r="V297">
        <v>0</v>
      </c>
      <c r="W297">
        <v>0</v>
      </c>
      <c r="X297" s="80">
        <f>X296</f>
        <v>8.7027400000000004</v>
      </c>
      <c r="Z297" t="s">
        <v>149</v>
      </c>
      <c r="AA297">
        <v>3</v>
      </c>
      <c r="AB297" t="s">
        <v>7</v>
      </c>
      <c r="AC297" s="20">
        <v>18560</v>
      </c>
      <c r="AD297" s="20">
        <v>32</v>
      </c>
      <c r="AE297" s="20">
        <v>4</v>
      </c>
      <c r="AF297" s="20">
        <v>4</v>
      </c>
      <c r="AG297" s="79">
        <v>431.29</v>
      </c>
      <c r="AH297" s="62">
        <v>9.8839000000000006</v>
      </c>
      <c r="AI297" s="16">
        <v>45555</v>
      </c>
      <c r="AJ297" s="25">
        <v>0.14644675925925926</v>
      </c>
      <c r="AK297">
        <v>0</v>
      </c>
      <c r="AL297">
        <v>0</v>
      </c>
      <c r="AM297">
        <v>0</v>
      </c>
      <c r="AN297">
        <v>0</v>
      </c>
      <c r="AO297">
        <v>0</v>
      </c>
      <c r="AP297">
        <v>0</v>
      </c>
      <c r="AQ297">
        <v>0</v>
      </c>
      <c r="AR297">
        <v>0</v>
      </c>
      <c r="AS297">
        <v>0</v>
      </c>
      <c r="AT297">
        <v>0</v>
      </c>
      <c r="AU297">
        <v>0</v>
      </c>
      <c r="AV297">
        <v>0</v>
      </c>
      <c r="AW297" s="80">
        <f>AW296</f>
        <v>9.8872250000000008</v>
      </c>
      <c r="AZ297">
        <v>0</v>
      </c>
      <c r="BA297" t="s">
        <v>7</v>
      </c>
      <c r="BB297">
        <v>17472</v>
      </c>
      <c r="BC297">
        <v>192</v>
      </c>
      <c r="BD297">
        <v>2</v>
      </c>
      <c r="BE297">
        <v>8</v>
      </c>
      <c r="BF297">
        <v>327.36</v>
      </c>
      <c r="BG297" s="23">
        <v>10.863</v>
      </c>
      <c r="BH297" s="16">
        <v>45502</v>
      </c>
      <c r="BI297" s="18">
        <v>5.2777777777777779E-3</v>
      </c>
      <c r="BJ297">
        <v>0</v>
      </c>
      <c r="BK297">
        <v>0</v>
      </c>
      <c r="BL297">
        <v>0</v>
      </c>
      <c r="BM297">
        <v>0</v>
      </c>
      <c r="BN297">
        <v>0</v>
      </c>
      <c r="BO297">
        <v>0</v>
      </c>
      <c r="BP297">
        <v>0</v>
      </c>
      <c r="BQ297">
        <v>0</v>
      </c>
      <c r="BR297">
        <v>0</v>
      </c>
      <c r="BS297">
        <v>0</v>
      </c>
      <c r="BT297">
        <v>0</v>
      </c>
      <c r="BU297">
        <v>0</v>
      </c>
      <c r="BV297" s="113">
        <f t="shared" si="7"/>
        <v>10.86</v>
      </c>
    </row>
    <row r="298" spans="1:74" x14ac:dyDescent="0.25">
      <c r="A298" t="s">
        <v>111</v>
      </c>
      <c r="B298">
        <v>4</v>
      </c>
      <c r="C298" t="s">
        <v>7</v>
      </c>
      <c r="D298" s="20">
        <v>17536</v>
      </c>
      <c r="E298" s="20">
        <v>64</v>
      </c>
      <c r="F298" s="20">
        <v>4</v>
      </c>
      <c r="G298" s="20">
        <v>4</v>
      </c>
      <c r="H298" s="79">
        <v>414.02</v>
      </c>
      <c r="I298" s="62">
        <v>8.6843000000000004</v>
      </c>
      <c r="J298" s="16">
        <v>45548</v>
      </c>
      <c r="K298" s="25">
        <v>0.84611111111111115</v>
      </c>
      <c r="L298">
        <v>0</v>
      </c>
      <c r="M298">
        <v>0</v>
      </c>
      <c r="N298">
        <v>0</v>
      </c>
      <c r="O298">
        <v>0</v>
      </c>
      <c r="P298">
        <v>0</v>
      </c>
      <c r="Q298">
        <v>0</v>
      </c>
      <c r="R298">
        <v>0</v>
      </c>
      <c r="S298">
        <v>0</v>
      </c>
      <c r="T298">
        <v>0</v>
      </c>
      <c r="U298">
        <v>0</v>
      </c>
      <c r="V298">
        <v>0</v>
      </c>
      <c r="W298">
        <v>0</v>
      </c>
      <c r="X298" s="80">
        <f>X297</f>
        <v>8.7027400000000004</v>
      </c>
      <c r="Z298" t="s">
        <v>149</v>
      </c>
      <c r="AA298">
        <v>4</v>
      </c>
      <c r="AB298" t="s">
        <v>7</v>
      </c>
      <c r="AC298" s="20">
        <v>18560</v>
      </c>
      <c r="AD298" s="20">
        <v>32</v>
      </c>
      <c r="AE298" s="20">
        <v>4</v>
      </c>
      <c r="AF298" s="20">
        <v>4</v>
      </c>
      <c r="AG298" s="79">
        <v>430.44</v>
      </c>
      <c r="AH298" s="62">
        <v>9.9033999999999995</v>
      </c>
      <c r="AI298" s="16">
        <v>45555</v>
      </c>
      <c r="AJ298" s="25">
        <v>0.64653935185185185</v>
      </c>
      <c r="AK298">
        <v>0</v>
      </c>
      <c r="AL298">
        <v>0</v>
      </c>
      <c r="AM298">
        <v>0</v>
      </c>
      <c r="AN298">
        <v>0</v>
      </c>
      <c r="AO298">
        <v>0</v>
      </c>
      <c r="AP298">
        <v>0</v>
      </c>
      <c r="AQ298">
        <v>0</v>
      </c>
      <c r="AR298">
        <v>0</v>
      </c>
      <c r="AS298">
        <v>0</v>
      </c>
      <c r="AT298">
        <v>0</v>
      </c>
      <c r="AU298">
        <v>0</v>
      </c>
      <c r="AV298">
        <v>0</v>
      </c>
      <c r="AW298" s="80">
        <f>AW297</f>
        <v>9.8872250000000008</v>
      </c>
      <c r="AZ298">
        <v>1</v>
      </c>
      <c r="BA298" t="s">
        <v>7</v>
      </c>
      <c r="BB298">
        <v>17472</v>
      </c>
      <c r="BC298">
        <v>192</v>
      </c>
      <c r="BD298">
        <v>2</v>
      </c>
      <c r="BE298">
        <v>8</v>
      </c>
      <c r="BF298">
        <v>327.55</v>
      </c>
      <c r="BG298" s="23">
        <v>10.856999999999999</v>
      </c>
      <c r="BH298" s="16">
        <v>45502</v>
      </c>
      <c r="BI298" s="18">
        <v>0.39273148148148146</v>
      </c>
      <c r="BJ298">
        <v>0</v>
      </c>
      <c r="BK298">
        <v>0</v>
      </c>
      <c r="BL298">
        <v>0</v>
      </c>
      <c r="BM298">
        <v>0</v>
      </c>
      <c r="BN298">
        <v>0</v>
      </c>
      <c r="BO298">
        <v>0</v>
      </c>
      <c r="BP298">
        <v>0</v>
      </c>
      <c r="BQ298">
        <v>0</v>
      </c>
      <c r="BR298">
        <v>0</v>
      </c>
      <c r="BS298">
        <v>0</v>
      </c>
      <c r="BT298">
        <v>0</v>
      </c>
      <c r="BU298">
        <v>0</v>
      </c>
      <c r="BV298" s="113"/>
    </row>
    <row r="299" spans="1:74" x14ac:dyDescent="0.25">
      <c r="A299" t="s">
        <v>111</v>
      </c>
      <c r="B299">
        <v>0</v>
      </c>
      <c r="C299" t="s">
        <v>7</v>
      </c>
      <c r="D299" s="20">
        <v>17408</v>
      </c>
      <c r="E299" s="20">
        <v>256</v>
      </c>
      <c r="F299" s="20">
        <v>4</v>
      </c>
      <c r="G299" s="20">
        <v>4</v>
      </c>
      <c r="H299" s="79">
        <v>407.16</v>
      </c>
      <c r="I299" s="62">
        <v>8.6386000000000003</v>
      </c>
      <c r="J299" s="16">
        <v>45546</v>
      </c>
      <c r="K299" s="25">
        <v>0.40416666666666667</v>
      </c>
      <c r="L299">
        <v>0</v>
      </c>
      <c r="M299">
        <v>0</v>
      </c>
      <c r="N299">
        <v>0</v>
      </c>
      <c r="O299">
        <v>0</v>
      </c>
      <c r="P299">
        <v>0</v>
      </c>
      <c r="Q299">
        <v>0</v>
      </c>
      <c r="R299">
        <v>0</v>
      </c>
      <c r="S299">
        <v>0</v>
      </c>
      <c r="T299">
        <v>0</v>
      </c>
      <c r="U299">
        <v>0</v>
      </c>
      <c r="V299">
        <v>0</v>
      </c>
      <c r="W299">
        <v>0</v>
      </c>
      <c r="X299" s="82">
        <f>AVERAGE(I299:I303)</f>
        <v>8.6540800000000022</v>
      </c>
      <c r="Z299" t="s">
        <v>149</v>
      </c>
      <c r="AA299">
        <v>0</v>
      </c>
      <c r="AB299" t="s">
        <v>7</v>
      </c>
      <c r="AC299" s="20">
        <v>17472</v>
      </c>
      <c r="AD299" s="20">
        <v>224</v>
      </c>
      <c r="AE299" s="20">
        <v>4</v>
      </c>
      <c r="AF299" s="20">
        <v>4</v>
      </c>
      <c r="AG299" s="79">
        <v>361.85</v>
      </c>
      <c r="AH299" s="62">
        <v>9.8280999999999992</v>
      </c>
      <c r="AI299" s="16">
        <v>45557</v>
      </c>
      <c r="AJ299" s="25">
        <v>0.95096064814814818</v>
      </c>
      <c r="AK299">
        <v>0</v>
      </c>
      <c r="AL299">
        <v>0</v>
      </c>
      <c r="AM299">
        <v>0</v>
      </c>
      <c r="AN299">
        <v>0</v>
      </c>
      <c r="AO299">
        <v>0</v>
      </c>
      <c r="AP299">
        <v>0</v>
      </c>
      <c r="AQ299">
        <v>0</v>
      </c>
      <c r="AR299">
        <v>0</v>
      </c>
      <c r="AS299">
        <v>0</v>
      </c>
      <c r="AT299">
        <v>0</v>
      </c>
      <c r="AU299">
        <v>0</v>
      </c>
      <c r="AV299">
        <v>0</v>
      </c>
      <c r="AW299" s="82">
        <f>AVERAGE(AH299:AH302)</f>
        <v>9.8701000000000008</v>
      </c>
      <c r="AZ299">
        <v>0</v>
      </c>
      <c r="BA299" t="s">
        <v>7</v>
      </c>
      <c r="BB299">
        <v>18432</v>
      </c>
      <c r="BC299">
        <v>192</v>
      </c>
      <c r="BD299">
        <v>2</v>
      </c>
      <c r="BE299">
        <v>8</v>
      </c>
      <c r="BF299">
        <v>382.52</v>
      </c>
      <c r="BG299" s="23">
        <v>10.914999999999999</v>
      </c>
      <c r="BH299" s="16">
        <v>45502</v>
      </c>
      <c r="BI299" s="18">
        <v>0.12697916666666667</v>
      </c>
      <c r="BJ299">
        <v>0</v>
      </c>
      <c r="BK299">
        <v>0</v>
      </c>
      <c r="BL299">
        <v>0</v>
      </c>
      <c r="BM299">
        <v>0</v>
      </c>
      <c r="BN299">
        <v>0</v>
      </c>
      <c r="BO299">
        <v>0</v>
      </c>
      <c r="BP299">
        <v>0</v>
      </c>
      <c r="BQ299">
        <v>0</v>
      </c>
      <c r="BR299">
        <v>0</v>
      </c>
      <c r="BS299">
        <v>0</v>
      </c>
      <c r="BT299">
        <v>0</v>
      </c>
      <c r="BU299">
        <v>0</v>
      </c>
      <c r="BV299" s="113">
        <f t="shared" si="7"/>
        <v>10.9085</v>
      </c>
    </row>
    <row r="300" spans="1:74" x14ac:dyDescent="0.25">
      <c r="A300" t="s">
        <v>111</v>
      </c>
      <c r="B300">
        <v>1</v>
      </c>
      <c r="C300" t="s">
        <v>7</v>
      </c>
      <c r="D300" s="20">
        <v>17408</v>
      </c>
      <c r="E300" s="20">
        <v>256</v>
      </c>
      <c r="F300" s="20">
        <v>4</v>
      </c>
      <c r="G300" s="20">
        <v>4</v>
      </c>
      <c r="H300" s="79">
        <v>407.63</v>
      </c>
      <c r="I300" s="62">
        <v>8.6288</v>
      </c>
      <c r="J300" s="16">
        <v>45547</v>
      </c>
      <c r="K300" s="25">
        <v>2.0798611111111111E-2</v>
      </c>
      <c r="L300">
        <v>0</v>
      </c>
      <c r="M300">
        <v>0</v>
      </c>
      <c r="N300">
        <v>0</v>
      </c>
      <c r="O300">
        <v>0</v>
      </c>
      <c r="P300">
        <v>0</v>
      </c>
      <c r="Q300">
        <v>0</v>
      </c>
      <c r="R300">
        <v>0</v>
      </c>
      <c r="S300">
        <v>0</v>
      </c>
      <c r="T300">
        <v>0</v>
      </c>
      <c r="U300">
        <v>0</v>
      </c>
      <c r="V300">
        <v>0</v>
      </c>
      <c r="W300">
        <v>0</v>
      </c>
      <c r="X300" s="80">
        <f>X299</f>
        <v>8.6540800000000022</v>
      </c>
      <c r="Z300" t="s">
        <v>149</v>
      </c>
      <c r="AA300">
        <v>1</v>
      </c>
      <c r="AB300" t="s">
        <v>7</v>
      </c>
      <c r="AC300" s="20">
        <v>17472</v>
      </c>
      <c r="AD300" s="20">
        <v>224</v>
      </c>
      <c r="AE300" s="20">
        <v>4</v>
      </c>
      <c r="AF300" s="20">
        <v>4</v>
      </c>
      <c r="AG300" s="79">
        <v>361.13</v>
      </c>
      <c r="AH300" s="62">
        <v>9.8475000000000001</v>
      </c>
      <c r="AI300" s="16">
        <v>45558</v>
      </c>
      <c r="AJ300" s="25">
        <v>0.45033564814814814</v>
      </c>
      <c r="AK300">
        <v>0</v>
      </c>
      <c r="AL300">
        <v>0</v>
      </c>
      <c r="AM300">
        <v>0</v>
      </c>
      <c r="AN300">
        <v>0</v>
      </c>
      <c r="AO300">
        <v>0</v>
      </c>
      <c r="AP300">
        <v>0</v>
      </c>
      <c r="AQ300">
        <v>0</v>
      </c>
      <c r="AR300">
        <v>0</v>
      </c>
      <c r="AS300">
        <v>0</v>
      </c>
      <c r="AT300">
        <v>0</v>
      </c>
      <c r="AU300">
        <v>0</v>
      </c>
      <c r="AV300">
        <v>0</v>
      </c>
      <c r="AW300" s="80">
        <f>AW299</f>
        <v>9.8701000000000008</v>
      </c>
      <c r="AZ300">
        <v>1</v>
      </c>
      <c r="BA300" t="s">
        <v>7</v>
      </c>
      <c r="BB300">
        <v>18432</v>
      </c>
      <c r="BC300">
        <v>192</v>
      </c>
      <c r="BD300">
        <v>2</v>
      </c>
      <c r="BE300">
        <v>8</v>
      </c>
      <c r="BF300">
        <v>382.98</v>
      </c>
      <c r="BG300" s="23">
        <v>10.901999999999999</v>
      </c>
      <c r="BH300" s="16">
        <v>45502</v>
      </c>
      <c r="BI300" s="18">
        <v>0.51437500000000003</v>
      </c>
      <c r="BJ300">
        <v>0</v>
      </c>
      <c r="BK300">
        <v>0</v>
      </c>
      <c r="BL300">
        <v>0</v>
      </c>
      <c r="BM300">
        <v>0</v>
      </c>
      <c r="BN300">
        <v>0</v>
      </c>
      <c r="BO300">
        <v>0</v>
      </c>
      <c r="BP300">
        <v>0</v>
      </c>
      <c r="BQ300">
        <v>0</v>
      </c>
      <c r="BR300">
        <v>0</v>
      </c>
      <c r="BS300">
        <v>0</v>
      </c>
      <c r="BT300">
        <v>0</v>
      </c>
      <c r="BU300">
        <v>0</v>
      </c>
      <c r="BV300" s="113"/>
    </row>
    <row r="301" spans="1:74" x14ac:dyDescent="0.25">
      <c r="A301" t="s">
        <v>111</v>
      </c>
      <c r="B301">
        <v>2</v>
      </c>
      <c r="C301" t="s">
        <v>7</v>
      </c>
      <c r="D301" s="20">
        <v>17408</v>
      </c>
      <c r="E301" s="20">
        <v>256</v>
      </c>
      <c r="F301" s="20">
        <v>4</v>
      </c>
      <c r="G301" s="20">
        <v>4</v>
      </c>
      <c r="H301" s="79">
        <v>406.67</v>
      </c>
      <c r="I301" s="62">
        <v>8.6491000000000007</v>
      </c>
      <c r="J301" s="16">
        <v>45547</v>
      </c>
      <c r="K301" s="25">
        <v>0.63571759259259264</v>
      </c>
      <c r="L301">
        <v>0</v>
      </c>
      <c r="M301">
        <v>0</v>
      </c>
      <c r="N301">
        <v>0</v>
      </c>
      <c r="O301">
        <v>0</v>
      </c>
      <c r="P301">
        <v>0</v>
      </c>
      <c r="Q301">
        <v>0</v>
      </c>
      <c r="R301">
        <v>0</v>
      </c>
      <c r="S301">
        <v>0</v>
      </c>
      <c r="T301">
        <v>0</v>
      </c>
      <c r="U301">
        <v>0</v>
      </c>
      <c r="V301">
        <v>0</v>
      </c>
      <c r="W301">
        <v>0</v>
      </c>
      <c r="X301" s="80">
        <f>X300</f>
        <v>8.6540800000000022</v>
      </c>
      <c r="Z301" t="s">
        <v>149</v>
      </c>
      <c r="AA301">
        <v>2</v>
      </c>
      <c r="AB301" t="s">
        <v>7</v>
      </c>
      <c r="AC301" s="20">
        <v>17472</v>
      </c>
      <c r="AD301" s="20">
        <v>224</v>
      </c>
      <c r="AE301" s="20">
        <v>4</v>
      </c>
      <c r="AF301" s="20">
        <v>4</v>
      </c>
      <c r="AG301" s="79">
        <v>360.62</v>
      </c>
      <c r="AH301" s="62">
        <v>9.8614999999999995</v>
      </c>
      <c r="AI301" s="16">
        <v>45558</v>
      </c>
      <c r="AJ301" s="25">
        <v>0.94873842592592594</v>
      </c>
      <c r="AK301">
        <v>0</v>
      </c>
      <c r="AL301">
        <v>0</v>
      </c>
      <c r="AM301">
        <v>0</v>
      </c>
      <c r="AN301">
        <v>0</v>
      </c>
      <c r="AO301">
        <v>0</v>
      </c>
      <c r="AP301">
        <v>0</v>
      </c>
      <c r="AQ301">
        <v>0</v>
      </c>
      <c r="AR301">
        <v>0</v>
      </c>
      <c r="AS301">
        <v>0</v>
      </c>
      <c r="AT301">
        <v>0</v>
      </c>
      <c r="AU301">
        <v>0</v>
      </c>
      <c r="AV301">
        <v>0</v>
      </c>
      <c r="AW301" s="80">
        <f>AW300</f>
        <v>9.8701000000000008</v>
      </c>
      <c r="AZ301">
        <v>0</v>
      </c>
      <c r="BA301" t="s">
        <v>7</v>
      </c>
      <c r="BB301">
        <v>19584</v>
      </c>
      <c r="BC301">
        <v>192</v>
      </c>
      <c r="BD301">
        <v>2</v>
      </c>
      <c r="BE301">
        <v>8</v>
      </c>
      <c r="BF301">
        <v>438.05</v>
      </c>
      <c r="BG301" s="23">
        <v>11.432</v>
      </c>
      <c r="BH301" s="16">
        <v>45502</v>
      </c>
      <c r="BI301" s="18">
        <v>0.27413194444444444</v>
      </c>
      <c r="BJ301">
        <v>0</v>
      </c>
      <c r="BK301">
        <v>0</v>
      </c>
      <c r="BL301">
        <v>0</v>
      </c>
      <c r="BM301">
        <v>0</v>
      </c>
      <c r="BN301">
        <v>0</v>
      </c>
      <c r="BO301">
        <v>0</v>
      </c>
      <c r="BP301">
        <v>0</v>
      </c>
      <c r="BQ301">
        <v>0</v>
      </c>
      <c r="BR301">
        <v>0</v>
      </c>
      <c r="BS301">
        <v>0</v>
      </c>
      <c r="BT301">
        <v>0</v>
      </c>
      <c r="BU301">
        <v>0</v>
      </c>
      <c r="BV301" s="113">
        <f t="shared" si="7"/>
        <v>11.428000000000001</v>
      </c>
    </row>
    <row r="302" spans="1:74" x14ac:dyDescent="0.25">
      <c r="A302" t="s">
        <v>111</v>
      </c>
      <c r="B302">
        <v>3</v>
      </c>
      <c r="C302" t="s">
        <v>7</v>
      </c>
      <c r="D302" s="20">
        <v>17408</v>
      </c>
      <c r="E302" s="20">
        <v>256</v>
      </c>
      <c r="F302" s="20">
        <v>4</v>
      </c>
      <c r="G302" s="20">
        <v>4</v>
      </c>
      <c r="H302" s="79">
        <v>405.7</v>
      </c>
      <c r="I302" s="62">
        <v>8.6697000000000006</v>
      </c>
      <c r="J302" s="16">
        <v>45548</v>
      </c>
      <c r="K302" s="25">
        <v>0.29563657407407407</v>
      </c>
      <c r="L302">
        <v>0</v>
      </c>
      <c r="M302">
        <v>0</v>
      </c>
      <c r="N302">
        <v>0</v>
      </c>
      <c r="O302">
        <v>0</v>
      </c>
      <c r="P302">
        <v>0</v>
      </c>
      <c r="Q302">
        <v>0</v>
      </c>
      <c r="R302">
        <v>0</v>
      </c>
      <c r="S302">
        <v>0</v>
      </c>
      <c r="T302">
        <v>0</v>
      </c>
      <c r="U302">
        <v>0</v>
      </c>
      <c r="V302">
        <v>0</v>
      </c>
      <c r="W302">
        <v>0</v>
      </c>
      <c r="X302" s="80">
        <f>X301</f>
        <v>8.6540800000000022</v>
      </c>
      <c r="Z302" t="s">
        <v>149</v>
      </c>
      <c r="AA302">
        <v>3</v>
      </c>
      <c r="AB302" t="s">
        <v>7</v>
      </c>
      <c r="AC302" s="20">
        <v>17472</v>
      </c>
      <c r="AD302" s="20">
        <v>224</v>
      </c>
      <c r="AE302" s="20">
        <v>4</v>
      </c>
      <c r="AF302" s="20">
        <v>4</v>
      </c>
      <c r="AG302" s="79">
        <v>357.65</v>
      </c>
      <c r="AH302" s="62">
        <v>9.9433000000000007</v>
      </c>
      <c r="AI302" s="16">
        <v>45555</v>
      </c>
      <c r="AJ302" s="25">
        <v>0.11974537037037038</v>
      </c>
      <c r="AK302">
        <v>0</v>
      </c>
      <c r="AL302">
        <v>0</v>
      </c>
      <c r="AM302">
        <v>0</v>
      </c>
      <c r="AN302">
        <v>0</v>
      </c>
      <c r="AO302">
        <v>0</v>
      </c>
      <c r="AP302">
        <v>0</v>
      </c>
      <c r="AQ302">
        <v>0</v>
      </c>
      <c r="AR302">
        <v>0</v>
      </c>
      <c r="AS302">
        <v>0</v>
      </c>
      <c r="AT302">
        <v>0</v>
      </c>
      <c r="AU302">
        <v>0</v>
      </c>
      <c r="AV302">
        <v>0</v>
      </c>
      <c r="AW302" s="80">
        <f>AW301</f>
        <v>9.8701000000000008</v>
      </c>
      <c r="AZ302">
        <v>1</v>
      </c>
      <c r="BA302" t="s">
        <v>7</v>
      </c>
      <c r="BB302">
        <v>19584</v>
      </c>
      <c r="BC302">
        <v>192</v>
      </c>
      <c r="BD302">
        <v>2</v>
      </c>
      <c r="BE302">
        <v>8</v>
      </c>
      <c r="BF302">
        <v>438.38</v>
      </c>
      <c r="BG302" s="23">
        <v>11.423999999999999</v>
      </c>
      <c r="BH302" s="16">
        <v>45502</v>
      </c>
      <c r="BI302" s="18">
        <v>0.66401620370370373</v>
      </c>
      <c r="BJ302">
        <v>0</v>
      </c>
      <c r="BK302">
        <v>0</v>
      </c>
      <c r="BL302">
        <v>0</v>
      </c>
      <c r="BM302">
        <v>0</v>
      </c>
      <c r="BN302">
        <v>0</v>
      </c>
      <c r="BO302">
        <v>0</v>
      </c>
      <c r="BP302">
        <v>0</v>
      </c>
      <c r="BQ302">
        <v>0</v>
      </c>
      <c r="BR302">
        <v>0</v>
      </c>
      <c r="BS302">
        <v>0</v>
      </c>
      <c r="BT302">
        <v>0</v>
      </c>
      <c r="BU302">
        <v>0</v>
      </c>
      <c r="BV302" s="113"/>
    </row>
    <row r="303" spans="1:74" x14ac:dyDescent="0.25">
      <c r="A303" t="s">
        <v>111</v>
      </c>
      <c r="B303">
        <v>4</v>
      </c>
      <c r="C303" t="s">
        <v>7</v>
      </c>
      <c r="D303" s="20">
        <v>17408</v>
      </c>
      <c r="E303" s="20">
        <v>256</v>
      </c>
      <c r="F303" s="20">
        <v>4</v>
      </c>
      <c r="G303" s="20">
        <v>4</v>
      </c>
      <c r="H303" s="79">
        <v>405.03</v>
      </c>
      <c r="I303" s="62">
        <v>8.6842000000000006</v>
      </c>
      <c r="J303" s="16">
        <v>45548</v>
      </c>
      <c r="K303" s="25">
        <v>0.92393518518518514</v>
      </c>
      <c r="L303">
        <v>0</v>
      </c>
      <c r="M303">
        <v>0</v>
      </c>
      <c r="N303">
        <v>0</v>
      </c>
      <c r="O303">
        <v>0</v>
      </c>
      <c r="P303">
        <v>0</v>
      </c>
      <c r="Q303">
        <v>0</v>
      </c>
      <c r="R303">
        <v>0</v>
      </c>
      <c r="S303">
        <v>0</v>
      </c>
      <c r="T303">
        <v>0</v>
      </c>
      <c r="U303">
        <v>0</v>
      </c>
      <c r="V303">
        <v>0</v>
      </c>
      <c r="W303">
        <v>0</v>
      </c>
      <c r="X303" s="80">
        <f>X302</f>
        <v>8.6540800000000022</v>
      </c>
      <c r="Z303" t="s">
        <v>149</v>
      </c>
      <c r="AA303">
        <v>4</v>
      </c>
      <c r="AB303" t="s">
        <v>7</v>
      </c>
      <c r="AC303" s="20">
        <v>17472</v>
      </c>
      <c r="AD303" s="20">
        <v>224</v>
      </c>
      <c r="AE303" s="20">
        <v>4</v>
      </c>
      <c r="AF303" s="20">
        <v>4</v>
      </c>
      <c r="AG303" s="79">
        <v>357.74</v>
      </c>
      <c r="AH303" s="62">
        <v>9.9408999999999992</v>
      </c>
      <c r="AI303" s="16">
        <v>45555</v>
      </c>
      <c r="AJ303" s="25">
        <v>0.61989583333333331</v>
      </c>
      <c r="AK303">
        <v>0</v>
      </c>
      <c r="AL303">
        <v>0</v>
      </c>
      <c r="AM303">
        <v>0</v>
      </c>
      <c r="AN303">
        <v>0</v>
      </c>
      <c r="AO303">
        <v>0</v>
      </c>
      <c r="AP303">
        <v>0</v>
      </c>
      <c r="AQ303">
        <v>0</v>
      </c>
      <c r="AR303">
        <v>0</v>
      </c>
      <c r="AS303">
        <v>0</v>
      </c>
      <c r="AT303">
        <v>0</v>
      </c>
      <c r="AU303">
        <v>0</v>
      </c>
      <c r="AV303">
        <v>0</v>
      </c>
      <c r="AW303" s="80">
        <f>AW302</f>
        <v>9.8701000000000008</v>
      </c>
      <c r="AZ303">
        <v>0</v>
      </c>
      <c r="BA303" t="s">
        <v>7</v>
      </c>
      <c r="BB303">
        <v>17472</v>
      </c>
      <c r="BC303">
        <v>192</v>
      </c>
      <c r="BD303">
        <v>4</v>
      </c>
      <c r="BE303">
        <v>4</v>
      </c>
      <c r="BF303">
        <v>408.7</v>
      </c>
      <c r="BG303" s="23">
        <v>8.7012999999999998</v>
      </c>
      <c r="BH303" s="16">
        <v>45502</v>
      </c>
      <c r="BI303" s="18">
        <v>1.0150462962962964E-2</v>
      </c>
      <c r="BJ303">
        <v>0</v>
      </c>
      <c r="BK303">
        <v>0</v>
      </c>
      <c r="BL303">
        <v>0</v>
      </c>
      <c r="BM303">
        <v>0</v>
      </c>
      <c r="BN303">
        <v>0</v>
      </c>
      <c r="BO303">
        <v>0</v>
      </c>
      <c r="BP303">
        <v>0</v>
      </c>
      <c r="BQ303">
        <v>0</v>
      </c>
      <c r="BR303">
        <v>0</v>
      </c>
      <c r="BS303">
        <v>0</v>
      </c>
      <c r="BT303">
        <v>0</v>
      </c>
      <c r="BU303">
        <v>0</v>
      </c>
      <c r="BV303" s="113">
        <f t="shared" si="7"/>
        <v>8.7273499999999995</v>
      </c>
    </row>
    <row r="304" spans="1:74" x14ac:dyDescent="0.25">
      <c r="A304" t="s">
        <v>111</v>
      </c>
      <c r="B304">
        <v>0</v>
      </c>
      <c r="C304" t="s">
        <v>7</v>
      </c>
      <c r="D304" s="20">
        <v>19584</v>
      </c>
      <c r="E304" s="20">
        <v>32</v>
      </c>
      <c r="F304" s="20">
        <v>4</v>
      </c>
      <c r="G304" s="20">
        <v>4</v>
      </c>
      <c r="H304" s="79">
        <v>588.45000000000005</v>
      </c>
      <c r="I304" s="62">
        <v>8.5104000000000006</v>
      </c>
      <c r="J304" s="16">
        <v>45546</v>
      </c>
      <c r="K304" s="25">
        <v>0.56024305555555554</v>
      </c>
      <c r="L304">
        <v>0</v>
      </c>
      <c r="M304">
        <v>0</v>
      </c>
      <c r="N304">
        <v>0</v>
      </c>
      <c r="O304">
        <v>0</v>
      </c>
      <c r="P304">
        <v>0</v>
      </c>
      <c r="Q304">
        <v>0</v>
      </c>
      <c r="R304">
        <v>0</v>
      </c>
      <c r="S304">
        <v>0</v>
      </c>
      <c r="T304">
        <v>0</v>
      </c>
      <c r="U304">
        <v>0</v>
      </c>
      <c r="V304">
        <v>0</v>
      </c>
      <c r="W304">
        <v>0</v>
      </c>
      <c r="X304" s="82">
        <f>AVERAGE(I304:I308)</f>
        <v>8.4886799999999987</v>
      </c>
      <c r="Z304" t="s">
        <v>149</v>
      </c>
      <c r="AA304">
        <v>0</v>
      </c>
      <c r="AB304" t="s">
        <v>7</v>
      </c>
      <c r="AC304" s="20">
        <v>17536</v>
      </c>
      <c r="AD304" s="20">
        <v>32</v>
      </c>
      <c r="AE304" s="20">
        <v>1</v>
      </c>
      <c r="AF304" s="20">
        <v>16</v>
      </c>
      <c r="AG304" s="79">
        <v>366.92</v>
      </c>
      <c r="AH304" s="62">
        <v>9.7989999999999995</v>
      </c>
      <c r="AI304" s="16">
        <v>45557</v>
      </c>
      <c r="AJ304" s="25">
        <v>0.8714467592592593</v>
      </c>
      <c r="AK304">
        <v>0</v>
      </c>
      <c r="AL304">
        <v>0</v>
      </c>
      <c r="AM304">
        <v>0</v>
      </c>
      <c r="AN304">
        <v>0</v>
      </c>
      <c r="AO304">
        <v>0</v>
      </c>
      <c r="AP304">
        <v>0</v>
      </c>
      <c r="AQ304">
        <v>0</v>
      </c>
      <c r="AR304">
        <v>0</v>
      </c>
      <c r="AS304">
        <v>0</v>
      </c>
      <c r="AT304">
        <v>0</v>
      </c>
      <c r="AU304">
        <v>0</v>
      </c>
      <c r="AV304">
        <v>0</v>
      </c>
      <c r="AW304" s="82">
        <f>AVERAGE(AH304:AH307)</f>
        <v>9.8013500000000011</v>
      </c>
      <c r="AZ304">
        <v>1</v>
      </c>
      <c r="BA304" t="s">
        <v>7</v>
      </c>
      <c r="BB304">
        <v>17472</v>
      </c>
      <c r="BC304">
        <v>192</v>
      </c>
      <c r="BD304">
        <v>4</v>
      </c>
      <c r="BE304">
        <v>4</v>
      </c>
      <c r="BF304">
        <v>406.27</v>
      </c>
      <c r="BG304" s="23">
        <v>8.7533999999999992</v>
      </c>
      <c r="BH304" s="16">
        <v>45502</v>
      </c>
      <c r="BI304" s="18">
        <v>0.39758101851851851</v>
      </c>
      <c r="BJ304">
        <v>0</v>
      </c>
      <c r="BK304">
        <v>0</v>
      </c>
      <c r="BL304">
        <v>0</v>
      </c>
      <c r="BM304">
        <v>0</v>
      </c>
      <c r="BN304">
        <v>0</v>
      </c>
      <c r="BO304">
        <v>0</v>
      </c>
      <c r="BP304">
        <v>0</v>
      </c>
      <c r="BQ304">
        <v>0</v>
      </c>
      <c r="BR304">
        <v>0</v>
      </c>
      <c r="BS304">
        <v>0</v>
      </c>
      <c r="BT304">
        <v>0</v>
      </c>
      <c r="BU304">
        <v>0</v>
      </c>
      <c r="BV304" s="113"/>
    </row>
    <row r="305" spans="1:74" x14ac:dyDescent="0.25">
      <c r="A305" t="s">
        <v>111</v>
      </c>
      <c r="B305">
        <v>1</v>
      </c>
      <c r="C305" t="s">
        <v>7</v>
      </c>
      <c r="D305" s="20">
        <v>19584</v>
      </c>
      <c r="E305" s="20">
        <v>32</v>
      </c>
      <c r="F305" s="20">
        <v>4</v>
      </c>
      <c r="G305" s="20">
        <v>4</v>
      </c>
      <c r="H305" s="79">
        <v>592.27</v>
      </c>
      <c r="I305" s="62">
        <v>8.4556000000000004</v>
      </c>
      <c r="J305" s="16">
        <v>45547</v>
      </c>
      <c r="K305" s="25">
        <v>0.18377314814814816</v>
      </c>
      <c r="L305">
        <v>0</v>
      </c>
      <c r="M305">
        <v>0</v>
      </c>
      <c r="N305">
        <v>0</v>
      </c>
      <c r="O305">
        <v>0</v>
      </c>
      <c r="P305">
        <v>0</v>
      </c>
      <c r="Q305">
        <v>0</v>
      </c>
      <c r="R305">
        <v>0</v>
      </c>
      <c r="S305">
        <v>0</v>
      </c>
      <c r="T305">
        <v>0</v>
      </c>
      <c r="U305">
        <v>0</v>
      </c>
      <c r="V305">
        <v>0</v>
      </c>
      <c r="W305">
        <v>0</v>
      </c>
      <c r="X305" s="80">
        <f>X304</f>
        <v>8.4886799999999987</v>
      </c>
      <c r="Z305" t="s">
        <v>149</v>
      </c>
      <c r="AA305">
        <v>1</v>
      </c>
      <c r="AB305" t="s">
        <v>7</v>
      </c>
      <c r="AC305" s="20">
        <v>17536</v>
      </c>
      <c r="AD305" s="20">
        <v>32</v>
      </c>
      <c r="AE305" s="20">
        <v>1</v>
      </c>
      <c r="AF305" s="20">
        <v>16</v>
      </c>
      <c r="AG305" s="79">
        <v>366.88</v>
      </c>
      <c r="AH305" s="62">
        <v>9.8000000000000007</v>
      </c>
      <c r="AI305" s="16">
        <v>45558</v>
      </c>
      <c r="AJ305" s="25">
        <v>0.37085648148148148</v>
      </c>
      <c r="AK305">
        <v>0</v>
      </c>
      <c r="AL305">
        <v>0</v>
      </c>
      <c r="AM305">
        <v>0</v>
      </c>
      <c r="AN305">
        <v>0</v>
      </c>
      <c r="AO305">
        <v>0</v>
      </c>
      <c r="AP305">
        <v>0</v>
      </c>
      <c r="AQ305">
        <v>0</v>
      </c>
      <c r="AR305">
        <v>0</v>
      </c>
      <c r="AS305">
        <v>0</v>
      </c>
      <c r="AT305">
        <v>0</v>
      </c>
      <c r="AU305">
        <v>0</v>
      </c>
      <c r="AV305">
        <v>0</v>
      </c>
      <c r="AW305" s="80">
        <f>AW304</f>
        <v>9.8013500000000011</v>
      </c>
      <c r="AZ305">
        <v>0</v>
      </c>
      <c r="BA305" t="s">
        <v>7</v>
      </c>
      <c r="BB305">
        <v>18432</v>
      </c>
      <c r="BC305">
        <v>192</v>
      </c>
      <c r="BD305">
        <v>4</v>
      </c>
      <c r="BE305">
        <v>4</v>
      </c>
      <c r="BF305">
        <v>475.91</v>
      </c>
      <c r="BG305" s="23">
        <v>8.7730999999999995</v>
      </c>
      <c r="BH305" s="16">
        <v>45502</v>
      </c>
      <c r="BI305" s="18">
        <v>0.13265046296296296</v>
      </c>
      <c r="BJ305">
        <v>0</v>
      </c>
      <c r="BK305">
        <v>0</v>
      </c>
      <c r="BL305">
        <v>0</v>
      </c>
      <c r="BM305">
        <v>0</v>
      </c>
      <c r="BN305">
        <v>0</v>
      </c>
      <c r="BO305">
        <v>0</v>
      </c>
      <c r="BP305">
        <v>0</v>
      </c>
      <c r="BQ305">
        <v>0</v>
      </c>
      <c r="BR305">
        <v>0</v>
      </c>
      <c r="BS305">
        <v>0</v>
      </c>
      <c r="BT305">
        <v>0</v>
      </c>
      <c r="BU305">
        <v>0</v>
      </c>
      <c r="BV305" s="113">
        <f t="shared" si="7"/>
        <v>8.8104499999999994</v>
      </c>
    </row>
    <row r="306" spans="1:74" x14ac:dyDescent="0.25">
      <c r="A306" t="s">
        <v>111</v>
      </c>
      <c r="B306">
        <v>2</v>
      </c>
      <c r="C306" t="s">
        <v>7</v>
      </c>
      <c r="D306" s="20">
        <v>19584</v>
      </c>
      <c r="E306" s="20">
        <v>32</v>
      </c>
      <c r="F306" s="20">
        <v>4</v>
      </c>
      <c r="G306" s="20">
        <v>4</v>
      </c>
      <c r="H306" s="79">
        <v>588.47</v>
      </c>
      <c r="I306" s="62">
        <v>8.5101999999999993</v>
      </c>
      <c r="J306" s="16">
        <v>45547</v>
      </c>
      <c r="K306" s="25">
        <v>0.79393518518518513</v>
      </c>
      <c r="L306">
        <v>0</v>
      </c>
      <c r="M306">
        <v>0</v>
      </c>
      <c r="N306">
        <v>0</v>
      </c>
      <c r="O306">
        <v>0</v>
      </c>
      <c r="P306">
        <v>0</v>
      </c>
      <c r="Q306">
        <v>0</v>
      </c>
      <c r="R306">
        <v>0</v>
      </c>
      <c r="S306">
        <v>0</v>
      </c>
      <c r="T306">
        <v>0</v>
      </c>
      <c r="U306">
        <v>0</v>
      </c>
      <c r="V306">
        <v>0</v>
      </c>
      <c r="W306">
        <v>0</v>
      </c>
      <c r="X306" s="80">
        <f>X305</f>
        <v>8.4886799999999987</v>
      </c>
      <c r="Z306" t="s">
        <v>149</v>
      </c>
      <c r="AA306">
        <v>2</v>
      </c>
      <c r="AB306" t="s">
        <v>7</v>
      </c>
      <c r="AC306" s="20">
        <v>17536</v>
      </c>
      <c r="AD306" s="20">
        <v>32</v>
      </c>
      <c r="AE306" s="20">
        <v>1</v>
      </c>
      <c r="AF306" s="20">
        <v>16</v>
      </c>
      <c r="AG306" s="79">
        <v>366.79</v>
      </c>
      <c r="AH306" s="62">
        <v>9.8026</v>
      </c>
      <c r="AI306" s="16">
        <v>45558</v>
      </c>
      <c r="AJ306" s="25">
        <v>0.86934027777777778</v>
      </c>
      <c r="AK306">
        <v>0</v>
      </c>
      <c r="AL306">
        <v>0</v>
      </c>
      <c r="AM306">
        <v>0</v>
      </c>
      <c r="AN306">
        <v>0</v>
      </c>
      <c r="AO306">
        <v>0</v>
      </c>
      <c r="AP306">
        <v>0</v>
      </c>
      <c r="AQ306">
        <v>0</v>
      </c>
      <c r="AR306">
        <v>0</v>
      </c>
      <c r="AS306">
        <v>0</v>
      </c>
      <c r="AT306">
        <v>0</v>
      </c>
      <c r="AU306">
        <v>0</v>
      </c>
      <c r="AV306">
        <v>0</v>
      </c>
      <c r="AW306" s="80">
        <f>AW305</f>
        <v>9.8013500000000011</v>
      </c>
      <c r="AZ306">
        <v>1</v>
      </c>
      <c r="BA306" t="s">
        <v>7</v>
      </c>
      <c r="BB306">
        <v>18432</v>
      </c>
      <c r="BC306">
        <v>192</v>
      </c>
      <c r="BD306">
        <v>4</v>
      </c>
      <c r="BE306">
        <v>4</v>
      </c>
      <c r="BF306">
        <v>471.9</v>
      </c>
      <c r="BG306" s="23">
        <v>8.8477999999999994</v>
      </c>
      <c r="BH306" s="16">
        <v>45502</v>
      </c>
      <c r="BI306" s="18">
        <v>0.51998842592592598</v>
      </c>
      <c r="BJ306">
        <v>0</v>
      </c>
      <c r="BK306">
        <v>0</v>
      </c>
      <c r="BL306">
        <v>0</v>
      </c>
      <c r="BM306">
        <v>0</v>
      </c>
      <c r="BN306">
        <v>0</v>
      </c>
      <c r="BO306">
        <v>0</v>
      </c>
      <c r="BP306">
        <v>0</v>
      </c>
      <c r="BQ306">
        <v>0</v>
      </c>
      <c r="BR306">
        <v>0</v>
      </c>
      <c r="BS306">
        <v>0</v>
      </c>
      <c r="BT306">
        <v>0</v>
      </c>
      <c r="BU306">
        <v>0</v>
      </c>
      <c r="BV306" s="113"/>
    </row>
    <row r="307" spans="1:74" x14ac:dyDescent="0.25">
      <c r="A307" t="s">
        <v>111</v>
      </c>
      <c r="B307">
        <v>3</v>
      </c>
      <c r="C307" t="s">
        <v>7</v>
      </c>
      <c r="D307" s="20">
        <v>19584</v>
      </c>
      <c r="E307" s="20">
        <v>32</v>
      </c>
      <c r="F307" s="20">
        <v>4</v>
      </c>
      <c r="G307" s="20">
        <v>4</v>
      </c>
      <c r="H307" s="79">
        <v>591.89</v>
      </c>
      <c r="I307" s="62">
        <v>8.4610000000000003</v>
      </c>
      <c r="J307" s="16">
        <v>45548</v>
      </c>
      <c r="K307" s="25">
        <v>0.45803240740740742</v>
      </c>
      <c r="L307">
        <v>0</v>
      </c>
      <c r="M307">
        <v>0</v>
      </c>
      <c r="N307">
        <v>0</v>
      </c>
      <c r="O307">
        <v>0</v>
      </c>
      <c r="P307">
        <v>0</v>
      </c>
      <c r="Q307">
        <v>0</v>
      </c>
      <c r="R307">
        <v>0</v>
      </c>
      <c r="S307">
        <v>0</v>
      </c>
      <c r="T307">
        <v>0</v>
      </c>
      <c r="U307">
        <v>0</v>
      </c>
      <c r="V307">
        <v>0</v>
      </c>
      <c r="W307">
        <v>0</v>
      </c>
      <c r="X307" s="80">
        <f>X306</f>
        <v>8.4886799999999987</v>
      </c>
      <c r="Z307" t="s">
        <v>149</v>
      </c>
      <c r="AA307">
        <v>3</v>
      </c>
      <c r="AB307" t="s">
        <v>7</v>
      </c>
      <c r="AC307" s="20">
        <v>17536</v>
      </c>
      <c r="AD307" s="20">
        <v>32</v>
      </c>
      <c r="AE307" s="20">
        <v>1</v>
      </c>
      <c r="AF307" s="20">
        <v>16</v>
      </c>
      <c r="AG307" s="79">
        <v>366.74</v>
      </c>
      <c r="AH307" s="62">
        <v>9.8038000000000007</v>
      </c>
      <c r="AI307" s="16">
        <v>45555</v>
      </c>
      <c r="AJ307" s="25">
        <v>4.0312500000000001E-2</v>
      </c>
      <c r="AK307">
        <v>0</v>
      </c>
      <c r="AL307">
        <v>0</v>
      </c>
      <c r="AM307">
        <v>0</v>
      </c>
      <c r="AN307">
        <v>0</v>
      </c>
      <c r="AO307">
        <v>0</v>
      </c>
      <c r="AP307">
        <v>0</v>
      </c>
      <c r="AQ307">
        <v>0</v>
      </c>
      <c r="AR307">
        <v>0</v>
      </c>
      <c r="AS307">
        <v>0</v>
      </c>
      <c r="AT307">
        <v>0</v>
      </c>
      <c r="AU307">
        <v>0</v>
      </c>
      <c r="AV307">
        <v>0</v>
      </c>
      <c r="AW307" s="80">
        <f>AW306</f>
        <v>9.8013500000000011</v>
      </c>
      <c r="AZ307">
        <v>0</v>
      </c>
      <c r="BA307" t="s">
        <v>7</v>
      </c>
      <c r="BB307">
        <v>19584</v>
      </c>
      <c r="BC307">
        <v>192</v>
      </c>
      <c r="BD307">
        <v>4</v>
      </c>
      <c r="BE307">
        <v>4</v>
      </c>
      <c r="BF307">
        <v>541.16999999999996</v>
      </c>
      <c r="BG307" s="23">
        <v>9.2538999999999998</v>
      </c>
      <c r="BH307" s="16">
        <v>45502</v>
      </c>
      <c r="BI307" s="18">
        <v>0.28060185185185182</v>
      </c>
      <c r="BJ307">
        <v>0</v>
      </c>
      <c r="BK307">
        <v>0</v>
      </c>
      <c r="BL307">
        <v>0</v>
      </c>
      <c r="BM307">
        <v>0</v>
      </c>
      <c r="BN307">
        <v>0</v>
      </c>
      <c r="BO307">
        <v>0</v>
      </c>
      <c r="BP307">
        <v>0</v>
      </c>
      <c r="BQ307">
        <v>0</v>
      </c>
      <c r="BR307">
        <v>0</v>
      </c>
      <c r="BS307">
        <v>0</v>
      </c>
      <c r="BT307">
        <v>0</v>
      </c>
      <c r="BU307">
        <v>0</v>
      </c>
      <c r="BV307" s="113">
        <f t="shared" si="7"/>
        <v>9.2524499999999996</v>
      </c>
    </row>
    <row r="308" spans="1:74" x14ac:dyDescent="0.25">
      <c r="A308" t="s">
        <v>111</v>
      </c>
      <c r="B308">
        <v>4</v>
      </c>
      <c r="C308" t="s">
        <v>7</v>
      </c>
      <c r="D308" s="20">
        <v>19584</v>
      </c>
      <c r="E308" s="20">
        <v>32</v>
      </c>
      <c r="F308" s="20">
        <v>4</v>
      </c>
      <c r="G308" s="20">
        <v>4</v>
      </c>
      <c r="H308" s="79">
        <v>588.75</v>
      </c>
      <c r="I308" s="62">
        <v>8.5061999999999998</v>
      </c>
      <c r="J308" s="16">
        <v>45549</v>
      </c>
      <c r="K308" s="25">
        <v>9.3726851851851853E-2</v>
      </c>
      <c r="L308">
        <v>0</v>
      </c>
      <c r="M308">
        <v>0</v>
      </c>
      <c r="N308">
        <v>0</v>
      </c>
      <c r="O308">
        <v>0</v>
      </c>
      <c r="P308">
        <v>0</v>
      </c>
      <c r="Q308">
        <v>0</v>
      </c>
      <c r="R308">
        <v>0</v>
      </c>
      <c r="S308">
        <v>0</v>
      </c>
      <c r="T308">
        <v>0</v>
      </c>
      <c r="U308">
        <v>0</v>
      </c>
      <c r="V308">
        <v>0</v>
      </c>
      <c r="W308">
        <v>0</v>
      </c>
      <c r="X308" s="80">
        <f>X307</f>
        <v>8.4886799999999987</v>
      </c>
      <c r="Z308" t="s">
        <v>149</v>
      </c>
      <c r="AA308">
        <v>4</v>
      </c>
      <c r="AB308" t="s">
        <v>7</v>
      </c>
      <c r="AC308" s="20">
        <v>17536</v>
      </c>
      <c r="AD308" s="20">
        <v>32</v>
      </c>
      <c r="AE308" s="20">
        <v>1</v>
      </c>
      <c r="AF308" s="20">
        <v>16</v>
      </c>
      <c r="AG308" s="79">
        <v>366.38</v>
      </c>
      <c r="AH308" s="62">
        <v>9.8135999999999992</v>
      </c>
      <c r="AI308" s="16">
        <v>45555</v>
      </c>
      <c r="AJ308" s="25">
        <v>0.54046296296296292</v>
      </c>
      <c r="AK308">
        <v>0</v>
      </c>
      <c r="AL308">
        <v>0</v>
      </c>
      <c r="AM308">
        <v>0</v>
      </c>
      <c r="AN308">
        <v>0</v>
      </c>
      <c r="AO308">
        <v>0</v>
      </c>
      <c r="AP308">
        <v>0</v>
      </c>
      <c r="AQ308">
        <v>0</v>
      </c>
      <c r="AR308">
        <v>0</v>
      </c>
      <c r="AS308">
        <v>0</v>
      </c>
      <c r="AT308">
        <v>0</v>
      </c>
      <c r="AU308">
        <v>0</v>
      </c>
      <c r="AV308">
        <v>0</v>
      </c>
      <c r="AW308" s="80">
        <f>AW307</f>
        <v>9.8013500000000011</v>
      </c>
      <c r="AZ308">
        <v>1</v>
      </c>
      <c r="BA308" t="s">
        <v>7</v>
      </c>
      <c r="BB308">
        <v>19584</v>
      </c>
      <c r="BC308">
        <v>192</v>
      </c>
      <c r="BD308">
        <v>4</v>
      </c>
      <c r="BE308">
        <v>4</v>
      </c>
      <c r="BF308">
        <v>541.34</v>
      </c>
      <c r="BG308" s="23">
        <v>9.2509999999999994</v>
      </c>
      <c r="BH308" s="16">
        <v>45502</v>
      </c>
      <c r="BI308" s="18">
        <v>0.67047453703703708</v>
      </c>
      <c r="BJ308">
        <v>0</v>
      </c>
      <c r="BK308">
        <v>0</v>
      </c>
      <c r="BL308">
        <v>0</v>
      </c>
      <c r="BM308">
        <v>0</v>
      </c>
      <c r="BN308">
        <v>0</v>
      </c>
      <c r="BO308">
        <v>0</v>
      </c>
      <c r="BP308">
        <v>0</v>
      </c>
      <c r="BQ308">
        <v>0</v>
      </c>
      <c r="BR308">
        <v>0</v>
      </c>
      <c r="BS308">
        <v>0</v>
      </c>
      <c r="BT308">
        <v>0</v>
      </c>
      <c r="BU308">
        <v>0</v>
      </c>
      <c r="BV308" s="113"/>
    </row>
    <row r="309" spans="1:74" x14ac:dyDescent="0.25">
      <c r="A309" t="s">
        <v>111</v>
      </c>
      <c r="B309">
        <v>0</v>
      </c>
      <c r="C309" t="s">
        <v>7</v>
      </c>
      <c r="D309" s="20">
        <v>18560</v>
      </c>
      <c r="E309" s="20">
        <v>32</v>
      </c>
      <c r="F309" s="20">
        <v>4</v>
      </c>
      <c r="G309" s="20">
        <v>4</v>
      </c>
      <c r="H309" s="79">
        <v>514.59</v>
      </c>
      <c r="I309" s="62">
        <v>8.2840000000000007</v>
      </c>
      <c r="J309" s="16">
        <v>45546</v>
      </c>
      <c r="K309" s="25">
        <v>0.42108796296296297</v>
      </c>
      <c r="L309">
        <v>0</v>
      </c>
      <c r="M309">
        <v>0</v>
      </c>
      <c r="N309">
        <v>0</v>
      </c>
      <c r="O309">
        <v>0</v>
      </c>
      <c r="P309">
        <v>0</v>
      </c>
      <c r="Q309">
        <v>0</v>
      </c>
      <c r="R309">
        <v>0</v>
      </c>
      <c r="S309">
        <v>0</v>
      </c>
      <c r="T309">
        <v>0</v>
      </c>
      <c r="U309">
        <v>0</v>
      </c>
      <c r="V309">
        <v>0</v>
      </c>
      <c r="W309">
        <v>0</v>
      </c>
      <c r="X309" s="82">
        <f>AVERAGE(I309:I313)</f>
        <v>8.2599400000000003</v>
      </c>
      <c r="Z309" t="s">
        <v>149</v>
      </c>
      <c r="AA309">
        <v>0</v>
      </c>
      <c r="AB309" t="s">
        <v>7</v>
      </c>
      <c r="AC309" s="20">
        <v>17408</v>
      </c>
      <c r="AD309" s="20">
        <v>256</v>
      </c>
      <c r="AE309" s="20">
        <v>4</v>
      </c>
      <c r="AF309" s="20">
        <v>4</v>
      </c>
      <c r="AG309" s="79">
        <v>361.28</v>
      </c>
      <c r="AH309" s="62">
        <v>9.7357999999999993</v>
      </c>
      <c r="AI309" s="16">
        <v>45557</v>
      </c>
      <c r="AJ309" s="25">
        <v>0.96305555555555555</v>
      </c>
      <c r="AK309">
        <v>0</v>
      </c>
      <c r="AL309">
        <v>0</v>
      </c>
      <c r="AM309">
        <v>0</v>
      </c>
      <c r="AN309">
        <v>0</v>
      </c>
      <c r="AO309">
        <v>0</v>
      </c>
      <c r="AP309">
        <v>0</v>
      </c>
      <c r="AQ309">
        <v>0</v>
      </c>
      <c r="AR309">
        <v>0</v>
      </c>
      <c r="AS309">
        <v>0</v>
      </c>
      <c r="AT309">
        <v>0</v>
      </c>
      <c r="AU309">
        <v>0</v>
      </c>
      <c r="AV309">
        <v>0</v>
      </c>
      <c r="AW309" s="82">
        <f>AVERAGE(AH309:AH312)</f>
        <v>9.6955749999999998</v>
      </c>
      <c r="AZ309">
        <v>0</v>
      </c>
      <c r="BA309" t="s">
        <v>7</v>
      </c>
      <c r="BB309">
        <v>17472</v>
      </c>
      <c r="BC309">
        <v>224</v>
      </c>
      <c r="BD309">
        <v>1</v>
      </c>
      <c r="BE309">
        <v>16</v>
      </c>
      <c r="BF309">
        <v>388.81</v>
      </c>
      <c r="BG309" s="23">
        <v>9.1464999999999996</v>
      </c>
      <c r="BH309" s="16">
        <v>45502</v>
      </c>
      <c r="BI309" s="18">
        <v>1.4814814814814815E-2</v>
      </c>
      <c r="BJ309">
        <v>0</v>
      </c>
      <c r="BK309">
        <v>0</v>
      </c>
      <c r="BL309">
        <v>0</v>
      </c>
      <c r="BM309">
        <v>0</v>
      </c>
      <c r="BN309">
        <v>0</v>
      </c>
      <c r="BO309">
        <v>0</v>
      </c>
      <c r="BP309">
        <v>0</v>
      </c>
      <c r="BQ309">
        <v>0</v>
      </c>
      <c r="BR309">
        <v>0</v>
      </c>
      <c r="BS309">
        <v>0</v>
      </c>
      <c r="BT309">
        <v>0</v>
      </c>
      <c r="BU309">
        <v>0</v>
      </c>
      <c r="BV309" s="113">
        <f t="shared" si="7"/>
        <v>9.1458499999999994</v>
      </c>
    </row>
    <row r="310" spans="1:74" x14ac:dyDescent="0.25">
      <c r="A310" t="s">
        <v>111</v>
      </c>
      <c r="B310">
        <v>1</v>
      </c>
      <c r="C310" t="s">
        <v>7</v>
      </c>
      <c r="D310" s="20">
        <v>18560</v>
      </c>
      <c r="E310" s="20">
        <v>32</v>
      </c>
      <c r="F310" s="20">
        <v>4</v>
      </c>
      <c r="G310" s="20">
        <v>4</v>
      </c>
      <c r="H310" s="79">
        <v>518.97</v>
      </c>
      <c r="I310" s="62">
        <v>8.2140000000000004</v>
      </c>
      <c r="J310" s="16">
        <v>45547</v>
      </c>
      <c r="K310" s="25">
        <v>3.7384259259259256E-2</v>
      </c>
      <c r="L310">
        <v>0</v>
      </c>
      <c r="M310">
        <v>0</v>
      </c>
      <c r="N310">
        <v>0</v>
      </c>
      <c r="O310">
        <v>0</v>
      </c>
      <c r="P310">
        <v>0</v>
      </c>
      <c r="Q310">
        <v>0</v>
      </c>
      <c r="R310">
        <v>0</v>
      </c>
      <c r="S310">
        <v>0</v>
      </c>
      <c r="T310">
        <v>0</v>
      </c>
      <c r="U310">
        <v>0</v>
      </c>
      <c r="V310">
        <v>0</v>
      </c>
      <c r="W310">
        <v>0</v>
      </c>
      <c r="X310" s="80">
        <f>X309</f>
        <v>8.2599400000000003</v>
      </c>
      <c r="Z310" t="s">
        <v>149</v>
      </c>
      <c r="AA310">
        <v>1</v>
      </c>
      <c r="AB310" t="s">
        <v>7</v>
      </c>
      <c r="AC310" s="20">
        <v>17408</v>
      </c>
      <c r="AD310" s="20">
        <v>256</v>
      </c>
      <c r="AE310" s="20">
        <v>4</v>
      </c>
      <c r="AF310" s="20">
        <v>4</v>
      </c>
      <c r="AG310" s="79">
        <v>361.57</v>
      </c>
      <c r="AH310" s="62">
        <v>9.7279999999999998</v>
      </c>
      <c r="AI310" s="16">
        <v>45558</v>
      </c>
      <c r="AJ310" s="25">
        <v>0.4624537037037037</v>
      </c>
      <c r="AK310">
        <v>0</v>
      </c>
      <c r="AL310">
        <v>0</v>
      </c>
      <c r="AM310">
        <v>0</v>
      </c>
      <c r="AN310">
        <v>0</v>
      </c>
      <c r="AO310">
        <v>0</v>
      </c>
      <c r="AP310">
        <v>0</v>
      </c>
      <c r="AQ310">
        <v>0</v>
      </c>
      <c r="AR310">
        <v>0</v>
      </c>
      <c r="AS310">
        <v>0</v>
      </c>
      <c r="AT310">
        <v>0</v>
      </c>
      <c r="AU310">
        <v>0</v>
      </c>
      <c r="AV310">
        <v>0</v>
      </c>
      <c r="AW310" s="80">
        <f>AW309</f>
        <v>9.6955749999999998</v>
      </c>
      <c r="AZ310">
        <v>1</v>
      </c>
      <c r="BA310" t="s">
        <v>7</v>
      </c>
      <c r="BB310">
        <v>17472</v>
      </c>
      <c r="BC310">
        <v>224</v>
      </c>
      <c r="BD310">
        <v>1</v>
      </c>
      <c r="BE310">
        <v>16</v>
      </c>
      <c r="BF310">
        <v>388.86</v>
      </c>
      <c r="BG310" s="23">
        <v>9.1452000000000009</v>
      </c>
      <c r="BH310" s="16">
        <v>45502</v>
      </c>
      <c r="BI310" s="18">
        <v>0.4022337962962963</v>
      </c>
      <c r="BJ310">
        <v>0</v>
      </c>
      <c r="BK310">
        <v>0</v>
      </c>
      <c r="BL310">
        <v>0</v>
      </c>
      <c r="BM310">
        <v>0</v>
      </c>
      <c r="BN310">
        <v>0</v>
      </c>
      <c r="BO310">
        <v>0</v>
      </c>
      <c r="BP310">
        <v>0</v>
      </c>
      <c r="BQ310">
        <v>0</v>
      </c>
      <c r="BR310">
        <v>0</v>
      </c>
      <c r="BS310">
        <v>0</v>
      </c>
      <c r="BT310">
        <v>0</v>
      </c>
      <c r="BU310">
        <v>0</v>
      </c>
      <c r="BV310" s="113"/>
    </row>
    <row r="311" spans="1:74" x14ac:dyDescent="0.25">
      <c r="A311" t="s">
        <v>111</v>
      </c>
      <c r="B311">
        <v>2</v>
      </c>
      <c r="C311" t="s">
        <v>7</v>
      </c>
      <c r="D311" s="20">
        <v>18560</v>
      </c>
      <c r="E311" s="20">
        <v>32</v>
      </c>
      <c r="F311" s="20">
        <v>4</v>
      </c>
      <c r="G311" s="20">
        <v>4</v>
      </c>
      <c r="H311" s="79">
        <v>516.88</v>
      </c>
      <c r="I311" s="62">
        <v>8.2471999999999994</v>
      </c>
      <c r="J311" s="16">
        <v>45547</v>
      </c>
      <c r="K311" s="25">
        <v>0.65232638888888894</v>
      </c>
      <c r="L311">
        <v>0</v>
      </c>
      <c r="M311">
        <v>0</v>
      </c>
      <c r="N311">
        <v>0</v>
      </c>
      <c r="O311">
        <v>0</v>
      </c>
      <c r="P311">
        <v>0</v>
      </c>
      <c r="Q311">
        <v>0</v>
      </c>
      <c r="R311">
        <v>0</v>
      </c>
      <c r="S311">
        <v>0</v>
      </c>
      <c r="T311">
        <v>0</v>
      </c>
      <c r="U311">
        <v>0</v>
      </c>
      <c r="V311">
        <v>0</v>
      </c>
      <c r="W311">
        <v>0</v>
      </c>
      <c r="X311" s="80">
        <f>X310</f>
        <v>8.2599400000000003</v>
      </c>
      <c r="Z311" t="s">
        <v>149</v>
      </c>
      <c r="AA311">
        <v>2</v>
      </c>
      <c r="AB311" t="s">
        <v>7</v>
      </c>
      <c r="AC311" s="20">
        <v>17408</v>
      </c>
      <c r="AD311" s="20">
        <v>256</v>
      </c>
      <c r="AE311" s="20">
        <v>4</v>
      </c>
      <c r="AF311" s="20">
        <v>4</v>
      </c>
      <c r="AG311" s="79">
        <v>363.94</v>
      </c>
      <c r="AH311" s="62">
        <v>9.6646000000000001</v>
      </c>
      <c r="AI311" s="16">
        <v>45558</v>
      </c>
      <c r="AJ311" s="25">
        <v>0.96096064814814819</v>
      </c>
      <c r="AK311">
        <v>0</v>
      </c>
      <c r="AL311">
        <v>0</v>
      </c>
      <c r="AM311">
        <v>0</v>
      </c>
      <c r="AN311">
        <v>0</v>
      </c>
      <c r="AO311">
        <v>0</v>
      </c>
      <c r="AP311">
        <v>0</v>
      </c>
      <c r="AQ311">
        <v>0</v>
      </c>
      <c r="AR311">
        <v>0</v>
      </c>
      <c r="AS311">
        <v>0</v>
      </c>
      <c r="AT311">
        <v>0</v>
      </c>
      <c r="AU311">
        <v>0</v>
      </c>
      <c r="AV311">
        <v>0</v>
      </c>
      <c r="AW311" s="80">
        <f>AW310</f>
        <v>9.6955749999999998</v>
      </c>
      <c r="AZ311">
        <v>0</v>
      </c>
      <c r="BA311" t="s">
        <v>7</v>
      </c>
      <c r="BB311">
        <v>18368</v>
      </c>
      <c r="BC311">
        <v>224</v>
      </c>
      <c r="BD311">
        <v>1</v>
      </c>
      <c r="BE311">
        <v>16</v>
      </c>
      <c r="BF311">
        <v>435.98</v>
      </c>
      <c r="BG311" s="23">
        <v>9.4772999999999996</v>
      </c>
      <c r="BH311" s="16">
        <v>45502</v>
      </c>
      <c r="BI311" s="18">
        <v>0.13789351851851853</v>
      </c>
      <c r="BJ311">
        <v>0</v>
      </c>
      <c r="BK311">
        <v>0</v>
      </c>
      <c r="BL311">
        <v>0</v>
      </c>
      <c r="BM311">
        <v>0</v>
      </c>
      <c r="BN311">
        <v>0</v>
      </c>
      <c r="BO311">
        <v>0</v>
      </c>
      <c r="BP311">
        <v>0</v>
      </c>
      <c r="BQ311">
        <v>0</v>
      </c>
      <c r="BR311">
        <v>0</v>
      </c>
      <c r="BS311">
        <v>0</v>
      </c>
      <c r="BT311">
        <v>0</v>
      </c>
      <c r="BU311">
        <v>0</v>
      </c>
      <c r="BV311" s="113">
        <f t="shared" si="7"/>
        <v>9.4804999999999993</v>
      </c>
    </row>
    <row r="312" spans="1:74" x14ac:dyDescent="0.25">
      <c r="A312" t="s">
        <v>111</v>
      </c>
      <c r="B312">
        <v>3</v>
      </c>
      <c r="C312" t="s">
        <v>7</v>
      </c>
      <c r="D312" s="20">
        <v>18560</v>
      </c>
      <c r="E312" s="20">
        <v>32</v>
      </c>
      <c r="F312" s="20">
        <v>4</v>
      </c>
      <c r="G312" s="20">
        <v>4</v>
      </c>
      <c r="H312" s="79">
        <v>513.27</v>
      </c>
      <c r="I312" s="62">
        <v>8.3050999999999995</v>
      </c>
      <c r="J312" s="16">
        <v>45548</v>
      </c>
      <c r="K312" s="25">
        <v>0.3127314814814815</v>
      </c>
      <c r="L312">
        <v>0</v>
      </c>
      <c r="M312">
        <v>0</v>
      </c>
      <c r="N312">
        <v>0</v>
      </c>
      <c r="O312">
        <v>0</v>
      </c>
      <c r="P312">
        <v>0</v>
      </c>
      <c r="Q312">
        <v>0</v>
      </c>
      <c r="R312">
        <v>0</v>
      </c>
      <c r="S312">
        <v>0</v>
      </c>
      <c r="T312">
        <v>0</v>
      </c>
      <c r="U312">
        <v>0</v>
      </c>
      <c r="V312">
        <v>0</v>
      </c>
      <c r="W312">
        <v>0</v>
      </c>
      <c r="X312" s="80">
        <f>X311</f>
        <v>8.2599400000000003</v>
      </c>
      <c r="Z312" t="s">
        <v>149</v>
      </c>
      <c r="AA312">
        <v>3</v>
      </c>
      <c r="AB312" t="s">
        <v>7</v>
      </c>
      <c r="AC312" s="20">
        <v>17408</v>
      </c>
      <c r="AD312" s="20">
        <v>256</v>
      </c>
      <c r="AE312" s="20">
        <v>4</v>
      </c>
      <c r="AF312" s="20">
        <v>4</v>
      </c>
      <c r="AG312" s="79">
        <v>364.34</v>
      </c>
      <c r="AH312" s="62">
        <v>9.6539000000000001</v>
      </c>
      <c r="AI312" s="16">
        <v>45555</v>
      </c>
      <c r="AJ312" s="25">
        <v>0.13187499999999999</v>
      </c>
      <c r="AK312">
        <v>0</v>
      </c>
      <c r="AL312">
        <v>0</v>
      </c>
      <c r="AM312">
        <v>0</v>
      </c>
      <c r="AN312">
        <v>0</v>
      </c>
      <c r="AO312">
        <v>0</v>
      </c>
      <c r="AP312">
        <v>0</v>
      </c>
      <c r="AQ312">
        <v>0</v>
      </c>
      <c r="AR312">
        <v>0</v>
      </c>
      <c r="AS312">
        <v>0</v>
      </c>
      <c r="AT312">
        <v>0</v>
      </c>
      <c r="AU312">
        <v>0</v>
      </c>
      <c r="AV312">
        <v>0</v>
      </c>
      <c r="AW312" s="80">
        <f>AW311</f>
        <v>9.6955749999999998</v>
      </c>
      <c r="AZ312">
        <v>1</v>
      </c>
      <c r="BA312" t="s">
        <v>7</v>
      </c>
      <c r="BB312">
        <v>18368</v>
      </c>
      <c r="BC312">
        <v>224</v>
      </c>
      <c r="BD312">
        <v>1</v>
      </c>
      <c r="BE312">
        <v>16</v>
      </c>
      <c r="BF312">
        <v>435.68</v>
      </c>
      <c r="BG312" s="23">
        <v>9.4837000000000007</v>
      </c>
      <c r="BH312" s="16">
        <v>45502</v>
      </c>
      <c r="BI312" s="18">
        <v>0.52523148148148147</v>
      </c>
      <c r="BJ312">
        <v>0</v>
      </c>
      <c r="BK312">
        <v>0</v>
      </c>
      <c r="BL312">
        <v>0</v>
      </c>
      <c r="BM312">
        <v>0</v>
      </c>
      <c r="BN312">
        <v>0</v>
      </c>
      <c r="BO312">
        <v>0</v>
      </c>
      <c r="BP312">
        <v>0</v>
      </c>
      <c r="BQ312">
        <v>0</v>
      </c>
      <c r="BR312">
        <v>0</v>
      </c>
      <c r="BS312">
        <v>0</v>
      </c>
      <c r="BT312">
        <v>0</v>
      </c>
      <c r="BU312">
        <v>0</v>
      </c>
      <c r="BV312" s="113"/>
    </row>
    <row r="313" spans="1:74" x14ac:dyDescent="0.25">
      <c r="A313" t="s">
        <v>111</v>
      </c>
      <c r="B313">
        <v>4</v>
      </c>
      <c r="C313" t="s">
        <v>7</v>
      </c>
      <c r="D313" s="20">
        <v>18560</v>
      </c>
      <c r="E313" s="20">
        <v>32</v>
      </c>
      <c r="F313" s="20">
        <v>4</v>
      </c>
      <c r="G313" s="20">
        <v>4</v>
      </c>
      <c r="H313" s="79">
        <v>516.74</v>
      </c>
      <c r="I313" s="62">
        <v>8.2493999999999996</v>
      </c>
      <c r="J313" s="16">
        <v>45548</v>
      </c>
      <c r="K313" s="25">
        <v>0.94094907407407402</v>
      </c>
      <c r="L313">
        <v>0</v>
      </c>
      <c r="M313">
        <v>0</v>
      </c>
      <c r="N313">
        <v>0</v>
      </c>
      <c r="O313">
        <v>0</v>
      </c>
      <c r="P313">
        <v>0</v>
      </c>
      <c r="Q313">
        <v>0</v>
      </c>
      <c r="R313">
        <v>0</v>
      </c>
      <c r="S313">
        <v>0</v>
      </c>
      <c r="T313">
        <v>0</v>
      </c>
      <c r="U313">
        <v>0</v>
      </c>
      <c r="V313">
        <v>0</v>
      </c>
      <c r="W313">
        <v>0</v>
      </c>
      <c r="X313" s="80">
        <f>X312</f>
        <v>8.2599400000000003</v>
      </c>
      <c r="Z313" t="s">
        <v>149</v>
      </c>
      <c r="AA313">
        <v>4</v>
      </c>
      <c r="AB313" t="s">
        <v>7</v>
      </c>
      <c r="AC313" s="20">
        <v>17408</v>
      </c>
      <c r="AD313" s="20">
        <v>256</v>
      </c>
      <c r="AE313" s="20">
        <v>4</v>
      </c>
      <c r="AF313" s="20">
        <v>4</v>
      </c>
      <c r="AG313" s="79">
        <v>362.57</v>
      </c>
      <c r="AH313" s="62">
        <v>9.7010000000000005</v>
      </c>
      <c r="AI313" s="16">
        <v>45555</v>
      </c>
      <c r="AJ313" s="25">
        <v>0.63199074074074069</v>
      </c>
      <c r="AK313">
        <v>0</v>
      </c>
      <c r="AL313">
        <v>0</v>
      </c>
      <c r="AM313">
        <v>0</v>
      </c>
      <c r="AN313">
        <v>0</v>
      </c>
      <c r="AO313">
        <v>0</v>
      </c>
      <c r="AP313">
        <v>0</v>
      </c>
      <c r="AQ313">
        <v>0</v>
      </c>
      <c r="AR313">
        <v>0</v>
      </c>
      <c r="AS313">
        <v>0</v>
      </c>
      <c r="AT313">
        <v>0</v>
      </c>
      <c r="AU313">
        <v>0</v>
      </c>
      <c r="AV313">
        <v>0</v>
      </c>
      <c r="AW313" s="80">
        <f>AW312</f>
        <v>9.6955749999999998</v>
      </c>
      <c r="AZ313">
        <v>0</v>
      </c>
      <c r="BB313">
        <v>19488</v>
      </c>
      <c r="BC313">
        <v>224</v>
      </c>
      <c r="BD313">
        <v>1</v>
      </c>
      <c r="BE313">
        <v>16</v>
      </c>
      <c r="BF313"/>
      <c r="BG313" s="23"/>
      <c r="BH313" s="16">
        <v>45502</v>
      </c>
      <c r="BI313" s="18">
        <v>0.28789351851851852</v>
      </c>
      <c r="BJ313" s="23">
        <v>0</v>
      </c>
      <c r="BK313">
        <v>0</v>
      </c>
      <c r="BL313">
        <v>0</v>
      </c>
      <c r="BM313">
        <v>0</v>
      </c>
      <c r="BN313">
        <v>0</v>
      </c>
      <c r="BO313">
        <v>0</v>
      </c>
      <c r="BP313">
        <v>0</v>
      </c>
      <c r="BQ313">
        <v>0</v>
      </c>
      <c r="BR313">
        <v>0</v>
      </c>
      <c r="BS313">
        <v>0</v>
      </c>
      <c r="BT313">
        <v>0</v>
      </c>
      <c r="BU313">
        <v>0</v>
      </c>
      <c r="BV313" s="113" t="e">
        <f t="shared" si="7"/>
        <v>#DIV/0!</v>
      </c>
    </row>
    <row r="314" spans="1:74" x14ac:dyDescent="0.25">
      <c r="A314" t="s">
        <v>111</v>
      </c>
      <c r="B314">
        <v>0</v>
      </c>
      <c r="C314" t="s">
        <v>7</v>
      </c>
      <c r="D314" s="20">
        <v>17536</v>
      </c>
      <c r="E314" s="20">
        <v>32</v>
      </c>
      <c r="F314" s="20">
        <v>4</v>
      </c>
      <c r="G314" s="20">
        <v>4</v>
      </c>
      <c r="H314" s="79">
        <v>446.65</v>
      </c>
      <c r="I314" s="62">
        <v>8.0497999999999994</v>
      </c>
      <c r="J314" s="16">
        <v>45546</v>
      </c>
      <c r="K314" s="25">
        <v>0.31200231481481483</v>
      </c>
      <c r="L314">
        <v>0</v>
      </c>
      <c r="M314">
        <v>0</v>
      </c>
      <c r="N314">
        <v>0</v>
      </c>
      <c r="O314">
        <v>0</v>
      </c>
      <c r="P314">
        <v>0</v>
      </c>
      <c r="Q314">
        <v>0</v>
      </c>
      <c r="R314">
        <v>0</v>
      </c>
      <c r="S314">
        <v>0</v>
      </c>
      <c r="T314">
        <v>0</v>
      </c>
      <c r="U314">
        <v>0</v>
      </c>
      <c r="V314">
        <v>0</v>
      </c>
      <c r="W314">
        <v>0</v>
      </c>
      <c r="X314" s="82">
        <f>AVERAGE(I314:I318)</f>
        <v>8.0392600000000005</v>
      </c>
      <c r="Z314" t="s">
        <v>149</v>
      </c>
      <c r="AA314">
        <v>0</v>
      </c>
      <c r="AB314" t="s">
        <v>7</v>
      </c>
      <c r="AC314" s="20">
        <v>17536</v>
      </c>
      <c r="AD314" s="20">
        <v>32</v>
      </c>
      <c r="AE314" s="20">
        <v>4</v>
      </c>
      <c r="AF314" s="20">
        <v>4</v>
      </c>
      <c r="AG314" s="79">
        <v>377.28</v>
      </c>
      <c r="AH314" s="62">
        <v>9.5299999999999994</v>
      </c>
      <c r="AI314" s="16">
        <v>45557</v>
      </c>
      <c r="AJ314" s="25">
        <v>0.87983796296296302</v>
      </c>
      <c r="AK314">
        <v>0</v>
      </c>
      <c r="AL314">
        <v>0</v>
      </c>
      <c r="AM314">
        <v>0</v>
      </c>
      <c r="AN314">
        <v>0</v>
      </c>
      <c r="AO314">
        <v>0</v>
      </c>
      <c r="AP314">
        <v>0</v>
      </c>
      <c r="AQ314">
        <v>0</v>
      </c>
      <c r="AR314">
        <v>0</v>
      </c>
      <c r="AS314">
        <v>0</v>
      </c>
      <c r="AT314">
        <v>0</v>
      </c>
      <c r="AU314">
        <v>0</v>
      </c>
      <c r="AV314">
        <v>0</v>
      </c>
      <c r="AW314" s="82">
        <f>AVERAGE(AH314:AH317)</f>
        <v>9.5108999999999995</v>
      </c>
      <c r="AZ314">
        <v>1</v>
      </c>
      <c r="BB314">
        <v>19488</v>
      </c>
      <c r="BC314">
        <v>224</v>
      </c>
      <c r="BD314">
        <v>1</v>
      </c>
      <c r="BE314">
        <v>16</v>
      </c>
      <c r="BF314"/>
      <c r="BG314" s="23"/>
      <c r="BH314" s="16">
        <v>45502</v>
      </c>
      <c r="BI314" s="18">
        <v>0.67714120370370368</v>
      </c>
      <c r="BJ314" s="23">
        <v>0</v>
      </c>
      <c r="BK314">
        <v>0</v>
      </c>
      <c r="BL314">
        <v>0</v>
      </c>
      <c r="BM314">
        <v>0</v>
      </c>
      <c r="BN314">
        <v>0</v>
      </c>
      <c r="BO314">
        <v>0</v>
      </c>
      <c r="BP314">
        <v>0</v>
      </c>
      <c r="BQ314">
        <v>0</v>
      </c>
      <c r="BR314">
        <v>0</v>
      </c>
      <c r="BS314">
        <v>0</v>
      </c>
      <c r="BT314">
        <v>0</v>
      </c>
      <c r="BU314">
        <v>0</v>
      </c>
      <c r="BV314" s="113"/>
    </row>
    <row r="315" spans="1:74" x14ac:dyDescent="0.25">
      <c r="A315" t="s">
        <v>111</v>
      </c>
      <c r="B315">
        <v>1</v>
      </c>
      <c r="C315" t="s">
        <v>7</v>
      </c>
      <c r="D315" s="20">
        <v>17536</v>
      </c>
      <c r="E315" s="20">
        <v>32</v>
      </c>
      <c r="F315" s="20">
        <v>4</v>
      </c>
      <c r="G315" s="20">
        <v>4</v>
      </c>
      <c r="H315" s="79">
        <v>448.41</v>
      </c>
      <c r="I315" s="62">
        <v>8.0183</v>
      </c>
      <c r="J315" s="16">
        <v>45546</v>
      </c>
      <c r="K315" s="25">
        <v>0.92866898148148147</v>
      </c>
      <c r="L315">
        <v>0</v>
      </c>
      <c r="M315">
        <v>0</v>
      </c>
      <c r="N315">
        <v>0</v>
      </c>
      <c r="O315">
        <v>0</v>
      </c>
      <c r="P315">
        <v>0</v>
      </c>
      <c r="Q315">
        <v>0</v>
      </c>
      <c r="R315">
        <v>0</v>
      </c>
      <c r="S315">
        <v>0</v>
      </c>
      <c r="T315">
        <v>0</v>
      </c>
      <c r="U315">
        <v>0</v>
      </c>
      <c r="V315">
        <v>0</v>
      </c>
      <c r="W315">
        <v>0</v>
      </c>
      <c r="X315" s="80">
        <f>X314</f>
        <v>8.0392600000000005</v>
      </c>
      <c r="Z315" t="s">
        <v>149</v>
      </c>
      <c r="AA315">
        <v>1</v>
      </c>
      <c r="AB315" t="s">
        <v>7</v>
      </c>
      <c r="AC315" s="20">
        <v>17536</v>
      </c>
      <c r="AD315" s="20">
        <v>32</v>
      </c>
      <c r="AE315" s="20">
        <v>4</v>
      </c>
      <c r="AF315" s="20">
        <v>4</v>
      </c>
      <c r="AG315" s="79">
        <v>376.96</v>
      </c>
      <c r="AH315" s="62">
        <v>9.5381</v>
      </c>
      <c r="AI315" s="16">
        <v>45558</v>
      </c>
      <c r="AJ315" s="25">
        <v>0.37923611111111111</v>
      </c>
      <c r="AK315">
        <v>0</v>
      </c>
      <c r="AL315">
        <v>0</v>
      </c>
      <c r="AM315">
        <v>0</v>
      </c>
      <c r="AN315">
        <v>0</v>
      </c>
      <c r="AO315">
        <v>0</v>
      </c>
      <c r="AP315">
        <v>0</v>
      </c>
      <c r="AQ315">
        <v>0</v>
      </c>
      <c r="AR315">
        <v>0</v>
      </c>
      <c r="AS315">
        <v>0</v>
      </c>
      <c r="AT315">
        <v>0</v>
      </c>
      <c r="AU315">
        <v>0</v>
      </c>
      <c r="AV315">
        <v>0</v>
      </c>
      <c r="AW315" s="80">
        <f>AW314</f>
        <v>9.5108999999999995</v>
      </c>
      <c r="AZ315">
        <v>0</v>
      </c>
      <c r="BA315" t="s">
        <v>7</v>
      </c>
      <c r="BB315">
        <v>17472</v>
      </c>
      <c r="BC315">
        <v>224</v>
      </c>
      <c r="BD315">
        <v>2</v>
      </c>
      <c r="BE315">
        <v>8</v>
      </c>
      <c r="BF315">
        <v>334.54</v>
      </c>
      <c r="BG315" s="23">
        <v>10.63</v>
      </c>
      <c r="BH315" s="16">
        <v>45502</v>
      </c>
      <c r="BI315" s="18">
        <v>1.8831018518518518E-2</v>
      </c>
      <c r="BJ315">
        <v>0</v>
      </c>
      <c r="BK315">
        <v>0</v>
      </c>
      <c r="BL315">
        <v>0</v>
      </c>
      <c r="BM315">
        <v>0</v>
      </c>
      <c r="BN315">
        <v>0</v>
      </c>
      <c r="BO315">
        <v>0</v>
      </c>
      <c r="BP315">
        <v>0</v>
      </c>
      <c r="BQ315">
        <v>0</v>
      </c>
      <c r="BR315">
        <v>0</v>
      </c>
      <c r="BS315">
        <v>0</v>
      </c>
      <c r="BT315">
        <v>0</v>
      </c>
      <c r="BU315">
        <v>0</v>
      </c>
      <c r="BV315" s="113">
        <f t="shared" si="7"/>
        <v>10.64</v>
      </c>
    </row>
    <row r="316" spans="1:74" x14ac:dyDescent="0.25">
      <c r="A316" t="s">
        <v>111</v>
      </c>
      <c r="B316">
        <v>2</v>
      </c>
      <c r="C316" t="s">
        <v>7</v>
      </c>
      <c r="D316" s="20">
        <v>17536</v>
      </c>
      <c r="E316" s="20">
        <v>32</v>
      </c>
      <c r="F316" s="20">
        <v>4</v>
      </c>
      <c r="G316" s="20">
        <v>4</v>
      </c>
      <c r="H316" s="79">
        <v>446.14</v>
      </c>
      <c r="I316" s="62">
        <v>8.0589999999999993</v>
      </c>
      <c r="J316" s="16">
        <v>45547</v>
      </c>
      <c r="K316" s="25">
        <v>0.54401620370370374</v>
      </c>
      <c r="L316">
        <v>0</v>
      </c>
      <c r="M316">
        <v>0</v>
      </c>
      <c r="N316">
        <v>0</v>
      </c>
      <c r="O316">
        <v>0</v>
      </c>
      <c r="P316">
        <v>0</v>
      </c>
      <c r="Q316">
        <v>0</v>
      </c>
      <c r="R316">
        <v>0</v>
      </c>
      <c r="S316">
        <v>0</v>
      </c>
      <c r="T316">
        <v>0</v>
      </c>
      <c r="U316">
        <v>0</v>
      </c>
      <c r="V316">
        <v>0</v>
      </c>
      <c r="W316">
        <v>0</v>
      </c>
      <c r="X316" s="80">
        <f>X315</f>
        <v>8.0392600000000005</v>
      </c>
      <c r="Z316" t="s">
        <v>149</v>
      </c>
      <c r="AA316">
        <v>2</v>
      </c>
      <c r="AB316" t="s">
        <v>7</v>
      </c>
      <c r="AC316" s="20">
        <v>17536</v>
      </c>
      <c r="AD316" s="20">
        <v>32</v>
      </c>
      <c r="AE316" s="20">
        <v>4</v>
      </c>
      <c r="AF316" s="20">
        <v>4</v>
      </c>
      <c r="AG316" s="79">
        <v>378.46</v>
      </c>
      <c r="AH316" s="62">
        <v>9.5002999999999993</v>
      </c>
      <c r="AI316" s="16">
        <v>45558</v>
      </c>
      <c r="AJ316" s="25">
        <v>0.87775462962962958</v>
      </c>
      <c r="AK316">
        <v>0</v>
      </c>
      <c r="AL316">
        <v>0</v>
      </c>
      <c r="AM316">
        <v>0</v>
      </c>
      <c r="AN316">
        <v>0</v>
      </c>
      <c r="AO316">
        <v>0</v>
      </c>
      <c r="AP316">
        <v>0</v>
      </c>
      <c r="AQ316">
        <v>0</v>
      </c>
      <c r="AR316">
        <v>0</v>
      </c>
      <c r="AS316">
        <v>0</v>
      </c>
      <c r="AT316">
        <v>0</v>
      </c>
      <c r="AU316">
        <v>0</v>
      </c>
      <c r="AV316">
        <v>0</v>
      </c>
      <c r="AW316" s="80">
        <f>AW315</f>
        <v>9.5108999999999995</v>
      </c>
      <c r="AZ316">
        <v>1</v>
      </c>
      <c r="BA316" t="s">
        <v>7</v>
      </c>
      <c r="BB316">
        <v>17472</v>
      </c>
      <c r="BC316">
        <v>224</v>
      </c>
      <c r="BD316">
        <v>2</v>
      </c>
      <c r="BE316">
        <v>8</v>
      </c>
      <c r="BF316">
        <v>333.91</v>
      </c>
      <c r="BG316" s="23">
        <v>10.65</v>
      </c>
      <c r="BH316" s="16">
        <v>45502</v>
      </c>
      <c r="BI316" s="18">
        <v>0.40625</v>
      </c>
      <c r="BJ316">
        <v>0</v>
      </c>
      <c r="BK316">
        <v>0</v>
      </c>
      <c r="BL316">
        <v>0</v>
      </c>
      <c r="BM316">
        <v>0</v>
      </c>
      <c r="BN316">
        <v>0</v>
      </c>
      <c r="BO316">
        <v>0</v>
      </c>
      <c r="BP316">
        <v>0</v>
      </c>
      <c r="BQ316">
        <v>0</v>
      </c>
      <c r="BR316">
        <v>0</v>
      </c>
      <c r="BS316">
        <v>0</v>
      </c>
      <c r="BT316">
        <v>0</v>
      </c>
      <c r="BU316">
        <v>0</v>
      </c>
      <c r="BV316" s="113"/>
    </row>
    <row r="317" spans="1:74" x14ac:dyDescent="0.25">
      <c r="A317" t="s">
        <v>111</v>
      </c>
      <c r="B317">
        <v>3</v>
      </c>
      <c r="C317" t="s">
        <v>7</v>
      </c>
      <c r="D317" s="20">
        <v>17536</v>
      </c>
      <c r="E317" s="20">
        <v>32</v>
      </c>
      <c r="F317" s="20">
        <v>4</v>
      </c>
      <c r="G317" s="20">
        <v>4</v>
      </c>
      <c r="H317" s="79">
        <v>450.03</v>
      </c>
      <c r="I317" s="62">
        <v>7.9894999999999996</v>
      </c>
      <c r="J317" s="16">
        <v>45548</v>
      </c>
      <c r="K317" s="25">
        <v>0.20472222222222222</v>
      </c>
      <c r="L317">
        <v>0</v>
      </c>
      <c r="M317">
        <v>0</v>
      </c>
      <c r="N317">
        <v>0</v>
      </c>
      <c r="O317">
        <v>0</v>
      </c>
      <c r="P317">
        <v>0</v>
      </c>
      <c r="Q317">
        <v>0</v>
      </c>
      <c r="R317">
        <v>0</v>
      </c>
      <c r="S317">
        <v>0</v>
      </c>
      <c r="T317">
        <v>0</v>
      </c>
      <c r="U317">
        <v>0</v>
      </c>
      <c r="V317">
        <v>0</v>
      </c>
      <c r="W317">
        <v>0</v>
      </c>
      <c r="X317" s="80">
        <f>X316</f>
        <v>8.0392600000000005</v>
      </c>
      <c r="Z317" t="s">
        <v>149</v>
      </c>
      <c r="AA317">
        <v>3</v>
      </c>
      <c r="AB317" t="s">
        <v>7</v>
      </c>
      <c r="AC317" s="20">
        <v>17536</v>
      </c>
      <c r="AD317" s="20">
        <v>32</v>
      </c>
      <c r="AE317" s="20">
        <v>4</v>
      </c>
      <c r="AF317" s="20">
        <v>4</v>
      </c>
      <c r="AG317" s="79">
        <v>379.46</v>
      </c>
      <c r="AH317" s="62">
        <v>9.4751999999999992</v>
      </c>
      <c r="AI317" s="16">
        <v>45555</v>
      </c>
      <c r="AJ317" s="25">
        <v>4.8726851851851855E-2</v>
      </c>
      <c r="AK317">
        <v>0</v>
      </c>
      <c r="AL317">
        <v>0</v>
      </c>
      <c r="AM317">
        <v>0</v>
      </c>
      <c r="AN317">
        <v>0</v>
      </c>
      <c r="AO317">
        <v>0</v>
      </c>
      <c r="AP317">
        <v>0</v>
      </c>
      <c r="AQ317">
        <v>0</v>
      </c>
      <c r="AR317">
        <v>0</v>
      </c>
      <c r="AS317">
        <v>0</v>
      </c>
      <c r="AT317">
        <v>0</v>
      </c>
      <c r="AU317">
        <v>0</v>
      </c>
      <c r="AV317">
        <v>0</v>
      </c>
      <c r="AW317" s="80">
        <f>AW316</f>
        <v>9.5108999999999995</v>
      </c>
      <c r="AZ317">
        <v>0</v>
      </c>
      <c r="BA317" t="s">
        <v>7</v>
      </c>
      <c r="BB317">
        <v>18368</v>
      </c>
      <c r="BC317">
        <v>224</v>
      </c>
      <c r="BD317">
        <v>2</v>
      </c>
      <c r="BE317">
        <v>8</v>
      </c>
      <c r="BF317">
        <v>375.31</v>
      </c>
      <c r="BG317" s="23">
        <v>11.009</v>
      </c>
      <c r="BH317" s="16">
        <v>45502</v>
      </c>
      <c r="BI317" s="18">
        <v>0.14239583333333333</v>
      </c>
      <c r="BJ317">
        <v>0</v>
      </c>
      <c r="BK317">
        <v>0</v>
      </c>
      <c r="BL317">
        <v>0</v>
      </c>
      <c r="BM317">
        <v>0</v>
      </c>
      <c r="BN317">
        <v>0</v>
      </c>
      <c r="BO317">
        <v>0</v>
      </c>
      <c r="BP317">
        <v>0</v>
      </c>
      <c r="BQ317">
        <v>0</v>
      </c>
      <c r="BR317">
        <v>0</v>
      </c>
      <c r="BS317">
        <v>0</v>
      </c>
      <c r="BT317">
        <v>0</v>
      </c>
      <c r="BU317">
        <v>0</v>
      </c>
      <c r="BV317" s="113">
        <f t="shared" si="7"/>
        <v>11.013</v>
      </c>
    </row>
    <row r="318" spans="1:74" x14ac:dyDescent="0.25">
      <c r="A318" t="s">
        <v>111</v>
      </c>
      <c r="B318">
        <v>4</v>
      </c>
      <c r="C318" t="s">
        <v>7</v>
      </c>
      <c r="D318" s="20">
        <v>17536</v>
      </c>
      <c r="E318" s="20">
        <v>32</v>
      </c>
      <c r="F318" s="20">
        <v>4</v>
      </c>
      <c r="G318" s="20">
        <v>4</v>
      </c>
      <c r="H318" s="79">
        <v>445</v>
      </c>
      <c r="I318" s="62">
        <v>8.0797000000000008</v>
      </c>
      <c r="J318" s="16">
        <v>45548</v>
      </c>
      <c r="K318" s="25">
        <v>0.83270833333333338</v>
      </c>
      <c r="L318">
        <v>0</v>
      </c>
      <c r="M318">
        <v>0</v>
      </c>
      <c r="N318">
        <v>0</v>
      </c>
      <c r="O318">
        <v>0</v>
      </c>
      <c r="P318">
        <v>0</v>
      </c>
      <c r="Q318">
        <v>0</v>
      </c>
      <c r="R318">
        <v>0</v>
      </c>
      <c r="S318">
        <v>0</v>
      </c>
      <c r="T318">
        <v>0</v>
      </c>
      <c r="U318">
        <v>0</v>
      </c>
      <c r="V318">
        <v>0</v>
      </c>
      <c r="W318">
        <v>0</v>
      </c>
      <c r="X318" s="80">
        <f>X317</f>
        <v>8.0392600000000005</v>
      </c>
      <c r="Z318" t="s">
        <v>149</v>
      </c>
      <c r="AA318">
        <v>4</v>
      </c>
      <c r="AB318" t="s">
        <v>7</v>
      </c>
      <c r="AC318" s="20">
        <v>17536</v>
      </c>
      <c r="AD318" s="20">
        <v>32</v>
      </c>
      <c r="AE318" s="20">
        <v>4</v>
      </c>
      <c r="AF318" s="20">
        <v>4</v>
      </c>
      <c r="AG318" s="79">
        <v>376.44</v>
      </c>
      <c r="AH318" s="62">
        <v>9.5512999999999995</v>
      </c>
      <c r="AI318" s="16">
        <v>45555</v>
      </c>
      <c r="AJ318" s="25">
        <v>0.54885416666666664</v>
      </c>
      <c r="AK318">
        <v>0</v>
      </c>
      <c r="AL318">
        <v>0</v>
      </c>
      <c r="AM318">
        <v>0</v>
      </c>
      <c r="AN318">
        <v>0</v>
      </c>
      <c r="AO318">
        <v>0</v>
      </c>
      <c r="AP318">
        <v>0</v>
      </c>
      <c r="AQ318">
        <v>0</v>
      </c>
      <c r="AR318">
        <v>0</v>
      </c>
      <c r="AS318">
        <v>0</v>
      </c>
      <c r="AT318">
        <v>0</v>
      </c>
      <c r="AU318">
        <v>0</v>
      </c>
      <c r="AV318">
        <v>0</v>
      </c>
      <c r="AW318" s="80">
        <f>AW317</f>
        <v>9.5108999999999995</v>
      </c>
      <c r="AZ318">
        <v>1</v>
      </c>
      <c r="BA318" t="s">
        <v>7</v>
      </c>
      <c r="BB318">
        <v>18368</v>
      </c>
      <c r="BC318">
        <v>224</v>
      </c>
      <c r="BD318">
        <v>2</v>
      </c>
      <c r="BE318">
        <v>8</v>
      </c>
      <c r="BF318">
        <v>375.05</v>
      </c>
      <c r="BG318" s="23">
        <v>11.016999999999999</v>
      </c>
      <c r="BH318" s="16">
        <v>45502</v>
      </c>
      <c r="BI318" s="18">
        <v>0.52973379629629624</v>
      </c>
      <c r="BJ318">
        <v>0</v>
      </c>
      <c r="BK318">
        <v>0</v>
      </c>
      <c r="BL318">
        <v>0</v>
      </c>
      <c r="BM318">
        <v>0</v>
      </c>
      <c r="BN318">
        <v>0</v>
      </c>
      <c r="BO318">
        <v>0</v>
      </c>
      <c r="BP318">
        <v>0</v>
      </c>
      <c r="BQ318">
        <v>0</v>
      </c>
      <c r="BR318">
        <v>0</v>
      </c>
      <c r="BS318">
        <v>0</v>
      </c>
      <c r="BT318">
        <v>0</v>
      </c>
      <c r="BU318">
        <v>0</v>
      </c>
      <c r="BV318" s="113"/>
    </row>
    <row r="319" spans="1:74" x14ac:dyDescent="0.25">
      <c r="A319" t="s">
        <v>111</v>
      </c>
      <c r="B319">
        <v>0</v>
      </c>
      <c r="C319" t="s">
        <v>7</v>
      </c>
      <c r="D319" s="20">
        <v>19584</v>
      </c>
      <c r="E319" s="20">
        <v>192</v>
      </c>
      <c r="F319" s="20">
        <v>4</v>
      </c>
      <c r="G319" s="20">
        <v>4</v>
      </c>
      <c r="H319" s="79">
        <v>5196.1400000000003</v>
      </c>
      <c r="I319" s="62">
        <v>0.96379000000000004</v>
      </c>
      <c r="J319" s="16">
        <v>45546</v>
      </c>
      <c r="K319" s="25">
        <v>0.76756944444444442</v>
      </c>
      <c r="L319">
        <v>0</v>
      </c>
      <c r="M319">
        <v>0</v>
      </c>
      <c r="N319">
        <v>0</v>
      </c>
      <c r="O319">
        <v>0</v>
      </c>
      <c r="P319">
        <v>0</v>
      </c>
      <c r="Q319">
        <v>0</v>
      </c>
      <c r="R319">
        <v>0</v>
      </c>
      <c r="S319">
        <v>0</v>
      </c>
      <c r="T319">
        <v>0</v>
      </c>
      <c r="U319">
        <v>0</v>
      </c>
      <c r="V319">
        <v>0</v>
      </c>
      <c r="W319">
        <v>0</v>
      </c>
      <c r="X319" s="82">
        <f>AVERAGE(I319:I323)</f>
        <v>4.6930779999999999</v>
      </c>
      <c r="Z319" t="s">
        <v>149</v>
      </c>
      <c r="AA319">
        <v>0</v>
      </c>
      <c r="AB319" t="s">
        <v>7</v>
      </c>
      <c r="AC319" s="20">
        <v>19584</v>
      </c>
      <c r="AD319" s="20">
        <v>192</v>
      </c>
      <c r="AE319" s="20">
        <v>4</v>
      </c>
      <c r="AF319" s="20">
        <v>4</v>
      </c>
      <c r="AG319" s="79">
        <v>487.15</v>
      </c>
      <c r="AH319" s="62">
        <v>10.28</v>
      </c>
      <c r="AI319" s="16">
        <v>45558</v>
      </c>
      <c r="AJ319" s="25">
        <v>0.26028935185185187</v>
      </c>
      <c r="AK319">
        <v>0</v>
      </c>
      <c r="AL319">
        <v>0</v>
      </c>
      <c r="AM319">
        <v>0</v>
      </c>
      <c r="AN319">
        <v>0</v>
      </c>
      <c r="AO319">
        <v>0</v>
      </c>
      <c r="AP319">
        <v>0</v>
      </c>
      <c r="AQ319">
        <v>0</v>
      </c>
      <c r="AR319">
        <v>0</v>
      </c>
      <c r="AS319">
        <v>0</v>
      </c>
      <c r="AT319">
        <v>0</v>
      </c>
      <c r="AU319">
        <v>0</v>
      </c>
      <c r="AV319">
        <v>0</v>
      </c>
      <c r="AW319" s="82">
        <f>AVERAGE(AH319:AH322)</f>
        <v>8.3969749999999994</v>
      </c>
      <c r="AZ319">
        <v>0</v>
      </c>
      <c r="BA319" t="s">
        <v>7</v>
      </c>
      <c r="BB319">
        <v>19488</v>
      </c>
      <c r="BC319">
        <v>224</v>
      </c>
      <c r="BD319">
        <v>2</v>
      </c>
      <c r="BE319">
        <v>8</v>
      </c>
      <c r="BF319">
        <v>435.32</v>
      </c>
      <c r="BG319" s="23">
        <v>11.336</v>
      </c>
      <c r="BH319" s="16">
        <v>45502</v>
      </c>
      <c r="BI319" s="18">
        <v>0.29317129629629629</v>
      </c>
      <c r="BJ319">
        <v>0</v>
      </c>
      <c r="BK319">
        <v>0</v>
      </c>
      <c r="BL319">
        <v>0</v>
      </c>
      <c r="BM319">
        <v>0</v>
      </c>
      <c r="BN319">
        <v>0</v>
      </c>
      <c r="BO319">
        <v>0</v>
      </c>
      <c r="BP319">
        <v>0</v>
      </c>
      <c r="BQ319">
        <v>0</v>
      </c>
      <c r="BR319">
        <v>0</v>
      </c>
      <c r="BS319">
        <v>0</v>
      </c>
      <c r="BT319">
        <v>0</v>
      </c>
      <c r="BU319">
        <v>0</v>
      </c>
      <c r="BV319" s="113">
        <f t="shared" si="7"/>
        <v>11.285</v>
      </c>
    </row>
    <row r="320" spans="1:74" x14ac:dyDescent="0.25">
      <c r="A320" t="s">
        <v>111</v>
      </c>
      <c r="B320">
        <v>1</v>
      </c>
      <c r="C320" t="s">
        <v>7</v>
      </c>
      <c r="D320" s="20">
        <v>19584</v>
      </c>
      <c r="E320" s="20">
        <v>192</v>
      </c>
      <c r="F320" s="20">
        <v>4</v>
      </c>
      <c r="G320" s="20">
        <v>4</v>
      </c>
      <c r="H320" s="79">
        <v>2168.23</v>
      </c>
      <c r="I320" s="62">
        <v>2.3096999999999999</v>
      </c>
      <c r="J320" s="16">
        <v>45547</v>
      </c>
      <c r="K320" s="25">
        <v>0.37501157407407409</v>
      </c>
      <c r="L320">
        <v>0</v>
      </c>
      <c r="M320">
        <v>0</v>
      </c>
      <c r="N320">
        <v>0</v>
      </c>
      <c r="O320">
        <v>0</v>
      </c>
      <c r="P320">
        <v>0</v>
      </c>
      <c r="Q320">
        <v>0</v>
      </c>
      <c r="R320">
        <v>0</v>
      </c>
      <c r="S320">
        <v>0</v>
      </c>
      <c r="T320">
        <v>0</v>
      </c>
      <c r="U320">
        <v>0</v>
      </c>
      <c r="V320">
        <v>0</v>
      </c>
      <c r="W320">
        <v>0</v>
      </c>
      <c r="X320" s="80">
        <f>X319</f>
        <v>4.6930779999999999</v>
      </c>
      <c r="Z320" t="s">
        <v>149</v>
      </c>
      <c r="AA320">
        <v>1</v>
      </c>
      <c r="AB320" t="s">
        <v>7</v>
      </c>
      <c r="AC320" s="20">
        <v>19584</v>
      </c>
      <c r="AD320" s="20">
        <v>192</v>
      </c>
      <c r="AE320" s="20">
        <v>4</v>
      </c>
      <c r="AF320" s="20">
        <v>4</v>
      </c>
      <c r="AG320" s="79">
        <v>479.79</v>
      </c>
      <c r="AH320" s="62">
        <v>10.438000000000001</v>
      </c>
      <c r="AI320" s="16">
        <v>45558</v>
      </c>
      <c r="AJ320" s="25">
        <v>0.75512731481481477</v>
      </c>
      <c r="AK320">
        <v>0</v>
      </c>
      <c r="AL320">
        <v>0</v>
      </c>
      <c r="AM320">
        <v>0</v>
      </c>
      <c r="AN320">
        <v>0</v>
      </c>
      <c r="AO320">
        <v>0</v>
      </c>
      <c r="AP320">
        <v>0</v>
      </c>
      <c r="AQ320">
        <v>0</v>
      </c>
      <c r="AR320">
        <v>0</v>
      </c>
      <c r="AS320">
        <v>0</v>
      </c>
      <c r="AT320">
        <v>0</v>
      </c>
      <c r="AU320">
        <v>0</v>
      </c>
      <c r="AV320">
        <v>0</v>
      </c>
      <c r="AW320" s="80">
        <f>AW319</f>
        <v>8.3969749999999994</v>
      </c>
      <c r="AZ320">
        <v>1</v>
      </c>
      <c r="BA320" t="s">
        <v>7</v>
      </c>
      <c r="BB320">
        <v>19488</v>
      </c>
      <c r="BC320">
        <v>224</v>
      </c>
      <c r="BD320">
        <v>2</v>
      </c>
      <c r="BE320">
        <v>8</v>
      </c>
      <c r="BF320">
        <v>439.28</v>
      </c>
      <c r="BG320" s="23">
        <v>11.234</v>
      </c>
      <c r="BH320" s="16">
        <v>45502</v>
      </c>
      <c r="BI320" s="18">
        <v>0.6824189814814815</v>
      </c>
      <c r="BJ320">
        <v>0</v>
      </c>
      <c r="BK320">
        <v>0</v>
      </c>
      <c r="BL320">
        <v>0</v>
      </c>
      <c r="BM320">
        <v>0</v>
      </c>
      <c r="BN320">
        <v>0</v>
      </c>
      <c r="BO320">
        <v>0</v>
      </c>
      <c r="BP320">
        <v>0</v>
      </c>
      <c r="BQ320">
        <v>0</v>
      </c>
      <c r="BR320">
        <v>0</v>
      </c>
      <c r="BS320">
        <v>0</v>
      </c>
      <c r="BT320">
        <v>0</v>
      </c>
      <c r="BU320">
        <v>0</v>
      </c>
      <c r="BV320" s="113"/>
    </row>
    <row r="321" spans="1:74" x14ac:dyDescent="0.25">
      <c r="A321" t="s">
        <v>111</v>
      </c>
      <c r="B321">
        <v>2</v>
      </c>
      <c r="C321" t="s">
        <v>7</v>
      </c>
      <c r="D321" s="20">
        <v>19584</v>
      </c>
      <c r="E321" s="20">
        <v>192</v>
      </c>
      <c r="F321" s="20">
        <v>4</v>
      </c>
      <c r="G321" s="20">
        <v>4</v>
      </c>
      <c r="H321" s="79">
        <v>555.04</v>
      </c>
      <c r="I321" s="62">
        <v>9.0228000000000002</v>
      </c>
      <c r="J321" s="16">
        <v>45547</v>
      </c>
      <c r="K321" s="25">
        <v>0.9646527777777778</v>
      </c>
      <c r="L321">
        <v>0</v>
      </c>
      <c r="M321">
        <v>0</v>
      </c>
      <c r="N321">
        <v>0</v>
      </c>
      <c r="O321">
        <v>0</v>
      </c>
      <c r="P321">
        <v>0</v>
      </c>
      <c r="Q321">
        <v>0</v>
      </c>
      <c r="R321">
        <v>0</v>
      </c>
      <c r="S321">
        <v>0</v>
      </c>
      <c r="T321">
        <v>0</v>
      </c>
      <c r="U321">
        <v>0</v>
      </c>
      <c r="V321">
        <v>0</v>
      </c>
      <c r="W321">
        <v>0</v>
      </c>
      <c r="X321" s="80">
        <f>X320</f>
        <v>4.6930779999999999</v>
      </c>
      <c r="Z321" t="s">
        <v>149</v>
      </c>
      <c r="AA321">
        <v>2</v>
      </c>
      <c r="AB321" t="s">
        <v>7</v>
      </c>
      <c r="AC321" s="20">
        <v>19584</v>
      </c>
      <c r="AD321" s="20">
        <v>192</v>
      </c>
      <c r="AE321" s="20">
        <v>4</v>
      </c>
      <c r="AF321" s="20">
        <v>4</v>
      </c>
      <c r="AG321" s="79">
        <v>2104.29</v>
      </c>
      <c r="AH321" s="62">
        <v>2.3799000000000001</v>
      </c>
      <c r="AI321" s="16">
        <v>45554</v>
      </c>
      <c r="AJ321" s="25">
        <v>0.92447916666666663</v>
      </c>
      <c r="AK321">
        <v>0</v>
      </c>
      <c r="AL321">
        <v>0</v>
      </c>
      <c r="AM321">
        <v>0</v>
      </c>
      <c r="AN321">
        <v>0</v>
      </c>
      <c r="AO321">
        <v>0</v>
      </c>
      <c r="AP321">
        <v>0</v>
      </c>
      <c r="AQ321">
        <v>0</v>
      </c>
      <c r="AR321">
        <v>0</v>
      </c>
      <c r="AS321">
        <v>0</v>
      </c>
      <c r="AT321">
        <v>0</v>
      </c>
      <c r="AU321">
        <v>0</v>
      </c>
      <c r="AV321">
        <v>0</v>
      </c>
      <c r="AW321" s="80">
        <f>AW320</f>
        <v>8.3969749999999994</v>
      </c>
      <c r="AZ321">
        <v>0</v>
      </c>
      <c r="BA321" t="s">
        <v>7</v>
      </c>
      <c r="BB321">
        <v>17472</v>
      </c>
      <c r="BC321">
        <v>224</v>
      </c>
      <c r="BD321">
        <v>4</v>
      </c>
      <c r="BE321">
        <v>4</v>
      </c>
      <c r="BF321">
        <v>408.94</v>
      </c>
      <c r="BG321" s="23">
        <v>8.6961999999999993</v>
      </c>
      <c r="BH321" s="16">
        <v>45502</v>
      </c>
      <c r="BI321" s="18">
        <v>2.3703703703703703E-2</v>
      </c>
      <c r="BJ321">
        <v>0</v>
      </c>
      <c r="BK321">
        <v>0</v>
      </c>
      <c r="BL321">
        <v>0</v>
      </c>
      <c r="BM321">
        <v>0</v>
      </c>
      <c r="BN321">
        <v>0</v>
      </c>
      <c r="BO321">
        <v>0</v>
      </c>
      <c r="BP321">
        <v>0</v>
      </c>
      <c r="BQ321">
        <v>0</v>
      </c>
      <c r="BR321">
        <v>0</v>
      </c>
      <c r="BS321">
        <v>0</v>
      </c>
      <c r="BT321">
        <v>0</v>
      </c>
      <c r="BU321">
        <v>0</v>
      </c>
      <c r="BV321" s="113">
        <f t="shared" si="7"/>
        <v>8.6911500000000004</v>
      </c>
    </row>
    <row r="322" spans="1:74" x14ac:dyDescent="0.25">
      <c r="A322" t="s">
        <v>111</v>
      </c>
      <c r="B322">
        <v>3</v>
      </c>
      <c r="C322" t="s">
        <v>7</v>
      </c>
      <c r="D322" s="20">
        <v>19584</v>
      </c>
      <c r="E322" s="20">
        <v>192</v>
      </c>
      <c r="F322" s="20">
        <v>4</v>
      </c>
      <c r="G322" s="20">
        <v>4</v>
      </c>
      <c r="H322" s="79">
        <v>531.29</v>
      </c>
      <c r="I322" s="62">
        <v>9.4261999999999997</v>
      </c>
      <c r="J322" s="16">
        <v>45548</v>
      </c>
      <c r="K322" s="25">
        <v>0.62315972222222227</v>
      </c>
      <c r="L322">
        <v>0</v>
      </c>
      <c r="M322">
        <v>0</v>
      </c>
      <c r="N322">
        <v>0</v>
      </c>
      <c r="O322">
        <v>0</v>
      </c>
      <c r="P322">
        <v>0</v>
      </c>
      <c r="Q322">
        <v>0</v>
      </c>
      <c r="R322">
        <v>0</v>
      </c>
      <c r="S322">
        <v>0</v>
      </c>
      <c r="T322">
        <v>0</v>
      </c>
      <c r="U322">
        <v>0</v>
      </c>
      <c r="V322">
        <v>0</v>
      </c>
      <c r="W322">
        <v>0</v>
      </c>
      <c r="X322" s="80">
        <f>X321</f>
        <v>4.6930779999999999</v>
      </c>
      <c r="Z322" t="s">
        <v>149</v>
      </c>
      <c r="AA322">
        <v>3</v>
      </c>
      <c r="AB322" t="s">
        <v>7</v>
      </c>
      <c r="AC322" s="20">
        <v>19584</v>
      </c>
      <c r="AD322" s="20">
        <v>192</v>
      </c>
      <c r="AE322" s="20">
        <v>4</v>
      </c>
      <c r="AF322" s="20">
        <v>4</v>
      </c>
      <c r="AG322" s="79">
        <v>477.4</v>
      </c>
      <c r="AH322" s="62">
        <v>10.49</v>
      </c>
      <c r="AI322" s="16">
        <v>45555</v>
      </c>
      <c r="AJ322" s="25">
        <v>0.42518518518518517</v>
      </c>
      <c r="AK322">
        <v>0</v>
      </c>
      <c r="AL322">
        <v>0</v>
      </c>
      <c r="AM322">
        <v>0</v>
      </c>
      <c r="AN322">
        <v>0</v>
      </c>
      <c r="AO322">
        <v>0</v>
      </c>
      <c r="AP322">
        <v>0</v>
      </c>
      <c r="AQ322">
        <v>0</v>
      </c>
      <c r="AR322">
        <v>0</v>
      </c>
      <c r="AS322">
        <v>0</v>
      </c>
      <c r="AT322">
        <v>0</v>
      </c>
      <c r="AU322">
        <v>0</v>
      </c>
      <c r="AV322">
        <v>0</v>
      </c>
      <c r="AW322" s="80">
        <f>AW321</f>
        <v>8.3969749999999994</v>
      </c>
      <c r="AZ322">
        <v>1</v>
      </c>
      <c r="BA322" t="s">
        <v>7</v>
      </c>
      <c r="BB322">
        <v>17472</v>
      </c>
      <c r="BC322">
        <v>224</v>
      </c>
      <c r="BD322">
        <v>4</v>
      </c>
      <c r="BE322">
        <v>4</v>
      </c>
      <c r="BF322">
        <v>409.42</v>
      </c>
      <c r="BG322" s="23">
        <v>8.6860999999999997</v>
      </c>
      <c r="BH322" s="16">
        <v>45502</v>
      </c>
      <c r="BI322" s="18">
        <v>0.41113425925925928</v>
      </c>
      <c r="BJ322">
        <v>0</v>
      </c>
      <c r="BK322">
        <v>0</v>
      </c>
      <c r="BL322">
        <v>0</v>
      </c>
      <c r="BM322">
        <v>0</v>
      </c>
      <c r="BN322">
        <v>0</v>
      </c>
      <c r="BO322">
        <v>0</v>
      </c>
      <c r="BP322">
        <v>0</v>
      </c>
      <c r="BQ322">
        <v>0</v>
      </c>
      <c r="BR322">
        <v>0</v>
      </c>
      <c r="BS322">
        <v>0</v>
      </c>
      <c r="BT322">
        <v>0</v>
      </c>
      <c r="BU322">
        <v>0</v>
      </c>
      <c r="BV322" s="113"/>
    </row>
    <row r="323" spans="1:74" x14ac:dyDescent="0.25">
      <c r="A323" t="s">
        <v>111</v>
      </c>
      <c r="B323">
        <v>4</v>
      </c>
      <c r="C323" t="s">
        <v>7</v>
      </c>
      <c r="D323" s="20">
        <v>19584</v>
      </c>
      <c r="E323" s="20">
        <v>192</v>
      </c>
      <c r="F323" s="20">
        <v>4</v>
      </c>
      <c r="G323" s="20">
        <v>4</v>
      </c>
      <c r="H323" s="79">
        <v>2873.42</v>
      </c>
      <c r="I323" s="62">
        <v>1.7428999999999999</v>
      </c>
      <c r="J323" s="16">
        <v>45549</v>
      </c>
      <c r="K323" s="25">
        <v>0.29626157407407405</v>
      </c>
      <c r="L323">
        <v>0</v>
      </c>
      <c r="M323">
        <v>0</v>
      </c>
      <c r="N323">
        <v>0</v>
      </c>
      <c r="O323">
        <v>0</v>
      </c>
      <c r="P323">
        <v>0</v>
      </c>
      <c r="Q323">
        <v>0</v>
      </c>
      <c r="R323">
        <v>0</v>
      </c>
      <c r="S323">
        <v>0</v>
      </c>
      <c r="T323">
        <v>0</v>
      </c>
      <c r="U323">
        <v>0</v>
      </c>
      <c r="V323">
        <v>0</v>
      </c>
      <c r="W323">
        <v>0</v>
      </c>
      <c r="X323" s="80">
        <f>X322</f>
        <v>4.6930779999999999</v>
      </c>
      <c r="Z323" t="s">
        <v>149</v>
      </c>
      <c r="AA323">
        <v>4</v>
      </c>
      <c r="AB323" t="s">
        <v>7</v>
      </c>
      <c r="AC323" s="20">
        <v>19584</v>
      </c>
      <c r="AD323" s="20">
        <v>192</v>
      </c>
      <c r="AE323" s="20">
        <v>4</v>
      </c>
      <c r="AF323" s="20">
        <v>4</v>
      </c>
      <c r="AG323" s="79">
        <v>481.54</v>
      </c>
      <c r="AH323" s="62">
        <v>10.4</v>
      </c>
      <c r="AI323" s="16">
        <v>45555</v>
      </c>
      <c r="AJ323" s="25">
        <v>0.93398148148148152</v>
      </c>
      <c r="AK323">
        <v>0</v>
      </c>
      <c r="AL323">
        <v>0</v>
      </c>
      <c r="AM323">
        <v>0</v>
      </c>
      <c r="AN323">
        <v>0</v>
      </c>
      <c r="AO323">
        <v>0</v>
      </c>
      <c r="AP323">
        <v>0</v>
      </c>
      <c r="AQ323">
        <v>0</v>
      </c>
      <c r="AR323">
        <v>0</v>
      </c>
      <c r="AS323">
        <v>0</v>
      </c>
      <c r="AT323">
        <v>0</v>
      </c>
      <c r="AU323">
        <v>0</v>
      </c>
      <c r="AV323">
        <v>0</v>
      </c>
      <c r="AW323" s="80">
        <f>AW322</f>
        <v>8.3969749999999994</v>
      </c>
      <c r="AZ323">
        <v>0</v>
      </c>
      <c r="BA323" t="s">
        <v>7</v>
      </c>
      <c r="BB323">
        <v>18368</v>
      </c>
      <c r="BC323">
        <v>224</v>
      </c>
      <c r="BD323">
        <v>4</v>
      </c>
      <c r="BE323">
        <v>4</v>
      </c>
      <c r="BF323">
        <v>462.44</v>
      </c>
      <c r="BG323" s="23">
        <v>8.9350000000000005</v>
      </c>
      <c r="BH323" s="16">
        <v>45502</v>
      </c>
      <c r="BI323" s="18">
        <v>0.14791666666666667</v>
      </c>
      <c r="BJ323">
        <v>0</v>
      </c>
      <c r="BK323">
        <v>0</v>
      </c>
      <c r="BL323">
        <v>0</v>
      </c>
      <c r="BM323">
        <v>0</v>
      </c>
      <c r="BN323">
        <v>0</v>
      </c>
      <c r="BO323">
        <v>0</v>
      </c>
      <c r="BP323">
        <v>0</v>
      </c>
      <c r="BQ323">
        <v>0</v>
      </c>
      <c r="BR323">
        <v>0</v>
      </c>
      <c r="BS323">
        <v>0</v>
      </c>
      <c r="BT323">
        <v>0</v>
      </c>
      <c r="BU323">
        <v>0</v>
      </c>
      <c r="BV323" s="113">
        <f t="shared" si="7"/>
        <v>8.95655</v>
      </c>
    </row>
    <row r="324" spans="1:74" x14ac:dyDescent="0.25">
      <c r="A324" t="s">
        <v>111</v>
      </c>
      <c r="B324">
        <v>0</v>
      </c>
      <c r="C324" t="s">
        <v>7</v>
      </c>
      <c r="D324" s="20">
        <v>19456</v>
      </c>
      <c r="E324" s="20">
        <v>256</v>
      </c>
      <c r="F324" s="20">
        <v>2</v>
      </c>
      <c r="G324" s="20">
        <v>8</v>
      </c>
      <c r="H324" s="79">
        <v>2261.0300000000002</v>
      </c>
      <c r="I324" s="62">
        <v>2.1718000000000002</v>
      </c>
      <c r="J324" s="16">
        <v>45546</v>
      </c>
      <c r="K324" s="25">
        <v>0.89467592592592593</v>
      </c>
      <c r="L324">
        <v>0</v>
      </c>
      <c r="M324">
        <v>0</v>
      </c>
      <c r="N324">
        <v>0</v>
      </c>
      <c r="O324">
        <v>0</v>
      </c>
      <c r="P324">
        <v>0</v>
      </c>
      <c r="Q324">
        <v>0</v>
      </c>
      <c r="R324">
        <v>0</v>
      </c>
      <c r="S324">
        <v>0</v>
      </c>
      <c r="T324">
        <v>0</v>
      </c>
      <c r="U324">
        <v>0</v>
      </c>
      <c r="V324">
        <v>0</v>
      </c>
      <c r="W324">
        <v>0</v>
      </c>
      <c r="X324" s="82">
        <f>AVERAGE(I324:I328)</f>
        <v>2.9276199999999997</v>
      </c>
      <c r="Z324" t="s">
        <v>149</v>
      </c>
      <c r="AA324">
        <v>0</v>
      </c>
      <c r="AB324" t="s">
        <v>7</v>
      </c>
      <c r="AC324" s="20">
        <v>19584</v>
      </c>
      <c r="AD324" s="20">
        <v>96</v>
      </c>
      <c r="AE324" s="20">
        <v>1</v>
      </c>
      <c r="AF324" s="20">
        <v>16</v>
      </c>
      <c r="AG324" s="79">
        <v>472.81</v>
      </c>
      <c r="AH324" s="62">
        <v>10.592000000000001</v>
      </c>
      <c r="AI324" s="16">
        <v>45558</v>
      </c>
      <c r="AJ324" s="25">
        <v>0.12460648148148148</v>
      </c>
      <c r="AK324">
        <v>0</v>
      </c>
      <c r="AL324">
        <v>0</v>
      </c>
      <c r="AM324">
        <v>0</v>
      </c>
      <c r="AN324">
        <v>0</v>
      </c>
      <c r="AO324">
        <v>0</v>
      </c>
      <c r="AP324">
        <v>0</v>
      </c>
      <c r="AQ324">
        <v>0</v>
      </c>
      <c r="AR324">
        <v>0</v>
      </c>
      <c r="AS324">
        <v>0</v>
      </c>
      <c r="AT324">
        <v>0</v>
      </c>
      <c r="AU324">
        <v>0</v>
      </c>
      <c r="AV324">
        <v>0</v>
      </c>
      <c r="AW324" s="82">
        <f>AVERAGE(AH324:AH327)</f>
        <v>6.9175500000000003</v>
      </c>
      <c r="AZ324">
        <v>1</v>
      </c>
      <c r="BA324" t="s">
        <v>7</v>
      </c>
      <c r="BB324">
        <v>18368</v>
      </c>
      <c r="BC324">
        <v>224</v>
      </c>
      <c r="BD324">
        <v>4</v>
      </c>
      <c r="BE324">
        <v>4</v>
      </c>
      <c r="BF324">
        <v>460.22</v>
      </c>
      <c r="BG324" s="23">
        <v>8.9780999999999995</v>
      </c>
      <c r="BH324" s="16">
        <v>45502</v>
      </c>
      <c r="BI324" s="18">
        <v>0.53521990740740744</v>
      </c>
      <c r="BJ324">
        <v>0</v>
      </c>
      <c r="BK324">
        <v>0</v>
      </c>
      <c r="BL324">
        <v>0</v>
      </c>
      <c r="BM324">
        <v>0</v>
      </c>
      <c r="BN324">
        <v>0</v>
      </c>
      <c r="BO324">
        <v>0</v>
      </c>
      <c r="BP324">
        <v>0</v>
      </c>
      <c r="BQ324">
        <v>0</v>
      </c>
      <c r="BR324">
        <v>0</v>
      </c>
      <c r="BS324">
        <v>0</v>
      </c>
      <c r="BT324">
        <v>0</v>
      </c>
      <c r="BU324">
        <v>0</v>
      </c>
      <c r="BV324" s="113"/>
    </row>
    <row r="325" spans="1:74" x14ac:dyDescent="0.25">
      <c r="A325" t="s">
        <v>111</v>
      </c>
      <c r="B325">
        <v>1</v>
      </c>
      <c r="C325" t="s">
        <v>7</v>
      </c>
      <c r="D325" s="20">
        <v>19456</v>
      </c>
      <c r="E325" s="20">
        <v>256</v>
      </c>
      <c r="F325" s="20">
        <v>2</v>
      </c>
      <c r="G325" s="20">
        <v>8</v>
      </c>
      <c r="H325" s="79">
        <v>2387.13</v>
      </c>
      <c r="I325" s="62">
        <v>2.0569999999999999</v>
      </c>
      <c r="J325" s="16">
        <v>45547</v>
      </c>
      <c r="K325" s="25">
        <v>0.50987268518518514</v>
      </c>
      <c r="L325">
        <v>0</v>
      </c>
      <c r="M325">
        <v>0</v>
      </c>
      <c r="N325">
        <v>0</v>
      </c>
      <c r="O325">
        <v>0</v>
      </c>
      <c r="P325">
        <v>0</v>
      </c>
      <c r="Q325">
        <v>0</v>
      </c>
      <c r="R325">
        <v>0</v>
      </c>
      <c r="S325">
        <v>0</v>
      </c>
      <c r="T325">
        <v>0</v>
      </c>
      <c r="U325">
        <v>0</v>
      </c>
      <c r="V325">
        <v>0</v>
      </c>
      <c r="W325">
        <v>0</v>
      </c>
      <c r="X325" s="80">
        <f>X324</f>
        <v>2.9276199999999997</v>
      </c>
      <c r="Z325" t="s">
        <v>149</v>
      </c>
      <c r="AA325">
        <v>1</v>
      </c>
      <c r="AB325" t="s">
        <v>7</v>
      </c>
      <c r="AC325" s="20">
        <v>19584</v>
      </c>
      <c r="AD325" s="20">
        <v>96</v>
      </c>
      <c r="AE325" s="20">
        <v>1</v>
      </c>
      <c r="AF325" s="20">
        <v>16</v>
      </c>
      <c r="AG325" s="79">
        <v>450.6</v>
      </c>
      <c r="AH325" s="62">
        <v>11.114000000000001</v>
      </c>
      <c r="AI325" s="16">
        <v>45558</v>
      </c>
      <c r="AJ325" s="25">
        <v>0.61761574074074077</v>
      </c>
      <c r="AK325">
        <v>0</v>
      </c>
      <c r="AL325">
        <v>0</v>
      </c>
      <c r="AM325">
        <v>0</v>
      </c>
      <c r="AN325">
        <v>0</v>
      </c>
      <c r="AO325">
        <v>0</v>
      </c>
      <c r="AP325">
        <v>0</v>
      </c>
      <c r="AQ325">
        <v>0</v>
      </c>
      <c r="AR325">
        <v>0</v>
      </c>
      <c r="AS325">
        <v>0</v>
      </c>
      <c r="AT325">
        <v>0</v>
      </c>
      <c r="AU325">
        <v>0</v>
      </c>
      <c r="AV325">
        <v>0</v>
      </c>
      <c r="AW325" s="80">
        <f>AW324</f>
        <v>6.9175500000000003</v>
      </c>
      <c r="AZ325">
        <v>0</v>
      </c>
      <c r="BA325" t="s">
        <v>7</v>
      </c>
      <c r="BB325">
        <v>19488</v>
      </c>
      <c r="BC325">
        <v>224</v>
      </c>
      <c r="BD325">
        <v>4</v>
      </c>
      <c r="BE325">
        <v>4</v>
      </c>
      <c r="BF325">
        <v>529.49</v>
      </c>
      <c r="BG325" s="23">
        <v>9.3198000000000008</v>
      </c>
      <c r="BH325" s="16">
        <v>45502</v>
      </c>
      <c r="BI325" s="18">
        <v>0.29949074074074072</v>
      </c>
      <c r="BJ325">
        <v>0</v>
      </c>
      <c r="BK325">
        <v>0</v>
      </c>
      <c r="BL325">
        <v>0</v>
      </c>
      <c r="BM325">
        <v>0</v>
      </c>
      <c r="BN325">
        <v>0</v>
      </c>
      <c r="BO325">
        <v>0</v>
      </c>
      <c r="BP325">
        <v>0</v>
      </c>
      <c r="BQ325">
        <v>0</v>
      </c>
      <c r="BR325">
        <v>0</v>
      </c>
      <c r="BS325">
        <v>0</v>
      </c>
      <c r="BT325">
        <v>0</v>
      </c>
      <c r="BU325">
        <v>0</v>
      </c>
      <c r="BV325" s="113">
        <f t="shared" si="7"/>
        <v>9.2867999999999995</v>
      </c>
    </row>
    <row r="326" spans="1:74" x14ac:dyDescent="0.25">
      <c r="A326" t="s">
        <v>111</v>
      </c>
      <c r="B326">
        <v>2</v>
      </c>
      <c r="C326" t="s">
        <v>7</v>
      </c>
      <c r="D326" s="20">
        <v>19456</v>
      </c>
      <c r="E326" s="20">
        <v>256</v>
      </c>
      <c r="F326" s="20">
        <v>2</v>
      </c>
      <c r="G326" s="20">
        <v>8</v>
      </c>
      <c r="H326" s="79">
        <v>1799.34</v>
      </c>
      <c r="I326" s="62">
        <v>2.7290000000000001</v>
      </c>
      <c r="J326" s="16">
        <v>45548</v>
      </c>
      <c r="K326" s="25">
        <v>0.10791666666666666</v>
      </c>
      <c r="L326">
        <v>0</v>
      </c>
      <c r="M326">
        <v>0</v>
      </c>
      <c r="N326">
        <v>0</v>
      </c>
      <c r="O326">
        <v>0</v>
      </c>
      <c r="P326">
        <v>0</v>
      </c>
      <c r="Q326">
        <v>0</v>
      </c>
      <c r="R326">
        <v>0</v>
      </c>
      <c r="S326">
        <v>0</v>
      </c>
      <c r="T326">
        <v>0</v>
      </c>
      <c r="U326">
        <v>0</v>
      </c>
      <c r="V326">
        <v>0</v>
      </c>
      <c r="W326">
        <v>0</v>
      </c>
      <c r="X326" s="80">
        <f>X325</f>
        <v>2.9276199999999997</v>
      </c>
      <c r="Z326" t="s">
        <v>149</v>
      </c>
      <c r="AA326">
        <v>2</v>
      </c>
      <c r="AB326" t="s">
        <v>7</v>
      </c>
      <c r="AC326" s="20">
        <v>19584</v>
      </c>
      <c r="AD326" s="20">
        <v>96</v>
      </c>
      <c r="AE326" s="20">
        <v>1</v>
      </c>
      <c r="AF326" s="20">
        <v>16</v>
      </c>
      <c r="AG326" s="79">
        <v>1711.83</v>
      </c>
      <c r="AH326" s="62">
        <v>2.9255</v>
      </c>
      <c r="AI326" s="16">
        <v>45554</v>
      </c>
      <c r="AJ326" s="25">
        <v>0.77680555555555553</v>
      </c>
      <c r="AK326">
        <v>0</v>
      </c>
      <c r="AL326">
        <v>0</v>
      </c>
      <c r="AM326">
        <v>0</v>
      </c>
      <c r="AN326">
        <v>0</v>
      </c>
      <c r="AO326">
        <v>0</v>
      </c>
      <c r="AP326">
        <v>0</v>
      </c>
      <c r="AQ326">
        <v>0</v>
      </c>
      <c r="AR326">
        <v>0</v>
      </c>
      <c r="AS326">
        <v>0</v>
      </c>
      <c r="AT326">
        <v>0</v>
      </c>
      <c r="AU326">
        <v>0</v>
      </c>
      <c r="AV326">
        <v>0</v>
      </c>
      <c r="AW326" s="80">
        <f>AW325</f>
        <v>6.9175500000000003</v>
      </c>
      <c r="AZ326">
        <v>1</v>
      </c>
      <c r="BA326" t="s">
        <v>7</v>
      </c>
      <c r="BB326">
        <v>19488</v>
      </c>
      <c r="BC326">
        <v>224</v>
      </c>
      <c r="BD326">
        <v>4</v>
      </c>
      <c r="BE326">
        <v>4</v>
      </c>
      <c r="BF326">
        <v>533.26</v>
      </c>
      <c r="BG326" s="23">
        <v>9.2538</v>
      </c>
      <c r="BH326" s="16">
        <v>45502</v>
      </c>
      <c r="BI326" s="18">
        <v>0.68879629629629635</v>
      </c>
      <c r="BJ326">
        <v>0</v>
      </c>
      <c r="BK326">
        <v>0</v>
      </c>
      <c r="BL326">
        <v>0</v>
      </c>
      <c r="BM326">
        <v>0</v>
      </c>
      <c r="BN326">
        <v>0</v>
      </c>
      <c r="BO326">
        <v>0</v>
      </c>
      <c r="BP326">
        <v>0</v>
      </c>
      <c r="BQ326">
        <v>0</v>
      </c>
      <c r="BR326">
        <v>0</v>
      </c>
      <c r="BS326">
        <v>0</v>
      </c>
      <c r="BT326">
        <v>0</v>
      </c>
      <c r="BU326">
        <v>0</v>
      </c>
      <c r="BV326" s="113"/>
    </row>
    <row r="327" spans="1:74" x14ac:dyDescent="0.25">
      <c r="A327" t="s">
        <v>111</v>
      </c>
      <c r="B327">
        <v>3</v>
      </c>
      <c r="C327" t="s">
        <v>7</v>
      </c>
      <c r="D327" s="20">
        <v>19456</v>
      </c>
      <c r="E327" s="20">
        <v>256</v>
      </c>
      <c r="F327" s="20">
        <v>2</v>
      </c>
      <c r="G327" s="20">
        <v>8</v>
      </c>
      <c r="H327" s="79">
        <v>1506.73</v>
      </c>
      <c r="I327" s="62">
        <v>3.2589999999999999</v>
      </c>
      <c r="J327" s="16">
        <v>45548</v>
      </c>
      <c r="K327" s="25">
        <v>0.73868055555555556</v>
      </c>
      <c r="L327">
        <v>0</v>
      </c>
      <c r="M327">
        <v>0</v>
      </c>
      <c r="N327">
        <v>0</v>
      </c>
      <c r="O327">
        <v>0</v>
      </c>
      <c r="P327">
        <v>0</v>
      </c>
      <c r="Q327">
        <v>0</v>
      </c>
      <c r="R327">
        <v>0</v>
      </c>
      <c r="S327">
        <v>0</v>
      </c>
      <c r="T327">
        <v>0</v>
      </c>
      <c r="U327">
        <v>0</v>
      </c>
      <c r="V327">
        <v>0</v>
      </c>
      <c r="W327">
        <v>0</v>
      </c>
      <c r="X327" s="80">
        <f>X326</f>
        <v>2.9276199999999997</v>
      </c>
      <c r="Z327" t="s">
        <v>149</v>
      </c>
      <c r="AA327">
        <v>3</v>
      </c>
      <c r="AB327" t="s">
        <v>7</v>
      </c>
      <c r="AC327" s="20">
        <v>19584</v>
      </c>
      <c r="AD327" s="20">
        <v>96</v>
      </c>
      <c r="AE327" s="20">
        <v>1</v>
      </c>
      <c r="AF327" s="20">
        <v>16</v>
      </c>
      <c r="AG327" s="79">
        <v>1648.06</v>
      </c>
      <c r="AH327" s="62">
        <v>3.0387</v>
      </c>
      <c r="AI327" s="16">
        <v>45555</v>
      </c>
      <c r="AJ327" s="25">
        <v>0.30167824074074073</v>
      </c>
      <c r="AK327">
        <v>0</v>
      </c>
      <c r="AL327">
        <v>0</v>
      </c>
      <c r="AM327">
        <v>0</v>
      </c>
      <c r="AN327">
        <v>0</v>
      </c>
      <c r="AO327">
        <v>0</v>
      </c>
      <c r="AP327">
        <v>0</v>
      </c>
      <c r="AQ327">
        <v>0</v>
      </c>
      <c r="AR327">
        <v>0</v>
      </c>
      <c r="AS327">
        <v>0</v>
      </c>
      <c r="AT327">
        <v>0</v>
      </c>
      <c r="AU327">
        <v>0</v>
      </c>
      <c r="AV327">
        <v>0</v>
      </c>
      <c r="AW327" s="80">
        <f>AW326</f>
        <v>6.9175500000000003</v>
      </c>
      <c r="AZ327">
        <v>0</v>
      </c>
      <c r="BA327" t="s">
        <v>7</v>
      </c>
      <c r="BB327">
        <v>17408</v>
      </c>
      <c r="BC327">
        <v>256</v>
      </c>
      <c r="BD327">
        <v>1</v>
      </c>
      <c r="BE327">
        <v>16</v>
      </c>
      <c r="BF327">
        <v>392.84</v>
      </c>
      <c r="BG327" s="23">
        <v>8.9534000000000002</v>
      </c>
      <c r="BH327" s="16">
        <v>45502</v>
      </c>
      <c r="BI327" s="18">
        <v>2.8425925925925927E-2</v>
      </c>
      <c r="BJ327">
        <v>0</v>
      </c>
      <c r="BK327">
        <v>0</v>
      </c>
      <c r="BL327">
        <v>0</v>
      </c>
      <c r="BM327">
        <v>0</v>
      </c>
      <c r="BN327">
        <v>0</v>
      </c>
      <c r="BO327">
        <v>0</v>
      </c>
      <c r="BP327">
        <v>0</v>
      </c>
      <c r="BQ327">
        <v>0</v>
      </c>
      <c r="BR327">
        <v>0</v>
      </c>
      <c r="BS327">
        <v>0</v>
      </c>
      <c r="BT327">
        <v>0</v>
      </c>
      <c r="BU327">
        <v>0</v>
      </c>
      <c r="BV327" s="113">
        <f t="shared" si="7"/>
        <v>8.9567000000000014</v>
      </c>
    </row>
    <row r="328" spans="1:74" x14ac:dyDescent="0.25">
      <c r="A328" t="s">
        <v>111</v>
      </c>
      <c r="B328">
        <v>4</v>
      </c>
      <c r="C328" t="s">
        <v>7</v>
      </c>
      <c r="D328" s="20">
        <v>19456</v>
      </c>
      <c r="E328" s="20">
        <v>256</v>
      </c>
      <c r="F328" s="20">
        <v>2</v>
      </c>
      <c r="G328" s="20">
        <v>8</v>
      </c>
      <c r="H328" s="79">
        <v>1110.6300000000001</v>
      </c>
      <c r="I328" s="62">
        <v>4.4212999999999996</v>
      </c>
      <c r="J328" s="16">
        <v>45549</v>
      </c>
      <c r="K328" s="25">
        <v>0.42</v>
      </c>
      <c r="L328">
        <v>0</v>
      </c>
      <c r="M328">
        <v>0</v>
      </c>
      <c r="N328">
        <v>0</v>
      </c>
      <c r="O328">
        <v>0</v>
      </c>
      <c r="P328">
        <v>0</v>
      </c>
      <c r="Q328">
        <v>0</v>
      </c>
      <c r="R328">
        <v>0</v>
      </c>
      <c r="S328">
        <v>0</v>
      </c>
      <c r="T328">
        <v>0</v>
      </c>
      <c r="U328">
        <v>0</v>
      </c>
      <c r="V328">
        <v>0</v>
      </c>
      <c r="W328">
        <v>0</v>
      </c>
      <c r="X328" s="80">
        <f>X327</f>
        <v>2.9276199999999997</v>
      </c>
      <c r="Z328" t="s">
        <v>149</v>
      </c>
      <c r="AA328">
        <v>4</v>
      </c>
      <c r="AB328" t="s">
        <v>7</v>
      </c>
      <c r="AC328" s="20">
        <v>19584</v>
      </c>
      <c r="AD328" s="20">
        <v>96</v>
      </c>
      <c r="AE328" s="20">
        <v>1</v>
      </c>
      <c r="AF328" s="20">
        <v>16</v>
      </c>
      <c r="AG328" s="79">
        <v>448.44</v>
      </c>
      <c r="AH328" s="62">
        <v>11.167999999999999</v>
      </c>
      <c r="AI328" s="16">
        <v>45555</v>
      </c>
      <c r="AJ328" s="25">
        <v>0.79583333333333328</v>
      </c>
      <c r="AK328">
        <v>0</v>
      </c>
      <c r="AL328">
        <v>0</v>
      </c>
      <c r="AM328">
        <v>0</v>
      </c>
      <c r="AN328">
        <v>0</v>
      </c>
      <c r="AO328">
        <v>0</v>
      </c>
      <c r="AP328">
        <v>0</v>
      </c>
      <c r="AQ328">
        <v>0</v>
      </c>
      <c r="AR328">
        <v>0</v>
      </c>
      <c r="AS328">
        <v>0</v>
      </c>
      <c r="AT328">
        <v>0</v>
      </c>
      <c r="AU328">
        <v>0</v>
      </c>
      <c r="AV328">
        <v>0</v>
      </c>
      <c r="AW328" s="80">
        <f>AW327</f>
        <v>6.9175500000000003</v>
      </c>
      <c r="AZ328">
        <v>1</v>
      </c>
      <c r="BA328" t="s">
        <v>7</v>
      </c>
      <c r="BB328">
        <v>17408</v>
      </c>
      <c r="BC328">
        <v>256</v>
      </c>
      <c r="BD328">
        <v>1</v>
      </c>
      <c r="BE328">
        <v>16</v>
      </c>
      <c r="BF328">
        <v>392.56</v>
      </c>
      <c r="BG328" s="23">
        <v>8.9600000000000009</v>
      </c>
      <c r="BH328" s="16">
        <v>45502</v>
      </c>
      <c r="BI328" s="18">
        <v>0.41585648148148147</v>
      </c>
      <c r="BJ328">
        <v>0</v>
      </c>
      <c r="BK328">
        <v>0</v>
      </c>
      <c r="BL328">
        <v>0</v>
      </c>
      <c r="BM328">
        <v>0</v>
      </c>
      <c r="BN328">
        <v>0</v>
      </c>
      <c r="BO328">
        <v>0</v>
      </c>
      <c r="BP328">
        <v>0</v>
      </c>
      <c r="BQ328">
        <v>0</v>
      </c>
      <c r="BR328">
        <v>0</v>
      </c>
      <c r="BS328">
        <v>0</v>
      </c>
      <c r="BT328">
        <v>0</v>
      </c>
      <c r="BU328">
        <v>0</v>
      </c>
      <c r="BV328" s="113"/>
    </row>
    <row r="329" spans="1:74" x14ac:dyDescent="0.25">
      <c r="A329" t="s">
        <v>111</v>
      </c>
      <c r="B329">
        <v>0</v>
      </c>
      <c r="C329" t="s">
        <v>7</v>
      </c>
      <c r="D329" s="20">
        <v>18432</v>
      </c>
      <c r="E329" s="20">
        <v>256</v>
      </c>
      <c r="F329" s="20">
        <v>1</v>
      </c>
      <c r="G329" s="20">
        <v>16</v>
      </c>
      <c r="H329" s="79">
        <v>1576.84</v>
      </c>
      <c r="I329" s="62">
        <v>2.6478000000000002</v>
      </c>
      <c r="J329" s="16">
        <v>45546</v>
      </c>
      <c r="K329" s="25">
        <v>0.53052083333333333</v>
      </c>
      <c r="L329">
        <v>0</v>
      </c>
      <c r="M329">
        <v>0</v>
      </c>
      <c r="N329">
        <v>0</v>
      </c>
      <c r="O329">
        <v>0</v>
      </c>
      <c r="P329">
        <v>0</v>
      </c>
      <c r="Q329">
        <v>0</v>
      </c>
      <c r="R329">
        <v>0</v>
      </c>
      <c r="S329">
        <v>0</v>
      </c>
      <c r="T329">
        <v>0</v>
      </c>
      <c r="U329">
        <v>0</v>
      </c>
      <c r="V329">
        <v>0</v>
      </c>
      <c r="W329">
        <v>0</v>
      </c>
      <c r="X329" s="82">
        <f>AVERAGE(I329:I333)</f>
        <v>2.0424199999999999</v>
      </c>
      <c r="Z329" t="s">
        <v>149</v>
      </c>
      <c r="AA329">
        <v>0</v>
      </c>
      <c r="AB329" t="s">
        <v>7</v>
      </c>
      <c r="AC329" s="20">
        <v>18432</v>
      </c>
      <c r="AD329" s="20">
        <v>256</v>
      </c>
      <c r="AE329" s="20">
        <v>1</v>
      </c>
      <c r="AF329" s="20">
        <v>16</v>
      </c>
      <c r="AG329" s="79">
        <v>1621.62</v>
      </c>
      <c r="AH329" s="62">
        <v>2.5747</v>
      </c>
      <c r="AI329" s="16">
        <v>45558</v>
      </c>
      <c r="AJ329" s="25">
        <v>7.8159722222222228E-2</v>
      </c>
      <c r="AK329">
        <v>0</v>
      </c>
      <c r="AL329">
        <v>0</v>
      </c>
      <c r="AM329">
        <v>0</v>
      </c>
      <c r="AN329">
        <v>0</v>
      </c>
      <c r="AO329">
        <v>0</v>
      </c>
      <c r="AP329">
        <v>0</v>
      </c>
      <c r="AQ329">
        <v>0</v>
      </c>
      <c r="AR329">
        <v>0</v>
      </c>
      <c r="AS329">
        <v>0</v>
      </c>
      <c r="AT329">
        <v>0</v>
      </c>
      <c r="AU329">
        <v>0</v>
      </c>
      <c r="AV329">
        <v>0</v>
      </c>
      <c r="AW329" s="82">
        <f>AVERAGE(AH329:AH332)</f>
        <v>3.386825</v>
      </c>
      <c r="AZ329">
        <v>0</v>
      </c>
      <c r="BA329" t="s">
        <v>7</v>
      </c>
      <c r="BB329">
        <v>18432</v>
      </c>
      <c r="BC329">
        <v>256</v>
      </c>
      <c r="BD329">
        <v>1</v>
      </c>
      <c r="BE329">
        <v>16</v>
      </c>
      <c r="BF329">
        <v>570.41999999999996</v>
      </c>
      <c r="BG329" s="23">
        <v>7.3194999999999997</v>
      </c>
      <c r="BH329" s="16">
        <v>45502</v>
      </c>
      <c r="BI329" s="18">
        <v>0.15474537037037037</v>
      </c>
      <c r="BJ329">
        <v>0</v>
      </c>
      <c r="BK329">
        <v>0</v>
      </c>
      <c r="BL329">
        <v>0</v>
      </c>
      <c r="BM329">
        <v>0</v>
      </c>
      <c r="BN329">
        <v>0</v>
      </c>
      <c r="BO329">
        <v>0</v>
      </c>
      <c r="BP329">
        <v>0</v>
      </c>
      <c r="BQ329">
        <v>0</v>
      </c>
      <c r="BR329">
        <v>0</v>
      </c>
      <c r="BS329">
        <v>0</v>
      </c>
      <c r="BT329">
        <v>0</v>
      </c>
      <c r="BU329">
        <v>0</v>
      </c>
      <c r="BV329" s="113">
        <f t="shared" si="7"/>
        <v>6.8850499999999997</v>
      </c>
    </row>
    <row r="330" spans="1:74" x14ac:dyDescent="0.25">
      <c r="A330" t="s">
        <v>111</v>
      </c>
      <c r="B330">
        <v>1</v>
      </c>
      <c r="C330" t="s">
        <v>7</v>
      </c>
      <c r="D330" s="20">
        <v>18432</v>
      </c>
      <c r="E330" s="20">
        <v>256</v>
      </c>
      <c r="F330" s="20">
        <v>1</v>
      </c>
      <c r="G330" s="20">
        <v>16</v>
      </c>
      <c r="H330" s="79">
        <v>2247.9699999999998</v>
      </c>
      <c r="I330" s="62">
        <v>1.8573</v>
      </c>
      <c r="J330" s="16">
        <v>45547</v>
      </c>
      <c r="K330" s="25">
        <v>0.15435185185185185</v>
      </c>
      <c r="L330">
        <v>0</v>
      </c>
      <c r="M330">
        <v>0</v>
      </c>
      <c r="N330">
        <v>0</v>
      </c>
      <c r="O330">
        <v>0</v>
      </c>
      <c r="P330">
        <v>0</v>
      </c>
      <c r="Q330">
        <v>0</v>
      </c>
      <c r="R330">
        <v>0</v>
      </c>
      <c r="S330">
        <v>0</v>
      </c>
      <c r="T330">
        <v>0</v>
      </c>
      <c r="U330">
        <v>0</v>
      </c>
      <c r="V330">
        <v>0</v>
      </c>
      <c r="W330">
        <v>0</v>
      </c>
      <c r="X330" s="80">
        <f>X329</f>
        <v>2.0424199999999999</v>
      </c>
      <c r="Z330" t="s">
        <v>149</v>
      </c>
      <c r="AA330">
        <v>1</v>
      </c>
      <c r="AB330" t="s">
        <v>7</v>
      </c>
      <c r="AC330" s="20">
        <v>18432</v>
      </c>
      <c r="AD330" s="20">
        <v>256</v>
      </c>
      <c r="AE330" s="20">
        <v>1</v>
      </c>
      <c r="AF330" s="20">
        <v>16</v>
      </c>
      <c r="AG330" s="79">
        <v>1110.5999999999999</v>
      </c>
      <c r="AH330" s="62">
        <v>3.7593999999999999</v>
      </c>
      <c r="AI330" s="16">
        <v>45558</v>
      </c>
      <c r="AJ330" s="25">
        <v>0.57142361111111106</v>
      </c>
      <c r="AK330">
        <v>0</v>
      </c>
      <c r="AL330">
        <v>0</v>
      </c>
      <c r="AM330">
        <v>0</v>
      </c>
      <c r="AN330">
        <v>0</v>
      </c>
      <c r="AO330">
        <v>0</v>
      </c>
      <c r="AP330">
        <v>0</v>
      </c>
      <c r="AQ330">
        <v>0</v>
      </c>
      <c r="AR330">
        <v>0</v>
      </c>
      <c r="AS330">
        <v>0</v>
      </c>
      <c r="AT330">
        <v>0</v>
      </c>
      <c r="AU330">
        <v>0</v>
      </c>
      <c r="AV330">
        <v>0</v>
      </c>
      <c r="AW330" s="80">
        <f>AW329</f>
        <v>3.386825</v>
      </c>
      <c r="AZ330">
        <v>1</v>
      </c>
      <c r="BA330" t="s">
        <v>7</v>
      </c>
      <c r="BB330">
        <v>18432</v>
      </c>
      <c r="BC330">
        <v>256</v>
      </c>
      <c r="BD330">
        <v>1</v>
      </c>
      <c r="BE330">
        <v>16</v>
      </c>
      <c r="BF330">
        <v>647.26</v>
      </c>
      <c r="BG330" s="23">
        <v>6.4505999999999997</v>
      </c>
      <c r="BH330" s="16">
        <v>45502</v>
      </c>
      <c r="BI330" s="18">
        <v>0.54295138888888894</v>
      </c>
      <c r="BJ330">
        <v>0</v>
      </c>
      <c r="BK330">
        <v>0</v>
      </c>
      <c r="BL330">
        <v>0</v>
      </c>
      <c r="BM330">
        <v>0</v>
      </c>
      <c r="BN330">
        <v>0</v>
      </c>
      <c r="BO330">
        <v>0</v>
      </c>
      <c r="BP330">
        <v>0</v>
      </c>
      <c r="BQ330">
        <v>0</v>
      </c>
      <c r="BR330">
        <v>0</v>
      </c>
      <c r="BS330">
        <v>0</v>
      </c>
      <c r="BT330">
        <v>0</v>
      </c>
      <c r="BU330">
        <v>0</v>
      </c>
      <c r="BV330" s="113"/>
    </row>
    <row r="331" spans="1:74" x14ac:dyDescent="0.25">
      <c r="A331" t="s">
        <v>111</v>
      </c>
      <c r="B331">
        <v>2</v>
      </c>
      <c r="C331" t="s">
        <v>7</v>
      </c>
      <c r="D331" s="20">
        <v>18432</v>
      </c>
      <c r="E331" s="20">
        <v>256</v>
      </c>
      <c r="F331" s="20">
        <v>1</v>
      </c>
      <c r="G331" s="20">
        <v>16</v>
      </c>
      <c r="H331" s="79">
        <v>1812.23</v>
      </c>
      <c r="I331" s="62">
        <v>2.3039000000000001</v>
      </c>
      <c r="J331" s="16">
        <v>45547</v>
      </c>
      <c r="K331" s="25">
        <v>0.76402777777777775</v>
      </c>
      <c r="L331">
        <v>0</v>
      </c>
      <c r="M331">
        <v>0</v>
      </c>
      <c r="N331">
        <v>0</v>
      </c>
      <c r="O331">
        <v>0</v>
      </c>
      <c r="P331">
        <v>0</v>
      </c>
      <c r="Q331">
        <v>0</v>
      </c>
      <c r="R331">
        <v>0</v>
      </c>
      <c r="S331">
        <v>0</v>
      </c>
      <c r="T331">
        <v>0</v>
      </c>
      <c r="U331">
        <v>0</v>
      </c>
      <c r="V331">
        <v>0</v>
      </c>
      <c r="W331">
        <v>0</v>
      </c>
      <c r="X331" s="80">
        <f>X330</f>
        <v>2.0424199999999999</v>
      </c>
      <c r="Z331" t="s">
        <v>149</v>
      </c>
      <c r="AA331">
        <v>2</v>
      </c>
      <c r="AB331" t="s">
        <v>7</v>
      </c>
      <c r="AC331" s="20">
        <v>18432</v>
      </c>
      <c r="AD331" s="20">
        <v>256</v>
      </c>
      <c r="AE331" s="20">
        <v>1</v>
      </c>
      <c r="AF331" s="20">
        <v>16</v>
      </c>
      <c r="AG331" s="79">
        <v>1162.04</v>
      </c>
      <c r="AH331" s="62">
        <v>3.593</v>
      </c>
      <c r="AI331" s="16">
        <v>45554</v>
      </c>
      <c r="AJ331" s="25">
        <v>0.71589120370370374</v>
      </c>
      <c r="AK331">
        <v>0</v>
      </c>
      <c r="AL331">
        <v>0</v>
      </c>
      <c r="AM331">
        <v>0</v>
      </c>
      <c r="AN331">
        <v>0</v>
      </c>
      <c r="AO331">
        <v>0</v>
      </c>
      <c r="AP331">
        <v>0</v>
      </c>
      <c r="AQ331">
        <v>0</v>
      </c>
      <c r="AR331">
        <v>0</v>
      </c>
      <c r="AS331">
        <v>0</v>
      </c>
      <c r="AT331">
        <v>0</v>
      </c>
      <c r="AU331">
        <v>0</v>
      </c>
      <c r="AV331">
        <v>0</v>
      </c>
      <c r="AW331" s="80">
        <f>AW330</f>
        <v>3.386825</v>
      </c>
      <c r="AZ331">
        <v>0</v>
      </c>
      <c r="BB331">
        <v>19456</v>
      </c>
      <c r="BC331">
        <v>256</v>
      </c>
      <c r="BD331">
        <v>1</v>
      </c>
      <c r="BE331">
        <v>16</v>
      </c>
      <c r="BF331"/>
      <c r="BG331" s="23"/>
      <c r="BH331" s="16">
        <v>45502</v>
      </c>
      <c r="BI331" s="18">
        <v>0.30291666666666667</v>
      </c>
      <c r="BJ331" s="23">
        <v>0</v>
      </c>
      <c r="BK331">
        <v>0</v>
      </c>
      <c r="BL331">
        <v>0</v>
      </c>
      <c r="BM331">
        <v>0</v>
      </c>
      <c r="BN331">
        <v>0</v>
      </c>
      <c r="BO331">
        <v>0</v>
      </c>
      <c r="BP331">
        <v>0</v>
      </c>
      <c r="BQ331">
        <v>0</v>
      </c>
      <c r="BR331">
        <v>0</v>
      </c>
      <c r="BS331">
        <v>0</v>
      </c>
      <c r="BT331">
        <v>0</v>
      </c>
      <c r="BU331">
        <v>0</v>
      </c>
      <c r="BV331" s="113" t="e">
        <f t="shared" si="7"/>
        <v>#DIV/0!</v>
      </c>
    </row>
    <row r="332" spans="1:74" x14ac:dyDescent="0.25">
      <c r="A332" t="s">
        <v>111</v>
      </c>
      <c r="B332">
        <v>3</v>
      </c>
      <c r="C332" t="s">
        <v>7</v>
      </c>
      <c r="D332" s="20">
        <v>18432</v>
      </c>
      <c r="E332" s="20">
        <v>256</v>
      </c>
      <c r="F332" s="20">
        <v>1</v>
      </c>
      <c r="G332" s="20">
        <v>16</v>
      </c>
      <c r="H332" s="79">
        <v>2213.8000000000002</v>
      </c>
      <c r="I332" s="62">
        <v>1.8859999999999999</v>
      </c>
      <c r="J332" s="16">
        <v>45548</v>
      </c>
      <c r="K332" s="25">
        <v>0.42873842592592593</v>
      </c>
      <c r="L332">
        <v>0</v>
      </c>
      <c r="M332">
        <v>0</v>
      </c>
      <c r="N332">
        <v>0</v>
      </c>
      <c r="O332">
        <v>0</v>
      </c>
      <c r="P332">
        <v>0</v>
      </c>
      <c r="Q332">
        <v>0</v>
      </c>
      <c r="R332">
        <v>0</v>
      </c>
      <c r="S332">
        <v>0</v>
      </c>
      <c r="T332">
        <v>0</v>
      </c>
      <c r="U332">
        <v>0</v>
      </c>
      <c r="V332">
        <v>0</v>
      </c>
      <c r="W332">
        <v>0</v>
      </c>
      <c r="X332" s="80">
        <f>X331</f>
        <v>2.0424199999999999</v>
      </c>
      <c r="Z332" t="s">
        <v>149</v>
      </c>
      <c r="AA332">
        <v>3</v>
      </c>
      <c r="AB332" t="s">
        <v>7</v>
      </c>
      <c r="AC332" s="20">
        <v>18432</v>
      </c>
      <c r="AD332" s="20">
        <v>256</v>
      </c>
      <c r="AE332" s="20">
        <v>1</v>
      </c>
      <c r="AF332" s="20">
        <v>16</v>
      </c>
      <c r="AG332" s="79">
        <v>1153.3</v>
      </c>
      <c r="AH332" s="62">
        <v>3.6202000000000001</v>
      </c>
      <c r="AI332" s="16">
        <v>45555</v>
      </c>
      <c r="AJ332" s="25">
        <v>0.24121527777777776</v>
      </c>
      <c r="AK332">
        <v>0</v>
      </c>
      <c r="AL332">
        <v>0</v>
      </c>
      <c r="AM332">
        <v>0</v>
      </c>
      <c r="AN332">
        <v>0</v>
      </c>
      <c r="AO332">
        <v>0</v>
      </c>
      <c r="AP332">
        <v>0</v>
      </c>
      <c r="AQ332">
        <v>0</v>
      </c>
      <c r="AR332">
        <v>0</v>
      </c>
      <c r="AS332">
        <v>0</v>
      </c>
      <c r="AT332">
        <v>0</v>
      </c>
      <c r="AU332">
        <v>0</v>
      </c>
      <c r="AV332">
        <v>0</v>
      </c>
      <c r="AW332" s="80">
        <f>AW331</f>
        <v>3.386825</v>
      </c>
      <c r="AZ332">
        <v>1</v>
      </c>
      <c r="BB332">
        <v>19456</v>
      </c>
      <c r="BC332">
        <v>256</v>
      </c>
      <c r="BD332">
        <v>1</v>
      </c>
      <c r="BE332">
        <v>16</v>
      </c>
      <c r="BF332"/>
      <c r="BG332" s="23"/>
      <c r="BH332" s="16">
        <v>45502</v>
      </c>
      <c r="BI332" s="18">
        <v>0.68921296296296297</v>
      </c>
      <c r="BJ332" s="23">
        <v>0</v>
      </c>
      <c r="BK332">
        <v>0</v>
      </c>
      <c r="BL332">
        <v>0</v>
      </c>
      <c r="BM332">
        <v>0</v>
      </c>
      <c r="BN332">
        <v>0</v>
      </c>
      <c r="BO332">
        <v>0</v>
      </c>
      <c r="BP332">
        <v>0</v>
      </c>
      <c r="BQ332">
        <v>0</v>
      </c>
      <c r="BR332">
        <v>0</v>
      </c>
      <c r="BS332">
        <v>0</v>
      </c>
      <c r="BT332">
        <v>0</v>
      </c>
      <c r="BU332">
        <v>0</v>
      </c>
      <c r="BV332" s="113"/>
    </row>
    <row r="333" spans="1:74" x14ac:dyDescent="0.25">
      <c r="A333" t="s">
        <v>111</v>
      </c>
      <c r="B333">
        <v>4</v>
      </c>
      <c r="C333" t="s">
        <v>7</v>
      </c>
      <c r="D333" s="20">
        <v>18432</v>
      </c>
      <c r="E333" s="20">
        <v>256</v>
      </c>
      <c r="F333" s="20">
        <v>1</v>
      </c>
      <c r="G333" s="20">
        <v>16</v>
      </c>
      <c r="H333" s="79">
        <v>2752.11</v>
      </c>
      <c r="I333" s="62">
        <v>1.5170999999999999</v>
      </c>
      <c r="J333" s="16">
        <v>45549</v>
      </c>
      <c r="K333" s="25">
        <v>6.4340277777777774E-2</v>
      </c>
      <c r="L333">
        <v>0</v>
      </c>
      <c r="M333">
        <v>0</v>
      </c>
      <c r="N333">
        <v>0</v>
      </c>
      <c r="O333">
        <v>0</v>
      </c>
      <c r="P333">
        <v>0</v>
      </c>
      <c r="Q333">
        <v>0</v>
      </c>
      <c r="R333">
        <v>0</v>
      </c>
      <c r="S333">
        <v>0</v>
      </c>
      <c r="T333">
        <v>0</v>
      </c>
      <c r="U333">
        <v>0</v>
      </c>
      <c r="V333">
        <v>0</v>
      </c>
      <c r="W333">
        <v>0</v>
      </c>
      <c r="X333" s="80">
        <f>X332</f>
        <v>2.0424199999999999</v>
      </c>
      <c r="Z333" t="s">
        <v>149</v>
      </c>
      <c r="AA333">
        <v>4</v>
      </c>
      <c r="AB333" t="s">
        <v>7</v>
      </c>
      <c r="AC333" s="20">
        <v>18432</v>
      </c>
      <c r="AD333" s="20">
        <v>256</v>
      </c>
      <c r="AE333" s="20">
        <v>1</v>
      </c>
      <c r="AF333" s="20">
        <v>16</v>
      </c>
      <c r="AG333" s="79">
        <v>1846.01</v>
      </c>
      <c r="AH333" s="62">
        <v>2.2618</v>
      </c>
      <c r="AI333" s="16">
        <v>45555</v>
      </c>
      <c r="AJ333" s="25">
        <v>0.74968749999999995</v>
      </c>
      <c r="AK333">
        <v>0</v>
      </c>
      <c r="AL333">
        <v>0</v>
      </c>
      <c r="AM333">
        <v>0</v>
      </c>
      <c r="AN333">
        <v>0</v>
      </c>
      <c r="AO333">
        <v>0</v>
      </c>
      <c r="AP333">
        <v>0</v>
      </c>
      <c r="AQ333">
        <v>0</v>
      </c>
      <c r="AR333">
        <v>0</v>
      </c>
      <c r="AS333">
        <v>0</v>
      </c>
      <c r="AT333">
        <v>0</v>
      </c>
      <c r="AU333">
        <v>0</v>
      </c>
      <c r="AV333">
        <v>0</v>
      </c>
      <c r="AW333" s="80">
        <f>AW332</f>
        <v>3.386825</v>
      </c>
      <c r="AZ333">
        <v>0</v>
      </c>
      <c r="BA333" t="s">
        <v>7</v>
      </c>
      <c r="BB333">
        <v>17408</v>
      </c>
      <c r="BC333">
        <v>256</v>
      </c>
      <c r="BD333">
        <v>2</v>
      </c>
      <c r="BE333">
        <v>8</v>
      </c>
      <c r="BF333">
        <v>338.66</v>
      </c>
      <c r="BG333" s="23">
        <v>10.385999999999999</v>
      </c>
      <c r="BH333" s="16">
        <v>45502</v>
      </c>
      <c r="BI333" s="18">
        <v>3.2500000000000001E-2</v>
      </c>
      <c r="BJ333">
        <v>0</v>
      </c>
      <c r="BK333">
        <v>0</v>
      </c>
      <c r="BL333">
        <v>0</v>
      </c>
      <c r="BM333">
        <v>0</v>
      </c>
      <c r="BN333">
        <v>0</v>
      </c>
      <c r="BO333">
        <v>0</v>
      </c>
      <c r="BP333">
        <v>0</v>
      </c>
      <c r="BQ333">
        <v>0</v>
      </c>
      <c r="BR333">
        <v>0</v>
      </c>
      <c r="BS333">
        <v>0</v>
      </c>
      <c r="BT333">
        <v>0</v>
      </c>
      <c r="BU333">
        <v>0</v>
      </c>
      <c r="BV333" s="113">
        <f t="shared" si="7"/>
        <v>10.382</v>
      </c>
    </row>
    <row r="334" spans="1:74" x14ac:dyDescent="0.25">
      <c r="A334" t="s">
        <v>111</v>
      </c>
      <c r="B334">
        <v>0</v>
      </c>
      <c r="C334" t="s">
        <v>7</v>
      </c>
      <c r="D334" s="20">
        <v>19584</v>
      </c>
      <c r="E334" s="20">
        <v>128</v>
      </c>
      <c r="F334" s="20">
        <v>1</v>
      </c>
      <c r="G334" s="20">
        <v>16</v>
      </c>
      <c r="H334" s="79">
        <v>3155.23</v>
      </c>
      <c r="I334" s="62">
        <v>1.5871999999999999</v>
      </c>
      <c r="J334" s="16">
        <v>45546</v>
      </c>
      <c r="K334" s="25">
        <v>0.62163194444444447</v>
      </c>
      <c r="L334">
        <v>0</v>
      </c>
      <c r="M334">
        <v>0</v>
      </c>
      <c r="N334">
        <v>0</v>
      </c>
      <c r="O334">
        <v>0</v>
      </c>
      <c r="P334">
        <v>0</v>
      </c>
      <c r="Q334">
        <v>0</v>
      </c>
      <c r="R334">
        <v>0</v>
      </c>
      <c r="S334">
        <v>0</v>
      </c>
      <c r="T334">
        <v>0</v>
      </c>
      <c r="U334">
        <v>0</v>
      </c>
      <c r="V334">
        <v>0</v>
      </c>
      <c r="W334">
        <v>0</v>
      </c>
      <c r="X334" s="82">
        <f>AVERAGE(I334:I338)</f>
        <v>1.9959</v>
      </c>
      <c r="Z334" t="s">
        <v>149</v>
      </c>
      <c r="AA334">
        <v>0</v>
      </c>
      <c r="AB334" t="s">
        <v>7</v>
      </c>
      <c r="AC334" s="20">
        <v>19456</v>
      </c>
      <c r="AD334" s="20">
        <v>256</v>
      </c>
      <c r="AE334" s="20">
        <v>2</v>
      </c>
      <c r="AF334" s="20">
        <v>8</v>
      </c>
      <c r="AG334" s="79">
        <v>1286.72</v>
      </c>
      <c r="AH334" s="62">
        <v>3.8163</v>
      </c>
      <c r="AI334" s="16">
        <v>45558</v>
      </c>
      <c r="AJ334" s="25">
        <v>0.3606597222222222</v>
      </c>
      <c r="AK334">
        <v>0</v>
      </c>
      <c r="AL334">
        <v>0</v>
      </c>
      <c r="AM334">
        <v>0</v>
      </c>
      <c r="AN334">
        <v>0</v>
      </c>
      <c r="AO334">
        <v>0</v>
      </c>
      <c r="AP334">
        <v>0</v>
      </c>
      <c r="AQ334">
        <v>0</v>
      </c>
      <c r="AR334">
        <v>0</v>
      </c>
      <c r="AS334">
        <v>0</v>
      </c>
      <c r="AT334">
        <v>0</v>
      </c>
      <c r="AU334">
        <v>0</v>
      </c>
      <c r="AV334">
        <v>0</v>
      </c>
      <c r="AW334" s="82">
        <f>AVERAGE(AH334:AH337)</f>
        <v>2.8602500000000002</v>
      </c>
      <c r="AZ334">
        <v>1</v>
      </c>
      <c r="BA334" t="s">
        <v>7</v>
      </c>
      <c r="BB334">
        <v>17408</v>
      </c>
      <c r="BC334">
        <v>256</v>
      </c>
      <c r="BD334">
        <v>2</v>
      </c>
      <c r="BE334">
        <v>8</v>
      </c>
      <c r="BF334">
        <v>338.93</v>
      </c>
      <c r="BG334" s="23">
        <v>10.378</v>
      </c>
      <c r="BH334" s="16">
        <v>45502</v>
      </c>
      <c r="BI334" s="18">
        <v>0.41993055555555553</v>
      </c>
      <c r="BJ334">
        <v>0</v>
      </c>
      <c r="BK334">
        <v>0</v>
      </c>
      <c r="BL334">
        <v>0</v>
      </c>
      <c r="BM334">
        <v>0</v>
      </c>
      <c r="BN334">
        <v>0</v>
      </c>
      <c r="BO334">
        <v>0</v>
      </c>
      <c r="BP334">
        <v>0</v>
      </c>
      <c r="BQ334">
        <v>0</v>
      </c>
      <c r="BR334">
        <v>0</v>
      </c>
      <c r="BS334">
        <v>0</v>
      </c>
      <c r="BT334">
        <v>0</v>
      </c>
      <c r="BU334">
        <v>0</v>
      </c>
      <c r="BV334" s="113"/>
    </row>
    <row r="335" spans="1:74" x14ac:dyDescent="0.25">
      <c r="A335" t="s">
        <v>111</v>
      </c>
      <c r="B335">
        <v>1</v>
      </c>
      <c r="C335" t="s">
        <v>7</v>
      </c>
      <c r="D335" s="20">
        <v>19584</v>
      </c>
      <c r="E335" s="20">
        <v>128</v>
      </c>
      <c r="F335" s="20">
        <v>1</v>
      </c>
      <c r="G335" s="20">
        <v>16</v>
      </c>
      <c r="H335" s="79">
        <v>2314.29</v>
      </c>
      <c r="I335" s="62">
        <v>2.1638999999999999</v>
      </c>
      <c r="J335" s="16">
        <v>45547</v>
      </c>
      <c r="K335" s="25">
        <v>0.24641203703703704</v>
      </c>
      <c r="L335">
        <v>0</v>
      </c>
      <c r="M335">
        <v>0</v>
      </c>
      <c r="N335">
        <v>0</v>
      </c>
      <c r="O335">
        <v>0</v>
      </c>
      <c r="P335">
        <v>0</v>
      </c>
      <c r="Q335">
        <v>0</v>
      </c>
      <c r="R335">
        <v>0</v>
      </c>
      <c r="S335">
        <v>0</v>
      </c>
      <c r="T335">
        <v>0</v>
      </c>
      <c r="U335">
        <v>0</v>
      </c>
      <c r="V335">
        <v>0</v>
      </c>
      <c r="W335">
        <v>0</v>
      </c>
      <c r="X335" s="80">
        <f>X334</f>
        <v>1.9959</v>
      </c>
      <c r="Z335" t="s">
        <v>149</v>
      </c>
      <c r="AA335">
        <v>1</v>
      </c>
      <c r="AB335" t="s">
        <v>7</v>
      </c>
      <c r="AC335" s="20">
        <v>19456</v>
      </c>
      <c r="AD335" s="20">
        <v>256</v>
      </c>
      <c r="AE335" s="20">
        <v>2</v>
      </c>
      <c r="AF335" s="20">
        <v>8</v>
      </c>
      <c r="AG335" s="79">
        <v>2224.52</v>
      </c>
      <c r="AH335" s="62">
        <v>2.2073999999999998</v>
      </c>
      <c r="AI335" s="16">
        <v>45558</v>
      </c>
      <c r="AJ335" s="25">
        <v>0.85916666666666663</v>
      </c>
      <c r="AK335">
        <v>0</v>
      </c>
      <c r="AL335">
        <v>0</v>
      </c>
      <c r="AM335">
        <v>0</v>
      </c>
      <c r="AN335">
        <v>0</v>
      </c>
      <c r="AO335">
        <v>0</v>
      </c>
      <c r="AP335">
        <v>0</v>
      </c>
      <c r="AQ335">
        <v>0</v>
      </c>
      <c r="AR335">
        <v>0</v>
      </c>
      <c r="AS335">
        <v>0</v>
      </c>
      <c r="AT335">
        <v>0</v>
      </c>
      <c r="AU335">
        <v>0</v>
      </c>
      <c r="AV335">
        <v>0</v>
      </c>
      <c r="AW335" s="80">
        <f>AW334</f>
        <v>2.8602500000000002</v>
      </c>
      <c r="AZ335">
        <v>0</v>
      </c>
      <c r="BA335" t="s">
        <v>7</v>
      </c>
      <c r="BB335">
        <v>18432</v>
      </c>
      <c r="BC335">
        <v>256</v>
      </c>
      <c r="BD335">
        <v>2</v>
      </c>
      <c r="BE335">
        <v>8</v>
      </c>
      <c r="BF335">
        <v>390.87</v>
      </c>
      <c r="BG335" s="23">
        <v>10.682</v>
      </c>
      <c r="BH335" s="16">
        <v>45502</v>
      </c>
      <c r="BI335" s="18">
        <v>0.15943287037037038</v>
      </c>
      <c r="BJ335">
        <v>0</v>
      </c>
      <c r="BK335">
        <v>0</v>
      </c>
      <c r="BL335">
        <v>0</v>
      </c>
      <c r="BM335">
        <v>0</v>
      </c>
      <c r="BN335">
        <v>0</v>
      </c>
      <c r="BO335">
        <v>0</v>
      </c>
      <c r="BP335">
        <v>0</v>
      </c>
      <c r="BQ335">
        <v>0</v>
      </c>
      <c r="BR335">
        <v>0</v>
      </c>
      <c r="BS335">
        <v>0</v>
      </c>
      <c r="BT335">
        <v>0</v>
      </c>
      <c r="BU335">
        <v>0</v>
      </c>
      <c r="BV335" s="113">
        <f t="shared" si="7"/>
        <v>10.655000000000001</v>
      </c>
    </row>
    <row r="336" spans="1:74" x14ac:dyDescent="0.25">
      <c r="A336" t="s">
        <v>111</v>
      </c>
      <c r="B336">
        <v>2</v>
      </c>
      <c r="C336" t="s">
        <v>7</v>
      </c>
      <c r="D336" s="20">
        <v>19584</v>
      </c>
      <c r="E336" s="20">
        <v>128</v>
      </c>
      <c r="F336" s="20">
        <v>1</v>
      </c>
      <c r="G336" s="20">
        <v>16</v>
      </c>
      <c r="H336" s="79">
        <v>2439.2199999999998</v>
      </c>
      <c r="I336" s="62">
        <v>2.0531000000000001</v>
      </c>
      <c r="J336" s="16">
        <v>45547</v>
      </c>
      <c r="K336" s="25">
        <v>0.85799768518518515</v>
      </c>
      <c r="L336">
        <v>0</v>
      </c>
      <c r="M336">
        <v>0</v>
      </c>
      <c r="N336">
        <v>0</v>
      </c>
      <c r="O336">
        <v>0</v>
      </c>
      <c r="P336">
        <v>0</v>
      </c>
      <c r="Q336">
        <v>0</v>
      </c>
      <c r="R336">
        <v>0</v>
      </c>
      <c r="S336">
        <v>0</v>
      </c>
      <c r="T336">
        <v>0</v>
      </c>
      <c r="U336">
        <v>0</v>
      </c>
      <c r="V336">
        <v>0</v>
      </c>
      <c r="W336">
        <v>0</v>
      </c>
      <c r="X336" s="80">
        <f>X335</f>
        <v>1.9959</v>
      </c>
      <c r="Z336" t="s">
        <v>149</v>
      </c>
      <c r="AA336">
        <v>2</v>
      </c>
      <c r="AB336" t="s">
        <v>7</v>
      </c>
      <c r="AC336" s="20">
        <v>19456</v>
      </c>
      <c r="AD336" s="20">
        <v>256</v>
      </c>
      <c r="AE336" s="20">
        <v>2</v>
      </c>
      <c r="AF336" s="20">
        <v>8</v>
      </c>
      <c r="AG336" s="79">
        <v>2131.54</v>
      </c>
      <c r="AH336" s="62">
        <v>2.3037000000000001</v>
      </c>
      <c r="AI336" s="16">
        <v>45555</v>
      </c>
      <c r="AJ336" s="25">
        <v>3.0127314814814815E-2</v>
      </c>
      <c r="AK336">
        <v>0</v>
      </c>
      <c r="AL336">
        <v>0</v>
      </c>
      <c r="AM336">
        <v>0</v>
      </c>
      <c r="AN336">
        <v>0</v>
      </c>
      <c r="AO336">
        <v>0</v>
      </c>
      <c r="AP336">
        <v>0</v>
      </c>
      <c r="AQ336">
        <v>0</v>
      </c>
      <c r="AR336">
        <v>0</v>
      </c>
      <c r="AS336">
        <v>0</v>
      </c>
      <c r="AT336">
        <v>0</v>
      </c>
      <c r="AU336">
        <v>0</v>
      </c>
      <c r="AV336">
        <v>0</v>
      </c>
      <c r="AW336" s="80">
        <f>AW335</f>
        <v>2.8602500000000002</v>
      </c>
      <c r="AZ336">
        <v>1</v>
      </c>
      <c r="BA336" t="s">
        <v>7</v>
      </c>
      <c r="BB336">
        <v>18432</v>
      </c>
      <c r="BC336">
        <v>256</v>
      </c>
      <c r="BD336">
        <v>2</v>
      </c>
      <c r="BE336">
        <v>8</v>
      </c>
      <c r="BF336">
        <v>392.85</v>
      </c>
      <c r="BG336" s="23">
        <v>10.628</v>
      </c>
      <c r="BH336" s="16">
        <v>45502</v>
      </c>
      <c r="BI336" s="18">
        <v>0.54766203703703709</v>
      </c>
      <c r="BJ336">
        <v>0</v>
      </c>
      <c r="BK336">
        <v>0</v>
      </c>
      <c r="BL336">
        <v>0</v>
      </c>
      <c r="BM336">
        <v>0</v>
      </c>
      <c r="BN336">
        <v>0</v>
      </c>
      <c r="BO336">
        <v>0</v>
      </c>
      <c r="BP336">
        <v>0</v>
      </c>
      <c r="BQ336">
        <v>0</v>
      </c>
      <c r="BR336">
        <v>0</v>
      </c>
      <c r="BS336">
        <v>0</v>
      </c>
      <c r="BT336">
        <v>0</v>
      </c>
      <c r="BU336">
        <v>0</v>
      </c>
      <c r="BV336" s="113"/>
    </row>
    <row r="337" spans="1:74" x14ac:dyDescent="0.25">
      <c r="A337" t="s">
        <v>111</v>
      </c>
      <c r="B337">
        <v>3</v>
      </c>
      <c r="C337" t="s">
        <v>7</v>
      </c>
      <c r="D337" s="20">
        <v>19584</v>
      </c>
      <c r="E337" s="20">
        <v>128</v>
      </c>
      <c r="F337" s="20">
        <v>1</v>
      </c>
      <c r="G337" s="20">
        <v>16</v>
      </c>
      <c r="H337" s="79">
        <v>2188.81</v>
      </c>
      <c r="I337" s="62">
        <v>2.2879999999999998</v>
      </c>
      <c r="J337" s="16">
        <v>45548</v>
      </c>
      <c r="K337" s="25">
        <v>0.51923611111111112</v>
      </c>
      <c r="L337">
        <v>0</v>
      </c>
      <c r="M337">
        <v>0</v>
      </c>
      <c r="N337">
        <v>0</v>
      </c>
      <c r="O337">
        <v>0</v>
      </c>
      <c r="P337">
        <v>0</v>
      </c>
      <c r="Q337">
        <v>0</v>
      </c>
      <c r="R337">
        <v>0</v>
      </c>
      <c r="S337">
        <v>0</v>
      </c>
      <c r="T337">
        <v>0</v>
      </c>
      <c r="U337">
        <v>0</v>
      </c>
      <c r="V337">
        <v>0</v>
      </c>
      <c r="W337">
        <v>0</v>
      </c>
      <c r="X337" s="80">
        <f>X336</f>
        <v>1.9959</v>
      </c>
      <c r="Z337" t="s">
        <v>149</v>
      </c>
      <c r="AA337">
        <v>3</v>
      </c>
      <c r="AB337" t="s">
        <v>7</v>
      </c>
      <c r="AC337" s="20">
        <v>19456</v>
      </c>
      <c r="AD337" s="20">
        <v>256</v>
      </c>
      <c r="AE337" s="20">
        <v>2</v>
      </c>
      <c r="AF337" s="20">
        <v>8</v>
      </c>
      <c r="AG337" s="79">
        <v>1577.1</v>
      </c>
      <c r="AH337" s="62">
        <v>3.1135999999999999</v>
      </c>
      <c r="AI337" s="16">
        <v>45555</v>
      </c>
      <c r="AJ337" s="25">
        <v>0.53037037037037038</v>
      </c>
      <c r="AK337">
        <v>0</v>
      </c>
      <c r="AL337">
        <v>0</v>
      </c>
      <c r="AM337">
        <v>0</v>
      </c>
      <c r="AN337">
        <v>0</v>
      </c>
      <c r="AO337">
        <v>0</v>
      </c>
      <c r="AP337">
        <v>0</v>
      </c>
      <c r="AQ337">
        <v>0</v>
      </c>
      <c r="AR337">
        <v>0</v>
      </c>
      <c r="AS337">
        <v>0</v>
      </c>
      <c r="AT337">
        <v>0</v>
      </c>
      <c r="AU337">
        <v>0</v>
      </c>
      <c r="AV337">
        <v>0</v>
      </c>
      <c r="AW337" s="80">
        <f>AW336</f>
        <v>2.8602500000000002</v>
      </c>
      <c r="AZ337">
        <v>0</v>
      </c>
      <c r="BA337" t="s">
        <v>7</v>
      </c>
      <c r="BB337">
        <v>19456</v>
      </c>
      <c r="BC337">
        <v>256</v>
      </c>
      <c r="BD337">
        <v>2</v>
      </c>
      <c r="BE337">
        <v>8</v>
      </c>
      <c r="BF337">
        <v>463.16</v>
      </c>
      <c r="BG337" s="23">
        <v>10.602</v>
      </c>
      <c r="BH337" s="16">
        <v>45502</v>
      </c>
      <c r="BI337" s="18">
        <v>0.30851851851851853</v>
      </c>
      <c r="BJ337">
        <v>0</v>
      </c>
      <c r="BK337">
        <v>0</v>
      </c>
      <c r="BL337">
        <v>0</v>
      </c>
      <c r="BM337">
        <v>0</v>
      </c>
      <c r="BN337">
        <v>0</v>
      </c>
      <c r="BO337">
        <v>0</v>
      </c>
      <c r="BP337">
        <v>0</v>
      </c>
      <c r="BQ337">
        <v>0</v>
      </c>
      <c r="BR337">
        <v>0</v>
      </c>
      <c r="BS337">
        <v>0</v>
      </c>
      <c r="BT337">
        <v>0</v>
      </c>
      <c r="BU337">
        <v>0</v>
      </c>
    </row>
    <row r="338" spans="1:74" x14ac:dyDescent="0.25">
      <c r="A338" t="s">
        <v>111</v>
      </c>
      <c r="B338">
        <v>4</v>
      </c>
      <c r="C338" t="s">
        <v>7</v>
      </c>
      <c r="D338" s="20">
        <v>19584</v>
      </c>
      <c r="E338" s="20">
        <v>128</v>
      </c>
      <c r="F338" s="20">
        <v>1</v>
      </c>
      <c r="G338" s="20">
        <v>16</v>
      </c>
      <c r="H338" s="79">
        <v>2653.52</v>
      </c>
      <c r="I338" s="62">
        <v>1.8873</v>
      </c>
      <c r="J338" s="16">
        <v>45549</v>
      </c>
      <c r="K338" s="25">
        <v>0.15730324074074073</v>
      </c>
      <c r="L338">
        <v>0</v>
      </c>
      <c r="M338">
        <v>0</v>
      </c>
      <c r="N338">
        <v>0</v>
      </c>
      <c r="O338">
        <v>0</v>
      </c>
      <c r="P338">
        <v>0</v>
      </c>
      <c r="Q338">
        <v>0</v>
      </c>
      <c r="R338">
        <v>0</v>
      </c>
      <c r="S338">
        <v>0</v>
      </c>
      <c r="T338">
        <v>0</v>
      </c>
      <c r="U338">
        <v>0</v>
      </c>
      <c r="V338">
        <v>0</v>
      </c>
      <c r="W338">
        <v>0</v>
      </c>
      <c r="X338" s="80">
        <f>X337</f>
        <v>1.9959</v>
      </c>
      <c r="Z338" t="s">
        <v>149</v>
      </c>
      <c r="AA338">
        <v>4</v>
      </c>
      <c r="AB338" t="s">
        <v>7</v>
      </c>
      <c r="AC338" s="20">
        <v>19456</v>
      </c>
      <c r="AD338" s="20">
        <v>256</v>
      </c>
      <c r="AE338" s="20">
        <v>2</v>
      </c>
      <c r="AF338" s="20">
        <v>8</v>
      </c>
      <c r="AG338" s="79">
        <v>1362.38</v>
      </c>
      <c r="AH338" s="62">
        <v>3.6042999999999998</v>
      </c>
      <c r="AI338" s="16">
        <v>45556</v>
      </c>
      <c r="AJ338" s="25">
        <v>3.6574074074074071E-2</v>
      </c>
      <c r="AK338">
        <v>0</v>
      </c>
      <c r="AL338">
        <v>0</v>
      </c>
      <c r="AM338">
        <v>0</v>
      </c>
      <c r="AN338">
        <v>0</v>
      </c>
      <c r="AO338">
        <v>0</v>
      </c>
      <c r="AP338">
        <v>0</v>
      </c>
      <c r="AQ338">
        <v>0</v>
      </c>
      <c r="AR338">
        <v>0</v>
      </c>
      <c r="AS338">
        <v>0</v>
      </c>
      <c r="AT338">
        <v>0</v>
      </c>
      <c r="AU338">
        <v>0</v>
      </c>
      <c r="AV338">
        <v>0</v>
      </c>
      <c r="AW338" s="80">
        <f>AW337</f>
        <v>2.8602500000000002</v>
      </c>
      <c r="BF338"/>
      <c r="BG338" s="23"/>
      <c r="BH338" s="16"/>
      <c r="BI338" s="18"/>
    </row>
    <row r="339" spans="1:74" x14ac:dyDescent="0.25">
      <c r="A339" t="s">
        <v>111</v>
      </c>
      <c r="B339">
        <v>0</v>
      </c>
      <c r="C339" t="s">
        <v>7</v>
      </c>
      <c r="D339" s="20">
        <v>19456</v>
      </c>
      <c r="E339" s="20">
        <v>256</v>
      </c>
      <c r="F339" s="20">
        <v>4</v>
      </c>
      <c r="G339" s="20">
        <v>4</v>
      </c>
      <c r="H339" s="79">
        <v>1633.23</v>
      </c>
      <c r="I339" s="62">
        <v>3.0066000000000002</v>
      </c>
      <c r="J339" s="16">
        <v>45546</v>
      </c>
      <c r="K339" s="25">
        <v>0.91395833333333332</v>
      </c>
      <c r="L339">
        <v>0</v>
      </c>
      <c r="M339">
        <v>0</v>
      </c>
      <c r="N339">
        <v>0</v>
      </c>
      <c r="O339">
        <v>0</v>
      </c>
      <c r="P339">
        <v>0</v>
      </c>
      <c r="Q339">
        <v>0</v>
      </c>
      <c r="R339">
        <v>0</v>
      </c>
      <c r="S339">
        <v>0</v>
      </c>
      <c r="T339">
        <v>0</v>
      </c>
      <c r="U339">
        <v>0</v>
      </c>
      <c r="V339">
        <v>0</v>
      </c>
      <c r="W339">
        <v>0</v>
      </c>
      <c r="X339" s="82">
        <f>AVERAGE(I339:I343)</f>
        <v>1.9031980000000002</v>
      </c>
      <c r="Z339" t="s">
        <v>149</v>
      </c>
      <c r="AA339">
        <v>0</v>
      </c>
      <c r="AB339" t="s">
        <v>7</v>
      </c>
      <c r="AC339" s="20">
        <v>19584</v>
      </c>
      <c r="AD339" s="20">
        <v>128</v>
      </c>
      <c r="AE339" s="20">
        <v>1</v>
      </c>
      <c r="AF339" s="20">
        <v>16</v>
      </c>
      <c r="AG339" s="79">
        <v>2634.25</v>
      </c>
      <c r="AH339" s="62">
        <v>1.9011</v>
      </c>
      <c r="AI339" s="16">
        <v>45558</v>
      </c>
      <c r="AJ339" s="25">
        <v>0.16552083333333334</v>
      </c>
      <c r="AK339">
        <v>0</v>
      </c>
      <c r="AL339">
        <v>0</v>
      </c>
      <c r="AM339">
        <v>0</v>
      </c>
      <c r="AN339">
        <v>0</v>
      </c>
      <c r="AO339">
        <v>0</v>
      </c>
      <c r="AP339">
        <v>0</v>
      </c>
      <c r="AQ339">
        <v>0</v>
      </c>
      <c r="AR339">
        <v>0</v>
      </c>
      <c r="AS339">
        <v>0</v>
      </c>
      <c r="AT339">
        <v>0</v>
      </c>
      <c r="AU339">
        <v>0</v>
      </c>
      <c r="AV339">
        <v>0</v>
      </c>
      <c r="AW339" s="82">
        <f>AVERAGE(AH339:AH342)</f>
        <v>2.68425</v>
      </c>
      <c r="AZ339">
        <v>0</v>
      </c>
      <c r="BA339" t="s">
        <v>7</v>
      </c>
      <c r="BB339">
        <v>17408</v>
      </c>
      <c r="BC339">
        <v>256</v>
      </c>
      <c r="BD339">
        <v>4</v>
      </c>
      <c r="BE339">
        <v>4</v>
      </c>
      <c r="BF339">
        <v>419.71</v>
      </c>
      <c r="BG339" s="23">
        <v>8.3803999999999998</v>
      </c>
      <c r="BH339" s="16">
        <v>45502</v>
      </c>
      <c r="BI339" s="18">
        <v>3.7499999999999999E-2</v>
      </c>
      <c r="BJ339">
        <v>0</v>
      </c>
      <c r="BK339">
        <v>0</v>
      </c>
      <c r="BL339">
        <v>0</v>
      </c>
      <c r="BM339">
        <v>0</v>
      </c>
      <c r="BN339">
        <v>0</v>
      </c>
      <c r="BO339">
        <v>0</v>
      </c>
      <c r="BP339">
        <v>0</v>
      </c>
      <c r="BQ339">
        <v>0</v>
      </c>
      <c r="BR339">
        <v>0</v>
      </c>
      <c r="BS339">
        <v>0</v>
      </c>
      <c r="BT339">
        <v>0</v>
      </c>
      <c r="BU339">
        <v>0</v>
      </c>
    </row>
    <row r="340" spans="1:74" x14ac:dyDescent="0.25">
      <c r="A340" t="s">
        <v>111</v>
      </c>
      <c r="B340">
        <v>1</v>
      </c>
      <c r="C340" t="s">
        <v>7</v>
      </c>
      <c r="D340" s="20">
        <v>19456</v>
      </c>
      <c r="E340" s="20">
        <v>256</v>
      </c>
      <c r="F340" s="20">
        <v>4</v>
      </c>
      <c r="G340" s="20">
        <v>4</v>
      </c>
      <c r="H340" s="79">
        <v>1651.18</v>
      </c>
      <c r="I340" s="62">
        <v>2.9739</v>
      </c>
      <c r="J340" s="16">
        <v>45547</v>
      </c>
      <c r="K340" s="25">
        <v>0.52946759259259257</v>
      </c>
      <c r="L340">
        <v>0</v>
      </c>
      <c r="M340">
        <v>0</v>
      </c>
      <c r="N340">
        <v>0</v>
      </c>
      <c r="O340">
        <v>0</v>
      </c>
      <c r="P340">
        <v>0</v>
      </c>
      <c r="Q340">
        <v>0</v>
      </c>
      <c r="R340">
        <v>0</v>
      </c>
      <c r="S340">
        <v>0</v>
      </c>
      <c r="T340">
        <v>0</v>
      </c>
      <c r="U340">
        <v>0</v>
      </c>
      <c r="V340">
        <v>0</v>
      </c>
      <c r="W340">
        <v>0</v>
      </c>
      <c r="X340" s="80">
        <f>X339</f>
        <v>1.9031980000000002</v>
      </c>
      <c r="Z340" t="s">
        <v>149</v>
      </c>
      <c r="AA340">
        <v>1</v>
      </c>
      <c r="AB340" t="s">
        <v>7</v>
      </c>
      <c r="AC340" s="20">
        <v>19584</v>
      </c>
      <c r="AD340" s="20">
        <v>128</v>
      </c>
      <c r="AE340" s="20">
        <v>1</v>
      </c>
      <c r="AF340" s="20">
        <v>16</v>
      </c>
      <c r="AG340" s="79">
        <v>1637.5</v>
      </c>
      <c r="AH340" s="62">
        <v>3.0583</v>
      </c>
      <c r="AI340" s="16">
        <v>45558</v>
      </c>
      <c r="AJ340" s="25">
        <v>0.64692129629629624</v>
      </c>
      <c r="AK340">
        <v>0</v>
      </c>
      <c r="AL340">
        <v>0</v>
      </c>
      <c r="AM340">
        <v>0</v>
      </c>
      <c r="AN340">
        <v>0</v>
      </c>
      <c r="AO340">
        <v>0</v>
      </c>
      <c r="AP340">
        <v>0</v>
      </c>
      <c r="AQ340">
        <v>0</v>
      </c>
      <c r="AR340">
        <v>0</v>
      </c>
      <c r="AS340">
        <v>0</v>
      </c>
      <c r="AT340">
        <v>0</v>
      </c>
      <c r="AU340">
        <v>0</v>
      </c>
      <c r="AV340">
        <v>0</v>
      </c>
      <c r="AW340" s="80">
        <f>AW339</f>
        <v>2.68425</v>
      </c>
      <c r="AZ340">
        <v>1</v>
      </c>
      <c r="BA340" t="s">
        <v>7</v>
      </c>
      <c r="BB340">
        <v>17408</v>
      </c>
      <c r="BC340">
        <v>256</v>
      </c>
      <c r="BD340">
        <v>4</v>
      </c>
      <c r="BE340">
        <v>4</v>
      </c>
      <c r="BF340">
        <v>417.08</v>
      </c>
      <c r="BG340" s="23">
        <v>8.4332999999999991</v>
      </c>
      <c r="BH340" s="16">
        <v>45502</v>
      </c>
      <c r="BI340" s="18">
        <v>0.4249074074074074</v>
      </c>
      <c r="BJ340">
        <v>0</v>
      </c>
      <c r="BK340">
        <v>0</v>
      </c>
      <c r="BL340">
        <v>0</v>
      </c>
      <c r="BM340">
        <v>0</v>
      </c>
      <c r="BN340">
        <v>0</v>
      </c>
      <c r="BO340">
        <v>0</v>
      </c>
      <c r="BP340">
        <v>0</v>
      </c>
      <c r="BQ340">
        <v>0</v>
      </c>
      <c r="BR340">
        <v>0</v>
      </c>
      <c r="BS340">
        <v>0</v>
      </c>
      <c r="BT340">
        <v>0</v>
      </c>
      <c r="BU340">
        <v>0</v>
      </c>
    </row>
    <row r="341" spans="1:74" x14ac:dyDescent="0.25">
      <c r="A341" t="s">
        <v>111</v>
      </c>
      <c r="B341">
        <v>2</v>
      </c>
      <c r="C341" t="s">
        <v>7</v>
      </c>
      <c r="D341" s="20">
        <v>19456</v>
      </c>
      <c r="E341" s="20">
        <v>256</v>
      </c>
      <c r="F341" s="20">
        <v>4</v>
      </c>
      <c r="G341" s="20">
        <v>4</v>
      </c>
      <c r="H341" s="79">
        <v>7065.68</v>
      </c>
      <c r="I341" s="62">
        <v>0.69496999999999998</v>
      </c>
      <c r="J341" s="16">
        <v>45548</v>
      </c>
      <c r="K341" s="25">
        <v>0.19015046296296295</v>
      </c>
      <c r="L341">
        <v>0</v>
      </c>
      <c r="M341">
        <v>0</v>
      </c>
      <c r="N341">
        <v>0</v>
      </c>
      <c r="O341">
        <v>0</v>
      </c>
      <c r="P341">
        <v>0</v>
      </c>
      <c r="Q341">
        <v>0</v>
      </c>
      <c r="R341">
        <v>0</v>
      </c>
      <c r="S341">
        <v>0</v>
      </c>
      <c r="T341">
        <v>0</v>
      </c>
      <c r="U341">
        <v>0</v>
      </c>
      <c r="V341">
        <v>0</v>
      </c>
      <c r="W341">
        <v>0</v>
      </c>
      <c r="X341" s="80">
        <f>X340</f>
        <v>1.9031980000000002</v>
      </c>
      <c r="Z341" t="s">
        <v>149</v>
      </c>
      <c r="AA341">
        <v>2</v>
      </c>
      <c r="AB341" t="s">
        <v>7</v>
      </c>
      <c r="AC341" s="20">
        <v>19584</v>
      </c>
      <c r="AD341" s="20">
        <v>128</v>
      </c>
      <c r="AE341" s="20">
        <v>1</v>
      </c>
      <c r="AF341" s="20">
        <v>16</v>
      </c>
      <c r="AG341" s="79">
        <v>1690.8</v>
      </c>
      <c r="AH341" s="62">
        <v>2.9619</v>
      </c>
      <c r="AI341" s="16">
        <v>45554</v>
      </c>
      <c r="AJ341" s="25">
        <v>0.80704861111111115</v>
      </c>
      <c r="AK341">
        <v>0</v>
      </c>
      <c r="AL341">
        <v>0</v>
      </c>
      <c r="AM341">
        <v>0</v>
      </c>
      <c r="AN341">
        <v>0</v>
      </c>
      <c r="AO341">
        <v>0</v>
      </c>
      <c r="AP341">
        <v>0</v>
      </c>
      <c r="AQ341">
        <v>0</v>
      </c>
      <c r="AR341">
        <v>0</v>
      </c>
      <c r="AS341">
        <v>0</v>
      </c>
      <c r="AT341">
        <v>0</v>
      </c>
      <c r="AU341">
        <v>0</v>
      </c>
      <c r="AV341">
        <v>0</v>
      </c>
      <c r="AW341" s="80">
        <f>AW340</f>
        <v>2.68425</v>
      </c>
      <c r="AZ341">
        <v>0</v>
      </c>
      <c r="BA341" t="s">
        <v>7</v>
      </c>
      <c r="BB341">
        <v>18432</v>
      </c>
      <c r="BC341">
        <v>256</v>
      </c>
      <c r="BD341">
        <v>4</v>
      </c>
      <c r="BE341">
        <v>4</v>
      </c>
      <c r="BF341">
        <v>479.85</v>
      </c>
      <c r="BG341" s="23">
        <v>8.7011000000000003</v>
      </c>
      <c r="BH341" s="16">
        <v>45502</v>
      </c>
      <c r="BI341" s="18">
        <v>0.16513888888888889</v>
      </c>
      <c r="BJ341">
        <v>0</v>
      </c>
      <c r="BK341">
        <v>0</v>
      </c>
      <c r="BL341">
        <v>0</v>
      </c>
      <c r="BM341">
        <v>0</v>
      </c>
      <c r="BN341">
        <v>0</v>
      </c>
      <c r="BO341">
        <v>0</v>
      </c>
      <c r="BP341">
        <v>0</v>
      </c>
      <c r="BQ341">
        <v>0</v>
      </c>
      <c r="BR341">
        <v>0</v>
      </c>
      <c r="BS341">
        <v>0</v>
      </c>
      <c r="BT341">
        <v>0</v>
      </c>
      <c r="BU341">
        <v>0</v>
      </c>
    </row>
    <row r="342" spans="1:74" x14ac:dyDescent="0.25">
      <c r="A342" t="s">
        <v>111</v>
      </c>
      <c r="B342">
        <v>3</v>
      </c>
      <c r="C342" t="s">
        <v>7</v>
      </c>
      <c r="D342" s="20">
        <v>19456</v>
      </c>
      <c r="E342" s="20">
        <v>256</v>
      </c>
      <c r="F342" s="20">
        <v>4</v>
      </c>
      <c r="G342" s="20">
        <v>4</v>
      </c>
      <c r="H342" s="79">
        <v>6854.08</v>
      </c>
      <c r="I342" s="62">
        <v>0.71641999999999995</v>
      </c>
      <c r="J342" s="16">
        <v>45548</v>
      </c>
      <c r="K342" s="25">
        <v>0.81843750000000004</v>
      </c>
      <c r="L342">
        <v>0</v>
      </c>
      <c r="M342">
        <v>0</v>
      </c>
      <c r="N342">
        <v>0</v>
      </c>
      <c r="O342">
        <v>0</v>
      </c>
      <c r="P342">
        <v>0</v>
      </c>
      <c r="Q342">
        <v>0</v>
      </c>
      <c r="R342">
        <v>0</v>
      </c>
      <c r="S342">
        <v>0</v>
      </c>
      <c r="T342">
        <v>0</v>
      </c>
      <c r="U342">
        <v>0</v>
      </c>
      <c r="V342">
        <v>0</v>
      </c>
      <c r="W342">
        <v>0</v>
      </c>
      <c r="X342" s="80">
        <f>X341</f>
        <v>1.9031980000000002</v>
      </c>
      <c r="Z342" t="s">
        <v>149</v>
      </c>
      <c r="AA342">
        <v>3</v>
      </c>
      <c r="AB342" t="s">
        <v>7</v>
      </c>
      <c r="AC342" s="20">
        <v>19584</v>
      </c>
      <c r="AD342" s="20">
        <v>128</v>
      </c>
      <c r="AE342" s="20">
        <v>1</v>
      </c>
      <c r="AF342" s="20">
        <v>16</v>
      </c>
      <c r="AG342" s="79">
        <v>1778.62</v>
      </c>
      <c r="AH342" s="62">
        <v>2.8157000000000001</v>
      </c>
      <c r="AI342" s="16">
        <v>45555</v>
      </c>
      <c r="AJ342" s="25">
        <v>0.33261574074074074</v>
      </c>
      <c r="AK342">
        <v>0</v>
      </c>
      <c r="AL342">
        <v>0</v>
      </c>
      <c r="AM342">
        <v>0</v>
      </c>
      <c r="AN342">
        <v>0</v>
      </c>
      <c r="AO342">
        <v>0</v>
      </c>
      <c r="AP342">
        <v>0</v>
      </c>
      <c r="AQ342">
        <v>0</v>
      </c>
      <c r="AR342">
        <v>0</v>
      </c>
      <c r="AS342">
        <v>0</v>
      </c>
      <c r="AT342">
        <v>0</v>
      </c>
      <c r="AU342">
        <v>0</v>
      </c>
      <c r="AV342">
        <v>0</v>
      </c>
      <c r="AW342" s="80">
        <f>AW341</f>
        <v>2.68425</v>
      </c>
      <c r="AZ342">
        <v>1</v>
      </c>
      <c r="BA342" t="s">
        <v>7</v>
      </c>
      <c r="BB342">
        <v>18432</v>
      </c>
      <c r="BC342">
        <v>256</v>
      </c>
      <c r="BD342">
        <v>4</v>
      </c>
      <c r="BE342">
        <v>4</v>
      </c>
      <c r="BF342">
        <v>482.81</v>
      </c>
      <c r="BG342" s="23">
        <v>8.6478000000000002</v>
      </c>
      <c r="BH342" s="16">
        <v>45502</v>
      </c>
      <c r="BI342" s="18">
        <v>0.5534027777777778</v>
      </c>
      <c r="BJ342">
        <v>0</v>
      </c>
      <c r="BK342">
        <v>0</v>
      </c>
      <c r="BL342">
        <v>0</v>
      </c>
      <c r="BM342">
        <v>0</v>
      </c>
      <c r="BN342">
        <v>0</v>
      </c>
      <c r="BO342">
        <v>0</v>
      </c>
      <c r="BP342">
        <v>0</v>
      </c>
      <c r="BQ342">
        <v>0</v>
      </c>
      <c r="BR342">
        <v>0</v>
      </c>
      <c r="BS342">
        <v>0</v>
      </c>
      <c r="BT342">
        <v>0</v>
      </c>
      <c r="BU342">
        <v>0</v>
      </c>
    </row>
    <row r="343" spans="1:74" x14ac:dyDescent="0.25">
      <c r="A343" t="s">
        <v>111</v>
      </c>
      <c r="B343">
        <v>4</v>
      </c>
      <c r="C343" t="s">
        <v>7</v>
      </c>
      <c r="D343" s="20">
        <v>19456</v>
      </c>
      <c r="E343" s="20">
        <v>256</v>
      </c>
      <c r="F343" s="20">
        <v>4</v>
      </c>
      <c r="G343" s="20">
        <v>4</v>
      </c>
      <c r="H343" s="79">
        <v>2311.7600000000002</v>
      </c>
      <c r="I343" s="62">
        <v>2.1240999999999999</v>
      </c>
      <c r="J343" s="16">
        <v>45549</v>
      </c>
      <c r="K343" s="25">
        <v>0.44718750000000002</v>
      </c>
      <c r="L343">
        <v>0</v>
      </c>
      <c r="M343">
        <v>0</v>
      </c>
      <c r="N343">
        <v>0</v>
      </c>
      <c r="O343">
        <v>0</v>
      </c>
      <c r="P343">
        <v>0</v>
      </c>
      <c r="Q343">
        <v>0</v>
      </c>
      <c r="R343">
        <v>0</v>
      </c>
      <c r="S343">
        <v>0</v>
      </c>
      <c r="T343">
        <v>0</v>
      </c>
      <c r="U343">
        <v>0</v>
      </c>
      <c r="V343">
        <v>0</v>
      </c>
      <c r="W343">
        <v>0</v>
      </c>
      <c r="X343" s="80">
        <f>X342</f>
        <v>1.9031980000000002</v>
      </c>
      <c r="Z343" t="s">
        <v>149</v>
      </c>
      <c r="AA343">
        <v>4</v>
      </c>
      <c r="AB343" t="s">
        <v>7</v>
      </c>
      <c r="AC343" s="20">
        <v>19584</v>
      </c>
      <c r="AD343" s="20">
        <v>128</v>
      </c>
      <c r="AE343" s="20">
        <v>1</v>
      </c>
      <c r="AF343" s="20">
        <v>16</v>
      </c>
      <c r="AG343" s="79">
        <v>1714.71</v>
      </c>
      <c r="AH343" s="62">
        <v>2.9205999999999999</v>
      </c>
      <c r="AI343" s="16">
        <v>45555</v>
      </c>
      <c r="AJ343" s="25">
        <v>0.82590277777777776</v>
      </c>
      <c r="AK343">
        <v>0</v>
      </c>
      <c r="AL343">
        <v>0</v>
      </c>
      <c r="AM343">
        <v>0</v>
      </c>
      <c r="AN343">
        <v>0</v>
      </c>
      <c r="AO343">
        <v>0</v>
      </c>
      <c r="AP343">
        <v>0</v>
      </c>
      <c r="AQ343">
        <v>0</v>
      </c>
      <c r="AR343">
        <v>0</v>
      </c>
      <c r="AS343">
        <v>0</v>
      </c>
      <c r="AT343">
        <v>0</v>
      </c>
      <c r="AU343">
        <v>0</v>
      </c>
      <c r="AV343">
        <v>0</v>
      </c>
      <c r="AW343" s="80">
        <f>AW342</f>
        <v>2.68425</v>
      </c>
      <c r="AZ343">
        <v>0</v>
      </c>
      <c r="BA343" t="s">
        <v>7</v>
      </c>
      <c r="BB343">
        <v>19456</v>
      </c>
      <c r="BC343">
        <v>256</v>
      </c>
      <c r="BD343">
        <v>4</v>
      </c>
      <c r="BE343">
        <v>4</v>
      </c>
      <c r="BF343">
        <v>553.65</v>
      </c>
      <c r="BG343" s="23">
        <v>8.8691999999999993</v>
      </c>
      <c r="BH343" s="16">
        <v>45502</v>
      </c>
      <c r="BI343" s="18">
        <v>0.31513888888888891</v>
      </c>
      <c r="BJ343">
        <v>0</v>
      </c>
      <c r="BK343">
        <v>0</v>
      </c>
      <c r="BL343">
        <v>0</v>
      </c>
      <c r="BM343">
        <v>0</v>
      </c>
      <c r="BN343">
        <v>0</v>
      </c>
      <c r="BO343">
        <v>0</v>
      </c>
      <c r="BP343">
        <v>0</v>
      </c>
      <c r="BQ343">
        <v>0</v>
      </c>
      <c r="BR343">
        <v>0</v>
      </c>
      <c r="BS343">
        <v>0</v>
      </c>
      <c r="BT343">
        <v>0</v>
      </c>
      <c r="BU343">
        <v>0</v>
      </c>
    </row>
    <row r="344" spans="1:74" x14ac:dyDescent="0.25">
      <c r="A344" t="s">
        <v>111</v>
      </c>
      <c r="B344">
        <v>0</v>
      </c>
      <c r="C344" t="s">
        <v>7</v>
      </c>
      <c r="D344" s="20">
        <v>19520</v>
      </c>
      <c r="E344" s="20">
        <v>160</v>
      </c>
      <c r="F344" s="20">
        <v>1</v>
      </c>
      <c r="G344" s="20">
        <v>16</v>
      </c>
      <c r="H344" s="79">
        <v>2081.3000000000002</v>
      </c>
      <c r="I344" s="62">
        <v>2.3826999999999998</v>
      </c>
      <c r="J344" s="16">
        <v>45546</v>
      </c>
      <c r="K344" s="25">
        <v>0.65762731481481485</v>
      </c>
      <c r="L344">
        <v>0</v>
      </c>
      <c r="M344">
        <v>0</v>
      </c>
      <c r="N344">
        <v>0</v>
      </c>
      <c r="O344">
        <v>0</v>
      </c>
      <c r="P344">
        <v>0</v>
      </c>
      <c r="Q344">
        <v>0</v>
      </c>
      <c r="R344">
        <v>0</v>
      </c>
      <c r="S344">
        <v>0</v>
      </c>
      <c r="T344">
        <v>0</v>
      </c>
      <c r="U344">
        <v>0</v>
      </c>
      <c r="V344">
        <v>0</v>
      </c>
      <c r="W344">
        <v>0</v>
      </c>
      <c r="X344" s="82">
        <f>AVERAGE(I344:I348)</f>
        <v>1.8876999999999999</v>
      </c>
      <c r="Z344" t="s">
        <v>149</v>
      </c>
      <c r="AA344">
        <v>0</v>
      </c>
      <c r="AB344" t="s">
        <v>7</v>
      </c>
      <c r="AC344" s="20">
        <v>19488</v>
      </c>
      <c r="AD344" s="20">
        <v>224</v>
      </c>
      <c r="AE344" s="20">
        <v>1</v>
      </c>
      <c r="AF344" s="20">
        <v>16</v>
      </c>
      <c r="AG344" s="79">
        <v>2026.78</v>
      </c>
      <c r="AH344" s="62">
        <v>2.4348000000000001</v>
      </c>
      <c r="AI344" s="16">
        <v>45558</v>
      </c>
      <c r="AJ344" s="25">
        <v>0.2857986111111111</v>
      </c>
      <c r="AK344">
        <v>0</v>
      </c>
      <c r="AL344">
        <v>0</v>
      </c>
      <c r="AM344">
        <v>0</v>
      </c>
      <c r="AN344">
        <v>0</v>
      </c>
      <c r="AO344">
        <v>0</v>
      </c>
      <c r="AP344">
        <v>0</v>
      </c>
      <c r="AQ344">
        <v>0</v>
      </c>
      <c r="AR344">
        <v>0</v>
      </c>
      <c r="AS344">
        <v>0</v>
      </c>
      <c r="AT344">
        <v>0</v>
      </c>
      <c r="AU344">
        <v>0</v>
      </c>
      <c r="AV344">
        <v>0</v>
      </c>
      <c r="AW344" s="82">
        <f>AVERAGE(AH344:AH347)</f>
        <v>2.373675</v>
      </c>
      <c r="BC344" s="23"/>
      <c r="BF344"/>
    </row>
    <row r="345" spans="1:74" x14ac:dyDescent="0.25">
      <c r="A345" t="s">
        <v>111</v>
      </c>
      <c r="B345">
        <v>1</v>
      </c>
      <c r="C345" t="s">
        <v>7</v>
      </c>
      <c r="D345" s="20">
        <v>19520</v>
      </c>
      <c r="E345" s="20">
        <v>160</v>
      </c>
      <c r="F345" s="20">
        <v>1</v>
      </c>
      <c r="G345" s="20">
        <v>16</v>
      </c>
      <c r="H345" s="79">
        <v>3309.93</v>
      </c>
      <c r="I345" s="62">
        <v>1.4982</v>
      </c>
      <c r="J345" s="16">
        <v>45547</v>
      </c>
      <c r="K345" s="25">
        <v>0.29673611111111109</v>
      </c>
      <c r="L345">
        <v>0</v>
      </c>
      <c r="M345">
        <v>0</v>
      </c>
      <c r="N345">
        <v>0</v>
      </c>
      <c r="O345">
        <v>0</v>
      </c>
      <c r="P345">
        <v>0</v>
      </c>
      <c r="Q345">
        <v>0</v>
      </c>
      <c r="R345">
        <v>0</v>
      </c>
      <c r="S345">
        <v>0</v>
      </c>
      <c r="T345">
        <v>0</v>
      </c>
      <c r="U345">
        <v>0</v>
      </c>
      <c r="V345">
        <v>0</v>
      </c>
      <c r="W345">
        <v>0</v>
      </c>
      <c r="X345" s="80">
        <f>X344</f>
        <v>1.8876999999999999</v>
      </c>
      <c r="Z345" t="s">
        <v>149</v>
      </c>
      <c r="AA345">
        <v>1</v>
      </c>
      <c r="AB345" t="s">
        <v>7</v>
      </c>
      <c r="AC345" s="20">
        <v>19488</v>
      </c>
      <c r="AD345" s="20">
        <v>224</v>
      </c>
      <c r="AE345" s="20">
        <v>1</v>
      </c>
      <c r="AF345" s="20">
        <v>16</v>
      </c>
      <c r="AG345" s="79">
        <v>2127.94</v>
      </c>
      <c r="AH345" s="62">
        <v>2.319</v>
      </c>
      <c r="AI345" s="16">
        <v>45558</v>
      </c>
      <c r="AJ345" s="25">
        <v>0.78135416666666668</v>
      </c>
      <c r="AK345">
        <v>0</v>
      </c>
      <c r="AL345">
        <v>0</v>
      </c>
      <c r="AM345">
        <v>0</v>
      </c>
      <c r="AN345">
        <v>0</v>
      </c>
      <c r="AO345">
        <v>0</v>
      </c>
      <c r="AP345">
        <v>0</v>
      </c>
      <c r="AQ345">
        <v>0</v>
      </c>
      <c r="AR345">
        <v>0</v>
      </c>
      <c r="AS345">
        <v>0</v>
      </c>
      <c r="AT345">
        <v>0</v>
      </c>
      <c r="AU345">
        <v>0</v>
      </c>
      <c r="AV345">
        <v>0</v>
      </c>
      <c r="AW345" s="80">
        <f>AW344</f>
        <v>2.373675</v>
      </c>
      <c r="AY345" t="s">
        <v>111</v>
      </c>
      <c r="AZ345">
        <v>0</v>
      </c>
      <c r="BA345" t="s">
        <v>7</v>
      </c>
      <c r="BB345">
        <v>19584</v>
      </c>
      <c r="BC345">
        <v>64</v>
      </c>
      <c r="BD345">
        <v>2</v>
      </c>
      <c r="BE345">
        <v>8</v>
      </c>
      <c r="BF345" s="23">
        <v>447.13</v>
      </c>
      <c r="BG345" s="60">
        <v>11.2</v>
      </c>
      <c r="BH345" s="16">
        <v>45541</v>
      </c>
      <c r="BI345" s="18">
        <v>0.52087962962962964</v>
      </c>
      <c r="BJ345">
        <v>0</v>
      </c>
      <c r="BK345">
        <v>0</v>
      </c>
      <c r="BL345">
        <v>0</v>
      </c>
      <c r="BM345">
        <v>0</v>
      </c>
      <c r="BN345">
        <v>0</v>
      </c>
      <c r="BO345">
        <v>0</v>
      </c>
      <c r="BP345">
        <v>0</v>
      </c>
      <c r="BQ345">
        <v>0</v>
      </c>
      <c r="BR345">
        <v>0</v>
      </c>
      <c r="BS345">
        <v>0</v>
      </c>
      <c r="BT345">
        <v>0</v>
      </c>
      <c r="BU345">
        <v>0</v>
      </c>
      <c r="BV345" s="112">
        <f>AVERAGE(BG345:BG348)</f>
        <v>11.453499999999998</v>
      </c>
    </row>
    <row r="346" spans="1:74" x14ac:dyDescent="0.25">
      <c r="A346" t="s">
        <v>111</v>
      </c>
      <c r="B346">
        <v>2</v>
      </c>
      <c r="C346" t="s">
        <v>7</v>
      </c>
      <c r="D346" s="20">
        <v>19520</v>
      </c>
      <c r="E346" s="20">
        <v>160</v>
      </c>
      <c r="F346" s="20">
        <v>1</v>
      </c>
      <c r="G346" s="20">
        <v>16</v>
      </c>
      <c r="H346" s="79">
        <v>2663.04</v>
      </c>
      <c r="I346" s="62">
        <v>1.8622000000000001</v>
      </c>
      <c r="J346" s="16">
        <v>45547</v>
      </c>
      <c r="K346" s="25">
        <v>0.90091435185185187</v>
      </c>
      <c r="L346">
        <v>0</v>
      </c>
      <c r="M346">
        <v>0</v>
      </c>
      <c r="N346">
        <v>0</v>
      </c>
      <c r="O346">
        <v>0</v>
      </c>
      <c r="P346">
        <v>0</v>
      </c>
      <c r="Q346">
        <v>0</v>
      </c>
      <c r="R346">
        <v>0</v>
      </c>
      <c r="S346">
        <v>0</v>
      </c>
      <c r="T346">
        <v>0</v>
      </c>
      <c r="U346">
        <v>0</v>
      </c>
      <c r="V346">
        <v>0</v>
      </c>
      <c r="W346">
        <v>0</v>
      </c>
      <c r="X346" s="80">
        <f>X345</f>
        <v>1.8876999999999999</v>
      </c>
      <c r="Z346" t="s">
        <v>149</v>
      </c>
      <c r="AA346">
        <v>2</v>
      </c>
      <c r="AB346" t="s">
        <v>7</v>
      </c>
      <c r="AC346" s="20">
        <v>19488</v>
      </c>
      <c r="AD346" s="20">
        <v>224</v>
      </c>
      <c r="AE346" s="20">
        <v>1</v>
      </c>
      <c r="AF346" s="20">
        <v>16</v>
      </c>
      <c r="AG346" s="79">
        <v>1956.05</v>
      </c>
      <c r="AH346" s="62">
        <v>2.5228000000000002</v>
      </c>
      <c r="AI346" s="16">
        <v>45554</v>
      </c>
      <c r="AJ346" s="25">
        <v>0.94826388888888891</v>
      </c>
      <c r="AK346">
        <v>0</v>
      </c>
      <c r="AL346">
        <v>0</v>
      </c>
      <c r="AM346">
        <v>0</v>
      </c>
      <c r="AN346">
        <v>0</v>
      </c>
      <c r="AO346">
        <v>0</v>
      </c>
      <c r="AP346">
        <v>0</v>
      </c>
      <c r="AQ346">
        <v>0</v>
      </c>
      <c r="AR346">
        <v>0</v>
      </c>
      <c r="AS346">
        <v>0</v>
      </c>
      <c r="AT346">
        <v>0</v>
      </c>
      <c r="AU346">
        <v>0</v>
      </c>
      <c r="AV346">
        <v>0</v>
      </c>
      <c r="AW346" s="80">
        <f>AW345</f>
        <v>2.373675</v>
      </c>
      <c r="AY346" t="s">
        <v>111</v>
      </c>
      <c r="AZ346">
        <v>0</v>
      </c>
      <c r="BA346" t="s">
        <v>7</v>
      </c>
      <c r="BB346">
        <v>19584</v>
      </c>
      <c r="BC346">
        <v>96</v>
      </c>
      <c r="BD346">
        <v>2</v>
      </c>
      <c r="BE346">
        <v>8</v>
      </c>
      <c r="BF346" s="23">
        <v>438.09</v>
      </c>
      <c r="BG346" s="60">
        <v>11.432</v>
      </c>
      <c r="BH346" s="16">
        <v>45541</v>
      </c>
      <c r="BI346" s="18">
        <v>0.52615740740740746</v>
      </c>
      <c r="BJ346">
        <v>0</v>
      </c>
      <c r="BK346">
        <v>0</v>
      </c>
      <c r="BL346">
        <v>0</v>
      </c>
      <c r="BM346">
        <v>0</v>
      </c>
      <c r="BN346">
        <v>0</v>
      </c>
      <c r="BO346">
        <v>0</v>
      </c>
      <c r="BP346">
        <v>0</v>
      </c>
      <c r="BQ346">
        <v>0</v>
      </c>
      <c r="BR346">
        <v>0</v>
      </c>
      <c r="BS346">
        <v>0</v>
      </c>
      <c r="BT346">
        <v>0</v>
      </c>
      <c r="BU346">
        <v>0</v>
      </c>
      <c r="BV346" s="112"/>
    </row>
    <row r="347" spans="1:74" x14ac:dyDescent="0.25">
      <c r="A347" t="s">
        <v>111</v>
      </c>
      <c r="B347">
        <v>3</v>
      </c>
      <c r="C347" t="s">
        <v>7</v>
      </c>
      <c r="D347" s="20">
        <v>19520</v>
      </c>
      <c r="E347" s="20">
        <v>160</v>
      </c>
      <c r="F347" s="20">
        <v>1</v>
      </c>
      <c r="G347" s="20">
        <v>16</v>
      </c>
      <c r="H347" s="79">
        <v>2480.36</v>
      </c>
      <c r="I347" s="62">
        <v>1.9993000000000001</v>
      </c>
      <c r="J347" s="16">
        <v>45548</v>
      </c>
      <c r="K347" s="25">
        <v>0.56000000000000005</v>
      </c>
      <c r="L347">
        <v>0</v>
      </c>
      <c r="M347">
        <v>0</v>
      </c>
      <c r="N347">
        <v>0</v>
      </c>
      <c r="O347">
        <v>0</v>
      </c>
      <c r="P347">
        <v>0</v>
      </c>
      <c r="Q347">
        <v>0</v>
      </c>
      <c r="R347">
        <v>0</v>
      </c>
      <c r="S347">
        <v>0</v>
      </c>
      <c r="T347">
        <v>0</v>
      </c>
      <c r="U347">
        <v>0</v>
      </c>
      <c r="V347">
        <v>0</v>
      </c>
      <c r="W347">
        <v>0</v>
      </c>
      <c r="X347" s="80">
        <f>X346</f>
        <v>1.8876999999999999</v>
      </c>
      <c r="Z347" t="s">
        <v>149</v>
      </c>
      <c r="AA347">
        <v>3</v>
      </c>
      <c r="AB347" t="s">
        <v>7</v>
      </c>
      <c r="AC347" s="20">
        <v>19488</v>
      </c>
      <c r="AD347" s="20">
        <v>224</v>
      </c>
      <c r="AE347" s="20">
        <v>1</v>
      </c>
      <c r="AF347" s="20">
        <v>16</v>
      </c>
      <c r="AG347" s="79">
        <v>2224.7399999999998</v>
      </c>
      <c r="AH347" s="62">
        <v>2.2181000000000002</v>
      </c>
      <c r="AI347" s="16">
        <v>45555</v>
      </c>
      <c r="AJ347" s="25">
        <v>0.45208333333333334</v>
      </c>
      <c r="AK347">
        <v>0</v>
      </c>
      <c r="AL347">
        <v>0</v>
      </c>
      <c r="AM347">
        <v>0</v>
      </c>
      <c r="AN347">
        <v>0</v>
      </c>
      <c r="AO347">
        <v>0</v>
      </c>
      <c r="AP347">
        <v>0</v>
      </c>
      <c r="AQ347">
        <v>0</v>
      </c>
      <c r="AR347">
        <v>0</v>
      </c>
      <c r="AS347">
        <v>0</v>
      </c>
      <c r="AT347">
        <v>0</v>
      </c>
      <c r="AU347">
        <v>0</v>
      </c>
      <c r="AV347">
        <v>0</v>
      </c>
      <c r="AW347" s="80">
        <f>AW346</f>
        <v>2.373675</v>
      </c>
      <c r="AY347" t="s">
        <v>111</v>
      </c>
      <c r="AZ347">
        <v>0</v>
      </c>
      <c r="BA347" t="s">
        <v>7</v>
      </c>
      <c r="BB347">
        <v>19520</v>
      </c>
      <c r="BC347">
        <v>160</v>
      </c>
      <c r="BD347">
        <v>2</v>
      </c>
      <c r="BE347">
        <v>8</v>
      </c>
      <c r="BF347" s="23">
        <v>428.01</v>
      </c>
      <c r="BG347" s="60">
        <v>11.586</v>
      </c>
      <c r="BH347" s="16">
        <v>45541</v>
      </c>
      <c r="BI347" s="18">
        <v>0.53131944444444446</v>
      </c>
      <c r="BJ347">
        <v>0</v>
      </c>
      <c r="BK347">
        <v>0</v>
      </c>
      <c r="BL347">
        <v>0</v>
      </c>
      <c r="BM347">
        <v>0</v>
      </c>
      <c r="BN347">
        <v>0</v>
      </c>
      <c r="BO347">
        <v>0</v>
      </c>
      <c r="BP347">
        <v>0</v>
      </c>
      <c r="BQ347">
        <v>0</v>
      </c>
      <c r="BR347">
        <v>0</v>
      </c>
      <c r="BS347">
        <v>0</v>
      </c>
      <c r="BT347">
        <v>0</v>
      </c>
      <c r="BU347">
        <v>0</v>
      </c>
      <c r="BV347" s="112"/>
    </row>
    <row r="348" spans="1:74" x14ac:dyDescent="0.25">
      <c r="A348" t="s">
        <v>111</v>
      </c>
      <c r="B348">
        <v>4</v>
      </c>
      <c r="C348" t="s">
        <v>7</v>
      </c>
      <c r="D348" s="20">
        <v>19520</v>
      </c>
      <c r="E348" s="20">
        <v>160</v>
      </c>
      <c r="F348" s="20">
        <v>1</v>
      </c>
      <c r="G348" s="20">
        <v>16</v>
      </c>
      <c r="H348" s="79">
        <v>2923.8</v>
      </c>
      <c r="I348" s="62">
        <v>1.6960999999999999</v>
      </c>
      <c r="J348" s="16">
        <v>45549</v>
      </c>
      <c r="K348" s="25">
        <v>0.20346064814814815</v>
      </c>
      <c r="L348">
        <v>0</v>
      </c>
      <c r="M348">
        <v>0</v>
      </c>
      <c r="N348">
        <v>0</v>
      </c>
      <c r="O348">
        <v>0</v>
      </c>
      <c r="P348">
        <v>0</v>
      </c>
      <c r="Q348">
        <v>0</v>
      </c>
      <c r="R348">
        <v>0</v>
      </c>
      <c r="S348">
        <v>0</v>
      </c>
      <c r="T348">
        <v>0</v>
      </c>
      <c r="U348">
        <v>0</v>
      </c>
      <c r="V348">
        <v>0</v>
      </c>
      <c r="W348">
        <v>0</v>
      </c>
      <c r="X348" s="80">
        <f>X347</f>
        <v>1.8876999999999999</v>
      </c>
      <c r="Z348" t="s">
        <v>149</v>
      </c>
      <c r="AA348">
        <v>4</v>
      </c>
      <c r="AB348" t="s">
        <v>7</v>
      </c>
      <c r="AC348" s="20">
        <v>19488</v>
      </c>
      <c r="AD348" s="20">
        <v>224</v>
      </c>
      <c r="AE348" s="20">
        <v>1</v>
      </c>
      <c r="AF348" s="20">
        <v>16</v>
      </c>
      <c r="AG348" s="79">
        <v>2382.9299999999998</v>
      </c>
      <c r="AH348" s="62">
        <v>2.0709</v>
      </c>
      <c r="AI348" s="16">
        <v>45555</v>
      </c>
      <c r="AJ348" s="25">
        <v>0.96288194444444442</v>
      </c>
      <c r="AK348">
        <v>0</v>
      </c>
      <c r="AL348">
        <v>0</v>
      </c>
      <c r="AM348">
        <v>0</v>
      </c>
      <c r="AN348">
        <v>0</v>
      </c>
      <c r="AO348">
        <v>0</v>
      </c>
      <c r="AP348">
        <v>0</v>
      </c>
      <c r="AQ348">
        <v>0</v>
      </c>
      <c r="AR348">
        <v>0</v>
      </c>
      <c r="AS348">
        <v>0</v>
      </c>
      <c r="AT348">
        <v>0</v>
      </c>
      <c r="AU348">
        <v>0</v>
      </c>
      <c r="AV348">
        <v>0</v>
      </c>
      <c r="AW348" s="80">
        <f>AW347</f>
        <v>2.373675</v>
      </c>
      <c r="AY348" t="s">
        <v>111</v>
      </c>
      <c r="AZ348">
        <v>0</v>
      </c>
      <c r="BA348" t="s">
        <v>7</v>
      </c>
      <c r="BB348">
        <v>19584</v>
      </c>
      <c r="BC348">
        <v>192</v>
      </c>
      <c r="BD348">
        <v>2</v>
      </c>
      <c r="BE348">
        <v>8</v>
      </c>
      <c r="BF348" s="23">
        <v>431.89</v>
      </c>
      <c r="BG348" s="60">
        <v>11.596</v>
      </c>
      <c r="BH348" s="16">
        <v>45541</v>
      </c>
      <c r="BI348" s="18">
        <v>0.5365509259259259</v>
      </c>
      <c r="BJ348">
        <v>0</v>
      </c>
      <c r="BK348">
        <v>0</v>
      </c>
      <c r="BL348">
        <v>0</v>
      </c>
      <c r="BM348">
        <v>0</v>
      </c>
      <c r="BN348">
        <v>0</v>
      </c>
      <c r="BO348">
        <v>0</v>
      </c>
      <c r="BP348">
        <v>0</v>
      </c>
      <c r="BQ348">
        <v>0</v>
      </c>
      <c r="BR348">
        <v>0</v>
      </c>
      <c r="BS348">
        <v>0</v>
      </c>
      <c r="BT348">
        <v>0</v>
      </c>
      <c r="BU348">
        <v>0</v>
      </c>
      <c r="BV348" s="112"/>
    </row>
    <row r="349" spans="1:74" x14ac:dyDescent="0.25">
      <c r="A349" t="s">
        <v>111</v>
      </c>
      <c r="B349">
        <v>0</v>
      </c>
      <c r="C349" t="s">
        <v>7</v>
      </c>
      <c r="D349" s="20">
        <v>19584</v>
      </c>
      <c r="E349" s="20">
        <v>192</v>
      </c>
      <c r="F349" s="20">
        <v>1</v>
      </c>
      <c r="G349" s="20">
        <v>16</v>
      </c>
      <c r="H349" s="79">
        <v>3569.38</v>
      </c>
      <c r="I349" s="62">
        <v>1.403</v>
      </c>
      <c r="J349" s="16">
        <v>45546</v>
      </c>
      <c r="K349" s="25">
        <v>0.70658564814814817</v>
      </c>
      <c r="L349">
        <v>0</v>
      </c>
      <c r="M349">
        <v>0</v>
      </c>
      <c r="N349">
        <v>0</v>
      </c>
      <c r="O349">
        <v>0</v>
      </c>
      <c r="P349">
        <v>0</v>
      </c>
      <c r="Q349">
        <v>0</v>
      </c>
      <c r="R349">
        <v>0</v>
      </c>
      <c r="S349">
        <v>0</v>
      </c>
      <c r="T349">
        <v>0</v>
      </c>
      <c r="U349">
        <v>0</v>
      </c>
      <c r="V349">
        <v>0</v>
      </c>
      <c r="W349">
        <v>0</v>
      </c>
      <c r="X349" s="82">
        <f>AVERAGE(I349:I353)</f>
        <v>1.4899600000000002</v>
      </c>
      <c r="Z349" t="s">
        <v>149</v>
      </c>
      <c r="AA349">
        <v>0</v>
      </c>
      <c r="AB349" t="s">
        <v>7</v>
      </c>
      <c r="AC349" s="20">
        <v>19520</v>
      </c>
      <c r="AD349" s="20">
        <v>160</v>
      </c>
      <c r="AE349" s="20">
        <v>1</v>
      </c>
      <c r="AF349" s="20">
        <v>16</v>
      </c>
      <c r="AG349" s="79">
        <v>2273.75</v>
      </c>
      <c r="AH349" s="62">
        <v>2.181</v>
      </c>
      <c r="AI349" s="16">
        <v>45558</v>
      </c>
      <c r="AJ349" s="25">
        <v>0.20291666666666666</v>
      </c>
      <c r="AK349">
        <v>0</v>
      </c>
      <c r="AL349">
        <v>0</v>
      </c>
      <c r="AM349">
        <v>0</v>
      </c>
      <c r="AN349">
        <v>0</v>
      </c>
      <c r="AO349">
        <v>0</v>
      </c>
      <c r="AP349">
        <v>0</v>
      </c>
      <c r="AQ349">
        <v>0</v>
      </c>
      <c r="AR349">
        <v>0</v>
      </c>
      <c r="AS349">
        <v>0</v>
      </c>
      <c r="AT349">
        <v>0</v>
      </c>
      <c r="AU349">
        <v>0</v>
      </c>
      <c r="AV349">
        <v>0</v>
      </c>
      <c r="AW349" s="82">
        <f>AVERAGE(AH349:AH352)</f>
        <v>2.1899000000000002</v>
      </c>
      <c r="AY349" t="s">
        <v>109</v>
      </c>
      <c r="AZ349">
        <v>0</v>
      </c>
      <c r="BA349" t="s">
        <v>7</v>
      </c>
      <c r="BB349">
        <v>19584</v>
      </c>
      <c r="BC349">
        <v>64</v>
      </c>
      <c r="BD349">
        <v>2</v>
      </c>
      <c r="BE349">
        <v>8</v>
      </c>
      <c r="BF349" s="23">
        <v>448.75</v>
      </c>
      <c r="BG349" s="60">
        <v>11.16</v>
      </c>
      <c r="BH349" s="16">
        <v>45541</v>
      </c>
      <c r="BI349" s="18">
        <v>0.54192129629629626</v>
      </c>
      <c r="BJ349">
        <v>0</v>
      </c>
      <c r="BK349">
        <v>0</v>
      </c>
      <c r="BL349">
        <v>0</v>
      </c>
      <c r="BM349">
        <v>0</v>
      </c>
      <c r="BN349">
        <v>0</v>
      </c>
      <c r="BO349">
        <v>0</v>
      </c>
      <c r="BP349">
        <v>0</v>
      </c>
      <c r="BQ349">
        <v>0</v>
      </c>
      <c r="BR349">
        <v>0</v>
      </c>
      <c r="BS349">
        <v>0</v>
      </c>
      <c r="BT349">
        <v>0</v>
      </c>
      <c r="BU349">
        <v>0</v>
      </c>
      <c r="BV349" s="112">
        <f t="shared" ref="BV349" si="8">AVERAGE(BG349:BG352)</f>
        <v>11.277999999999999</v>
      </c>
    </row>
    <row r="350" spans="1:74" x14ac:dyDescent="0.25">
      <c r="A350" t="s">
        <v>111</v>
      </c>
      <c r="B350">
        <v>1</v>
      </c>
      <c r="C350" t="s">
        <v>7</v>
      </c>
      <c r="D350" s="20">
        <v>19584</v>
      </c>
      <c r="E350" s="20">
        <v>192</v>
      </c>
      <c r="F350" s="20">
        <v>1</v>
      </c>
      <c r="G350" s="20">
        <v>16</v>
      </c>
      <c r="H350" s="79">
        <v>3027.72</v>
      </c>
      <c r="I350" s="62">
        <v>1.6539999999999999</v>
      </c>
      <c r="J350" s="16">
        <v>45547</v>
      </c>
      <c r="K350" s="25">
        <v>0.3442824074074074</v>
      </c>
      <c r="L350">
        <v>0</v>
      </c>
      <c r="M350">
        <v>0</v>
      </c>
      <c r="N350">
        <v>0</v>
      </c>
      <c r="O350">
        <v>0</v>
      </c>
      <c r="P350">
        <v>0</v>
      </c>
      <c r="Q350">
        <v>0</v>
      </c>
      <c r="R350">
        <v>0</v>
      </c>
      <c r="S350">
        <v>0</v>
      </c>
      <c r="T350">
        <v>0</v>
      </c>
      <c r="U350">
        <v>0</v>
      </c>
      <c r="V350">
        <v>0</v>
      </c>
      <c r="W350">
        <v>0</v>
      </c>
      <c r="X350" s="80">
        <f>X349</f>
        <v>1.4899600000000002</v>
      </c>
      <c r="Z350" t="s">
        <v>149</v>
      </c>
      <c r="AA350">
        <v>1</v>
      </c>
      <c r="AB350" t="s">
        <v>7</v>
      </c>
      <c r="AC350" s="20">
        <v>19520</v>
      </c>
      <c r="AD350" s="20">
        <v>160</v>
      </c>
      <c r="AE350" s="20">
        <v>1</v>
      </c>
      <c r="AF350" s="20">
        <v>16</v>
      </c>
      <c r="AG350" s="79">
        <v>3070.41</v>
      </c>
      <c r="AH350" s="62">
        <v>1.6151</v>
      </c>
      <c r="AI350" s="16">
        <v>45558</v>
      </c>
      <c r="AJ350" s="25">
        <v>0.69314814814814818</v>
      </c>
      <c r="AK350">
        <v>0</v>
      </c>
      <c r="AL350">
        <v>0</v>
      </c>
      <c r="AM350">
        <v>0</v>
      </c>
      <c r="AN350">
        <v>0</v>
      </c>
      <c r="AO350">
        <v>0</v>
      </c>
      <c r="AP350">
        <v>0</v>
      </c>
      <c r="AQ350">
        <v>0</v>
      </c>
      <c r="AR350">
        <v>0</v>
      </c>
      <c r="AS350">
        <v>0</v>
      </c>
      <c r="AT350">
        <v>0</v>
      </c>
      <c r="AU350">
        <v>0</v>
      </c>
      <c r="AV350">
        <v>0</v>
      </c>
      <c r="AW350" s="80">
        <f>AW349</f>
        <v>2.1899000000000002</v>
      </c>
      <c r="AY350" t="s">
        <v>109</v>
      </c>
      <c r="AZ350">
        <v>0</v>
      </c>
      <c r="BA350" t="s">
        <v>7</v>
      </c>
      <c r="BB350">
        <v>19584</v>
      </c>
      <c r="BC350">
        <v>96</v>
      </c>
      <c r="BD350">
        <v>2</v>
      </c>
      <c r="BE350">
        <v>8</v>
      </c>
      <c r="BF350" s="23">
        <v>440.52</v>
      </c>
      <c r="BG350" s="60">
        <v>11.368</v>
      </c>
      <c r="BH350" s="16">
        <v>45541</v>
      </c>
      <c r="BI350" s="18">
        <v>0.54719907407407409</v>
      </c>
      <c r="BJ350">
        <v>0</v>
      </c>
      <c r="BK350">
        <v>0</v>
      </c>
      <c r="BL350">
        <v>0</v>
      </c>
      <c r="BM350">
        <v>0</v>
      </c>
      <c r="BN350">
        <v>0</v>
      </c>
      <c r="BO350">
        <v>0</v>
      </c>
      <c r="BP350">
        <v>0</v>
      </c>
      <c r="BQ350">
        <v>0</v>
      </c>
      <c r="BR350">
        <v>0</v>
      </c>
      <c r="BS350">
        <v>0</v>
      </c>
      <c r="BT350">
        <v>0</v>
      </c>
      <c r="BU350">
        <v>0</v>
      </c>
      <c r="BV350" s="112"/>
    </row>
    <row r="351" spans="1:74" x14ac:dyDescent="0.25">
      <c r="A351" t="s">
        <v>111</v>
      </c>
      <c r="B351">
        <v>2</v>
      </c>
      <c r="C351" t="s">
        <v>7</v>
      </c>
      <c r="D351" s="20">
        <v>19584</v>
      </c>
      <c r="E351" s="20">
        <v>192</v>
      </c>
      <c r="F351" s="20">
        <v>1</v>
      </c>
      <c r="G351" s="20">
        <v>16</v>
      </c>
      <c r="H351" s="79">
        <v>3343.86</v>
      </c>
      <c r="I351" s="62">
        <v>1.4977</v>
      </c>
      <c r="J351" s="16">
        <v>45547</v>
      </c>
      <c r="K351" s="25">
        <v>0.95270833333333338</v>
      </c>
      <c r="L351">
        <v>0</v>
      </c>
      <c r="M351">
        <v>0</v>
      </c>
      <c r="N351">
        <v>0</v>
      </c>
      <c r="O351">
        <v>0</v>
      </c>
      <c r="P351">
        <v>0</v>
      </c>
      <c r="Q351">
        <v>0</v>
      </c>
      <c r="R351">
        <v>0</v>
      </c>
      <c r="S351">
        <v>0</v>
      </c>
      <c r="T351">
        <v>0</v>
      </c>
      <c r="U351">
        <v>0</v>
      </c>
      <c r="V351">
        <v>0</v>
      </c>
      <c r="W351">
        <v>0</v>
      </c>
      <c r="X351" s="80">
        <f>X350</f>
        <v>1.4899600000000002</v>
      </c>
      <c r="Z351" t="s">
        <v>149</v>
      </c>
      <c r="AA351">
        <v>2</v>
      </c>
      <c r="AB351" t="s">
        <v>7</v>
      </c>
      <c r="AC351" s="20">
        <v>19520</v>
      </c>
      <c r="AD351" s="20">
        <v>160</v>
      </c>
      <c r="AE351" s="20">
        <v>1</v>
      </c>
      <c r="AF351" s="20">
        <v>16</v>
      </c>
      <c r="AG351" s="79">
        <v>1942.81</v>
      </c>
      <c r="AH351" s="62">
        <v>2.5525000000000002</v>
      </c>
      <c r="AI351" s="16">
        <v>45554</v>
      </c>
      <c r="AJ351" s="25">
        <v>0.84070601851851856</v>
      </c>
      <c r="AK351">
        <v>0</v>
      </c>
      <c r="AL351">
        <v>0</v>
      </c>
      <c r="AM351">
        <v>0</v>
      </c>
      <c r="AN351">
        <v>0</v>
      </c>
      <c r="AO351">
        <v>0</v>
      </c>
      <c r="AP351">
        <v>0</v>
      </c>
      <c r="AQ351">
        <v>0</v>
      </c>
      <c r="AR351">
        <v>0</v>
      </c>
      <c r="AS351">
        <v>0</v>
      </c>
      <c r="AT351">
        <v>0</v>
      </c>
      <c r="AU351">
        <v>0</v>
      </c>
      <c r="AV351">
        <v>0</v>
      </c>
      <c r="AW351" s="80">
        <f>AW350</f>
        <v>2.1899000000000002</v>
      </c>
      <c r="AY351" t="s">
        <v>109</v>
      </c>
      <c r="AZ351">
        <v>0</v>
      </c>
      <c r="BA351" t="s">
        <v>7</v>
      </c>
      <c r="BB351">
        <v>19520</v>
      </c>
      <c r="BC351">
        <v>160</v>
      </c>
      <c r="BD351">
        <v>2</v>
      </c>
      <c r="BE351">
        <v>8</v>
      </c>
      <c r="BF351" s="23">
        <v>446.55</v>
      </c>
      <c r="BG351" s="60">
        <v>11.105</v>
      </c>
      <c r="BH351" s="16">
        <v>45541</v>
      </c>
      <c r="BI351" s="18">
        <v>0.55255787037037041</v>
      </c>
      <c r="BJ351">
        <v>0</v>
      </c>
      <c r="BK351">
        <v>0</v>
      </c>
      <c r="BL351">
        <v>0</v>
      </c>
      <c r="BM351">
        <v>0</v>
      </c>
      <c r="BN351">
        <v>0</v>
      </c>
      <c r="BO351">
        <v>0</v>
      </c>
      <c r="BP351">
        <v>0</v>
      </c>
      <c r="BQ351">
        <v>0</v>
      </c>
      <c r="BR351">
        <v>0</v>
      </c>
      <c r="BS351">
        <v>0</v>
      </c>
      <c r="BT351">
        <v>0</v>
      </c>
      <c r="BU351">
        <v>0</v>
      </c>
      <c r="BV351" s="112"/>
    </row>
    <row r="352" spans="1:74" x14ac:dyDescent="0.25">
      <c r="A352" t="s">
        <v>111</v>
      </c>
      <c r="B352">
        <v>3</v>
      </c>
      <c r="C352" t="s">
        <v>7</v>
      </c>
      <c r="D352" s="20">
        <v>19584</v>
      </c>
      <c r="E352" s="20">
        <v>192</v>
      </c>
      <c r="F352" s="20">
        <v>1</v>
      </c>
      <c r="G352" s="20">
        <v>16</v>
      </c>
      <c r="H352" s="79">
        <v>3345.48</v>
      </c>
      <c r="I352" s="62">
        <v>1.4968999999999999</v>
      </c>
      <c r="J352" s="16">
        <v>45548</v>
      </c>
      <c r="K352" s="25">
        <v>0.6115856481481482</v>
      </c>
      <c r="L352">
        <v>0</v>
      </c>
      <c r="M352">
        <v>0</v>
      </c>
      <c r="N352">
        <v>0</v>
      </c>
      <c r="O352">
        <v>0</v>
      </c>
      <c r="P352">
        <v>0</v>
      </c>
      <c r="Q352">
        <v>0</v>
      </c>
      <c r="R352">
        <v>0</v>
      </c>
      <c r="S352">
        <v>0</v>
      </c>
      <c r="T352">
        <v>0</v>
      </c>
      <c r="U352">
        <v>0</v>
      </c>
      <c r="V352">
        <v>0</v>
      </c>
      <c r="W352">
        <v>0</v>
      </c>
      <c r="X352" s="80">
        <f>X351</f>
        <v>1.4899600000000002</v>
      </c>
      <c r="Z352" t="s">
        <v>149</v>
      </c>
      <c r="AA352">
        <v>3</v>
      </c>
      <c r="AB352" t="s">
        <v>7</v>
      </c>
      <c r="AC352" s="20">
        <v>19520</v>
      </c>
      <c r="AD352" s="20">
        <v>160</v>
      </c>
      <c r="AE352" s="20">
        <v>1</v>
      </c>
      <c r="AF352" s="20">
        <v>16</v>
      </c>
      <c r="AG352" s="79">
        <v>2056.84</v>
      </c>
      <c r="AH352" s="62">
        <v>2.411</v>
      </c>
      <c r="AI352" s="16">
        <v>45555</v>
      </c>
      <c r="AJ352" s="25">
        <v>0.3674189814814815</v>
      </c>
      <c r="AK352">
        <v>0</v>
      </c>
      <c r="AL352">
        <v>0</v>
      </c>
      <c r="AM352">
        <v>0</v>
      </c>
      <c r="AN352">
        <v>0</v>
      </c>
      <c r="AO352">
        <v>0</v>
      </c>
      <c r="AP352">
        <v>0</v>
      </c>
      <c r="AQ352">
        <v>0</v>
      </c>
      <c r="AR352">
        <v>0</v>
      </c>
      <c r="AS352">
        <v>0</v>
      </c>
      <c r="AT352">
        <v>0</v>
      </c>
      <c r="AU352">
        <v>0</v>
      </c>
      <c r="AV352">
        <v>0</v>
      </c>
      <c r="AW352" s="80">
        <f>AW351</f>
        <v>2.1899000000000002</v>
      </c>
      <c r="AY352" t="s">
        <v>109</v>
      </c>
      <c r="AZ352">
        <v>0</v>
      </c>
      <c r="BA352" t="s">
        <v>7</v>
      </c>
      <c r="BB352">
        <v>19584</v>
      </c>
      <c r="BC352">
        <v>192</v>
      </c>
      <c r="BD352">
        <v>2</v>
      </c>
      <c r="BE352">
        <v>8</v>
      </c>
      <c r="BF352" s="23">
        <v>436.27</v>
      </c>
      <c r="BG352" s="60">
        <v>11.478999999999999</v>
      </c>
      <c r="BH352" s="16">
        <v>45541</v>
      </c>
      <c r="BI352" s="18">
        <v>0.55782407407407408</v>
      </c>
      <c r="BJ352">
        <v>0</v>
      </c>
      <c r="BK352">
        <v>0</v>
      </c>
      <c r="BL352">
        <v>0</v>
      </c>
      <c r="BM352">
        <v>0</v>
      </c>
      <c r="BN352">
        <v>0</v>
      </c>
      <c r="BO352">
        <v>0</v>
      </c>
      <c r="BP352">
        <v>0</v>
      </c>
      <c r="BQ352">
        <v>0</v>
      </c>
      <c r="BR352">
        <v>0</v>
      </c>
      <c r="BS352">
        <v>0</v>
      </c>
      <c r="BT352">
        <v>0</v>
      </c>
      <c r="BU352">
        <v>0</v>
      </c>
      <c r="BV352" s="112"/>
    </row>
    <row r="353" spans="1:74" x14ac:dyDescent="0.25">
      <c r="A353" t="s">
        <v>111</v>
      </c>
      <c r="B353">
        <v>4</v>
      </c>
      <c r="C353" t="s">
        <v>7</v>
      </c>
      <c r="D353" s="20">
        <v>19584</v>
      </c>
      <c r="E353" s="20">
        <v>192</v>
      </c>
      <c r="F353" s="20">
        <v>1</v>
      </c>
      <c r="G353" s="20">
        <v>16</v>
      </c>
      <c r="H353" s="79">
        <v>3581.69</v>
      </c>
      <c r="I353" s="62">
        <v>1.3982000000000001</v>
      </c>
      <c r="J353" s="16">
        <v>45549</v>
      </c>
      <c r="K353" s="25">
        <v>0.25739583333333332</v>
      </c>
      <c r="L353">
        <v>0</v>
      </c>
      <c r="M353">
        <v>0</v>
      </c>
      <c r="N353">
        <v>0</v>
      </c>
      <c r="O353">
        <v>0</v>
      </c>
      <c r="P353">
        <v>0</v>
      </c>
      <c r="Q353">
        <v>0</v>
      </c>
      <c r="R353">
        <v>0</v>
      </c>
      <c r="S353">
        <v>0</v>
      </c>
      <c r="T353">
        <v>0</v>
      </c>
      <c r="U353">
        <v>0</v>
      </c>
      <c r="V353">
        <v>0</v>
      </c>
      <c r="W353">
        <v>0</v>
      </c>
      <c r="X353" s="80">
        <f>X352</f>
        <v>1.4899600000000002</v>
      </c>
      <c r="Z353" t="s">
        <v>149</v>
      </c>
      <c r="AA353">
        <v>4</v>
      </c>
      <c r="AB353" t="s">
        <v>7</v>
      </c>
      <c r="AC353" s="20">
        <v>19520</v>
      </c>
      <c r="AD353" s="20">
        <v>160</v>
      </c>
      <c r="AE353" s="20">
        <v>1</v>
      </c>
      <c r="AF353" s="20">
        <v>16</v>
      </c>
      <c r="AG353" s="79">
        <v>2151.0100000000002</v>
      </c>
      <c r="AH353" s="62">
        <v>2.3054999999999999</v>
      </c>
      <c r="AI353" s="16">
        <v>45555</v>
      </c>
      <c r="AJ353" s="25">
        <v>0.86186342592592591</v>
      </c>
      <c r="AK353">
        <v>0</v>
      </c>
      <c r="AL353">
        <v>0</v>
      </c>
      <c r="AM353">
        <v>0</v>
      </c>
      <c r="AN353">
        <v>0</v>
      </c>
      <c r="AO353">
        <v>0</v>
      </c>
      <c r="AP353">
        <v>0</v>
      </c>
      <c r="AQ353">
        <v>0</v>
      </c>
      <c r="AR353">
        <v>0</v>
      </c>
      <c r="AS353">
        <v>0</v>
      </c>
      <c r="AT353">
        <v>0</v>
      </c>
      <c r="AU353">
        <v>0</v>
      </c>
      <c r="AV353">
        <v>0</v>
      </c>
      <c r="AW353" s="80">
        <f>AW352</f>
        <v>2.1899000000000002</v>
      </c>
      <c r="AY353" t="s">
        <v>141</v>
      </c>
      <c r="AZ353">
        <v>0</v>
      </c>
      <c r="BA353" t="s">
        <v>7</v>
      </c>
      <c r="BB353">
        <v>19584</v>
      </c>
      <c r="BC353">
        <v>64</v>
      </c>
      <c r="BD353">
        <v>2</v>
      </c>
      <c r="BE353">
        <v>8</v>
      </c>
      <c r="BF353" s="23">
        <v>448.97</v>
      </c>
      <c r="BG353" s="60">
        <v>11.154</v>
      </c>
      <c r="BH353" s="16">
        <v>45541</v>
      </c>
      <c r="BI353" s="18">
        <v>0.56319444444444444</v>
      </c>
      <c r="BJ353">
        <v>0</v>
      </c>
      <c r="BK353">
        <v>0</v>
      </c>
      <c r="BL353">
        <v>0</v>
      </c>
      <c r="BM353">
        <v>0</v>
      </c>
      <c r="BN353">
        <v>0</v>
      </c>
      <c r="BO353">
        <v>0</v>
      </c>
      <c r="BP353">
        <v>0</v>
      </c>
      <c r="BQ353">
        <v>0</v>
      </c>
      <c r="BR353">
        <v>0</v>
      </c>
      <c r="BS353">
        <v>0</v>
      </c>
      <c r="BT353">
        <v>0</v>
      </c>
      <c r="BU353">
        <v>0</v>
      </c>
      <c r="BV353" s="112">
        <f t="shared" ref="BV353" si="9">AVERAGE(BG353:BG356)</f>
        <v>11.311500000000001</v>
      </c>
    </row>
    <row r="354" spans="1:74" x14ac:dyDescent="0.25">
      <c r="A354" t="s">
        <v>111</v>
      </c>
      <c r="B354">
        <v>0</v>
      </c>
      <c r="C354" t="s">
        <v>7</v>
      </c>
      <c r="D354" s="20">
        <v>19488</v>
      </c>
      <c r="E354" s="20">
        <v>224</v>
      </c>
      <c r="F354" s="20">
        <v>1</v>
      </c>
      <c r="G354" s="20">
        <v>16</v>
      </c>
      <c r="H354" s="79">
        <v>2917.35</v>
      </c>
      <c r="I354" s="62">
        <v>1.6915</v>
      </c>
      <c r="J354" s="16">
        <v>45546</v>
      </c>
      <c r="K354" s="25">
        <v>0.80236111111111108</v>
      </c>
      <c r="L354">
        <v>0</v>
      </c>
      <c r="M354">
        <v>0</v>
      </c>
      <c r="N354">
        <v>0</v>
      </c>
      <c r="O354">
        <v>0</v>
      </c>
      <c r="P354">
        <v>0</v>
      </c>
      <c r="Q354">
        <v>0</v>
      </c>
      <c r="R354">
        <v>0</v>
      </c>
      <c r="S354">
        <v>0</v>
      </c>
      <c r="T354">
        <v>0</v>
      </c>
      <c r="U354">
        <v>0</v>
      </c>
      <c r="V354">
        <v>0</v>
      </c>
      <c r="W354">
        <v>0</v>
      </c>
      <c r="X354" s="82">
        <f>AVERAGE(I354:I358)</f>
        <v>1.23054</v>
      </c>
      <c r="Z354" t="s">
        <v>149</v>
      </c>
      <c r="AA354">
        <v>0</v>
      </c>
      <c r="AB354" t="s">
        <v>7</v>
      </c>
      <c r="AC354" s="20">
        <v>19584</v>
      </c>
      <c r="AD354" s="20">
        <v>192</v>
      </c>
      <c r="AE354" s="20">
        <v>1</v>
      </c>
      <c r="AF354" s="20">
        <v>16</v>
      </c>
      <c r="AG354" s="79">
        <v>3057.6</v>
      </c>
      <c r="AH354" s="62">
        <v>1.6378999999999999</v>
      </c>
      <c r="AI354" s="16">
        <v>45558</v>
      </c>
      <c r="AJ354" s="25">
        <v>0.24954861111111112</v>
      </c>
      <c r="AK354">
        <v>0</v>
      </c>
      <c r="AL354">
        <v>0</v>
      </c>
      <c r="AM354">
        <v>0</v>
      </c>
      <c r="AN354">
        <v>0</v>
      </c>
      <c r="AO354">
        <v>0</v>
      </c>
      <c r="AP354">
        <v>0</v>
      </c>
      <c r="AQ354">
        <v>0</v>
      </c>
      <c r="AR354">
        <v>0</v>
      </c>
      <c r="AS354">
        <v>0</v>
      </c>
      <c r="AT354">
        <v>0</v>
      </c>
      <c r="AU354">
        <v>0</v>
      </c>
      <c r="AV354">
        <v>0</v>
      </c>
      <c r="AW354" s="82">
        <f>AVERAGE(AH354:AH357)</f>
        <v>1.6167749999999999</v>
      </c>
      <c r="AY354" t="s">
        <v>141</v>
      </c>
      <c r="AZ354">
        <v>0</v>
      </c>
      <c r="BA354" t="s">
        <v>7</v>
      </c>
      <c r="BB354">
        <v>19584</v>
      </c>
      <c r="BC354">
        <v>96</v>
      </c>
      <c r="BD354">
        <v>2</v>
      </c>
      <c r="BE354">
        <v>8</v>
      </c>
      <c r="BF354" s="23">
        <v>439.65</v>
      </c>
      <c r="BG354" s="60">
        <v>11.391</v>
      </c>
      <c r="BH354" s="16">
        <v>45541</v>
      </c>
      <c r="BI354" s="18">
        <v>0.56848379629629631</v>
      </c>
      <c r="BJ354">
        <v>0</v>
      </c>
      <c r="BK354">
        <v>0</v>
      </c>
      <c r="BL354">
        <v>0</v>
      </c>
      <c r="BM354">
        <v>0</v>
      </c>
      <c r="BN354">
        <v>0</v>
      </c>
      <c r="BO354">
        <v>0</v>
      </c>
      <c r="BP354">
        <v>0</v>
      </c>
      <c r="BQ354">
        <v>0</v>
      </c>
      <c r="BR354">
        <v>0</v>
      </c>
      <c r="BS354">
        <v>0</v>
      </c>
      <c r="BT354">
        <v>0</v>
      </c>
      <c r="BU354">
        <v>0</v>
      </c>
      <c r="BV354" s="112"/>
    </row>
    <row r="355" spans="1:74" x14ac:dyDescent="0.25">
      <c r="A355" t="s">
        <v>111</v>
      </c>
      <c r="B355">
        <v>1</v>
      </c>
      <c r="C355" t="s">
        <v>7</v>
      </c>
      <c r="D355" s="20">
        <v>19488</v>
      </c>
      <c r="E355" s="20">
        <v>224</v>
      </c>
      <c r="F355" s="20">
        <v>1</v>
      </c>
      <c r="G355" s="20">
        <v>16</v>
      </c>
      <c r="H355" s="79">
        <v>3518.84</v>
      </c>
      <c r="I355" s="62">
        <v>1.4024000000000001</v>
      </c>
      <c r="J355" s="16">
        <v>45547</v>
      </c>
      <c r="K355" s="25">
        <v>0.41736111111111113</v>
      </c>
      <c r="L355">
        <v>0</v>
      </c>
      <c r="M355">
        <v>0</v>
      </c>
      <c r="N355">
        <v>0</v>
      </c>
      <c r="O355">
        <v>0</v>
      </c>
      <c r="P355">
        <v>0</v>
      </c>
      <c r="Q355">
        <v>0</v>
      </c>
      <c r="R355">
        <v>0</v>
      </c>
      <c r="S355">
        <v>0</v>
      </c>
      <c r="T355">
        <v>0</v>
      </c>
      <c r="U355">
        <v>0</v>
      </c>
      <c r="V355">
        <v>0</v>
      </c>
      <c r="W355">
        <v>0</v>
      </c>
      <c r="X355" s="80">
        <f>X354</f>
        <v>1.23054</v>
      </c>
      <c r="Z355" t="s">
        <v>149</v>
      </c>
      <c r="AA355">
        <v>1</v>
      </c>
      <c r="AB355" t="s">
        <v>7</v>
      </c>
      <c r="AC355" s="20">
        <v>19584</v>
      </c>
      <c r="AD355" s="20">
        <v>192</v>
      </c>
      <c r="AE355" s="20">
        <v>1</v>
      </c>
      <c r="AF355" s="20">
        <v>16</v>
      </c>
      <c r="AG355" s="79">
        <v>3357.8</v>
      </c>
      <c r="AH355" s="62">
        <v>1.4914000000000001</v>
      </c>
      <c r="AI355" s="16">
        <v>45558</v>
      </c>
      <c r="AJ355" s="25">
        <v>0.74458333333333337</v>
      </c>
      <c r="AK355">
        <v>0</v>
      </c>
      <c r="AL355">
        <v>0</v>
      </c>
      <c r="AM355">
        <v>0</v>
      </c>
      <c r="AN355">
        <v>0</v>
      </c>
      <c r="AO355">
        <v>0</v>
      </c>
      <c r="AP355">
        <v>0</v>
      </c>
      <c r="AQ355">
        <v>0</v>
      </c>
      <c r="AR355">
        <v>0</v>
      </c>
      <c r="AS355">
        <v>0</v>
      </c>
      <c r="AT355">
        <v>0</v>
      </c>
      <c r="AU355">
        <v>0</v>
      </c>
      <c r="AV355">
        <v>0</v>
      </c>
      <c r="AW355" s="80">
        <f>AW354</f>
        <v>1.6167749999999999</v>
      </c>
      <c r="AY355" t="s">
        <v>141</v>
      </c>
      <c r="AZ355">
        <v>0</v>
      </c>
      <c r="BA355" t="s">
        <v>7</v>
      </c>
      <c r="BB355">
        <v>19520</v>
      </c>
      <c r="BC355">
        <v>160</v>
      </c>
      <c r="BD355">
        <v>2</v>
      </c>
      <c r="BE355">
        <v>8</v>
      </c>
      <c r="BF355" s="23">
        <v>432.58</v>
      </c>
      <c r="BG355" s="60">
        <v>11.464</v>
      </c>
      <c r="BH355" s="16">
        <v>45541</v>
      </c>
      <c r="BI355" s="18">
        <v>0.57369212962962968</v>
      </c>
      <c r="BJ355">
        <v>0</v>
      </c>
      <c r="BK355">
        <v>0</v>
      </c>
      <c r="BL355">
        <v>0</v>
      </c>
      <c r="BM355">
        <v>0</v>
      </c>
      <c r="BN355">
        <v>0</v>
      </c>
      <c r="BO355">
        <v>0</v>
      </c>
      <c r="BP355">
        <v>0</v>
      </c>
      <c r="BQ355">
        <v>0</v>
      </c>
      <c r="BR355">
        <v>0</v>
      </c>
      <c r="BS355">
        <v>0</v>
      </c>
      <c r="BT355">
        <v>0</v>
      </c>
      <c r="BU355">
        <v>0</v>
      </c>
      <c r="BV355" s="112"/>
    </row>
    <row r="356" spans="1:74" x14ac:dyDescent="0.25">
      <c r="A356" t="s">
        <v>111</v>
      </c>
      <c r="B356">
        <v>2</v>
      </c>
      <c r="C356" t="s">
        <v>145</v>
      </c>
      <c r="D356" s="20">
        <v>19488</v>
      </c>
      <c r="E356" s="20">
        <v>224</v>
      </c>
      <c r="F356" s="20">
        <v>1</v>
      </c>
      <c r="G356" s="20">
        <v>16</v>
      </c>
      <c r="H356" s="79">
        <v>0</v>
      </c>
      <c r="I356" s="62">
        <v>0</v>
      </c>
      <c r="J356" s="16">
        <v>45547</v>
      </c>
      <c r="K356" s="25">
        <v>0.99621527777777774</v>
      </c>
      <c r="L356">
        <v>0</v>
      </c>
      <c r="M356">
        <v>0</v>
      </c>
      <c r="N356">
        <v>0</v>
      </c>
      <c r="O356">
        <v>0</v>
      </c>
      <c r="P356">
        <v>0</v>
      </c>
      <c r="Q356">
        <v>0</v>
      </c>
      <c r="R356">
        <v>0</v>
      </c>
      <c r="S356">
        <v>0</v>
      </c>
      <c r="T356">
        <v>0</v>
      </c>
      <c r="U356">
        <v>0</v>
      </c>
      <c r="V356">
        <v>0</v>
      </c>
      <c r="W356">
        <v>0</v>
      </c>
      <c r="X356" s="80">
        <f>X355</f>
        <v>1.23054</v>
      </c>
      <c r="Z356" t="s">
        <v>149</v>
      </c>
      <c r="AA356">
        <v>2</v>
      </c>
      <c r="AB356" t="s">
        <v>7</v>
      </c>
      <c r="AC356" s="20">
        <v>19584</v>
      </c>
      <c r="AD356" s="20">
        <v>192</v>
      </c>
      <c r="AE356" s="20">
        <v>1</v>
      </c>
      <c r="AF356" s="20">
        <v>16</v>
      </c>
      <c r="AG356" s="79">
        <v>2958.77</v>
      </c>
      <c r="AH356" s="62">
        <v>1.6926000000000001</v>
      </c>
      <c r="AI356" s="16">
        <v>45554</v>
      </c>
      <c r="AJ356" s="25">
        <v>0.8868287037037037</v>
      </c>
      <c r="AK356">
        <v>0</v>
      </c>
      <c r="AL356">
        <v>0</v>
      </c>
      <c r="AM356">
        <v>0</v>
      </c>
      <c r="AN356">
        <v>0</v>
      </c>
      <c r="AO356">
        <v>0</v>
      </c>
      <c r="AP356">
        <v>0</v>
      </c>
      <c r="AQ356">
        <v>0</v>
      </c>
      <c r="AR356">
        <v>0</v>
      </c>
      <c r="AS356">
        <v>0</v>
      </c>
      <c r="AT356">
        <v>0</v>
      </c>
      <c r="AU356">
        <v>0</v>
      </c>
      <c r="AV356">
        <v>0</v>
      </c>
      <c r="AW356" s="80">
        <f>AW355</f>
        <v>1.6167749999999999</v>
      </c>
      <c r="AY356" t="s">
        <v>141</v>
      </c>
      <c r="AZ356">
        <v>0</v>
      </c>
      <c r="BA356" t="s">
        <v>7</v>
      </c>
      <c r="BB356">
        <v>19584</v>
      </c>
      <c r="BC356">
        <v>192</v>
      </c>
      <c r="BD356">
        <v>2</v>
      </c>
      <c r="BE356">
        <v>8</v>
      </c>
      <c r="BF356" s="23">
        <v>445.68</v>
      </c>
      <c r="BG356" s="60">
        <v>11.237</v>
      </c>
      <c r="BH356" s="16">
        <v>45541</v>
      </c>
      <c r="BI356" s="18">
        <v>0.57907407407407407</v>
      </c>
      <c r="BJ356">
        <v>0</v>
      </c>
      <c r="BK356">
        <v>0</v>
      </c>
      <c r="BL356">
        <v>0</v>
      </c>
      <c r="BM356">
        <v>0</v>
      </c>
      <c r="BN356">
        <v>0</v>
      </c>
      <c r="BO356">
        <v>0</v>
      </c>
      <c r="BP356">
        <v>0</v>
      </c>
      <c r="BQ356">
        <v>0</v>
      </c>
      <c r="BR356">
        <v>0</v>
      </c>
      <c r="BS356">
        <v>0</v>
      </c>
      <c r="BT356">
        <v>0</v>
      </c>
      <c r="BU356">
        <v>0</v>
      </c>
      <c r="BV356" s="112"/>
    </row>
    <row r="357" spans="1:74" x14ac:dyDescent="0.25">
      <c r="A357" t="s">
        <v>111</v>
      </c>
      <c r="B357">
        <v>3</v>
      </c>
      <c r="C357" t="s">
        <v>7</v>
      </c>
      <c r="D357" s="20">
        <v>19488</v>
      </c>
      <c r="E357" s="20">
        <v>224</v>
      </c>
      <c r="F357" s="20">
        <v>1</v>
      </c>
      <c r="G357" s="20">
        <v>16</v>
      </c>
      <c r="H357" s="79">
        <v>2825.52</v>
      </c>
      <c r="I357" s="62">
        <v>1.7464999999999999</v>
      </c>
      <c r="J357" s="16">
        <v>45548</v>
      </c>
      <c r="K357" s="25">
        <v>0.65694444444444444</v>
      </c>
      <c r="L357">
        <v>0</v>
      </c>
      <c r="M357">
        <v>0</v>
      </c>
      <c r="N357">
        <v>0</v>
      </c>
      <c r="O357">
        <v>0</v>
      </c>
      <c r="P357">
        <v>0</v>
      </c>
      <c r="Q357">
        <v>0</v>
      </c>
      <c r="R357">
        <v>0</v>
      </c>
      <c r="S357">
        <v>0</v>
      </c>
      <c r="T357">
        <v>0</v>
      </c>
      <c r="U357">
        <v>0</v>
      </c>
      <c r="V357">
        <v>0</v>
      </c>
      <c r="W357">
        <v>0</v>
      </c>
      <c r="X357" s="80">
        <f>X356</f>
        <v>1.23054</v>
      </c>
      <c r="Z357" t="s">
        <v>149</v>
      </c>
      <c r="AA357">
        <v>3</v>
      </c>
      <c r="AB357" t="s">
        <v>7</v>
      </c>
      <c r="AC357" s="20">
        <v>19584</v>
      </c>
      <c r="AD357" s="20">
        <v>192</v>
      </c>
      <c r="AE357" s="20">
        <v>1</v>
      </c>
      <c r="AF357" s="20">
        <v>16</v>
      </c>
      <c r="AG357" s="79">
        <v>3043.97</v>
      </c>
      <c r="AH357" s="62">
        <v>1.6452</v>
      </c>
      <c r="AI357" s="16">
        <v>45555</v>
      </c>
      <c r="AJ357" s="25">
        <v>0.41474537037037035</v>
      </c>
      <c r="AK357">
        <v>0</v>
      </c>
      <c r="AL357">
        <v>0</v>
      </c>
      <c r="AM357">
        <v>0</v>
      </c>
      <c r="AN357">
        <v>0</v>
      </c>
      <c r="AO357">
        <v>0</v>
      </c>
      <c r="AP357">
        <v>0</v>
      </c>
      <c r="AQ357">
        <v>0</v>
      </c>
      <c r="AR357">
        <v>0</v>
      </c>
      <c r="AS357">
        <v>0</v>
      </c>
      <c r="AT357">
        <v>0</v>
      </c>
      <c r="AU357">
        <v>0</v>
      </c>
      <c r="AV357">
        <v>0</v>
      </c>
      <c r="AW357" s="80">
        <f>AW356</f>
        <v>1.6167749999999999</v>
      </c>
    </row>
    <row r="358" spans="1:74" x14ac:dyDescent="0.25">
      <c r="A358" t="s">
        <v>111</v>
      </c>
      <c r="B358">
        <v>4</v>
      </c>
      <c r="C358" t="s">
        <v>7</v>
      </c>
      <c r="D358" s="20">
        <v>19488</v>
      </c>
      <c r="E358" s="20">
        <v>224</v>
      </c>
      <c r="F358" s="20">
        <v>1</v>
      </c>
      <c r="G358" s="20">
        <v>16</v>
      </c>
      <c r="H358" s="79">
        <v>3760.2</v>
      </c>
      <c r="I358" s="62">
        <v>1.3123</v>
      </c>
      <c r="J358" s="16">
        <v>45549</v>
      </c>
      <c r="K358" s="25">
        <v>0.34096064814814814</v>
      </c>
      <c r="L358">
        <v>0</v>
      </c>
      <c r="M358">
        <v>0</v>
      </c>
      <c r="N358">
        <v>0</v>
      </c>
      <c r="O358">
        <v>0</v>
      </c>
      <c r="P358">
        <v>0</v>
      </c>
      <c r="Q358">
        <v>0</v>
      </c>
      <c r="R358">
        <v>0</v>
      </c>
      <c r="S358">
        <v>0</v>
      </c>
      <c r="T358">
        <v>0</v>
      </c>
      <c r="U358">
        <v>0</v>
      </c>
      <c r="V358">
        <v>0</v>
      </c>
      <c r="W358">
        <v>0</v>
      </c>
      <c r="X358" s="80">
        <f>X357</f>
        <v>1.23054</v>
      </c>
      <c r="Z358" t="s">
        <v>149</v>
      </c>
      <c r="AA358">
        <v>4</v>
      </c>
      <c r="AB358" t="s">
        <v>7</v>
      </c>
      <c r="AC358" s="20">
        <v>19584</v>
      </c>
      <c r="AD358" s="20">
        <v>192</v>
      </c>
      <c r="AE358" s="20">
        <v>1</v>
      </c>
      <c r="AF358" s="20">
        <v>16</v>
      </c>
      <c r="AG358" s="79">
        <v>3319.31</v>
      </c>
      <c r="AH358" s="62">
        <v>1.5086999999999999</v>
      </c>
      <c r="AI358" s="16">
        <v>45555</v>
      </c>
      <c r="AJ358" s="25">
        <v>0.91190972222222222</v>
      </c>
      <c r="AK358">
        <v>0</v>
      </c>
      <c r="AL358">
        <v>0</v>
      </c>
      <c r="AM358">
        <v>0</v>
      </c>
      <c r="AN358">
        <v>0</v>
      </c>
      <c r="AO358">
        <v>0</v>
      </c>
      <c r="AP358">
        <v>0</v>
      </c>
      <c r="AQ358">
        <v>0</v>
      </c>
      <c r="AR358">
        <v>0</v>
      </c>
      <c r="AS358">
        <v>0</v>
      </c>
      <c r="AT358">
        <v>0</v>
      </c>
      <c r="AU358">
        <v>0</v>
      </c>
      <c r="AV358">
        <v>0</v>
      </c>
      <c r="AW358" s="80">
        <f>AW357</f>
        <v>1.6167749999999999</v>
      </c>
      <c r="AY358" t="s">
        <v>111</v>
      </c>
      <c r="AZ358">
        <v>0</v>
      </c>
      <c r="BA358" t="s">
        <v>7</v>
      </c>
      <c r="BB358">
        <v>19584</v>
      </c>
      <c r="BC358">
        <v>64</v>
      </c>
      <c r="BD358">
        <v>2</v>
      </c>
      <c r="BE358">
        <v>8</v>
      </c>
      <c r="BF358" s="23">
        <v>423.27</v>
      </c>
      <c r="BG358" s="78">
        <v>11.832000000000001</v>
      </c>
      <c r="BH358" s="16">
        <v>45545</v>
      </c>
      <c r="BI358" s="18">
        <v>0.55593749999999997</v>
      </c>
      <c r="BJ358">
        <v>0</v>
      </c>
      <c r="BK358">
        <v>0</v>
      </c>
      <c r="BL358">
        <v>0</v>
      </c>
      <c r="BM358">
        <v>0</v>
      </c>
      <c r="BN358">
        <v>0</v>
      </c>
      <c r="BO358">
        <v>0</v>
      </c>
      <c r="BP358">
        <v>0</v>
      </c>
      <c r="BQ358">
        <v>0</v>
      </c>
      <c r="BR358">
        <v>0</v>
      </c>
      <c r="BS358">
        <v>0</v>
      </c>
      <c r="BT358">
        <v>0</v>
      </c>
      <c r="BU358">
        <v>0</v>
      </c>
      <c r="BV358" s="112">
        <f>AVERAGE(BG358:BG361)</f>
        <v>11.786</v>
      </c>
    </row>
    <row r="359" spans="1:74" x14ac:dyDescent="0.25">
      <c r="A359" t="s">
        <v>111</v>
      </c>
      <c r="B359">
        <v>0</v>
      </c>
      <c r="C359" t="s">
        <v>7</v>
      </c>
      <c r="D359" s="20">
        <v>19456</v>
      </c>
      <c r="E359" s="20">
        <v>256</v>
      </c>
      <c r="F359" s="20">
        <v>1</v>
      </c>
      <c r="G359" s="20">
        <v>16</v>
      </c>
      <c r="H359" s="79">
        <v>4530.66</v>
      </c>
      <c r="I359" s="62">
        <v>1.0838000000000001</v>
      </c>
      <c r="J359" s="16">
        <v>45546</v>
      </c>
      <c r="K359" s="25">
        <v>0.86756944444444439</v>
      </c>
      <c r="L359">
        <v>0</v>
      </c>
      <c r="M359">
        <v>0</v>
      </c>
      <c r="N359">
        <v>0</v>
      </c>
      <c r="O359">
        <v>0</v>
      </c>
      <c r="P359">
        <v>0</v>
      </c>
      <c r="Q359">
        <v>0</v>
      </c>
      <c r="R359">
        <v>0</v>
      </c>
      <c r="S359">
        <v>0</v>
      </c>
      <c r="T359">
        <v>0</v>
      </c>
      <c r="U359">
        <v>0</v>
      </c>
      <c r="V359">
        <v>0</v>
      </c>
      <c r="W359">
        <v>0</v>
      </c>
      <c r="X359" s="82">
        <f>AVERAGE(I359:I363)</f>
        <v>1.12222</v>
      </c>
      <c r="Z359" t="s">
        <v>149</v>
      </c>
      <c r="AA359">
        <v>0</v>
      </c>
      <c r="AB359" t="s">
        <v>7</v>
      </c>
      <c r="AC359" s="20">
        <v>19456</v>
      </c>
      <c r="AD359" s="20">
        <v>256</v>
      </c>
      <c r="AE359" s="20">
        <v>1</v>
      </c>
      <c r="AF359" s="20">
        <v>16</v>
      </c>
      <c r="AG359" s="79">
        <v>4139.58</v>
      </c>
      <c r="AH359" s="62">
        <v>1.1861999999999999</v>
      </c>
      <c r="AI359" s="16">
        <v>45558</v>
      </c>
      <c r="AJ359" s="25">
        <v>0.34533564814814816</v>
      </c>
      <c r="AK359">
        <v>0</v>
      </c>
      <c r="AL359">
        <v>0</v>
      </c>
      <c r="AM359">
        <v>0</v>
      </c>
      <c r="AN359">
        <v>0</v>
      </c>
      <c r="AO359">
        <v>0</v>
      </c>
      <c r="AP359">
        <v>0</v>
      </c>
      <c r="AQ359">
        <v>0</v>
      </c>
      <c r="AR359">
        <v>0</v>
      </c>
      <c r="AS359">
        <v>0</v>
      </c>
      <c r="AT359">
        <v>0</v>
      </c>
      <c r="AU359">
        <v>0</v>
      </c>
      <c r="AV359">
        <v>0</v>
      </c>
      <c r="AW359" s="82">
        <f>AVERAGE(AH359:AH362)</f>
        <v>1.2719</v>
      </c>
      <c r="AY359" t="s">
        <v>111</v>
      </c>
      <c r="AZ359">
        <v>0</v>
      </c>
      <c r="BA359" t="s">
        <v>7</v>
      </c>
      <c r="BB359">
        <v>19584</v>
      </c>
      <c r="BC359">
        <v>96</v>
      </c>
      <c r="BD359">
        <v>2</v>
      </c>
      <c r="BE359">
        <v>8</v>
      </c>
      <c r="BF359" s="23">
        <v>438.65</v>
      </c>
      <c r="BG359" s="78">
        <v>11.417</v>
      </c>
      <c r="BH359" s="16">
        <v>45545</v>
      </c>
      <c r="BI359" s="18">
        <v>0.56120370370370365</v>
      </c>
      <c r="BJ359">
        <v>0</v>
      </c>
      <c r="BK359">
        <v>0</v>
      </c>
      <c r="BL359">
        <v>0</v>
      </c>
      <c r="BM359">
        <v>0</v>
      </c>
      <c r="BN359">
        <v>0</v>
      </c>
      <c r="BO359">
        <v>0</v>
      </c>
      <c r="BP359">
        <v>0</v>
      </c>
      <c r="BQ359">
        <v>0</v>
      </c>
      <c r="BR359">
        <v>0</v>
      </c>
      <c r="BS359">
        <v>0</v>
      </c>
      <c r="BT359">
        <v>0</v>
      </c>
      <c r="BU359">
        <v>0</v>
      </c>
      <c r="BV359" s="112"/>
    </row>
    <row r="360" spans="1:74" x14ac:dyDescent="0.25">
      <c r="A360" t="s">
        <v>111</v>
      </c>
      <c r="B360">
        <v>1</v>
      </c>
      <c r="C360" t="s">
        <v>7</v>
      </c>
      <c r="D360" s="20">
        <v>19456</v>
      </c>
      <c r="E360" s="20">
        <v>256</v>
      </c>
      <c r="F360" s="20">
        <v>1</v>
      </c>
      <c r="G360" s="20">
        <v>16</v>
      </c>
      <c r="H360" s="79">
        <v>4462.1099999999997</v>
      </c>
      <c r="I360" s="62">
        <v>1.1005</v>
      </c>
      <c r="J360" s="16">
        <v>45547</v>
      </c>
      <c r="K360" s="25">
        <v>0.48144675925925928</v>
      </c>
      <c r="L360">
        <v>0</v>
      </c>
      <c r="M360">
        <v>0</v>
      </c>
      <c r="N360">
        <v>0</v>
      </c>
      <c r="O360">
        <v>0</v>
      </c>
      <c r="P360">
        <v>0</v>
      </c>
      <c r="Q360">
        <v>0</v>
      </c>
      <c r="R360">
        <v>0</v>
      </c>
      <c r="S360">
        <v>0</v>
      </c>
      <c r="T360">
        <v>0</v>
      </c>
      <c r="U360">
        <v>0</v>
      </c>
      <c r="V360">
        <v>0</v>
      </c>
      <c r="W360">
        <v>0</v>
      </c>
      <c r="X360" s="80">
        <f>X359</f>
        <v>1.12222</v>
      </c>
      <c r="Z360" t="s">
        <v>149</v>
      </c>
      <c r="AA360">
        <v>1</v>
      </c>
      <c r="AB360" t="s">
        <v>7</v>
      </c>
      <c r="AC360" s="20">
        <v>19456</v>
      </c>
      <c r="AD360" s="20">
        <v>256</v>
      </c>
      <c r="AE360" s="20">
        <v>1</v>
      </c>
      <c r="AF360" s="20">
        <v>16</v>
      </c>
      <c r="AG360" s="79">
        <v>3438.97</v>
      </c>
      <c r="AH360" s="62">
        <v>1.4278999999999999</v>
      </c>
      <c r="AI360" s="16">
        <v>45558</v>
      </c>
      <c r="AJ360" s="25">
        <v>0.8325231481481481</v>
      </c>
      <c r="AK360">
        <v>0</v>
      </c>
      <c r="AL360">
        <v>0</v>
      </c>
      <c r="AM360">
        <v>0</v>
      </c>
      <c r="AN360">
        <v>0</v>
      </c>
      <c r="AO360">
        <v>0</v>
      </c>
      <c r="AP360">
        <v>0</v>
      </c>
      <c r="AQ360">
        <v>0</v>
      </c>
      <c r="AR360">
        <v>0</v>
      </c>
      <c r="AS360">
        <v>0</v>
      </c>
      <c r="AT360">
        <v>0</v>
      </c>
      <c r="AU360">
        <v>0</v>
      </c>
      <c r="AV360">
        <v>0</v>
      </c>
      <c r="AW360" s="80">
        <f>AW359</f>
        <v>1.2719</v>
      </c>
      <c r="AY360" t="s">
        <v>111</v>
      </c>
      <c r="AZ360">
        <v>0</v>
      </c>
      <c r="BA360" t="s">
        <v>7</v>
      </c>
      <c r="BB360">
        <v>19520</v>
      </c>
      <c r="BC360">
        <v>160</v>
      </c>
      <c r="BD360">
        <v>2</v>
      </c>
      <c r="BE360">
        <v>8</v>
      </c>
      <c r="BF360" s="23">
        <v>416.92</v>
      </c>
      <c r="BG360" s="78">
        <v>11.894</v>
      </c>
      <c r="BH360" s="16">
        <v>45545</v>
      </c>
      <c r="BI360" s="18">
        <v>0.56622685185185184</v>
      </c>
      <c r="BJ360">
        <v>0</v>
      </c>
      <c r="BK360">
        <v>0</v>
      </c>
      <c r="BL360">
        <v>0</v>
      </c>
      <c r="BM360">
        <v>0</v>
      </c>
      <c r="BN360">
        <v>0</v>
      </c>
      <c r="BO360">
        <v>0</v>
      </c>
      <c r="BP360">
        <v>0</v>
      </c>
      <c r="BQ360">
        <v>0</v>
      </c>
      <c r="BR360">
        <v>0</v>
      </c>
      <c r="BS360">
        <v>0</v>
      </c>
      <c r="BT360">
        <v>0</v>
      </c>
      <c r="BU360">
        <v>0</v>
      </c>
      <c r="BV360" s="112"/>
    </row>
    <row r="361" spans="1:74" x14ac:dyDescent="0.25">
      <c r="A361" t="s">
        <v>111</v>
      </c>
      <c r="B361">
        <v>2</v>
      </c>
      <c r="C361" t="s">
        <v>7</v>
      </c>
      <c r="D361" s="20">
        <v>19456</v>
      </c>
      <c r="E361" s="20">
        <v>256</v>
      </c>
      <c r="F361" s="20">
        <v>1</v>
      </c>
      <c r="G361" s="20">
        <v>16</v>
      </c>
      <c r="H361" s="79">
        <v>4018.73</v>
      </c>
      <c r="I361" s="62">
        <v>1.2219</v>
      </c>
      <c r="J361" s="16">
        <v>45548</v>
      </c>
      <c r="K361" s="25">
        <v>8.6064814814814816E-2</v>
      </c>
      <c r="L361">
        <v>0</v>
      </c>
      <c r="M361">
        <v>0</v>
      </c>
      <c r="N361">
        <v>0</v>
      </c>
      <c r="O361">
        <v>0</v>
      </c>
      <c r="P361">
        <v>0</v>
      </c>
      <c r="Q361">
        <v>0</v>
      </c>
      <c r="R361">
        <v>0</v>
      </c>
      <c r="S361">
        <v>0</v>
      </c>
      <c r="T361">
        <v>0</v>
      </c>
      <c r="U361">
        <v>0</v>
      </c>
      <c r="V361">
        <v>0</v>
      </c>
      <c r="W361">
        <v>0</v>
      </c>
      <c r="X361" s="80">
        <f>X360</f>
        <v>1.12222</v>
      </c>
      <c r="Z361" t="s">
        <v>149</v>
      </c>
      <c r="AA361">
        <v>2</v>
      </c>
      <c r="AB361" t="s">
        <v>7</v>
      </c>
      <c r="AC361" s="20">
        <v>19456</v>
      </c>
      <c r="AD361" s="20">
        <v>256</v>
      </c>
      <c r="AE361" s="20">
        <v>1</v>
      </c>
      <c r="AF361" s="20">
        <v>16</v>
      </c>
      <c r="AG361" s="79">
        <v>3871.84</v>
      </c>
      <c r="AH361" s="62">
        <v>1.2682</v>
      </c>
      <c r="AI361" s="16">
        <v>45555</v>
      </c>
      <c r="AJ361" s="25">
        <v>4.5949074074074078E-3</v>
      </c>
      <c r="AK361">
        <v>0</v>
      </c>
      <c r="AL361">
        <v>0</v>
      </c>
      <c r="AM361">
        <v>0</v>
      </c>
      <c r="AN361">
        <v>0</v>
      </c>
      <c r="AO361">
        <v>0</v>
      </c>
      <c r="AP361">
        <v>0</v>
      </c>
      <c r="AQ361">
        <v>0</v>
      </c>
      <c r="AR361">
        <v>0</v>
      </c>
      <c r="AS361">
        <v>0</v>
      </c>
      <c r="AT361">
        <v>0</v>
      </c>
      <c r="AU361">
        <v>0</v>
      </c>
      <c r="AV361">
        <v>0</v>
      </c>
      <c r="AW361" s="80">
        <f>AW360</f>
        <v>1.2719</v>
      </c>
      <c r="AY361" t="s">
        <v>111</v>
      </c>
      <c r="AZ361">
        <v>0</v>
      </c>
      <c r="BA361" t="s">
        <v>7</v>
      </c>
      <c r="BB361">
        <v>19584</v>
      </c>
      <c r="BC361">
        <v>192</v>
      </c>
      <c r="BD361">
        <v>2</v>
      </c>
      <c r="BE361">
        <v>8</v>
      </c>
      <c r="BF361" s="23">
        <v>417.28</v>
      </c>
      <c r="BG361" s="78">
        <v>12.000999999999999</v>
      </c>
      <c r="BH361" s="16">
        <v>45545</v>
      </c>
      <c r="BI361" s="18">
        <v>0.57127314814814811</v>
      </c>
      <c r="BJ361">
        <v>0</v>
      </c>
      <c r="BK361">
        <v>0</v>
      </c>
      <c r="BL361">
        <v>0</v>
      </c>
      <c r="BM361">
        <v>0</v>
      </c>
      <c r="BN361">
        <v>0</v>
      </c>
      <c r="BO361">
        <v>0</v>
      </c>
      <c r="BP361">
        <v>0</v>
      </c>
      <c r="BQ361">
        <v>0</v>
      </c>
      <c r="BR361">
        <v>0</v>
      </c>
      <c r="BS361">
        <v>0</v>
      </c>
      <c r="BT361">
        <v>0</v>
      </c>
      <c r="BU361">
        <v>0</v>
      </c>
      <c r="BV361" s="112"/>
    </row>
    <row r="362" spans="1:74" x14ac:dyDescent="0.25">
      <c r="A362" t="s">
        <v>111</v>
      </c>
      <c r="B362">
        <v>3</v>
      </c>
      <c r="C362" t="s">
        <v>7</v>
      </c>
      <c r="D362" s="20">
        <v>19456</v>
      </c>
      <c r="E362" s="20">
        <v>256</v>
      </c>
      <c r="F362" s="20">
        <v>1</v>
      </c>
      <c r="G362" s="20">
        <v>16</v>
      </c>
      <c r="H362" s="79">
        <v>4359.99</v>
      </c>
      <c r="I362" s="62">
        <v>1.1262000000000001</v>
      </c>
      <c r="J362" s="16">
        <v>45548</v>
      </c>
      <c r="K362" s="25">
        <v>0.72059027777777773</v>
      </c>
      <c r="L362">
        <v>0</v>
      </c>
      <c r="M362">
        <v>0</v>
      </c>
      <c r="N362">
        <v>0</v>
      </c>
      <c r="O362">
        <v>0</v>
      </c>
      <c r="P362">
        <v>0</v>
      </c>
      <c r="Q362">
        <v>0</v>
      </c>
      <c r="R362">
        <v>0</v>
      </c>
      <c r="S362">
        <v>0</v>
      </c>
      <c r="T362">
        <v>0</v>
      </c>
      <c r="U362">
        <v>0</v>
      </c>
      <c r="V362">
        <v>0</v>
      </c>
      <c r="W362">
        <v>0</v>
      </c>
      <c r="X362" s="80">
        <f>X361</f>
        <v>1.12222</v>
      </c>
      <c r="Z362" t="s">
        <v>149</v>
      </c>
      <c r="AA362">
        <v>3</v>
      </c>
      <c r="AB362" t="s">
        <v>7</v>
      </c>
      <c r="AC362" s="20">
        <v>19456</v>
      </c>
      <c r="AD362" s="20">
        <v>256</v>
      </c>
      <c r="AE362" s="20">
        <v>1</v>
      </c>
      <c r="AF362" s="20">
        <v>16</v>
      </c>
      <c r="AG362" s="79">
        <v>4074.08</v>
      </c>
      <c r="AH362" s="62">
        <v>1.2053</v>
      </c>
      <c r="AI362" s="16">
        <v>45555</v>
      </c>
      <c r="AJ362" s="25">
        <v>0.51108796296296299</v>
      </c>
      <c r="AK362">
        <v>0</v>
      </c>
      <c r="AL362">
        <v>0</v>
      </c>
      <c r="AM362">
        <v>0</v>
      </c>
      <c r="AN362">
        <v>0</v>
      </c>
      <c r="AO362">
        <v>0</v>
      </c>
      <c r="AP362">
        <v>0</v>
      </c>
      <c r="AQ362">
        <v>0</v>
      </c>
      <c r="AR362">
        <v>0</v>
      </c>
      <c r="AS362">
        <v>0</v>
      </c>
      <c r="AT362">
        <v>0</v>
      </c>
      <c r="AU362">
        <v>0</v>
      </c>
      <c r="AV362">
        <v>0</v>
      </c>
      <c r="AW362" s="80">
        <f>AW361</f>
        <v>1.2719</v>
      </c>
      <c r="AY362" t="s">
        <v>109</v>
      </c>
      <c r="AZ362">
        <v>0</v>
      </c>
      <c r="BA362" t="s">
        <v>145</v>
      </c>
      <c r="BB362">
        <v>19584</v>
      </c>
      <c r="BC362">
        <v>64</v>
      </c>
      <c r="BD362">
        <v>2</v>
      </c>
      <c r="BE362">
        <v>8</v>
      </c>
      <c r="BH362" s="16">
        <v>45545</v>
      </c>
      <c r="BI362" s="18">
        <v>0.57170138888888888</v>
      </c>
      <c r="BJ362">
        <v>0</v>
      </c>
      <c r="BK362">
        <v>0</v>
      </c>
      <c r="BL362">
        <v>0</v>
      </c>
      <c r="BM362">
        <v>0</v>
      </c>
      <c r="BN362">
        <v>0</v>
      </c>
      <c r="BO362">
        <v>0</v>
      </c>
      <c r="BP362">
        <v>0</v>
      </c>
      <c r="BQ362">
        <v>0</v>
      </c>
      <c r="BR362">
        <v>0</v>
      </c>
      <c r="BS362">
        <v>0</v>
      </c>
      <c r="BT362">
        <v>0</v>
      </c>
      <c r="BU362">
        <v>0</v>
      </c>
      <c r="BV362" s="112">
        <f t="shared" ref="BV362" si="10">AVERAGE(BG362:BG366)</f>
        <v>11.855333333333334</v>
      </c>
    </row>
    <row r="363" spans="1:74" x14ac:dyDescent="0.25">
      <c r="A363" t="s">
        <v>111</v>
      </c>
      <c r="B363">
        <v>4</v>
      </c>
      <c r="C363" t="s">
        <v>7</v>
      </c>
      <c r="D363" s="20">
        <v>19456</v>
      </c>
      <c r="E363" s="20">
        <v>256</v>
      </c>
      <c r="F363" s="20">
        <v>1</v>
      </c>
      <c r="G363" s="20">
        <v>16</v>
      </c>
      <c r="H363" s="79">
        <v>4552.1499999999996</v>
      </c>
      <c r="I363" s="62">
        <v>1.0787</v>
      </c>
      <c r="J363" s="16">
        <v>45549</v>
      </c>
      <c r="K363" s="25">
        <v>0.40663194444444445</v>
      </c>
      <c r="L363">
        <v>0</v>
      </c>
      <c r="M363">
        <v>0</v>
      </c>
      <c r="N363">
        <v>0</v>
      </c>
      <c r="O363">
        <v>0</v>
      </c>
      <c r="P363">
        <v>0</v>
      </c>
      <c r="Q363">
        <v>0</v>
      </c>
      <c r="R363">
        <v>0</v>
      </c>
      <c r="S363">
        <v>0</v>
      </c>
      <c r="T363">
        <v>0</v>
      </c>
      <c r="U363">
        <v>0</v>
      </c>
      <c r="V363">
        <v>0</v>
      </c>
      <c r="W363">
        <v>0</v>
      </c>
      <c r="X363" s="80">
        <f>X362</f>
        <v>1.12222</v>
      </c>
      <c r="Z363" t="s">
        <v>149</v>
      </c>
      <c r="AA363">
        <v>4</v>
      </c>
      <c r="AB363" t="s">
        <v>7</v>
      </c>
      <c r="AC363" s="20">
        <v>19456</v>
      </c>
      <c r="AD363" s="20">
        <v>256</v>
      </c>
      <c r="AE363" s="20">
        <v>1</v>
      </c>
      <c r="AF363" s="20">
        <v>16</v>
      </c>
      <c r="AG363" s="79">
        <v>3923.5</v>
      </c>
      <c r="AH363" s="62">
        <v>1.2515000000000001</v>
      </c>
      <c r="AI363" s="16">
        <v>45556</v>
      </c>
      <c r="AJ363" s="25">
        <v>2.0266203703703703E-2</v>
      </c>
      <c r="AK363">
        <v>0</v>
      </c>
      <c r="AL363">
        <v>0</v>
      </c>
      <c r="AM363">
        <v>0</v>
      </c>
      <c r="AN363">
        <v>0</v>
      </c>
      <c r="AO363">
        <v>0</v>
      </c>
      <c r="AP363">
        <v>0</v>
      </c>
      <c r="AQ363">
        <v>0</v>
      </c>
      <c r="AR363">
        <v>0</v>
      </c>
      <c r="AS363">
        <v>0</v>
      </c>
      <c r="AT363">
        <v>0</v>
      </c>
      <c r="AU363">
        <v>0</v>
      </c>
      <c r="AV363">
        <v>0</v>
      </c>
      <c r="AW363" s="80">
        <f>AW362</f>
        <v>1.2719</v>
      </c>
      <c r="AY363" t="s">
        <v>109</v>
      </c>
      <c r="AZ363">
        <v>0</v>
      </c>
      <c r="BA363" t="s">
        <v>7</v>
      </c>
      <c r="BB363">
        <v>19584</v>
      </c>
      <c r="BC363">
        <v>96</v>
      </c>
      <c r="BD363">
        <v>2</v>
      </c>
      <c r="BE363">
        <v>8</v>
      </c>
      <c r="BF363" s="23">
        <v>419.99</v>
      </c>
      <c r="BG363" s="78">
        <v>11.923999999999999</v>
      </c>
      <c r="BH363" s="16">
        <v>45545</v>
      </c>
      <c r="BI363" s="18">
        <v>0.57673611111111112</v>
      </c>
      <c r="BJ363">
        <v>0</v>
      </c>
      <c r="BK363">
        <v>0</v>
      </c>
      <c r="BL363">
        <v>0</v>
      </c>
      <c r="BM363">
        <v>0</v>
      </c>
      <c r="BN363">
        <v>0</v>
      </c>
      <c r="BO363">
        <v>0</v>
      </c>
      <c r="BP363">
        <v>0</v>
      </c>
      <c r="BQ363">
        <v>0</v>
      </c>
      <c r="BR363">
        <v>0</v>
      </c>
      <c r="BS363">
        <v>0</v>
      </c>
      <c r="BT363">
        <v>0</v>
      </c>
      <c r="BU363">
        <v>0</v>
      </c>
      <c r="BV363" s="112"/>
    </row>
    <row r="364" spans="1:74" x14ac:dyDescent="0.25">
      <c r="I364" s="78"/>
      <c r="J364" s="16"/>
      <c r="K364" s="18"/>
      <c r="X364" s="80"/>
      <c r="Z364" s="115"/>
      <c r="AA364" s="115"/>
      <c r="AY364" t="s">
        <v>109</v>
      </c>
      <c r="AZ364">
        <v>0</v>
      </c>
      <c r="BA364" t="s">
        <v>7</v>
      </c>
      <c r="BB364">
        <v>19520</v>
      </c>
      <c r="BC364">
        <v>160</v>
      </c>
      <c r="BD364">
        <v>2</v>
      </c>
      <c r="BE364">
        <v>8</v>
      </c>
      <c r="BF364" s="23">
        <v>413.72</v>
      </c>
      <c r="BG364" s="78">
        <v>11.986000000000001</v>
      </c>
      <c r="BH364" s="16">
        <v>45545</v>
      </c>
      <c r="BI364" s="18">
        <v>0.58170138888888889</v>
      </c>
      <c r="BJ364">
        <v>0</v>
      </c>
      <c r="BK364">
        <v>0</v>
      </c>
      <c r="BL364">
        <v>0</v>
      </c>
      <c r="BM364">
        <v>0</v>
      </c>
      <c r="BN364">
        <v>0</v>
      </c>
      <c r="BO364">
        <v>0</v>
      </c>
      <c r="BP364">
        <v>0</v>
      </c>
      <c r="BQ364">
        <v>0</v>
      </c>
      <c r="BR364">
        <v>0</v>
      </c>
      <c r="BS364">
        <v>0</v>
      </c>
      <c r="BT364">
        <v>0</v>
      </c>
      <c r="BU364">
        <v>0</v>
      </c>
      <c r="BV364" s="112"/>
    </row>
    <row r="365" spans="1:74" x14ac:dyDescent="0.25">
      <c r="A365" t="s">
        <v>182</v>
      </c>
      <c r="I365" s="78"/>
      <c r="J365" s="16"/>
      <c r="K365" s="18"/>
      <c r="X365" s="80"/>
      <c r="Z365" s="1"/>
      <c r="AA365" s="1"/>
      <c r="BG365" s="78"/>
      <c r="BH365" s="16"/>
      <c r="BI365" s="18"/>
      <c r="BV365" s="112"/>
    </row>
    <row r="366" spans="1:74" x14ac:dyDescent="0.25">
      <c r="A366" t="s">
        <v>111</v>
      </c>
      <c r="B366">
        <v>0</v>
      </c>
      <c r="C366" t="s">
        <v>7</v>
      </c>
      <c r="D366">
        <v>19456</v>
      </c>
      <c r="E366">
        <v>256</v>
      </c>
      <c r="F366">
        <v>1</v>
      </c>
      <c r="G366">
        <v>16</v>
      </c>
      <c r="H366" s="79">
        <v>4138.46</v>
      </c>
      <c r="I366" s="61">
        <v>1.1865000000000001</v>
      </c>
      <c r="J366" s="16">
        <v>45576</v>
      </c>
      <c r="K366" s="18">
        <v>0.55107638888888888</v>
      </c>
      <c r="L366">
        <v>0</v>
      </c>
      <c r="M366">
        <v>0</v>
      </c>
      <c r="N366">
        <v>0</v>
      </c>
      <c r="O366">
        <v>0</v>
      </c>
      <c r="P366">
        <v>0</v>
      </c>
      <c r="Q366">
        <v>0</v>
      </c>
      <c r="R366">
        <v>0</v>
      </c>
      <c r="S366">
        <v>0</v>
      </c>
      <c r="T366">
        <v>0</v>
      </c>
      <c r="U366">
        <v>0</v>
      </c>
      <c r="V366">
        <v>0</v>
      </c>
      <c r="W366">
        <v>0</v>
      </c>
      <c r="X366" s="82">
        <f>AVERAGE(I366:I370)</f>
        <v>1.1829000000000001</v>
      </c>
      <c r="AH366" s="61"/>
      <c r="AI366" s="16"/>
      <c r="AJ366" s="18"/>
      <c r="AW366" s="80"/>
      <c r="AY366" t="s">
        <v>109</v>
      </c>
      <c r="AZ366">
        <v>0</v>
      </c>
      <c r="BA366" t="s">
        <v>7</v>
      </c>
      <c r="BB366">
        <v>19584</v>
      </c>
      <c r="BC366">
        <v>192</v>
      </c>
      <c r="BD366">
        <v>2</v>
      </c>
      <c r="BE366">
        <v>8</v>
      </c>
      <c r="BF366" s="23">
        <v>429.67</v>
      </c>
      <c r="BG366" s="78">
        <v>11.656000000000001</v>
      </c>
      <c r="BH366" s="16">
        <v>45545</v>
      </c>
      <c r="BI366" s="18">
        <v>0.58687500000000004</v>
      </c>
      <c r="BJ366">
        <v>0</v>
      </c>
      <c r="BK366">
        <v>0</v>
      </c>
      <c r="BL366">
        <v>0</v>
      </c>
      <c r="BM366">
        <v>0</v>
      </c>
      <c r="BN366">
        <v>0</v>
      </c>
      <c r="BO366">
        <v>0</v>
      </c>
      <c r="BP366">
        <v>0</v>
      </c>
      <c r="BQ366">
        <v>0</v>
      </c>
      <c r="BR366">
        <v>0</v>
      </c>
      <c r="BS366">
        <v>0</v>
      </c>
      <c r="BT366">
        <v>0</v>
      </c>
      <c r="BU366">
        <v>0</v>
      </c>
      <c r="BV366" s="112"/>
    </row>
    <row r="367" spans="1:74" x14ac:dyDescent="0.25">
      <c r="A367" t="s">
        <v>111</v>
      </c>
      <c r="B367">
        <v>1</v>
      </c>
      <c r="C367" t="s">
        <v>7</v>
      </c>
      <c r="D367">
        <v>19456</v>
      </c>
      <c r="E367">
        <v>256</v>
      </c>
      <c r="F367">
        <v>1</v>
      </c>
      <c r="G367">
        <v>16</v>
      </c>
      <c r="H367" s="79">
        <v>3952.36</v>
      </c>
      <c r="I367" s="61">
        <v>1.2423999999999999</v>
      </c>
      <c r="J367" s="16">
        <v>45576</v>
      </c>
      <c r="K367" s="18">
        <v>0.63444444444444448</v>
      </c>
      <c r="L367">
        <v>0</v>
      </c>
      <c r="M367">
        <v>0</v>
      </c>
      <c r="N367">
        <v>0</v>
      </c>
      <c r="O367">
        <v>0</v>
      </c>
      <c r="P367">
        <v>0</v>
      </c>
      <c r="Q367">
        <v>0</v>
      </c>
      <c r="R367">
        <v>0</v>
      </c>
      <c r="S367">
        <v>0</v>
      </c>
      <c r="T367">
        <v>0</v>
      </c>
      <c r="U367">
        <v>0</v>
      </c>
      <c r="V367">
        <v>0</v>
      </c>
      <c r="W367">
        <v>0</v>
      </c>
      <c r="X367" s="80">
        <f>X366</f>
        <v>1.1829000000000001</v>
      </c>
      <c r="AH367" s="61"/>
      <c r="AI367" s="16"/>
      <c r="AJ367" s="18"/>
      <c r="AW367" s="80"/>
      <c r="AY367" t="s">
        <v>141</v>
      </c>
      <c r="AZ367">
        <v>0</v>
      </c>
      <c r="BA367" t="s">
        <v>7</v>
      </c>
      <c r="BB367">
        <v>19584</v>
      </c>
      <c r="BC367">
        <v>64</v>
      </c>
      <c r="BD367">
        <v>2</v>
      </c>
      <c r="BE367">
        <v>8</v>
      </c>
      <c r="BF367" s="23">
        <v>422.38</v>
      </c>
      <c r="BG367" s="78">
        <v>11.856</v>
      </c>
      <c r="BH367" s="16">
        <v>45545</v>
      </c>
      <c r="BI367" s="18">
        <v>0.5919444444444445</v>
      </c>
      <c r="BJ367">
        <v>0</v>
      </c>
      <c r="BK367">
        <v>0</v>
      </c>
      <c r="BL367">
        <v>0</v>
      </c>
      <c r="BM367">
        <v>0</v>
      </c>
      <c r="BN367">
        <v>0</v>
      </c>
      <c r="BO367">
        <v>0</v>
      </c>
      <c r="BP367">
        <v>0</v>
      </c>
      <c r="BQ367">
        <v>0</v>
      </c>
      <c r="BR367">
        <v>0</v>
      </c>
      <c r="BS367">
        <v>0</v>
      </c>
      <c r="BT367">
        <v>0</v>
      </c>
      <c r="BU367">
        <v>0</v>
      </c>
      <c r="BV367" s="112">
        <f t="shared" ref="BV367" si="11">AVERAGE(BG367:BG370)</f>
        <v>11.853999999999999</v>
      </c>
    </row>
    <row r="368" spans="1:74" x14ac:dyDescent="0.25">
      <c r="A368" t="s">
        <v>111</v>
      </c>
      <c r="B368">
        <v>2</v>
      </c>
      <c r="C368" t="s">
        <v>7</v>
      </c>
      <c r="D368">
        <v>19456</v>
      </c>
      <c r="E368">
        <v>256</v>
      </c>
      <c r="F368">
        <v>1</v>
      </c>
      <c r="G368">
        <v>16</v>
      </c>
      <c r="H368" s="79">
        <v>4175.7700000000004</v>
      </c>
      <c r="I368" s="61">
        <v>1.1758999999999999</v>
      </c>
      <c r="J368" s="16">
        <v>45576</v>
      </c>
      <c r="K368" s="18">
        <v>0.73008101851851848</v>
      </c>
      <c r="L368">
        <v>0</v>
      </c>
      <c r="M368">
        <v>0</v>
      </c>
      <c r="N368">
        <v>0</v>
      </c>
      <c r="O368">
        <v>0</v>
      </c>
      <c r="P368">
        <v>0</v>
      </c>
      <c r="Q368">
        <v>0</v>
      </c>
      <c r="R368">
        <v>0</v>
      </c>
      <c r="S368">
        <v>0</v>
      </c>
      <c r="T368">
        <v>0</v>
      </c>
      <c r="U368">
        <v>0</v>
      </c>
      <c r="V368">
        <v>0</v>
      </c>
      <c r="W368">
        <v>0</v>
      </c>
      <c r="X368" s="80">
        <f>X367</f>
        <v>1.1829000000000001</v>
      </c>
      <c r="AH368" s="61"/>
      <c r="AI368" s="16"/>
      <c r="AJ368" s="18"/>
      <c r="AW368" s="80"/>
      <c r="AY368" t="s">
        <v>141</v>
      </c>
      <c r="AZ368">
        <v>0</v>
      </c>
      <c r="BA368" t="s">
        <v>145</v>
      </c>
      <c r="BB368">
        <v>19584</v>
      </c>
      <c r="BC368">
        <v>96</v>
      </c>
      <c r="BD368">
        <v>2</v>
      </c>
      <c r="BE368">
        <v>8</v>
      </c>
      <c r="BH368" s="16">
        <v>45545</v>
      </c>
      <c r="BI368" s="18">
        <v>0.59702546296296299</v>
      </c>
      <c r="BJ368">
        <v>0</v>
      </c>
      <c r="BK368">
        <v>0</v>
      </c>
      <c r="BL368">
        <v>0</v>
      </c>
      <c r="BM368">
        <v>0</v>
      </c>
      <c r="BN368">
        <v>0</v>
      </c>
      <c r="BO368">
        <v>0</v>
      </c>
      <c r="BP368">
        <v>0</v>
      </c>
      <c r="BQ368">
        <v>0</v>
      </c>
      <c r="BR368">
        <v>0</v>
      </c>
      <c r="BS368">
        <v>0</v>
      </c>
      <c r="BT368">
        <v>0</v>
      </c>
      <c r="BU368">
        <v>0</v>
      </c>
      <c r="BV368" s="112"/>
    </row>
    <row r="369" spans="1:74" x14ac:dyDescent="0.25">
      <c r="A369" t="s">
        <v>111</v>
      </c>
      <c r="B369">
        <v>3</v>
      </c>
      <c r="C369" t="s">
        <v>7</v>
      </c>
      <c r="D369">
        <v>19456</v>
      </c>
      <c r="E369">
        <v>256</v>
      </c>
      <c r="F369">
        <v>1</v>
      </c>
      <c r="G369">
        <v>16</v>
      </c>
      <c r="H369" s="79">
        <v>4157.87</v>
      </c>
      <c r="I369" s="61">
        <v>1.181</v>
      </c>
      <c r="J369" s="16">
        <v>45576</v>
      </c>
      <c r="K369" s="18">
        <v>0.82976851851851852</v>
      </c>
      <c r="L369">
        <v>0</v>
      </c>
      <c r="M369">
        <v>0</v>
      </c>
      <c r="N369">
        <v>0</v>
      </c>
      <c r="O369">
        <v>0</v>
      </c>
      <c r="P369">
        <v>0</v>
      </c>
      <c r="Q369">
        <v>0</v>
      </c>
      <c r="R369">
        <v>0</v>
      </c>
      <c r="S369">
        <v>0</v>
      </c>
      <c r="T369">
        <v>0</v>
      </c>
      <c r="U369">
        <v>0</v>
      </c>
      <c r="V369">
        <v>0</v>
      </c>
      <c r="W369">
        <v>0</v>
      </c>
      <c r="X369" s="80">
        <f>X368</f>
        <v>1.1829000000000001</v>
      </c>
      <c r="AH369" s="61"/>
      <c r="AI369" s="16"/>
      <c r="AJ369" s="18"/>
      <c r="AW369" s="80"/>
      <c r="AY369" t="s">
        <v>141</v>
      </c>
      <c r="AZ369">
        <v>0</v>
      </c>
      <c r="BA369" t="s">
        <v>7</v>
      </c>
      <c r="BB369">
        <v>19520</v>
      </c>
      <c r="BC369">
        <v>160</v>
      </c>
      <c r="BD369">
        <v>2</v>
      </c>
      <c r="BE369">
        <v>8</v>
      </c>
      <c r="BF369" s="23">
        <v>418.4</v>
      </c>
      <c r="BG369" s="78">
        <v>11.852</v>
      </c>
      <c r="BH369" s="16">
        <v>45545</v>
      </c>
      <c r="BI369" s="18">
        <v>0.60206018518518523</v>
      </c>
      <c r="BJ369">
        <v>0</v>
      </c>
      <c r="BK369">
        <v>0</v>
      </c>
      <c r="BL369">
        <v>0</v>
      </c>
      <c r="BM369">
        <v>0</v>
      </c>
      <c r="BN369">
        <v>0</v>
      </c>
      <c r="BO369">
        <v>0</v>
      </c>
      <c r="BP369">
        <v>0</v>
      </c>
      <c r="BQ369">
        <v>0</v>
      </c>
      <c r="BR369">
        <v>0</v>
      </c>
      <c r="BS369">
        <v>0</v>
      </c>
      <c r="BT369">
        <v>0</v>
      </c>
      <c r="BU369">
        <v>0</v>
      </c>
      <c r="BV369" s="112"/>
    </row>
    <row r="370" spans="1:74" x14ac:dyDescent="0.25">
      <c r="A370" t="s">
        <v>111</v>
      </c>
      <c r="B370">
        <v>4</v>
      </c>
      <c r="C370" t="s">
        <v>7</v>
      </c>
      <c r="D370">
        <v>19456</v>
      </c>
      <c r="E370">
        <v>256</v>
      </c>
      <c r="F370">
        <v>1</v>
      </c>
      <c r="G370">
        <v>16</v>
      </c>
      <c r="H370" s="79">
        <v>4350.6000000000004</v>
      </c>
      <c r="I370" s="61">
        <v>1.1287</v>
      </c>
      <c r="J370" s="16">
        <v>45576</v>
      </c>
      <c r="K370" s="18">
        <v>0.96450231481481485</v>
      </c>
      <c r="L370">
        <v>0</v>
      </c>
      <c r="M370">
        <v>0</v>
      </c>
      <c r="N370">
        <v>0</v>
      </c>
      <c r="O370">
        <v>0</v>
      </c>
      <c r="P370">
        <v>0</v>
      </c>
      <c r="Q370">
        <v>0</v>
      </c>
      <c r="R370">
        <v>0</v>
      </c>
      <c r="S370">
        <v>0</v>
      </c>
      <c r="T370">
        <v>0</v>
      </c>
      <c r="U370">
        <v>0</v>
      </c>
      <c r="V370">
        <v>0</v>
      </c>
      <c r="W370">
        <v>0</v>
      </c>
      <c r="X370" s="80">
        <f>X369</f>
        <v>1.1829000000000001</v>
      </c>
      <c r="AH370" s="61"/>
      <c r="AI370" s="16"/>
      <c r="AJ370" s="18"/>
      <c r="AW370" s="80"/>
      <c r="AY370" t="s">
        <v>141</v>
      </c>
      <c r="AZ370">
        <v>0</v>
      </c>
      <c r="BA370" t="s">
        <v>145</v>
      </c>
      <c r="BB370">
        <v>19584</v>
      </c>
      <c r="BC370">
        <v>192</v>
      </c>
      <c r="BD370">
        <v>2</v>
      </c>
      <c r="BE370">
        <v>8</v>
      </c>
      <c r="BH370" s="16">
        <v>45545</v>
      </c>
      <c r="BI370" s="18">
        <v>0.60258101851851853</v>
      </c>
      <c r="BJ370">
        <v>0</v>
      </c>
      <c r="BK370">
        <v>0</v>
      </c>
      <c r="BL370">
        <v>0</v>
      </c>
      <c r="BM370">
        <v>0</v>
      </c>
      <c r="BN370">
        <v>0</v>
      </c>
      <c r="BO370">
        <v>0</v>
      </c>
      <c r="BP370">
        <v>0</v>
      </c>
      <c r="BQ370">
        <v>0</v>
      </c>
      <c r="BR370">
        <v>0</v>
      </c>
      <c r="BS370">
        <v>0</v>
      </c>
      <c r="BT370">
        <v>0</v>
      </c>
      <c r="BU370">
        <v>0</v>
      </c>
      <c r="BV370" s="112"/>
    </row>
    <row r="371" spans="1:74" x14ac:dyDescent="0.25">
      <c r="A371" t="s">
        <v>111</v>
      </c>
      <c r="B371">
        <v>0</v>
      </c>
      <c r="C371" t="s">
        <v>7</v>
      </c>
      <c r="D371">
        <v>19456</v>
      </c>
      <c r="E371">
        <v>256</v>
      </c>
      <c r="F371">
        <v>2</v>
      </c>
      <c r="G371">
        <v>8</v>
      </c>
      <c r="H371" s="79">
        <v>2527.5</v>
      </c>
      <c r="I371" s="61">
        <v>1.9428000000000001</v>
      </c>
      <c r="J371" s="16">
        <v>45576</v>
      </c>
      <c r="K371" s="18">
        <v>0.58112268518518517</v>
      </c>
      <c r="L371">
        <v>0</v>
      </c>
      <c r="M371">
        <v>0</v>
      </c>
      <c r="N371">
        <v>0</v>
      </c>
      <c r="O371">
        <v>0</v>
      </c>
      <c r="P371">
        <v>0</v>
      </c>
      <c r="Q371">
        <v>0</v>
      </c>
      <c r="R371">
        <v>0</v>
      </c>
      <c r="S371">
        <v>0</v>
      </c>
      <c r="T371">
        <v>0</v>
      </c>
      <c r="U371">
        <v>0</v>
      </c>
      <c r="V371">
        <v>0</v>
      </c>
      <c r="W371">
        <v>0</v>
      </c>
      <c r="X371" s="82">
        <f t="shared" ref="X371" si="12">AVERAGE(I371:I375)</f>
        <v>2.4310400000000003</v>
      </c>
      <c r="AH371" s="61"/>
      <c r="AI371" s="16"/>
      <c r="AJ371" s="18"/>
      <c r="AW371" s="80"/>
    </row>
    <row r="372" spans="1:74" x14ac:dyDescent="0.25">
      <c r="A372" t="s">
        <v>111</v>
      </c>
      <c r="B372">
        <v>1</v>
      </c>
      <c r="C372" t="s">
        <v>7</v>
      </c>
      <c r="D372">
        <v>19456</v>
      </c>
      <c r="E372">
        <v>256</v>
      </c>
      <c r="F372">
        <v>2</v>
      </c>
      <c r="G372">
        <v>8</v>
      </c>
      <c r="H372" s="79">
        <v>2255.66</v>
      </c>
      <c r="I372" s="61">
        <v>2.1768999999999998</v>
      </c>
      <c r="J372" s="16">
        <v>45576</v>
      </c>
      <c r="K372" s="18">
        <v>0.66140046296296295</v>
      </c>
      <c r="L372">
        <v>0</v>
      </c>
      <c r="M372">
        <v>0</v>
      </c>
      <c r="N372">
        <v>0</v>
      </c>
      <c r="O372">
        <v>0</v>
      </c>
      <c r="P372">
        <v>0</v>
      </c>
      <c r="Q372">
        <v>0</v>
      </c>
      <c r="R372">
        <v>0</v>
      </c>
      <c r="S372">
        <v>0</v>
      </c>
      <c r="T372">
        <v>0</v>
      </c>
      <c r="U372">
        <v>0</v>
      </c>
      <c r="V372">
        <v>0</v>
      </c>
      <c r="W372">
        <v>0</v>
      </c>
      <c r="X372" s="80">
        <f t="shared" ref="X372:X375" si="13">X371</f>
        <v>2.4310400000000003</v>
      </c>
      <c r="AH372" s="61"/>
      <c r="AI372" s="16"/>
      <c r="AJ372" s="18"/>
      <c r="AW372" s="80"/>
      <c r="AY372" t="s">
        <v>111</v>
      </c>
      <c r="AZ372">
        <v>0</v>
      </c>
      <c r="BA372" t="s">
        <v>7</v>
      </c>
      <c r="BB372">
        <v>19584</v>
      </c>
      <c r="BC372">
        <v>64</v>
      </c>
      <c r="BD372">
        <v>2</v>
      </c>
      <c r="BE372">
        <v>8</v>
      </c>
      <c r="BF372" s="23">
        <v>448.48</v>
      </c>
      <c r="BG372" s="78">
        <v>11.167</v>
      </c>
      <c r="BH372" s="16">
        <v>45545</v>
      </c>
      <c r="BI372" s="18">
        <v>0.81623842592592588</v>
      </c>
      <c r="BJ372">
        <v>0</v>
      </c>
      <c r="BK372">
        <v>0</v>
      </c>
      <c r="BL372">
        <v>0</v>
      </c>
      <c r="BM372">
        <v>0</v>
      </c>
      <c r="BN372">
        <v>0</v>
      </c>
      <c r="BO372">
        <v>0</v>
      </c>
      <c r="BP372">
        <v>0</v>
      </c>
      <c r="BQ372">
        <v>0</v>
      </c>
      <c r="BR372">
        <v>0</v>
      </c>
      <c r="BS372">
        <v>0</v>
      </c>
      <c r="BT372">
        <v>0</v>
      </c>
      <c r="BU372">
        <v>0</v>
      </c>
      <c r="BV372" s="112">
        <f t="shared" ref="BV372" si="14">AVERAGE(BG372:BG375)</f>
        <v>11.4255</v>
      </c>
    </row>
    <row r="373" spans="1:74" x14ac:dyDescent="0.25">
      <c r="A373" t="s">
        <v>111</v>
      </c>
      <c r="B373">
        <v>2</v>
      </c>
      <c r="C373" t="s">
        <v>7</v>
      </c>
      <c r="D373">
        <v>19456</v>
      </c>
      <c r="E373">
        <v>256</v>
      </c>
      <c r="F373">
        <v>2</v>
      </c>
      <c r="G373">
        <v>8</v>
      </c>
      <c r="H373" s="79">
        <v>2484.65</v>
      </c>
      <c r="I373" s="61">
        <v>1.9762999999999999</v>
      </c>
      <c r="J373" s="16">
        <v>45576</v>
      </c>
      <c r="K373" s="18">
        <v>0.75976851851851857</v>
      </c>
      <c r="L373">
        <v>0</v>
      </c>
      <c r="M373">
        <v>0</v>
      </c>
      <c r="N373">
        <v>0</v>
      </c>
      <c r="O373">
        <v>0</v>
      </c>
      <c r="P373">
        <v>0</v>
      </c>
      <c r="Q373">
        <v>0</v>
      </c>
      <c r="R373">
        <v>0</v>
      </c>
      <c r="S373">
        <v>0</v>
      </c>
      <c r="T373">
        <v>0</v>
      </c>
      <c r="U373">
        <v>0</v>
      </c>
      <c r="V373">
        <v>0</v>
      </c>
      <c r="W373">
        <v>0</v>
      </c>
      <c r="X373" s="80">
        <f t="shared" si="13"/>
        <v>2.4310400000000003</v>
      </c>
      <c r="AH373" s="61"/>
      <c r="AI373" s="16"/>
      <c r="AJ373" s="18"/>
      <c r="AW373" s="80"/>
      <c r="AY373" t="s">
        <v>111</v>
      </c>
      <c r="AZ373">
        <v>0</v>
      </c>
      <c r="BA373" t="s">
        <v>7</v>
      </c>
      <c r="BB373">
        <v>19584</v>
      </c>
      <c r="BC373">
        <v>96</v>
      </c>
      <c r="BD373">
        <v>2</v>
      </c>
      <c r="BE373">
        <v>8</v>
      </c>
      <c r="BF373" s="23">
        <v>441.71</v>
      </c>
      <c r="BG373" s="78">
        <v>11.337999999999999</v>
      </c>
      <c r="BH373" s="16">
        <v>45545</v>
      </c>
      <c r="BI373" s="18">
        <v>0.82156249999999997</v>
      </c>
      <c r="BJ373">
        <v>0</v>
      </c>
      <c r="BK373">
        <v>0</v>
      </c>
      <c r="BL373">
        <v>0</v>
      </c>
      <c r="BM373">
        <v>0</v>
      </c>
      <c r="BN373">
        <v>0</v>
      </c>
      <c r="BO373">
        <v>0</v>
      </c>
      <c r="BP373">
        <v>0</v>
      </c>
      <c r="BQ373">
        <v>0</v>
      </c>
      <c r="BR373">
        <v>0</v>
      </c>
      <c r="BS373">
        <v>0</v>
      </c>
      <c r="BT373">
        <v>0</v>
      </c>
      <c r="BU373">
        <v>0</v>
      </c>
      <c r="BV373" s="112"/>
    </row>
    <row r="374" spans="1:74" x14ac:dyDescent="0.25">
      <c r="A374" t="s">
        <v>111</v>
      </c>
      <c r="B374">
        <v>3</v>
      </c>
      <c r="C374" t="s">
        <v>7</v>
      </c>
      <c r="D374">
        <v>19456</v>
      </c>
      <c r="E374">
        <v>256</v>
      </c>
      <c r="F374">
        <v>2</v>
      </c>
      <c r="G374">
        <v>8</v>
      </c>
      <c r="H374" s="79">
        <v>1231.47</v>
      </c>
      <c r="I374" s="61">
        <v>3.9874999999999998</v>
      </c>
      <c r="J374" s="16">
        <v>45576</v>
      </c>
      <c r="K374" s="18">
        <v>0.8445138888888889</v>
      </c>
      <c r="L374">
        <v>0</v>
      </c>
      <c r="M374">
        <v>0</v>
      </c>
      <c r="N374">
        <v>0</v>
      </c>
      <c r="O374">
        <v>0</v>
      </c>
      <c r="P374">
        <v>0</v>
      </c>
      <c r="Q374">
        <v>0</v>
      </c>
      <c r="R374">
        <v>0</v>
      </c>
      <c r="S374">
        <v>0</v>
      </c>
      <c r="T374">
        <v>0</v>
      </c>
      <c r="U374">
        <v>0</v>
      </c>
      <c r="V374">
        <v>0</v>
      </c>
      <c r="W374">
        <v>0</v>
      </c>
      <c r="X374" s="80">
        <f t="shared" si="13"/>
        <v>2.4310400000000003</v>
      </c>
      <c r="AH374" s="61"/>
      <c r="AI374" s="16"/>
      <c r="AJ374" s="18"/>
      <c r="AW374" s="80"/>
      <c r="AY374" t="s">
        <v>111</v>
      </c>
      <c r="AZ374">
        <v>0</v>
      </c>
      <c r="BA374" t="s">
        <v>7</v>
      </c>
      <c r="BB374">
        <v>19520</v>
      </c>
      <c r="BC374">
        <v>160</v>
      </c>
      <c r="BD374">
        <v>2</v>
      </c>
      <c r="BE374">
        <v>8</v>
      </c>
      <c r="BF374" s="23">
        <v>421.27</v>
      </c>
      <c r="BG374" s="78">
        <v>11.772</v>
      </c>
      <c r="BH374" s="16">
        <v>45545</v>
      </c>
      <c r="BI374" s="18">
        <v>0.82663194444444443</v>
      </c>
      <c r="BJ374">
        <v>0</v>
      </c>
      <c r="BK374">
        <v>0</v>
      </c>
      <c r="BL374">
        <v>0</v>
      </c>
      <c r="BM374">
        <v>0</v>
      </c>
      <c r="BN374">
        <v>0</v>
      </c>
      <c r="BO374">
        <v>0</v>
      </c>
      <c r="BP374">
        <v>0</v>
      </c>
      <c r="BQ374">
        <v>0</v>
      </c>
      <c r="BR374">
        <v>0</v>
      </c>
      <c r="BS374">
        <v>0</v>
      </c>
      <c r="BT374">
        <v>0</v>
      </c>
      <c r="BU374">
        <v>0</v>
      </c>
      <c r="BV374" s="112"/>
    </row>
    <row r="375" spans="1:74" x14ac:dyDescent="0.25">
      <c r="A375" t="s">
        <v>111</v>
      </c>
      <c r="B375">
        <v>4</v>
      </c>
      <c r="C375" t="s">
        <v>7</v>
      </c>
      <c r="D375">
        <v>19456</v>
      </c>
      <c r="E375">
        <v>256</v>
      </c>
      <c r="F375">
        <v>2</v>
      </c>
      <c r="G375">
        <v>8</v>
      </c>
      <c r="H375" s="79">
        <v>2370.3000000000002</v>
      </c>
      <c r="I375" s="61">
        <v>2.0716999999999999</v>
      </c>
      <c r="J375" s="16">
        <v>45576</v>
      </c>
      <c r="K375" s="18">
        <v>0.99267361111111108</v>
      </c>
      <c r="L375">
        <v>0</v>
      </c>
      <c r="M375">
        <v>0</v>
      </c>
      <c r="N375">
        <v>0</v>
      </c>
      <c r="O375">
        <v>0</v>
      </c>
      <c r="P375">
        <v>0</v>
      </c>
      <c r="Q375">
        <v>0</v>
      </c>
      <c r="R375">
        <v>0</v>
      </c>
      <c r="S375">
        <v>0</v>
      </c>
      <c r="T375">
        <v>0</v>
      </c>
      <c r="U375">
        <v>0</v>
      </c>
      <c r="V375">
        <v>0</v>
      </c>
      <c r="W375">
        <v>0</v>
      </c>
      <c r="X375" s="80">
        <f t="shared" si="13"/>
        <v>2.4310400000000003</v>
      </c>
      <c r="AH375" s="61"/>
      <c r="AI375" s="16"/>
      <c r="AJ375" s="18"/>
      <c r="AW375" s="80"/>
      <c r="AY375" t="s">
        <v>111</v>
      </c>
      <c r="AZ375">
        <v>0</v>
      </c>
      <c r="BA375" t="s">
        <v>7</v>
      </c>
      <c r="BB375">
        <v>19584</v>
      </c>
      <c r="BC375">
        <v>192</v>
      </c>
      <c r="BD375">
        <v>2</v>
      </c>
      <c r="BE375">
        <v>8</v>
      </c>
      <c r="BF375" s="23">
        <v>438.34</v>
      </c>
      <c r="BG375" s="78">
        <v>11.425000000000001</v>
      </c>
      <c r="BH375" s="16">
        <v>45545</v>
      </c>
      <c r="BI375" s="18">
        <v>0.83193287037037034</v>
      </c>
      <c r="BJ375">
        <v>0</v>
      </c>
      <c r="BK375">
        <v>0</v>
      </c>
      <c r="BL375">
        <v>0</v>
      </c>
      <c r="BM375">
        <v>0</v>
      </c>
      <c r="BN375">
        <v>0</v>
      </c>
      <c r="BO375">
        <v>0</v>
      </c>
      <c r="BP375">
        <v>0</v>
      </c>
      <c r="BQ375">
        <v>0</v>
      </c>
      <c r="BR375">
        <v>0</v>
      </c>
      <c r="BS375">
        <v>0</v>
      </c>
      <c r="BT375">
        <v>0</v>
      </c>
      <c r="BU375">
        <v>0</v>
      </c>
      <c r="BV375" s="112"/>
    </row>
    <row r="376" spans="1:74" x14ac:dyDescent="0.25">
      <c r="A376" t="s">
        <v>111</v>
      </c>
      <c r="B376">
        <v>0</v>
      </c>
      <c r="C376" t="s">
        <v>7</v>
      </c>
      <c r="D376">
        <v>19456</v>
      </c>
      <c r="E376">
        <v>256</v>
      </c>
      <c r="F376">
        <v>4</v>
      </c>
      <c r="G376">
        <v>4</v>
      </c>
      <c r="H376" s="79">
        <v>537.44000000000005</v>
      </c>
      <c r="I376" s="61">
        <v>9.1366999999999994</v>
      </c>
      <c r="J376" s="16">
        <v>45576</v>
      </c>
      <c r="K376" s="18">
        <v>0.58756944444444448</v>
      </c>
      <c r="L376">
        <v>0</v>
      </c>
      <c r="M376">
        <v>0</v>
      </c>
      <c r="N376">
        <v>0</v>
      </c>
      <c r="O376">
        <v>0</v>
      </c>
      <c r="P376">
        <v>0</v>
      </c>
      <c r="Q376">
        <v>0</v>
      </c>
      <c r="R376">
        <v>0</v>
      </c>
      <c r="S376">
        <v>0</v>
      </c>
      <c r="T376">
        <v>0</v>
      </c>
      <c r="U376">
        <v>0</v>
      </c>
      <c r="V376">
        <v>0</v>
      </c>
      <c r="W376">
        <v>0</v>
      </c>
      <c r="X376" s="82">
        <f t="shared" ref="X376" si="15">AVERAGE(I376:I380)</f>
        <v>5.0037440000000002</v>
      </c>
      <c r="AH376" s="61"/>
      <c r="AI376" s="16"/>
      <c r="AJ376" s="18"/>
      <c r="AW376" s="80"/>
      <c r="AY376" t="s">
        <v>109</v>
      </c>
      <c r="AZ376">
        <v>0</v>
      </c>
      <c r="BA376" t="s">
        <v>7</v>
      </c>
      <c r="BB376">
        <v>19584</v>
      </c>
      <c r="BC376">
        <v>64</v>
      </c>
      <c r="BD376">
        <v>2</v>
      </c>
      <c r="BE376">
        <v>8</v>
      </c>
      <c r="BF376" s="23">
        <v>449.78</v>
      </c>
      <c r="BG376" s="78">
        <v>11.134</v>
      </c>
      <c r="BH376" s="16">
        <v>45545</v>
      </c>
      <c r="BI376" s="18">
        <v>0.83731481481481485</v>
      </c>
      <c r="BJ376">
        <v>0</v>
      </c>
      <c r="BK376">
        <v>0</v>
      </c>
      <c r="BL376">
        <v>0</v>
      </c>
      <c r="BM376">
        <v>0</v>
      </c>
      <c r="BN376">
        <v>0</v>
      </c>
      <c r="BO376">
        <v>0</v>
      </c>
      <c r="BP376">
        <v>0</v>
      </c>
      <c r="BQ376">
        <v>0</v>
      </c>
      <c r="BR376">
        <v>0</v>
      </c>
      <c r="BS376">
        <v>0</v>
      </c>
      <c r="BT376">
        <v>0</v>
      </c>
      <c r="BU376">
        <v>0</v>
      </c>
      <c r="BV376" s="112">
        <f t="shared" ref="BV376:BV380" si="16">AVERAGE(BG376:BG379)</f>
        <v>11.402000000000001</v>
      </c>
    </row>
    <row r="377" spans="1:74" x14ac:dyDescent="0.25">
      <c r="A377" t="s">
        <v>111</v>
      </c>
      <c r="B377">
        <v>1</v>
      </c>
      <c r="C377" t="s">
        <v>7</v>
      </c>
      <c r="D377">
        <v>19456</v>
      </c>
      <c r="E377">
        <v>256</v>
      </c>
      <c r="F377">
        <v>4</v>
      </c>
      <c r="G377">
        <v>4</v>
      </c>
      <c r="H377" s="79">
        <v>1552.2</v>
      </c>
      <c r="I377" s="61">
        <v>3.1635</v>
      </c>
      <c r="J377" s="16">
        <v>45576</v>
      </c>
      <c r="K377" s="18">
        <v>0.67978009259259264</v>
      </c>
      <c r="L377">
        <v>0</v>
      </c>
      <c r="M377">
        <v>0</v>
      </c>
      <c r="N377">
        <v>0</v>
      </c>
      <c r="O377">
        <v>0</v>
      </c>
      <c r="P377">
        <v>0</v>
      </c>
      <c r="Q377">
        <v>0</v>
      </c>
      <c r="R377">
        <v>0</v>
      </c>
      <c r="S377">
        <v>0</v>
      </c>
      <c r="T377">
        <v>0</v>
      </c>
      <c r="U377">
        <v>0</v>
      </c>
      <c r="V377">
        <v>0</v>
      </c>
      <c r="W377">
        <v>0</v>
      </c>
      <c r="X377" s="80">
        <f t="shared" ref="X377:X380" si="17">X376</f>
        <v>5.0037440000000002</v>
      </c>
      <c r="AH377" s="61"/>
      <c r="AI377" s="16"/>
      <c r="AJ377" s="18"/>
      <c r="AW377" s="80"/>
      <c r="AY377" t="s">
        <v>109</v>
      </c>
      <c r="AZ377">
        <v>0</v>
      </c>
      <c r="BA377" t="s">
        <v>7</v>
      </c>
      <c r="BB377">
        <v>19584</v>
      </c>
      <c r="BC377">
        <v>96</v>
      </c>
      <c r="BD377">
        <v>2</v>
      </c>
      <c r="BE377">
        <v>8</v>
      </c>
      <c r="BF377" s="23">
        <v>440.15</v>
      </c>
      <c r="BG377" s="78">
        <v>11.378</v>
      </c>
      <c r="BH377" s="16">
        <v>45545</v>
      </c>
      <c r="BI377" s="18">
        <v>0.84258101851851852</v>
      </c>
      <c r="BJ377">
        <v>0</v>
      </c>
      <c r="BK377">
        <v>0</v>
      </c>
      <c r="BL377">
        <v>0</v>
      </c>
      <c r="BM377">
        <v>0</v>
      </c>
      <c r="BN377">
        <v>0</v>
      </c>
      <c r="BO377">
        <v>0</v>
      </c>
      <c r="BP377">
        <v>0</v>
      </c>
      <c r="BQ377">
        <v>0</v>
      </c>
      <c r="BR377">
        <v>0</v>
      </c>
      <c r="BS377">
        <v>0</v>
      </c>
      <c r="BT377">
        <v>0</v>
      </c>
      <c r="BU377">
        <v>0</v>
      </c>
      <c r="BV377" s="112"/>
    </row>
    <row r="378" spans="1:74" x14ac:dyDescent="0.25">
      <c r="A378" t="s">
        <v>111</v>
      </c>
      <c r="B378">
        <v>2</v>
      </c>
      <c r="C378" t="s">
        <v>7</v>
      </c>
      <c r="D378">
        <v>19456</v>
      </c>
      <c r="E378">
        <v>256</v>
      </c>
      <c r="F378">
        <v>4</v>
      </c>
      <c r="G378">
        <v>4</v>
      </c>
      <c r="H378" s="79">
        <v>1712.12</v>
      </c>
      <c r="I378" s="61">
        <v>2.8679999999999999</v>
      </c>
      <c r="J378" s="16">
        <v>45576</v>
      </c>
      <c r="K378" s="18">
        <v>0.78006944444444448</v>
      </c>
      <c r="L378">
        <v>0</v>
      </c>
      <c r="M378">
        <v>0</v>
      </c>
      <c r="N378">
        <v>0</v>
      </c>
      <c r="O378">
        <v>0</v>
      </c>
      <c r="P378">
        <v>0</v>
      </c>
      <c r="Q378">
        <v>0</v>
      </c>
      <c r="R378">
        <v>0</v>
      </c>
      <c r="S378">
        <v>0</v>
      </c>
      <c r="T378">
        <v>0</v>
      </c>
      <c r="U378">
        <v>0</v>
      </c>
      <c r="V378">
        <v>0</v>
      </c>
      <c r="W378">
        <v>0</v>
      </c>
      <c r="X378" s="80">
        <f t="shared" si="17"/>
        <v>5.0037440000000002</v>
      </c>
      <c r="AH378" s="61"/>
      <c r="AI378" s="16"/>
      <c r="AJ378" s="18"/>
      <c r="AW378" s="80"/>
      <c r="AY378" t="s">
        <v>109</v>
      </c>
      <c r="AZ378">
        <v>0</v>
      </c>
      <c r="BA378" t="s">
        <v>7</v>
      </c>
      <c r="BB378">
        <v>19520</v>
      </c>
      <c r="BC378">
        <v>160</v>
      </c>
      <c r="BD378">
        <v>2</v>
      </c>
      <c r="BE378">
        <v>8</v>
      </c>
      <c r="BF378" s="23">
        <v>428.3</v>
      </c>
      <c r="BG378" s="78">
        <v>11.577999999999999</v>
      </c>
      <c r="BH378" s="16">
        <v>45545</v>
      </c>
      <c r="BI378" s="18">
        <v>0.84771990740740744</v>
      </c>
      <c r="BJ378">
        <v>0</v>
      </c>
      <c r="BK378">
        <v>0</v>
      </c>
      <c r="BL378">
        <v>0</v>
      </c>
      <c r="BM378">
        <v>0</v>
      </c>
      <c r="BN378">
        <v>0</v>
      </c>
      <c r="BO378">
        <v>0</v>
      </c>
      <c r="BP378">
        <v>0</v>
      </c>
      <c r="BQ378">
        <v>0</v>
      </c>
      <c r="BR378">
        <v>0</v>
      </c>
      <c r="BS378">
        <v>0</v>
      </c>
      <c r="BT378">
        <v>0</v>
      </c>
      <c r="BU378">
        <v>0</v>
      </c>
      <c r="BV378" s="112"/>
    </row>
    <row r="379" spans="1:74" x14ac:dyDescent="0.25">
      <c r="A379" t="s">
        <v>111</v>
      </c>
      <c r="B379">
        <v>3</v>
      </c>
      <c r="C379" t="s">
        <v>7</v>
      </c>
      <c r="D379">
        <v>19456</v>
      </c>
      <c r="E379">
        <v>256</v>
      </c>
      <c r="F379">
        <v>4</v>
      </c>
      <c r="G379">
        <v>4</v>
      </c>
      <c r="H379" s="79">
        <v>5860.93</v>
      </c>
      <c r="I379" s="61">
        <v>0.83782000000000001</v>
      </c>
      <c r="J379" s="16">
        <v>45576</v>
      </c>
      <c r="K379" s="18">
        <v>0.91278935185185184</v>
      </c>
      <c r="L379">
        <v>0</v>
      </c>
      <c r="M379">
        <v>0</v>
      </c>
      <c r="N379">
        <v>0</v>
      </c>
      <c r="O379">
        <v>0</v>
      </c>
      <c r="P379">
        <v>0</v>
      </c>
      <c r="Q379">
        <v>0</v>
      </c>
      <c r="R379">
        <v>0</v>
      </c>
      <c r="S379">
        <v>0</v>
      </c>
      <c r="T379">
        <v>0</v>
      </c>
      <c r="U379">
        <v>0</v>
      </c>
      <c r="V379">
        <v>0</v>
      </c>
      <c r="W379">
        <v>0</v>
      </c>
      <c r="X379" s="80">
        <f t="shared" si="17"/>
        <v>5.0037440000000002</v>
      </c>
      <c r="AH379" s="61"/>
      <c r="AI379" s="16"/>
      <c r="AJ379" s="18"/>
      <c r="AW379" s="80"/>
      <c r="AY379" t="s">
        <v>109</v>
      </c>
      <c r="AZ379">
        <v>0</v>
      </c>
      <c r="BA379" t="s">
        <v>7</v>
      </c>
      <c r="BB379">
        <v>19584</v>
      </c>
      <c r="BC379">
        <v>192</v>
      </c>
      <c r="BD379">
        <v>2</v>
      </c>
      <c r="BE379">
        <v>8</v>
      </c>
      <c r="BF379" s="23">
        <v>434.78</v>
      </c>
      <c r="BG379" s="78">
        <v>11.518000000000001</v>
      </c>
      <c r="BH379" s="16">
        <v>45545</v>
      </c>
      <c r="BI379" s="18">
        <v>0.85297453703703707</v>
      </c>
      <c r="BJ379">
        <v>0</v>
      </c>
      <c r="BK379">
        <v>0</v>
      </c>
      <c r="BL379">
        <v>0</v>
      </c>
      <c r="BM379">
        <v>0</v>
      </c>
      <c r="BN379">
        <v>0</v>
      </c>
      <c r="BO379">
        <v>0</v>
      </c>
      <c r="BP379">
        <v>0</v>
      </c>
      <c r="BQ379">
        <v>0</v>
      </c>
      <c r="BR379">
        <v>0</v>
      </c>
      <c r="BS379">
        <v>0</v>
      </c>
      <c r="BT379">
        <v>0</v>
      </c>
      <c r="BU379">
        <v>0</v>
      </c>
      <c r="BV379" s="112"/>
    </row>
    <row r="380" spans="1:74" x14ac:dyDescent="0.25">
      <c r="A380" t="s">
        <v>111</v>
      </c>
      <c r="B380">
        <v>4</v>
      </c>
      <c r="C380" t="s">
        <v>7</v>
      </c>
      <c r="D380">
        <v>19456</v>
      </c>
      <c r="E380">
        <v>256</v>
      </c>
      <c r="F380">
        <v>4</v>
      </c>
      <c r="G380">
        <v>4</v>
      </c>
      <c r="H380" s="79">
        <v>544.83000000000004</v>
      </c>
      <c r="I380" s="61">
        <v>9.0127000000000006</v>
      </c>
      <c r="J380" s="16">
        <v>45576</v>
      </c>
      <c r="K380" s="18">
        <v>0.99921296296296291</v>
      </c>
      <c r="L380">
        <v>0</v>
      </c>
      <c r="M380">
        <v>0</v>
      </c>
      <c r="N380">
        <v>0</v>
      </c>
      <c r="O380">
        <v>0</v>
      </c>
      <c r="P380">
        <v>0</v>
      </c>
      <c r="Q380">
        <v>0</v>
      </c>
      <c r="R380">
        <v>0</v>
      </c>
      <c r="S380">
        <v>0</v>
      </c>
      <c r="T380">
        <v>0</v>
      </c>
      <c r="U380">
        <v>0</v>
      </c>
      <c r="V380">
        <v>0</v>
      </c>
      <c r="W380">
        <v>0</v>
      </c>
      <c r="X380" s="80">
        <f t="shared" si="17"/>
        <v>5.0037440000000002</v>
      </c>
      <c r="AH380" s="61"/>
      <c r="AI380" s="16"/>
      <c r="AJ380" s="18"/>
      <c r="AW380" s="80"/>
      <c r="AY380" t="s">
        <v>141</v>
      </c>
      <c r="AZ380">
        <v>0</v>
      </c>
      <c r="BA380" t="s">
        <v>7</v>
      </c>
      <c r="BB380">
        <v>19584</v>
      </c>
      <c r="BC380">
        <v>64</v>
      </c>
      <c r="BD380">
        <v>2</v>
      </c>
      <c r="BE380">
        <v>8</v>
      </c>
      <c r="BF380" s="23">
        <v>449.32</v>
      </c>
      <c r="BG380" s="78">
        <v>11.146000000000001</v>
      </c>
      <c r="BH380" s="16">
        <v>45545</v>
      </c>
      <c r="BI380" s="18">
        <v>0.85834490740740743</v>
      </c>
      <c r="BJ380">
        <v>0</v>
      </c>
      <c r="BK380">
        <v>0</v>
      </c>
      <c r="BL380">
        <v>0</v>
      </c>
      <c r="BM380">
        <v>0</v>
      </c>
      <c r="BN380">
        <v>0</v>
      </c>
      <c r="BO380">
        <v>0</v>
      </c>
      <c r="BP380">
        <v>0</v>
      </c>
      <c r="BQ380">
        <v>0</v>
      </c>
      <c r="BR380">
        <v>0</v>
      </c>
      <c r="BS380">
        <v>0</v>
      </c>
      <c r="BT380">
        <v>0</v>
      </c>
      <c r="BU380">
        <v>0</v>
      </c>
      <c r="BV380" s="112">
        <f t="shared" si="16"/>
        <v>11.2035</v>
      </c>
    </row>
    <row r="381" spans="1:74" x14ac:dyDescent="0.25">
      <c r="I381" s="78"/>
      <c r="J381" s="16"/>
      <c r="K381" s="18"/>
      <c r="AI381" s="16"/>
      <c r="AJ381" s="18"/>
      <c r="AY381" t="s">
        <v>141</v>
      </c>
      <c r="AZ381">
        <v>0</v>
      </c>
      <c r="BA381" t="s">
        <v>145</v>
      </c>
      <c r="BB381">
        <v>19584</v>
      </c>
      <c r="BC381">
        <v>96</v>
      </c>
      <c r="BD381">
        <v>2</v>
      </c>
      <c r="BE381">
        <v>8</v>
      </c>
      <c r="BH381" s="16">
        <v>45545</v>
      </c>
      <c r="BI381" s="18">
        <v>0.898900462962963</v>
      </c>
      <c r="BJ381">
        <v>0</v>
      </c>
      <c r="BK381">
        <v>0</v>
      </c>
      <c r="BL381">
        <v>0</v>
      </c>
      <c r="BM381">
        <v>0</v>
      </c>
      <c r="BN381">
        <v>0</v>
      </c>
      <c r="BO381">
        <v>0</v>
      </c>
      <c r="BP381">
        <v>0</v>
      </c>
      <c r="BQ381">
        <v>0</v>
      </c>
      <c r="BR381">
        <v>0</v>
      </c>
      <c r="BS381">
        <v>0</v>
      </c>
      <c r="BT381">
        <v>0</v>
      </c>
      <c r="BU381">
        <v>0</v>
      </c>
      <c r="BV381" s="112"/>
    </row>
    <row r="382" spans="1:74" x14ac:dyDescent="0.25">
      <c r="I382" s="78"/>
      <c r="J382" s="16"/>
      <c r="K382" s="18"/>
      <c r="AI382" s="16"/>
      <c r="AJ382" s="18"/>
      <c r="AY382" t="s">
        <v>141</v>
      </c>
      <c r="AZ382">
        <v>0</v>
      </c>
      <c r="BA382" t="s">
        <v>7</v>
      </c>
      <c r="BB382">
        <v>19520</v>
      </c>
      <c r="BC382">
        <v>160</v>
      </c>
      <c r="BD382">
        <v>2</v>
      </c>
      <c r="BE382">
        <v>8</v>
      </c>
      <c r="BG382" s="78"/>
      <c r="BH382" s="16">
        <v>45545</v>
      </c>
      <c r="BI382" s="18">
        <v>0.91792824074074075</v>
      </c>
      <c r="BJ382">
        <v>0</v>
      </c>
      <c r="BK382">
        <v>0</v>
      </c>
      <c r="BL382">
        <v>0</v>
      </c>
      <c r="BM382">
        <v>0</v>
      </c>
      <c r="BN382">
        <v>0</v>
      </c>
      <c r="BO382">
        <v>0</v>
      </c>
      <c r="BP382">
        <v>0</v>
      </c>
      <c r="BQ382">
        <v>0</v>
      </c>
      <c r="BR382">
        <v>0</v>
      </c>
      <c r="BS382">
        <v>0</v>
      </c>
      <c r="BT382">
        <v>0</v>
      </c>
      <c r="BU382">
        <v>0</v>
      </c>
      <c r="BV382" s="112"/>
    </row>
    <row r="383" spans="1:74" x14ac:dyDescent="0.25">
      <c r="I383" s="78"/>
      <c r="J383" s="16"/>
      <c r="K383" s="18"/>
      <c r="AI383" s="16"/>
      <c r="AJ383" s="18"/>
      <c r="AY383" t="s">
        <v>141</v>
      </c>
      <c r="AZ383">
        <v>0</v>
      </c>
      <c r="BA383" t="s">
        <v>7</v>
      </c>
      <c r="BB383">
        <v>19584</v>
      </c>
      <c r="BC383">
        <v>192</v>
      </c>
      <c r="BD383">
        <v>2</v>
      </c>
      <c r="BE383">
        <v>8</v>
      </c>
      <c r="BF383" s="23">
        <v>444.74</v>
      </c>
      <c r="BG383" s="78">
        <v>11.260999999999999</v>
      </c>
      <c r="BH383" s="16">
        <v>45545</v>
      </c>
      <c r="BI383" s="18">
        <v>0.92329861111111111</v>
      </c>
      <c r="BJ383">
        <v>0</v>
      </c>
      <c r="BK383">
        <v>0</v>
      </c>
      <c r="BL383">
        <v>0</v>
      </c>
      <c r="BM383">
        <v>0</v>
      </c>
      <c r="BN383">
        <v>0</v>
      </c>
      <c r="BO383">
        <v>0</v>
      </c>
      <c r="BP383">
        <v>0</v>
      </c>
      <c r="BQ383">
        <v>0</v>
      </c>
      <c r="BR383">
        <v>0</v>
      </c>
      <c r="BS383">
        <v>0</v>
      </c>
      <c r="BT383">
        <v>0</v>
      </c>
      <c r="BU383">
        <v>0</v>
      </c>
      <c r="BV383" s="112"/>
    </row>
    <row r="384" spans="1:74" x14ac:dyDescent="0.25">
      <c r="I384" s="78"/>
      <c r="J384" s="16"/>
      <c r="K384" s="18"/>
      <c r="AI384" s="16"/>
      <c r="AJ384" s="18"/>
    </row>
    <row r="385" spans="9:36" x14ac:dyDescent="0.25">
      <c r="I385" s="78"/>
      <c r="J385" s="16"/>
      <c r="K385" s="18"/>
      <c r="AI385" s="16"/>
      <c r="AJ385" s="18"/>
    </row>
    <row r="386" spans="9:36" x14ac:dyDescent="0.25">
      <c r="I386" s="78"/>
      <c r="J386" s="16"/>
      <c r="K386" s="18"/>
      <c r="AI386" s="16"/>
      <c r="AJ386" s="18"/>
    </row>
    <row r="387" spans="9:36" x14ac:dyDescent="0.25">
      <c r="I387" s="78"/>
      <c r="J387" s="16"/>
      <c r="K387" s="18"/>
      <c r="AI387" s="16"/>
      <c r="AJ387" s="18"/>
    </row>
    <row r="388" spans="9:36" x14ac:dyDescent="0.25">
      <c r="I388" s="78"/>
      <c r="J388" s="16"/>
      <c r="K388" s="18"/>
      <c r="AI388" s="16"/>
      <c r="AJ388" s="18"/>
    </row>
    <row r="389" spans="9:36" x14ac:dyDescent="0.25">
      <c r="I389" s="78"/>
      <c r="J389" s="16"/>
      <c r="K389" s="18"/>
      <c r="AI389" s="16"/>
      <c r="AJ389" s="18"/>
    </row>
    <row r="390" spans="9:36" x14ac:dyDescent="0.25">
      <c r="I390" s="78"/>
      <c r="J390" s="16"/>
      <c r="K390" s="18"/>
      <c r="AI390" s="16"/>
      <c r="AJ390" s="18"/>
    </row>
    <row r="391" spans="9:36" x14ac:dyDescent="0.25">
      <c r="I391" s="78"/>
      <c r="J391" s="16"/>
      <c r="K391" s="18"/>
      <c r="AI391" s="16"/>
      <c r="AJ391" s="18"/>
    </row>
    <row r="392" spans="9:36" x14ac:dyDescent="0.25">
      <c r="I392" s="78"/>
      <c r="J392" s="16"/>
      <c r="K392" s="18"/>
      <c r="AI392" s="16"/>
      <c r="AJ392" s="18"/>
    </row>
    <row r="393" spans="9:36" x14ac:dyDescent="0.25">
      <c r="I393" s="78"/>
      <c r="J393" s="16"/>
      <c r="K393" s="18"/>
      <c r="AI393" s="16"/>
      <c r="AJ393" s="18"/>
    </row>
    <row r="394" spans="9:36" x14ac:dyDescent="0.25">
      <c r="I394" s="78"/>
      <c r="J394" s="16"/>
      <c r="K394" s="18"/>
      <c r="AI394" s="16"/>
      <c r="AJ394" s="18"/>
    </row>
    <row r="395" spans="9:36" x14ac:dyDescent="0.25">
      <c r="I395" s="78"/>
      <c r="J395" s="16"/>
      <c r="K395" s="18"/>
      <c r="AI395" s="16"/>
      <c r="AJ395" s="18"/>
    </row>
    <row r="396" spans="9:36" x14ac:dyDescent="0.25">
      <c r="I396" s="78"/>
      <c r="J396" s="16"/>
      <c r="K396" s="18"/>
      <c r="AI396" s="16"/>
      <c r="AJ396" s="18"/>
    </row>
    <row r="397" spans="9:36" x14ac:dyDescent="0.25">
      <c r="I397" s="78"/>
      <c r="J397" s="16"/>
      <c r="K397" s="18"/>
      <c r="AI397" s="16"/>
      <c r="AJ397" s="18"/>
    </row>
    <row r="398" spans="9:36" x14ac:dyDescent="0.25">
      <c r="I398" s="78"/>
      <c r="J398" s="16"/>
      <c r="K398" s="18"/>
      <c r="AI398" s="16"/>
      <c r="AJ398" s="18"/>
    </row>
    <row r="399" spans="9:36" x14ac:dyDescent="0.25">
      <c r="I399" s="78"/>
      <c r="J399" s="16"/>
      <c r="K399" s="18"/>
      <c r="AI399" s="16"/>
      <c r="AJ399" s="18"/>
    </row>
    <row r="400" spans="9:36" x14ac:dyDescent="0.25">
      <c r="I400" s="78"/>
      <c r="J400" s="16"/>
      <c r="K400" s="18"/>
      <c r="AI400" s="16"/>
      <c r="AJ400" s="18"/>
    </row>
    <row r="401" spans="9:36" x14ac:dyDescent="0.25">
      <c r="I401" s="78"/>
      <c r="J401" s="16"/>
      <c r="K401" s="18"/>
      <c r="AI401" s="16"/>
      <c r="AJ401" s="18"/>
    </row>
    <row r="402" spans="9:36" x14ac:dyDescent="0.25">
      <c r="I402" s="78"/>
      <c r="J402" s="16"/>
      <c r="K402" s="18"/>
      <c r="AI402" s="16"/>
      <c r="AJ402" s="18"/>
    </row>
    <row r="403" spans="9:36" x14ac:dyDescent="0.25">
      <c r="I403" s="78"/>
      <c r="J403" s="16"/>
      <c r="K403" s="18"/>
      <c r="AI403" s="16"/>
      <c r="AJ403" s="18"/>
    </row>
    <row r="404" spans="9:36" x14ac:dyDescent="0.25">
      <c r="I404" s="78"/>
      <c r="J404" s="16"/>
      <c r="K404" s="18"/>
      <c r="AI404" s="16"/>
      <c r="AJ404" s="18"/>
    </row>
    <row r="405" spans="9:36" x14ac:dyDescent="0.25">
      <c r="I405" s="78"/>
      <c r="J405" s="16"/>
      <c r="K405" s="18"/>
      <c r="AI405" s="16"/>
      <c r="AJ405" s="18"/>
    </row>
    <row r="406" spans="9:36" x14ac:dyDescent="0.25">
      <c r="I406" s="78"/>
      <c r="J406" s="16"/>
      <c r="K406" s="18"/>
      <c r="AI406" s="16"/>
      <c r="AJ406" s="18"/>
    </row>
    <row r="407" spans="9:36" x14ac:dyDescent="0.25">
      <c r="I407" s="78"/>
      <c r="J407" s="16"/>
      <c r="K407" s="18"/>
      <c r="AI407" s="16"/>
      <c r="AJ407" s="18"/>
    </row>
    <row r="408" spans="9:36" x14ac:dyDescent="0.25">
      <c r="I408" s="78"/>
      <c r="J408" s="16"/>
      <c r="K408" s="18"/>
      <c r="AI408" s="16"/>
      <c r="AJ408" s="18"/>
    </row>
    <row r="409" spans="9:36" x14ac:dyDescent="0.25">
      <c r="I409" s="78"/>
      <c r="J409" s="16"/>
      <c r="K409" s="18"/>
      <c r="AI409" s="16"/>
      <c r="AJ409" s="18"/>
    </row>
    <row r="410" spans="9:36" x14ac:dyDescent="0.25">
      <c r="I410" s="78"/>
      <c r="J410" s="16"/>
      <c r="K410" s="18"/>
      <c r="AI410" s="16"/>
      <c r="AJ410" s="18"/>
    </row>
    <row r="411" spans="9:36" x14ac:dyDescent="0.25">
      <c r="I411" s="78"/>
      <c r="J411" s="16"/>
      <c r="K411" s="18"/>
      <c r="AI411" s="16"/>
      <c r="AJ411" s="18"/>
    </row>
    <row r="412" spans="9:36" x14ac:dyDescent="0.25">
      <c r="I412" s="78"/>
      <c r="J412" s="16"/>
      <c r="K412" s="18"/>
      <c r="AI412" s="16"/>
      <c r="AJ412" s="18"/>
    </row>
    <row r="413" spans="9:36" x14ac:dyDescent="0.25">
      <c r="I413" s="78"/>
      <c r="J413" s="16"/>
      <c r="K413" s="18"/>
      <c r="AI413" s="16"/>
      <c r="AJ413" s="18"/>
    </row>
    <row r="414" spans="9:36" x14ac:dyDescent="0.25">
      <c r="I414" s="78"/>
      <c r="J414" s="16"/>
      <c r="K414" s="18"/>
      <c r="AI414" s="16"/>
      <c r="AJ414" s="18"/>
    </row>
    <row r="415" spans="9:36" x14ac:dyDescent="0.25">
      <c r="I415" s="78"/>
      <c r="J415" s="16"/>
      <c r="K415" s="18"/>
      <c r="AI415" s="16"/>
      <c r="AJ415" s="18"/>
    </row>
    <row r="416" spans="9:36" x14ac:dyDescent="0.25">
      <c r="I416" s="78"/>
      <c r="J416" s="16"/>
      <c r="K416" s="18"/>
      <c r="AI416" s="16"/>
      <c r="AJ416" s="18"/>
    </row>
    <row r="417" spans="9:36" x14ac:dyDescent="0.25">
      <c r="I417" s="78"/>
      <c r="J417" s="16"/>
      <c r="K417" s="18"/>
      <c r="AI417" s="16"/>
      <c r="AJ417" s="18"/>
    </row>
    <row r="418" spans="9:36" x14ac:dyDescent="0.25">
      <c r="I418" s="78"/>
      <c r="J418" s="16"/>
      <c r="K418" s="18"/>
      <c r="AI418" s="16"/>
      <c r="AJ418" s="18"/>
    </row>
    <row r="419" spans="9:36" x14ac:dyDescent="0.25">
      <c r="I419" s="78"/>
      <c r="J419" s="16"/>
      <c r="K419" s="18"/>
      <c r="AI419" s="16"/>
      <c r="AJ419" s="18"/>
    </row>
    <row r="420" spans="9:36" x14ac:dyDescent="0.25">
      <c r="I420" s="78"/>
      <c r="J420" s="16"/>
      <c r="K420" s="18"/>
      <c r="AI420" s="16"/>
      <c r="AJ420" s="18"/>
    </row>
    <row r="421" spans="9:36" x14ac:dyDescent="0.25">
      <c r="I421" s="78"/>
      <c r="J421" s="16"/>
      <c r="K421" s="18"/>
      <c r="AI421" s="16"/>
      <c r="AJ421" s="18"/>
    </row>
    <row r="422" spans="9:36" x14ac:dyDescent="0.25">
      <c r="I422" s="78"/>
      <c r="J422" s="16"/>
      <c r="K422" s="18"/>
      <c r="AI422" s="16"/>
      <c r="AJ422" s="18"/>
    </row>
    <row r="423" spans="9:36" x14ac:dyDescent="0.25">
      <c r="I423" s="78"/>
      <c r="J423" s="16"/>
      <c r="K423" s="18"/>
      <c r="AI423" s="16"/>
      <c r="AJ423" s="18"/>
    </row>
    <row r="424" spans="9:36" x14ac:dyDescent="0.25">
      <c r="I424" s="78"/>
      <c r="J424" s="16"/>
      <c r="K424" s="18"/>
      <c r="AI424" s="16"/>
      <c r="AJ424" s="18"/>
    </row>
    <row r="425" spans="9:36" x14ac:dyDescent="0.25">
      <c r="I425" s="78"/>
      <c r="J425" s="16"/>
      <c r="K425" s="18"/>
      <c r="AI425" s="16"/>
      <c r="AJ425" s="18"/>
    </row>
    <row r="426" spans="9:36" x14ac:dyDescent="0.25">
      <c r="I426" s="78"/>
      <c r="J426" s="16"/>
      <c r="K426" s="18"/>
      <c r="AI426" s="16"/>
      <c r="AJ426" s="18"/>
    </row>
    <row r="427" spans="9:36" x14ac:dyDescent="0.25">
      <c r="I427" s="78"/>
      <c r="J427" s="16"/>
      <c r="K427" s="18"/>
      <c r="AI427" s="16"/>
      <c r="AJ427" s="18"/>
    </row>
    <row r="428" spans="9:36" x14ac:dyDescent="0.25">
      <c r="I428" s="78"/>
      <c r="J428" s="16"/>
      <c r="K428" s="18"/>
      <c r="AI428" s="16"/>
      <c r="AJ428" s="18"/>
    </row>
    <row r="429" spans="9:36" x14ac:dyDescent="0.25">
      <c r="I429" s="78"/>
      <c r="J429" s="16"/>
      <c r="K429" s="18"/>
      <c r="AI429" s="16"/>
      <c r="AJ429" s="18"/>
    </row>
    <row r="430" spans="9:36" x14ac:dyDescent="0.25">
      <c r="I430" s="78"/>
      <c r="J430" s="16"/>
      <c r="K430" s="18"/>
      <c r="AI430" s="16"/>
      <c r="AJ430" s="18"/>
    </row>
    <row r="431" spans="9:36" x14ac:dyDescent="0.25">
      <c r="I431" s="78"/>
      <c r="J431" s="16"/>
      <c r="K431" s="18"/>
      <c r="AI431" s="16"/>
      <c r="AJ431" s="18"/>
    </row>
    <row r="432" spans="9:36" x14ac:dyDescent="0.25">
      <c r="I432" s="78"/>
      <c r="J432" s="16"/>
      <c r="K432" s="18"/>
      <c r="AI432" s="16"/>
      <c r="AJ432" s="18"/>
    </row>
    <row r="433" spans="9:36" x14ac:dyDescent="0.25">
      <c r="I433" s="78"/>
      <c r="J433" s="16"/>
      <c r="K433" s="18"/>
      <c r="AI433" s="16"/>
      <c r="AJ433" s="18"/>
    </row>
    <row r="434" spans="9:36" x14ac:dyDescent="0.25">
      <c r="I434" s="78"/>
      <c r="J434" s="16"/>
      <c r="K434" s="18"/>
      <c r="AI434" s="16"/>
      <c r="AJ434" s="18"/>
    </row>
    <row r="435" spans="9:36" x14ac:dyDescent="0.25">
      <c r="I435" s="78"/>
      <c r="J435" s="16"/>
      <c r="K435" s="18"/>
      <c r="AI435" s="16"/>
      <c r="AJ435" s="18"/>
    </row>
    <row r="436" spans="9:36" x14ac:dyDescent="0.25">
      <c r="I436" s="78"/>
      <c r="J436" s="16"/>
      <c r="K436" s="18"/>
      <c r="AI436" s="16"/>
      <c r="AJ436" s="18"/>
    </row>
    <row r="437" spans="9:36" x14ac:dyDescent="0.25">
      <c r="I437" s="78"/>
      <c r="J437" s="16"/>
      <c r="K437" s="18"/>
      <c r="AI437" s="16"/>
      <c r="AJ437" s="18"/>
    </row>
    <row r="438" spans="9:36" x14ac:dyDescent="0.25">
      <c r="I438" s="78"/>
      <c r="J438" s="16"/>
      <c r="K438" s="18"/>
      <c r="AI438" s="16"/>
      <c r="AJ438" s="18"/>
    </row>
    <row r="439" spans="9:36" x14ac:dyDescent="0.25">
      <c r="I439" s="78"/>
      <c r="J439" s="16"/>
      <c r="K439" s="18"/>
      <c r="AI439" s="16"/>
      <c r="AJ439" s="18"/>
    </row>
    <row r="440" spans="9:36" x14ac:dyDescent="0.25">
      <c r="I440" s="78"/>
      <c r="J440" s="16"/>
      <c r="K440" s="18"/>
      <c r="AI440" s="16"/>
      <c r="AJ440" s="18"/>
    </row>
    <row r="441" spans="9:36" x14ac:dyDescent="0.25">
      <c r="I441" s="78"/>
      <c r="J441" s="16"/>
      <c r="K441" s="18"/>
      <c r="AI441" s="16"/>
      <c r="AJ441" s="18"/>
    </row>
    <row r="442" spans="9:36" x14ac:dyDescent="0.25">
      <c r="I442" s="78"/>
      <c r="J442" s="16"/>
      <c r="K442" s="18"/>
      <c r="AI442" s="16"/>
      <c r="AJ442" s="18"/>
    </row>
    <row r="443" spans="9:36" x14ac:dyDescent="0.25">
      <c r="I443" s="78"/>
      <c r="J443" s="16"/>
      <c r="K443" s="18"/>
      <c r="AI443" s="16"/>
      <c r="AJ443" s="18"/>
    </row>
    <row r="444" spans="9:36" x14ac:dyDescent="0.25">
      <c r="I444" s="78"/>
      <c r="J444" s="16"/>
      <c r="K444" s="18"/>
      <c r="AI444" s="16"/>
      <c r="AJ444" s="18"/>
    </row>
    <row r="445" spans="9:36" x14ac:dyDescent="0.25">
      <c r="I445" s="78"/>
      <c r="J445" s="16"/>
      <c r="K445" s="18"/>
      <c r="AI445" s="16"/>
      <c r="AJ445" s="18"/>
    </row>
    <row r="446" spans="9:36" x14ac:dyDescent="0.25">
      <c r="I446" s="78"/>
      <c r="J446" s="16"/>
      <c r="K446" s="18"/>
      <c r="AI446" s="16"/>
      <c r="AJ446" s="18"/>
    </row>
    <row r="447" spans="9:36" x14ac:dyDescent="0.25">
      <c r="I447" s="78"/>
      <c r="J447" s="16"/>
      <c r="K447" s="18"/>
      <c r="AI447" s="16"/>
      <c r="AJ447" s="18"/>
    </row>
    <row r="448" spans="9:36" x14ac:dyDescent="0.25">
      <c r="I448" s="78"/>
      <c r="J448" s="16"/>
      <c r="K448" s="18"/>
      <c r="AI448" s="16"/>
      <c r="AJ448" s="18"/>
    </row>
    <row r="449" spans="9:36" x14ac:dyDescent="0.25">
      <c r="I449" s="78"/>
      <c r="J449" s="16"/>
      <c r="K449" s="18"/>
      <c r="AI449" s="16"/>
      <c r="AJ449" s="18"/>
    </row>
    <row r="450" spans="9:36" x14ac:dyDescent="0.25">
      <c r="I450" s="78"/>
      <c r="J450" s="16"/>
      <c r="K450" s="18"/>
      <c r="AI450" s="16"/>
      <c r="AJ450" s="18"/>
    </row>
    <row r="451" spans="9:36" x14ac:dyDescent="0.25">
      <c r="I451" s="78"/>
      <c r="J451" s="16"/>
      <c r="K451" s="18"/>
      <c r="AI451" s="16"/>
      <c r="AJ451" s="18"/>
    </row>
    <row r="452" spans="9:36" x14ac:dyDescent="0.25">
      <c r="I452" s="78"/>
      <c r="J452" s="16"/>
      <c r="K452" s="18"/>
      <c r="AI452" s="16"/>
      <c r="AJ452" s="18"/>
    </row>
    <row r="453" spans="9:36" x14ac:dyDescent="0.25">
      <c r="I453" s="78"/>
      <c r="J453" s="16"/>
      <c r="K453" s="18"/>
      <c r="AI453" s="16"/>
      <c r="AJ453" s="18"/>
    </row>
    <row r="454" spans="9:36" x14ac:dyDescent="0.25">
      <c r="I454" s="78"/>
      <c r="J454" s="16"/>
      <c r="K454" s="18"/>
      <c r="AI454" s="16"/>
      <c r="AJ454" s="18"/>
    </row>
    <row r="455" spans="9:36" x14ac:dyDescent="0.25">
      <c r="I455" s="78"/>
      <c r="J455" s="16"/>
      <c r="K455" s="18"/>
      <c r="AI455" s="16"/>
      <c r="AJ455" s="18"/>
    </row>
    <row r="456" spans="9:36" x14ac:dyDescent="0.25">
      <c r="I456" s="78"/>
      <c r="J456" s="16"/>
      <c r="K456" s="18"/>
      <c r="AI456" s="16"/>
      <c r="AJ456" s="18"/>
    </row>
    <row r="457" spans="9:36" x14ac:dyDescent="0.25">
      <c r="I457" s="78"/>
      <c r="J457" s="16"/>
      <c r="K457" s="18"/>
      <c r="AI457" s="16"/>
      <c r="AJ457" s="18"/>
    </row>
    <row r="458" spans="9:36" x14ac:dyDescent="0.25">
      <c r="I458" s="78"/>
      <c r="J458" s="16"/>
      <c r="K458" s="18"/>
      <c r="AI458" s="16"/>
      <c r="AJ458" s="18"/>
    </row>
    <row r="459" spans="9:36" x14ac:dyDescent="0.25">
      <c r="I459" s="78"/>
      <c r="J459" s="16"/>
      <c r="K459" s="18"/>
      <c r="AI459" s="16"/>
      <c r="AJ459" s="18"/>
    </row>
    <row r="460" spans="9:36" x14ac:dyDescent="0.25">
      <c r="I460" s="78"/>
      <c r="J460" s="16"/>
      <c r="K460" s="18"/>
      <c r="AI460" s="16"/>
      <c r="AJ460" s="18"/>
    </row>
    <row r="461" spans="9:36" x14ac:dyDescent="0.25">
      <c r="I461" s="78"/>
      <c r="J461" s="16"/>
      <c r="K461" s="18"/>
      <c r="AI461" s="16"/>
      <c r="AJ461" s="18"/>
    </row>
    <row r="462" spans="9:36" x14ac:dyDescent="0.25">
      <c r="I462" s="78"/>
      <c r="J462" s="16"/>
      <c r="K462" s="18"/>
      <c r="AI462" s="16"/>
      <c r="AJ462" s="18"/>
    </row>
    <row r="463" spans="9:36" x14ac:dyDescent="0.25">
      <c r="I463" s="78"/>
      <c r="J463" s="16"/>
      <c r="K463" s="18"/>
      <c r="AI463" s="16"/>
      <c r="AJ463" s="18"/>
    </row>
    <row r="464" spans="9:36" x14ac:dyDescent="0.25">
      <c r="I464" s="78"/>
      <c r="J464" s="16"/>
      <c r="K464" s="18"/>
      <c r="AI464" s="16"/>
      <c r="AJ464" s="18"/>
    </row>
    <row r="465" spans="9:36" x14ac:dyDescent="0.25">
      <c r="I465" s="78"/>
      <c r="J465" s="16"/>
      <c r="K465" s="18"/>
      <c r="AI465" s="16"/>
      <c r="AJ465" s="18"/>
    </row>
    <row r="466" spans="9:36" x14ac:dyDescent="0.25">
      <c r="I466" s="78"/>
      <c r="J466" s="16"/>
      <c r="K466" s="18"/>
      <c r="AI466" s="16"/>
      <c r="AJ466" s="18"/>
    </row>
    <row r="467" spans="9:36" x14ac:dyDescent="0.25">
      <c r="I467" s="78"/>
      <c r="J467" s="16"/>
      <c r="K467" s="18"/>
      <c r="AI467" s="16"/>
      <c r="AJ467" s="18"/>
    </row>
    <row r="468" spans="9:36" x14ac:dyDescent="0.25">
      <c r="I468" s="78"/>
      <c r="J468" s="16"/>
      <c r="K468" s="18"/>
      <c r="AI468" s="16"/>
      <c r="AJ468" s="18"/>
    </row>
    <row r="469" spans="9:36" x14ac:dyDescent="0.25">
      <c r="I469" s="78"/>
      <c r="J469" s="16"/>
      <c r="K469" s="18"/>
      <c r="AI469" s="16"/>
      <c r="AJ469" s="18"/>
    </row>
    <row r="470" spans="9:36" x14ac:dyDescent="0.25">
      <c r="I470" s="78"/>
      <c r="J470" s="16"/>
      <c r="K470" s="18"/>
      <c r="AI470" s="16"/>
      <c r="AJ470" s="18"/>
    </row>
    <row r="471" spans="9:36" x14ac:dyDescent="0.25">
      <c r="I471" s="78"/>
      <c r="J471" s="16"/>
      <c r="K471" s="18"/>
      <c r="AI471" s="16"/>
      <c r="AJ471" s="18"/>
    </row>
    <row r="472" spans="9:36" x14ac:dyDescent="0.25">
      <c r="I472" s="78"/>
      <c r="J472" s="16"/>
      <c r="K472" s="18"/>
      <c r="AI472" s="16"/>
      <c r="AJ472" s="18"/>
    </row>
    <row r="473" spans="9:36" x14ac:dyDescent="0.25">
      <c r="I473" s="78"/>
      <c r="J473" s="16"/>
      <c r="K473" s="18"/>
      <c r="AI473" s="16"/>
      <c r="AJ473" s="18"/>
    </row>
    <row r="474" spans="9:36" x14ac:dyDescent="0.25">
      <c r="I474" s="78"/>
      <c r="J474" s="16"/>
      <c r="K474" s="18"/>
      <c r="AI474" s="16"/>
      <c r="AJ474" s="18"/>
    </row>
    <row r="475" spans="9:36" x14ac:dyDescent="0.25">
      <c r="I475" s="78"/>
      <c r="J475" s="16"/>
      <c r="K475" s="18"/>
      <c r="AI475" s="16"/>
      <c r="AJ475" s="18"/>
    </row>
    <row r="476" spans="9:36" x14ac:dyDescent="0.25">
      <c r="I476" s="78"/>
      <c r="J476" s="16"/>
      <c r="K476" s="18"/>
      <c r="AI476" s="16"/>
      <c r="AJ476" s="18"/>
    </row>
    <row r="477" spans="9:36" x14ac:dyDescent="0.25">
      <c r="I477" s="78"/>
      <c r="J477" s="16"/>
      <c r="K477" s="18"/>
      <c r="AI477" s="16"/>
      <c r="AJ477" s="18"/>
    </row>
    <row r="478" spans="9:36" x14ac:dyDescent="0.25">
      <c r="I478" s="78"/>
      <c r="J478" s="16"/>
      <c r="K478" s="18"/>
      <c r="AI478" s="16"/>
      <c r="AJ478" s="18"/>
    </row>
    <row r="479" spans="9:36" x14ac:dyDescent="0.25">
      <c r="I479" s="78"/>
      <c r="J479" s="16"/>
      <c r="K479" s="18"/>
      <c r="AI479" s="16"/>
      <c r="AJ479" s="18"/>
    </row>
    <row r="480" spans="9:36" x14ac:dyDescent="0.25">
      <c r="I480" s="78"/>
      <c r="J480" s="16"/>
      <c r="K480" s="18"/>
      <c r="AI480" s="16"/>
      <c r="AJ480" s="18"/>
    </row>
    <row r="481" spans="9:36" x14ac:dyDescent="0.25">
      <c r="I481" s="78"/>
      <c r="J481" s="16"/>
      <c r="K481" s="18"/>
      <c r="AI481" s="16"/>
      <c r="AJ481" s="18"/>
    </row>
    <row r="482" spans="9:36" x14ac:dyDescent="0.25">
      <c r="I482" s="78"/>
      <c r="J482" s="16"/>
      <c r="K482" s="18"/>
      <c r="AI482" s="16"/>
      <c r="AJ482" s="18"/>
    </row>
    <row r="483" spans="9:36" x14ac:dyDescent="0.25">
      <c r="I483" s="78"/>
      <c r="J483" s="16"/>
      <c r="K483" s="18"/>
      <c r="AI483" s="16"/>
      <c r="AJ483" s="18"/>
    </row>
    <row r="484" spans="9:36" x14ac:dyDescent="0.25">
      <c r="I484" s="78"/>
      <c r="J484" s="16"/>
      <c r="K484" s="18"/>
      <c r="AI484" s="16"/>
      <c r="AJ484" s="18"/>
    </row>
    <row r="485" spans="9:36" x14ac:dyDescent="0.25">
      <c r="J485" s="16"/>
      <c r="K485" s="18"/>
      <c r="AI485" s="16"/>
      <c r="AJ485" s="18"/>
    </row>
    <row r="486" spans="9:36" x14ac:dyDescent="0.25">
      <c r="I486" s="78"/>
      <c r="J486" s="16"/>
      <c r="K486" s="18"/>
      <c r="AI486" s="16"/>
      <c r="AJ486" s="18"/>
    </row>
    <row r="487" spans="9:36" x14ac:dyDescent="0.25">
      <c r="I487" s="78"/>
      <c r="J487" s="16"/>
      <c r="K487" s="18"/>
      <c r="AI487" s="16"/>
      <c r="AJ487" s="18"/>
    </row>
    <row r="488" spans="9:36" x14ac:dyDescent="0.25">
      <c r="I488" s="78"/>
      <c r="J488" s="16"/>
      <c r="K488" s="18"/>
      <c r="AI488" s="16"/>
      <c r="AJ488" s="18"/>
    </row>
    <row r="489" spans="9:36" x14ac:dyDescent="0.25">
      <c r="I489" s="78"/>
      <c r="J489" s="16"/>
      <c r="K489" s="18"/>
      <c r="AI489" s="16"/>
      <c r="AJ489" s="18"/>
    </row>
    <row r="490" spans="9:36" x14ac:dyDescent="0.25">
      <c r="I490" s="78"/>
      <c r="J490" s="16"/>
      <c r="K490" s="18"/>
      <c r="AI490" s="16"/>
      <c r="AJ490" s="18"/>
    </row>
    <row r="491" spans="9:36" x14ac:dyDescent="0.25">
      <c r="I491" s="78"/>
      <c r="J491" s="16"/>
      <c r="K491" s="18"/>
      <c r="AI491" s="16"/>
      <c r="AJ491" s="18"/>
    </row>
    <row r="492" spans="9:36" x14ac:dyDescent="0.25">
      <c r="I492" s="78"/>
      <c r="J492" s="16"/>
      <c r="K492" s="18"/>
      <c r="AI492" s="16"/>
      <c r="AJ492" s="18"/>
    </row>
    <row r="493" spans="9:36" x14ac:dyDescent="0.25">
      <c r="I493" s="78"/>
      <c r="J493" s="16"/>
      <c r="K493" s="18"/>
      <c r="AI493" s="16"/>
      <c r="AJ493" s="18"/>
    </row>
    <row r="494" spans="9:36" x14ac:dyDescent="0.25">
      <c r="I494" s="78"/>
      <c r="J494" s="16"/>
      <c r="K494" s="18"/>
      <c r="AI494" s="16"/>
      <c r="AJ494" s="18"/>
    </row>
    <row r="495" spans="9:36" x14ac:dyDescent="0.25">
      <c r="I495" s="78"/>
      <c r="J495" s="16"/>
      <c r="K495" s="18"/>
      <c r="AI495" s="16"/>
      <c r="AJ495" s="18"/>
    </row>
    <row r="496" spans="9:36" x14ac:dyDescent="0.25">
      <c r="I496" s="78"/>
      <c r="J496" s="16"/>
      <c r="K496" s="18"/>
      <c r="AI496" s="16"/>
      <c r="AJ496" s="18"/>
    </row>
    <row r="497" spans="9:36" x14ac:dyDescent="0.25">
      <c r="I497" s="78"/>
      <c r="J497" s="16"/>
      <c r="K497" s="18"/>
      <c r="AI497" s="16"/>
      <c r="AJ497" s="18"/>
    </row>
    <row r="498" spans="9:36" x14ac:dyDescent="0.25">
      <c r="I498" s="78"/>
      <c r="J498" s="16"/>
      <c r="K498" s="18"/>
      <c r="AI498" s="16"/>
      <c r="AJ498" s="18"/>
    </row>
    <row r="499" spans="9:36" x14ac:dyDescent="0.25">
      <c r="I499" s="78"/>
      <c r="J499" s="16"/>
      <c r="K499" s="18"/>
      <c r="AI499" s="16"/>
      <c r="AJ499" s="18"/>
    </row>
    <row r="500" spans="9:36" x14ac:dyDescent="0.25">
      <c r="I500" s="78"/>
      <c r="J500" s="16"/>
      <c r="K500" s="18"/>
      <c r="AI500" s="16"/>
      <c r="AJ500" s="18"/>
    </row>
    <row r="501" spans="9:36" x14ac:dyDescent="0.25">
      <c r="I501" s="78"/>
      <c r="J501" s="16"/>
      <c r="K501" s="18"/>
      <c r="AI501" s="16"/>
      <c r="AJ501" s="18"/>
    </row>
    <row r="502" spans="9:36" x14ac:dyDescent="0.25">
      <c r="I502" s="78"/>
      <c r="J502" s="16"/>
      <c r="K502" s="18"/>
      <c r="AI502" s="16"/>
      <c r="AJ502" s="18"/>
    </row>
    <row r="503" spans="9:36" x14ac:dyDescent="0.25">
      <c r="I503" s="78"/>
      <c r="J503" s="16"/>
      <c r="K503" s="18"/>
    </row>
  </sheetData>
  <sortState xmlns:xlrd2="http://schemas.microsoft.com/office/spreadsheetml/2017/richdata2" ref="A366:W380">
    <sortCondition ref="E366:E380"/>
    <sortCondition ref="F366:F380"/>
    <sortCondition ref="B366:B380"/>
  </sortState>
  <mergeCells count="103">
    <mergeCell ref="Z364:AA364"/>
    <mergeCell ref="AY1:BC1"/>
    <mergeCell ref="AY2:BA2"/>
    <mergeCell ref="AY3:AZ3"/>
    <mergeCell ref="A1:E1"/>
    <mergeCell ref="L1:W1"/>
    <mergeCell ref="X1:X3"/>
    <mergeCell ref="A2:C2"/>
    <mergeCell ref="L2:N2"/>
    <mergeCell ref="O2:Q2"/>
    <mergeCell ref="R2:T2"/>
    <mergeCell ref="U2:W2"/>
    <mergeCell ref="Z1:AD1"/>
    <mergeCell ref="AK1:AV1"/>
    <mergeCell ref="AW1:AW3"/>
    <mergeCell ref="Z2:AB2"/>
    <mergeCell ref="AK2:AM2"/>
    <mergeCell ref="AN2:AP2"/>
    <mergeCell ref="AQ2:AS2"/>
    <mergeCell ref="AT2:AV2"/>
    <mergeCell ref="BV358:BV361"/>
    <mergeCell ref="BV362:BV366"/>
    <mergeCell ref="BV367:BV370"/>
    <mergeCell ref="BV321:BV322"/>
    <mergeCell ref="BV333:BV334"/>
    <mergeCell ref="BV335:BV336"/>
    <mergeCell ref="BV323:BV324"/>
    <mergeCell ref="BV325:BV326"/>
    <mergeCell ref="BV327:BV328"/>
    <mergeCell ref="BV329:BV330"/>
    <mergeCell ref="BV331:BV332"/>
    <mergeCell ref="BV345:BV348"/>
    <mergeCell ref="BV349:BV352"/>
    <mergeCell ref="BV353:BV356"/>
    <mergeCell ref="BV303:BV304"/>
    <mergeCell ref="BV305:BV306"/>
    <mergeCell ref="BV307:BV308"/>
    <mergeCell ref="BV309:BV310"/>
    <mergeCell ref="BV311:BV312"/>
    <mergeCell ref="BV313:BV314"/>
    <mergeCell ref="BV315:BV316"/>
    <mergeCell ref="BV317:BV318"/>
    <mergeCell ref="BV319:BV320"/>
    <mergeCell ref="BV285:BV286"/>
    <mergeCell ref="BV287:BV288"/>
    <mergeCell ref="BV289:BV290"/>
    <mergeCell ref="BV291:BV292"/>
    <mergeCell ref="BV293:BV294"/>
    <mergeCell ref="BV295:BV296"/>
    <mergeCell ref="BV297:BV298"/>
    <mergeCell ref="BV299:BV300"/>
    <mergeCell ref="BV301:BV302"/>
    <mergeCell ref="BV267:BV268"/>
    <mergeCell ref="BV269:BV270"/>
    <mergeCell ref="BV271:BV272"/>
    <mergeCell ref="BV273:BV274"/>
    <mergeCell ref="BV275:BV276"/>
    <mergeCell ref="BV277:BV278"/>
    <mergeCell ref="BV279:BV280"/>
    <mergeCell ref="BV281:BV282"/>
    <mergeCell ref="BV283:BV284"/>
    <mergeCell ref="BV249:BV250"/>
    <mergeCell ref="BV251:BV252"/>
    <mergeCell ref="BV253:BV254"/>
    <mergeCell ref="BV255:BV256"/>
    <mergeCell ref="BV257:BV258"/>
    <mergeCell ref="BV259:BV260"/>
    <mergeCell ref="BV261:BV262"/>
    <mergeCell ref="BV263:BV264"/>
    <mergeCell ref="BV265:BV266"/>
    <mergeCell ref="BV201:BV202"/>
    <mergeCell ref="BJ1:BU1"/>
    <mergeCell ref="BV1:BV3"/>
    <mergeCell ref="BJ2:BL2"/>
    <mergeCell ref="BM2:BO2"/>
    <mergeCell ref="BP2:BR2"/>
    <mergeCell ref="BS2:BU2"/>
    <mergeCell ref="BV229:BV230"/>
    <mergeCell ref="BV231:BV232"/>
    <mergeCell ref="BV376:BV379"/>
    <mergeCell ref="BV380:BV383"/>
    <mergeCell ref="BV203:BV204"/>
    <mergeCell ref="BV205:BV206"/>
    <mergeCell ref="BV207:BV208"/>
    <mergeCell ref="BV209:BV210"/>
    <mergeCell ref="BV372:BV375"/>
    <mergeCell ref="BV211:BV212"/>
    <mergeCell ref="BV213:BV214"/>
    <mergeCell ref="BV215:BV216"/>
    <mergeCell ref="BV217:BV218"/>
    <mergeCell ref="BV219:BV220"/>
    <mergeCell ref="BV221:BV222"/>
    <mergeCell ref="BV223:BV224"/>
    <mergeCell ref="BV225:BV226"/>
    <mergeCell ref="BV227:BV228"/>
    <mergeCell ref="BV233:BV234"/>
    <mergeCell ref="BV235:BV236"/>
    <mergeCell ref="BV237:BV238"/>
    <mergeCell ref="BV239:BV240"/>
    <mergeCell ref="BV241:BV242"/>
    <mergeCell ref="BV243:BV244"/>
    <mergeCell ref="BV245:BV246"/>
    <mergeCell ref="BV247:BV248"/>
  </mergeCells>
  <conditionalFormatting sqref="I3">
    <cfRule type="colorScale" priority="18">
      <colorScale>
        <cfvo type="min"/>
        <cfvo type="percentile" val="50"/>
        <cfvo type="max"/>
        <color rgb="FFF8696B"/>
        <color rgb="FFFFEB84"/>
        <color rgb="FF63BE7B"/>
      </colorScale>
    </cfRule>
  </conditionalFormatting>
  <conditionalFormatting sqref="X1">
    <cfRule type="colorScale" priority="19">
      <colorScale>
        <cfvo type="min"/>
        <cfvo type="percentile" val="50"/>
        <cfvo type="max"/>
        <color rgb="FFF8696B"/>
        <color rgb="FFFFEB84"/>
        <color rgb="FF63BE7B"/>
      </colorScale>
    </cfRule>
  </conditionalFormatting>
  <conditionalFormatting sqref="X9">
    <cfRule type="colorScale" priority="2">
      <colorScale>
        <cfvo type="min"/>
        <cfvo type="percentile" val="50"/>
        <cfvo type="max"/>
        <color rgb="FFF8696B"/>
        <color rgb="FFFFEB84"/>
        <color rgb="FF63BE7B"/>
      </colorScale>
    </cfRule>
  </conditionalFormatting>
  <conditionalFormatting sqref="X14 X4 X19 X24 X34 X39 X44 X49 X54 X59 X64 X69 X74 X79 X84 X89 X94 X99 X104 X109 X114 X119 X124 X129 X134 X139 X144 X149 X154 X159 X164 X169 X174 X179 X184 X189 X194 X199 X204 X209 X214 X219 X224 X229 X234 X239 X244 X249 X254 X259 X264 X269 X274 X279 X284 X289 X294 X299 X304 X309 X314 X319 X324 X329 X334 X339 X344 X349 X354 X359 X364:X366 X371 X376">
    <cfRule type="colorScale" priority="14">
      <colorScale>
        <cfvo type="min"/>
        <cfvo type="percentile" val="50"/>
        <cfvo type="max"/>
        <color rgb="FFF8696B"/>
        <color rgb="FFFFEB84"/>
        <color rgb="FF63BE7B"/>
      </colorScale>
    </cfRule>
  </conditionalFormatting>
  <conditionalFormatting sqref="X29">
    <cfRule type="colorScale" priority="1">
      <colorScale>
        <cfvo type="min"/>
        <cfvo type="percentile" val="50"/>
        <cfvo type="max"/>
        <color rgb="FFF8696B"/>
        <color rgb="FFFFEB84"/>
        <color rgb="FF63BE7B"/>
      </colorScale>
    </cfRule>
  </conditionalFormatting>
  <conditionalFormatting sqref="AH3">
    <cfRule type="colorScale" priority="10">
      <colorScale>
        <cfvo type="min"/>
        <cfvo type="percentile" val="50"/>
        <cfvo type="max"/>
        <color rgb="FFF8696B"/>
        <color rgb="FFFFEB84"/>
        <color rgb="FF63BE7B"/>
      </colorScale>
    </cfRule>
  </conditionalFormatting>
  <conditionalFormatting sqref="AW1">
    <cfRule type="colorScale" priority="11">
      <colorScale>
        <cfvo type="min"/>
        <cfvo type="percentile" val="50"/>
        <cfvo type="max"/>
        <color rgb="FFF8696B"/>
        <color rgb="FFFFEB84"/>
        <color rgb="FF63BE7B"/>
      </colorScale>
    </cfRule>
  </conditionalFormatting>
  <conditionalFormatting sqref="AW4">
    <cfRule type="colorScale" priority="4">
      <colorScale>
        <cfvo type="min"/>
        <cfvo type="percentile" val="50"/>
        <cfvo type="max"/>
        <color rgb="FFF8696B"/>
        <color rgb="FFFFEB84"/>
        <color rgb="FF63BE7B"/>
      </colorScale>
    </cfRule>
  </conditionalFormatting>
  <conditionalFormatting sqref="AW14">
    <cfRule type="colorScale" priority="3">
      <colorScale>
        <cfvo type="min"/>
        <cfvo type="percentile" val="50"/>
        <cfvo type="max"/>
        <color rgb="FFF8696B"/>
        <color rgb="FFFFEB84"/>
        <color rgb="FF63BE7B"/>
      </colorScale>
    </cfRule>
  </conditionalFormatting>
  <conditionalFormatting sqref="AW366 AW19 AW24 AW29 AW34 AW39 AW44 AW49 AW54 AW59 AW64 AW69 AW74 AW79 AW84 AW89 AW94 AW99 AW104 AW109 AW114 AW119 AW124 AW129 AW134 AW139 AW144 AW149 AW154 AW159 AW164 AW169 AW174 AW179 AW184 AW189 AW194 AW199 AW204 AW209 AW214 AW219 AW224 AW229 AW234 AW239 AW244 AW249 AW254 AW259 AW264 AW269 AW274 AW279 AW284 AW289 AW294 AW299 AW304 AW309 AW314 AW319 AW324 AW329 AW334 AW339 AW344 AW349 AW354 AW359 AW9">
    <cfRule type="colorScale" priority="9">
      <colorScale>
        <cfvo type="min"/>
        <cfvo type="percentile" val="50"/>
        <cfvo type="max"/>
        <color rgb="FFF8696B"/>
        <color rgb="FFFFEB84"/>
        <color rgb="FF63BE7B"/>
      </colorScale>
    </cfRule>
  </conditionalFormatting>
  <conditionalFormatting sqref="AW371">
    <cfRule type="colorScale" priority="8">
      <colorScale>
        <cfvo type="min"/>
        <cfvo type="percentile" val="50"/>
        <cfvo type="max"/>
        <color rgb="FFF8696B"/>
        <color rgb="FFFFEB84"/>
        <color rgb="FF63BE7B"/>
      </colorScale>
    </cfRule>
  </conditionalFormatting>
  <conditionalFormatting sqref="AW376">
    <cfRule type="colorScale" priority="7">
      <colorScale>
        <cfvo type="min"/>
        <cfvo type="percentile" val="50"/>
        <cfvo type="max"/>
        <color rgb="FFF8696B"/>
        <color rgb="FFFFEB84"/>
        <color rgb="FF63BE7B"/>
      </colorScale>
    </cfRule>
  </conditionalFormatting>
  <conditionalFormatting sqref="BF384:BF1048576 BJ343 BJ340 BJ270 BJ267 BG268:BG269 BG271:BG339 BG341:BG342 BC344 BG3:BG266">
    <cfRule type="colorScale" priority="22">
      <colorScale>
        <cfvo type="min"/>
        <cfvo type="percentile" val="50"/>
        <cfvo type="max"/>
        <color rgb="FFF8696B"/>
        <color rgb="FFFFEB84"/>
        <color rgb="FF63BE7B"/>
      </colorScale>
    </cfRule>
  </conditionalFormatting>
  <conditionalFormatting sqref="BG4:BG383">
    <cfRule type="colorScale" priority="20">
      <colorScale>
        <cfvo type="min"/>
        <cfvo type="percentile" val="50"/>
        <cfvo type="max"/>
        <color rgb="FFF8696B"/>
        <color rgb="FFFFEB84"/>
        <color rgb="FF63BE7B"/>
      </colorScale>
    </cfRule>
  </conditionalFormatting>
  <conditionalFormatting sqref="BV1">
    <cfRule type="colorScale" priority="23">
      <colorScale>
        <cfvo type="min"/>
        <cfvo type="percentile" val="50"/>
        <cfvo type="max"/>
        <color rgb="FFF8696B"/>
        <color rgb="FFFFEB84"/>
        <color rgb="FF63BE7B"/>
      </colorScale>
    </cfRule>
  </conditionalFormatting>
  <conditionalFormatting sqref="BV4 BV8 BV6">
    <cfRule type="colorScale" priority="24">
      <colorScale>
        <cfvo type="min"/>
        <cfvo type="percentile" val="50"/>
        <cfvo type="max"/>
        <color rgb="FFF8696B"/>
        <color rgb="FFFFEB84"/>
        <color rgb="FF63BE7B"/>
      </colorScale>
    </cfRule>
  </conditionalFormatting>
  <conditionalFormatting sqref="BV193:BV201 BV203 BV205 BV207 BV209 BV211 BV213 BV215 BV217 BV219 BV221 BV223 BV225 BV227 BV229 BV231 BV233 BV235 BV237 BV239 BV241 BV243 BV245 BV247 BV249 BV251 BV253 BV255 BV257 BV259 BV261 BV263 BV265 BV267 BV269 BV271 BV273 BV275 BV277 BV279 BV281 BV283 BV285 BV287 BV289 BV291 BV293 BV295 BV297 BV299 BV301 BV303 BV305 BV307 BV309 BV311 BV313 BV315 BV317 BV319 BV321 BV323 BV325 BV327 BV329 BV331 BV333 BV335">
    <cfRule type="colorScale" priority="2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B2B7C-2E0A-4963-9BD4-86053FA182AD}">
  <dimension ref="A1:AK308"/>
  <sheetViews>
    <sheetView zoomScaleNormal="100" workbookViewId="0">
      <selection activeCell="AG4" sqref="AG4:AK51"/>
    </sheetView>
  </sheetViews>
  <sheetFormatPr defaultRowHeight="15" x14ac:dyDescent="0.25"/>
  <cols>
    <col min="1" max="1" width="5" bestFit="1" customWidth="1"/>
    <col min="2" max="2" width="4" bestFit="1" customWidth="1"/>
    <col min="3" max="3" width="2.140625" bestFit="1" customWidth="1"/>
    <col min="4" max="4" width="2.42578125" bestFit="1" customWidth="1"/>
    <col min="5" max="5" width="16.42578125" bestFit="1" customWidth="1"/>
    <col min="7" max="7" width="5" bestFit="1" customWidth="1"/>
    <col min="8" max="8" width="4" bestFit="1" customWidth="1"/>
    <col min="9" max="9" width="2.140625" bestFit="1" customWidth="1"/>
    <col min="10" max="10" width="2.42578125" bestFit="1" customWidth="1"/>
    <col min="11" max="11" width="16.42578125" bestFit="1" customWidth="1"/>
    <col min="13" max="13" width="5" bestFit="1" customWidth="1"/>
    <col min="14" max="14" width="4" bestFit="1" customWidth="1"/>
    <col min="15" max="15" width="2.140625" bestFit="1" customWidth="1"/>
    <col min="16" max="16" width="2.42578125" bestFit="1" customWidth="1"/>
    <col min="17" max="17" width="16.42578125" bestFit="1" customWidth="1"/>
    <col min="19" max="19" width="5" bestFit="1" customWidth="1"/>
    <col min="20" max="20" width="4" bestFit="1" customWidth="1"/>
    <col min="21" max="21" width="2.140625" style="20" bestFit="1" customWidth="1"/>
    <col min="22" max="22" width="2.42578125" style="20" bestFit="1" customWidth="1"/>
    <col min="23" max="23" width="16.42578125" style="23" bestFit="1" customWidth="1"/>
  </cols>
  <sheetData>
    <row r="1" spans="1:37" x14ac:dyDescent="0.25">
      <c r="A1" s="114" t="s">
        <v>153</v>
      </c>
      <c r="B1" s="114"/>
      <c r="C1" s="114"/>
      <c r="D1" s="114"/>
      <c r="E1" s="114"/>
      <c r="G1" s="114" t="s">
        <v>150</v>
      </c>
      <c r="H1" s="114"/>
      <c r="I1" s="114"/>
      <c r="J1" s="114"/>
      <c r="K1" s="114"/>
      <c r="M1" s="114" t="s">
        <v>152</v>
      </c>
      <c r="N1" s="114"/>
      <c r="O1" s="114"/>
      <c r="P1" s="114"/>
      <c r="Q1" s="114"/>
      <c r="S1" s="114" t="s">
        <v>151</v>
      </c>
      <c r="T1" s="114"/>
      <c r="U1" s="114"/>
      <c r="V1" s="114"/>
      <c r="W1" s="114"/>
    </row>
    <row r="2" spans="1:37" x14ac:dyDescent="0.25">
      <c r="A2" s="30">
        <f>INDEX(A4:A500,MATCH(MAX(E4:E500),E4:E500,0))</f>
        <v>9760</v>
      </c>
      <c r="B2" s="30">
        <f>INDEX(B4:B500,MATCH(MAX(E4:E500),E4:E500,0))</f>
        <v>160</v>
      </c>
      <c r="C2" s="30">
        <f>INDEX(C4:C500,MATCH(MAX(E4:E500),E4:E500,0))</f>
        <v>1</v>
      </c>
      <c r="D2" s="30">
        <f>INDEX(D4:D500,MATCH(MAX(E4:E500),E4:E500,0))</f>
        <v>4</v>
      </c>
      <c r="E2" s="29">
        <f>MAX(E4:E500)</f>
        <v>4.9740599999999997</v>
      </c>
      <c r="G2" s="30">
        <f>INDEX(G4:G500,MATCH(MAX(K4:K500),K4:K500,0))</f>
        <v>9760</v>
      </c>
      <c r="H2" s="30">
        <f>INDEX(H4:H500,MATCH(MAX(K4:K500),K4:K500,0))</f>
        <v>160</v>
      </c>
      <c r="I2" s="30">
        <f>INDEX(I4:I500,MATCH(MAX(K4:K500),K4:K500,0))</f>
        <v>1</v>
      </c>
      <c r="J2" s="30">
        <f>INDEX(J4:J500,MATCH(MAX(K4:K500),K4:K500,0))</f>
        <v>4</v>
      </c>
      <c r="K2" s="29">
        <f>MAX(K4:K500)</f>
        <v>4.9805600000000005</v>
      </c>
      <c r="M2" s="30">
        <f>INDEX(M4:M500,MATCH(MAX(Q4:Q500),Q4:Q500,0))</f>
        <v>9792</v>
      </c>
      <c r="N2" s="30">
        <f>INDEX(N4:N500,MATCH(MAX(Q4:Q500),Q4:Q500,0))</f>
        <v>96</v>
      </c>
      <c r="O2" s="30">
        <f>INDEX(O4:O500,MATCH(MAX(Q4:Q500),Q4:Q500,0))</f>
        <v>1</v>
      </c>
      <c r="P2" s="30">
        <f>INDEX(P4:P500,MATCH(MAX(Q4:Q500),Q4:Q500,0))</f>
        <v>4</v>
      </c>
      <c r="Q2" s="29">
        <f>MAX(Q4:Q500)</f>
        <v>6.7698000000000009</v>
      </c>
      <c r="S2" s="30">
        <f>INDEX(S4:S500,MATCH(MAX(W4:W500),W4:W500,0))</f>
        <v>9792</v>
      </c>
      <c r="T2" s="30">
        <f>INDEX(T4:T500,MATCH(MAX(W4:W500),W4:W500,0))</f>
        <v>96</v>
      </c>
      <c r="U2" s="30">
        <f>INDEX(U4:U500,MATCH(MAX(W4:W500),W4:W500,0))</f>
        <v>1</v>
      </c>
      <c r="V2" s="30">
        <f>INDEX(V4:V500,MATCH(MAX(W4:W500),W4:W500,0))</f>
        <v>4</v>
      </c>
      <c r="W2" s="29">
        <f>MAX(W4:W500)</f>
        <v>4.0993399999999998</v>
      </c>
    </row>
    <row r="3" spans="1:37" x14ac:dyDescent="0.25">
      <c r="A3" s="36" t="s">
        <v>1</v>
      </c>
      <c r="B3" s="36" t="s">
        <v>2</v>
      </c>
      <c r="C3" s="36" t="s">
        <v>3</v>
      </c>
      <c r="D3" s="30" t="s">
        <v>4</v>
      </c>
      <c r="E3" s="36" t="s">
        <v>113</v>
      </c>
      <c r="G3" s="36" t="s">
        <v>1</v>
      </c>
      <c r="H3" s="36" t="s">
        <v>2</v>
      </c>
      <c r="I3" s="36" t="s">
        <v>3</v>
      </c>
      <c r="J3" s="30" t="s">
        <v>4</v>
      </c>
      <c r="K3" s="36" t="s">
        <v>113</v>
      </c>
      <c r="M3" s="36" t="s">
        <v>1</v>
      </c>
      <c r="N3" s="36" t="s">
        <v>2</v>
      </c>
      <c r="O3" s="36" t="s">
        <v>3</v>
      </c>
      <c r="P3" s="30" t="s">
        <v>4</v>
      </c>
      <c r="Q3" s="36" t="s">
        <v>113</v>
      </c>
      <c r="S3" s="36" t="s">
        <v>1</v>
      </c>
      <c r="T3" s="36" t="s">
        <v>2</v>
      </c>
      <c r="U3" s="30" t="s">
        <v>3</v>
      </c>
      <c r="V3" s="30" t="s">
        <v>4</v>
      </c>
      <c r="W3" s="36" t="s">
        <v>113</v>
      </c>
      <c r="Y3" t="s">
        <v>1</v>
      </c>
      <c r="Z3" t="s">
        <v>184</v>
      </c>
      <c r="AA3" t="s">
        <v>2</v>
      </c>
      <c r="AB3" t="s">
        <v>3</v>
      </c>
      <c r="AC3" t="s">
        <v>4</v>
      </c>
      <c r="AD3" t="s">
        <v>113</v>
      </c>
      <c r="AF3" t="s">
        <v>1</v>
      </c>
      <c r="AG3" t="s">
        <v>184</v>
      </c>
      <c r="AH3" t="s">
        <v>2</v>
      </c>
      <c r="AI3" t="s">
        <v>3</v>
      </c>
      <c r="AJ3" t="s">
        <v>4</v>
      </c>
      <c r="AK3" t="s">
        <v>113</v>
      </c>
    </row>
    <row r="4" spans="1:37" x14ac:dyDescent="0.25">
      <c r="A4" cm="1">
        <f t="array" ref="A4:E304">_xlfn.CHOOSECOLS(_xlfn._xlws.FILTER('1 node, params, RAW'!A4:O500,'1 node, params, RAW'!B4:B500=0),4,5,6,7,15)</f>
        <v>8768</v>
      </c>
      <c r="B4">
        <v>32</v>
      </c>
      <c r="C4">
        <v>1</v>
      </c>
      <c r="D4">
        <v>4</v>
      </c>
      <c r="E4">
        <v>3.81576</v>
      </c>
      <c r="G4" cm="1">
        <f t="array" ref="G4:K308">_xlfn.CHOOSECOLS(_xlfn._xlws.FILTER('1 node, params, RAW'!R4:AF500,'1 node, params, RAW'!S4:S500=0),4,5,6,7,15)</f>
        <v>8768</v>
      </c>
      <c r="H4">
        <v>32</v>
      </c>
      <c r="I4">
        <v>1</v>
      </c>
      <c r="J4">
        <v>4</v>
      </c>
      <c r="K4">
        <v>3.82342</v>
      </c>
      <c r="M4" cm="1">
        <f t="array" ref="M4:Q308">_xlfn.CHOOSECOLS(_xlfn._xlws.FILTER('1 node, params, RAW'!AI4:AW500,'1 node, params, RAW'!AJ4:AJ500=0),4,5,6,7,15)</f>
        <v>8768</v>
      </c>
      <c r="N4">
        <v>32</v>
      </c>
      <c r="O4">
        <v>1</v>
      </c>
      <c r="P4">
        <v>4</v>
      </c>
      <c r="Q4">
        <v>5.1888999999999994</v>
      </c>
      <c r="S4" cm="1">
        <f t="array" ref="S4:W308">_xlfn.CHOOSECOLS(_xlfn._xlws.FILTER('1 node, params, RAW'!AZ4:BN500,'1 node, params, RAW'!BA4:BA500=0),4,5,6,7,15)</f>
        <v>8768</v>
      </c>
      <c r="T4">
        <v>32</v>
      </c>
      <c r="U4" s="20">
        <v>1</v>
      </c>
      <c r="V4" s="20">
        <v>4</v>
      </c>
      <c r="W4">
        <v>2.6660400000000002</v>
      </c>
      <c r="Y4">
        <v>8768</v>
      </c>
      <c r="Z4">
        <f>CHOOSE(IF(ABS(Y4-8768) &lt;= ABS(Y4-9280),IF(ABS(Y4-8768) &lt;= ABS(Y4-9792),1,3),IF(ABS(Y4-9280) &lt;= ABS(Y4-9792),2,3)),8768,9280,9792)</f>
        <v>8768</v>
      </c>
      <c r="AA4">
        <v>32</v>
      </c>
      <c r="AB4">
        <v>1</v>
      </c>
      <c r="AC4">
        <v>4</v>
      </c>
      <c r="AD4">
        <v>3.82342</v>
      </c>
      <c r="AF4">
        <v>8768</v>
      </c>
      <c r="AG4">
        <f>CHOOSE(IF(ABS(AF4-8768) &lt;= ABS(AF4-9280),IF(ABS(AF4-8768) &lt;= ABS(AF4-9792),1,3),IF(ABS(AF4-9280) &lt;= ABS(AF4-9792),2,3)),8768,9280,9792)</f>
        <v>8768</v>
      </c>
      <c r="AH4">
        <v>32</v>
      </c>
      <c r="AI4">
        <v>1</v>
      </c>
      <c r="AJ4">
        <v>4</v>
      </c>
      <c r="AK4">
        <v>5.1888999999999994</v>
      </c>
    </row>
    <row r="5" spans="1:37" x14ac:dyDescent="0.25">
      <c r="A5">
        <v>9280</v>
      </c>
      <c r="B5">
        <v>32</v>
      </c>
      <c r="C5">
        <v>1</v>
      </c>
      <c r="D5">
        <v>4</v>
      </c>
      <c r="E5">
        <v>3.8524400000000001</v>
      </c>
      <c r="G5">
        <v>9280</v>
      </c>
      <c r="H5">
        <v>32</v>
      </c>
      <c r="I5">
        <v>1</v>
      </c>
      <c r="J5">
        <v>4</v>
      </c>
      <c r="K5">
        <v>3.82342</v>
      </c>
      <c r="M5">
        <v>9280</v>
      </c>
      <c r="N5">
        <v>32</v>
      </c>
      <c r="O5">
        <v>1</v>
      </c>
      <c r="P5">
        <v>4</v>
      </c>
      <c r="Q5">
        <v>5.3307200000000003</v>
      </c>
      <c r="S5">
        <v>9280</v>
      </c>
      <c r="T5">
        <v>32</v>
      </c>
      <c r="U5" s="20">
        <v>1</v>
      </c>
      <c r="V5" s="20">
        <v>4</v>
      </c>
      <c r="W5">
        <v>2.8263600000000002</v>
      </c>
      <c r="Y5">
        <v>9280</v>
      </c>
      <c r="Z5">
        <f t="shared" ref="Z5:Z51" si="0">CHOOSE(IF(ABS(Y5-8768) &lt;= ABS(Y5-9280),IF(ABS(Y5-8768) &lt;= ABS(Y5-9792),1,3),IF(ABS(Y5-9280) &lt;= ABS(Y5-9792),2,3)),8768,9280,9792)</f>
        <v>9280</v>
      </c>
      <c r="AA5">
        <v>32</v>
      </c>
      <c r="AB5">
        <v>1</v>
      </c>
      <c r="AC5">
        <v>4</v>
      </c>
      <c r="AD5">
        <v>3.82342</v>
      </c>
      <c r="AF5">
        <v>9280</v>
      </c>
      <c r="AG5">
        <f t="shared" ref="AG5:AG51" si="1">CHOOSE(IF(ABS(AF5-8768) &lt;= ABS(AF5-9280),IF(ABS(AF5-8768) &lt;= ABS(AF5-9792),1,3),IF(ABS(AF5-9280) &lt;= ABS(AF5-9792),2,3)),8768,9280,9792)</f>
        <v>9280</v>
      </c>
      <c r="AH5">
        <v>32</v>
      </c>
      <c r="AI5">
        <v>1</v>
      </c>
      <c r="AJ5">
        <v>4</v>
      </c>
      <c r="AK5">
        <v>5.3307200000000003</v>
      </c>
    </row>
    <row r="6" spans="1:37" x14ac:dyDescent="0.25">
      <c r="A6">
        <v>9792</v>
      </c>
      <c r="B6">
        <v>32</v>
      </c>
      <c r="C6">
        <v>1</v>
      </c>
      <c r="D6">
        <v>4</v>
      </c>
      <c r="E6">
        <v>3.83928</v>
      </c>
      <c r="G6">
        <v>9792</v>
      </c>
      <c r="H6">
        <v>32</v>
      </c>
      <c r="I6">
        <v>1</v>
      </c>
      <c r="J6">
        <v>4</v>
      </c>
      <c r="K6">
        <v>3.8636400000000002</v>
      </c>
      <c r="M6">
        <v>9792</v>
      </c>
      <c r="N6">
        <v>32</v>
      </c>
      <c r="O6">
        <v>1</v>
      </c>
      <c r="P6">
        <v>4</v>
      </c>
      <c r="Q6">
        <v>5.3085800000000001</v>
      </c>
      <c r="S6">
        <v>9792</v>
      </c>
      <c r="T6">
        <v>32</v>
      </c>
      <c r="U6" s="20">
        <v>1</v>
      </c>
      <c r="V6" s="20">
        <v>4</v>
      </c>
      <c r="W6">
        <v>2.9470199999999998</v>
      </c>
      <c r="Y6">
        <v>9792</v>
      </c>
      <c r="Z6">
        <f t="shared" si="0"/>
        <v>9792</v>
      </c>
      <c r="AA6">
        <v>32</v>
      </c>
      <c r="AB6">
        <v>1</v>
      </c>
      <c r="AC6">
        <v>4</v>
      </c>
      <c r="AD6">
        <v>3.8636400000000002</v>
      </c>
      <c r="AF6">
        <v>9792</v>
      </c>
      <c r="AG6">
        <f t="shared" si="1"/>
        <v>9792</v>
      </c>
      <c r="AH6">
        <v>32</v>
      </c>
      <c r="AI6">
        <v>1</v>
      </c>
      <c r="AJ6">
        <v>4</v>
      </c>
      <c r="AK6">
        <v>5.3085800000000001</v>
      </c>
    </row>
    <row r="7" spans="1:37" x14ac:dyDescent="0.25">
      <c r="A7">
        <v>8768</v>
      </c>
      <c r="B7">
        <v>32</v>
      </c>
      <c r="C7">
        <v>2</v>
      </c>
      <c r="D7">
        <v>2</v>
      </c>
      <c r="E7">
        <v>3.8010600000000005</v>
      </c>
      <c r="G7">
        <v>8768</v>
      </c>
      <c r="H7">
        <v>32</v>
      </c>
      <c r="I7">
        <v>2</v>
      </c>
      <c r="J7">
        <v>2</v>
      </c>
      <c r="K7">
        <v>3.8534599999999997</v>
      </c>
      <c r="M7">
        <v>8768</v>
      </c>
      <c r="N7">
        <v>32</v>
      </c>
      <c r="O7">
        <v>2</v>
      </c>
      <c r="P7">
        <v>2</v>
      </c>
      <c r="Q7">
        <v>5.3036200000000004</v>
      </c>
      <c r="S7">
        <v>8768</v>
      </c>
      <c r="T7">
        <v>32</v>
      </c>
      <c r="U7" s="20">
        <v>2</v>
      </c>
      <c r="V7" s="20">
        <v>2</v>
      </c>
      <c r="W7">
        <v>2.4755600000000002</v>
      </c>
      <c r="Y7">
        <v>8768</v>
      </c>
      <c r="Z7">
        <f t="shared" si="0"/>
        <v>8768</v>
      </c>
      <c r="AA7">
        <v>32</v>
      </c>
      <c r="AB7">
        <v>2</v>
      </c>
      <c r="AC7">
        <v>2</v>
      </c>
      <c r="AD7">
        <v>3.8534599999999997</v>
      </c>
      <c r="AF7">
        <v>8768</v>
      </c>
      <c r="AG7">
        <f t="shared" si="1"/>
        <v>8768</v>
      </c>
      <c r="AH7">
        <v>32</v>
      </c>
      <c r="AI7">
        <v>2</v>
      </c>
      <c r="AJ7">
        <v>2</v>
      </c>
      <c r="AK7">
        <v>5.3036200000000004</v>
      </c>
    </row>
    <row r="8" spans="1:37" x14ac:dyDescent="0.25">
      <c r="A8">
        <v>9280</v>
      </c>
      <c r="B8">
        <v>32</v>
      </c>
      <c r="C8">
        <v>2</v>
      </c>
      <c r="D8">
        <v>2</v>
      </c>
      <c r="E8">
        <v>3.8242400000000005</v>
      </c>
      <c r="G8">
        <v>9280</v>
      </c>
      <c r="H8">
        <v>32</v>
      </c>
      <c r="I8">
        <v>2</v>
      </c>
      <c r="J8">
        <v>2</v>
      </c>
      <c r="K8">
        <v>3.8262200000000002</v>
      </c>
      <c r="M8">
        <v>9280</v>
      </c>
      <c r="N8">
        <v>32</v>
      </c>
      <c r="O8">
        <v>2</v>
      </c>
      <c r="P8">
        <v>2</v>
      </c>
      <c r="Q8">
        <v>5.3878399999999997</v>
      </c>
      <c r="S8">
        <v>9280</v>
      </c>
      <c r="T8">
        <v>32</v>
      </c>
      <c r="U8" s="20">
        <v>2</v>
      </c>
      <c r="V8" s="20">
        <v>2</v>
      </c>
      <c r="W8">
        <v>2.6096200000000001</v>
      </c>
      <c r="Y8">
        <v>9280</v>
      </c>
      <c r="Z8">
        <f t="shared" si="0"/>
        <v>9280</v>
      </c>
      <c r="AA8">
        <v>32</v>
      </c>
      <c r="AB8">
        <v>2</v>
      </c>
      <c r="AC8">
        <v>2</v>
      </c>
      <c r="AD8">
        <v>3.8262200000000002</v>
      </c>
      <c r="AF8">
        <v>9280</v>
      </c>
      <c r="AG8">
        <f t="shared" si="1"/>
        <v>9280</v>
      </c>
      <c r="AH8">
        <v>32</v>
      </c>
      <c r="AI8">
        <v>2</v>
      </c>
      <c r="AJ8">
        <v>2</v>
      </c>
      <c r="AK8">
        <v>5.3878399999999997</v>
      </c>
    </row>
    <row r="9" spans="1:37" x14ac:dyDescent="0.25">
      <c r="A9">
        <v>9792</v>
      </c>
      <c r="B9">
        <v>32</v>
      </c>
      <c r="C9">
        <v>2</v>
      </c>
      <c r="D9">
        <v>2</v>
      </c>
      <c r="E9">
        <v>3.8125999999999998</v>
      </c>
      <c r="G9">
        <v>9792</v>
      </c>
      <c r="H9">
        <v>32</v>
      </c>
      <c r="I9">
        <v>2</v>
      </c>
      <c r="J9">
        <v>2</v>
      </c>
      <c r="K9">
        <v>3.8378799999999997</v>
      </c>
      <c r="M9">
        <v>9792</v>
      </c>
      <c r="N9">
        <v>32</v>
      </c>
      <c r="O9">
        <v>2</v>
      </c>
      <c r="P9">
        <v>2</v>
      </c>
      <c r="Q9">
        <v>5.3336600000000001</v>
      </c>
      <c r="S9">
        <v>9792</v>
      </c>
      <c r="T9">
        <v>32</v>
      </c>
      <c r="U9" s="20">
        <v>2</v>
      </c>
      <c r="V9" s="20">
        <v>2</v>
      </c>
      <c r="W9" s="23">
        <v>2.7313200000000002</v>
      </c>
      <c r="Y9">
        <v>9792</v>
      </c>
      <c r="Z9">
        <f t="shared" si="0"/>
        <v>9792</v>
      </c>
      <c r="AA9">
        <v>32</v>
      </c>
      <c r="AB9">
        <v>2</v>
      </c>
      <c r="AC9">
        <v>2</v>
      </c>
      <c r="AD9">
        <v>3.8378799999999997</v>
      </c>
      <c r="AF9">
        <v>9792</v>
      </c>
      <c r="AG9">
        <f t="shared" si="1"/>
        <v>9792</v>
      </c>
      <c r="AH9">
        <v>32</v>
      </c>
      <c r="AI9">
        <v>2</v>
      </c>
      <c r="AJ9">
        <v>2</v>
      </c>
      <c r="AK9">
        <v>5.3336600000000001</v>
      </c>
    </row>
    <row r="10" spans="1:37" x14ac:dyDescent="0.25">
      <c r="A10">
        <v>8768</v>
      </c>
      <c r="B10">
        <v>64</v>
      </c>
      <c r="C10">
        <v>1</v>
      </c>
      <c r="D10">
        <v>4</v>
      </c>
      <c r="E10">
        <v>4.5469200000000001</v>
      </c>
      <c r="G10">
        <v>8768</v>
      </c>
      <c r="H10">
        <v>64</v>
      </c>
      <c r="I10">
        <v>1</v>
      </c>
      <c r="J10">
        <v>4</v>
      </c>
      <c r="K10">
        <v>4.4140599999999992</v>
      </c>
      <c r="M10">
        <v>8768</v>
      </c>
      <c r="N10">
        <v>64</v>
      </c>
      <c r="O10">
        <v>1</v>
      </c>
      <c r="P10">
        <v>4</v>
      </c>
      <c r="Q10">
        <v>6.4612000000000007</v>
      </c>
      <c r="S10">
        <v>8768</v>
      </c>
      <c r="T10">
        <v>64</v>
      </c>
      <c r="U10" s="20">
        <v>1</v>
      </c>
      <c r="V10" s="20">
        <v>4</v>
      </c>
      <c r="W10" s="23">
        <v>3.6853600000000002</v>
      </c>
      <c r="Y10">
        <v>8768</v>
      </c>
      <c r="Z10">
        <f t="shared" si="0"/>
        <v>8768</v>
      </c>
      <c r="AA10">
        <v>64</v>
      </c>
      <c r="AB10">
        <v>1</v>
      </c>
      <c r="AC10">
        <v>4</v>
      </c>
      <c r="AD10">
        <v>4.4140599999999992</v>
      </c>
      <c r="AF10">
        <v>8768</v>
      </c>
      <c r="AG10">
        <f t="shared" si="1"/>
        <v>8768</v>
      </c>
      <c r="AH10">
        <v>64</v>
      </c>
      <c r="AI10">
        <v>1</v>
      </c>
      <c r="AJ10">
        <v>4</v>
      </c>
      <c r="AK10">
        <v>6.4612000000000007</v>
      </c>
    </row>
    <row r="11" spans="1:37" x14ac:dyDescent="0.25">
      <c r="A11">
        <v>9280</v>
      </c>
      <c r="B11">
        <v>64</v>
      </c>
      <c r="C11">
        <v>1</v>
      </c>
      <c r="D11">
        <v>4</v>
      </c>
      <c r="E11">
        <v>4.5805200000000008</v>
      </c>
      <c r="G11">
        <v>9280</v>
      </c>
      <c r="H11">
        <v>64</v>
      </c>
      <c r="I11">
        <v>1</v>
      </c>
      <c r="J11">
        <v>4</v>
      </c>
      <c r="K11">
        <v>4.5670799999999989</v>
      </c>
      <c r="M11">
        <v>9280</v>
      </c>
      <c r="N11">
        <v>64</v>
      </c>
      <c r="O11">
        <v>1</v>
      </c>
      <c r="P11">
        <v>4</v>
      </c>
      <c r="Q11">
        <v>6.5367199999999999</v>
      </c>
      <c r="S11">
        <v>9280</v>
      </c>
      <c r="T11">
        <v>64</v>
      </c>
      <c r="U11" s="20">
        <v>1</v>
      </c>
      <c r="V11" s="20">
        <v>4</v>
      </c>
      <c r="W11" s="23">
        <v>3.8060599999999996</v>
      </c>
      <c r="Y11">
        <v>9280</v>
      </c>
      <c r="Z11">
        <f t="shared" si="0"/>
        <v>9280</v>
      </c>
      <c r="AA11">
        <v>64</v>
      </c>
      <c r="AB11">
        <v>1</v>
      </c>
      <c r="AC11">
        <v>4</v>
      </c>
      <c r="AD11">
        <v>4.5670799999999989</v>
      </c>
      <c r="AF11">
        <v>9280</v>
      </c>
      <c r="AG11">
        <f t="shared" si="1"/>
        <v>9280</v>
      </c>
      <c r="AH11">
        <v>64</v>
      </c>
      <c r="AI11">
        <v>1</v>
      </c>
      <c r="AJ11">
        <v>4</v>
      </c>
      <c r="AK11">
        <v>6.5367199999999999</v>
      </c>
    </row>
    <row r="12" spans="1:37" x14ac:dyDescent="0.25">
      <c r="A12">
        <v>9792</v>
      </c>
      <c r="B12">
        <v>64</v>
      </c>
      <c r="C12">
        <v>1</v>
      </c>
      <c r="D12">
        <v>4</v>
      </c>
      <c r="E12">
        <v>4.6044200000000002</v>
      </c>
      <c r="G12">
        <v>9792</v>
      </c>
      <c r="H12">
        <v>64</v>
      </c>
      <c r="I12">
        <v>1</v>
      </c>
      <c r="J12">
        <v>4</v>
      </c>
      <c r="K12">
        <v>4.6076600000000001</v>
      </c>
      <c r="M12">
        <v>9792</v>
      </c>
      <c r="N12">
        <v>64</v>
      </c>
      <c r="O12">
        <v>1</v>
      </c>
      <c r="P12">
        <v>4</v>
      </c>
      <c r="Q12">
        <v>6.5713799999999996</v>
      </c>
      <c r="S12">
        <v>9792</v>
      </c>
      <c r="T12">
        <v>64</v>
      </c>
      <c r="U12" s="20">
        <v>1</v>
      </c>
      <c r="V12" s="20">
        <v>4</v>
      </c>
      <c r="W12" s="23">
        <v>3.8782599999999996</v>
      </c>
      <c r="Y12">
        <v>9792</v>
      </c>
      <c r="Z12">
        <f t="shared" si="0"/>
        <v>9792</v>
      </c>
      <c r="AA12">
        <v>64</v>
      </c>
      <c r="AB12">
        <v>1</v>
      </c>
      <c r="AC12">
        <v>4</v>
      </c>
      <c r="AD12">
        <v>4.6076600000000001</v>
      </c>
      <c r="AF12">
        <v>9792</v>
      </c>
      <c r="AG12">
        <f t="shared" si="1"/>
        <v>9792</v>
      </c>
      <c r="AH12">
        <v>64</v>
      </c>
      <c r="AI12">
        <v>1</v>
      </c>
      <c r="AJ12">
        <v>4</v>
      </c>
      <c r="AK12">
        <v>6.5713799999999996</v>
      </c>
    </row>
    <row r="13" spans="1:37" x14ac:dyDescent="0.25">
      <c r="A13">
        <v>8768</v>
      </c>
      <c r="B13">
        <v>64</v>
      </c>
      <c r="C13">
        <v>2</v>
      </c>
      <c r="D13">
        <v>2</v>
      </c>
      <c r="E13">
        <v>4.4493399999999994</v>
      </c>
      <c r="G13">
        <v>8768</v>
      </c>
      <c r="H13">
        <v>64</v>
      </c>
      <c r="I13">
        <v>2</v>
      </c>
      <c r="J13">
        <v>2</v>
      </c>
      <c r="K13">
        <v>4.5583400000000003</v>
      </c>
      <c r="M13">
        <v>8768</v>
      </c>
      <c r="N13">
        <v>64</v>
      </c>
      <c r="O13">
        <v>2</v>
      </c>
      <c r="P13">
        <v>2</v>
      </c>
      <c r="Q13">
        <v>6.3481199999999998</v>
      </c>
      <c r="S13">
        <v>8768</v>
      </c>
      <c r="T13">
        <v>64</v>
      </c>
      <c r="U13" s="20">
        <v>2</v>
      </c>
      <c r="V13" s="20">
        <v>2</v>
      </c>
      <c r="W13" s="23">
        <v>2.9487399999999999</v>
      </c>
      <c r="Y13">
        <v>8768</v>
      </c>
      <c r="Z13">
        <f t="shared" si="0"/>
        <v>8768</v>
      </c>
      <c r="AA13">
        <v>64</v>
      </c>
      <c r="AB13">
        <v>2</v>
      </c>
      <c r="AC13">
        <v>2</v>
      </c>
      <c r="AD13">
        <v>4.5583400000000003</v>
      </c>
      <c r="AF13">
        <v>8768</v>
      </c>
      <c r="AG13">
        <f t="shared" si="1"/>
        <v>8768</v>
      </c>
      <c r="AH13">
        <v>64</v>
      </c>
      <c r="AI13">
        <v>2</v>
      </c>
      <c r="AJ13">
        <v>2</v>
      </c>
      <c r="AK13">
        <v>6.3481199999999998</v>
      </c>
    </row>
    <row r="14" spans="1:37" x14ac:dyDescent="0.25">
      <c r="A14">
        <v>9280</v>
      </c>
      <c r="B14">
        <v>64</v>
      </c>
      <c r="C14">
        <v>2</v>
      </c>
      <c r="D14">
        <v>2</v>
      </c>
      <c r="E14">
        <v>4.4231199999999999</v>
      </c>
      <c r="G14">
        <v>9280</v>
      </c>
      <c r="H14">
        <v>64</v>
      </c>
      <c r="I14">
        <v>2</v>
      </c>
      <c r="J14">
        <v>2</v>
      </c>
      <c r="K14">
        <v>4.4420400000000004</v>
      </c>
      <c r="M14">
        <v>9280</v>
      </c>
      <c r="N14">
        <v>64</v>
      </c>
      <c r="O14">
        <v>2</v>
      </c>
      <c r="P14">
        <v>2</v>
      </c>
      <c r="Q14">
        <v>6.4156999999999993</v>
      </c>
      <c r="S14">
        <v>9280</v>
      </c>
      <c r="T14">
        <v>64</v>
      </c>
      <c r="U14" s="20">
        <v>2</v>
      </c>
      <c r="V14" s="20">
        <v>2</v>
      </c>
      <c r="W14" s="23">
        <v>3.2404400000000004</v>
      </c>
      <c r="Y14">
        <v>9280</v>
      </c>
      <c r="Z14">
        <f t="shared" si="0"/>
        <v>9280</v>
      </c>
      <c r="AA14">
        <v>64</v>
      </c>
      <c r="AB14">
        <v>2</v>
      </c>
      <c r="AC14">
        <v>2</v>
      </c>
      <c r="AD14">
        <v>4.4420400000000004</v>
      </c>
      <c r="AF14">
        <v>9280</v>
      </c>
      <c r="AG14">
        <f t="shared" si="1"/>
        <v>9280</v>
      </c>
      <c r="AH14">
        <v>64</v>
      </c>
      <c r="AI14">
        <v>2</v>
      </c>
      <c r="AJ14">
        <v>2</v>
      </c>
      <c r="AK14">
        <v>6.4156999999999993</v>
      </c>
    </row>
    <row r="15" spans="1:37" x14ac:dyDescent="0.25">
      <c r="A15">
        <v>9792</v>
      </c>
      <c r="B15">
        <v>64</v>
      </c>
      <c r="C15">
        <v>2</v>
      </c>
      <c r="D15">
        <v>2</v>
      </c>
      <c r="E15">
        <v>4.5315799999999999</v>
      </c>
      <c r="G15">
        <v>9792</v>
      </c>
      <c r="H15">
        <v>64</v>
      </c>
      <c r="I15">
        <v>2</v>
      </c>
      <c r="J15">
        <v>2</v>
      </c>
      <c r="K15">
        <v>4.5587399999999993</v>
      </c>
      <c r="M15">
        <v>9792</v>
      </c>
      <c r="N15">
        <v>64</v>
      </c>
      <c r="O15">
        <v>2</v>
      </c>
      <c r="P15">
        <v>2</v>
      </c>
      <c r="Q15">
        <v>6.4724600000000008</v>
      </c>
      <c r="S15">
        <v>9792</v>
      </c>
      <c r="T15">
        <v>64</v>
      </c>
      <c r="U15" s="20">
        <v>2</v>
      </c>
      <c r="V15" s="20">
        <v>2</v>
      </c>
      <c r="W15" s="23">
        <v>3.3393600000000001</v>
      </c>
      <c r="Y15">
        <v>9792</v>
      </c>
      <c r="Z15">
        <f t="shared" si="0"/>
        <v>9792</v>
      </c>
      <c r="AA15">
        <v>64</v>
      </c>
      <c r="AB15">
        <v>2</v>
      </c>
      <c r="AC15">
        <v>2</v>
      </c>
      <c r="AD15">
        <v>4.5587399999999993</v>
      </c>
      <c r="AF15">
        <v>9792</v>
      </c>
      <c r="AG15">
        <f t="shared" si="1"/>
        <v>9792</v>
      </c>
      <c r="AH15">
        <v>64</v>
      </c>
      <c r="AI15">
        <v>2</v>
      </c>
      <c r="AJ15">
        <v>2</v>
      </c>
      <c r="AK15">
        <v>6.4724600000000008</v>
      </c>
    </row>
    <row r="16" spans="1:37" x14ac:dyDescent="0.25">
      <c r="A16">
        <v>8736</v>
      </c>
      <c r="B16">
        <v>96</v>
      </c>
      <c r="C16">
        <v>1</v>
      </c>
      <c r="D16">
        <v>4</v>
      </c>
      <c r="E16">
        <v>4.5911200000000001</v>
      </c>
      <c r="G16">
        <v>8736</v>
      </c>
      <c r="H16">
        <v>96</v>
      </c>
      <c r="I16">
        <v>1</v>
      </c>
      <c r="J16">
        <v>4</v>
      </c>
      <c r="K16">
        <v>4.5587399999999993</v>
      </c>
      <c r="M16">
        <v>8736</v>
      </c>
      <c r="N16">
        <v>96</v>
      </c>
      <c r="O16">
        <v>1</v>
      </c>
      <c r="P16">
        <v>4</v>
      </c>
      <c r="Q16">
        <v>6.6758600000000001</v>
      </c>
      <c r="S16">
        <v>8736</v>
      </c>
      <c r="T16">
        <v>96</v>
      </c>
      <c r="U16" s="20">
        <v>1</v>
      </c>
      <c r="V16" s="20">
        <v>4</v>
      </c>
      <c r="W16" s="23">
        <v>3.7303200000000003</v>
      </c>
      <c r="Y16">
        <v>8736</v>
      </c>
      <c r="Z16">
        <f t="shared" si="0"/>
        <v>8768</v>
      </c>
      <c r="AA16">
        <v>96</v>
      </c>
      <c r="AB16">
        <v>1</v>
      </c>
      <c r="AC16">
        <v>4</v>
      </c>
      <c r="AD16">
        <v>4.5587399999999993</v>
      </c>
      <c r="AF16">
        <v>8736</v>
      </c>
      <c r="AG16">
        <f t="shared" si="1"/>
        <v>8768</v>
      </c>
      <c r="AH16">
        <v>96</v>
      </c>
      <c r="AI16">
        <v>1</v>
      </c>
      <c r="AJ16">
        <v>4</v>
      </c>
      <c r="AK16">
        <v>6.6758600000000001</v>
      </c>
    </row>
    <row r="17" spans="1:37" x14ac:dyDescent="0.25">
      <c r="A17">
        <v>9216</v>
      </c>
      <c r="B17">
        <v>96</v>
      </c>
      <c r="C17">
        <v>1</v>
      </c>
      <c r="D17">
        <v>4</v>
      </c>
      <c r="E17">
        <v>4.3222000000000005</v>
      </c>
      <c r="G17">
        <v>9216</v>
      </c>
      <c r="H17">
        <v>96</v>
      </c>
      <c r="I17">
        <v>1</v>
      </c>
      <c r="J17">
        <v>4</v>
      </c>
      <c r="K17">
        <v>4.3104199999999997</v>
      </c>
      <c r="M17">
        <v>9216</v>
      </c>
      <c r="N17">
        <v>96</v>
      </c>
      <c r="O17">
        <v>1</v>
      </c>
      <c r="P17">
        <v>4</v>
      </c>
      <c r="Q17">
        <v>6.6588400000000005</v>
      </c>
      <c r="S17">
        <v>9216</v>
      </c>
      <c r="T17">
        <v>96</v>
      </c>
      <c r="U17" s="20">
        <v>1</v>
      </c>
      <c r="V17" s="20">
        <v>4</v>
      </c>
      <c r="W17" s="23">
        <v>3.8888799999999994</v>
      </c>
      <c r="Y17">
        <v>9216</v>
      </c>
      <c r="Z17">
        <f t="shared" si="0"/>
        <v>9280</v>
      </c>
      <c r="AA17">
        <v>96</v>
      </c>
      <c r="AB17">
        <v>1</v>
      </c>
      <c r="AC17">
        <v>4</v>
      </c>
      <c r="AD17">
        <v>4.3104199999999997</v>
      </c>
      <c r="AF17">
        <v>9216</v>
      </c>
      <c r="AG17">
        <f t="shared" si="1"/>
        <v>9280</v>
      </c>
      <c r="AH17">
        <v>96</v>
      </c>
      <c r="AI17">
        <v>1</v>
      </c>
      <c r="AJ17">
        <v>4</v>
      </c>
      <c r="AK17">
        <v>6.6588400000000005</v>
      </c>
    </row>
    <row r="18" spans="1:37" x14ac:dyDescent="0.25">
      <c r="A18">
        <v>9792</v>
      </c>
      <c r="B18">
        <v>96</v>
      </c>
      <c r="C18">
        <v>1</v>
      </c>
      <c r="D18">
        <v>4</v>
      </c>
      <c r="E18">
        <v>4.65496</v>
      </c>
      <c r="G18">
        <v>9792</v>
      </c>
      <c r="H18">
        <v>96</v>
      </c>
      <c r="I18">
        <v>1</v>
      </c>
      <c r="J18">
        <v>4</v>
      </c>
      <c r="K18">
        <v>4.3104199999999997</v>
      </c>
      <c r="M18">
        <v>9792</v>
      </c>
      <c r="N18">
        <v>96</v>
      </c>
      <c r="O18">
        <v>1</v>
      </c>
      <c r="P18">
        <v>4</v>
      </c>
      <c r="Q18">
        <v>6.7698000000000009</v>
      </c>
      <c r="S18">
        <v>9792</v>
      </c>
      <c r="T18">
        <v>96</v>
      </c>
      <c r="U18" s="20">
        <v>1</v>
      </c>
      <c r="V18" s="20">
        <v>4</v>
      </c>
      <c r="W18" s="23">
        <v>4.0993399999999998</v>
      </c>
      <c r="Y18">
        <v>9792</v>
      </c>
      <c r="Z18">
        <f t="shared" si="0"/>
        <v>9792</v>
      </c>
      <c r="AA18">
        <v>96</v>
      </c>
      <c r="AB18">
        <v>1</v>
      </c>
      <c r="AC18">
        <v>4</v>
      </c>
      <c r="AD18">
        <v>4.3104199999999997</v>
      </c>
      <c r="AF18">
        <v>9792</v>
      </c>
      <c r="AG18">
        <f t="shared" si="1"/>
        <v>9792</v>
      </c>
      <c r="AH18">
        <v>96</v>
      </c>
      <c r="AI18">
        <v>1</v>
      </c>
      <c r="AJ18">
        <v>4</v>
      </c>
      <c r="AK18">
        <v>6.7698000000000009</v>
      </c>
    </row>
    <row r="19" spans="1:37" x14ac:dyDescent="0.25">
      <c r="A19">
        <v>8736</v>
      </c>
      <c r="B19">
        <v>96</v>
      </c>
      <c r="C19">
        <v>2</v>
      </c>
      <c r="D19">
        <v>2</v>
      </c>
      <c r="E19">
        <v>4.8021600000000007</v>
      </c>
      <c r="G19">
        <v>8736</v>
      </c>
      <c r="H19">
        <v>96</v>
      </c>
      <c r="I19">
        <v>2</v>
      </c>
      <c r="J19">
        <v>2</v>
      </c>
      <c r="K19">
        <v>4.7931799999999996</v>
      </c>
      <c r="M19">
        <v>8736</v>
      </c>
      <c r="N19">
        <v>96</v>
      </c>
      <c r="O19">
        <v>2</v>
      </c>
      <c r="P19">
        <v>2</v>
      </c>
      <c r="Q19">
        <v>6.5043999999999995</v>
      </c>
      <c r="S19">
        <v>8736</v>
      </c>
      <c r="T19">
        <v>96</v>
      </c>
      <c r="U19" s="20">
        <v>2</v>
      </c>
      <c r="V19" s="20">
        <v>2</v>
      </c>
      <c r="W19" s="23">
        <v>3.2498999999999993</v>
      </c>
      <c r="Y19">
        <v>8736</v>
      </c>
      <c r="Z19">
        <f t="shared" si="0"/>
        <v>8768</v>
      </c>
      <c r="AA19">
        <v>96</v>
      </c>
      <c r="AB19">
        <v>2</v>
      </c>
      <c r="AC19">
        <v>2</v>
      </c>
      <c r="AD19">
        <v>4.7931799999999996</v>
      </c>
      <c r="AF19">
        <v>8736</v>
      </c>
      <c r="AG19">
        <f t="shared" si="1"/>
        <v>8768</v>
      </c>
      <c r="AH19">
        <v>96</v>
      </c>
      <c r="AI19">
        <v>2</v>
      </c>
      <c r="AJ19">
        <v>2</v>
      </c>
      <c r="AK19">
        <v>6.5043999999999995</v>
      </c>
    </row>
    <row r="20" spans="1:37" x14ac:dyDescent="0.25">
      <c r="A20">
        <v>9216</v>
      </c>
      <c r="B20">
        <v>96</v>
      </c>
      <c r="C20">
        <v>2</v>
      </c>
      <c r="D20">
        <v>2</v>
      </c>
      <c r="E20">
        <v>4.5910400000000005</v>
      </c>
      <c r="G20">
        <v>9216</v>
      </c>
      <c r="H20">
        <v>96</v>
      </c>
      <c r="I20">
        <v>2</v>
      </c>
      <c r="J20">
        <v>2</v>
      </c>
      <c r="K20">
        <v>4.7931799999999996</v>
      </c>
      <c r="M20">
        <v>9216</v>
      </c>
      <c r="N20">
        <v>96</v>
      </c>
      <c r="O20">
        <v>2</v>
      </c>
      <c r="P20">
        <v>2</v>
      </c>
      <c r="Q20">
        <v>6.5627000000000013</v>
      </c>
      <c r="S20">
        <v>9216</v>
      </c>
      <c r="T20">
        <v>96</v>
      </c>
      <c r="U20" s="20">
        <v>2</v>
      </c>
      <c r="V20" s="20">
        <v>2</v>
      </c>
      <c r="W20" s="23">
        <v>3.3927999999999998</v>
      </c>
      <c r="Y20">
        <v>9216</v>
      </c>
      <c r="Z20">
        <f t="shared" si="0"/>
        <v>9280</v>
      </c>
      <c r="AA20">
        <v>96</v>
      </c>
      <c r="AB20">
        <v>2</v>
      </c>
      <c r="AC20">
        <v>2</v>
      </c>
      <c r="AD20">
        <v>4.7931799999999996</v>
      </c>
      <c r="AF20">
        <v>9216</v>
      </c>
      <c r="AG20">
        <f t="shared" si="1"/>
        <v>9280</v>
      </c>
      <c r="AH20">
        <v>96</v>
      </c>
      <c r="AI20">
        <v>2</v>
      </c>
      <c r="AJ20">
        <v>2</v>
      </c>
      <c r="AK20">
        <v>6.5627000000000013</v>
      </c>
    </row>
    <row r="21" spans="1:37" x14ac:dyDescent="0.25">
      <c r="A21">
        <v>9792</v>
      </c>
      <c r="B21">
        <v>96</v>
      </c>
      <c r="C21">
        <v>2</v>
      </c>
      <c r="D21">
        <v>2</v>
      </c>
      <c r="E21">
        <v>4.8580199999999998</v>
      </c>
      <c r="G21">
        <v>9792</v>
      </c>
      <c r="H21">
        <v>96</v>
      </c>
      <c r="I21">
        <v>2</v>
      </c>
      <c r="J21">
        <v>2</v>
      </c>
      <c r="K21">
        <v>4.7737999999999996</v>
      </c>
      <c r="M21">
        <v>9792</v>
      </c>
      <c r="N21">
        <v>96</v>
      </c>
      <c r="O21">
        <v>2</v>
      </c>
      <c r="P21">
        <v>2</v>
      </c>
      <c r="Q21">
        <v>6.6833599999999986</v>
      </c>
      <c r="S21">
        <v>9792</v>
      </c>
      <c r="T21">
        <v>96</v>
      </c>
      <c r="U21" s="20">
        <v>2</v>
      </c>
      <c r="V21" s="20">
        <v>2</v>
      </c>
      <c r="W21" s="23">
        <v>3.4995000000000003</v>
      </c>
      <c r="Y21">
        <v>9792</v>
      </c>
      <c r="Z21">
        <f t="shared" si="0"/>
        <v>9792</v>
      </c>
      <c r="AA21">
        <v>96</v>
      </c>
      <c r="AB21">
        <v>2</v>
      </c>
      <c r="AC21">
        <v>2</v>
      </c>
      <c r="AD21">
        <v>4.7737999999999996</v>
      </c>
      <c r="AF21">
        <v>9792</v>
      </c>
      <c r="AG21">
        <f t="shared" si="1"/>
        <v>9792</v>
      </c>
      <c r="AH21">
        <v>96</v>
      </c>
      <c r="AI21">
        <v>2</v>
      </c>
      <c r="AJ21">
        <v>2</v>
      </c>
      <c r="AK21">
        <v>6.6833599999999986</v>
      </c>
    </row>
    <row r="22" spans="1:37" x14ac:dyDescent="0.25">
      <c r="A22">
        <v>8704</v>
      </c>
      <c r="B22">
        <v>128</v>
      </c>
      <c r="C22">
        <v>1</v>
      </c>
      <c r="D22">
        <v>4</v>
      </c>
      <c r="E22">
        <v>4.4226000000000001</v>
      </c>
      <c r="G22">
        <v>8704</v>
      </c>
      <c r="H22">
        <v>128</v>
      </c>
      <c r="I22">
        <v>1</v>
      </c>
      <c r="J22">
        <v>4</v>
      </c>
      <c r="K22">
        <v>4.7883800000000001</v>
      </c>
      <c r="M22">
        <v>8704</v>
      </c>
      <c r="N22">
        <v>128</v>
      </c>
      <c r="O22">
        <v>1</v>
      </c>
      <c r="P22">
        <v>4</v>
      </c>
      <c r="Q22">
        <v>6.2111599999999996</v>
      </c>
      <c r="S22">
        <v>8704</v>
      </c>
      <c r="T22">
        <v>128</v>
      </c>
      <c r="U22" s="20">
        <v>1</v>
      </c>
      <c r="V22" s="20">
        <v>4</v>
      </c>
      <c r="W22" s="23">
        <v>3.4910999999999994</v>
      </c>
      <c r="Y22">
        <v>8704</v>
      </c>
      <c r="Z22">
        <f t="shared" si="0"/>
        <v>8768</v>
      </c>
      <c r="AA22">
        <v>128</v>
      </c>
      <c r="AB22">
        <v>1</v>
      </c>
      <c r="AC22">
        <v>4</v>
      </c>
      <c r="AD22">
        <v>4.7883800000000001</v>
      </c>
      <c r="AF22">
        <v>8704</v>
      </c>
      <c r="AG22">
        <f t="shared" si="1"/>
        <v>8768</v>
      </c>
      <c r="AH22">
        <v>128</v>
      </c>
      <c r="AI22">
        <v>1</v>
      </c>
      <c r="AJ22">
        <v>4</v>
      </c>
      <c r="AK22">
        <v>6.2111599999999996</v>
      </c>
    </row>
    <row r="23" spans="1:37" x14ac:dyDescent="0.25">
      <c r="A23">
        <v>9216</v>
      </c>
      <c r="B23">
        <v>128</v>
      </c>
      <c r="C23">
        <v>1</v>
      </c>
      <c r="D23">
        <v>4</v>
      </c>
      <c r="E23">
        <v>4.4003200000000007</v>
      </c>
      <c r="G23">
        <v>9216</v>
      </c>
      <c r="H23">
        <v>128</v>
      </c>
      <c r="I23">
        <v>1</v>
      </c>
      <c r="J23">
        <v>4</v>
      </c>
      <c r="K23">
        <v>4.4131400000000003</v>
      </c>
      <c r="M23">
        <v>9216</v>
      </c>
      <c r="N23">
        <v>128</v>
      </c>
      <c r="O23">
        <v>1</v>
      </c>
      <c r="P23">
        <v>4</v>
      </c>
      <c r="Q23">
        <v>6.2800399999999996</v>
      </c>
      <c r="S23">
        <v>9216</v>
      </c>
      <c r="T23">
        <v>128</v>
      </c>
      <c r="U23" s="20">
        <v>1</v>
      </c>
      <c r="V23" s="20">
        <v>4</v>
      </c>
      <c r="W23" s="23">
        <v>3.7634600000000007</v>
      </c>
      <c r="Y23">
        <v>9216</v>
      </c>
      <c r="Z23">
        <f t="shared" si="0"/>
        <v>9280</v>
      </c>
      <c r="AA23">
        <v>128</v>
      </c>
      <c r="AB23">
        <v>1</v>
      </c>
      <c r="AC23">
        <v>4</v>
      </c>
      <c r="AD23">
        <v>4.4131400000000003</v>
      </c>
      <c r="AF23">
        <v>9216</v>
      </c>
      <c r="AG23">
        <f t="shared" si="1"/>
        <v>9280</v>
      </c>
      <c r="AH23">
        <v>128</v>
      </c>
      <c r="AI23">
        <v>1</v>
      </c>
      <c r="AJ23">
        <v>4</v>
      </c>
      <c r="AK23">
        <v>6.2800399999999996</v>
      </c>
    </row>
    <row r="24" spans="1:37" x14ac:dyDescent="0.25">
      <c r="A24">
        <v>9728</v>
      </c>
      <c r="B24">
        <v>128</v>
      </c>
      <c r="C24">
        <v>1</v>
      </c>
      <c r="D24">
        <v>4</v>
      </c>
      <c r="E24">
        <v>4.4779800000000005</v>
      </c>
      <c r="G24">
        <v>9728</v>
      </c>
      <c r="H24">
        <v>128</v>
      </c>
      <c r="I24">
        <v>1</v>
      </c>
      <c r="J24">
        <v>4</v>
      </c>
      <c r="K24">
        <v>4.4275199999999995</v>
      </c>
      <c r="M24">
        <v>9728</v>
      </c>
      <c r="N24">
        <v>128</v>
      </c>
      <c r="O24">
        <v>1</v>
      </c>
      <c r="P24">
        <v>4</v>
      </c>
      <c r="Q24">
        <v>6.3523800000000001</v>
      </c>
      <c r="S24">
        <v>9728</v>
      </c>
      <c r="T24">
        <v>128</v>
      </c>
      <c r="U24" s="20">
        <v>1</v>
      </c>
      <c r="V24" s="20">
        <v>4</v>
      </c>
      <c r="W24" s="23">
        <v>3.8731</v>
      </c>
      <c r="Y24">
        <v>9728</v>
      </c>
      <c r="Z24">
        <f t="shared" si="0"/>
        <v>9792</v>
      </c>
      <c r="AA24">
        <v>128</v>
      </c>
      <c r="AB24">
        <v>1</v>
      </c>
      <c r="AC24">
        <v>4</v>
      </c>
      <c r="AD24">
        <v>4.4275199999999995</v>
      </c>
      <c r="AF24">
        <v>9728</v>
      </c>
      <c r="AG24">
        <f t="shared" si="1"/>
        <v>9792</v>
      </c>
      <c r="AH24">
        <v>128</v>
      </c>
      <c r="AI24">
        <v>1</v>
      </c>
      <c r="AJ24">
        <v>4</v>
      </c>
      <c r="AK24">
        <v>6.3523800000000001</v>
      </c>
    </row>
    <row r="25" spans="1:37" x14ac:dyDescent="0.25">
      <c r="A25">
        <v>8704</v>
      </c>
      <c r="B25">
        <v>128</v>
      </c>
      <c r="C25">
        <v>2</v>
      </c>
      <c r="D25">
        <v>2</v>
      </c>
      <c r="E25">
        <v>4.7935800000000004</v>
      </c>
      <c r="G25">
        <v>8704</v>
      </c>
      <c r="H25">
        <v>128</v>
      </c>
      <c r="I25">
        <v>2</v>
      </c>
      <c r="J25">
        <v>2</v>
      </c>
      <c r="K25">
        <v>4.7516400000000001</v>
      </c>
      <c r="M25">
        <v>8704</v>
      </c>
      <c r="N25">
        <v>128</v>
      </c>
      <c r="O25">
        <v>2</v>
      </c>
      <c r="P25">
        <v>2</v>
      </c>
      <c r="Q25">
        <v>6.2040800000000003</v>
      </c>
      <c r="S25">
        <v>8704</v>
      </c>
      <c r="T25">
        <v>128</v>
      </c>
      <c r="U25" s="20">
        <v>2</v>
      </c>
      <c r="V25" s="20">
        <v>2</v>
      </c>
      <c r="W25" s="23">
        <v>2.8968400000000001</v>
      </c>
      <c r="Y25">
        <v>8704</v>
      </c>
      <c r="Z25">
        <f t="shared" si="0"/>
        <v>8768</v>
      </c>
      <c r="AA25">
        <v>128</v>
      </c>
      <c r="AB25">
        <v>2</v>
      </c>
      <c r="AC25">
        <v>2</v>
      </c>
      <c r="AD25">
        <v>4.7516400000000001</v>
      </c>
      <c r="AF25">
        <v>8704</v>
      </c>
      <c r="AG25">
        <f t="shared" si="1"/>
        <v>8768</v>
      </c>
      <c r="AH25">
        <v>128</v>
      </c>
      <c r="AI25">
        <v>2</v>
      </c>
      <c r="AJ25">
        <v>2</v>
      </c>
      <c r="AK25">
        <v>6.2040800000000003</v>
      </c>
    </row>
    <row r="26" spans="1:37" x14ac:dyDescent="0.25">
      <c r="A26">
        <v>9216</v>
      </c>
      <c r="B26">
        <v>128</v>
      </c>
      <c r="C26">
        <v>2</v>
      </c>
      <c r="D26">
        <v>2</v>
      </c>
      <c r="E26">
        <v>4.7069999999999999</v>
      </c>
      <c r="G26">
        <v>9216</v>
      </c>
      <c r="H26">
        <v>128</v>
      </c>
      <c r="I26">
        <v>2</v>
      </c>
      <c r="J26">
        <v>2</v>
      </c>
      <c r="K26">
        <v>4.8007800000000005</v>
      </c>
      <c r="M26">
        <v>9216</v>
      </c>
      <c r="N26">
        <v>128</v>
      </c>
      <c r="O26">
        <v>2</v>
      </c>
      <c r="P26">
        <v>2</v>
      </c>
      <c r="Q26">
        <v>6.2664</v>
      </c>
      <c r="S26">
        <v>9216</v>
      </c>
      <c r="T26">
        <v>128</v>
      </c>
      <c r="U26" s="20">
        <v>2</v>
      </c>
      <c r="V26" s="20">
        <v>2</v>
      </c>
      <c r="W26" s="23">
        <v>3.15808</v>
      </c>
      <c r="Y26">
        <v>9216</v>
      </c>
      <c r="Z26">
        <f t="shared" si="0"/>
        <v>9280</v>
      </c>
      <c r="AA26">
        <v>128</v>
      </c>
      <c r="AB26">
        <v>2</v>
      </c>
      <c r="AC26">
        <v>2</v>
      </c>
      <c r="AD26">
        <v>4.8007800000000005</v>
      </c>
      <c r="AF26">
        <v>9216</v>
      </c>
      <c r="AG26">
        <f t="shared" si="1"/>
        <v>9280</v>
      </c>
      <c r="AH26">
        <v>128</v>
      </c>
      <c r="AI26">
        <v>2</v>
      </c>
      <c r="AJ26">
        <v>2</v>
      </c>
      <c r="AK26">
        <v>6.2664</v>
      </c>
    </row>
    <row r="27" spans="1:37" x14ac:dyDescent="0.25">
      <c r="A27">
        <v>9728</v>
      </c>
      <c r="B27">
        <v>128</v>
      </c>
      <c r="C27">
        <v>2</v>
      </c>
      <c r="D27">
        <v>2</v>
      </c>
      <c r="E27">
        <v>4.8894199999999994</v>
      </c>
      <c r="G27">
        <v>9728</v>
      </c>
      <c r="H27">
        <v>128</v>
      </c>
      <c r="I27">
        <v>2</v>
      </c>
      <c r="J27">
        <v>2</v>
      </c>
      <c r="K27">
        <v>4.8933599999999995</v>
      </c>
      <c r="M27">
        <v>9728</v>
      </c>
      <c r="N27">
        <v>128</v>
      </c>
      <c r="O27">
        <v>2</v>
      </c>
      <c r="P27">
        <v>2</v>
      </c>
      <c r="Q27">
        <v>6.35398</v>
      </c>
      <c r="S27">
        <v>9728</v>
      </c>
      <c r="T27">
        <v>128</v>
      </c>
      <c r="U27" s="20">
        <v>2</v>
      </c>
      <c r="V27" s="20">
        <v>2</v>
      </c>
      <c r="W27" s="23">
        <v>3.2757399999999999</v>
      </c>
      <c r="Y27">
        <v>9728</v>
      </c>
      <c r="Z27">
        <f t="shared" si="0"/>
        <v>9792</v>
      </c>
      <c r="AA27">
        <v>128</v>
      </c>
      <c r="AB27">
        <v>2</v>
      </c>
      <c r="AC27">
        <v>2</v>
      </c>
      <c r="AD27">
        <v>4.8933599999999995</v>
      </c>
      <c r="AF27">
        <v>9728</v>
      </c>
      <c r="AG27">
        <f t="shared" si="1"/>
        <v>9792</v>
      </c>
      <c r="AH27">
        <v>128</v>
      </c>
      <c r="AI27">
        <v>2</v>
      </c>
      <c r="AJ27">
        <v>2</v>
      </c>
      <c r="AK27">
        <v>6.35398</v>
      </c>
    </row>
    <row r="28" spans="1:37" x14ac:dyDescent="0.25">
      <c r="A28">
        <v>8640</v>
      </c>
      <c r="B28">
        <v>160</v>
      </c>
      <c r="C28">
        <v>1</v>
      </c>
      <c r="D28">
        <v>4</v>
      </c>
      <c r="E28">
        <v>4.8507400000000001</v>
      </c>
      <c r="G28">
        <v>8640</v>
      </c>
      <c r="H28">
        <v>160</v>
      </c>
      <c r="I28">
        <v>1</v>
      </c>
      <c r="J28">
        <v>4</v>
      </c>
      <c r="K28">
        <v>4.9046399999999988</v>
      </c>
      <c r="M28">
        <v>8640</v>
      </c>
      <c r="N28">
        <v>160</v>
      </c>
      <c r="O28">
        <v>1</v>
      </c>
      <c r="P28">
        <v>4</v>
      </c>
      <c r="Q28">
        <v>6.3119399999999999</v>
      </c>
      <c r="S28">
        <v>8640</v>
      </c>
      <c r="T28">
        <v>160</v>
      </c>
      <c r="U28" s="20">
        <v>1</v>
      </c>
      <c r="V28" s="20">
        <v>4</v>
      </c>
      <c r="W28" s="23">
        <v>3.4402400000000002</v>
      </c>
      <c r="Y28">
        <v>8640</v>
      </c>
      <c r="Z28">
        <f t="shared" si="0"/>
        <v>8768</v>
      </c>
      <c r="AA28">
        <v>160</v>
      </c>
      <c r="AB28">
        <v>1</v>
      </c>
      <c r="AC28">
        <v>4</v>
      </c>
      <c r="AD28">
        <v>4.9046399999999988</v>
      </c>
      <c r="AF28">
        <v>8640</v>
      </c>
      <c r="AG28">
        <f t="shared" si="1"/>
        <v>8768</v>
      </c>
      <c r="AH28">
        <v>160</v>
      </c>
      <c r="AI28">
        <v>1</v>
      </c>
      <c r="AJ28">
        <v>4</v>
      </c>
      <c r="AK28">
        <v>6.3119399999999999</v>
      </c>
    </row>
    <row r="29" spans="1:37" x14ac:dyDescent="0.25">
      <c r="A29">
        <v>9280</v>
      </c>
      <c r="B29">
        <v>160</v>
      </c>
      <c r="C29">
        <v>1</v>
      </c>
      <c r="D29">
        <v>4</v>
      </c>
      <c r="E29">
        <v>4.9196200000000001</v>
      </c>
      <c r="G29">
        <v>9280</v>
      </c>
      <c r="H29">
        <v>160</v>
      </c>
      <c r="I29">
        <v>1</v>
      </c>
      <c r="J29">
        <v>4</v>
      </c>
      <c r="K29">
        <v>4.9138999999999999</v>
      </c>
      <c r="M29">
        <v>9280</v>
      </c>
      <c r="N29">
        <v>160</v>
      </c>
      <c r="O29">
        <v>1</v>
      </c>
      <c r="P29">
        <v>4</v>
      </c>
      <c r="Q29">
        <v>6.4484200000000005</v>
      </c>
      <c r="S29">
        <v>9280</v>
      </c>
      <c r="T29">
        <v>160</v>
      </c>
      <c r="U29" s="20">
        <v>1</v>
      </c>
      <c r="V29" s="20">
        <v>4</v>
      </c>
      <c r="W29" s="23">
        <v>3.6667399999999999</v>
      </c>
      <c r="Y29">
        <v>9280</v>
      </c>
      <c r="Z29">
        <f t="shared" si="0"/>
        <v>9280</v>
      </c>
      <c r="AA29">
        <v>160</v>
      </c>
      <c r="AB29">
        <v>1</v>
      </c>
      <c r="AC29">
        <v>4</v>
      </c>
      <c r="AD29">
        <v>4.9138999999999999</v>
      </c>
      <c r="AF29">
        <v>9280</v>
      </c>
      <c r="AG29">
        <f t="shared" si="1"/>
        <v>9280</v>
      </c>
      <c r="AH29">
        <v>160</v>
      </c>
      <c r="AI29">
        <v>1</v>
      </c>
      <c r="AJ29">
        <v>4</v>
      </c>
      <c r="AK29">
        <v>6.4484200000000005</v>
      </c>
    </row>
    <row r="30" spans="1:37" x14ac:dyDescent="0.25">
      <c r="A30">
        <v>9760</v>
      </c>
      <c r="B30">
        <v>160</v>
      </c>
      <c r="C30">
        <v>1</v>
      </c>
      <c r="D30">
        <v>4</v>
      </c>
      <c r="E30">
        <v>4.9629999999999992</v>
      </c>
      <c r="G30">
        <v>9760</v>
      </c>
      <c r="H30">
        <v>160</v>
      </c>
      <c r="I30">
        <v>1</v>
      </c>
      <c r="J30">
        <v>4</v>
      </c>
      <c r="K30">
        <v>4.9805600000000005</v>
      </c>
      <c r="M30">
        <v>9760</v>
      </c>
      <c r="N30">
        <v>160</v>
      </c>
      <c r="O30">
        <v>1</v>
      </c>
      <c r="P30">
        <v>4</v>
      </c>
      <c r="Q30">
        <v>6.5122600000000004</v>
      </c>
      <c r="S30">
        <v>9760</v>
      </c>
      <c r="T30">
        <v>160</v>
      </c>
      <c r="U30" s="20">
        <v>1</v>
      </c>
      <c r="V30" s="20">
        <v>4</v>
      </c>
      <c r="W30" s="23">
        <v>3.8089200000000005</v>
      </c>
      <c r="Y30">
        <v>9760</v>
      </c>
      <c r="Z30">
        <f t="shared" si="0"/>
        <v>9792</v>
      </c>
      <c r="AA30">
        <v>160</v>
      </c>
      <c r="AB30">
        <v>1</v>
      </c>
      <c r="AC30">
        <v>4</v>
      </c>
      <c r="AD30">
        <v>4.9805600000000005</v>
      </c>
      <c r="AF30">
        <v>9760</v>
      </c>
      <c r="AG30">
        <f t="shared" si="1"/>
        <v>9792</v>
      </c>
      <c r="AH30">
        <v>160</v>
      </c>
      <c r="AI30">
        <v>1</v>
      </c>
      <c r="AJ30">
        <v>4</v>
      </c>
      <c r="AK30">
        <v>6.5122600000000004</v>
      </c>
    </row>
    <row r="31" spans="1:37" x14ac:dyDescent="0.25">
      <c r="A31">
        <v>8640</v>
      </c>
      <c r="B31">
        <v>160</v>
      </c>
      <c r="C31">
        <v>2</v>
      </c>
      <c r="D31">
        <v>2</v>
      </c>
      <c r="E31">
        <v>4.863760000000001</v>
      </c>
      <c r="G31">
        <v>8640</v>
      </c>
      <c r="H31">
        <v>160</v>
      </c>
      <c r="I31">
        <v>2</v>
      </c>
      <c r="J31">
        <v>2</v>
      </c>
      <c r="K31">
        <v>4.9805600000000005</v>
      </c>
      <c r="M31">
        <v>8640</v>
      </c>
      <c r="N31">
        <v>160</v>
      </c>
      <c r="O31">
        <v>2</v>
      </c>
      <c r="P31">
        <v>2</v>
      </c>
      <c r="Q31">
        <v>6.30138</v>
      </c>
      <c r="S31">
        <v>8640</v>
      </c>
      <c r="T31">
        <v>160</v>
      </c>
      <c r="U31" s="20">
        <v>2</v>
      </c>
      <c r="V31" s="20">
        <v>2</v>
      </c>
      <c r="W31" s="23">
        <v>3.0543199999999997</v>
      </c>
      <c r="Y31">
        <v>8640</v>
      </c>
      <c r="Z31">
        <f t="shared" si="0"/>
        <v>8768</v>
      </c>
      <c r="AA31">
        <v>160</v>
      </c>
      <c r="AB31">
        <v>2</v>
      </c>
      <c r="AC31">
        <v>2</v>
      </c>
      <c r="AD31">
        <v>4.9805600000000005</v>
      </c>
      <c r="AF31">
        <v>8640</v>
      </c>
      <c r="AG31">
        <f t="shared" si="1"/>
        <v>8768</v>
      </c>
      <c r="AH31">
        <v>160</v>
      </c>
      <c r="AI31">
        <v>2</v>
      </c>
      <c r="AJ31">
        <v>2</v>
      </c>
      <c r="AK31">
        <v>6.30138</v>
      </c>
    </row>
    <row r="32" spans="1:37" x14ac:dyDescent="0.25">
      <c r="A32">
        <v>9280</v>
      </c>
      <c r="B32">
        <v>160</v>
      </c>
      <c r="C32">
        <v>2</v>
      </c>
      <c r="D32">
        <v>2</v>
      </c>
      <c r="E32">
        <v>4.9509400000000001</v>
      </c>
      <c r="G32">
        <v>9280</v>
      </c>
      <c r="H32">
        <v>160</v>
      </c>
      <c r="I32">
        <v>2</v>
      </c>
      <c r="J32">
        <v>2</v>
      </c>
      <c r="K32">
        <v>4.9788999999999994</v>
      </c>
      <c r="M32">
        <v>9280</v>
      </c>
      <c r="N32">
        <v>160</v>
      </c>
      <c r="O32">
        <v>2</v>
      </c>
      <c r="P32">
        <v>2</v>
      </c>
      <c r="Q32">
        <v>6.4059799999999996</v>
      </c>
      <c r="S32">
        <v>9280</v>
      </c>
      <c r="T32">
        <v>160</v>
      </c>
      <c r="U32" s="20">
        <v>2</v>
      </c>
      <c r="V32" s="20">
        <v>2</v>
      </c>
      <c r="W32" s="23">
        <v>3.2405999999999997</v>
      </c>
      <c r="Y32">
        <v>9280</v>
      </c>
      <c r="Z32">
        <f t="shared" si="0"/>
        <v>9280</v>
      </c>
      <c r="AA32">
        <v>160</v>
      </c>
      <c r="AB32">
        <v>2</v>
      </c>
      <c r="AC32">
        <v>2</v>
      </c>
      <c r="AD32">
        <v>4.9788999999999994</v>
      </c>
      <c r="AF32">
        <v>9280</v>
      </c>
      <c r="AG32">
        <f t="shared" si="1"/>
        <v>9280</v>
      </c>
      <c r="AH32">
        <v>160</v>
      </c>
      <c r="AI32">
        <v>2</v>
      </c>
      <c r="AJ32">
        <v>2</v>
      </c>
      <c r="AK32">
        <v>6.4059799999999996</v>
      </c>
    </row>
    <row r="33" spans="1:37" x14ac:dyDescent="0.25">
      <c r="A33">
        <v>9760</v>
      </c>
      <c r="B33">
        <v>160</v>
      </c>
      <c r="C33">
        <v>2</v>
      </c>
      <c r="D33">
        <v>2</v>
      </c>
      <c r="E33">
        <v>4.94306</v>
      </c>
      <c r="G33">
        <v>9760</v>
      </c>
      <c r="H33">
        <v>160</v>
      </c>
      <c r="I33">
        <v>2</v>
      </c>
      <c r="J33">
        <v>2</v>
      </c>
      <c r="K33">
        <v>4.9788999999999994</v>
      </c>
      <c r="M33">
        <v>9760</v>
      </c>
      <c r="N33">
        <v>160</v>
      </c>
      <c r="O33">
        <v>2</v>
      </c>
      <c r="P33">
        <v>2</v>
      </c>
      <c r="Q33">
        <v>6.4301000000000004</v>
      </c>
      <c r="S33">
        <v>9760</v>
      </c>
      <c r="T33">
        <v>160</v>
      </c>
      <c r="U33" s="20">
        <v>2</v>
      </c>
      <c r="V33" s="20">
        <v>2</v>
      </c>
      <c r="W33" s="23">
        <v>3.4506799999999997</v>
      </c>
      <c r="Y33">
        <v>9760</v>
      </c>
      <c r="Z33">
        <f t="shared" si="0"/>
        <v>9792</v>
      </c>
      <c r="AA33">
        <v>160</v>
      </c>
      <c r="AB33">
        <v>2</v>
      </c>
      <c r="AC33">
        <v>2</v>
      </c>
      <c r="AD33">
        <v>4.9788999999999994</v>
      </c>
      <c r="AF33">
        <v>9760</v>
      </c>
      <c r="AG33">
        <f t="shared" si="1"/>
        <v>9792</v>
      </c>
      <c r="AH33">
        <v>160</v>
      </c>
      <c r="AI33">
        <v>2</v>
      </c>
      <c r="AJ33">
        <v>2</v>
      </c>
      <c r="AK33">
        <v>6.4301000000000004</v>
      </c>
    </row>
    <row r="34" spans="1:37" x14ac:dyDescent="0.25">
      <c r="A34">
        <v>8640</v>
      </c>
      <c r="B34">
        <v>192</v>
      </c>
      <c r="C34">
        <v>1</v>
      </c>
      <c r="D34">
        <v>4</v>
      </c>
      <c r="E34">
        <v>4.8509799999999998</v>
      </c>
      <c r="G34">
        <v>8640</v>
      </c>
      <c r="H34">
        <v>192</v>
      </c>
      <c r="I34">
        <v>1</v>
      </c>
      <c r="J34">
        <v>4</v>
      </c>
      <c r="K34">
        <v>4.8594799999999996</v>
      </c>
      <c r="M34">
        <v>8640</v>
      </c>
      <c r="N34">
        <v>192</v>
      </c>
      <c r="O34">
        <v>1</v>
      </c>
      <c r="P34">
        <v>4</v>
      </c>
      <c r="Q34">
        <v>6.3439600000000009</v>
      </c>
      <c r="S34">
        <v>8640</v>
      </c>
      <c r="T34">
        <v>192</v>
      </c>
      <c r="U34" s="20">
        <v>1</v>
      </c>
      <c r="V34" s="20">
        <v>4</v>
      </c>
      <c r="W34" s="23">
        <v>3.5726399999999998</v>
      </c>
      <c r="Y34">
        <v>8640</v>
      </c>
      <c r="Z34">
        <f t="shared" si="0"/>
        <v>8768</v>
      </c>
      <c r="AA34">
        <v>192</v>
      </c>
      <c r="AB34">
        <v>1</v>
      </c>
      <c r="AC34">
        <v>4</v>
      </c>
      <c r="AD34">
        <v>4.8594799999999996</v>
      </c>
      <c r="AF34">
        <v>8640</v>
      </c>
      <c r="AG34">
        <f t="shared" si="1"/>
        <v>8768</v>
      </c>
      <c r="AH34">
        <v>192</v>
      </c>
      <c r="AI34">
        <v>1</v>
      </c>
      <c r="AJ34">
        <v>4</v>
      </c>
      <c r="AK34">
        <v>6.3439600000000009</v>
      </c>
    </row>
    <row r="35" spans="1:37" x14ac:dyDescent="0.25">
      <c r="A35">
        <v>9216</v>
      </c>
      <c r="B35">
        <v>192</v>
      </c>
      <c r="C35">
        <v>1</v>
      </c>
      <c r="D35">
        <v>4</v>
      </c>
      <c r="E35">
        <v>4.5831800000000005</v>
      </c>
      <c r="G35">
        <v>9216</v>
      </c>
      <c r="H35">
        <v>192</v>
      </c>
      <c r="I35">
        <v>1</v>
      </c>
      <c r="J35">
        <v>4</v>
      </c>
      <c r="K35">
        <v>4.8594799999999996</v>
      </c>
      <c r="M35">
        <v>9216</v>
      </c>
      <c r="N35">
        <v>192</v>
      </c>
      <c r="O35">
        <v>1</v>
      </c>
      <c r="P35">
        <v>4</v>
      </c>
      <c r="Q35">
        <v>6.3543199999999995</v>
      </c>
      <c r="S35">
        <v>9216</v>
      </c>
      <c r="T35">
        <v>192</v>
      </c>
      <c r="U35" s="20">
        <v>1</v>
      </c>
      <c r="V35" s="20">
        <v>4</v>
      </c>
      <c r="W35" s="23">
        <v>3.7086800000000002</v>
      </c>
      <c r="Y35">
        <v>9216</v>
      </c>
      <c r="Z35">
        <f t="shared" si="0"/>
        <v>9280</v>
      </c>
      <c r="AA35">
        <v>192</v>
      </c>
      <c r="AB35">
        <v>1</v>
      </c>
      <c r="AC35">
        <v>4</v>
      </c>
      <c r="AD35">
        <v>4.8594799999999996</v>
      </c>
      <c r="AF35">
        <v>9216</v>
      </c>
      <c r="AG35">
        <f t="shared" si="1"/>
        <v>9280</v>
      </c>
      <c r="AH35">
        <v>192</v>
      </c>
      <c r="AI35">
        <v>1</v>
      </c>
      <c r="AJ35">
        <v>4</v>
      </c>
      <c r="AK35">
        <v>6.3543199999999995</v>
      </c>
    </row>
    <row r="36" spans="1:37" x14ac:dyDescent="0.25">
      <c r="A36">
        <v>9792</v>
      </c>
      <c r="B36">
        <v>192</v>
      </c>
      <c r="C36">
        <v>1</v>
      </c>
      <c r="D36">
        <v>4</v>
      </c>
      <c r="E36">
        <v>4.9417600000000004</v>
      </c>
      <c r="G36">
        <v>9792</v>
      </c>
      <c r="H36">
        <v>192</v>
      </c>
      <c r="I36">
        <v>1</v>
      </c>
      <c r="J36">
        <v>4</v>
      </c>
      <c r="K36">
        <v>4.8176000000000005</v>
      </c>
      <c r="M36">
        <v>9792</v>
      </c>
      <c r="N36">
        <v>192</v>
      </c>
      <c r="O36">
        <v>1</v>
      </c>
      <c r="P36">
        <v>4</v>
      </c>
      <c r="Q36">
        <v>6.3913599999999997</v>
      </c>
      <c r="S36">
        <v>9792</v>
      </c>
      <c r="T36">
        <v>192</v>
      </c>
      <c r="U36" s="20">
        <v>1</v>
      </c>
      <c r="V36" s="20">
        <v>4</v>
      </c>
      <c r="W36" s="23">
        <v>3.9325600000000001</v>
      </c>
      <c r="Y36">
        <v>9792</v>
      </c>
      <c r="Z36">
        <f t="shared" si="0"/>
        <v>9792</v>
      </c>
      <c r="AA36">
        <v>192</v>
      </c>
      <c r="AB36">
        <v>1</v>
      </c>
      <c r="AC36">
        <v>4</v>
      </c>
      <c r="AD36">
        <v>4.8176000000000005</v>
      </c>
      <c r="AF36">
        <v>9792</v>
      </c>
      <c r="AG36">
        <f t="shared" si="1"/>
        <v>9792</v>
      </c>
      <c r="AH36">
        <v>192</v>
      </c>
      <c r="AI36">
        <v>1</v>
      </c>
      <c r="AJ36">
        <v>4</v>
      </c>
      <c r="AK36">
        <v>6.3913599999999997</v>
      </c>
    </row>
    <row r="37" spans="1:37" x14ac:dyDescent="0.25">
      <c r="A37">
        <v>8640</v>
      </c>
      <c r="B37">
        <v>192</v>
      </c>
      <c r="C37">
        <v>2</v>
      </c>
      <c r="D37">
        <v>2</v>
      </c>
      <c r="E37">
        <v>4.7614399999999995</v>
      </c>
      <c r="G37">
        <v>8640</v>
      </c>
      <c r="H37">
        <v>192</v>
      </c>
      <c r="I37">
        <v>2</v>
      </c>
      <c r="J37">
        <v>2</v>
      </c>
      <c r="K37">
        <v>4.9231999999999996</v>
      </c>
      <c r="M37">
        <v>8640</v>
      </c>
      <c r="N37">
        <v>192</v>
      </c>
      <c r="O37">
        <v>2</v>
      </c>
      <c r="P37">
        <v>2</v>
      </c>
      <c r="Q37">
        <v>6.2584600000000012</v>
      </c>
      <c r="S37">
        <v>8640</v>
      </c>
      <c r="T37">
        <v>192</v>
      </c>
      <c r="U37" s="20">
        <v>2</v>
      </c>
      <c r="V37" s="20">
        <v>2</v>
      </c>
      <c r="W37" s="23">
        <v>3.0827200000000001</v>
      </c>
      <c r="Y37">
        <v>8640</v>
      </c>
      <c r="Z37">
        <f t="shared" si="0"/>
        <v>8768</v>
      </c>
      <c r="AA37">
        <v>192</v>
      </c>
      <c r="AB37">
        <v>2</v>
      </c>
      <c r="AC37">
        <v>2</v>
      </c>
      <c r="AD37">
        <v>4.9231999999999996</v>
      </c>
      <c r="AF37">
        <v>8640</v>
      </c>
      <c r="AG37">
        <f t="shared" si="1"/>
        <v>8768</v>
      </c>
      <c r="AH37">
        <v>192</v>
      </c>
      <c r="AI37">
        <v>2</v>
      </c>
      <c r="AJ37">
        <v>2</v>
      </c>
      <c r="AK37">
        <v>6.2584600000000012</v>
      </c>
    </row>
    <row r="38" spans="1:37" x14ac:dyDescent="0.25">
      <c r="A38">
        <v>9216</v>
      </c>
      <c r="B38">
        <v>192</v>
      </c>
      <c r="C38">
        <v>2</v>
      </c>
      <c r="D38">
        <v>2</v>
      </c>
      <c r="E38">
        <v>4.6602399999999999</v>
      </c>
      <c r="G38">
        <v>9216</v>
      </c>
      <c r="H38">
        <v>192</v>
      </c>
      <c r="I38">
        <v>2</v>
      </c>
      <c r="J38">
        <v>2</v>
      </c>
      <c r="K38">
        <v>4.7143200000000007</v>
      </c>
      <c r="M38">
        <v>9216</v>
      </c>
      <c r="N38">
        <v>192</v>
      </c>
      <c r="O38">
        <v>2</v>
      </c>
      <c r="P38">
        <v>2</v>
      </c>
      <c r="Q38">
        <v>6.3288200000000003</v>
      </c>
      <c r="S38">
        <v>9216</v>
      </c>
      <c r="T38">
        <v>192</v>
      </c>
      <c r="U38" s="20">
        <v>2</v>
      </c>
      <c r="V38" s="20">
        <v>2</v>
      </c>
      <c r="W38" s="23">
        <v>3.2022200000000005</v>
      </c>
      <c r="Y38">
        <v>9216</v>
      </c>
      <c r="Z38">
        <f t="shared" si="0"/>
        <v>9280</v>
      </c>
      <c r="AA38">
        <v>192</v>
      </c>
      <c r="AB38">
        <v>2</v>
      </c>
      <c r="AC38">
        <v>2</v>
      </c>
      <c r="AD38">
        <v>4.7143200000000007</v>
      </c>
      <c r="AF38">
        <v>9216</v>
      </c>
      <c r="AG38">
        <f t="shared" si="1"/>
        <v>9280</v>
      </c>
      <c r="AH38">
        <v>192</v>
      </c>
      <c r="AI38">
        <v>2</v>
      </c>
      <c r="AJ38">
        <v>2</v>
      </c>
      <c r="AK38">
        <v>6.3288200000000003</v>
      </c>
    </row>
    <row r="39" spans="1:37" x14ac:dyDescent="0.25">
      <c r="A39">
        <v>9792</v>
      </c>
      <c r="B39">
        <v>192</v>
      </c>
      <c r="C39">
        <v>2</v>
      </c>
      <c r="D39">
        <v>2</v>
      </c>
      <c r="E39">
        <v>4.8442000000000007</v>
      </c>
      <c r="G39">
        <v>9792</v>
      </c>
      <c r="H39">
        <v>192</v>
      </c>
      <c r="I39">
        <v>2</v>
      </c>
      <c r="J39">
        <v>2</v>
      </c>
      <c r="K39">
        <v>4.7152599999999998</v>
      </c>
      <c r="M39">
        <v>9792</v>
      </c>
      <c r="N39">
        <v>192</v>
      </c>
      <c r="O39">
        <v>2</v>
      </c>
      <c r="P39">
        <v>2</v>
      </c>
      <c r="Q39">
        <v>6.4006400000000001</v>
      </c>
      <c r="S39">
        <v>9792</v>
      </c>
      <c r="T39">
        <v>192</v>
      </c>
      <c r="U39" s="20">
        <v>2</v>
      </c>
      <c r="V39" s="20">
        <v>2</v>
      </c>
      <c r="W39" s="23">
        <v>3.3434799999999996</v>
      </c>
      <c r="Y39">
        <v>9792</v>
      </c>
      <c r="Z39">
        <f t="shared" si="0"/>
        <v>9792</v>
      </c>
      <c r="AA39">
        <v>192</v>
      </c>
      <c r="AB39">
        <v>2</v>
      </c>
      <c r="AC39">
        <v>2</v>
      </c>
      <c r="AD39">
        <v>4.7152599999999998</v>
      </c>
      <c r="AF39">
        <v>9792</v>
      </c>
      <c r="AG39">
        <f t="shared" si="1"/>
        <v>9792</v>
      </c>
      <c r="AH39">
        <v>192</v>
      </c>
      <c r="AI39">
        <v>2</v>
      </c>
      <c r="AJ39">
        <v>2</v>
      </c>
      <c r="AK39">
        <v>6.4006400000000001</v>
      </c>
    </row>
    <row r="40" spans="1:37" x14ac:dyDescent="0.25">
      <c r="A40">
        <v>8736</v>
      </c>
      <c r="B40">
        <v>224</v>
      </c>
      <c r="C40">
        <v>1</v>
      </c>
      <c r="D40">
        <v>4</v>
      </c>
      <c r="E40">
        <v>4.8106400000000002</v>
      </c>
      <c r="G40">
        <v>8736</v>
      </c>
      <c r="H40">
        <v>224</v>
      </c>
      <c r="I40">
        <v>1</v>
      </c>
      <c r="J40">
        <v>4</v>
      </c>
      <c r="K40">
        <v>4.8275200000000007</v>
      </c>
      <c r="M40">
        <v>8736</v>
      </c>
      <c r="N40">
        <v>224</v>
      </c>
      <c r="O40">
        <v>1</v>
      </c>
      <c r="P40">
        <v>4</v>
      </c>
      <c r="Q40">
        <v>6.3003799999999996</v>
      </c>
      <c r="S40">
        <v>8736</v>
      </c>
      <c r="T40">
        <v>224</v>
      </c>
      <c r="U40" s="20">
        <v>1</v>
      </c>
      <c r="V40" s="20">
        <v>4</v>
      </c>
      <c r="W40" s="23">
        <v>3.6758600000000001</v>
      </c>
      <c r="Y40">
        <v>8736</v>
      </c>
      <c r="Z40">
        <f t="shared" si="0"/>
        <v>8768</v>
      </c>
      <c r="AA40">
        <v>224</v>
      </c>
      <c r="AB40">
        <v>1</v>
      </c>
      <c r="AC40">
        <v>4</v>
      </c>
      <c r="AD40">
        <v>4.8275200000000007</v>
      </c>
      <c r="AF40">
        <v>8736</v>
      </c>
      <c r="AG40">
        <f t="shared" si="1"/>
        <v>8768</v>
      </c>
      <c r="AH40">
        <v>224</v>
      </c>
      <c r="AI40">
        <v>1</v>
      </c>
      <c r="AJ40">
        <v>4</v>
      </c>
      <c r="AK40">
        <v>6.3003799999999996</v>
      </c>
    </row>
    <row r="41" spans="1:37" x14ac:dyDescent="0.25">
      <c r="A41">
        <v>9184</v>
      </c>
      <c r="B41">
        <v>224</v>
      </c>
      <c r="C41">
        <v>1</v>
      </c>
      <c r="D41">
        <v>4</v>
      </c>
      <c r="E41">
        <v>4.8799400000000004</v>
      </c>
      <c r="G41">
        <v>9184</v>
      </c>
      <c r="H41">
        <v>224</v>
      </c>
      <c r="I41">
        <v>1</v>
      </c>
      <c r="J41">
        <v>4</v>
      </c>
      <c r="K41">
        <v>4.8334200000000003</v>
      </c>
      <c r="M41">
        <v>9184</v>
      </c>
      <c r="N41">
        <v>224</v>
      </c>
      <c r="O41">
        <v>1</v>
      </c>
      <c r="P41">
        <v>4</v>
      </c>
      <c r="Q41">
        <v>6.4117599999999992</v>
      </c>
      <c r="S41">
        <v>9184</v>
      </c>
      <c r="T41">
        <v>224</v>
      </c>
      <c r="U41" s="20">
        <v>1</v>
      </c>
      <c r="V41" s="20">
        <v>4</v>
      </c>
      <c r="W41" s="23">
        <v>3.8518400000000002</v>
      </c>
      <c r="Y41">
        <v>9184</v>
      </c>
      <c r="Z41">
        <f t="shared" si="0"/>
        <v>9280</v>
      </c>
      <c r="AA41">
        <v>224</v>
      </c>
      <c r="AB41">
        <v>1</v>
      </c>
      <c r="AC41">
        <v>4</v>
      </c>
      <c r="AD41">
        <v>4.8334200000000003</v>
      </c>
      <c r="AF41">
        <v>9184</v>
      </c>
      <c r="AG41">
        <f t="shared" si="1"/>
        <v>9280</v>
      </c>
      <c r="AH41">
        <v>224</v>
      </c>
      <c r="AI41">
        <v>1</v>
      </c>
      <c r="AJ41">
        <v>4</v>
      </c>
      <c r="AK41">
        <v>6.4117599999999992</v>
      </c>
    </row>
    <row r="42" spans="1:37" x14ac:dyDescent="0.25">
      <c r="A42">
        <v>9632</v>
      </c>
      <c r="B42">
        <v>224</v>
      </c>
      <c r="C42">
        <v>1</v>
      </c>
      <c r="D42">
        <v>4</v>
      </c>
      <c r="E42">
        <v>4.8978200000000003</v>
      </c>
      <c r="G42">
        <v>9632</v>
      </c>
      <c r="H42">
        <v>224</v>
      </c>
      <c r="I42">
        <v>1</v>
      </c>
      <c r="J42">
        <v>4</v>
      </c>
      <c r="K42">
        <v>4.9128400000000001</v>
      </c>
      <c r="M42">
        <v>9632</v>
      </c>
      <c r="N42">
        <v>224</v>
      </c>
      <c r="O42">
        <v>1</v>
      </c>
      <c r="P42">
        <v>4</v>
      </c>
      <c r="Q42">
        <v>6.36904</v>
      </c>
      <c r="S42">
        <v>9632</v>
      </c>
      <c r="T42">
        <v>224</v>
      </c>
      <c r="U42" s="20">
        <v>1</v>
      </c>
      <c r="V42" s="20">
        <v>4</v>
      </c>
      <c r="W42" s="23">
        <v>3.9248600000000002</v>
      </c>
      <c r="Y42">
        <v>9632</v>
      </c>
      <c r="Z42">
        <f t="shared" si="0"/>
        <v>9792</v>
      </c>
      <c r="AA42">
        <v>224</v>
      </c>
      <c r="AB42">
        <v>1</v>
      </c>
      <c r="AC42">
        <v>4</v>
      </c>
      <c r="AD42">
        <v>4.9128400000000001</v>
      </c>
      <c r="AF42">
        <v>9632</v>
      </c>
      <c r="AG42">
        <f t="shared" si="1"/>
        <v>9792</v>
      </c>
      <c r="AH42">
        <v>224</v>
      </c>
      <c r="AI42">
        <v>1</v>
      </c>
      <c r="AJ42">
        <v>4</v>
      </c>
      <c r="AK42">
        <v>6.36904</v>
      </c>
    </row>
    <row r="43" spans="1:37" x14ac:dyDescent="0.25">
      <c r="A43">
        <v>8736</v>
      </c>
      <c r="B43">
        <v>224</v>
      </c>
      <c r="C43">
        <v>2</v>
      </c>
      <c r="D43">
        <v>2</v>
      </c>
      <c r="E43">
        <v>4.7117800000000001</v>
      </c>
      <c r="G43">
        <v>8736</v>
      </c>
      <c r="H43">
        <v>224</v>
      </c>
      <c r="I43">
        <v>2</v>
      </c>
      <c r="J43">
        <v>2</v>
      </c>
      <c r="K43">
        <v>4.8354799999999996</v>
      </c>
      <c r="M43">
        <v>8736</v>
      </c>
      <c r="N43">
        <v>224</v>
      </c>
      <c r="O43">
        <v>2</v>
      </c>
      <c r="P43">
        <v>2</v>
      </c>
      <c r="Q43">
        <v>6.2106399999999997</v>
      </c>
      <c r="S43">
        <v>8736</v>
      </c>
      <c r="T43">
        <v>224</v>
      </c>
      <c r="U43" s="20">
        <v>2</v>
      </c>
      <c r="V43" s="20">
        <v>2</v>
      </c>
      <c r="W43" s="23">
        <v>2.9668599999999996</v>
      </c>
      <c r="Y43">
        <v>8736</v>
      </c>
      <c r="Z43">
        <f t="shared" si="0"/>
        <v>8768</v>
      </c>
      <c r="AA43">
        <v>224</v>
      </c>
      <c r="AB43">
        <v>2</v>
      </c>
      <c r="AC43">
        <v>2</v>
      </c>
      <c r="AD43">
        <v>4.8354799999999996</v>
      </c>
      <c r="AF43">
        <v>8736</v>
      </c>
      <c r="AG43">
        <f t="shared" si="1"/>
        <v>8768</v>
      </c>
      <c r="AH43">
        <v>224</v>
      </c>
      <c r="AI43">
        <v>2</v>
      </c>
      <c r="AJ43">
        <v>2</v>
      </c>
      <c r="AK43">
        <v>6.2106399999999997</v>
      </c>
    </row>
    <row r="44" spans="1:37" x14ac:dyDescent="0.25">
      <c r="A44">
        <v>9184</v>
      </c>
      <c r="B44">
        <v>224</v>
      </c>
      <c r="C44">
        <v>2</v>
      </c>
      <c r="D44">
        <v>2</v>
      </c>
      <c r="E44">
        <v>4.7649799999999995</v>
      </c>
      <c r="G44">
        <v>9184</v>
      </c>
      <c r="H44">
        <v>224</v>
      </c>
      <c r="I44">
        <v>2</v>
      </c>
      <c r="J44">
        <v>2</v>
      </c>
      <c r="K44">
        <v>4.7604799999999994</v>
      </c>
      <c r="M44">
        <v>9184</v>
      </c>
      <c r="N44">
        <v>224</v>
      </c>
      <c r="O44">
        <v>2</v>
      </c>
      <c r="P44">
        <v>2</v>
      </c>
      <c r="Q44">
        <v>6.2761799999999992</v>
      </c>
      <c r="S44">
        <v>9184</v>
      </c>
      <c r="T44">
        <v>224</v>
      </c>
      <c r="U44" s="20">
        <v>2</v>
      </c>
      <c r="V44" s="20">
        <v>2</v>
      </c>
      <c r="W44" s="23">
        <v>3.1682600000000001</v>
      </c>
      <c r="Y44">
        <v>9184</v>
      </c>
      <c r="Z44">
        <f t="shared" si="0"/>
        <v>9280</v>
      </c>
      <c r="AA44">
        <v>224</v>
      </c>
      <c r="AB44">
        <v>2</v>
      </c>
      <c r="AC44">
        <v>2</v>
      </c>
      <c r="AD44">
        <v>4.7604799999999994</v>
      </c>
      <c r="AF44">
        <v>9184</v>
      </c>
      <c r="AG44">
        <f t="shared" si="1"/>
        <v>9280</v>
      </c>
      <c r="AH44">
        <v>224</v>
      </c>
      <c r="AI44">
        <v>2</v>
      </c>
      <c r="AJ44">
        <v>2</v>
      </c>
      <c r="AK44">
        <v>6.2761799999999992</v>
      </c>
    </row>
    <row r="45" spans="1:37" x14ac:dyDescent="0.25">
      <c r="A45">
        <v>9632</v>
      </c>
      <c r="B45">
        <v>224</v>
      </c>
      <c r="C45">
        <v>2</v>
      </c>
      <c r="D45">
        <v>2</v>
      </c>
      <c r="E45">
        <v>4.8019800000000004</v>
      </c>
      <c r="G45">
        <v>9632</v>
      </c>
      <c r="H45">
        <v>224</v>
      </c>
      <c r="I45">
        <v>2</v>
      </c>
      <c r="J45">
        <v>2</v>
      </c>
      <c r="K45">
        <v>4.8125599999999995</v>
      </c>
      <c r="M45">
        <v>9632</v>
      </c>
      <c r="N45">
        <v>224</v>
      </c>
      <c r="O45">
        <v>2</v>
      </c>
      <c r="P45">
        <v>2</v>
      </c>
      <c r="Q45">
        <v>6.3280799999999999</v>
      </c>
      <c r="S45">
        <v>9632</v>
      </c>
      <c r="T45">
        <v>224</v>
      </c>
      <c r="U45" s="20">
        <v>2</v>
      </c>
      <c r="V45" s="20">
        <v>2</v>
      </c>
      <c r="W45" s="23">
        <v>3.2835000000000001</v>
      </c>
      <c r="Y45">
        <v>9632</v>
      </c>
      <c r="Z45">
        <f t="shared" si="0"/>
        <v>9792</v>
      </c>
      <c r="AA45">
        <v>224</v>
      </c>
      <c r="AB45">
        <v>2</v>
      </c>
      <c r="AC45">
        <v>2</v>
      </c>
      <c r="AD45">
        <v>4.8125599999999995</v>
      </c>
      <c r="AF45">
        <v>9632</v>
      </c>
      <c r="AG45">
        <f t="shared" si="1"/>
        <v>9792</v>
      </c>
      <c r="AH45">
        <v>224</v>
      </c>
      <c r="AI45">
        <v>2</v>
      </c>
      <c r="AJ45">
        <v>2</v>
      </c>
      <c r="AK45">
        <v>6.3280799999999999</v>
      </c>
    </row>
    <row r="46" spans="1:37" x14ac:dyDescent="0.25">
      <c r="A46">
        <v>8704</v>
      </c>
      <c r="B46">
        <v>256</v>
      </c>
      <c r="C46">
        <v>1</v>
      </c>
      <c r="D46">
        <v>4</v>
      </c>
      <c r="E46">
        <v>4.4995400000000005</v>
      </c>
      <c r="G46">
        <v>8704</v>
      </c>
      <c r="H46">
        <v>256</v>
      </c>
      <c r="I46">
        <v>1</v>
      </c>
      <c r="J46">
        <v>4</v>
      </c>
      <c r="K46">
        <v>4.8125599999999995</v>
      </c>
      <c r="M46">
        <v>8704</v>
      </c>
      <c r="N46">
        <v>256</v>
      </c>
      <c r="O46">
        <v>1</v>
      </c>
      <c r="P46">
        <v>4</v>
      </c>
      <c r="Q46">
        <v>5.9102200000000007</v>
      </c>
      <c r="S46">
        <v>8704</v>
      </c>
      <c r="T46">
        <v>256</v>
      </c>
      <c r="U46" s="20">
        <v>1</v>
      </c>
      <c r="V46" s="20">
        <v>4</v>
      </c>
      <c r="W46" s="23">
        <v>3.3663600000000002</v>
      </c>
      <c r="Y46">
        <v>8704</v>
      </c>
      <c r="Z46">
        <f t="shared" si="0"/>
        <v>8768</v>
      </c>
      <c r="AA46">
        <v>256</v>
      </c>
      <c r="AB46">
        <v>1</v>
      </c>
      <c r="AC46">
        <v>4</v>
      </c>
      <c r="AD46">
        <v>4.8125599999999995</v>
      </c>
      <c r="AF46">
        <v>8704</v>
      </c>
      <c r="AG46">
        <f t="shared" si="1"/>
        <v>8768</v>
      </c>
      <c r="AH46">
        <v>256</v>
      </c>
      <c r="AI46">
        <v>1</v>
      </c>
      <c r="AJ46">
        <v>4</v>
      </c>
      <c r="AK46">
        <v>5.9102200000000007</v>
      </c>
    </row>
    <row r="47" spans="1:37" x14ac:dyDescent="0.25">
      <c r="A47">
        <v>9216</v>
      </c>
      <c r="B47">
        <v>256</v>
      </c>
      <c r="C47">
        <v>1</v>
      </c>
      <c r="D47">
        <v>4</v>
      </c>
      <c r="E47">
        <v>4.5158800000000001</v>
      </c>
      <c r="G47">
        <v>9216</v>
      </c>
      <c r="H47">
        <v>256</v>
      </c>
      <c r="I47">
        <v>1</v>
      </c>
      <c r="J47">
        <v>4</v>
      </c>
      <c r="K47">
        <v>4.5186799999999998</v>
      </c>
      <c r="M47">
        <v>9216</v>
      </c>
      <c r="N47">
        <v>256</v>
      </c>
      <c r="O47">
        <v>1</v>
      </c>
      <c r="P47">
        <v>4</v>
      </c>
      <c r="Q47">
        <v>5.9939400000000003</v>
      </c>
      <c r="S47">
        <v>9216</v>
      </c>
      <c r="T47">
        <v>256</v>
      </c>
      <c r="U47" s="20">
        <v>1</v>
      </c>
      <c r="V47" s="20">
        <v>4</v>
      </c>
      <c r="W47" s="23">
        <v>3.5074599999999996</v>
      </c>
      <c r="Y47">
        <v>9216</v>
      </c>
      <c r="Z47">
        <f t="shared" si="0"/>
        <v>9280</v>
      </c>
      <c r="AA47">
        <v>256</v>
      </c>
      <c r="AB47">
        <v>1</v>
      </c>
      <c r="AC47">
        <v>4</v>
      </c>
      <c r="AD47">
        <v>4.5186799999999998</v>
      </c>
      <c r="AF47">
        <v>9216</v>
      </c>
      <c r="AG47">
        <f t="shared" si="1"/>
        <v>9280</v>
      </c>
      <c r="AH47">
        <v>256</v>
      </c>
      <c r="AI47">
        <v>1</v>
      </c>
      <c r="AJ47">
        <v>4</v>
      </c>
      <c r="AK47">
        <v>5.9939400000000003</v>
      </c>
    </row>
    <row r="48" spans="1:37" x14ac:dyDescent="0.25">
      <c r="A48">
        <v>9728</v>
      </c>
      <c r="B48">
        <v>256</v>
      </c>
      <c r="C48">
        <v>1</v>
      </c>
      <c r="D48">
        <v>4</v>
      </c>
      <c r="E48">
        <v>4.5907799999999996</v>
      </c>
      <c r="G48">
        <v>9728</v>
      </c>
      <c r="H48">
        <v>256</v>
      </c>
      <c r="I48">
        <v>1</v>
      </c>
      <c r="J48">
        <v>4</v>
      </c>
      <c r="K48">
        <v>4.5186799999999998</v>
      </c>
      <c r="M48">
        <v>9728</v>
      </c>
      <c r="N48">
        <v>256</v>
      </c>
      <c r="O48">
        <v>1</v>
      </c>
      <c r="P48">
        <v>4</v>
      </c>
      <c r="Q48">
        <v>6.0814800000000009</v>
      </c>
      <c r="S48">
        <v>9728</v>
      </c>
      <c r="T48">
        <v>256</v>
      </c>
      <c r="U48" s="20">
        <v>1</v>
      </c>
      <c r="V48" s="20">
        <v>4</v>
      </c>
      <c r="W48" s="23">
        <v>3.60276</v>
      </c>
      <c r="Y48">
        <v>9728</v>
      </c>
      <c r="Z48">
        <f t="shared" si="0"/>
        <v>9792</v>
      </c>
      <c r="AA48">
        <v>256</v>
      </c>
      <c r="AB48">
        <v>1</v>
      </c>
      <c r="AC48">
        <v>4</v>
      </c>
      <c r="AD48">
        <v>4.5186799999999998</v>
      </c>
      <c r="AF48">
        <v>9728</v>
      </c>
      <c r="AG48">
        <f t="shared" si="1"/>
        <v>9792</v>
      </c>
      <c r="AH48">
        <v>256</v>
      </c>
      <c r="AI48">
        <v>1</v>
      </c>
      <c r="AJ48">
        <v>4</v>
      </c>
      <c r="AK48">
        <v>6.0814800000000009</v>
      </c>
    </row>
    <row r="49" spans="1:37" x14ac:dyDescent="0.25">
      <c r="A49">
        <v>8704</v>
      </c>
      <c r="B49">
        <v>256</v>
      </c>
      <c r="C49">
        <v>2</v>
      </c>
      <c r="D49">
        <v>2</v>
      </c>
      <c r="E49">
        <v>4.5791199999999996</v>
      </c>
      <c r="G49">
        <v>8704</v>
      </c>
      <c r="H49">
        <v>256</v>
      </c>
      <c r="I49">
        <v>2</v>
      </c>
      <c r="J49">
        <v>2</v>
      </c>
      <c r="K49">
        <v>4.6063400000000003</v>
      </c>
      <c r="M49">
        <v>8704</v>
      </c>
      <c r="N49">
        <v>256</v>
      </c>
      <c r="O49">
        <v>2</v>
      </c>
      <c r="P49">
        <v>2</v>
      </c>
      <c r="Q49">
        <v>5.9747599999999998</v>
      </c>
      <c r="S49">
        <v>8704</v>
      </c>
      <c r="T49">
        <v>256</v>
      </c>
      <c r="U49" s="20">
        <v>2</v>
      </c>
      <c r="V49" s="20">
        <v>2</v>
      </c>
      <c r="W49" s="23">
        <v>2.79956</v>
      </c>
      <c r="Y49">
        <v>8704</v>
      </c>
      <c r="Z49">
        <f t="shared" si="0"/>
        <v>8768</v>
      </c>
      <c r="AA49">
        <v>256</v>
      </c>
      <c r="AB49">
        <v>2</v>
      </c>
      <c r="AC49">
        <v>2</v>
      </c>
      <c r="AD49">
        <v>4.6063400000000003</v>
      </c>
      <c r="AF49">
        <v>8704</v>
      </c>
      <c r="AG49">
        <f t="shared" si="1"/>
        <v>8768</v>
      </c>
      <c r="AH49">
        <v>256</v>
      </c>
      <c r="AI49">
        <v>2</v>
      </c>
      <c r="AJ49">
        <v>2</v>
      </c>
      <c r="AK49">
        <v>5.9747599999999998</v>
      </c>
    </row>
    <row r="50" spans="1:37" x14ac:dyDescent="0.25">
      <c r="A50">
        <v>9216</v>
      </c>
      <c r="B50">
        <v>256</v>
      </c>
      <c r="C50">
        <v>2</v>
      </c>
      <c r="D50">
        <v>2</v>
      </c>
      <c r="E50">
        <v>4.5643799999999999</v>
      </c>
      <c r="G50">
        <v>9216</v>
      </c>
      <c r="H50">
        <v>256</v>
      </c>
      <c r="I50">
        <v>2</v>
      </c>
      <c r="J50">
        <v>2</v>
      </c>
      <c r="K50">
        <v>4.6063400000000003</v>
      </c>
      <c r="M50">
        <v>9216</v>
      </c>
      <c r="N50">
        <v>256</v>
      </c>
      <c r="O50">
        <v>2</v>
      </c>
      <c r="P50">
        <v>2</v>
      </c>
      <c r="Q50">
        <v>6.03728</v>
      </c>
      <c r="S50">
        <v>9216</v>
      </c>
      <c r="T50">
        <v>256</v>
      </c>
      <c r="U50" s="20">
        <v>2</v>
      </c>
      <c r="V50" s="20">
        <v>2</v>
      </c>
      <c r="W50" s="23">
        <v>2.9890800000000004</v>
      </c>
      <c r="Y50">
        <v>9216</v>
      </c>
      <c r="Z50">
        <f t="shared" si="0"/>
        <v>9280</v>
      </c>
      <c r="AA50">
        <v>256</v>
      </c>
      <c r="AB50">
        <v>2</v>
      </c>
      <c r="AC50">
        <v>2</v>
      </c>
      <c r="AD50">
        <v>4.6063400000000003</v>
      </c>
      <c r="AF50">
        <v>9216</v>
      </c>
      <c r="AG50">
        <f t="shared" si="1"/>
        <v>9280</v>
      </c>
      <c r="AH50">
        <v>256</v>
      </c>
      <c r="AI50">
        <v>2</v>
      </c>
      <c r="AJ50">
        <v>2</v>
      </c>
      <c r="AK50">
        <v>6.03728</v>
      </c>
    </row>
    <row r="51" spans="1:37" x14ac:dyDescent="0.25">
      <c r="A51">
        <v>9728</v>
      </c>
      <c r="B51">
        <v>256</v>
      </c>
      <c r="C51">
        <v>2</v>
      </c>
      <c r="D51">
        <v>2</v>
      </c>
      <c r="E51">
        <v>4.5400000000000009</v>
      </c>
      <c r="G51">
        <v>9728</v>
      </c>
      <c r="H51">
        <v>256</v>
      </c>
      <c r="I51">
        <v>2</v>
      </c>
      <c r="J51">
        <v>2</v>
      </c>
      <c r="K51">
        <v>4.6688000000000001</v>
      </c>
      <c r="M51">
        <v>9728</v>
      </c>
      <c r="N51">
        <v>256</v>
      </c>
      <c r="O51">
        <v>2</v>
      </c>
      <c r="P51">
        <v>2</v>
      </c>
      <c r="Q51">
        <v>5.9237000000000002</v>
      </c>
      <c r="S51">
        <v>9728</v>
      </c>
      <c r="T51">
        <v>256</v>
      </c>
      <c r="U51" s="20">
        <v>2</v>
      </c>
      <c r="V51" s="20">
        <v>2</v>
      </c>
      <c r="W51" s="23">
        <v>3.0828999999999995</v>
      </c>
      <c r="Y51">
        <v>9728</v>
      </c>
      <c r="Z51">
        <f t="shared" si="0"/>
        <v>9792</v>
      </c>
      <c r="AA51">
        <v>256</v>
      </c>
      <c r="AB51">
        <v>2</v>
      </c>
      <c r="AC51">
        <v>2</v>
      </c>
      <c r="AD51">
        <v>4.6688000000000001</v>
      </c>
      <c r="AF51">
        <v>9728</v>
      </c>
      <c r="AG51">
        <f t="shared" si="1"/>
        <v>9792</v>
      </c>
      <c r="AH51">
        <v>256</v>
      </c>
      <c r="AI51">
        <v>2</v>
      </c>
      <c r="AJ51">
        <v>2</v>
      </c>
      <c r="AK51">
        <v>5.9237000000000002</v>
      </c>
    </row>
    <row r="52" spans="1:37" x14ac:dyDescent="0.25">
      <c r="A52">
        <v>0</v>
      </c>
      <c r="B52">
        <v>0</v>
      </c>
      <c r="C52">
        <v>0</v>
      </c>
      <c r="D52">
        <v>0</v>
      </c>
      <c r="E52">
        <v>0</v>
      </c>
      <c r="G52">
        <v>0</v>
      </c>
      <c r="H52">
        <v>0</v>
      </c>
      <c r="I52">
        <v>0</v>
      </c>
      <c r="J52">
        <v>0</v>
      </c>
      <c r="K52">
        <v>0</v>
      </c>
      <c r="M52">
        <v>0</v>
      </c>
      <c r="N52">
        <v>0</v>
      </c>
      <c r="O52">
        <v>0</v>
      </c>
      <c r="P52">
        <v>0</v>
      </c>
      <c r="Q52">
        <v>0</v>
      </c>
      <c r="S52">
        <v>0</v>
      </c>
      <c r="T52">
        <v>0</v>
      </c>
      <c r="U52" s="20">
        <v>0</v>
      </c>
      <c r="V52" s="20">
        <v>0</v>
      </c>
      <c r="W52" s="23">
        <v>0</v>
      </c>
    </row>
    <row r="53" spans="1:37" x14ac:dyDescent="0.25">
      <c r="A53">
        <v>9760</v>
      </c>
      <c r="B53">
        <v>160</v>
      </c>
      <c r="C53">
        <v>1</v>
      </c>
      <c r="D53">
        <v>4</v>
      </c>
      <c r="E53">
        <v>4.9740599999999997</v>
      </c>
      <c r="G53">
        <v>0</v>
      </c>
      <c r="H53">
        <v>0</v>
      </c>
      <c r="I53">
        <v>0</v>
      </c>
      <c r="J53">
        <v>0</v>
      </c>
      <c r="K53">
        <v>0</v>
      </c>
      <c r="M53">
        <v>0</v>
      </c>
      <c r="N53">
        <v>0</v>
      </c>
      <c r="O53">
        <v>0</v>
      </c>
      <c r="P53">
        <v>0</v>
      </c>
      <c r="Q53">
        <v>0</v>
      </c>
      <c r="S53">
        <v>0</v>
      </c>
      <c r="T53">
        <v>0</v>
      </c>
      <c r="U53" s="20">
        <v>0</v>
      </c>
      <c r="V53" s="20">
        <v>0</v>
      </c>
      <c r="W53" s="23">
        <v>0</v>
      </c>
    </row>
    <row r="54" spans="1:37" x14ac:dyDescent="0.25">
      <c r="A54">
        <v>0</v>
      </c>
      <c r="B54">
        <v>0</v>
      </c>
      <c r="C54">
        <v>0</v>
      </c>
      <c r="D54">
        <v>0</v>
      </c>
      <c r="E54">
        <v>0</v>
      </c>
      <c r="G54">
        <v>0</v>
      </c>
      <c r="H54">
        <v>0</v>
      </c>
      <c r="I54">
        <v>0</v>
      </c>
      <c r="J54">
        <v>0</v>
      </c>
      <c r="K54">
        <v>0</v>
      </c>
      <c r="M54">
        <v>0</v>
      </c>
      <c r="N54">
        <v>0</v>
      </c>
      <c r="O54">
        <v>0</v>
      </c>
      <c r="P54">
        <v>0</v>
      </c>
      <c r="Q54">
        <v>0</v>
      </c>
      <c r="S54">
        <v>0</v>
      </c>
      <c r="T54">
        <v>0</v>
      </c>
      <c r="U54" s="20">
        <v>0</v>
      </c>
      <c r="V54" s="20">
        <v>0</v>
      </c>
      <c r="W54" s="23">
        <v>0</v>
      </c>
    </row>
    <row r="55" spans="1:37" x14ac:dyDescent="0.25">
      <c r="A55">
        <v>0</v>
      </c>
      <c r="B55">
        <v>0</v>
      </c>
      <c r="C55">
        <v>0</v>
      </c>
      <c r="D55">
        <v>0</v>
      </c>
      <c r="E55">
        <v>0</v>
      </c>
      <c r="G55">
        <v>0</v>
      </c>
      <c r="H55">
        <v>0</v>
      </c>
      <c r="I55">
        <v>0</v>
      </c>
      <c r="J55">
        <v>0</v>
      </c>
      <c r="K55">
        <v>0</v>
      </c>
      <c r="M55">
        <v>0</v>
      </c>
      <c r="N55">
        <v>0</v>
      </c>
      <c r="O55">
        <v>0</v>
      </c>
      <c r="P55">
        <v>0</v>
      </c>
      <c r="Q55">
        <v>0</v>
      </c>
      <c r="S55">
        <v>0</v>
      </c>
      <c r="T55">
        <v>0</v>
      </c>
      <c r="U55" s="20">
        <v>0</v>
      </c>
      <c r="V55" s="20">
        <v>0</v>
      </c>
      <c r="W55" s="23">
        <v>0</v>
      </c>
    </row>
    <row r="56" spans="1:37" x14ac:dyDescent="0.25">
      <c r="A56">
        <v>0</v>
      </c>
      <c r="B56">
        <v>0</v>
      </c>
      <c r="C56">
        <v>0</v>
      </c>
      <c r="D56">
        <v>0</v>
      </c>
      <c r="E56">
        <v>0</v>
      </c>
      <c r="G56">
        <v>0</v>
      </c>
      <c r="H56">
        <v>0</v>
      </c>
      <c r="I56">
        <v>0</v>
      </c>
      <c r="J56">
        <v>0</v>
      </c>
      <c r="K56">
        <v>0</v>
      </c>
      <c r="M56">
        <v>0</v>
      </c>
      <c r="N56">
        <v>0</v>
      </c>
      <c r="O56">
        <v>0</v>
      </c>
      <c r="P56">
        <v>0</v>
      </c>
      <c r="Q56">
        <v>0</v>
      </c>
      <c r="S56">
        <v>0</v>
      </c>
      <c r="T56">
        <v>0</v>
      </c>
      <c r="U56" s="20">
        <v>0</v>
      </c>
      <c r="V56" s="20">
        <v>0</v>
      </c>
      <c r="W56" s="23">
        <v>0</v>
      </c>
    </row>
    <row r="57" spans="1:37" x14ac:dyDescent="0.25">
      <c r="A57">
        <v>0</v>
      </c>
      <c r="B57">
        <v>0</v>
      </c>
      <c r="C57">
        <v>0</v>
      </c>
      <c r="D57">
        <v>0</v>
      </c>
      <c r="E57">
        <v>0</v>
      </c>
      <c r="G57">
        <v>0</v>
      </c>
      <c r="H57">
        <v>0</v>
      </c>
      <c r="I57">
        <v>0</v>
      </c>
      <c r="J57">
        <v>0</v>
      </c>
      <c r="K57">
        <v>0</v>
      </c>
      <c r="M57">
        <v>0</v>
      </c>
      <c r="N57">
        <v>0</v>
      </c>
      <c r="O57">
        <v>0</v>
      </c>
      <c r="P57">
        <v>0</v>
      </c>
      <c r="Q57">
        <v>0</v>
      </c>
      <c r="S57">
        <v>0</v>
      </c>
      <c r="T57">
        <v>0</v>
      </c>
      <c r="U57" s="20">
        <v>0</v>
      </c>
      <c r="V57" s="20">
        <v>0</v>
      </c>
      <c r="W57" s="23">
        <v>0</v>
      </c>
    </row>
    <row r="58" spans="1:37" x14ac:dyDescent="0.25">
      <c r="A58">
        <v>0</v>
      </c>
      <c r="B58">
        <v>0</v>
      </c>
      <c r="C58">
        <v>0</v>
      </c>
      <c r="D58">
        <v>0</v>
      </c>
      <c r="E58">
        <v>0</v>
      </c>
      <c r="G58">
        <v>0</v>
      </c>
      <c r="H58">
        <v>0</v>
      </c>
      <c r="I58">
        <v>0</v>
      </c>
      <c r="J58">
        <v>0</v>
      </c>
      <c r="K58">
        <v>0</v>
      </c>
      <c r="M58">
        <v>0</v>
      </c>
      <c r="N58">
        <v>0</v>
      </c>
      <c r="O58">
        <v>0</v>
      </c>
      <c r="P58">
        <v>0</v>
      </c>
      <c r="Q58">
        <v>0</v>
      </c>
      <c r="S58">
        <v>0</v>
      </c>
      <c r="T58">
        <v>0</v>
      </c>
      <c r="U58" s="20">
        <v>0</v>
      </c>
      <c r="V58" s="20">
        <v>0</v>
      </c>
      <c r="W58" s="23">
        <v>0</v>
      </c>
    </row>
    <row r="59" spans="1:37" x14ac:dyDescent="0.25">
      <c r="A59">
        <v>0</v>
      </c>
      <c r="B59">
        <v>0</v>
      </c>
      <c r="C59">
        <v>0</v>
      </c>
      <c r="D59">
        <v>0</v>
      </c>
      <c r="E59">
        <v>0</v>
      </c>
      <c r="G59">
        <v>0</v>
      </c>
      <c r="H59">
        <v>0</v>
      </c>
      <c r="I59">
        <v>0</v>
      </c>
      <c r="J59">
        <v>0</v>
      </c>
      <c r="K59">
        <v>0</v>
      </c>
      <c r="M59">
        <v>0</v>
      </c>
      <c r="N59">
        <v>0</v>
      </c>
      <c r="O59">
        <v>0</v>
      </c>
      <c r="P59">
        <v>0</v>
      </c>
      <c r="Q59">
        <v>0</v>
      </c>
      <c r="S59">
        <v>0</v>
      </c>
      <c r="T59">
        <v>0</v>
      </c>
      <c r="U59" s="20">
        <v>0</v>
      </c>
      <c r="V59" s="20">
        <v>0</v>
      </c>
      <c r="W59" s="23">
        <v>0</v>
      </c>
    </row>
    <row r="60" spans="1:37" x14ac:dyDescent="0.25">
      <c r="A60">
        <v>0</v>
      </c>
      <c r="B60">
        <v>0</v>
      </c>
      <c r="C60">
        <v>0</v>
      </c>
      <c r="D60">
        <v>0</v>
      </c>
      <c r="E60">
        <v>0</v>
      </c>
      <c r="G60">
        <v>0</v>
      </c>
      <c r="H60">
        <v>0</v>
      </c>
      <c r="I60">
        <v>0</v>
      </c>
      <c r="J60">
        <v>0</v>
      </c>
      <c r="K60">
        <v>0</v>
      </c>
      <c r="M60">
        <v>0</v>
      </c>
      <c r="N60">
        <v>0</v>
      </c>
      <c r="O60">
        <v>0</v>
      </c>
      <c r="P60">
        <v>0</v>
      </c>
      <c r="Q60">
        <v>0</v>
      </c>
      <c r="S60">
        <v>0</v>
      </c>
      <c r="T60">
        <v>0</v>
      </c>
      <c r="U60" s="20">
        <v>0</v>
      </c>
      <c r="V60" s="20">
        <v>0</v>
      </c>
      <c r="W60" s="23">
        <v>0</v>
      </c>
    </row>
    <row r="61" spans="1:37" x14ac:dyDescent="0.25">
      <c r="A61">
        <v>0</v>
      </c>
      <c r="B61">
        <v>0</v>
      </c>
      <c r="C61">
        <v>0</v>
      </c>
      <c r="D61">
        <v>0</v>
      </c>
      <c r="E61">
        <v>0</v>
      </c>
      <c r="G61">
        <v>0</v>
      </c>
      <c r="H61">
        <v>0</v>
      </c>
      <c r="I61">
        <v>0</v>
      </c>
      <c r="J61">
        <v>0</v>
      </c>
      <c r="K61">
        <v>0</v>
      </c>
      <c r="M61">
        <v>0</v>
      </c>
      <c r="N61">
        <v>0</v>
      </c>
      <c r="O61">
        <v>0</v>
      </c>
      <c r="P61">
        <v>0</v>
      </c>
      <c r="Q61">
        <v>0</v>
      </c>
      <c r="S61">
        <v>0</v>
      </c>
      <c r="T61">
        <v>0</v>
      </c>
      <c r="U61" s="20">
        <v>0</v>
      </c>
      <c r="V61" s="20">
        <v>0</v>
      </c>
      <c r="W61" s="23">
        <v>0</v>
      </c>
    </row>
    <row r="62" spans="1:37" x14ac:dyDescent="0.25">
      <c r="A62">
        <v>0</v>
      </c>
      <c r="B62">
        <v>0</v>
      </c>
      <c r="C62">
        <v>0</v>
      </c>
      <c r="D62">
        <v>0</v>
      </c>
      <c r="E62">
        <v>0</v>
      </c>
      <c r="G62">
        <v>0</v>
      </c>
      <c r="H62">
        <v>0</v>
      </c>
      <c r="I62">
        <v>0</v>
      </c>
      <c r="J62">
        <v>0</v>
      </c>
      <c r="K62">
        <v>0</v>
      </c>
      <c r="M62">
        <v>0</v>
      </c>
      <c r="N62">
        <v>0</v>
      </c>
      <c r="O62">
        <v>0</v>
      </c>
      <c r="P62">
        <v>0</v>
      </c>
      <c r="Q62">
        <v>0</v>
      </c>
      <c r="S62">
        <v>0</v>
      </c>
      <c r="T62">
        <v>0</v>
      </c>
      <c r="U62" s="20">
        <v>0</v>
      </c>
      <c r="V62" s="20">
        <v>0</v>
      </c>
      <c r="W62" s="23">
        <v>0</v>
      </c>
    </row>
    <row r="63" spans="1:37" x14ac:dyDescent="0.25">
      <c r="A63">
        <v>0</v>
      </c>
      <c r="B63">
        <v>0</v>
      </c>
      <c r="C63">
        <v>0</v>
      </c>
      <c r="D63">
        <v>0</v>
      </c>
      <c r="E63">
        <v>0</v>
      </c>
      <c r="G63">
        <v>0</v>
      </c>
      <c r="H63">
        <v>0</v>
      </c>
      <c r="I63">
        <v>0</v>
      </c>
      <c r="J63">
        <v>0</v>
      </c>
      <c r="K63">
        <v>0</v>
      </c>
      <c r="M63">
        <v>0</v>
      </c>
      <c r="N63">
        <v>0</v>
      </c>
      <c r="O63">
        <v>0</v>
      </c>
      <c r="P63">
        <v>0</v>
      </c>
      <c r="Q63">
        <v>0</v>
      </c>
      <c r="S63">
        <v>0</v>
      </c>
      <c r="T63">
        <v>0</v>
      </c>
      <c r="U63" s="20">
        <v>0</v>
      </c>
      <c r="V63" s="20">
        <v>0</v>
      </c>
      <c r="W63" s="23">
        <v>0</v>
      </c>
    </row>
    <row r="64" spans="1:37" x14ac:dyDescent="0.25">
      <c r="A64">
        <v>0</v>
      </c>
      <c r="B64">
        <v>0</v>
      </c>
      <c r="C64">
        <v>0</v>
      </c>
      <c r="D64">
        <v>0</v>
      </c>
      <c r="E64">
        <v>0</v>
      </c>
      <c r="G64">
        <v>0</v>
      </c>
      <c r="H64">
        <v>0</v>
      </c>
      <c r="I64">
        <v>0</v>
      </c>
      <c r="J64">
        <v>0</v>
      </c>
      <c r="K64">
        <v>0</v>
      </c>
      <c r="M64">
        <v>0</v>
      </c>
      <c r="N64">
        <v>0</v>
      </c>
      <c r="O64">
        <v>0</v>
      </c>
      <c r="P64">
        <v>0</v>
      </c>
      <c r="Q64">
        <v>0</v>
      </c>
      <c r="S64">
        <v>0</v>
      </c>
      <c r="T64">
        <v>0</v>
      </c>
      <c r="U64" s="20">
        <v>0</v>
      </c>
      <c r="V64" s="20">
        <v>0</v>
      </c>
      <c r="W64" s="23">
        <v>0</v>
      </c>
    </row>
    <row r="65" spans="1:23" x14ac:dyDescent="0.25">
      <c r="A65">
        <v>0</v>
      </c>
      <c r="B65">
        <v>0</v>
      </c>
      <c r="C65">
        <v>0</v>
      </c>
      <c r="D65">
        <v>0</v>
      </c>
      <c r="E65">
        <v>0</v>
      </c>
      <c r="G65">
        <v>0</v>
      </c>
      <c r="H65">
        <v>0</v>
      </c>
      <c r="I65">
        <v>0</v>
      </c>
      <c r="J65">
        <v>0</v>
      </c>
      <c r="K65">
        <v>0</v>
      </c>
      <c r="M65">
        <v>0</v>
      </c>
      <c r="N65">
        <v>0</v>
      </c>
      <c r="O65">
        <v>0</v>
      </c>
      <c r="P65">
        <v>0</v>
      </c>
      <c r="Q65">
        <v>0</v>
      </c>
      <c r="S65">
        <v>0</v>
      </c>
      <c r="T65">
        <v>0</v>
      </c>
      <c r="U65" s="20">
        <v>0</v>
      </c>
      <c r="V65" s="20">
        <v>0</v>
      </c>
      <c r="W65" s="23">
        <v>0</v>
      </c>
    </row>
    <row r="66" spans="1:23" x14ac:dyDescent="0.25">
      <c r="A66">
        <v>0</v>
      </c>
      <c r="B66">
        <v>0</v>
      </c>
      <c r="C66">
        <v>0</v>
      </c>
      <c r="D66">
        <v>0</v>
      </c>
      <c r="E66">
        <v>0</v>
      </c>
      <c r="G66">
        <v>0</v>
      </c>
      <c r="H66">
        <v>0</v>
      </c>
      <c r="I66">
        <v>0</v>
      </c>
      <c r="J66">
        <v>0</v>
      </c>
      <c r="K66">
        <v>0</v>
      </c>
      <c r="M66">
        <v>0</v>
      </c>
      <c r="N66">
        <v>0</v>
      </c>
      <c r="O66">
        <v>0</v>
      </c>
      <c r="P66">
        <v>0</v>
      </c>
      <c r="Q66">
        <v>0</v>
      </c>
      <c r="S66">
        <v>0</v>
      </c>
      <c r="T66">
        <v>0</v>
      </c>
      <c r="U66" s="20">
        <v>0</v>
      </c>
      <c r="V66" s="20">
        <v>0</v>
      </c>
      <c r="W66" s="23">
        <v>0</v>
      </c>
    </row>
    <row r="67" spans="1:23" x14ac:dyDescent="0.25">
      <c r="A67">
        <v>0</v>
      </c>
      <c r="B67">
        <v>0</v>
      </c>
      <c r="C67">
        <v>0</v>
      </c>
      <c r="D67">
        <v>0</v>
      </c>
      <c r="E67">
        <v>0</v>
      </c>
      <c r="G67">
        <v>0</v>
      </c>
      <c r="H67">
        <v>0</v>
      </c>
      <c r="I67">
        <v>0</v>
      </c>
      <c r="J67">
        <v>0</v>
      </c>
      <c r="K67">
        <v>0</v>
      </c>
      <c r="M67">
        <v>0</v>
      </c>
      <c r="N67">
        <v>0</v>
      </c>
      <c r="O67">
        <v>0</v>
      </c>
      <c r="P67">
        <v>0</v>
      </c>
      <c r="Q67">
        <v>0</v>
      </c>
      <c r="S67">
        <v>0</v>
      </c>
      <c r="T67">
        <v>0</v>
      </c>
      <c r="U67" s="20">
        <v>0</v>
      </c>
      <c r="V67" s="20">
        <v>0</v>
      </c>
      <c r="W67" s="23">
        <v>0</v>
      </c>
    </row>
    <row r="68" spans="1:23" x14ac:dyDescent="0.25">
      <c r="A68">
        <v>0</v>
      </c>
      <c r="B68">
        <v>0</v>
      </c>
      <c r="C68">
        <v>0</v>
      </c>
      <c r="D68">
        <v>0</v>
      </c>
      <c r="E68">
        <v>0</v>
      </c>
      <c r="G68">
        <v>0</v>
      </c>
      <c r="H68">
        <v>0</v>
      </c>
      <c r="I68">
        <v>0</v>
      </c>
      <c r="J68">
        <v>0</v>
      </c>
      <c r="K68">
        <v>0</v>
      </c>
      <c r="M68">
        <v>0</v>
      </c>
      <c r="N68">
        <v>0</v>
      </c>
      <c r="O68">
        <v>0</v>
      </c>
      <c r="P68">
        <v>0</v>
      </c>
      <c r="Q68">
        <v>0</v>
      </c>
      <c r="S68">
        <v>0</v>
      </c>
      <c r="T68">
        <v>0</v>
      </c>
      <c r="U68" s="20">
        <v>0</v>
      </c>
      <c r="V68" s="20">
        <v>0</v>
      </c>
      <c r="W68" s="23">
        <v>0</v>
      </c>
    </row>
    <row r="69" spans="1:23" x14ac:dyDescent="0.25">
      <c r="A69">
        <v>0</v>
      </c>
      <c r="B69">
        <v>0</v>
      </c>
      <c r="C69">
        <v>0</v>
      </c>
      <c r="D69">
        <v>0</v>
      </c>
      <c r="E69">
        <v>0</v>
      </c>
      <c r="G69">
        <v>0</v>
      </c>
      <c r="H69">
        <v>0</v>
      </c>
      <c r="I69">
        <v>0</v>
      </c>
      <c r="J69">
        <v>0</v>
      </c>
      <c r="K69">
        <v>0</v>
      </c>
      <c r="M69">
        <v>0</v>
      </c>
      <c r="N69">
        <v>0</v>
      </c>
      <c r="O69">
        <v>0</v>
      </c>
      <c r="P69">
        <v>0</v>
      </c>
      <c r="Q69">
        <v>0</v>
      </c>
      <c r="S69">
        <v>0</v>
      </c>
      <c r="T69">
        <v>0</v>
      </c>
      <c r="U69" s="20">
        <v>0</v>
      </c>
      <c r="V69" s="20">
        <v>0</v>
      </c>
      <c r="W69" s="23">
        <v>0</v>
      </c>
    </row>
    <row r="70" spans="1:23" x14ac:dyDescent="0.25">
      <c r="A70">
        <v>0</v>
      </c>
      <c r="B70">
        <v>0</v>
      </c>
      <c r="C70">
        <v>0</v>
      </c>
      <c r="D70">
        <v>0</v>
      </c>
      <c r="E70">
        <v>0</v>
      </c>
      <c r="G70">
        <v>0</v>
      </c>
      <c r="H70">
        <v>0</v>
      </c>
      <c r="I70">
        <v>0</v>
      </c>
      <c r="J70">
        <v>0</v>
      </c>
      <c r="K70">
        <v>0</v>
      </c>
      <c r="M70">
        <v>0</v>
      </c>
      <c r="N70">
        <v>0</v>
      </c>
      <c r="O70">
        <v>0</v>
      </c>
      <c r="P70">
        <v>0</v>
      </c>
      <c r="Q70">
        <v>0</v>
      </c>
      <c r="S70">
        <v>0</v>
      </c>
      <c r="T70">
        <v>0</v>
      </c>
      <c r="U70" s="20">
        <v>0</v>
      </c>
      <c r="V70" s="20">
        <v>0</v>
      </c>
      <c r="W70" s="23">
        <v>0</v>
      </c>
    </row>
    <row r="71" spans="1:23" x14ac:dyDescent="0.25">
      <c r="A71">
        <v>0</v>
      </c>
      <c r="B71">
        <v>0</v>
      </c>
      <c r="C71">
        <v>0</v>
      </c>
      <c r="D71">
        <v>0</v>
      </c>
      <c r="E71">
        <v>0</v>
      </c>
      <c r="G71">
        <v>0</v>
      </c>
      <c r="H71">
        <v>0</v>
      </c>
      <c r="I71">
        <v>0</v>
      </c>
      <c r="J71">
        <v>0</v>
      </c>
      <c r="K71">
        <v>0</v>
      </c>
      <c r="M71">
        <v>0</v>
      </c>
      <c r="N71">
        <v>0</v>
      </c>
      <c r="O71">
        <v>0</v>
      </c>
      <c r="P71">
        <v>0</v>
      </c>
      <c r="Q71">
        <v>0</v>
      </c>
      <c r="S71">
        <v>0</v>
      </c>
      <c r="T71">
        <v>0</v>
      </c>
      <c r="U71" s="20">
        <v>0</v>
      </c>
      <c r="V71" s="20">
        <v>0</v>
      </c>
      <c r="W71" s="23">
        <v>0</v>
      </c>
    </row>
    <row r="72" spans="1:23" x14ac:dyDescent="0.25">
      <c r="A72">
        <v>0</v>
      </c>
      <c r="B72">
        <v>0</v>
      </c>
      <c r="C72">
        <v>0</v>
      </c>
      <c r="D72">
        <v>0</v>
      </c>
      <c r="E72">
        <v>0</v>
      </c>
      <c r="G72">
        <v>0</v>
      </c>
      <c r="H72">
        <v>0</v>
      </c>
      <c r="I72">
        <v>0</v>
      </c>
      <c r="J72">
        <v>0</v>
      </c>
      <c r="K72">
        <v>0</v>
      </c>
      <c r="M72">
        <v>0</v>
      </c>
      <c r="N72">
        <v>0</v>
      </c>
      <c r="O72">
        <v>0</v>
      </c>
      <c r="P72">
        <v>0</v>
      </c>
      <c r="Q72">
        <v>0</v>
      </c>
      <c r="S72">
        <v>0</v>
      </c>
      <c r="T72">
        <v>0</v>
      </c>
      <c r="U72" s="20">
        <v>0</v>
      </c>
      <c r="V72" s="20">
        <v>0</v>
      </c>
      <c r="W72" s="23">
        <v>0</v>
      </c>
    </row>
    <row r="73" spans="1:23" x14ac:dyDescent="0.25">
      <c r="A73">
        <v>0</v>
      </c>
      <c r="B73">
        <v>0</v>
      </c>
      <c r="C73">
        <v>0</v>
      </c>
      <c r="D73">
        <v>0</v>
      </c>
      <c r="E73">
        <v>0</v>
      </c>
      <c r="G73">
        <v>0</v>
      </c>
      <c r="H73">
        <v>0</v>
      </c>
      <c r="I73">
        <v>0</v>
      </c>
      <c r="J73">
        <v>0</v>
      </c>
      <c r="K73">
        <v>0</v>
      </c>
      <c r="M73">
        <v>0</v>
      </c>
      <c r="N73">
        <v>0</v>
      </c>
      <c r="O73">
        <v>0</v>
      </c>
      <c r="P73">
        <v>0</v>
      </c>
      <c r="Q73">
        <v>0</v>
      </c>
      <c r="S73">
        <v>0</v>
      </c>
      <c r="T73">
        <v>0</v>
      </c>
      <c r="U73" s="20">
        <v>0</v>
      </c>
      <c r="V73" s="20">
        <v>0</v>
      </c>
      <c r="W73" s="23">
        <v>0</v>
      </c>
    </row>
    <row r="74" spans="1:23" x14ac:dyDescent="0.25">
      <c r="A74">
        <v>0</v>
      </c>
      <c r="B74">
        <v>0</v>
      </c>
      <c r="C74">
        <v>0</v>
      </c>
      <c r="D74">
        <v>0</v>
      </c>
      <c r="E74">
        <v>0</v>
      </c>
      <c r="G74">
        <v>0</v>
      </c>
      <c r="H74">
        <v>0</v>
      </c>
      <c r="I74">
        <v>0</v>
      </c>
      <c r="J74">
        <v>0</v>
      </c>
      <c r="K74">
        <v>0</v>
      </c>
      <c r="M74">
        <v>0</v>
      </c>
      <c r="N74">
        <v>0</v>
      </c>
      <c r="O74">
        <v>0</v>
      </c>
      <c r="P74">
        <v>0</v>
      </c>
      <c r="Q74">
        <v>0</v>
      </c>
      <c r="S74">
        <v>0</v>
      </c>
      <c r="T74">
        <v>0</v>
      </c>
      <c r="U74" s="20">
        <v>0</v>
      </c>
      <c r="V74" s="20">
        <v>0</v>
      </c>
      <c r="W74" s="23">
        <v>0</v>
      </c>
    </row>
    <row r="75" spans="1:23" x14ac:dyDescent="0.25">
      <c r="A75">
        <v>0</v>
      </c>
      <c r="B75">
        <v>0</v>
      </c>
      <c r="C75">
        <v>0</v>
      </c>
      <c r="D75">
        <v>0</v>
      </c>
      <c r="E75">
        <v>0</v>
      </c>
      <c r="G75">
        <v>0</v>
      </c>
      <c r="H75">
        <v>0</v>
      </c>
      <c r="I75">
        <v>0</v>
      </c>
      <c r="J75">
        <v>0</v>
      </c>
      <c r="K75">
        <v>0</v>
      </c>
      <c r="M75">
        <v>0</v>
      </c>
      <c r="N75">
        <v>0</v>
      </c>
      <c r="O75">
        <v>0</v>
      </c>
      <c r="P75">
        <v>0</v>
      </c>
      <c r="Q75">
        <v>0</v>
      </c>
      <c r="S75">
        <v>0</v>
      </c>
      <c r="T75">
        <v>0</v>
      </c>
      <c r="U75" s="20">
        <v>0</v>
      </c>
      <c r="V75" s="20">
        <v>0</v>
      </c>
      <c r="W75" s="23">
        <v>0</v>
      </c>
    </row>
    <row r="76" spans="1:23" x14ac:dyDescent="0.25">
      <c r="A76">
        <v>0</v>
      </c>
      <c r="B76">
        <v>0</v>
      </c>
      <c r="C76">
        <v>0</v>
      </c>
      <c r="D76">
        <v>0</v>
      </c>
      <c r="E76">
        <v>0</v>
      </c>
      <c r="G76">
        <v>0</v>
      </c>
      <c r="H76">
        <v>0</v>
      </c>
      <c r="I76">
        <v>0</v>
      </c>
      <c r="J76">
        <v>0</v>
      </c>
      <c r="K76">
        <v>0</v>
      </c>
      <c r="M76">
        <v>0</v>
      </c>
      <c r="N76">
        <v>0</v>
      </c>
      <c r="O76">
        <v>0</v>
      </c>
      <c r="P76">
        <v>0</v>
      </c>
      <c r="Q76">
        <v>0</v>
      </c>
      <c r="S76">
        <v>0</v>
      </c>
      <c r="T76">
        <v>0</v>
      </c>
      <c r="U76" s="20">
        <v>0</v>
      </c>
      <c r="V76" s="20">
        <v>0</v>
      </c>
      <c r="W76" s="23">
        <v>0</v>
      </c>
    </row>
    <row r="77" spans="1:23" x14ac:dyDescent="0.25">
      <c r="A77">
        <v>0</v>
      </c>
      <c r="B77">
        <v>0</v>
      </c>
      <c r="C77">
        <v>0</v>
      </c>
      <c r="D77">
        <v>0</v>
      </c>
      <c r="E77">
        <v>0</v>
      </c>
      <c r="G77">
        <v>0</v>
      </c>
      <c r="H77">
        <v>0</v>
      </c>
      <c r="I77">
        <v>0</v>
      </c>
      <c r="J77">
        <v>0</v>
      </c>
      <c r="K77">
        <v>0</v>
      </c>
      <c r="M77">
        <v>0</v>
      </c>
      <c r="N77">
        <v>0</v>
      </c>
      <c r="O77">
        <v>0</v>
      </c>
      <c r="P77">
        <v>0</v>
      </c>
      <c r="Q77">
        <v>0</v>
      </c>
      <c r="S77">
        <v>0</v>
      </c>
      <c r="T77">
        <v>0</v>
      </c>
      <c r="U77" s="20">
        <v>0</v>
      </c>
      <c r="V77" s="20">
        <v>0</v>
      </c>
      <c r="W77" s="23">
        <v>0</v>
      </c>
    </row>
    <row r="78" spans="1:23" x14ac:dyDescent="0.25">
      <c r="A78">
        <v>0</v>
      </c>
      <c r="B78">
        <v>0</v>
      </c>
      <c r="C78">
        <v>0</v>
      </c>
      <c r="D78">
        <v>0</v>
      </c>
      <c r="E78">
        <v>0</v>
      </c>
      <c r="G78">
        <v>0</v>
      </c>
      <c r="H78">
        <v>0</v>
      </c>
      <c r="I78">
        <v>0</v>
      </c>
      <c r="J78">
        <v>0</v>
      </c>
      <c r="K78">
        <v>0</v>
      </c>
      <c r="M78">
        <v>0</v>
      </c>
      <c r="N78">
        <v>0</v>
      </c>
      <c r="O78">
        <v>0</v>
      </c>
      <c r="P78">
        <v>0</v>
      </c>
      <c r="Q78">
        <v>0</v>
      </c>
      <c r="S78">
        <v>0</v>
      </c>
      <c r="T78">
        <v>0</v>
      </c>
      <c r="U78" s="20">
        <v>0</v>
      </c>
      <c r="V78" s="20">
        <v>0</v>
      </c>
      <c r="W78" s="23">
        <v>0</v>
      </c>
    </row>
    <row r="79" spans="1:23" x14ac:dyDescent="0.25">
      <c r="A79">
        <v>0</v>
      </c>
      <c r="B79">
        <v>0</v>
      </c>
      <c r="C79">
        <v>0</v>
      </c>
      <c r="D79">
        <v>0</v>
      </c>
      <c r="E79">
        <v>0</v>
      </c>
      <c r="G79">
        <v>0</v>
      </c>
      <c r="H79">
        <v>0</v>
      </c>
      <c r="I79">
        <v>0</v>
      </c>
      <c r="J79">
        <v>0</v>
      </c>
      <c r="K79">
        <v>0</v>
      </c>
      <c r="M79">
        <v>0</v>
      </c>
      <c r="N79">
        <v>0</v>
      </c>
      <c r="O79">
        <v>0</v>
      </c>
      <c r="P79">
        <v>0</v>
      </c>
      <c r="Q79">
        <v>0</v>
      </c>
      <c r="S79">
        <v>0</v>
      </c>
      <c r="T79">
        <v>0</v>
      </c>
      <c r="U79" s="20">
        <v>0</v>
      </c>
      <c r="V79" s="20">
        <v>0</v>
      </c>
      <c r="W79" s="23">
        <v>0</v>
      </c>
    </row>
    <row r="80" spans="1:23" x14ac:dyDescent="0.25">
      <c r="A80">
        <v>0</v>
      </c>
      <c r="B80">
        <v>0</v>
      </c>
      <c r="C80">
        <v>0</v>
      </c>
      <c r="D80">
        <v>0</v>
      </c>
      <c r="E80">
        <v>0</v>
      </c>
      <c r="G80">
        <v>0</v>
      </c>
      <c r="H80">
        <v>0</v>
      </c>
      <c r="I80">
        <v>0</v>
      </c>
      <c r="J80">
        <v>0</v>
      </c>
      <c r="K80">
        <v>0</v>
      </c>
      <c r="M80">
        <v>0</v>
      </c>
      <c r="N80">
        <v>0</v>
      </c>
      <c r="O80">
        <v>0</v>
      </c>
      <c r="P80">
        <v>0</v>
      </c>
      <c r="Q80">
        <v>0</v>
      </c>
      <c r="S80">
        <v>0</v>
      </c>
      <c r="T80">
        <v>0</v>
      </c>
      <c r="U80" s="20">
        <v>0</v>
      </c>
      <c r="V80" s="20">
        <v>0</v>
      </c>
      <c r="W80" s="23">
        <v>0</v>
      </c>
    </row>
    <row r="81" spans="1:23" x14ac:dyDescent="0.25">
      <c r="A81">
        <v>0</v>
      </c>
      <c r="B81">
        <v>0</v>
      </c>
      <c r="C81">
        <v>0</v>
      </c>
      <c r="D81">
        <v>0</v>
      </c>
      <c r="E81">
        <v>0</v>
      </c>
      <c r="G81">
        <v>0</v>
      </c>
      <c r="H81">
        <v>0</v>
      </c>
      <c r="I81">
        <v>0</v>
      </c>
      <c r="J81">
        <v>0</v>
      </c>
      <c r="K81">
        <v>0</v>
      </c>
      <c r="M81">
        <v>0</v>
      </c>
      <c r="N81">
        <v>0</v>
      </c>
      <c r="O81">
        <v>0</v>
      </c>
      <c r="P81">
        <v>0</v>
      </c>
      <c r="Q81">
        <v>0</v>
      </c>
      <c r="S81">
        <v>0</v>
      </c>
      <c r="T81">
        <v>0</v>
      </c>
      <c r="U81" s="20">
        <v>0</v>
      </c>
      <c r="V81" s="20">
        <v>0</v>
      </c>
      <c r="W81" s="23">
        <v>0</v>
      </c>
    </row>
    <row r="82" spans="1:23" x14ac:dyDescent="0.25">
      <c r="A82">
        <v>0</v>
      </c>
      <c r="B82">
        <v>0</v>
      </c>
      <c r="C82">
        <v>0</v>
      </c>
      <c r="D82">
        <v>0</v>
      </c>
      <c r="E82">
        <v>0</v>
      </c>
      <c r="G82">
        <v>0</v>
      </c>
      <c r="H82">
        <v>0</v>
      </c>
      <c r="I82">
        <v>0</v>
      </c>
      <c r="J82">
        <v>0</v>
      </c>
      <c r="K82">
        <v>0</v>
      </c>
      <c r="M82">
        <v>0</v>
      </c>
      <c r="N82">
        <v>0</v>
      </c>
      <c r="O82">
        <v>0</v>
      </c>
      <c r="P82">
        <v>0</v>
      </c>
      <c r="Q82">
        <v>0</v>
      </c>
      <c r="S82">
        <v>0</v>
      </c>
      <c r="T82">
        <v>0</v>
      </c>
      <c r="U82" s="20">
        <v>0</v>
      </c>
      <c r="V82" s="20">
        <v>0</v>
      </c>
      <c r="W82" s="23">
        <v>0</v>
      </c>
    </row>
    <row r="83" spans="1:23" x14ac:dyDescent="0.25">
      <c r="A83">
        <v>0</v>
      </c>
      <c r="B83">
        <v>0</v>
      </c>
      <c r="C83">
        <v>0</v>
      </c>
      <c r="D83">
        <v>0</v>
      </c>
      <c r="E83">
        <v>0</v>
      </c>
      <c r="G83">
        <v>0</v>
      </c>
      <c r="H83">
        <v>0</v>
      </c>
      <c r="I83">
        <v>0</v>
      </c>
      <c r="J83">
        <v>0</v>
      </c>
      <c r="K83">
        <v>0</v>
      </c>
      <c r="M83">
        <v>0</v>
      </c>
      <c r="N83">
        <v>0</v>
      </c>
      <c r="O83">
        <v>0</v>
      </c>
      <c r="P83">
        <v>0</v>
      </c>
      <c r="Q83">
        <v>0</v>
      </c>
      <c r="S83">
        <v>0</v>
      </c>
      <c r="T83">
        <v>0</v>
      </c>
      <c r="U83" s="20">
        <v>0</v>
      </c>
      <c r="V83" s="20">
        <v>0</v>
      </c>
      <c r="W83" s="23">
        <v>0</v>
      </c>
    </row>
    <row r="84" spans="1:23" x14ac:dyDescent="0.25">
      <c r="A84">
        <v>0</v>
      </c>
      <c r="B84">
        <v>0</v>
      </c>
      <c r="C84">
        <v>0</v>
      </c>
      <c r="D84">
        <v>0</v>
      </c>
      <c r="E84">
        <v>0</v>
      </c>
      <c r="G84">
        <v>0</v>
      </c>
      <c r="H84">
        <v>0</v>
      </c>
      <c r="I84">
        <v>0</v>
      </c>
      <c r="J84">
        <v>0</v>
      </c>
      <c r="K84">
        <v>0</v>
      </c>
      <c r="M84">
        <v>0</v>
      </c>
      <c r="N84">
        <v>0</v>
      </c>
      <c r="O84">
        <v>0</v>
      </c>
      <c r="P84">
        <v>0</v>
      </c>
      <c r="Q84">
        <v>0</v>
      </c>
      <c r="S84">
        <v>0</v>
      </c>
      <c r="T84">
        <v>0</v>
      </c>
      <c r="U84" s="20">
        <v>0</v>
      </c>
      <c r="V84" s="20">
        <v>0</v>
      </c>
      <c r="W84" s="23">
        <v>0</v>
      </c>
    </row>
    <row r="85" spans="1:23" x14ac:dyDescent="0.25">
      <c r="A85">
        <v>0</v>
      </c>
      <c r="B85">
        <v>0</v>
      </c>
      <c r="C85">
        <v>0</v>
      </c>
      <c r="D85">
        <v>0</v>
      </c>
      <c r="E85">
        <v>0</v>
      </c>
      <c r="G85">
        <v>0</v>
      </c>
      <c r="H85">
        <v>0</v>
      </c>
      <c r="I85">
        <v>0</v>
      </c>
      <c r="J85">
        <v>0</v>
      </c>
      <c r="K85">
        <v>0</v>
      </c>
      <c r="M85">
        <v>0</v>
      </c>
      <c r="N85">
        <v>0</v>
      </c>
      <c r="O85">
        <v>0</v>
      </c>
      <c r="P85">
        <v>0</v>
      </c>
      <c r="Q85">
        <v>0</v>
      </c>
      <c r="S85">
        <v>0</v>
      </c>
      <c r="T85">
        <v>0</v>
      </c>
      <c r="U85" s="20">
        <v>0</v>
      </c>
      <c r="V85" s="20">
        <v>0</v>
      </c>
      <c r="W85" s="23">
        <v>0</v>
      </c>
    </row>
    <row r="86" spans="1:23" x14ac:dyDescent="0.25">
      <c r="A86">
        <v>0</v>
      </c>
      <c r="B86">
        <v>0</v>
      </c>
      <c r="C86">
        <v>0</v>
      </c>
      <c r="D86">
        <v>0</v>
      </c>
      <c r="E86">
        <v>0</v>
      </c>
      <c r="G86">
        <v>0</v>
      </c>
      <c r="H86">
        <v>0</v>
      </c>
      <c r="I86">
        <v>0</v>
      </c>
      <c r="J86">
        <v>0</v>
      </c>
      <c r="K86">
        <v>0</v>
      </c>
      <c r="M86">
        <v>0</v>
      </c>
      <c r="N86">
        <v>0</v>
      </c>
      <c r="O86">
        <v>0</v>
      </c>
      <c r="P86">
        <v>0</v>
      </c>
      <c r="Q86">
        <v>0</v>
      </c>
      <c r="S86">
        <v>0</v>
      </c>
      <c r="T86">
        <v>0</v>
      </c>
      <c r="U86" s="20">
        <v>0</v>
      </c>
      <c r="V86" s="20">
        <v>0</v>
      </c>
      <c r="W86" s="23">
        <v>0</v>
      </c>
    </row>
    <row r="87" spans="1:23" x14ac:dyDescent="0.25">
      <c r="A87">
        <v>0</v>
      </c>
      <c r="B87">
        <v>0</v>
      </c>
      <c r="C87">
        <v>0</v>
      </c>
      <c r="D87">
        <v>0</v>
      </c>
      <c r="E87">
        <v>0</v>
      </c>
      <c r="G87">
        <v>0</v>
      </c>
      <c r="H87">
        <v>0</v>
      </c>
      <c r="I87">
        <v>0</v>
      </c>
      <c r="J87">
        <v>0</v>
      </c>
      <c r="K87">
        <v>0</v>
      </c>
      <c r="M87">
        <v>0</v>
      </c>
      <c r="N87">
        <v>0</v>
      </c>
      <c r="O87">
        <v>0</v>
      </c>
      <c r="P87">
        <v>0</v>
      </c>
      <c r="Q87">
        <v>0</v>
      </c>
      <c r="S87">
        <v>0</v>
      </c>
      <c r="T87">
        <v>0</v>
      </c>
      <c r="U87" s="20">
        <v>0</v>
      </c>
      <c r="V87" s="20">
        <v>0</v>
      </c>
      <c r="W87" s="23">
        <v>0</v>
      </c>
    </row>
    <row r="88" spans="1:23" x14ac:dyDescent="0.25">
      <c r="A88">
        <v>0</v>
      </c>
      <c r="B88">
        <v>0</v>
      </c>
      <c r="C88">
        <v>0</v>
      </c>
      <c r="D88">
        <v>0</v>
      </c>
      <c r="E88">
        <v>0</v>
      </c>
      <c r="G88">
        <v>0</v>
      </c>
      <c r="H88">
        <v>0</v>
      </c>
      <c r="I88">
        <v>0</v>
      </c>
      <c r="J88">
        <v>0</v>
      </c>
      <c r="K88">
        <v>0</v>
      </c>
      <c r="M88">
        <v>0</v>
      </c>
      <c r="N88">
        <v>0</v>
      </c>
      <c r="O88">
        <v>0</v>
      </c>
      <c r="P88">
        <v>0</v>
      </c>
      <c r="Q88">
        <v>0</v>
      </c>
      <c r="S88">
        <v>0</v>
      </c>
      <c r="T88">
        <v>0</v>
      </c>
      <c r="U88" s="20">
        <v>0</v>
      </c>
      <c r="V88" s="20">
        <v>0</v>
      </c>
      <c r="W88" s="23">
        <v>0</v>
      </c>
    </row>
    <row r="89" spans="1:23" x14ac:dyDescent="0.25">
      <c r="A89">
        <v>0</v>
      </c>
      <c r="B89">
        <v>0</v>
      </c>
      <c r="C89">
        <v>0</v>
      </c>
      <c r="D89">
        <v>0</v>
      </c>
      <c r="E89">
        <v>0</v>
      </c>
      <c r="G89">
        <v>0</v>
      </c>
      <c r="H89">
        <v>0</v>
      </c>
      <c r="I89">
        <v>0</v>
      </c>
      <c r="J89">
        <v>0</v>
      </c>
      <c r="K89">
        <v>0</v>
      </c>
      <c r="M89">
        <v>0</v>
      </c>
      <c r="N89">
        <v>0</v>
      </c>
      <c r="O89">
        <v>0</v>
      </c>
      <c r="P89">
        <v>0</v>
      </c>
      <c r="Q89">
        <v>0</v>
      </c>
      <c r="S89">
        <v>0</v>
      </c>
      <c r="T89">
        <v>0</v>
      </c>
      <c r="U89" s="20">
        <v>0</v>
      </c>
      <c r="V89" s="20">
        <v>0</v>
      </c>
      <c r="W89" s="23">
        <v>0</v>
      </c>
    </row>
    <row r="90" spans="1:23" x14ac:dyDescent="0.25">
      <c r="A90">
        <v>0</v>
      </c>
      <c r="B90">
        <v>0</v>
      </c>
      <c r="C90">
        <v>0</v>
      </c>
      <c r="D90">
        <v>0</v>
      </c>
      <c r="E90">
        <v>0</v>
      </c>
      <c r="G90">
        <v>0</v>
      </c>
      <c r="H90">
        <v>0</v>
      </c>
      <c r="I90">
        <v>0</v>
      </c>
      <c r="J90">
        <v>0</v>
      </c>
      <c r="K90">
        <v>0</v>
      </c>
      <c r="M90">
        <v>0</v>
      </c>
      <c r="N90">
        <v>0</v>
      </c>
      <c r="O90">
        <v>0</v>
      </c>
      <c r="P90">
        <v>0</v>
      </c>
      <c r="Q90">
        <v>0</v>
      </c>
      <c r="S90">
        <v>0</v>
      </c>
      <c r="T90">
        <v>0</v>
      </c>
      <c r="U90" s="20">
        <v>0</v>
      </c>
      <c r="V90" s="20">
        <v>0</v>
      </c>
      <c r="W90" s="23">
        <v>0</v>
      </c>
    </row>
    <row r="91" spans="1:23" x14ac:dyDescent="0.25">
      <c r="A91">
        <v>0</v>
      </c>
      <c r="B91">
        <v>0</v>
      </c>
      <c r="C91">
        <v>0</v>
      </c>
      <c r="D91">
        <v>0</v>
      </c>
      <c r="E91">
        <v>0</v>
      </c>
      <c r="G91">
        <v>0</v>
      </c>
      <c r="H91">
        <v>0</v>
      </c>
      <c r="I91">
        <v>0</v>
      </c>
      <c r="J91">
        <v>0</v>
      </c>
      <c r="K91">
        <v>0</v>
      </c>
      <c r="M91">
        <v>0</v>
      </c>
      <c r="N91">
        <v>0</v>
      </c>
      <c r="O91">
        <v>0</v>
      </c>
      <c r="P91">
        <v>0</v>
      </c>
      <c r="Q91">
        <v>0</v>
      </c>
      <c r="S91">
        <v>0</v>
      </c>
      <c r="T91">
        <v>0</v>
      </c>
      <c r="U91" s="20">
        <v>0</v>
      </c>
      <c r="V91" s="20">
        <v>0</v>
      </c>
      <c r="W91" s="23">
        <v>0</v>
      </c>
    </row>
    <row r="92" spans="1:23" x14ac:dyDescent="0.25">
      <c r="A92">
        <v>0</v>
      </c>
      <c r="B92">
        <v>0</v>
      </c>
      <c r="C92">
        <v>0</v>
      </c>
      <c r="D92">
        <v>0</v>
      </c>
      <c r="E92">
        <v>0</v>
      </c>
      <c r="G92">
        <v>0</v>
      </c>
      <c r="H92">
        <v>0</v>
      </c>
      <c r="I92">
        <v>0</v>
      </c>
      <c r="J92">
        <v>0</v>
      </c>
      <c r="K92">
        <v>0</v>
      </c>
      <c r="M92">
        <v>0</v>
      </c>
      <c r="N92">
        <v>0</v>
      </c>
      <c r="O92">
        <v>0</v>
      </c>
      <c r="P92">
        <v>0</v>
      </c>
      <c r="Q92">
        <v>0</v>
      </c>
      <c r="S92">
        <v>0</v>
      </c>
      <c r="T92">
        <v>0</v>
      </c>
      <c r="U92" s="20">
        <v>0</v>
      </c>
      <c r="V92" s="20">
        <v>0</v>
      </c>
      <c r="W92" s="23">
        <v>0</v>
      </c>
    </row>
    <row r="93" spans="1:23" x14ac:dyDescent="0.25">
      <c r="A93">
        <v>0</v>
      </c>
      <c r="B93">
        <v>0</v>
      </c>
      <c r="C93">
        <v>0</v>
      </c>
      <c r="D93">
        <v>0</v>
      </c>
      <c r="E93">
        <v>0</v>
      </c>
      <c r="G93">
        <v>0</v>
      </c>
      <c r="H93">
        <v>0</v>
      </c>
      <c r="I93">
        <v>0</v>
      </c>
      <c r="J93">
        <v>0</v>
      </c>
      <c r="K93">
        <v>0</v>
      </c>
      <c r="M93">
        <v>0</v>
      </c>
      <c r="N93">
        <v>0</v>
      </c>
      <c r="O93">
        <v>0</v>
      </c>
      <c r="P93">
        <v>0</v>
      </c>
      <c r="Q93">
        <v>0</v>
      </c>
      <c r="S93">
        <v>0</v>
      </c>
      <c r="T93">
        <v>0</v>
      </c>
      <c r="U93" s="20">
        <v>0</v>
      </c>
      <c r="V93" s="20">
        <v>0</v>
      </c>
      <c r="W93" s="23">
        <v>0</v>
      </c>
    </row>
    <row r="94" spans="1:23" x14ac:dyDescent="0.25">
      <c r="A94">
        <v>0</v>
      </c>
      <c r="B94">
        <v>0</v>
      </c>
      <c r="C94">
        <v>0</v>
      </c>
      <c r="D94">
        <v>0</v>
      </c>
      <c r="E94">
        <v>0</v>
      </c>
      <c r="G94">
        <v>0</v>
      </c>
      <c r="H94">
        <v>0</v>
      </c>
      <c r="I94">
        <v>0</v>
      </c>
      <c r="J94">
        <v>0</v>
      </c>
      <c r="K94">
        <v>0</v>
      </c>
      <c r="M94">
        <v>0</v>
      </c>
      <c r="N94">
        <v>0</v>
      </c>
      <c r="O94">
        <v>0</v>
      </c>
      <c r="P94">
        <v>0</v>
      </c>
      <c r="Q94">
        <v>0</v>
      </c>
      <c r="S94">
        <v>0</v>
      </c>
      <c r="T94">
        <v>0</v>
      </c>
      <c r="U94" s="20">
        <v>0</v>
      </c>
      <c r="V94" s="20">
        <v>0</v>
      </c>
      <c r="W94" s="23">
        <v>0</v>
      </c>
    </row>
    <row r="95" spans="1:23" x14ac:dyDescent="0.25">
      <c r="A95">
        <v>0</v>
      </c>
      <c r="B95">
        <v>0</v>
      </c>
      <c r="C95">
        <v>0</v>
      </c>
      <c r="D95">
        <v>0</v>
      </c>
      <c r="E95">
        <v>0</v>
      </c>
      <c r="G95">
        <v>0</v>
      </c>
      <c r="H95">
        <v>0</v>
      </c>
      <c r="I95">
        <v>0</v>
      </c>
      <c r="J95">
        <v>0</v>
      </c>
      <c r="K95">
        <v>0</v>
      </c>
      <c r="M95">
        <v>0</v>
      </c>
      <c r="N95">
        <v>0</v>
      </c>
      <c r="O95">
        <v>0</v>
      </c>
      <c r="P95">
        <v>0</v>
      </c>
      <c r="Q95">
        <v>0</v>
      </c>
      <c r="S95">
        <v>0</v>
      </c>
      <c r="T95">
        <v>0</v>
      </c>
      <c r="U95" s="20">
        <v>0</v>
      </c>
      <c r="V95" s="20">
        <v>0</v>
      </c>
      <c r="W95" s="23">
        <v>0</v>
      </c>
    </row>
    <row r="96" spans="1:23" x14ac:dyDescent="0.25">
      <c r="A96">
        <v>0</v>
      </c>
      <c r="B96">
        <v>0</v>
      </c>
      <c r="C96">
        <v>0</v>
      </c>
      <c r="D96">
        <v>0</v>
      </c>
      <c r="E96">
        <v>0</v>
      </c>
      <c r="G96">
        <v>0</v>
      </c>
      <c r="H96">
        <v>0</v>
      </c>
      <c r="I96">
        <v>0</v>
      </c>
      <c r="J96">
        <v>0</v>
      </c>
      <c r="K96">
        <v>0</v>
      </c>
      <c r="M96">
        <v>0</v>
      </c>
      <c r="N96">
        <v>0</v>
      </c>
      <c r="O96">
        <v>0</v>
      </c>
      <c r="P96">
        <v>0</v>
      </c>
      <c r="Q96">
        <v>0</v>
      </c>
      <c r="S96">
        <v>0</v>
      </c>
      <c r="T96">
        <v>0</v>
      </c>
      <c r="U96" s="20">
        <v>0</v>
      </c>
      <c r="V96" s="20">
        <v>0</v>
      </c>
      <c r="W96" s="23">
        <v>0</v>
      </c>
    </row>
    <row r="97" spans="1:23" x14ac:dyDescent="0.25">
      <c r="A97">
        <v>0</v>
      </c>
      <c r="B97">
        <v>0</v>
      </c>
      <c r="C97">
        <v>0</v>
      </c>
      <c r="D97">
        <v>0</v>
      </c>
      <c r="E97">
        <v>0</v>
      </c>
      <c r="G97">
        <v>0</v>
      </c>
      <c r="H97">
        <v>0</v>
      </c>
      <c r="I97">
        <v>0</v>
      </c>
      <c r="J97">
        <v>0</v>
      </c>
      <c r="K97">
        <v>0</v>
      </c>
      <c r="M97">
        <v>0</v>
      </c>
      <c r="N97">
        <v>0</v>
      </c>
      <c r="O97">
        <v>0</v>
      </c>
      <c r="P97">
        <v>0</v>
      </c>
      <c r="Q97">
        <v>0</v>
      </c>
      <c r="S97">
        <v>0</v>
      </c>
      <c r="T97">
        <v>0</v>
      </c>
      <c r="U97" s="20">
        <v>0</v>
      </c>
      <c r="V97" s="20">
        <v>0</v>
      </c>
      <c r="W97" s="23">
        <v>0</v>
      </c>
    </row>
    <row r="98" spans="1:23" x14ac:dyDescent="0.25">
      <c r="A98">
        <v>0</v>
      </c>
      <c r="B98">
        <v>0</v>
      </c>
      <c r="C98">
        <v>0</v>
      </c>
      <c r="D98">
        <v>0</v>
      </c>
      <c r="E98">
        <v>0</v>
      </c>
      <c r="G98">
        <v>0</v>
      </c>
      <c r="H98">
        <v>0</v>
      </c>
      <c r="I98">
        <v>0</v>
      </c>
      <c r="J98">
        <v>0</v>
      </c>
      <c r="K98">
        <v>0</v>
      </c>
      <c r="M98">
        <v>0</v>
      </c>
      <c r="N98">
        <v>0</v>
      </c>
      <c r="O98">
        <v>0</v>
      </c>
      <c r="P98">
        <v>0</v>
      </c>
      <c r="Q98">
        <v>0</v>
      </c>
      <c r="S98">
        <v>0</v>
      </c>
      <c r="T98">
        <v>0</v>
      </c>
      <c r="U98" s="20">
        <v>0</v>
      </c>
      <c r="V98" s="20">
        <v>0</v>
      </c>
      <c r="W98" s="23">
        <v>0</v>
      </c>
    </row>
    <row r="99" spans="1:23" x14ac:dyDescent="0.25">
      <c r="A99">
        <v>0</v>
      </c>
      <c r="B99">
        <v>0</v>
      </c>
      <c r="C99">
        <v>0</v>
      </c>
      <c r="D99">
        <v>0</v>
      </c>
      <c r="E99">
        <v>0</v>
      </c>
      <c r="G99">
        <v>0</v>
      </c>
      <c r="H99">
        <v>0</v>
      </c>
      <c r="I99">
        <v>0</v>
      </c>
      <c r="J99">
        <v>0</v>
      </c>
      <c r="K99">
        <v>0</v>
      </c>
      <c r="M99">
        <v>0</v>
      </c>
      <c r="N99">
        <v>0</v>
      </c>
      <c r="O99">
        <v>0</v>
      </c>
      <c r="P99">
        <v>0</v>
      </c>
      <c r="Q99">
        <v>0</v>
      </c>
      <c r="S99">
        <v>0</v>
      </c>
      <c r="T99">
        <v>0</v>
      </c>
      <c r="U99" s="20">
        <v>0</v>
      </c>
      <c r="V99" s="20">
        <v>0</v>
      </c>
      <c r="W99" s="23">
        <v>0</v>
      </c>
    </row>
    <row r="100" spans="1:23" x14ac:dyDescent="0.25">
      <c r="A100">
        <v>0</v>
      </c>
      <c r="B100">
        <v>0</v>
      </c>
      <c r="C100">
        <v>0</v>
      </c>
      <c r="D100">
        <v>0</v>
      </c>
      <c r="E100">
        <v>0</v>
      </c>
      <c r="G100">
        <v>0</v>
      </c>
      <c r="H100">
        <v>0</v>
      </c>
      <c r="I100">
        <v>0</v>
      </c>
      <c r="J100">
        <v>0</v>
      </c>
      <c r="K100">
        <v>0</v>
      </c>
      <c r="M100">
        <v>0</v>
      </c>
      <c r="N100">
        <v>0</v>
      </c>
      <c r="O100">
        <v>0</v>
      </c>
      <c r="P100">
        <v>0</v>
      </c>
      <c r="Q100">
        <v>0</v>
      </c>
      <c r="S100">
        <v>0</v>
      </c>
      <c r="T100">
        <v>0</v>
      </c>
      <c r="U100" s="20">
        <v>0</v>
      </c>
      <c r="V100" s="20">
        <v>0</v>
      </c>
      <c r="W100" s="23">
        <v>0</v>
      </c>
    </row>
    <row r="101" spans="1:23" x14ac:dyDescent="0.25">
      <c r="A101">
        <v>0</v>
      </c>
      <c r="B101">
        <v>0</v>
      </c>
      <c r="C101">
        <v>0</v>
      </c>
      <c r="D101">
        <v>0</v>
      </c>
      <c r="E101">
        <v>0</v>
      </c>
      <c r="G101">
        <v>0</v>
      </c>
      <c r="H101">
        <v>0</v>
      </c>
      <c r="I101">
        <v>0</v>
      </c>
      <c r="J101">
        <v>0</v>
      </c>
      <c r="K101">
        <v>0</v>
      </c>
      <c r="M101">
        <v>0</v>
      </c>
      <c r="N101">
        <v>0</v>
      </c>
      <c r="O101">
        <v>0</v>
      </c>
      <c r="P101">
        <v>0</v>
      </c>
      <c r="Q101">
        <v>0</v>
      </c>
      <c r="S101">
        <v>0</v>
      </c>
      <c r="T101">
        <v>0</v>
      </c>
      <c r="U101" s="20">
        <v>0</v>
      </c>
      <c r="V101" s="20">
        <v>0</v>
      </c>
      <c r="W101" s="23">
        <v>0</v>
      </c>
    </row>
    <row r="102" spans="1:23" x14ac:dyDescent="0.25">
      <c r="A102">
        <v>0</v>
      </c>
      <c r="B102">
        <v>0</v>
      </c>
      <c r="C102">
        <v>0</v>
      </c>
      <c r="D102">
        <v>0</v>
      </c>
      <c r="E102">
        <v>0</v>
      </c>
      <c r="G102">
        <v>0</v>
      </c>
      <c r="H102">
        <v>0</v>
      </c>
      <c r="I102">
        <v>0</v>
      </c>
      <c r="J102">
        <v>0</v>
      </c>
      <c r="K102">
        <v>0</v>
      </c>
      <c r="M102">
        <v>0</v>
      </c>
      <c r="N102">
        <v>0</v>
      </c>
      <c r="O102">
        <v>0</v>
      </c>
      <c r="P102">
        <v>0</v>
      </c>
      <c r="Q102">
        <v>0</v>
      </c>
      <c r="S102">
        <v>0</v>
      </c>
      <c r="T102">
        <v>0</v>
      </c>
      <c r="U102" s="20">
        <v>0</v>
      </c>
      <c r="V102" s="20">
        <v>0</v>
      </c>
      <c r="W102" s="23">
        <v>0</v>
      </c>
    </row>
    <row r="103" spans="1:23" x14ac:dyDescent="0.25">
      <c r="A103">
        <v>0</v>
      </c>
      <c r="B103">
        <v>0</v>
      </c>
      <c r="C103">
        <v>0</v>
      </c>
      <c r="D103">
        <v>0</v>
      </c>
      <c r="E103">
        <v>0</v>
      </c>
      <c r="G103">
        <v>0</v>
      </c>
      <c r="H103">
        <v>0</v>
      </c>
      <c r="I103">
        <v>0</v>
      </c>
      <c r="J103">
        <v>0</v>
      </c>
      <c r="K103">
        <v>0</v>
      </c>
      <c r="M103">
        <v>0</v>
      </c>
      <c r="N103">
        <v>0</v>
      </c>
      <c r="O103">
        <v>0</v>
      </c>
      <c r="P103">
        <v>0</v>
      </c>
      <c r="Q103">
        <v>0</v>
      </c>
      <c r="S103">
        <v>0</v>
      </c>
      <c r="T103">
        <v>0</v>
      </c>
      <c r="U103" s="20">
        <v>0</v>
      </c>
      <c r="V103" s="20">
        <v>0</v>
      </c>
      <c r="W103" s="23">
        <v>0</v>
      </c>
    </row>
    <row r="104" spans="1:23" x14ac:dyDescent="0.25">
      <c r="A104">
        <v>0</v>
      </c>
      <c r="B104">
        <v>0</v>
      </c>
      <c r="C104">
        <v>0</v>
      </c>
      <c r="D104">
        <v>0</v>
      </c>
      <c r="E104">
        <v>0</v>
      </c>
      <c r="G104">
        <v>0</v>
      </c>
      <c r="H104">
        <v>0</v>
      </c>
      <c r="I104">
        <v>0</v>
      </c>
      <c r="J104">
        <v>0</v>
      </c>
      <c r="K104">
        <v>0</v>
      </c>
      <c r="M104">
        <v>0</v>
      </c>
      <c r="N104">
        <v>0</v>
      </c>
      <c r="O104">
        <v>0</v>
      </c>
      <c r="P104">
        <v>0</v>
      </c>
      <c r="Q104">
        <v>0</v>
      </c>
      <c r="S104">
        <v>0</v>
      </c>
      <c r="T104">
        <v>0</v>
      </c>
      <c r="U104" s="20">
        <v>0</v>
      </c>
      <c r="V104" s="20">
        <v>0</v>
      </c>
      <c r="W104" s="23">
        <v>0</v>
      </c>
    </row>
    <row r="105" spans="1:23" x14ac:dyDescent="0.25">
      <c r="A105">
        <v>0</v>
      </c>
      <c r="B105">
        <v>0</v>
      </c>
      <c r="C105">
        <v>0</v>
      </c>
      <c r="D105">
        <v>0</v>
      </c>
      <c r="E105">
        <v>0</v>
      </c>
      <c r="G105">
        <v>0</v>
      </c>
      <c r="H105">
        <v>0</v>
      </c>
      <c r="I105">
        <v>0</v>
      </c>
      <c r="J105">
        <v>0</v>
      </c>
      <c r="K105">
        <v>0</v>
      </c>
      <c r="M105">
        <v>0</v>
      </c>
      <c r="N105">
        <v>0</v>
      </c>
      <c r="O105">
        <v>0</v>
      </c>
      <c r="P105">
        <v>0</v>
      </c>
      <c r="Q105">
        <v>0</v>
      </c>
      <c r="S105">
        <v>0</v>
      </c>
      <c r="T105">
        <v>0</v>
      </c>
      <c r="U105" s="20">
        <v>0</v>
      </c>
      <c r="V105" s="20">
        <v>0</v>
      </c>
      <c r="W105" s="23">
        <v>0</v>
      </c>
    </row>
    <row r="106" spans="1:23" x14ac:dyDescent="0.25">
      <c r="A106">
        <v>0</v>
      </c>
      <c r="B106">
        <v>0</v>
      </c>
      <c r="C106">
        <v>0</v>
      </c>
      <c r="D106">
        <v>0</v>
      </c>
      <c r="E106">
        <v>0</v>
      </c>
      <c r="G106">
        <v>0</v>
      </c>
      <c r="H106">
        <v>0</v>
      </c>
      <c r="I106">
        <v>0</v>
      </c>
      <c r="J106">
        <v>0</v>
      </c>
      <c r="K106">
        <v>0</v>
      </c>
      <c r="M106">
        <v>0</v>
      </c>
      <c r="N106">
        <v>0</v>
      </c>
      <c r="O106">
        <v>0</v>
      </c>
      <c r="P106">
        <v>0</v>
      </c>
      <c r="Q106">
        <v>0</v>
      </c>
      <c r="S106">
        <v>0</v>
      </c>
      <c r="T106">
        <v>0</v>
      </c>
      <c r="U106" s="20">
        <v>0</v>
      </c>
      <c r="V106" s="20">
        <v>0</v>
      </c>
      <c r="W106" s="23">
        <v>0</v>
      </c>
    </row>
    <row r="107" spans="1:23" x14ac:dyDescent="0.25">
      <c r="A107">
        <v>0</v>
      </c>
      <c r="B107">
        <v>0</v>
      </c>
      <c r="C107">
        <v>0</v>
      </c>
      <c r="D107">
        <v>0</v>
      </c>
      <c r="E107">
        <v>0</v>
      </c>
      <c r="G107">
        <v>0</v>
      </c>
      <c r="H107">
        <v>0</v>
      </c>
      <c r="I107">
        <v>0</v>
      </c>
      <c r="J107">
        <v>0</v>
      </c>
      <c r="K107">
        <v>0</v>
      </c>
      <c r="M107">
        <v>0</v>
      </c>
      <c r="N107">
        <v>0</v>
      </c>
      <c r="O107">
        <v>0</v>
      </c>
      <c r="P107">
        <v>0</v>
      </c>
      <c r="Q107">
        <v>0</v>
      </c>
      <c r="S107">
        <v>0</v>
      </c>
      <c r="T107">
        <v>0</v>
      </c>
      <c r="U107" s="20">
        <v>0</v>
      </c>
      <c r="V107" s="20">
        <v>0</v>
      </c>
      <c r="W107" s="23">
        <v>0</v>
      </c>
    </row>
    <row r="108" spans="1:23" x14ac:dyDescent="0.25">
      <c r="A108">
        <v>0</v>
      </c>
      <c r="B108">
        <v>0</v>
      </c>
      <c r="C108">
        <v>0</v>
      </c>
      <c r="D108">
        <v>0</v>
      </c>
      <c r="E108">
        <v>0</v>
      </c>
      <c r="G108">
        <v>0</v>
      </c>
      <c r="H108">
        <v>0</v>
      </c>
      <c r="I108">
        <v>0</v>
      </c>
      <c r="J108">
        <v>0</v>
      </c>
      <c r="K108">
        <v>0</v>
      </c>
      <c r="M108">
        <v>0</v>
      </c>
      <c r="N108">
        <v>0</v>
      </c>
      <c r="O108">
        <v>0</v>
      </c>
      <c r="P108">
        <v>0</v>
      </c>
      <c r="Q108">
        <v>0</v>
      </c>
      <c r="S108">
        <v>0</v>
      </c>
      <c r="T108">
        <v>0</v>
      </c>
      <c r="U108" s="20">
        <v>0</v>
      </c>
      <c r="V108" s="20">
        <v>0</v>
      </c>
      <c r="W108" s="23">
        <v>0</v>
      </c>
    </row>
    <row r="109" spans="1:23" x14ac:dyDescent="0.25">
      <c r="A109">
        <v>0</v>
      </c>
      <c r="B109">
        <v>0</v>
      </c>
      <c r="C109">
        <v>0</v>
      </c>
      <c r="D109">
        <v>0</v>
      </c>
      <c r="E109">
        <v>0</v>
      </c>
      <c r="G109">
        <v>0</v>
      </c>
      <c r="H109">
        <v>0</v>
      </c>
      <c r="I109">
        <v>0</v>
      </c>
      <c r="J109">
        <v>0</v>
      </c>
      <c r="K109">
        <v>0</v>
      </c>
      <c r="M109">
        <v>0</v>
      </c>
      <c r="N109">
        <v>0</v>
      </c>
      <c r="O109">
        <v>0</v>
      </c>
      <c r="P109">
        <v>0</v>
      </c>
      <c r="Q109">
        <v>0</v>
      </c>
      <c r="S109">
        <v>0</v>
      </c>
      <c r="T109">
        <v>0</v>
      </c>
      <c r="U109" s="20">
        <v>0</v>
      </c>
      <c r="V109" s="20">
        <v>0</v>
      </c>
      <c r="W109" s="23">
        <v>0</v>
      </c>
    </row>
    <row r="110" spans="1:23" x14ac:dyDescent="0.25">
      <c r="A110">
        <v>0</v>
      </c>
      <c r="B110">
        <v>0</v>
      </c>
      <c r="C110">
        <v>0</v>
      </c>
      <c r="D110">
        <v>0</v>
      </c>
      <c r="E110">
        <v>0</v>
      </c>
      <c r="G110">
        <v>0</v>
      </c>
      <c r="H110">
        <v>0</v>
      </c>
      <c r="I110">
        <v>0</v>
      </c>
      <c r="J110">
        <v>0</v>
      </c>
      <c r="K110">
        <v>0</v>
      </c>
      <c r="M110">
        <v>0</v>
      </c>
      <c r="N110">
        <v>0</v>
      </c>
      <c r="O110">
        <v>0</v>
      </c>
      <c r="P110">
        <v>0</v>
      </c>
      <c r="Q110">
        <v>0</v>
      </c>
      <c r="S110">
        <v>0</v>
      </c>
      <c r="T110">
        <v>0</v>
      </c>
      <c r="U110" s="20">
        <v>0</v>
      </c>
      <c r="V110" s="20">
        <v>0</v>
      </c>
      <c r="W110" s="23">
        <v>0</v>
      </c>
    </row>
    <row r="111" spans="1:23" x14ac:dyDescent="0.25">
      <c r="A111">
        <v>0</v>
      </c>
      <c r="B111">
        <v>0</v>
      </c>
      <c r="C111">
        <v>0</v>
      </c>
      <c r="D111">
        <v>0</v>
      </c>
      <c r="E111">
        <v>0</v>
      </c>
      <c r="G111">
        <v>0</v>
      </c>
      <c r="H111">
        <v>0</v>
      </c>
      <c r="I111">
        <v>0</v>
      </c>
      <c r="J111">
        <v>0</v>
      </c>
      <c r="K111">
        <v>0</v>
      </c>
      <c r="M111">
        <v>0</v>
      </c>
      <c r="N111">
        <v>0</v>
      </c>
      <c r="O111">
        <v>0</v>
      </c>
      <c r="P111">
        <v>0</v>
      </c>
      <c r="Q111">
        <v>0</v>
      </c>
      <c r="S111">
        <v>0</v>
      </c>
      <c r="T111">
        <v>0</v>
      </c>
      <c r="U111" s="20">
        <v>0</v>
      </c>
      <c r="V111" s="20">
        <v>0</v>
      </c>
      <c r="W111" s="23">
        <v>0</v>
      </c>
    </row>
    <row r="112" spans="1:23" x14ac:dyDescent="0.25">
      <c r="A112">
        <v>0</v>
      </c>
      <c r="B112">
        <v>0</v>
      </c>
      <c r="C112">
        <v>0</v>
      </c>
      <c r="D112">
        <v>0</v>
      </c>
      <c r="E112">
        <v>0</v>
      </c>
      <c r="G112">
        <v>0</v>
      </c>
      <c r="H112">
        <v>0</v>
      </c>
      <c r="I112">
        <v>0</v>
      </c>
      <c r="J112">
        <v>0</v>
      </c>
      <c r="K112">
        <v>0</v>
      </c>
      <c r="M112">
        <v>0</v>
      </c>
      <c r="N112">
        <v>0</v>
      </c>
      <c r="O112">
        <v>0</v>
      </c>
      <c r="P112">
        <v>0</v>
      </c>
      <c r="Q112">
        <v>0</v>
      </c>
      <c r="S112">
        <v>0</v>
      </c>
      <c r="T112">
        <v>0</v>
      </c>
      <c r="U112" s="20">
        <v>0</v>
      </c>
      <c r="V112" s="20">
        <v>0</v>
      </c>
      <c r="W112" s="23">
        <v>0</v>
      </c>
    </row>
    <row r="113" spans="1:23" x14ac:dyDescent="0.25">
      <c r="A113">
        <v>0</v>
      </c>
      <c r="B113">
        <v>0</v>
      </c>
      <c r="C113">
        <v>0</v>
      </c>
      <c r="D113">
        <v>0</v>
      </c>
      <c r="E113">
        <v>0</v>
      </c>
      <c r="G113">
        <v>0</v>
      </c>
      <c r="H113">
        <v>0</v>
      </c>
      <c r="I113">
        <v>0</v>
      </c>
      <c r="J113">
        <v>0</v>
      </c>
      <c r="K113">
        <v>0</v>
      </c>
      <c r="M113">
        <v>0</v>
      </c>
      <c r="N113">
        <v>0</v>
      </c>
      <c r="O113">
        <v>0</v>
      </c>
      <c r="P113">
        <v>0</v>
      </c>
      <c r="Q113">
        <v>0</v>
      </c>
      <c r="S113">
        <v>0</v>
      </c>
      <c r="T113">
        <v>0</v>
      </c>
      <c r="U113" s="20">
        <v>0</v>
      </c>
      <c r="V113" s="20">
        <v>0</v>
      </c>
      <c r="W113" s="23">
        <v>0</v>
      </c>
    </row>
    <row r="114" spans="1:23" x14ac:dyDescent="0.25">
      <c r="A114">
        <v>0</v>
      </c>
      <c r="B114">
        <v>0</v>
      </c>
      <c r="C114">
        <v>0</v>
      </c>
      <c r="D114">
        <v>0</v>
      </c>
      <c r="E114">
        <v>0</v>
      </c>
      <c r="G114">
        <v>0</v>
      </c>
      <c r="H114">
        <v>0</v>
      </c>
      <c r="I114">
        <v>0</v>
      </c>
      <c r="J114">
        <v>0</v>
      </c>
      <c r="K114">
        <v>0</v>
      </c>
      <c r="M114">
        <v>0</v>
      </c>
      <c r="N114">
        <v>0</v>
      </c>
      <c r="O114">
        <v>0</v>
      </c>
      <c r="P114">
        <v>0</v>
      </c>
      <c r="Q114">
        <v>0</v>
      </c>
      <c r="S114">
        <v>0</v>
      </c>
      <c r="T114">
        <v>0</v>
      </c>
      <c r="U114" s="20">
        <v>0</v>
      </c>
      <c r="V114" s="20">
        <v>0</v>
      </c>
      <c r="W114" s="23">
        <v>0</v>
      </c>
    </row>
    <row r="115" spans="1:23" x14ac:dyDescent="0.25">
      <c r="A115">
        <v>0</v>
      </c>
      <c r="B115">
        <v>0</v>
      </c>
      <c r="C115">
        <v>0</v>
      </c>
      <c r="D115">
        <v>0</v>
      </c>
      <c r="E115">
        <v>0</v>
      </c>
      <c r="G115">
        <v>0</v>
      </c>
      <c r="H115">
        <v>0</v>
      </c>
      <c r="I115">
        <v>0</v>
      </c>
      <c r="J115">
        <v>0</v>
      </c>
      <c r="K115">
        <v>0</v>
      </c>
      <c r="M115">
        <v>0</v>
      </c>
      <c r="N115">
        <v>0</v>
      </c>
      <c r="O115">
        <v>0</v>
      </c>
      <c r="P115">
        <v>0</v>
      </c>
      <c r="Q115">
        <v>0</v>
      </c>
      <c r="S115">
        <v>0</v>
      </c>
      <c r="T115">
        <v>0</v>
      </c>
      <c r="U115" s="20">
        <v>0</v>
      </c>
      <c r="V115" s="20">
        <v>0</v>
      </c>
      <c r="W115" s="23">
        <v>0</v>
      </c>
    </row>
    <row r="116" spans="1:23" x14ac:dyDescent="0.25">
      <c r="A116">
        <v>0</v>
      </c>
      <c r="B116">
        <v>0</v>
      </c>
      <c r="C116">
        <v>0</v>
      </c>
      <c r="D116">
        <v>0</v>
      </c>
      <c r="E116">
        <v>0</v>
      </c>
      <c r="G116">
        <v>0</v>
      </c>
      <c r="H116">
        <v>0</v>
      </c>
      <c r="I116">
        <v>0</v>
      </c>
      <c r="J116">
        <v>0</v>
      </c>
      <c r="K116">
        <v>0</v>
      </c>
      <c r="M116">
        <v>0</v>
      </c>
      <c r="N116">
        <v>0</v>
      </c>
      <c r="O116">
        <v>0</v>
      </c>
      <c r="P116">
        <v>0</v>
      </c>
      <c r="Q116">
        <v>0</v>
      </c>
      <c r="S116">
        <v>0</v>
      </c>
      <c r="T116">
        <v>0</v>
      </c>
      <c r="U116" s="20">
        <v>0</v>
      </c>
      <c r="V116" s="20">
        <v>0</v>
      </c>
      <c r="W116" s="23">
        <v>0</v>
      </c>
    </row>
    <row r="117" spans="1:23" x14ac:dyDescent="0.25">
      <c r="A117">
        <v>0</v>
      </c>
      <c r="B117">
        <v>0</v>
      </c>
      <c r="C117">
        <v>0</v>
      </c>
      <c r="D117">
        <v>0</v>
      </c>
      <c r="E117">
        <v>0</v>
      </c>
      <c r="G117">
        <v>0</v>
      </c>
      <c r="H117">
        <v>0</v>
      </c>
      <c r="I117">
        <v>0</v>
      </c>
      <c r="J117">
        <v>0</v>
      </c>
      <c r="K117">
        <v>0</v>
      </c>
      <c r="M117">
        <v>0</v>
      </c>
      <c r="N117">
        <v>0</v>
      </c>
      <c r="O117">
        <v>0</v>
      </c>
      <c r="P117">
        <v>0</v>
      </c>
      <c r="Q117">
        <v>0</v>
      </c>
      <c r="S117">
        <v>0</v>
      </c>
      <c r="T117">
        <v>0</v>
      </c>
      <c r="U117" s="20">
        <v>0</v>
      </c>
      <c r="V117" s="20">
        <v>0</v>
      </c>
      <c r="W117" s="23">
        <v>0</v>
      </c>
    </row>
    <row r="118" spans="1:23" x14ac:dyDescent="0.25">
      <c r="A118">
        <v>0</v>
      </c>
      <c r="B118">
        <v>0</v>
      </c>
      <c r="C118">
        <v>0</v>
      </c>
      <c r="D118">
        <v>0</v>
      </c>
      <c r="E118">
        <v>0</v>
      </c>
      <c r="G118">
        <v>0</v>
      </c>
      <c r="H118">
        <v>0</v>
      </c>
      <c r="I118">
        <v>0</v>
      </c>
      <c r="J118">
        <v>0</v>
      </c>
      <c r="K118">
        <v>0</v>
      </c>
      <c r="M118">
        <v>0</v>
      </c>
      <c r="N118">
        <v>0</v>
      </c>
      <c r="O118">
        <v>0</v>
      </c>
      <c r="P118">
        <v>0</v>
      </c>
      <c r="Q118">
        <v>0</v>
      </c>
      <c r="S118">
        <v>0</v>
      </c>
      <c r="T118">
        <v>0</v>
      </c>
      <c r="U118" s="20">
        <v>0</v>
      </c>
      <c r="V118" s="20">
        <v>0</v>
      </c>
      <c r="W118" s="23">
        <v>0</v>
      </c>
    </row>
    <row r="119" spans="1:23" x14ac:dyDescent="0.25">
      <c r="A119">
        <v>0</v>
      </c>
      <c r="B119">
        <v>0</v>
      </c>
      <c r="C119">
        <v>0</v>
      </c>
      <c r="D119">
        <v>0</v>
      </c>
      <c r="E119">
        <v>0</v>
      </c>
      <c r="G119">
        <v>0</v>
      </c>
      <c r="H119">
        <v>0</v>
      </c>
      <c r="I119">
        <v>0</v>
      </c>
      <c r="J119">
        <v>0</v>
      </c>
      <c r="K119">
        <v>0</v>
      </c>
      <c r="M119">
        <v>0</v>
      </c>
      <c r="N119">
        <v>0</v>
      </c>
      <c r="O119">
        <v>0</v>
      </c>
      <c r="P119">
        <v>0</v>
      </c>
      <c r="Q119">
        <v>0</v>
      </c>
      <c r="S119">
        <v>0</v>
      </c>
      <c r="T119">
        <v>0</v>
      </c>
      <c r="U119" s="20">
        <v>0</v>
      </c>
      <c r="V119" s="20">
        <v>0</v>
      </c>
      <c r="W119" s="23">
        <v>0</v>
      </c>
    </row>
    <row r="120" spans="1:23" x14ac:dyDescent="0.25">
      <c r="A120">
        <v>0</v>
      </c>
      <c r="B120">
        <v>0</v>
      </c>
      <c r="C120">
        <v>0</v>
      </c>
      <c r="D120">
        <v>0</v>
      </c>
      <c r="E120">
        <v>0</v>
      </c>
      <c r="G120">
        <v>0</v>
      </c>
      <c r="H120">
        <v>0</v>
      </c>
      <c r="I120">
        <v>0</v>
      </c>
      <c r="J120">
        <v>0</v>
      </c>
      <c r="K120">
        <v>0</v>
      </c>
      <c r="M120">
        <v>0</v>
      </c>
      <c r="N120">
        <v>0</v>
      </c>
      <c r="O120">
        <v>0</v>
      </c>
      <c r="P120">
        <v>0</v>
      </c>
      <c r="Q120">
        <v>0</v>
      </c>
      <c r="S120">
        <v>0</v>
      </c>
      <c r="T120">
        <v>0</v>
      </c>
      <c r="U120" s="20">
        <v>0</v>
      </c>
      <c r="V120" s="20">
        <v>0</v>
      </c>
      <c r="W120" s="23">
        <v>0</v>
      </c>
    </row>
    <row r="121" spans="1:23" x14ac:dyDescent="0.25">
      <c r="A121">
        <v>0</v>
      </c>
      <c r="B121">
        <v>0</v>
      </c>
      <c r="C121">
        <v>0</v>
      </c>
      <c r="D121">
        <v>0</v>
      </c>
      <c r="E121">
        <v>0</v>
      </c>
      <c r="G121">
        <v>0</v>
      </c>
      <c r="H121">
        <v>0</v>
      </c>
      <c r="I121">
        <v>0</v>
      </c>
      <c r="J121">
        <v>0</v>
      </c>
      <c r="K121">
        <v>0</v>
      </c>
      <c r="M121">
        <v>0</v>
      </c>
      <c r="N121">
        <v>0</v>
      </c>
      <c r="O121">
        <v>0</v>
      </c>
      <c r="P121">
        <v>0</v>
      </c>
      <c r="Q121">
        <v>0</v>
      </c>
      <c r="S121">
        <v>0</v>
      </c>
      <c r="T121">
        <v>0</v>
      </c>
      <c r="U121" s="20">
        <v>0</v>
      </c>
      <c r="V121" s="20">
        <v>0</v>
      </c>
      <c r="W121" s="23">
        <v>0</v>
      </c>
    </row>
    <row r="122" spans="1:23" x14ac:dyDescent="0.25">
      <c r="A122">
        <v>0</v>
      </c>
      <c r="B122">
        <v>0</v>
      </c>
      <c r="C122">
        <v>0</v>
      </c>
      <c r="D122">
        <v>0</v>
      </c>
      <c r="E122">
        <v>0</v>
      </c>
      <c r="G122">
        <v>0</v>
      </c>
      <c r="H122">
        <v>0</v>
      </c>
      <c r="I122">
        <v>0</v>
      </c>
      <c r="J122">
        <v>0</v>
      </c>
      <c r="K122">
        <v>0</v>
      </c>
      <c r="M122">
        <v>0</v>
      </c>
      <c r="N122">
        <v>0</v>
      </c>
      <c r="O122">
        <v>0</v>
      </c>
      <c r="P122">
        <v>0</v>
      </c>
      <c r="Q122">
        <v>0</v>
      </c>
      <c r="S122">
        <v>0</v>
      </c>
      <c r="T122">
        <v>0</v>
      </c>
      <c r="U122" s="20">
        <v>0</v>
      </c>
      <c r="V122" s="20">
        <v>0</v>
      </c>
      <c r="W122" s="23">
        <v>0</v>
      </c>
    </row>
    <row r="123" spans="1:23" x14ac:dyDescent="0.25">
      <c r="A123">
        <v>0</v>
      </c>
      <c r="B123">
        <v>0</v>
      </c>
      <c r="C123">
        <v>0</v>
      </c>
      <c r="D123">
        <v>0</v>
      </c>
      <c r="E123">
        <v>0</v>
      </c>
      <c r="G123">
        <v>0</v>
      </c>
      <c r="H123">
        <v>0</v>
      </c>
      <c r="I123">
        <v>0</v>
      </c>
      <c r="J123">
        <v>0</v>
      </c>
      <c r="K123">
        <v>0</v>
      </c>
      <c r="M123">
        <v>0</v>
      </c>
      <c r="N123">
        <v>0</v>
      </c>
      <c r="O123">
        <v>0</v>
      </c>
      <c r="P123">
        <v>0</v>
      </c>
      <c r="Q123">
        <v>0</v>
      </c>
      <c r="S123">
        <v>0</v>
      </c>
      <c r="T123">
        <v>0</v>
      </c>
      <c r="U123" s="20">
        <v>0</v>
      </c>
      <c r="V123" s="20">
        <v>0</v>
      </c>
      <c r="W123" s="23">
        <v>0</v>
      </c>
    </row>
    <row r="124" spans="1:23" x14ac:dyDescent="0.25">
      <c r="A124">
        <v>0</v>
      </c>
      <c r="B124">
        <v>0</v>
      </c>
      <c r="C124">
        <v>0</v>
      </c>
      <c r="D124">
        <v>0</v>
      </c>
      <c r="E124">
        <v>0</v>
      </c>
      <c r="G124">
        <v>0</v>
      </c>
      <c r="H124">
        <v>0</v>
      </c>
      <c r="I124">
        <v>0</v>
      </c>
      <c r="J124">
        <v>0</v>
      </c>
      <c r="K124">
        <v>0</v>
      </c>
      <c r="M124">
        <v>0</v>
      </c>
      <c r="N124">
        <v>0</v>
      </c>
      <c r="O124">
        <v>0</v>
      </c>
      <c r="P124">
        <v>0</v>
      </c>
      <c r="Q124">
        <v>0</v>
      </c>
      <c r="S124">
        <v>0</v>
      </c>
      <c r="T124">
        <v>0</v>
      </c>
      <c r="U124" s="20">
        <v>0</v>
      </c>
      <c r="V124" s="20">
        <v>0</v>
      </c>
      <c r="W124" s="23">
        <v>0</v>
      </c>
    </row>
    <row r="125" spans="1:23" x14ac:dyDescent="0.25">
      <c r="A125">
        <v>0</v>
      </c>
      <c r="B125">
        <v>0</v>
      </c>
      <c r="C125">
        <v>0</v>
      </c>
      <c r="D125">
        <v>0</v>
      </c>
      <c r="E125">
        <v>0</v>
      </c>
      <c r="G125">
        <v>0</v>
      </c>
      <c r="H125">
        <v>0</v>
      </c>
      <c r="I125">
        <v>0</v>
      </c>
      <c r="J125">
        <v>0</v>
      </c>
      <c r="K125">
        <v>0</v>
      </c>
      <c r="M125">
        <v>0</v>
      </c>
      <c r="N125">
        <v>0</v>
      </c>
      <c r="O125">
        <v>0</v>
      </c>
      <c r="P125">
        <v>0</v>
      </c>
      <c r="Q125">
        <v>0</v>
      </c>
      <c r="S125">
        <v>0</v>
      </c>
      <c r="T125">
        <v>0</v>
      </c>
      <c r="U125" s="20">
        <v>0</v>
      </c>
      <c r="V125" s="20">
        <v>0</v>
      </c>
      <c r="W125" s="23">
        <v>0</v>
      </c>
    </row>
    <row r="126" spans="1:23" x14ac:dyDescent="0.25">
      <c r="A126">
        <v>0</v>
      </c>
      <c r="B126">
        <v>0</v>
      </c>
      <c r="C126">
        <v>0</v>
      </c>
      <c r="D126">
        <v>0</v>
      </c>
      <c r="E126">
        <v>0</v>
      </c>
      <c r="G126">
        <v>0</v>
      </c>
      <c r="H126">
        <v>0</v>
      </c>
      <c r="I126">
        <v>0</v>
      </c>
      <c r="J126">
        <v>0</v>
      </c>
      <c r="K126">
        <v>0</v>
      </c>
      <c r="M126">
        <v>0</v>
      </c>
      <c r="N126">
        <v>0</v>
      </c>
      <c r="O126">
        <v>0</v>
      </c>
      <c r="P126">
        <v>0</v>
      </c>
      <c r="Q126">
        <v>0</v>
      </c>
      <c r="S126">
        <v>0</v>
      </c>
      <c r="T126">
        <v>0</v>
      </c>
      <c r="U126" s="20">
        <v>0</v>
      </c>
      <c r="V126" s="20">
        <v>0</v>
      </c>
      <c r="W126" s="23">
        <v>0</v>
      </c>
    </row>
    <row r="127" spans="1:23" x14ac:dyDescent="0.25">
      <c r="A127">
        <v>0</v>
      </c>
      <c r="B127">
        <v>0</v>
      </c>
      <c r="C127">
        <v>0</v>
      </c>
      <c r="D127">
        <v>0</v>
      </c>
      <c r="E127">
        <v>0</v>
      </c>
      <c r="G127">
        <v>0</v>
      </c>
      <c r="H127">
        <v>0</v>
      </c>
      <c r="I127">
        <v>0</v>
      </c>
      <c r="J127">
        <v>0</v>
      </c>
      <c r="K127">
        <v>0</v>
      </c>
      <c r="M127">
        <v>0</v>
      </c>
      <c r="N127">
        <v>0</v>
      </c>
      <c r="O127">
        <v>0</v>
      </c>
      <c r="P127">
        <v>0</v>
      </c>
      <c r="Q127">
        <v>0</v>
      </c>
      <c r="S127">
        <v>0</v>
      </c>
      <c r="T127">
        <v>0</v>
      </c>
      <c r="U127" s="20">
        <v>0</v>
      </c>
      <c r="V127" s="20">
        <v>0</v>
      </c>
      <c r="W127" s="23">
        <v>0</v>
      </c>
    </row>
    <row r="128" spans="1:23" x14ac:dyDescent="0.25">
      <c r="A128">
        <v>0</v>
      </c>
      <c r="B128">
        <v>0</v>
      </c>
      <c r="C128">
        <v>0</v>
      </c>
      <c r="D128">
        <v>0</v>
      </c>
      <c r="E128">
        <v>0</v>
      </c>
      <c r="G128">
        <v>0</v>
      </c>
      <c r="H128">
        <v>0</v>
      </c>
      <c r="I128">
        <v>0</v>
      </c>
      <c r="J128">
        <v>0</v>
      </c>
      <c r="K128">
        <v>0</v>
      </c>
      <c r="M128">
        <v>0</v>
      </c>
      <c r="N128">
        <v>0</v>
      </c>
      <c r="O128">
        <v>0</v>
      </c>
      <c r="P128">
        <v>0</v>
      </c>
      <c r="Q128">
        <v>0</v>
      </c>
      <c r="S128">
        <v>0</v>
      </c>
      <c r="T128">
        <v>0</v>
      </c>
      <c r="U128" s="20">
        <v>0</v>
      </c>
      <c r="V128" s="20">
        <v>0</v>
      </c>
      <c r="W128" s="23">
        <v>0</v>
      </c>
    </row>
    <row r="129" spans="1:23" x14ac:dyDescent="0.25">
      <c r="A129">
        <v>0</v>
      </c>
      <c r="B129">
        <v>0</v>
      </c>
      <c r="C129">
        <v>0</v>
      </c>
      <c r="D129">
        <v>0</v>
      </c>
      <c r="E129">
        <v>0</v>
      </c>
      <c r="G129">
        <v>0</v>
      </c>
      <c r="H129">
        <v>0</v>
      </c>
      <c r="I129">
        <v>0</v>
      </c>
      <c r="J129">
        <v>0</v>
      </c>
      <c r="K129">
        <v>0</v>
      </c>
      <c r="M129">
        <v>0</v>
      </c>
      <c r="N129">
        <v>0</v>
      </c>
      <c r="O129">
        <v>0</v>
      </c>
      <c r="P129">
        <v>0</v>
      </c>
      <c r="Q129">
        <v>0</v>
      </c>
      <c r="S129">
        <v>0</v>
      </c>
      <c r="T129">
        <v>0</v>
      </c>
      <c r="U129" s="20">
        <v>0</v>
      </c>
      <c r="V129" s="20">
        <v>0</v>
      </c>
      <c r="W129" s="23">
        <v>0</v>
      </c>
    </row>
    <row r="130" spans="1:23" x14ac:dyDescent="0.25">
      <c r="A130">
        <v>0</v>
      </c>
      <c r="B130">
        <v>0</v>
      </c>
      <c r="C130">
        <v>0</v>
      </c>
      <c r="D130">
        <v>0</v>
      </c>
      <c r="E130">
        <v>0</v>
      </c>
      <c r="G130">
        <v>0</v>
      </c>
      <c r="H130">
        <v>0</v>
      </c>
      <c r="I130">
        <v>0</v>
      </c>
      <c r="J130">
        <v>0</v>
      </c>
      <c r="K130">
        <v>0</v>
      </c>
      <c r="M130">
        <v>0</v>
      </c>
      <c r="N130">
        <v>0</v>
      </c>
      <c r="O130">
        <v>0</v>
      </c>
      <c r="P130">
        <v>0</v>
      </c>
      <c r="Q130">
        <v>0</v>
      </c>
      <c r="S130">
        <v>0</v>
      </c>
      <c r="T130">
        <v>0</v>
      </c>
      <c r="U130" s="20">
        <v>0</v>
      </c>
      <c r="V130" s="20">
        <v>0</v>
      </c>
      <c r="W130" s="23">
        <v>0</v>
      </c>
    </row>
    <row r="131" spans="1:23" x14ac:dyDescent="0.25">
      <c r="A131">
        <v>0</v>
      </c>
      <c r="B131">
        <v>0</v>
      </c>
      <c r="C131">
        <v>0</v>
      </c>
      <c r="D131">
        <v>0</v>
      </c>
      <c r="E131">
        <v>0</v>
      </c>
      <c r="G131">
        <v>0</v>
      </c>
      <c r="H131">
        <v>0</v>
      </c>
      <c r="I131">
        <v>0</v>
      </c>
      <c r="J131">
        <v>0</v>
      </c>
      <c r="K131">
        <v>0</v>
      </c>
      <c r="M131">
        <v>0</v>
      </c>
      <c r="N131">
        <v>0</v>
      </c>
      <c r="O131">
        <v>0</v>
      </c>
      <c r="P131">
        <v>0</v>
      </c>
      <c r="Q131">
        <v>0</v>
      </c>
      <c r="S131">
        <v>0</v>
      </c>
      <c r="T131">
        <v>0</v>
      </c>
      <c r="U131" s="20">
        <v>0</v>
      </c>
      <c r="V131" s="20">
        <v>0</v>
      </c>
      <c r="W131" s="23">
        <v>0</v>
      </c>
    </row>
    <row r="132" spans="1:23" x14ac:dyDescent="0.25">
      <c r="A132">
        <v>0</v>
      </c>
      <c r="B132">
        <v>0</v>
      </c>
      <c r="C132">
        <v>0</v>
      </c>
      <c r="D132">
        <v>0</v>
      </c>
      <c r="E132">
        <v>0</v>
      </c>
      <c r="G132">
        <v>0</v>
      </c>
      <c r="H132">
        <v>0</v>
      </c>
      <c r="I132">
        <v>0</v>
      </c>
      <c r="J132">
        <v>0</v>
      </c>
      <c r="K132">
        <v>0</v>
      </c>
      <c r="M132">
        <v>0</v>
      </c>
      <c r="N132">
        <v>0</v>
      </c>
      <c r="O132">
        <v>0</v>
      </c>
      <c r="P132">
        <v>0</v>
      </c>
      <c r="Q132">
        <v>0</v>
      </c>
      <c r="S132">
        <v>0</v>
      </c>
      <c r="T132">
        <v>0</v>
      </c>
      <c r="U132" s="20">
        <v>0</v>
      </c>
      <c r="V132" s="20">
        <v>0</v>
      </c>
      <c r="W132" s="23">
        <v>0</v>
      </c>
    </row>
    <row r="133" spans="1:23" x14ac:dyDescent="0.25">
      <c r="A133">
        <v>0</v>
      </c>
      <c r="B133">
        <v>0</v>
      </c>
      <c r="C133">
        <v>0</v>
      </c>
      <c r="D133">
        <v>0</v>
      </c>
      <c r="E133">
        <v>0</v>
      </c>
      <c r="G133">
        <v>0</v>
      </c>
      <c r="H133">
        <v>0</v>
      </c>
      <c r="I133">
        <v>0</v>
      </c>
      <c r="J133">
        <v>0</v>
      </c>
      <c r="K133">
        <v>0</v>
      </c>
      <c r="M133">
        <v>0</v>
      </c>
      <c r="N133">
        <v>0</v>
      </c>
      <c r="O133">
        <v>0</v>
      </c>
      <c r="P133">
        <v>0</v>
      </c>
      <c r="Q133">
        <v>0</v>
      </c>
      <c r="S133">
        <v>0</v>
      </c>
      <c r="T133">
        <v>0</v>
      </c>
      <c r="U133" s="20">
        <v>0</v>
      </c>
      <c r="V133" s="20">
        <v>0</v>
      </c>
      <c r="W133" s="23">
        <v>0</v>
      </c>
    </row>
    <row r="134" spans="1:23" x14ac:dyDescent="0.25">
      <c r="A134">
        <v>0</v>
      </c>
      <c r="B134">
        <v>0</v>
      </c>
      <c r="C134">
        <v>0</v>
      </c>
      <c r="D134">
        <v>0</v>
      </c>
      <c r="E134">
        <v>0</v>
      </c>
      <c r="G134">
        <v>0</v>
      </c>
      <c r="H134">
        <v>0</v>
      </c>
      <c r="I134">
        <v>0</v>
      </c>
      <c r="J134">
        <v>0</v>
      </c>
      <c r="K134">
        <v>0</v>
      </c>
      <c r="M134">
        <v>0</v>
      </c>
      <c r="N134">
        <v>0</v>
      </c>
      <c r="O134">
        <v>0</v>
      </c>
      <c r="P134">
        <v>0</v>
      </c>
      <c r="Q134">
        <v>0</v>
      </c>
      <c r="S134">
        <v>0</v>
      </c>
      <c r="T134">
        <v>0</v>
      </c>
      <c r="U134" s="20">
        <v>0</v>
      </c>
      <c r="V134" s="20">
        <v>0</v>
      </c>
      <c r="W134" s="23">
        <v>0</v>
      </c>
    </row>
    <row r="135" spans="1:23" x14ac:dyDescent="0.25">
      <c r="A135">
        <v>0</v>
      </c>
      <c r="B135">
        <v>0</v>
      </c>
      <c r="C135">
        <v>0</v>
      </c>
      <c r="D135">
        <v>0</v>
      </c>
      <c r="E135">
        <v>0</v>
      </c>
      <c r="G135">
        <v>0</v>
      </c>
      <c r="H135">
        <v>0</v>
      </c>
      <c r="I135">
        <v>0</v>
      </c>
      <c r="J135">
        <v>0</v>
      </c>
      <c r="K135">
        <v>0</v>
      </c>
      <c r="M135">
        <v>0</v>
      </c>
      <c r="N135">
        <v>0</v>
      </c>
      <c r="O135">
        <v>0</v>
      </c>
      <c r="P135">
        <v>0</v>
      </c>
      <c r="Q135">
        <v>0</v>
      </c>
      <c r="S135">
        <v>0</v>
      </c>
      <c r="T135">
        <v>0</v>
      </c>
      <c r="U135" s="20">
        <v>0</v>
      </c>
      <c r="V135" s="20">
        <v>0</v>
      </c>
      <c r="W135" s="23">
        <v>0</v>
      </c>
    </row>
    <row r="136" spans="1:23" x14ac:dyDescent="0.25">
      <c r="A136">
        <v>0</v>
      </c>
      <c r="B136">
        <v>0</v>
      </c>
      <c r="C136">
        <v>0</v>
      </c>
      <c r="D136">
        <v>0</v>
      </c>
      <c r="E136">
        <v>0</v>
      </c>
      <c r="G136">
        <v>0</v>
      </c>
      <c r="H136">
        <v>0</v>
      </c>
      <c r="I136">
        <v>0</v>
      </c>
      <c r="J136">
        <v>0</v>
      </c>
      <c r="K136">
        <v>0</v>
      </c>
      <c r="M136">
        <v>0</v>
      </c>
      <c r="N136">
        <v>0</v>
      </c>
      <c r="O136">
        <v>0</v>
      </c>
      <c r="P136">
        <v>0</v>
      </c>
      <c r="Q136">
        <v>0</v>
      </c>
      <c r="S136">
        <v>0</v>
      </c>
      <c r="T136">
        <v>0</v>
      </c>
      <c r="U136" s="20">
        <v>0</v>
      </c>
      <c r="V136" s="20">
        <v>0</v>
      </c>
      <c r="W136" s="23">
        <v>0</v>
      </c>
    </row>
    <row r="137" spans="1:23" x14ac:dyDescent="0.25">
      <c r="A137">
        <v>0</v>
      </c>
      <c r="B137">
        <v>0</v>
      </c>
      <c r="C137">
        <v>0</v>
      </c>
      <c r="D137">
        <v>0</v>
      </c>
      <c r="E137">
        <v>0</v>
      </c>
      <c r="G137">
        <v>0</v>
      </c>
      <c r="H137">
        <v>0</v>
      </c>
      <c r="I137">
        <v>0</v>
      </c>
      <c r="J137">
        <v>0</v>
      </c>
      <c r="K137">
        <v>0</v>
      </c>
      <c r="M137">
        <v>0</v>
      </c>
      <c r="N137">
        <v>0</v>
      </c>
      <c r="O137">
        <v>0</v>
      </c>
      <c r="P137">
        <v>0</v>
      </c>
      <c r="Q137">
        <v>0</v>
      </c>
      <c r="S137">
        <v>0</v>
      </c>
      <c r="T137">
        <v>0</v>
      </c>
      <c r="U137" s="20">
        <v>0</v>
      </c>
      <c r="V137" s="20">
        <v>0</v>
      </c>
      <c r="W137" s="23">
        <v>0</v>
      </c>
    </row>
    <row r="138" spans="1:23" x14ac:dyDescent="0.25">
      <c r="A138">
        <v>0</v>
      </c>
      <c r="B138">
        <v>0</v>
      </c>
      <c r="C138">
        <v>0</v>
      </c>
      <c r="D138">
        <v>0</v>
      </c>
      <c r="E138">
        <v>0</v>
      </c>
      <c r="G138">
        <v>0</v>
      </c>
      <c r="H138">
        <v>0</v>
      </c>
      <c r="I138">
        <v>0</v>
      </c>
      <c r="J138">
        <v>0</v>
      </c>
      <c r="K138">
        <v>0</v>
      </c>
      <c r="M138">
        <v>0</v>
      </c>
      <c r="N138">
        <v>0</v>
      </c>
      <c r="O138">
        <v>0</v>
      </c>
      <c r="P138">
        <v>0</v>
      </c>
      <c r="Q138">
        <v>0</v>
      </c>
      <c r="S138">
        <v>0</v>
      </c>
      <c r="T138">
        <v>0</v>
      </c>
      <c r="U138" s="20">
        <v>0</v>
      </c>
      <c r="V138" s="20">
        <v>0</v>
      </c>
      <c r="W138" s="23">
        <v>0</v>
      </c>
    </row>
    <row r="139" spans="1:23" x14ac:dyDescent="0.25">
      <c r="A139">
        <v>0</v>
      </c>
      <c r="B139">
        <v>0</v>
      </c>
      <c r="C139">
        <v>0</v>
      </c>
      <c r="D139">
        <v>0</v>
      </c>
      <c r="E139">
        <v>0</v>
      </c>
      <c r="G139">
        <v>0</v>
      </c>
      <c r="H139">
        <v>0</v>
      </c>
      <c r="I139">
        <v>0</v>
      </c>
      <c r="J139">
        <v>0</v>
      </c>
      <c r="K139">
        <v>0</v>
      </c>
      <c r="M139">
        <v>0</v>
      </c>
      <c r="N139">
        <v>0</v>
      </c>
      <c r="O139">
        <v>0</v>
      </c>
      <c r="P139">
        <v>0</v>
      </c>
      <c r="Q139">
        <v>0</v>
      </c>
      <c r="S139">
        <v>0</v>
      </c>
      <c r="T139">
        <v>0</v>
      </c>
      <c r="U139" s="20">
        <v>0</v>
      </c>
      <c r="V139" s="20">
        <v>0</v>
      </c>
      <c r="W139" s="23">
        <v>0</v>
      </c>
    </row>
    <row r="140" spans="1:23" x14ac:dyDescent="0.25">
      <c r="A140">
        <v>0</v>
      </c>
      <c r="B140">
        <v>0</v>
      </c>
      <c r="C140">
        <v>0</v>
      </c>
      <c r="D140">
        <v>0</v>
      </c>
      <c r="E140">
        <v>0</v>
      </c>
      <c r="G140">
        <v>0</v>
      </c>
      <c r="H140">
        <v>0</v>
      </c>
      <c r="I140">
        <v>0</v>
      </c>
      <c r="J140">
        <v>0</v>
      </c>
      <c r="K140">
        <v>0</v>
      </c>
      <c r="M140">
        <v>0</v>
      </c>
      <c r="N140">
        <v>0</v>
      </c>
      <c r="O140">
        <v>0</v>
      </c>
      <c r="P140">
        <v>0</v>
      </c>
      <c r="Q140">
        <v>0</v>
      </c>
      <c r="S140">
        <v>0</v>
      </c>
      <c r="T140">
        <v>0</v>
      </c>
      <c r="U140" s="20">
        <v>0</v>
      </c>
      <c r="V140" s="20">
        <v>0</v>
      </c>
      <c r="W140" s="23">
        <v>0</v>
      </c>
    </row>
    <row r="141" spans="1:23" x14ac:dyDescent="0.25">
      <c r="A141">
        <v>0</v>
      </c>
      <c r="B141">
        <v>0</v>
      </c>
      <c r="C141">
        <v>0</v>
      </c>
      <c r="D141">
        <v>0</v>
      </c>
      <c r="E141">
        <v>0</v>
      </c>
      <c r="G141">
        <v>0</v>
      </c>
      <c r="H141">
        <v>0</v>
      </c>
      <c r="I141">
        <v>0</v>
      </c>
      <c r="J141">
        <v>0</v>
      </c>
      <c r="K141">
        <v>0</v>
      </c>
      <c r="M141">
        <v>0</v>
      </c>
      <c r="N141">
        <v>0</v>
      </c>
      <c r="O141">
        <v>0</v>
      </c>
      <c r="P141">
        <v>0</v>
      </c>
      <c r="Q141">
        <v>0</v>
      </c>
      <c r="S141">
        <v>0</v>
      </c>
      <c r="T141">
        <v>0</v>
      </c>
      <c r="U141" s="20">
        <v>0</v>
      </c>
      <c r="V141" s="20">
        <v>0</v>
      </c>
      <c r="W141" s="23">
        <v>0</v>
      </c>
    </row>
    <row r="142" spans="1:23" x14ac:dyDescent="0.25">
      <c r="A142">
        <v>0</v>
      </c>
      <c r="B142">
        <v>0</v>
      </c>
      <c r="C142">
        <v>0</v>
      </c>
      <c r="D142">
        <v>0</v>
      </c>
      <c r="E142">
        <v>0</v>
      </c>
      <c r="G142">
        <v>0</v>
      </c>
      <c r="H142">
        <v>0</v>
      </c>
      <c r="I142">
        <v>0</v>
      </c>
      <c r="J142">
        <v>0</v>
      </c>
      <c r="K142">
        <v>0</v>
      </c>
      <c r="M142">
        <v>0</v>
      </c>
      <c r="N142">
        <v>0</v>
      </c>
      <c r="O142">
        <v>0</v>
      </c>
      <c r="P142">
        <v>0</v>
      </c>
      <c r="Q142">
        <v>0</v>
      </c>
      <c r="S142">
        <v>0</v>
      </c>
      <c r="T142">
        <v>0</v>
      </c>
      <c r="U142" s="20">
        <v>0</v>
      </c>
      <c r="V142" s="20">
        <v>0</v>
      </c>
      <c r="W142" s="23">
        <v>0</v>
      </c>
    </row>
    <row r="143" spans="1:23" x14ac:dyDescent="0.25">
      <c r="A143">
        <v>0</v>
      </c>
      <c r="B143">
        <v>0</v>
      </c>
      <c r="C143">
        <v>0</v>
      </c>
      <c r="D143">
        <v>0</v>
      </c>
      <c r="E143">
        <v>0</v>
      </c>
      <c r="G143">
        <v>0</v>
      </c>
      <c r="H143">
        <v>0</v>
      </c>
      <c r="I143">
        <v>0</v>
      </c>
      <c r="J143">
        <v>0</v>
      </c>
      <c r="K143">
        <v>0</v>
      </c>
      <c r="M143">
        <v>0</v>
      </c>
      <c r="N143">
        <v>0</v>
      </c>
      <c r="O143">
        <v>0</v>
      </c>
      <c r="P143">
        <v>0</v>
      </c>
      <c r="Q143">
        <v>0</v>
      </c>
      <c r="S143">
        <v>0</v>
      </c>
      <c r="T143">
        <v>0</v>
      </c>
      <c r="U143" s="20">
        <v>0</v>
      </c>
      <c r="V143" s="20">
        <v>0</v>
      </c>
      <c r="W143" s="23">
        <v>0</v>
      </c>
    </row>
    <row r="144" spans="1:23" x14ac:dyDescent="0.25">
      <c r="A144">
        <v>0</v>
      </c>
      <c r="B144">
        <v>0</v>
      </c>
      <c r="C144">
        <v>0</v>
      </c>
      <c r="D144">
        <v>0</v>
      </c>
      <c r="E144">
        <v>0</v>
      </c>
      <c r="G144">
        <v>0</v>
      </c>
      <c r="H144">
        <v>0</v>
      </c>
      <c r="I144">
        <v>0</v>
      </c>
      <c r="J144">
        <v>0</v>
      </c>
      <c r="K144">
        <v>0</v>
      </c>
      <c r="M144">
        <v>0</v>
      </c>
      <c r="N144">
        <v>0</v>
      </c>
      <c r="O144">
        <v>0</v>
      </c>
      <c r="P144">
        <v>0</v>
      </c>
      <c r="Q144">
        <v>0</v>
      </c>
      <c r="S144">
        <v>0</v>
      </c>
      <c r="T144">
        <v>0</v>
      </c>
      <c r="U144" s="20">
        <v>0</v>
      </c>
      <c r="V144" s="20">
        <v>0</v>
      </c>
      <c r="W144" s="23">
        <v>0</v>
      </c>
    </row>
    <row r="145" spans="1:23" x14ac:dyDescent="0.25">
      <c r="A145">
        <v>0</v>
      </c>
      <c r="B145">
        <v>0</v>
      </c>
      <c r="C145">
        <v>0</v>
      </c>
      <c r="D145">
        <v>0</v>
      </c>
      <c r="E145">
        <v>0</v>
      </c>
      <c r="G145">
        <v>0</v>
      </c>
      <c r="H145">
        <v>0</v>
      </c>
      <c r="I145">
        <v>0</v>
      </c>
      <c r="J145">
        <v>0</v>
      </c>
      <c r="K145">
        <v>0</v>
      </c>
      <c r="M145">
        <v>0</v>
      </c>
      <c r="N145">
        <v>0</v>
      </c>
      <c r="O145">
        <v>0</v>
      </c>
      <c r="P145">
        <v>0</v>
      </c>
      <c r="Q145">
        <v>0</v>
      </c>
      <c r="S145">
        <v>0</v>
      </c>
      <c r="T145">
        <v>0</v>
      </c>
      <c r="U145" s="20">
        <v>0</v>
      </c>
      <c r="V145" s="20">
        <v>0</v>
      </c>
      <c r="W145" s="23">
        <v>0</v>
      </c>
    </row>
    <row r="146" spans="1:23" x14ac:dyDescent="0.25">
      <c r="A146">
        <v>0</v>
      </c>
      <c r="B146">
        <v>0</v>
      </c>
      <c r="C146">
        <v>0</v>
      </c>
      <c r="D146">
        <v>0</v>
      </c>
      <c r="E146">
        <v>0</v>
      </c>
      <c r="G146">
        <v>0</v>
      </c>
      <c r="H146">
        <v>0</v>
      </c>
      <c r="I146">
        <v>0</v>
      </c>
      <c r="J146">
        <v>0</v>
      </c>
      <c r="K146">
        <v>0</v>
      </c>
      <c r="M146">
        <v>0</v>
      </c>
      <c r="N146">
        <v>0</v>
      </c>
      <c r="O146">
        <v>0</v>
      </c>
      <c r="P146">
        <v>0</v>
      </c>
      <c r="Q146">
        <v>0</v>
      </c>
      <c r="S146">
        <v>0</v>
      </c>
      <c r="T146">
        <v>0</v>
      </c>
      <c r="U146" s="20">
        <v>0</v>
      </c>
      <c r="V146" s="20">
        <v>0</v>
      </c>
      <c r="W146" s="23">
        <v>0</v>
      </c>
    </row>
    <row r="147" spans="1:23" x14ac:dyDescent="0.25">
      <c r="A147">
        <v>0</v>
      </c>
      <c r="B147">
        <v>0</v>
      </c>
      <c r="C147">
        <v>0</v>
      </c>
      <c r="D147">
        <v>0</v>
      </c>
      <c r="E147">
        <v>0</v>
      </c>
      <c r="G147">
        <v>0</v>
      </c>
      <c r="H147">
        <v>0</v>
      </c>
      <c r="I147">
        <v>0</v>
      </c>
      <c r="J147">
        <v>0</v>
      </c>
      <c r="K147">
        <v>0</v>
      </c>
      <c r="M147">
        <v>0</v>
      </c>
      <c r="N147">
        <v>0</v>
      </c>
      <c r="O147">
        <v>0</v>
      </c>
      <c r="P147">
        <v>0</v>
      </c>
      <c r="Q147">
        <v>0</v>
      </c>
      <c r="S147">
        <v>0</v>
      </c>
      <c r="T147">
        <v>0</v>
      </c>
      <c r="U147" s="20">
        <v>0</v>
      </c>
      <c r="V147" s="20">
        <v>0</v>
      </c>
      <c r="W147" s="23">
        <v>0</v>
      </c>
    </row>
    <row r="148" spans="1:23" x14ac:dyDescent="0.25">
      <c r="A148">
        <v>0</v>
      </c>
      <c r="B148">
        <v>0</v>
      </c>
      <c r="C148">
        <v>0</v>
      </c>
      <c r="D148">
        <v>0</v>
      </c>
      <c r="E148">
        <v>0</v>
      </c>
      <c r="G148">
        <v>0</v>
      </c>
      <c r="H148">
        <v>0</v>
      </c>
      <c r="I148">
        <v>0</v>
      </c>
      <c r="J148">
        <v>0</v>
      </c>
      <c r="K148">
        <v>0</v>
      </c>
      <c r="M148">
        <v>0</v>
      </c>
      <c r="N148">
        <v>0</v>
      </c>
      <c r="O148">
        <v>0</v>
      </c>
      <c r="P148">
        <v>0</v>
      </c>
      <c r="Q148">
        <v>0</v>
      </c>
      <c r="S148">
        <v>0</v>
      </c>
      <c r="T148">
        <v>0</v>
      </c>
      <c r="U148" s="20">
        <v>0</v>
      </c>
      <c r="V148" s="20">
        <v>0</v>
      </c>
      <c r="W148" s="23">
        <v>0</v>
      </c>
    </row>
    <row r="149" spans="1:23" x14ac:dyDescent="0.25">
      <c r="A149">
        <v>0</v>
      </c>
      <c r="B149">
        <v>0</v>
      </c>
      <c r="C149">
        <v>0</v>
      </c>
      <c r="D149">
        <v>0</v>
      </c>
      <c r="E149">
        <v>0</v>
      </c>
      <c r="G149">
        <v>0</v>
      </c>
      <c r="H149">
        <v>0</v>
      </c>
      <c r="I149">
        <v>0</v>
      </c>
      <c r="J149">
        <v>0</v>
      </c>
      <c r="K149">
        <v>0</v>
      </c>
      <c r="M149">
        <v>0</v>
      </c>
      <c r="N149">
        <v>0</v>
      </c>
      <c r="O149">
        <v>0</v>
      </c>
      <c r="P149">
        <v>0</v>
      </c>
      <c r="Q149">
        <v>0</v>
      </c>
      <c r="S149">
        <v>0</v>
      </c>
      <c r="T149">
        <v>0</v>
      </c>
      <c r="U149" s="20">
        <v>0</v>
      </c>
      <c r="V149" s="20">
        <v>0</v>
      </c>
      <c r="W149" s="23">
        <v>0</v>
      </c>
    </row>
    <row r="150" spans="1:23" x14ac:dyDescent="0.25">
      <c r="A150">
        <v>0</v>
      </c>
      <c r="B150">
        <v>0</v>
      </c>
      <c r="C150">
        <v>0</v>
      </c>
      <c r="D150">
        <v>0</v>
      </c>
      <c r="E150">
        <v>0</v>
      </c>
      <c r="G150">
        <v>0</v>
      </c>
      <c r="H150">
        <v>0</v>
      </c>
      <c r="I150">
        <v>0</v>
      </c>
      <c r="J150">
        <v>0</v>
      </c>
      <c r="K150">
        <v>0</v>
      </c>
      <c r="M150">
        <v>0</v>
      </c>
      <c r="N150">
        <v>0</v>
      </c>
      <c r="O150">
        <v>0</v>
      </c>
      <c r="P150">
        <v>0</v>
      </c>
      <c r="Q150">
        <v>0</v>
      </c>
      <c r="S150">
        <v>0</v>
      </c>
      <c r="T150">
        <v>0</v>
      </c>
      <c r="U150" s="20">
        <v>0</v>
      </c>
      <c r="V150" s="20">
        <v>0</v>
      </c>
      <c r="W150" s="23">
        <v>0</v>
      </c>
    </row>
    <row r="151" spans="1:23" x14ac:dyDescent="0.25">
      <c r="A151">
        <v>0</v>
      </c>
      <c r="B151">
        <v>0</v>
      </c>
      <c r="C151">
        <v>0</v>
      </c>
      <c r="D151">
        <v>0</v>
      </c>
      <c r="E151">
        <v>0</v>
      </c>
      <c r="G151">
        <v>0</v>
      </c>
      <c r="H151">
        <v>0</v>
      </c>
      <c r="I151">
        <v>0</v>
      </c>
      <c r="J151">
        <v>0</v>
      </c>
      <c r="K151">
        <v>0</v>
      </c>
      <c r="M151">
        <v>0</v>
      </c>
      <c r="N151">
        <v>0</v>
      </c>
      <c r="O151">
        <v>0</v>
      </c>
      <c r="P151">
        <v>0</v>
      </c>
      <c r="Q151">
        <v>0</v>
      </c>
      <c r="S151">
        <v>0</v>
      </c>
      <c r="T151">
        <v>0</v>
      </c>
      <c r="U151" s="20">
        <v>0</v>
      </c>
      <c r="V151" s="20">
        <v>0</v>
      </c>
      <c r="W151" s="23">
        <v>0</v>
      </c>
    </row>
    <row r="152" spans="1:23" x14ac:dyDescent="0.25">
      <c r="A152">
        <v>0</v>
      </c>
      <c r="B152">
        <v>0</v>
      </c>
      <c r="C152">
        <v>0</v>
      </c>
      <c r="D152">
        <v>0</v>
      </c>
      <c r="E152">
        <v>0</v>
      </c>
      <c r="G152">
        <v>0</v>
      </c>
      <c r="H152">
        <v>0</v>
      </c>
      <c r="I152">
        <v>0</v>
      </c>
      <c r="J152">
        <v>0</v>
      </c>
      <c r="K152">
        <v>0</v>
      </c>
      <c r="M152">
        <v>0</v>
      </c>
      <c r="N152">
        <v>0</v>
      </c>
      <c r="O152">
        <v>0</v>
      </c>
      <c r="P152">
        <v>0</v>
      </c>
      <c r="Q152">
        <v>0</v>
      </c>
      <c r="S152">
        <v>0</v>
      </c>
      <c r="T152">
        <v>0</v>
      </c>
      <c r="U152" s="20">
        <v>0</v>
      </c>
      <c r="V152" s="20">
        <v>0</v>
      </c>
      <c r="W152" s="23">
        <v>0</v>
      </c>
    </row>
    <row r="153" spans="1:23" x14ac:dyDescent="0.25">
      <c r="A153">
        <v>0</v>
      </c>
      <c r="B153">
        <v>0</v>
      </c>
      <c r="C153">
        <v>0</v>
      </c>
      <c r="D153">
        <v>0</v>
      </c>
      <c r="E153">
        <v>0</v>
      </c>
      <c r="G153">
        <v>0</v>
      </c>
      <c r="H153">
        <v>0</v>
      </c>
      <c r="I153">
        <v>0</v>
      </c>
      <c r="J153">
        <v>0</v>
      </c>
      <c r="K153">
        <v>0</v>
      </c>
      <c r="M153">
        <v>0</v>
      </c>
      <c r="N153">
        <v>0</v>
      </c>
      <c r="O153">
        <v>0</v>
      </c>
      <c r="P153">
        <v>0</v>
      </c>
      <c r="Q153">
        <v>0</v>
      </c>
      <c r="S153">
        <v>0</v>
      </c>
      <c r="T153">
        <v>0</v>
      </c>
      <c r="U153" s="20">
        <v>0</v>
      </c>
      <c r="V153" s="20">
        <v>0</v>
      </c>
      <c r="W153" s="23">
        <v>0</v>
      </c>
    </row>
    <row r="154" spans="1:23" x14ac:dyDescent="0.25">
      <c r="A154">
        <v>0</v>
      </c>
      <c r="B154">
        <v>0</v>
      </c>
      <c r="C154">
        <v>0</v>
      </c>
      <c r="D154">
        <v>0</v>
      </c>
      <c r="E154">
        <v>0</v>
      </c>
      <c r="G154">
        <v>0</v>
      </c>
      <c r="H154">
        <v>0</v>
      </c>
      <c r="I154">
        <v>0</v>
      </c>
      <c r="J154">
        <v>0</v>
      </c>
      <c r="K154">
        <v>0</v>
      </c>
      <c r="M154">
        <v>0</v>
      </c>
      <c r="N154">
        <v>0</v>
      </c>
      <c r="O154">
        <v>0</v>
      </c>
      <c r="P154">
        <v>0</v>
      </c>
      <c r="Q154">
        <v>0</v>
      </c>
      <c r="S154">
        <v>0</v>
      </c>
      <c r="T154">
        <v>0</v>
      </c>
      <c r="U154" s="20">
        <v>0</v>
      </c>
      <c r="V154" s="20">
        <v>0</v>
      </c>
      <c r="W154" s="23">
        <v>0</v>
      </c>
    </row>
    <row r="155" spans="1:23" x14ac:dyDescent="0.25">
      <c r="A155">
        <v>0</v>
      </c>
      <c r="B155">
        <v>0</v>
      </c>
      <c r="C155">
        <v>0</v>
      </c>
      <c r="D155">
        <v>0</v>
      </c>
      <c r="E155">
        <v>0</v>
      </c>
      <c r="G155">
        <v>0</v>
      </c>
      <c r="H155">
        <v>0</v>
      </c>
      <c r="I155">
        <v>0</v>
      </c>
      <c r="J155">
        <v>0</v>
      </c>
      <c r="K155">
        <v>0</v>
      </c>
      <c r="M155">
        <v>0</v>
      </c>
      <c r="N155">
        <v>0</v>
      </c>
      <c r="O155">
        <v>0</v>
      </c>
      <c r="P155">
        <v>0</v>
      </c>
      <c r="Q155">
        <v>0</v>
      </c>
      <c r="S155">
        <v>0</v>
      </c>
      <c r="T155">
        <v>0</v>
      </c>
      <c r="U155" s="20">
        <v>0</v>
      </c>
      <c r="V155" s="20">
        <v>0</v>
      </c>
      <c r="W155" s="23">
        <v>0</v>
      </c>
    </row>
    <row r="156" spans="1:23" x14ac:dyDescent="0.25">
      <c r="A156">
        <v>0</v>
      </c>
      <c r="B156">
        <v>0</v>
      </c>
      <c r="C156">
        <v>0</v>
      </c>
      <c r="D156">
        <v>0</v>
      </c>
      <c r="E156">
        <v>0</v>
      </c>
      <c r="G156">
        <v>0</v>
      </c>
      <c r="H156">
        <v>0</v>
      </c>
      <c r="I156">
        <v>0</v>
      </c>
      <c r="J156">
        <v>0</v>
      </c>
      <c r="K156">
        <v>0</v>
      </c>
      <c r="M156">
        <v>0</v>
      </c>
      <c r="N156">
        <v>0</v>
      </c>
      <c r="O156">
        <v>0</v>
      </c>
      <c r="P156">
        <v>0</v>
      </c>
      <c r="Q156">
        <v>0</v>
      </c>
      <c r="S156">
        <v>0</v>
      </c>
      <c r="T156">
        <v>0</v>
      </c>
      <c r="U156" s="20">
        <v>0</v>
      </c>
      <c r="V156" s="20">
        <v>0</v>
      </c>
      <c r="W156" s="23">
        <v>0</v>
      </c>
    </row>
    <row r="157" spans="1:23" x14ac:dyDescent="0.25">
      <c r="A157">
        <v>0</v>
      </c>
      <c r="B157">
        <v>0</v>
      </c>
      <c r="C157">
        <v>0</v>
      </c>
      <c r="D157">
        <v>0</v>
      </c>
      <c r="E157">
        <v>0</v>
      </c>
      <c r="G157">
        <v>0</v>
      </c>
      <c r="H157">
        <v>0</v>
      </c>
      <c r="I157">
        <v>0</v>
      </c>
      <c r="J157">
        <v>0</v>
      </c>
      <c r="K157">
        <v>0</v>
      </c>
      <c r="M157">
        <v>0</v>
      </c>
      <c r="N157">
        <v>0</v>
      </c>
      <c r="O157">
        <v>0</v>
      </c>
      <c r="P157">
        <v>0</v>
      </c>
      <c r="Q157">
        <v>0</v>
      </c>
      <c r="S157">
        <v>0</v>
      </c>
      <c r="T157">
        <v>0</v>
      </c>
      <c r="U157" s="20">
        <v>0</v>
      </c>
      <c r="V157" s="20">
        <v>0</v>
      </c>
      <c r="W157" s="23">
        <v>0</v>
      </c>
    </row>
    <row r="158" spans="1:23" x14ac:dyDescent="0.25">
      <c r="A158">
        <v>0</v>
      </c>
      <c r="B158">
        <v>0</v>
      </c>
      <c r="C158">
        <v>0</v>
      </c>
      <c r="D158">
        <v>0</v>
      </c>
      <c r="E158">
        <v>0</v>
      </c>
      <c r="G158">
        <v>0</v>
      </c>
      <c r="H158">
        <v>0</v>
      </c>
      <c r="I158">
        <v>0</v>
      </c>
      <c r="J158">
        <v>0</v>
      </c>
      <c r="K158">
        <v>0</v>
      </c>
      <c r="M158">
        <v>0</v>
      </c>
      <c r="N158">
        <v>0</v>
      </c>
      <c r="O158">
        <v>0</v>
      </c>
      <c r="P158">
        <v>0</v>
      </c>
      <c r="Q158">
        <v>0</v>
      </c>
      <c r="S158">
        <v>0</v>
      </c>
      <c r="T158">
        <v>0</v>
      </c>
      <c r="U158" s="20">
        <v>0</v>
      </c>
      <c r="V158" s="20">
        <v>0</v>
      </c>
      <c r="W158" s="23">
        <v>0</v>
      </c>
    </row>
    <row r="159" spans="1:23" x14ac:dyDescent="0.25">
      <c r="A159">
        <v>0</v>
      </c>
      <c r="B159">
        <v>0</v>
      </c>
      <c r="C159">
        <v>0</v>
      </c>
      <c r="D159">
        <v>0</v>
      </c>
      <c r="E159">
        <v>0</v>
      </c>
      <c r="G159">
        <v>0</v>
      </c>
      <c r="H159">
        <v>0</v>
      </c>
      <c r="I159">
        <v>0</v>
      </c>
      <c r="J159">
        <v>0</v>
      </c>
      <c r="K159">
        <v>0</v>
      </c>
      <c r="M159">
        <v>0</v>
      </c>
      <c r="N159">
        <v>0</v>
      </c>
      <c r="O159">
        <v>0</v>
      </c>
      <c r="P159">
        <v>0</v>
      </c>
      <c r="Q159">
        <v>0</v>
      </c>
      <c r="S159">
        <v>0</v>
      </c>
      <c r="T159">
        <v>0</v>
      </c>
      <c r="U159" s="20">
        <v>0</v>
      </c>
      <c r="V159" s="20">
        <v>0</v>
      </c>
      <c r="W159" s="23">
        <v>0</v>
      </c>
    </row>
    <row r="160" spans="1:23" x14ac:dyDescent="0.25">
      <c r="A160">
        <v>0</v>
      </c>
      <c r="B160">
        <v>0</v>
      </c>
      <c r="C160">
        <v>0</v>
      </c>
      <c r="D160">
        <v>0</v>
      </c>
      <c r="E160">
        <v>0</v>
      </c>
      <c r="G160">
        <v>0</v>
      </c>
      <c r="H160">
        <v>0</v>
      </c>
      <c r="I160">
        <v>0</v>
      </c>
      <c r="J160">
        <v>0</v>
      </c>
      <c r="K160">
        <v>0</v>
      </c>
      <c r="M160">
        <v>0</v>
      </c>
      <c r="N160">
        <v>0</v>
      </c>
      <c r="O160">
        <v>0</v>
      </c>
      <c r="P160">
        <v>0</v>
      </c>
      <c r="Q160">
        <v>0</v>
      </c>
      <c r="S160">
        <v>0</v>
      </c>
      <c r="T160">
        <v>0</v>
      </c>
      <c r="U160" s="20">
        <v>0</v>
      </c>
      <c r="V160" s="20">
        <v>0</v>
      </c>
      <c r="W160" s="23">
        <v>0</v>
      </c>
    </row>
    <row r="161" spans="1:23" x14ac:dyDescent="0.25">
      <c r="A161">
        <v>0</v>
      </c>
      <c r="B161">
        <v>0</v>
      </c>
      <c r="C161">
        <v>0</v>
      </c>
      <c r="D161">
        <v>0</v>
      </c>
      <c r="E161">
        <v>0</v>
      </c>
      <c r="G161">
        <v>0</v>
      </c>
      <c r="H161">
        <v>0</v>
      </c>
      <c r="I161">
        <v>0</v>
      </c>
      <c r="J161">
        <v>0</v>
      </c>
      <c r="K161">
        <v>0</v>
      </c>
      <c r="M161">
        <v>0</v>
      </c>
      <c r="N161">
        <v>0</v>
      </c>
      <c r="O161">
        <v>0</v>
      </c>
      <c r="P161">
        <v>0</v>
      </c>
      <c r="Q161">
        <v>0</v>
      </c>
      <c r="S161">
        <v>0</v>
      </c>
      <c r="T161">
        <v>0</v>
      </c>
      <c r="U161" s="20">
        <v>0</v>
      </c>
      <c r="V161" s="20">
        <v>0</v>
      </c>
      <c r="W161" s="23">
        <v>0</v>
      </c>
    </row>
    <row r="162" spans="1:23" x14ac:dyDescent="0.25">
      <c r="A162">
        <v>0</v>
      </c>
      <c r="B162">
        <v>0</v>
      </c>
      <c r="C162">
        <v>0</v>
      </c>
      <c r="D162">
        <v>0</v>
      </c>
      <c r="E162">
        <v>0</v>
      </c>
      <c r="G162">
        <v>0</v>
      </c>
      <c r="H162">
        <v>0</v>
      </c>
      <c r="I162">
        <v>0</v>
      </c>
      <c r="J162">
        <v>0</v>
      </c>
      <c r="K162">
        <v>0</v>
      </c>
      <c r="M162">
        <v>0</v>
      </c>
      <c r="N162">
        <v>0</v>
      </c>
      <c r="O162">
        <v>0</v>
      </c>
      <c r="P162">
        <v>0</v>
      </c>
      <c r="Q162">
        <v>0</v>
      </c>
      <c r="S162">
        <v>0</v>
      </c>
      <c r="T162">
        <v>0</v>
      </c>
      <c r="U162" s="20">
        <v>0</v>
      </c>
      <c r="V162" s="20">
        <v>0</v>
      </c>
      <c r="W162" s="23">
        <v>0</v>
      </c>
    </row>
    <row r="163" spans="1:23" x14ac:dyDescent="0.25">
      <c r="A163">
        <v>0</v>
      </c>
      <c r="B163">
        <v>0</v>
      </c>
      <c r="C163">
        <v>0</v>
      </c>
      <c r="D163">
        <v>0</v>
      </c>
      <c r="E163">
        <v>0</v>
      </c>
      <c r="G163">
        <v>0</v>
      </c>
      <c r="H163">
        <v>0</v>
      </c>
      <c r="I163">
        <v>0</v>
      </c>
      <c r="J163">
        <v>0</v>
      </c>
      <c r="K163">
        <v>0</v>
      </c>
      <c r="M163">
        <v>0</v>
      </c>
      <c r="N163">
        <v>0</v>
      </c>
      <c r="O163">
        <v>0</v>
      </c>
      <c r="P163">
        <v>0</v>
      </c>
      <c r="Q163">
        <v>0</v>
      </c>
      <c r="S163">
        <v>0</v>
      </c>
      <c r="T163">
        <v>0</v>
      </c>
      <c r="U163" s="20">
        <v>0</v>
      </c>
      <c r="V163" s="20">
        <v>0</v>
      </c>
      <c r="W163" s="23">
        <v>0</v>
      </c>
    </row>
    <row r="164" spans="1:23" x14ac:dyDescent="0.25">
      <c r="A164">
        <v>0</v>
      </c>
      <c r="B164">
        <v>0</v>
      </c>
      <c r="C164">
        <v>0</v>
      </c>
      <c r="D164">
        <v>0</v>
      </c>
      <c r="E164">
        <v>0</v>
      </c>
      <c r="G164">
        <v>0</v>
      </c>
      <c r="H164">
        <v>0</v>
      </c>
      <c r="I164">
        <v>0</v>
      </c>
      <c r="J164">
        <v>0</v>
      </c>
      <c r="K164">
        <v>0</v>
      </c>
      <c r="M164">
        <v>0</v>
      </c>
      <c r="N164">
        <v>0</v>
      </c>
      <c r="O164">
        <v>0</v>
      </c>
      <c r="P164">
        <v>0</v>
      </c>
      <c r="Q164">
        <v>0</v>
      </c>
      <c r="S164">
        <v>0</v>
      </c>
      <c r="T164">
        <v>0</v>
      </c>
      <c r="U164" s="20">
        <v>0</v>
      </c>
      <c r="V164" s="20">
        <v>0</v>
      </c>
      <c r="W164" s="23">
        <v>0</v>
      </c>
    </row>
    <row r="165" spans="1:23" x14ac:dyDescent="0.25">
      <c r="A165">
        <v>0</v>
      </c>
      <c r="B165">
        <v>0</v>
      </c>
      <c r="C165">
        <v>0</v>
      </c>
      <c r="D165">
        <v>0</v>
      </c>
      <c r="E165">
        <v>0</v>
      </c>
      <c r="G165">
        <v>0</v>
      </c>
      <c r="H165">
        <v>0</v>
      </c>
      <c r="I165">
        <v>0</v>
      </c>
      <c r="J165">
        <v>0</v>
      </c>
      <c r="K165">
        <v>0</v>
      </c>
      <c r="M165">
        <v>0</v>
      </c>
      <c r="N165">
        <v>0</v>
      </c>
      <c r="O165">
        <v>0</v>
      </c>
      <c r="P165">
        <v>0</v>
      </c>
      <c r="Q165">
        <v>0</v>
      </c>
      <c r="S165">
        <v>0</v>
      </c>
      <c r="T165">
        <v>0</v>
      </c>
      <c r="U165" s="20">
        <v>0</v>
      </c>
      <c r="V165" s="20">
        <v>0</v>
      </c>
      <c r="W165" s="23">
        <v>0</v>
      </c>
    </row>
    <row r="166" spans="1:23" x14ac:dyDescent="0.25">
      <c r="A166">
        <v>0</v>
      </c>
      <c r="B166">
        <v>0</v>
      </c>
      <c r="C166">
        <v>0</v>
      </c>
      <c r="D166">
        <v>0</v>
      </c>
      <c r="E166">
        <v>0</v>
      </c>
      <c r="G166">
        <v>0</v>
      </c>
      <c r="H166">
        <v>0</v>
      </c>
      <c r="I166">
        <v>0</v>
      </c>
      <c r="J166">
        <v>0</v>
      </c>
      <c r="K166">
        <v>0</v>
      </c>
      <c r="M166">
        <v>0</v>
      </c>
      <c r="N166">
        <v>0</v>
      </c>
      <c r="O166">
        <v>0</v>
      </c>
      <c r="P166">
        <v>0</v>
      </c>
      <c r="Q166">
        <v>0</v>
      </c>
      <c r="S166">
        <v>0</v>
      </c>
      <c r="T166">
        <v>0</v>
      </c>
      <c r="U166" s="20">
        <v>0</v>
      </c>
      <c r="V166" s="20">
        <v>0</v>
      </c>
      <c r="W166" s="23">
        <v>0</v>
      </c>
    </row>
    <row r="167" spans="1:23" x14ac:dyDescent="0.25">
      <c r="A167">
        <v>0</v>
      </c>
      <c r="B167">
        <v>0</v>
      </c>
      <c r="C167">
        <v>0</v>
      </c>
      <c r="D167">
        <v>0</v>
      </c>
      <c r="E167">
        <v>0</v>
      </c>
      <c r="G167">
        <v>0</v>
      </c>
      <c r="H167">
        <v>0</v>
      </c>
      <c r="I167">
        <v>0</v>
      </c>
      <c r="J167">
        <v>0</v>
      </c>
      <c r="K167">
        <v>0</v>
      </c>
      <c r="M167">
        <v>0</v>
      </c>
      <c r="N167">
        <v>0</v>
      </c>
      <c r="O167">
        <v>0</v>
      </c>
      <c r="P167">
        <v>0</v>
      </c>
      <c r="Q167">
        <v>0</v>
      </c>
      <c r="S167">
        <v>0</v>
      </c>
      <c r="T167">
        <v>0</v>
      </c>
      <c r="U167" s="20">
        <v>0</v>
      </c>
      <c r="V167" s="20">
        <v>0</v>
      </c>
      <c r="W167" s="23">
        <v>0</v>
      </c>
    </row>
    <row r="168" spans="1:23" x14ac:dyDescent="0.25">
      <c r="A168">
        <v>0</v>
      </c>
      <c r="B168">
        <v>0</v>
      </c>
      <c r="C168">
        <v>0</v>
      </c>
      <c r="D168">
        <v>0</v>
      </c>
      <c r="E168">
        <v>0</v>
      </c>
      <c r="G168">
        <v>0</v>
      </c>
      <c r="H168">
        <v>0</v>
      </c>
      <c r="I168">
        <v>0</v>
      </c>
      <c r="J168">
        <v>0</v>
      </c>
      <c r="K168">
        <v>0</v>
      </c>
      <c r="M168">
        <v>0</v>
      </c>
      <c r="N168">
        <v>0</v>
      </c>
      <c r="O168">
        <v>0</v>
      </c>
      <c r="P168">
        <v>0</v>
      </c>
      <c r="Q168">
        <v>0</v>
      </c>
      <c r="S168">
        <v>0</v>
      </c>
      <c r="T168">
        <v>0</v>
      </c>
      <c r="U168" s="20">
        <v>0</v>
      </c>
      <c r="V168" s="20">
        <v>0</v>
      </c>
      <c r="W168" s="23">
        <v>0</v>
      </c>
    </row>
    <row r="169" spans="1:23" x14ac:dyDescent="0.25">
      <c r="A169">
        <v>0</v>
      </c>
      <c r="B169">
        <v>0</v>
      </c>
      <c r="C169">
        <v>0</v>
      </c>
      <c r="D169">
        <v>0</v>
      </c>
      <c r="E169">
        <v>0</v>
      </c>
      <c r="G169">
        <v>0</v>
      </c>
      <c r="H169">
        <v>0</v>
      </c>
      <c r="I169">
        <v>0</v>
      </c>
      <c r="J169">
        <v>0</v>
      </c>
      <c r="K169">
        <v>0</v>
      </c>
      <c r="M169">
        <v>0</v>
      </c>
      <c r="N169">
        <v>0</v>
      </c>
      <c r="O169">
        <v>0</v>
      </c>
      <c r="P169">
        <v>0</v>
      </c>
      <c r="Q169">
        <v>0</v>
      </c>
      <c r="S169">
        <v>0</v>
      </c>
      <c r="T169">
        <v>0</v>
      </c>
      <c r="U169" s="20">
        <v>0</v>
      </c>
      <c r="V169" s="20">
        <v>0</v>
      </c>
      <c r="W169" s="23">
        <v>0</v>
      </c>
    </row>
    <row r="170" spans="1:23" x14ac:dyDescent="0.25">
      <c r="A170">
        <v>0</v>
      </c>
      <c r="B170">
        <v>0</v>
      </c>
      <c r="C170">
        <v>0</v>
      </c>
      <c r="D170">
        <v>0</v>
      </c>
      <c r="E170">
        <v>0</v>
      </c>
      <c r="G170">
        <v>0</v>
      </c>
      <c r="H170">
        <v>0</v>
      </c>
      <c r="I170">
        <v>0</v>
      </c>
      <c r="J170">
        <v>0</v>
      </c>
      <c r="K170">
        <v>0</v>
      </c>
      <c r="M170">
        <v>0</v>
      </c>
      <c r="N170">
        <v>0</v>
      </c>
      <c r="O170">
        <v>0</v>
      </c>
      <c r="P170">
        <v>0</v>
      </c>
      <c r="Q170">
        <v>0</v>
      </c>
      <c r="S170">
        <v>0</v>
      </c>
      <c r="T170">
        <v>0</v>
      </c>
      <c r="U170" s="20">
        <v>0</v>
      </c>
      <c r="V170" s="20">
        <v>0</v>
      </c>
      <c r="W170" s="23">
        <v>0</v>
      </c>
    </row>
    <row r="171" spans="1:23" x14ac:dyDescent="0.25">
      <c r="A171">
        <v>0</v>
      </c>
      <c r="B171">
        <v>0</v>
      </c>
      <c r="C171">
        <v>0</v>
      </c>
      <c r="D171">
        <v>0</v>
      </c>
      <c r="E171">
        <v>0</v>
      </c>
      <c r="G171">
        <v>0</v>
      </c>
      <c r="H171">
        <v>0</v>
      </c>
      <c r="I171">
        <v>0</v>
      </c>
      <c r="J171">
        <v>0</v>
      </c>
      <c r="K171">
        <v>0</v>
      </c>
      <c r="M171">
        <v>0</v>
      </c>
      <c r="N171">
        <v>0</v>
      </c>
      <c r="O171">
        <v>0</v>
      </c>
      <c r="P171">
        <v>0</v>
      </c>
      <c r="Q171">
        <v>0</v>
      </c>
      <c r="S171">
        <v>0</v>
      </c>
      <c r="T171">
        <v>0</v>
      </c>
      <c r="U171" s="20">
        <v>0</v>
      </c>
      <c r="V171" s="20">
        <v>0</v>
      </c>
      <c r="W171" s="23">
        <v>0</v>
      </c>
    </row>
    <row r="172" spans="1:23" x14ac:dyDescent="0.25">
      <c r="A172">
        <v>0</v>
      </c>
      <c r="B172">
        <v>0</v>
      </c>
      <c r="C172">
        <v>0</v>
      </c>
      <c r="D172">
        <v>0</v>
      </c>
      <c r="E172">
        <v>0</v>
      </c>
      <c r="G172">
        <v>0</v>
      </c>
      <c r="H172">
        <v>0</v>
      </c>
      <c r="I172">
        <v>0</v>
      </c>
      <c r="J172">
        <v>0</v>
      </c>
      <c r="K172">
        <v>0</v>
      </c>
      <c r="M172">
        <v>0</v>
      </c>
      <c r="N172">
        <v>0</v>
      </c>
      <c r="O172">
        <v>0</v>
      </c>
      <c r="P172">
        <v>0</v>
      </c>
      <c r="Q172">
        <v>0</v>
      </c>
      <c r="S172">
        <v>0</v>
      </c>
      <c r="T172">
        <v>0</v>
      </c>
      <c r="U172" s="20">
        <v>0</v>
      </c>
      <c r="V172" s="20">
        <v>0</v>
      </c>
      <c r="W172" s="23">
        <v>0</v>
      </c>
    </row>
    <row r="173" spans="1:23" x14ac:dyDescent="0.25">
      <c r="A173">
        <v>0</v>
      </c>
      <c r="B173">
        <v>0</v>
      </c>
      <c r="C173">
        <v>0</v>
      </c>
      <c r="D173">
        <v>0</v>
      </c>
      <c r="E173">
        <v>0</v>
      </c>
      <c r="G173">
        <v>0</v>
      </c>
      <c r="H173">
        <v>0</v>
      </c>
      <c r="I173">
        <v>0</v>
      </c>
      <c r="J173">
        <v>0</v>
      </c>
      <c r="K173">
        <v>0</v>
      </c>
      <c r="M173">
        <v>0</v>
      </c>
      <c r="N173">
        <v>0</v>
      </c>
      <c r="O173">
        <v>0</v>
      </c>
      <c r="P173">
        <v>0</v>
      </c>
      <c r="Q173">
        <v>0</v>
      </c>
      <c r="S173">
        <v>0</v>
      </c>
      <c r="T173">
        <v>0</v>
      </c>
      <c r="U173" s="20">
        <v>0</v>
      </c>
      <c r="V173" s="20">
        <v>0</v>
      </c>
      <c r="W173" s="23">
        <v>0</v>
      </c>
    </row>
    <row r="174" spans="1:23" x14ac:dyDescent="0.25">
      <c r="A174">
        <v>0</v>
      </c>
      <c r="B174">
        <v>0</v>
      </c>
      <c r="C174">
        <v>0</v>
      </c>
      <c r="D174">
        <v>0</v>
      </c>
      <c r="E174">
        <v>0</v>
      </c>
      <c r="G174">
        <v>0</v>
      </c>
      <c r="H174">
        <v>0</v>
      </c>
      <c r="I174">
        <v>0</v>
      </c>
      <c r="J174">
        <v>0</v>
      </c>
      <c r="K174">
        <v>0</v>
      </c>
      <c r="M174">
        <v>0</v>
      </c>
      <c r="N174">
        <v>0</v>
      </c>
      <c r="O174">
        <v>0</v>
      </c>
      <c r="P174">
        <v>0</v>
      </c>
      <c r="Q174">
        <v>0</v>
      </c>
      <c r="S174">
        <v>0</v>
      </c>
      <c r="T174">
        <v>0</v>
      </c>
      <c r="U174" s="20">
        <v>0</v>
      </c>
      <c r="V174" s="20">
        <v>0</v>
      </c>
      <c r="W174" s="23">
        <v>0</v>
      </c>
    </row>
    <row r="175" spans="1:23" x14ac:dyDescent="0.25">
      <c r="A175">
        <v>0</v>
      </c>
      <c r="B175">
        <v>0</v>
      </c>
      <c r="C175">
        <v>0</v>
      </c>
      <c r="D175">
        <v>0</v>
      </c>
      <c r="E175">
        <v>0</v>
      </c>
      <c r="G175">
        <v>0</v>
      </c>
      <c r="H175">
        <v>0</v>
      </c>
      <c r="I175">
        <v>0</v>
      </c>
      <c r="J175">
        <v>0</v>
      </c>
      <c r="K175">
        <v>0</v>
      </c>
      <c r="M175">
        <v>0</v>
      </c>
      <c r="N175">
        <v>0</v>
      </c>
      <c r="O175">
        <v>0</v>
      </c>
      <c r="P175">
        <v>0</v>
      </c>
      <c r="Q175">
        <v>0</v>
      </c>
      <c r="S175">
        <v>0</v>
      </c>
      <c r="T175">
        <v>0</v>
      </c>
      <c r="U175" s="20">
        <v>0</v>
      </c>
      <c r="V175" s="20">
        <v>0</v>
      </c>
      <c r="W175" s="23">
        <v>0</v>
      </c>
    </row>
    <row r="176" spans="1:23" x14ac:dyDescent="0.25">
      <c r="A176">
        <v>0</v>
      </c>
      <c r="B176">
        <v>0</v>
      </c>
      <c r="C176">
        <v>0</v>
      </c>
      <c r="D176">
        <v>0</v>
      </c>
      <c r="E176">
        <v>0</v>
      </c>
      <c r="G176">
        <v>0</v>
      </c>
      <c r="H176">
        <v>0</v>
      </c>
      <c r="I176">
        <v>0</v>
      </c>
      <c r="J176">
        <v>0</v>
      </c>
      <c r="K176">
        <v>0</v>
      </c>
      <c r="M176">
        <v>0</v>
      </c>
      <c r="N176">
        <v>0</v>
      </c>
      <c r="O176">
        <v>0</v>
      </c>
      <c r="P176">
        <v>0</v>
      </c>
      <c r="Q176">
        <v>0</v>
      </c>
      <c r="S176">
        <v>0</v>
      </c>
      <c r="T176">
        <v>0</v>
      </c>
      <c r="U176" s="20">
        <v>0</v>
      </c>
      <c r="V176" s="20">
        <v>0</v>
      </c>
      <c r="W176" s="23">
        <v>0</v>
      </c>
    </row>
    <row r="177" spans="1:23" x14ac:dyDescent="0.25">
      <c r="A177">
        <v>0</v>
      </c>
      <c r="B177">
        <v>0</v>
      </c>
      <c r="C177">
        <v>0</v>
      </c>
      <c r="D177">
        <v>0</v>
      </c>
      <c r="E177">
        <v>0</v>
      </c>
      <c r="G177">
        <v>0</v>
      </c>
      <c r="H177">
        <v>0</v>
      </c>
      <c r="I177">
        <v>0</v>
      </c>
      <c r="J177">
        <v>0</v>
      </c>
      <c r="K177">
        <v>0</v>
      </c>
      <c r="M177">
        <v>0</v>
      </c>
      <c r="N177">
        <v>0</v>
      </c>
      <c r="O177">
        <v>0</v>
      </c>
      <c r="P177">
        <v>0</v>
      </c>
      <c r="Q177">
        <v>0</v>
      </c>
      <c r="S177">
        <v>0</v>
      </c>
      <c r="T177">
        <v>0</v>
      </c>
      <c r="U177" s="20">
        <v>0</v>
      </c>
      <c r="V177" s="20">
        <v>0</v>
      </c>
      <c r="W177" s="23">
        <v>0</v>
      </c>
    </row>
    <row r="178" spans="1:23" x14ac:dyDescent="0.25">
      <c r="A178">
        <v>0</v>
      </c>
      <c r="B178">
        <v>0</v>
      </c>
      <c r="C178">
        <v>0</v>
      </c>
      <c r="D178">
        <v>0</v>
      </c>
      <c r="E178">
        <v>0</v>
      </c>
      <c r="G178">
        <v>0</v>
      </c>
      <c r="H178">
        <v>0</v>
      </c>
      <c r="I178">
        <v>0</v>
      </c>
      <c r="J178">
        <v>0</v>
      </c>
      <c r="K178">
        <v>0</v>
      </c>
      <c r="M178">
        <v>0</v>
      </c>
      <c r="N178">
        <v>0</v>
      </c>
      <c r="O178">
        <v>0</v>
      </c>
      <c r="P178">
        <v>0</v>
      </c>
      <c r="Q178">
        <v>0</v>
      </c>
      <c r="S178">
        <v>0</v>
      </c>
      <c r="T178">
        <v>0</v>
      </c>
      <c r="U178" s="20">
        <v>0</v>
      </c>
      <c r="V178" s="20">
        <v>0</v>
      </c>
      <c r="W178" s="23">
        <v>0</v>
      </c>
    </row>
    <row r="179" spans="1:23" x14ac:dyDescent="0.25">
      <c r="A179">
        <v>0</v>
      </c>
      <c r="B179">
        <v>0</v>
      </c>
      <c r="C179">
        <v>0</v>
      </c>
      <c r="D179">
        <v>0</v>
      </c>
      <c r="E179">
        <v>0</v>
      </c>
      <c r="G179">
        <v>0</v>
      </c>
      <c r="H179">
        <v>0</v>
      </c>
      <c r="I179">
        <v>0</v>
      </c>
      <c r="J179">
        <v>0</v>
      </c>
      <c r="K179">
        <v>0</v>
      </c>
      <c r="M179">
        <v>0</v>
      </c>
      <c r="N179">
        <v>0</v>
      </c>
      <c r="O179">
        <v>0</v>
      </c>
      <c r="P179">
        <v>0</v>
      </c>
      <c r="Q179">
        <v>0</v>
      </c>
      <c r="S179">
        <v>0</v>
      </c>
      <c r="T179">
        <v>0</v>
      </c>
      <c r="U179" s="20">
        <v>0</v>
      </c>
      <c r="V179" s="20">
        <v>0</v>
      </c>
      <c r="W179" s="23">
        <v>0</v>
      </c>
    </row>
    <row r="180" spans="1:23" x14ac:dyDescent="0.25">
      <c r="A180">
        <v>0</v>
      </c>
      <c r="B180">
        <v>0</v>
      </c>
      <c r="C180">
        <v>0</v>
      </c>
      <c r="D180">
        <v>0</v>
      </c>
      <c r="E180">
        <v>0</v>
      </c>
      <c r="G180">
        <v>0</v>
      </c>
      <c r="H180">
        <v>0</v>
      </c>
      <c r="I180">
        <v>0</v>
      </c>
      <c r="J180">
        <v>0</v>
      </c>
      <c r="K180">
        <v>0</v>
      </c>
      <c r="M180">
        <v>0</v>
      </c>
      <c r="N180">
        <v>0</v>
      </c>
      <c r="O180">
        <v>0</v>
      </c>
      <c r="P180">
        <v>0</v>
      </c>
      <c r="Q180">
        <v>0</v>
      </c>
      <c r="S180">
        <v>0</v>
      </c>
      <c r="T180">
        <v>0</v>
      </c>
      <c r="U180" s="20">
        <v>0</v>
      </c>
      <c r="V180" s="20">
        <v>0</v>
      </c>
      <c r="W180" s="23">
        <v>0</v>
      </c>
    </row>
    <row r="181" spans="1:23" x14ac:dyDescent="0.25">
      <c r="A181">
        <v>0</v>
      </c>
      <c r="B181">
        <v>0</v>
      </c>
      <c r="C181">
        <v>0</v>
      </c>
      <c r="D181">
        <v>0</v>
      </c>
      <c r="E181">
        <v>0</v>
      </c>
      <c r="G181">
        <v>0</v>
      </c>
      <c r="H181">
        <v>0</v>
      </c>
      <c r="I181">
        <v>0</v>
      </c>
      <c r="J181">
        <v>0</v>
      </c>
      <c r="K181">
        <v>0</v>
      </c>
      <c r="M181">
        <v>0</v>
      </c>
      <c r="N181">
        <v>0</v>
      </c>
      <c r="O181">
        <v>0</v>
      </c>
      <c r="P181">
        <v>0</v>
      </c>
      <c r="Q181">
        <v>0</v>
      </c>
      <c r="S181">
        <v>0</v>
      </c>
      <c r="T181">
        <v>0</v>
      </c>
      <c r="U181" s="20">
        <v>0</v>
      </c>
      <c r="V181" s="20">
        <v>0</v>
      </c>
      <c r="W181" s="23">
        <v>0</v>
      </c>
    </row>
    <row r="182" spans="1:23" x14ac:dyDescent="0.25">
      <c r="A182">
        <v>0</v>
      </c>
      <c r="B182">
        <v>0</v>
      </c>
      <c r="C182">
        <v>0</v>
      </c>
      <c r="D182">
        <v>0</v>
      </c>
      <c r="E182">
        <v>0</v>
      </c>
      <c r="G182">
        <v>0</v>
      </c>
      <c r="H182">
        <v>0</v>
      </c>
      <c r="I182">
        <v>0</v>
      </c>
      <c r="J182">
        <v>0</v>
      </c>
      <c r="K182">
        <v>0</v>
      </c>
      <c r="M182">
        <v>0</v>
      </c>
      <c r="N182">
        <v>0</v>
      </c>
      <c r="O182">
        <v>0</v>
      </c>
      <c r="P182">
        <v>0</v>
      </c>
      <c r="Q182">
        <v>0</v>
      </c>
      <c r="S182">
        <v>0</v>
      </c>
      <c r="T182">
        <v>0</v>
      </c>
      <c r="U182" s="20">
        <v>0</v>
      </c>
      <c r="V182" s="20">
        <v>0</v>
      </c>
      <c r="W182" s="23">
        <v>0</v>
      </c>
    </row>
    <row r="183" spans="1:23" x14ac:dyDescent="0.25">
      <c r="A183">
        <v>0</v>
      </c>
      <c r="B183">
        <v>0</v>
      </c>
      <c r="C183">
        <v>0</v>
      </c>
      <c r="D183">
        <v>0</v>
      </c>
      <c r="E183">
        <v>0</v>
      </c>
      <c r="G183">
        <v>0</v>
      </c>
      <c r="H183">
        <v>0</v>
      </c>
      <c r="I183">
        <v>0</v>
      </c>
      <c r="J183">
        <v>0</v>
      </c>
      <c r="K183">
        <v>0</v>
      </c>
      <c r="M183">
        <v>0</v>
      </c>
      <c r="N183">
        <v>0</v>
      </c>
      <c r="O183">
        <v>0</v>
      </c>
      <c r="P183">
        <v>0</v>
      </c>
      <c r="Q183">
        <v>0</v>
      </c>
      <c r="S183">
        <v>0</v>
      </c>
      <c r="T183">
        <v>0</v>
      </c>
      <c r="U183" s="20">
        <v>0</v>
      </c>
      <c r="V183" s="20">
        <v>0</v>
      </c>
      <c r="W183" s="23">
        <v>0</v>
      </c>
    </row>
    <row r="184" spans="1:23" x14ac:dyDescent="0.25">
      <c r="A184">
        <v>0</v>
      </c>
      <c r="B184">
        <v>0</v>
      </c>
      <c r="C184">
        <v>0</v>
      </c>
      <c r="D184">
        <v>0</v>
      </c>
      <c r="E184">
        <v>0</v>
      </c>
      <c r="G184">
        <v>0</v>
      </c>
      <c r="H184">
        <v>0</v>
      </c>
      <c r="I184">
        <v>0</v>
      </c>
      <c r="J184">
        <v>0</v>
      </c>
      <c r="K184">
        <v>0</v>
      </c>
      <c r="M184">
        <v>0</v>
      </c>
      <c r="N184">
        <v>0</v>
      </c>
      <c r="O184">
        <v>0</v>
      </c>
      <c r="P184">
        <v>0</v>
      </c>
      <c r="Q184">
        <v>0</v>
      </c>
      <c r="S184">
        <v>0</v>
      </c>
      <c r="T184">
        <v>0</v>
      </c>
      <c r="U184" s="20">
        <v>0</v>
      </c>
      <c r="V184" s="20">
        <v>0</v>
      </c>
      <c r="W184" s="23">
        <v>0</v>
      </c>
    </row>
    <row r="185" spans="1:23" x14ac:dyDescent="0.25">
      <c r="A185">
        <v>0</v>
      </c>
      <c r="B185">
        <v>0</v>
      </c>
      <c r="C185">
        <v>0</v>
      </c>
      <c r="D185">
        <v>0</v>
      </c>
      <c r="E185">
        <v>0</v>
      </c>
      <c r="G185">
        <v>0</v>
      </c>
      <c r="H185">
        <v>0</v>
      </c>
      <c r="I185">
        <v>0</v>
      </c>
      <c r="J185">
        <v>0</v>
      </c>
      <c r="K185">
        <v>0</v>
      </c>
      <c r="M185">
        <v>0</v>
      </c>
      <c r="N185">
        <v>0</v>
      </c>
      <c r="O185">
        <v>0</v>
      </c>
      <c r="P185">
        <v>0</v>
      </c>
      <c r="Q185">
        <v>0</v>
      </c>
      <c r="S185">
        <v>0</v>
      </c>
      <c r="T185">
        <v>0</v>
      </c>
      <c r="U185" s="20">
        <v>0</v>
      </c>
      <c r="V185" s="20">
        <v>0</v>
      </c>
      <c r="W185" s="23">
        <v>0</v>
      </c>
    </row>
    <row r="186" spans="1:23" x14ac:dyDescent="0.25">
      <c r="A186">
        <v>0</v>
      </c>
      <c r="B186">
        <v>0</v>
      </c>
      <c r="C186">
        <v>0</v>
      </c>
      <c r="D186">
        <v>0</v>
      </c>
      <c r="E186">
        <v>0</v>
      </c>
      <c r="G186">
        <v>0</v>
      </c>
      <c r="H186">
        <v>0</v>
      </c>
      <c r="I186">
        <v>0</v>
      </c>
      <c r="J186">
        <v>0</v>
      </c>
      <c r="K186">
        <v>0</v>
      </c>
      <c r="M186">
        <v>0</v>
      </c>
      <c r="N186">
        <v>0</v>
      </c>
      <c r="O186">
        <v>0</v>
      </c>
      <c r="P186">
        <v>0</v>
      </c>
      <c r="Q186">
        <v>0</v>
      </c>
      <c r="S186">
        <v>0</v>
      </c>
      <c r="T186">
        <v>0</v>
      </c>
      <c r="U186" s="20">
        <v>0</v>
      </c>
      <c r="V186" s="20">
        <v>0</v>
      </c>
      <c r="W186" s="23">
        <v>0</v>
      </c>
    </row>
    <row r="187" spans="1:23" x14ac:dyDescent="0.25">
      <c r="A187">
        <v>0</v>
      </c>
      <c r="B187">
        <v>0</v>
      </c>
      <c r="C187">
        <v>0</v>
      </c>
      <c r="D187">
        <v>0</v>
      </c>
      <c r="E187">
        <v>0</v>
      </c>
      <c r="G187">
        <v>0</v>
      </c>
      <c r="H187">
        <v>0</v>
      </c>
      <c r="I187">
        <v>0</v>
      </c>
      <c r="J187">
        <v>0</v>
      </c>
      <c r="K187">
        <v>0</v>
      </c>
      <c r="M187">
        <v>0</v>
      </c>
      <c r="N187">
        <v>0</v>
      </c>
      <c r="O187">
        <v>0</v>
      </c>
      <c r="P187">
        <v>0</v>
      </c>
      <c r="Q187">
        <v>0</v>
      </c>
      <c r="S187">
        <v>0</v>
      </c>
      <c r="T187">
        <v>0</v>
      </c>
      <c r="U187" s="20">
        <v>0</v>
      </c>
      <c r="V187" s="20">
        <v>0</v>
      </c>
      <c r="W187" s="23">
        <v>0</v>
      </c>
    </row>
    <row r="188" spans="1:23" x14ac:dyDescent="0.25">
      <c r="A188">
        <v>0</v>
      </c>
      <c r="B188">
        <v>0</v>
      </c>
      <c r="C188">
        <v>0</v>
      </c>
      <c r="D188">
        <v>0</v>
      </c>
      <c r="E188">
        <v>0</v>
      </c>
      <c r="G188">
        <v>0</v>
      </c>
      <c r="H188">
        <v>0</v>
      </c>
      <c r="I188">
        <v>0</v>
      </c>
      <c r="J188">
        <v>0</v>
      </c>
      <c r="K188">
        <v>0</v>
      </c>
      <c r="M188">
        <v>0</v>
      </c>
      <c r="N188">
        <v>0</v>
      </c>
      <c r="O188">
        <v>0</v>
      </c>
      <c r="P188">
        <v>0</v>
      </c>
      <c r="Q188">
        <v>0</v>
      </c>
      <c r="S188">
        <v>0</v>
      </c>
      <c r="T188">
        <v>0</v>
      </c>
      <c r="U188" s="20">
        <v>0</v>
      </c>
      <c r="V188" s="20">
        <v>0</v>
      </c>
      <c r="W188" s="23">
        <v>0</v>
      </c>
    </row>
    <row r="189" spans="1:23" x14ac:dyDescent="0.25">
      <c r="A189">
        <v>0</v>
      </c>
      <c r="B189">
        <v>0</v>
      </c>
      <c r="C189">
        <v>0</v>
      </c>
      <c r="D189">
        <v>0</v>
      </c>
      <c r="E189">
        <v>0</v>
      </c>
      <c r="G189">
        <v>0</v>
      </c>
      <c r="H189">
        <v>0</v>
      </c>
      <c r="I189">
        <v>0</v>
      </c>
      <c r="J189">
        <v>0</v>
      </c>
      <c r="K189">
        <v>0</v>
      </c>
      <c r="M189">
        <v>0</v>
      </c>
      <c r="N189">
        <v>0</v>
      </c>
      <c r="O189">
        <v>0</v>
      </c>
      <c r="P189">
        <v>0</v>
      </c>
      <c r="Q189">
        <v>0</v>
      </c>
      <c r="S189">
        <v>0</v>
      </c>
      <c r="T189">
        <v>0</v>
      </c>
      <c r="U189" s="20">
        <v>0</v>
      </c>
      <c r="V189" s="20">
        <v>0</v>
      </c>
      <c r="W189" s="23">
        <v>0</v>
      </c>
    </row>
    <row r="190" spans="1:23" x14ac:dyDescent="0.25">
      <c r="A190">
        <v>0</v>
      </c>
      <c r="B190">
        <v>0</v>
      </c>
      <c r="C190">
        <v>0</v>
      </c>
      <c r="D190">
        <v>0</v>
      </c>
      <c r="E190">
        <v>0</v>
      </c>
      <c r="G190">
        <v>0</v>
      </c>
      <c r="H190">
        <v>0</v>
      </c>
      <c r="I190">
        <v>0</v>
      </c>
      <c r="J190">
        <v>0</v>
      </c>
      <c r="K190">
        <v>0</v>
      </c>
      <c r="M190">
        <v>0</v>
      </c>
      <c r="N190">
        <v>0</v>
      </c>
      <c r="O190">
        <v>0</v>
      </c>
      <c r="P190">
        <v>0</v>
      </c>
      <c r="Q190">
        <v>0</v>
      </c>
      <c r="S190">
        <v>0</v>
      </c>
      <c r="T190">
        <v>0</v>
      </c>
      <c r="U190" s="20">
        <v>0</v>
      </c>
      <c r="V190" s="20">
        <v>0</v>
      </c>
      <c r="W190" s="23">
        <v>0</v>
      </c>
    </row>
    <row r="191" spans="1:23" x14ac:dyDescent="0.25">
      <c r="A191">
        <v>0</v>
      </c>
      <c r="B191">
        <v>0</v>
      </c>
      <c r="C191">
        <v>0</v>
      </c>
      <c r="D191">
        <v>0</v>
      </c>
      <c r="E191">
        <v>0</v>
      </c>
      <c r="G191">
        <v>0</v>
      </c>
      <c r="H191">
        <v>0</v>
      </c>
      <c r="I191">
        <v>0</v>
      </c>
      <c r="J191">
        <v>0</v>
      </c>
      <c r="K191">
        <v>0</v>
      </c>
      <c r="M191">
        <v>0</v>
      </c>
      <c r="N191">
        <v>0</v>
      </c>
      <c r="O191">
        <v>0</v>
      </c>
      <c r="P191">
        <v>0</v>
      </c>
      <c r="Q191">
        <v>0</v>
      </c>
      <c r="S191">
        <v>0</v>
      </c>
      <c r="T191">
        <v>0</v>
      </c>
      <c r="U191" s="20">
        <v>0</v>
      </c>
      <c r="V191" s="20">
        <v>0</v>
      </c>
      <c r="W191" s="23">
        <v>0</v>
      </c>
    </row>
    <row r="192" spans="1:23" x14ac:dyDescent="0.25">
      <c r="A192">
        <v>0</v>
      </c>
      <c r="B192">
        <v>0</v>
      </c>
      <c r="C192">
        <v>0</v>
      </c>
      <c r="D192">
        <v>0</v>
      </c>
      <c r="E192">
        <v>0</v>
      </c>
      <c r="G192">
        <v>0</v>
      </c>
      <c r="H192">
        <v>0</v>
      </c>
      <c r="I192">
        <v>0</v>
      </c>
      <c r="J192">
        <v>0</v>
      </c>
      <c r="K192">
        <v>0</v>
      </c>
      <c r="M192">
        <v>0</v>
      </c>
      <c r="N192">
        <v>0</v>
      </c>
      <c r="O192">
        <v>0</v>
      </c>
      <c r="P192">
        <v>0</v>
      </c>
      <c r="Q192">
        <v>0</v>
      </c>
      <c r="S192">
        <v>0</v>
      </c>
      <c r="T192">
        <v>0</v>
      </c>
      <c r="U192" s="20">
        <v>0</v>
      </c>
      <c r="V192" s="20">
        <v>0</v>
      </c>
      <c r="W192" s="23">
        <v>0</v>
      </c>
    </row>
    <row r="193" spans="1:23" x14ac:dyDescent="0.25">
      <c r="A193">
        <v>0</v>
      </c>
      <c r="B193">
        <v>0</v>
      </c>
      <c r="C193">
        <v>0</v>
      </c>
      <c r="D193">
        <v>0</v>
      </c>
      <c r="E193">
        <v>0</v>
      </c>
      <c r="G193">
        <v>0</v>
      </c>
      <c r="H193">
        <v>0</v>
      </c>
      <c r="I193">
        <v>0</v>
      </c>
      <c r="J193">
        <v>0</v>
      </c>
      <c r="K193">
        <v>0</v>
      </c>
      <c r="M193">
        <v>0</v>
      </c>
      <c r="N193">
        <v>0</v>
      </c>
      <c r="O193">
        <v>0</v>
      </c>
      <c r="P193">
        <v>0</v>
      </c>
      <c r="Q193">
        <v>0</v>
      </c>
      <c r="S193">
        <v>0</v>
      </c>
      <c r="T193">
        <v>0</v>
      </c>
      <c r="U193" s="20">
        <v>0</v>
      </c>
      <c r="V193" s="20">
        <v>0</v>
      </c>
      <c r="W193" s="23">
        <v>0</v>
      </c>
    </row>
    <row r="194" spans="1:23" x14ac:dyDescent="0.25">
      <c r="A194">
        <v>0</v>
      </c>
      <c r="B194">
        <v>0</v>
      </c>
      <c r="C194">
        <v>0</v>
      </c>
      <c r="D194">
        <v>0</v>
      </c>
      <c r="E194">
        <v>0</v>
      </c>
      <c r="G194">
        <v>0</v>
      </c>
      <c r="H194">
        <v>0</v>
      </c>
      <c r="I194">
        <v>0</v>
      </c>
      <c r="J194">
        <v>0</v>
      </c>
      <c r="K194">
        <v>0</v>
      </c>
      <c r="M194">
        <v>0</v>
      </c>
      <c r="N194">
        <v>0</v>
      </c>
      <c r="O194">
        <v>0</v>
      </c>
      <c r="P194">
        <v>0</v>
      </c>
      <c r="Q194">
        <v>0</v>
      </c>
      <c r="S194">
        <v>0</v>
      </c>
      <c r="T194">
        <v>0</v>
      </c>
      <c r="U194" s="20">
        <v>0</v>
      </c>
      <c r="V194" s="20">
        <v>0</v>
      </c>
      <c r="W194" s="23">
        <v>0</v>
      </c>
    </row>
    <row r="195" spans="1:23" x14ac:dyDescent="0.25">
      <c r="A195">
        <v>0</v>
      </c>
      <c r="B195">
        <v>0</v>
      </c>
      <c r="C195">
        <v>0</v>
      </c>
      <c r="D195">
        <v>0</v>
      </c>
      <c r="E195">
        <v>0</v>
      </c>
      <c r="G195">
        <v>0</v>
      </c>
      <c r="H195">
        <v>0</v>
      </c>
      <c r="I195">
        <v>0</v>
      </c>
      <c r="J195">
        <v>0</v>
      </c>
      <c r="K195">
        <v>0</v>
      </c>
      <c r="M195">
        <v>0</v>
      </c>
      <c r="N195">
        <v>0</v>
      </c>
      <c r="O195">
        <v>0</v>
      </c>
      <c r="P195">
        <v>0</v>
      </c>
      <c r="Q195">
        <v>0</v>
      </c>
      <c r="S195">
        <v>0</v>
      </c>
      <c r="T195">
        <v>0</v>
      </c>
      <c r="U195" s="20">
        <v>0</v>
      </c>
      <c r="V195" s="20">
        <v>0</v>
      </c>
      <c r="W195" s="23">
        <v>0</v>
      </c>
    </row>
    <row r="196" spans="1:23" x14ac:dyDescent="0.25">
      <c r="A196">
        <v>0</v>
      </c>
      <c r="B196">
        <v>0</v>
      </c>
      <c r="C196">
        <v>0</v>
      </c>
      <c r="D196">
        <v>0</v>
      </c>
      <c r="E196">
        <v>0</v>
      </c>
      <c r="G196">
        <v>0</v>
      </c>
      <c r="H196">
        <v>0</v>
      </c>
      <c r="I196">
        <v>0</v>
      </c>
      <c r="J196">
        <v>0</v>
      </c>
      <c r="K196">
        <v>0</v>
      </c>
      <c r="M196">
        <v>0</v>
      </c>
      <c r="N196">
        <v>0</v>
      </c>
      <c r="O196">
        <v>0</v>
      </c>
      <c r="P196">
        <v>0</v>
      </c>
      <c r="Q196">
        <v>0</v>
      </c>
      <c r="S196">
        <v>0</v>
      </c>
      <c r="T196">
        <v>0</v>
      </c>
      <c r="U196" s="20">
        <v>0</v>
      </c>
      <c r="V196" s="20">
        <v>0</v>
      </c>
      <c r="W196" s="23">
        <v>0</v>
      </c>
    </row>
    <row r="197" spans="1:23" x14ac:dyDescent="0.25">
      <c r="A197">
        <v>0</v>
      </c>
      <c r="B197">
        <v>0</v>
      </c>
      <c r="C197">
        <v>0</v>
      </c>
      <c r="D197">
        <v>0</v>
      </c>
      <c r="E197">
        <v>0</v>
      </c>
      <c r="G197">
        <v>0</v>
      </c>
      <c r="H197">
        <v>0</v>
      </c>
      <c r="I197">
        <v>0</v>
      </c>
      <c r="J197">
        <v>0</v>
      </c>
      <c r="K197">
        <v>0</v>
      </c>
      <c r="M197">
        <v>0</v>
      </c>
      <c r="N197">
        <v>0</v>
      </c>
      <c r="O197">
        <v>0</v>
      </c>
      <c r="P197">
        <v>0</v>
      </c>
      <c r="Q197">
        <v>0</v>
      </c>
      <c r="S197">
        <v>0</v>
      </c>
      <c r="T197">
        <v>0</v>
      </c>
      <c r="U197" s="20">
        <v>0</v>
      </c>
      <c r="V197" s="20">
        <v>0</v>
      </c>
      <c r="W197" s="23">
        <v>0</v>
      </c>
    </row>
    <row r="198" spans="1:23" x14ac:dyDescent="0.25">
      <c r="A198">
        <v>0</v>
      </c>
      <c r="B198">
        <v>0</v>
      </c>
      <c r="C198">
        <v>0</v>
      </c>
      <c r="D198">
        <v>0</v>
      </c>
      <c r="E198">
        <v>0</v>
      </c>
      <c r="G198">
        <v>0</v>
      </c>
      <c r="H198">
        <v>0</v>
      </c>
      <c r="I198">
        <v>0</v>
      </c>
      <c r="J198">
        <v>0</v>
      </c>
      <c r="K198">
        <v>0</v>
      </c>
      <c r="M198">
        <v>0</v>
      </c>
      <c r="N198">
        <v>0</v>
      </c>
      <c r="O198">
        <v>0</v>
      </c>
      <c r="P198">
        <v>0</v>
      </c>
      <c r="Q198">
        <v>0</v>
      </c>
      <c r="S198">
        <v>0</v>
      </c>
      <c r="T198">
        <v>0</v>
      </c>
      <c r="U198" s="20">
        <v>0</v>
      </c>
      <c r="V198" s="20">
        <v>0</v>
      </c>
      <c r="W198" s="23">
        <v>0</v>
      </c>
    </row>
    <row r="199" spans="1:23" x14ac:dyDescent="0.25">
      <c r="A199">
        <v>0</v>
      </c>
      <c r="B199">
        <v>0</v>
      </c>
      <c r="C199">
        <v>0</v>
      </c>
      <c r="D199">
        <v>0</v>
      </c>
      <c r="E199">
        <v>0</v>
      </c>
      <c r="G199">
        <v>0</v>
      </c>
      <c r="H199">
        <v>0</v>
      </c>
      <c r="I199">
        <v>0</v>
      </c>
      <c r="J199">
        <v>0</v>
      </c>
      <c r="K199">
        <v>0</v>
      </c>
      <c r="M199">
        <v>0</v>
      </c>
      <c r="N199">
        <v>0</v>
      </c>
      <c r="O199">
        <v>0</v>
      </c>
      <c r="P199">
        <v>0</v>
      </c>
      <c r="Q199">
        <v>0</v>
      </c>
      <c r="S199">
        <v>0</v>
      </c>
      <c r="T199">
        <v>0</v>
      </c>
      <c r="U199" s="20">
        <v>0</v>
      </c>
      <c r="V199" s="20">
        <v>0</v>
      </c>
      <c r="W199" s="23">
        <v>0</v>
      </c>
    </row>
    <row r="200" spans="1:23" x14ac:dyDescent="0.25">
      <c r="A200">
        <v>0</v>
      </c>
      <c r="B200">
        <v>0</v>
      </c>
      <c r="C200">
        <v>0</v>
      </c>
      <c r="D200">
        <v>0</v>
      </c>
      <c r="E200">
        <v>0</v>
      </c>
      <c r="G200">
        <v>0</v>
      </c>
      <c r="H200">
        <v>0</v>
      </c>
      <c r="I200">
        <v>0</v>
      </c>
      <c r="J200">
        <v>0</v>
      </c>
      <c r="K200">
        <v>0</v>
      </c>
      <c r="M200">
        <v>0</v>
      </c>
      <c r="N200">
        <v>0</v>
      </c>
      <c r="O200">
        <v>0</v>
      </c>
      <c r="P200">
        <v>0</v>
      </c>
      <c r="Q200">
        <v>0</v>
      </c>
      <c r="S200">
        <v>0</v>
      </c>
      <c r="T200">
        <v>0</v>
      </c>
      <c r="U200" s="20">
        <v>0</v>
      </c>
      <c r="V200" s="20">
        <v>0</v>
      </c>
      <c r="W200" s="23">
        <v>0</v>
      </c>
    </row>
    <row r="201" spans="1:23" x14ac:dyDescent="0.25">
      <c r="A201">
        <v>0</v>
      </c>
      <c r="B201">
        <v>0</v>
      </c>
      <c r="C201">
        <v>0</v>
      </c>
      <c r="D201">
        <v>0</v>
      </c>
      <c r="E201">
        <v>0</v>
      </c>
      <c r="G201">
        <v>0</v>
      </c>
      <c r="H201">
        <v>0</v>
      </c>
      <c r="I201">
        <v>0</v>
      </c>
      <c r="J201">
        <v>0</v>
      </c>
      <c r="K201">
        <v>0</v>
      </c>
      <c r="M201">
        <v>0</v>
      </c>
      <c r="N201">
        <v>0</v>
      </c>
      <c r="O201">
        <v>0</v>
      </c>
      <c r="P201">
        <v>0</v>
      </c>
      <c r="Q201">
        <v>0</v>
      </c>
      <c r="S201">
        <v>0</v>
      </c>
      <c r="T201">
        <v>0</v>
      </c>
      <c r="U201" s="20">
        <v>0</v>
      </c>
      <c r="V201" s="20">
        <v>0</v>
      </c>
      <c r="W201" s="23">
        <v>0</v>
      </c>
    </row>
    <row r="202" spans="1:23" x14ac:dyDescent="0.25">
      <c r="A202">
        <v>0</v>
      </c>
      <c r="B202">
        <v>0</v>
      </c>
      <c r="C202">
        <v>0</v>
      </c>
      <c r="D202">
        <v>0</v>
      </c>
      <c r="E202">
        <v>0</v>
      </c>
      <c r="G202">
        <v>0</v>
      </c>
      <c r="H202">
        <v>0</v>
      </c>
      <c r="I202">
        <v>0</v>
      </c>
      <c r="J202">
        <v>0</v>
      </c>
      <c r="K202">
        <v>0</v>
      </c>
      <c r="M202">
        <v>0</v>
      </c>
      <c r="N202">
        <v>0</v>
      </c>
      <c r="O202">
        <v>0</v>
      </c>
      <c r="P202">
        <v>0</v>
      </c>
      <c r="Q202">
        <v>0</v>
      </c>
      <c r="S202">
        <v>0</v>
      </c>
      <c r="T202">
        <v>0</v>
      </c>
      <c r="U202" s="20">
        <v>0</v>
      </c>
      <c r="V202" s="20">
        <v>0</v>
      </c>
      <c r="W202" s="23">
        <v>0</v>
      </c>
    </row>
    <row r="203" spans="1:23" x14ac:dyDescent="0.25">
      <c r="A203">
        <v>0</v>
      </c>
      <c r="B203">
        <v>0</v>
      </c>
      <c r="C203">
        <v>0</v>
      </c>
      <c r="D203">
        <v>0</v>
      </c>
      <c r="E203">
        <v>0</v>
      </c>
      <c r="G203">
        <v>0</v>
      </c>
      <c r="H203">
        <v>0</v>
      </c>
      <c r="I203">
        <v>0</v>
      </c>
      <c r="J203">
        <v>0</v>
      </c>
      <c r="K203">
        <v>0</v>
      </c>
      <c r="M203">
        <v>0</v>
      </c>
      <c r="N203">
        <v>0</v>
      </c>
      <c r="O203">
        <v>0</v>
      </c>
      <c r="P203">
        <v>0</v>
      </c>
      <c r="Q203">
        <v>0</v>
      </c>
      <c r="S203">
        <v>0</v>
      </c>
      <c r="T203">
        <v>0</v>
      </c>
      <c r="U203" s="20">
        <v>0</v>
      </c>
      <c r="V203" s="20">
        <v>0</v>
      </c>
      <c r="W203" s="23">
        <v>0</v>
      </c>
    </row>
    <row r="204" spans="1:23" x14ac:dyDescent="0.25">
      <c r="A204">
        <v>0</v>
      </c>
      <c r="B204">
        <v>0</v>
      </c>
      <c r="C204">
        <v>0</v>
      </c>
      <c r="D204">
        <v>0</v>
      </c>
      <c r="E204">
        <v>0</v>
      </c>
      <c r="G204">
        <v>0</v>
      </c>
      <c r="H204">
        <v>0</v>
      </c>
      <c r="I204">
        <v>0</v>
      </c>
      <c r="J204">
        <v>0</v>
      </c>
      <c r="K204">
        <v>0</v>
      </c>
      <c r="M204">
        <v>0</v>
      </c>
      <c r="N204">
        <v>0</v>
      </c>
      <c r="O204">
        <v>0</v>
      </c>
      <c r="P204">
        <v>0</v>
      </c>
      <c r="Q204">
        <v>0</v>
      </c>
      <c r="S204">
        <v>0</v>
      </c>
      <c r="T204">
        <v>0</v>
      </c>
      <c r="U204" s="20">
        <v>0</v>
      </c>
      <c r="V204" s="20">
        <v>0</v>
      </c>
      <c r="W204" s="23">
        <v>0</v>
      </c>
    </row>
    <row r="205" spans="1:23" x14ac:dyDescent="0.25">
      <c r="A205">
        <v>0</v>
      </c>
      <c r="B205">
        <v>0</v>
      </c>
      <c r="C205">
        <v>0</v>
      </c>
      <c r="D205">
        <v>0</v>
      </c>
      <c r="E205">
        <v>0</v>
      </c>
      <c r="G205">
        <v>0</v>
      </c>
      <c r="H205">
        <v>0</v>
      </c>
      <c r="I205">
        <v>0</v>
      </c>
      <c r="J205">
        <v>0</v>
      </c>
      <c r="K205">
        <v>0</v>
      </c>
      <c r="M205">
        <v>0</v>
      </c>
      <c r="N205">
        <v>0</v>
      </c>
      <c r="O205">
        <v>0</v>
      </c>
      <c r="P205">
        <v>0</v>
      </c>
      <c r="Q205">
        <v>0</v>
      </c>
      <c r="S205">
        <v>0</v>
      </c>
      <c r="T205">
        <v>0</v>
      </c>
      <c r="U205" s="20">
        <v>0</v>
      </c>
      <c r="V205" s="20">
        <v>0</v>
      </c>
      <c r="W205" s="23">
        <v>0</v>
      </c>
    </row>
    <row r="206" spans="1:23" x14ac:dyDescent="0.25">
      <c r="A206">
        <v>0</v>
      </c>
      <c r="B206">
        <v>0</v>
      </c>
      <c r="C206">
        <v>0</v>
      </c>
      <c r="D206">
        <v>0</v>
      </c>
      <c r="E206">
        <v>0</v>
      </c>
      <c r="G206">
        <v>0</v>
      </c>
      <c r="H206">
        <v>0</v>
      </c>
      <c r="I206">
        <v>0</v>
      </c>
      <c r="J206">
        <v>0</v>
      </c>
      <c r="K206">
        <v>0</v>
      </c>
      <c r="M206">
        <v>0</v>
      </c>
      <c r="N206">
        <v>0</v>
      </c>
      <c r="O206">
        <v>0</v>
      </c>
      <c r="P206">
        <v>0</v>
      </c>
      <c r="Q206">
        <v>0</v>
      </c>
      <c r="S206">
        <v>0</v>
      </c>
      <c r="T206">
        <v>0</v>
      </c>
      <c r="U206" s="20">
        <v>0</v>
      </c>
      <c r="V206" s="20">
        <v>0</v>
      </c>
      <c r="W206" s="23">
        <v>0</v>
      </c>
    </row>
    <row r="207" spans="1:23" x14ac:dyDescent="0.25">
      <c r="A207">
        <v>0</v>
      </c>
      <c r="B207">
        <v>0</v>
      </c>
      <c r="C207">
        <v>0</v>
      </c>
      <c r="D207">
        <v>0</v>
      </c>
      <c r="E207">
        <v>0</v>
      </c>
      <c r="G207">
        <v>0</v>
      </c>
      <c r="H207">
        <v>0</v>
      </c>
      <c r="I207">
        <v>0</v>
      </c>
      <c r="J207">
        <v>0</v>
      </c>
      <c r="K207">
        <v>0</v>
      </c>
      <c r="M207">
        <v>0</v>
      </c>
      <c r="N207">
        <v>0</v>
      </c>
      <c r="O207">
        <v>0</v>
      </c>
      <c r="P207">
        <v>0</v>
      </c>
      <c r="Q207">
        <v>0</v>
      </c>
      <c r="S207">
        <v>0</v>
      </c>
      <c r="T207">
        <v>0</v>
      </c>
      <c r="U207" s="20">
        <v>0</v>
      </c>
      <c r="V207" s="20">
        <v>0</v>
      </c>
      <c r="W207" s="23">
        <v>0</v>
      </c>
    </row>
    <row r="208" spans="1:23" x14ac:dyDescent="0.25">
      <c r="A208">
        <v>0</v>
      </c>
      <c r="B208">
        <v>0</v>
      </c>
      <c r="C208">
        <v>0</v>
      </c>
      <c r="D208">
        <v>0</v>
      </c>
      <c r="E208">
        <v>0</v>
      </c>
      <c r="G208">
        <v>0</v>
      </c>
      <c r="H208">
        <v>0</v>
      </c>
      <c r="I208">
        <v>0</v>
      </c>
      <c r="J208">
        <v>0</v>
      </c>
      <c r="K208">
        <v>0</v>
      </c>
      <c r="M208">
        <v>0</v>
      </c>
      <c r="N208">
        <v>0</v>
      </c>
      <c r="O208">
        <v>0</v>
      </c>
      <c r="P208">
        <v>0</v>
      </c>
      <c r="Q208">
        <v>0</v>
      </c>
      <c r="S208">
        <v>0</v>
      </c>
      <c r="T208">
        <v>0</v>
      </c>
      <c r="U208" s="20">
        <v>0</v>
      </c>
      <c r="V208" s="20">
        <v>0</v>
      </c>
      <c r="W208" s="23">
        <v>0</v>
      </c>
    </row>
    <row r="209" spans="1:23" x14ac:dyDescent="0.25">
      <c r="A209">
        <v>0</v>
      </c>
      <c r="B209">
        <v>0</v>
      </c>
      <c r="C209">
        <v>0</v>
      </c>
      <c r="D209">
        <v>0</v>
      </c>
      <c r="E209">
        <v>0</v>
      </c>
      <c r="G209">
        <v>0</v>
      </c>
      <c r="H209">
        <v>0</v>
      </c>
      <c r="I209">
        <v>0</v>
      </c>
      <c r="J209">
        <v>0</v>
      </c>
      <c r="K209">
        <v>0</v>
      </c>
      <c r="M209">
        <v>0</v>
      </c>
      <c r="N209">
        <v>0</v>
      </c>
      <c r="O209">
        <v>0</v>
      </c>
      <c r="P209">
        <v>0</v>
      </c>
      <c r="Q209">
        <v>0</v>
      </c>
      <c r="S209">
        <v>0</v>
      </c>
      <c r="T209">
        <v>0</v>
      </c>
      <c r="U209" s="20">
        <v>0</v>
      </c>
      <c r="V209" s="20">
        <v>0</v>
      </c>
      <c r="W209" s="23">
        <v>0</v>
      </c>
    </row>
    <row r="210" spans="1:23" x14ac:dyDescent="0.25">
      <c r="A210">
        <v>0</v>
      </c>
      <c r="B210">
        <v>0</v>
      </c>
      <c r="C210">
        <v>0</v>
      </c>
      <c r="D210">
        <v>0</v>
      </c>
      <c r="E210">
        <v>0</v>
      </c>
      <c r="G210">
        <v>0</v>
      </c>
      <c r="H210">
        <v>0</v>
      </c>
      <c r="I210">
        <v>0</v>
      </c>
      <c r="J210">
        <v>0</v>
      </c>
      <c r="K210">
        <v>0</v>
      </c>
      <c r="M210">
        <v>0</v>
      </c>
      <c r="N210">
        <v>0</v>
      </c>
      <c r="O210">
        <v>0</v>
      </c>
      <c r="P210">
        <v>0</v>
      </c>
      <c r="Q210">
        <v>0</v>
      </c>
      <c r="S210">
        <v>0</v>
      </c>
      <c r="T210">
        <v>0</v>
      </c>
      <c r="U210" s="20">
        <v>0</v>
      </c>
      <c r="V210" s="20">
        <v>0</v>
      </c>
      <c r="W210" s="23">
        <v>0</v>
      </c>
    </row>
    <row r="211" spans="1:23" x14ac:dyDescent="0.25">
      <c r="A211">
        <v>0</v>
      </c>
      <c r="B211">
        <v>0</v>
      </c>
      <c r="C211">
        <v>0</v>
      </c>
      <c r="D211">
        <v>0</v>
      </c>
      <c r="E211">
        <v>0</v>
      </c>
      <c r="G211">
        <v>0</v>
      </c>
      <c r="H211">
        <v>0</v>
      </c>
      <c r="I211">
        <v>0</v>
      </c>
      <c r="J211">
        <v>0</v>
      </c>
      <c r="K211">
        <v>0</v>
      </c>
      <c r="M211">
        <v>0</v>
      </c>
      <c r="N211">
        <v>0</v>
      </c>
      <c r="O211">
        <v>0</v>
      </c>
      <c r="P211">
        <v>0</v>
      </c>
      <c r="Q211">
        <v>0</v>
      </c>
      <c r="S211">
        <v>0</v>
      </c>
      <c r="T211">
        <v>0</v>
      </c>
      <c r="U211" s="20">
        <v>0</v>
      </c>
      <c r="V211" s="20">
        <v>0</v>
      </c>
      <c r="W211" s="23">
        <v>0</v>
      </c>
    </row>
    <row r="212" spans="1:23" x14ac:dyDescent="0.25">
      <c r="A212">
        <v>0</v>
      </c>
      <c r="B212">
        <v>0</v>
      </c>
      <c r="C212">
        <v>0</v>
      </c>
      <c r="D212">
        <v>0</v>
      </c>
      <c r="E212">
        <v>0</v>
      </c>
      <c r="G212">
        <v>0</v>
      </c>
      <c r="H212">
        <v>0</v>
      </c>
      <c r="I212">
        <v>0</v>
      </c>
      <c r="J212">
        <v>0</v>
      </c>
      <c r="K212">
        <v>0</v>
      </c>
      <c r="M212">
        <v>0</v>
      </c>
      <c r="N212">
        <v>0</v>
      </c>
      <c r="O212">
        <v>0</v>
      </c>
      <c r="P212">
        <v>0</v>
      </c>
      <c r="Q212">
        <v>0</v>
      </c>
      <c r="S212">
        <v>0</v>
      </c>
      <c r="T212">
        <v>0</v>
      </c>
      <c r="U212" s="20">
        <v>0</v>
      </c>
      <c r="V212" s="20">
        <v>0</v>
      </c>
      <c r="W212" s="23">
        <v>0</v>
      </c>
    </row>
    <row r="213" spans="1:23" x14ac:dyDescent="0.25">
      <c r="A213">
        <v>0</v>
      </c>
      <c r="B213">
        <v>0</v>
      </c>
      <c r="C213">
        <v>0</v>
      </c>
      <c r="D213">
        <v>0</v>
      </c>
      <c r="E213">
        <v>0</v>
      </c>
      <c r="G213">
        <v>0</v>
      </c>
      <c r="H213">
        <v>0</v>
      </c>
      <c r="I213">
        <v>0</v>
      </c>
      <c r="J213">
        <v>0</v>
      </c>
      <c r="K213">
        <v>0</v>
      </c>
      <c r="M213">
        <v>0</v>
      </c>
      <c r="N213">
        <v>0</v>
      </c>
      <c r="O213">
        <v>0</v>
      </c>
      <c r="P213">
        <v>0</v>
      </c>
      <c r="Q213">
        <v>0</v>
      </c>
      <c r="S213">
        <v>0</v>
      </c>
      <c r="T213">
        <v>0</v>
      </c>
      <c r="U213" s="20">
        <v>0</v>
      </c>
      <c r="V213" s="20">
        <v>0</v>
      </c>
      <c r="W213" s="23">
        <v>0</v>
      </c>
    </row>
    <row r="214" spans="1:23" x14ac:dyDescent="0.25">
      <c r="A214">
        <v>0</v>
      </c>
      <c r="B214">
        <v>0</v>
      </c>
      <c r="C214">
        <v>0</v>
      </c>
      <c r="D214">
        <v>0</v>
      </c>
      <c r="E214">
        <v>0</v>
      </c>
      <c r="G214">
        <v>0</v>
      </c>
      <c r="H214">
        <v>0</v>
      </c>
      <c r="I214">
        <v>0</v>
      </c>
      <c r="J214">
        <v>0</v>
      </c>
      <c r="K214">
        <v>0</v>
      </c>
      <c r="M214">
        <v>0</v>
      </c>
      <c r="N214">
        <v>0</v>
      </c>
      <c r="O214">
        <v>0</v>
      </c>
      <c r="P214">
        <v>0</v>
      </c>
      <c r="Q214">
        <v>0</v>
      </c>
      <c r="S214">
        <v>0</v>
      </c>
      <c r="T214">
        <v>0</v>
      </c>
      <c r="U214" s="20">
        <v>0</v>
      </c>
      <c r="V214" s="20">
        <v>0</v>
      </c>
      <c r="W214" s="23">
        <v>0</v>
      </c>
    </row>
    <row r="215" spans="1:23" x14ac:dyDescent="0.25">
      <c r="A215">
        <v>0</v>
      </c>
      <c r="B215">
        <v>0</v>
      </c>
      <c r="C215">
        <v>0</v>
      </c>
      <c r="D215">
        <v>0</v>
      </c>
      <c r="E215">
        <v>0</v>
      </c>
      <c r="G215">
        <v>0</v>
      </c>
      <c r="H215">
        <v>0</v>
      </c>
      <c r="I215">
        <v>0</v>
      </c>
      <c r="J215">
        <v>0</v>
      </c>
      <c r="K215">
        <v>0</v>
      </c>
      <c r="M215">
        <v>0</v>
      </c>
      <c r="N215">
        <v>0</v>
      </c>
      <c r="O215">
        <v>0</v>
      </c>
      <c r="P215">
        <v>0</v>
      </c>
      <c r="Q215">
        <v>0</v>
      </c>
      <c r="S215">
        <v>0</v>
      </c>
      <c r="T215">
        <v>0</v>
      </c>
      <c r="U215" s="20">
        <v>0</v>
      </c>
      <c r="V215" s="20">
        <v>0</v>
      </c>
      <c r="W215" s="23">
        <v>0</v>
      </c>
    </row>
    <row r="216" spans="1:23" x14ac:dyDescent="0.25">
      <c r="A216">
        <v>0</v>
      </c>
      <c r="B216">
        <v>0</v>
      </c>
      <c r="C216">
        <v>0</v>
      </c>
      <c r="D216">
        <v>0</v>
      </c>
      <c r="E216">
        <v>0</v>
      </c>
      <c r="G216">
        <v>0</v>
      </c>
      <c r="H216">
        <v>0</v>
      </c>
      <c r="I216">
        <v>0</v>
      </c>
      <c r="J216">
        <v>0</v>
      </c>
      <c r="K216">
        <v>0</v>
      </c>
      <c r="M216">
        <v>0</v>
      </c>
      <c r="N216">
        <v>0</v>
      </c>
      <c r="O216">
        <v>0</v>
      </c>
      <c r="P216">
        <v>0</v>
      </c>
      <c r="Q216">
        <v>0</v>
      </c>
      <c r="S216">
        <v>0</v>
      </c>
      <c r="T216">
        <v>0</v>
      </c>
      <c r="U216" s="20">
        <v>0</v>
      </c>
      <c r="V216" s="20">
        <v>0</v>
      </c>
      <c r="W216" s="23">
        <v>0</v>
      </c>
    </row>
    <row r="217" spans="1:23" x14ac:dyDescent="0.25">
      <c r="A217">
        <v>0</v>
      </c>
      <c r="B217">
        <v>0</v>
      </c>
      <c r="C217">
        <v>0</v>
      </c>
      <c r="D217">
        <v>0</v>
      </c>
      <c r="E217">
        <v>0</v>
      </c>
      <c r="G217">
        <v>0</v>
      </c>
      <c r="H217">
        <v>0</v>
      </c>
      <c r="I217">
        <v>0</v>
      </c>
      <c r="J217">
        <v>0</v>
      </c>
      <c r="K217">
        <v>0</v>
      </c>
      <c r="M217">
        <v>0</v>
      </c>
      <c r="N217">
        <v>0</v>
      </c>
      <c r="O217">
        <v>0</v>
      </c>
      <c r="P217">
        <v>0</v>
      </c>
      <c r="Q217">
        <v>0</v>
      </c>
      <c r="S217">
        <v>0</v>
      </c>
      <c r="T217">
        <v>0</v>
      </c>
      <c r="U217" s="20">
        <v>0</v>
      </c>
      <c r="V217" s="20">
        <v>0</v>
      </c>
      <c r="W217" s="23">
        <v>0</v>
      </c>
    </row>
    <row r="218" spans="1:23" x14ac:dyDescent="0.25">
      <c r="A218">
        <v>0</v>
      </c>
      <c r="B218">
        <v>0</v>
      </c>
      <c r="C218">
        <v>0</v>
      </c>
      <c r="D218">
        <v>0</v>
      </c>
      <c r="E218">
        <v>0</v>
      </c>
      <c r="G218">
        <v>0</v>
      </c>
      <c r="H218">
        <v>0</v>
      </c>
      <c r="I218">
        <v>0</v>
      </c>
      <c r="J218">
        <v>0</v>
      </c>
      <c r="K218">
        <v>0</v>
      </c>
      <c r="M218">
        <v>0</v>
      </c>
      <c r="N218">
        <v>0</v>
      </c>
      <c r="O218">
        <v>0</v>
      </c>
      <c r="P218">
        <v>0</v>
      </c>
      <c r="Q218">
        <v>0</v>
      </c>
      <c r="S218">
        <v>0</v>
      </c>
      <c r="T218">
        <v>0</v>
      </c>
      <c r="U218" s="20">
        <v>0</v>
      </c>
      <c r="V218" s="20">
        <v>0</v>
      </c>
      <c r="W218" s="23">
        <v>0</v>
      </c>
    </row>
    <row r="219" spans="1:23" x14ac:dyDescent="0.25">
      <c r="A219">
        <v>0</v>
      </c>
      <c r="B219">
        <v>0</v>
      </c>
      <c r="C219">
        <v>0</v>
      </c>
      <c r="D219">
        <v>0</v>
      </c>
      <c r="E219">
        <v>0</v>
      </c>
      <c r="G219">
        <v>0</v>
      </c>
      <c r="H219">
        <v>0</v>
      </c>
      <c r="I219">
        <v>0</v>
      </c>
      <c r="J219">
        <v>0</v>
      </c>
      <c r="K219">
        <v>0</v>
      </c>
      <c r="M219">
        <v>0</v>
      </c>
      <c r="N219">
        <v>0</v>
      </c>
      <c r="O219">
        <v>0</v>
      </c>
      <c r="P219">
        <v>0</v>
      </c>
      <c r="Q219">
        <v>0</v>
      </c>
      <c r="S219">
        <v>0</v>
      </c>
      <c r="T219">
        <v>0</v>
      </c>
      <c r="U219" s="20">
        <v>0</v>
      </c>
      <c r="V219" s="20">
        <v>0</v>
      </c>
      <c r="W219" s="23">
        <v>0</v>
      </c>
    </row>
    <row r="220" spans="1:23" x14ac:dyDescent="0.25">
      <c r="A220">
        <v>0</v>
      </c>
      <c r="B220">
        <v>0</v>
      </c>
      <c r="C220">
        <v>0</v>
      </c>
      <c r="D220">
        <v>0</v>
      </c>
      <c r="E220">
        <v>0</v>
      </c>
      <c r="G220">
        <v>0</v>
      </c>
      <c r="H220">
        <v>0</v>
      </c>
      <c r="I220">
        <v>0</v>
      </c>
      <c r="J220">
        <v>0</v>
      </c>
      <c r="K220">
        <v>0</v>
      </c>
      <c r="M220">
        <v>0</v>
      </c>
      <c r="N220">
        <v>0</v>
      </c>
      <c r="O220">
        <v>0</v>
      </c>
      <c r="P220">
        <v>0</v>
      </c>
      <c r="Q220">
        <v>0</v>
      </c>
      <c r="S220">
        <v>0</v>
      </c>
      <c r="T220">
        <v>0</v>
      </c>
      <c r="U220" s="20">
        <v>0</v>
      </c>
      <c r="V220" s="20">
        <v>0</v>
      </c>
      <c r="W220" s="23">
        <v>0</v>
      </c>
    </row>
    <row r="221" spans="1:23" x14ac:dyDescent="0.25">
      <c r="A221">
        <v>0</v>
      </c>
      <c r="B221">
        <v>0</v>
      </c>
      <c r="C221">
        <v>0</v>
      </c>
      <c r="D221">
        <v>0</v>
      </c>
      <c r="E221">
        <v>0</v>
      </c>
      <c r="G221">
        <v>0</v>
      </c>
      <c r="H221">
        <v>0</v>
      </c>
      <c r="I221">
        <v>0</v>
      </c>
      <c r="J221">
        <v>0</v>
      </c>
      <c r="K221">
        <v>0</v>
      </c>
      <c r="M221">
        <v>0</v>
      </c>
      <c r="N221">
        <v>0</v>
      </c>
      <c r="O221">
        <v>0</v>
      </c>
      <c r="P221">
        <v>0</v>
      </c>
      <c r="Q221">
        <v>0</v>
      </c>
      <c r="S221">
        <v>0</v>
      </c>
      <c r="T221">
        <v>0</v>
      </c>
      <c r="U221" s="20">
        <v>0</v>
      </c>
      <c r="V221" s="20">
        <v>0</v>
      </c>
      <c r="W221" s="23">
        <v>0</v>
      </c>
    </row>
    <row r="222" spans="1:23" x14ac:dyDescent="0.25">
      <c r="A222">
        <v>0</v>
      </c>
      <c r="B222">
        <v>0</v>
      </c>
      <c r="C222">
        <v>0</v>
      </c>
      <c r="D222">
        <v>0</v>
      </c>
      <c r="E222">
        <v>0</v>
      </c>
      <c r="G222">
        <v>0</v>
      </c>
      <c r="H222">
        <v>0</v>
      </c>
      <c r="I222">
        <v>0</v>
      </c>
      <c r="J222">
        <v>0</v>
      </c>
      <c r="K222">
        <v>0</v>
      </c>
      <c r="M222">
        <v>0</v>
      </c>
      <c r="N222">
        <v>0</v>
      </c>
      <c r="O222">
        <v>0</v>
      </c>
      <c r="P222">
        <v>0</v>
      </c>
      <c r="Q222">
        <v>0</v>
      </c>
      <c r="S222">
        <v>0</v>
      </c>
      <c r="T222">
        <v>0</v>
      </c>
      <c r="U222" s="20">
        <v>0</v>
      </c>
      <c r="V222" s="20">
        <v>0</v>
      </c>
      <c r="W222" s="23">
        <v>0</v>
      </c>
    </row>
    <row r="223" spans="1:23" x14ac:dyDescent="0.25">
      <c r="A223">
        <v>0</v>
      </c>
      <c r="B223">
        <v>0</v>
      </c>
      <c r="C223">
        <v>0</v>
      </c>
      <c r="D223">
        <v>0</v>
      </c>
      <c r="E223">
        <v>0</v>
      </c>
      <c r="G223">
        <v>0</v>
      </c>
      <c r="H223">
        <v>0</v>
      </c>
      <c r="I223">
        <v>0</v>
      </c>
      <c r="J223">
        <v>0</v>
      </c>
      <c r="K223">
        <v>0</v>
      </c>
      <c r="M223">
        <v>0</v>
      </c>
      <c r="N223">
        <v>0</v>
      </c>
      <c r="O223">
        <v>0</v>
      </c>
      <c r="P223">
        <v>0</v>
      </c>
      <c r="Q223">
        <v>0</v>
      </c>
      <c r="S223">
        <v>0</v>
      </c>
      <c r="T223">
        <v>0</v>
      </c>
      <c r="U223" s="20">
        <v>0</v>
      </c>
      <c r="V223" s="20">
        <v>0</v>
      </c>
      <c r="W223" s="23">
        <v>0</v>
      </c>
    </row>
    <row r="224" spans="1:23" x14ac:dyDescent="0.25">
      <c r="A224">
        <v>0</v>
      </c>
      <c r="B224">
        <v>0</v>
      </c>
      <c r="C224">
        <v>0</v>
      </c>
      <c r="D224">
        <v>0</v>
      </c>
      <c r="E224">
        <v>0</v>
      </c>
      <c r="G224">
        <v>0</v>
      </c>
      <c r="H224">
        <v>0</v>
      </c>
      <c r="I224">
        <v>0</v>
      </c>
      <c r="J224">
        <v>0</v>
      </c>
      <c r="K224">
        <v>0</v>
      </c>
      <c r="M224">
        <v>0</v>
      </c>
      <c r="N224">
        <v>0</v>
      </c>
      <c r="O224">
        <v>0</v>
      </c>
      <c r="P224">
        <v>0</v>
      </c>
      <c r="Q224">
        <v>0</v>
      </c>
      <c r="S224">
        <v>0</v>
      </c>
      <c r="T224">
        <v>0</v>
      </c>
      <c r="U224" s="20">
        <v>0</v>
      </c>
      <c r="V224" s="20">
        <v>0</v>
      </c>
      <c r="W224" s="23">
        <v>0</v>
      </c>
    </row>
    <row r="225" spans="1:23" x14ac:dyDescent="0.25">
      <c r="A225">
        <v>0</v>
      </c>
      <c r="B225">
        <v>0</v>
      </c>
      <c r="C225">
        <v>0</v>
      </c>
      <c r="D225">
        <v>0</v>
      </c>
      <c r="E225">
        <v>0</v>
      </c>
      <c r="G225">
        <v>0</v>
      </c>
      <c r="H225">
        <v>0</v>
      </c>
      <c r="I225">
        <v>0</v>
      </c>
      <c r="J225">
        <v>0</v>
      </c>
      <c r="K225">
        <v>0</v>
      </c>
      <c r="M225">
        <v>0</v>
      </c>
      <c r="N225">
        <v>0</v>
      </c>
      <c r="O225">
        <v>0</v>
      </c>
      <c r="P225">
        <v>0</v>
      </c>
      <c r="Q225">
        <v>0</v>
      </c>
      <c r="S225">
        <v>0</v>
      </c>
      <c r="T225">
        <v>0</v>
      </c>
      <c r="U225" s="20">
        <v>0</v>
      </c>
      <c r="V225" s="20">
        <v>0</v>
      </c>
      <c r="W225" s="23">
        <v>0</v>
      </c>
    </row>
    <row r="226" spans="1:23" x14ac:dyDescent="0.25">
      <c r="A226">
        <v>0</v>
      </c>
      <c r="B226">
        <v>0</v>
      </c>
      <c r="C226">
        <v>0</v>
      </c>
      <c r="D226">
        <v>0</v>
      </c>
      <c r="E226">
        <v>0</v>
      </c>
      <c r="G226">
        <v>0</v>
      </c>
      <c r="H226">
        <v>0</v>
      </c>
      <c r="I226">
        <v>0</v>
      </c>
      <c r="J226">
        <v>0</v>
      </c>
      <c r="K226">
        <v>0</v>
      </c>
      <c r="M226">
        <v>0</v>
      </c>
      <c r="N226">
        <v>0</v>
      </c>
      <c r="O226">
        <v>0</v>
      </c>
      <c r="P226">
        <v>0</v>
      </c>
      <c r="Q226">
        <v>0</v>
      </c>
      <c r="S226">
        <v>0</v>
      </c>
      <c r="T226">
        <v>0</v>
      </c>
      <c r="U226" s="20">
        <v>0</v>
      </c>
      <c r="V226" s="20">
        <v>0</v>
      </c>
      <c r="W226" s="23">
        <v>0</v>
      </c>
    </row>
    <row r="227" spans="1:23" x14ac:dyDescent="0.25">
      <c r="A227">
        <v>0</v>
      </c>
      <c r="B227">
        <v>0</v>
      </c>
      <c r="C227">
        <v>0</v>
      </c>
      <c r="D227">
        <v>0</v>
      </c>
      <c r="E227">
        <v>0</v>
      </c>
      <c r="G227">
        <v>0</v>
      </c>
      <c r="H227">
        <v>0</v>
      </c>
      <c r="I227">
        <v>0</v>
      </c>
      <c r="J227">
        <v>0</v>
      </c>
      <c r="K227">
        <v>0</v>
      </c>
      <c r="M227">
        <v>0</v>
      </c>
      <c r="N227">
        <v>0</v>
      </c>
      <c r="O227">
        <v>0</v>
      </c>
      <c r="P227">
        <v>0</v>
      </c>
      <c r="Q227">
        <v>0</v>
      </c>
      <c r="S227">
        <v>0</v>
      </c>
      <c r="T227">
        <v>0</v>
      </c>
      <c r="U227" s="20">
        <v>0</v>
      </c>
      <c r="V227" s="20">
        <v>0</v>
      </c>
      <c r="W227" s="23">
        <v>0</v>
      </c>
    </row>
    <row r="228" spans="1:23" x14ac:dyDescent="0.25">
      <c r="A228">
        <v>0</v>
      </c>
      <c r="B228">
        <v>0</v>
      </c>
      <c r="C228">
        <v>0</v>
      </c>
      <c r="D228">
        <v>0</v>
      </c>
      <c r="E228">
        <v>0</v>
      </c>
      <c r="G228">
        <v>0</v>
      </c>
      <c r="H228">
        <v>0</v>
      </c>
      <c r="I228">
        <v>0</v>
      </c>
      <c r="J228">
        <v>0</v>
      </c>
      <c r="K228">
        <v>0</v>
      </c>
      <c r="M228">
        <v>0</v>
      </c>
      <c r="N228">
        <v>0</v>
      </c>
      <c r="O228">
        <v>0</v>
      </c>
      <c r="P228">
        <v>0</v>
      </c>
      <c r="Q228">
        <v>0</v>
      </c>
      <c r="S228">
        <v>0</v>
      </c>
      <c r="T228">
        <v>0</v>
      </c>
      <c r="U228" s="20">
        <v>0</v>
      </c>
      <c r="V228" s="20">
        <v>0</v>
      </c>
      <c r="W228" s="23">
        <v>0</v>
      </c>
    </row>
    <row r="229" spans="1:23" x14ac:dyDescent="0.25">
      <c r="A229">
        <v>0</v>
      </c>
      <c r="B229">
        <v>0</v>
      </c>
      <c r="C229">
        <v>0</v>
      </c>
      <c r="D229">
        <v>0</v>
      </c>
      <c r="E229">
        <v>0</v>
      </c>
      <c r="G229">
        <v>0</v>
      </c>
      <c r="H229">
        <v>0</v>
      </c>
      <c r="I229">
        <v>0</v>
      </c>
      <c r="J229">
        <v>0</v>
      </c>
      <c r="K229">
        <v>0</v>
      </c>
      <c r="M229">
        <v>0</v>
      </c>
      <c r="N229">
        <v>0</v>
      </c>
      <c r="O229">
        <v>0</v>
      </c>
      <c r="P229">
        <v>0</v>
      </c>
      <c r="Q229">
        <v>0</v>
      </c>
      <c r="S229">
        <v>0</v>
      </c>
      <c r="T229">
        <v>0</v>
      </c>
      <c r="U229" s="20">
        <v>0</v>
      </c>
      <c r="V229" s="20">
        <v>0</v>
      </c>
      <c r="W229" s="23">
        <v>0</v>
      </c>
    </row>
    <row r="230" spans="1:23" x14ac:dyDescent="0.25">
      <c r="A230">
        <v>0</v>
      </c>
      <c r="B230">
        <v>0</v>
      </c>
      <c r="C230">
        <v>0</v>
      </c>
      <c r="D230">
        <v>0</v>
      </c>
      <c r="E230">
        <v>0</v>
      </c>
      <c r="G230">
        <v>0</v>
      </c>
      <c r="H230">
        <v>0</v>
      </c>
      <c r="I230">
        <v>0</v>
      </c>
      <c r="J230">
        <v>0</v>
      </c>
      <c r="K230">
        <v>0</v>
      </c>
      <c r="M230">
        <v>0</v>
      </c>
      <c r="N230">
        <v>0</v>
      </c>
      <c r="O230">
        <v>0</v>
      </c>
      <c r="P230">
        <v>0</v>
      </c>
      <c r="Q230">
        <v>0</v>
      </c>
      <c r="S230">
        <v>0</v>
      </c>
      <c r="T230">
        <v>0</v>
      </c>
      <c r="U230" s="20">
        <v>0</v>
      </c>
      <c r="V230" s="20">
        <v>0</v>
      </c>
      <c r="W230" s="23">
        <v>0</v>
      </c>
    </row>
    <row r="231" spans="1:23" x14ac:dyDescent="0.25">
      <c r="A231">
        <v>0</v>
      </c>
      <c r="B231">
        <v>0</v>
      </c>
      <c r="C231">
        <v>0</v>
      </c>
      <c r="D231">
        <v>0</v>
      </c>
      <c r="E231">
        <v>0</v>
      </c>
      <c r="G231">
        <v>0</v>
      </c>
      <c r="H231">
        <v>0</v>
      </c>
      <c r="I231">
        <v>0</v>
      </c>
      <c r="J231">
        <v>0</v>
      </c>
      <c r="K231">
        <v>0</v>
      </c>
      <c r="M231">
        <v>0</v>
      </c>
      <c r="N231">
        <v>0</v>
      </c>
      <c r="O231">
        <v>0</v>
      </c>
      <c r="P231">
        <v>0</v>
      </c>
      <c r="Q231">
        <v>0</v>
      </c>
      <c r="S231">
        <v>0</v>
      </c>
      <c r="T231">
        <v>0</v>
      </c>
      <c r="U231" s="20">
        <v>0</v>
      </c>
      <c r="V231" s="20">
        <v>0</v>
      </c>
      <c r="W231" s="23">
        <v>0</v>
      </c>
    </row>
    <row r="232" spans="1:23" x14ac:dyDescent="0.25">
      <c r="A232">
        <v>0</v>
      </c>
      <c r="B232">
        <v>0</v>
      </c>
      <c r="C232">
        <v>0</v>
      </c>
      <c r="D232">
        <v>0</v>
      </c>
      <c r="E232">
        <v>0</v>
      </c>
      <c r="G232">
        <v>0</v>
      </c>
      <c r="H232">
        <v>0</v>
      </c>
      <c r="I232">
        <v>0</v>
      </c>
      <c r="J232">
        <v>0</v>
      </c>
      <c r="K232">
        <v>0</v>
      </c>
      <c r="M232">
        <v>0</v>
      </c>
      <c r="N232">
        <v>0</v>
      </c>
      <c r="O232">
        <v>0</v>
      </c>
      <c r="P232">
        <v>0</v>
      </c>
      <c r="Q232">
        <v>0</v>
      </c>
      <c r="S232">
        <v>0</v>
      </c>
      <c r="T232">
        <v>0</v>
      </c>
      <c r="U232" s="20">
        <v>0</v>
      </c>
      <c r="V232" s="20">
        <v>0</v>
      </c>
      <c r="W232" s="23">
        <v>0</v>
      </c>
    </row>
    <row r="233" spans="1:23" x14ac:dyDescent="0.25">
      <c r="A233">
        <v>0</v>
      </c>
      <c r="B233">
        <v>0</v>
      </c>
      <c r="C233">
        <v>0</v>
      </c>
      <c r="D233">
        <v>0</v>
      </c>
      <c r="E233">
        <v>0</v>
      </c>
      <c r="G233">
        <v>0</v>
      </c>
      <c r="H233">
        <v>0</v>
      </c>
      <c r="I233">
        <v>0</v>
      </c>
      <c r="J233">
        <v>0</v>
      </c>
      <c r="K233">
        <v>0</v>
      </c>
      <c r="M233">
        <v>0</v>
      </c>
      <c r="N233">
        <v>0</v>
      </c>
      <c r="O233">
        <v>0</v>
      </c>
      <c r="P233">
        <v>0</v>
      </c>
      <c r="Q233">
        <v>0</v>
      </c>
      <c r="S233">
        <v>0</v>
      </c>
      <c r="T233">
        <v>0</v>
      </c>
      <c r="U233" s="20">
        <v>0</v>
      </c>
      <c r="V233" s="20">
        <v>0</v>
      </c>
      <c r="W233" s="23">
        <v>0</v>
      </c>
    </row>
    <row r="234" spans="1:23" x14ac:dyDescent="0.25">
      <c r="A234">
        <v>0</v>
      </c>
      <c r="B234">
        <v>0</v>
      </c>
      <c r="C234">
        <v>0</v>
      </c>
      <c r="D234">
        <v>0</v>
      </c>
      <c r="E234">
        <v>0</v>
      </c>
      <c r="G234">
        <v>0</v>
      </c>
      <c r="H234">
        <v>0</v>
      </c>
      <c r="I234">
        <v>0</v>
      </c>
      <c r="J234">
        <v>0</v>
      </c>
      <c r="K234">
        <v>0</v>
      </c>
      <c r="M234">
        <v>0</v>
      </c>
      <c r="N234">
        <v>0</v>
      </c>
      <c r="O234">
        <v>0</v>
      </c>
      <c r="P234">
        <v>0</v>
      </c>
      <c r="Q234">
        <v>0</v>
      </c>
      <c r="S234">
        <v>0</v>
      </c>
      <c r="T234">
        <v>0</v>
      </c>
      <c r="U234" s="20">
        <v>0</v>
      </c>
      <c r="V234" s="20">
        <v>0</v>
      </c>
      <c r="W234" s="23">
        <v>0</v>
      </c>
    </row>
    <row r="235" spans="1:23" x14ac:dyDescent="0.25">
      <c r="A235">
        <v>0</v>
      </c>
      <c r="B235">
        <v>0</v>
      </c>
      <c r="C235">
        <v>0</v>
      </c>
      <c r="D235">
        <v>0</v>
      </c>
      <c r="E235">
        <v>0</v>
      </c>
      <c r="G235">
        <v>0</v>
      </c>
      <c r="H235">
        <v>0</v>
      </c>
      <c r="I235">
        <v>0</v>
      </c>
      <c r="J235">
        <v>0</v>
      </c>
      <c r="K235">
        <v>0</v>
      </c>
      <c r="M235">
        <v>0</v>
      </c>
      <c r="N235">
        <v>0</v>
      </c>
      <c r="O235">
        <v>0</v>
      </c>
      <c r="P235">
        <v>0</v>
      </c>
      <c r="Q235">
        <v>0</v>
      </c>
      <c r="S235">
        <v>0</v>
      </c>
      <c r="T235">
        <v>0</v>
      </c>
      <c r="U235" s="20">
        <v>0</v>
      </c>
      <c r="V235" s="20">
        <v>0</v>
      </c>
      <c r="W235" s="23">
        <v>0</v>
      </c>
    </row>
    <row r="236" spans="1:23" x14ac:dyDescent="0.25">
      <c r="A236">
        <v>0</v>
      </c>
      <c r="B236">
        <v>0</v>
      </c>
      <c r="C236">
        <v>0</v>
      </c>
      <c r="D236">
        <v>0</v>
      </c>
      <c r="E236">
        <v>0</v>
      </c>
      <c r="G236">
        <v>0</v>
      </c>
      <c r="H236">
        <v>0</v>
      </c>
      <c r="I236">
        <v>0</v>
      </c>
      <c r="J236">
        <v>0</v>
      </c>
      <c r="K236">
        <v>0</v>
      </c>
      <c r="M236">
        <v>0</v>
      </c>
      <c r="N236">
        <v>0</v>
      </c>
      <c r="O236">
        <v>0</v>
      </c>
      <c r="P236">
        <v>0</v>
      </c>
      <c r="Q236">
        <v>0</v>
      </c>
      <c r="S236">
        <v>0</v>
      </c>
      <c r="T236">
        <v>0</v>
      </c>
      <c r="U236" s="20">
        <v>0</v>
      </c>
      <c r="V236" s="20">
        <v>0</v>
      </c>
      <c r="W236" s="23">
        <v>0</v>
      </c>
    </row>
    <row r="237" spans="1:23" x14ac:dyDescent="0.25">
      <c r="A237">
        <v>0</v>
      </c>
      <c r="B237">
        <v>0</v>
      </c>
      <c r="C237">
        <v>0</v>
      </c>
      <c r="D237">
        <v>0</v>
      </c>
      <c r="E237">
        <v>0</v>
      </c>
      <c r="G237">
        <v>0</v>
      </c>
      <c r="H237">
        <v>0</v>
      </c>
      <c r="I237">
        <v>0</v>
      </c>
      <c r="J237">
        <v>0</v>
      </c>
      <c r="K237">
        <v>0</v>
      </c>
      <c r="M237">
        <v>0</v>
      </c>
      <c r="N237">
        <v>0</v>
      </c>
      <c r="O237">
        <v>0</v>
      </c>
      <c r="P237">
        <v>0</v>
      </c>
      <c r="Q237">
        <v>0</v>
      </c>
      <c r="S237">
        <v>0</v>
      </c>
      <c r="T237">
        <v>0</v>
      </c>
      <c r="U237" s="20">
        <v>0</v>
      </c>
      <c r="V237" s="20">
        <v>0</v>
      </c>
      <c r="W237" s="23">
        <v>0</v>
      </c>
    </row>
    <row r="238" spans="1:23" x14ac:dyDescent="0.25">
      <c r="A238">
        <v>0</v>
      </c>
      <c r="B238">
        <v>0</v>
      </c>
      <c r="C238">
        <v>0</v>
      </c>
      <c r="D238">
        <v>0</v>
      </c>
      <c r="E238">
        <v>0</v>
      </c>
      <c r="G238">
        <v>0</v>
      </c>
      <c r="H238">
        <v>0</v>
      </c>
      <c r="I238">
        <v>0</v>
      </c>
      <c r="J238">
        <v>0</v>
      </c>
      <c r="K238">
        <v>0</v>
      </c>
      <c r="M238">
        <v>0</v>
      </c>
      <c r="N238">
        <v>0</v>
      </c>
      <c r="O238">
        <v>0</v>
      </c>
      <c r="P238">
        <v>0</v>
      </c>
      <c r="Q238">
        <v>0</v>
      </c>
      <c r="S238">
        <v>0</v>
      </c>
      <c r="T238">
        <v>0</v>
      </c>
      <c r="U238" s="20">
        <v>0</v>
      </c>
      <c r="V238" s="20">
        <v>0</v>
      </c>
      <c r="W238" s="23">
        <v>0</v>
      </c>
    </row>
    <row r="239" spans="1:23" x14ac:dyDescent="0.25">
      <c r="A239">
        <v>0</v>
      </c>
      <c r="B239">
        <v>0</v>
      </c>
      <c r="C239">
        <v>0</v>
      </c>
      <c r="D239">
        <v>0</v>
      </c>
      <c r="E239">
        <v>0</v>
      </c>
      <c r="G239">
        <v>0</v>
      </c>
      <c r="H239">
        <v>0</v>
      </c>
      <c r="I239">
        <v>0</v>
      </c>
      <c r="J239">
        <v>0</v>
      </c>
      <c r="K239">
        <v>0</v>
      </c>
      <c r="M239">
        <v>0</v>
      </c>
      <c r="N239">
        <v>0</v>
      </c>
      <c r="O239">
        <v>0</v>
      </c>
      <c r="P239">
        <v>0</v>
      </c>
      <c r="Q239">
        <v>0</v>
      </c>
      <c r="S239">
        <v>0</v>
      </c>
      <c r="T239">
        <v>0</v>
      </c>
      <c r="U239" s="20">
        <v>0</v>
      </c>
      <c r="V239" s="20">
        <v>0</v>
      </c>
      <c r="W239" s="23">
        <v>0</v>
      </c>
    </row>
    <row r="240" spans="1:23" x14ac:dyDescent="0.25">
      <c r="A240">
        <v>0</v>
      </c>
      <c r="B240">
        <v>0</v>
      </c>
      <c r="C240">
        <v>0</v>
      </c>
      <c r="D240">
        <v>0</v>
      </c>
      <c r="E240">
        <v>0</v>
      </c>
      <c r="G240">
        <v>0</v>
      </c>
      <c r="H240">
        <v>0</v>
      </c>
      <c r="I240">
        <v>0</v>
      </c>
      <c r="J240">
        <v>0</v>
      </c>
      <c r="K240">
        <v>0</v>
      </c>
      <c r="M240">
        <v>0</v>
      </c>
      <c r="N240">
        <v>0</v>
      </c>
      <c r="O240">
        <v>0</v>
      </c>
      <c r="P240">
        <v>0</v>
      </c>
      <c r="Q240">
        <v>0</v>
      </c>
      <c r="S240">
        <v>0</v>
      </c>
      <c r="T240">
        <v>0</v>
      </c>
      <c r="U240" s="20">
        <v>0</v>
      </c>
      <c r="V240" s="20">
        <v>0</v>
      </c>
      <c r="W240" s="23">
        <v>0</v>
      </c>
    </row>
    <row r="241" spans="1:23" x14ac:dyDescent="0.25">
      <c r="A241">
        <v>0</v>
      </c>
      <c r="B241">
        <v>0</v>
      </c>
      <c r="C241">
        <v>0</v>
      </c>
      <c r="D241">
        <v>0</v>
      </c>
      <c r="E241">
        <v>0</v>
      </c>
      <c r="G241">
        <v>0</v>
      </c>
      <c r="H241">
        <v>0</v>
      </c>
      <c r="I241">
        <v>0</v>
      </c>
      <c r="J241">
        <v>0</v>
      </c>
      <c r="K241">
        <v>0</v>
      </c>
      <c r="M241">
        <v>0</v>
      </c>
      <c r="N241">
        <v>0</v>
      </c>
      <c r="O241">
        <v>0</v>
      </c>
      <c r="P241">
        <v>0</v>
      </c>
      <c r="Q241">
        <v>0</v>
      </c>
      <c r="S241">
        <v>0</v>
      </c>
      <c r="T241">
        <v>0</v>
      </c>
      <c r="U241" s="20">
        <v>0</v>
      </c>
      <c r="V241" s="20">
        <v>0</v>
      </c>
      <c r="W241" s="23">
        <v>0</v>
      </c>
    </row>
    <row r="242" spans="1:23" x14ac:dyDescent="0.25">
      <c r="A242">
        <v>0</v>
      </c>
      <c r="B242">
        <v>0</v>
      </c>
      <c r="C242">
        <v>0</v>
      </c>
      <c r="D242">
        <v>0</v>
      </c>
      <c r="E242">
        <v>0</v>
      </c>
      <c r="G242">
        <v>0</v>
      </c>
      <c r="H242">
        <v>0</v>
      </c>
      <c r="I242">
        <v>0</v>
      </c>
      <c r="J242">
        <v>0</v>
      </c>
      <c r="K242">
        <v>0</v>
      </c>
      <c r="M242">
        <v>0</v>
      </c>
      <c r="N242">
        <v>0</v>
      </c>
      <c r="O242">
        <v>0</v>
      </c>
      <c r="P242">
        <v>0</v>
      </c>
      <c r="Q242">
        <v>0</v>
      </c>
      <c r="S242">
        <v>0</v>
      </c>
      <c r="T242">
        <v>0</v>
      </c>
      <c r="U242" s="20">
        <v>0</v>
      </c>
      <c r="V242" s="20">
        <v>0</v>
      </c>
      <c r="W242" s="23">
        <v>0</v>
      </c>
    </row>
    <row r="243" spans="1:23" x14ac:dyDescent="0.25">
      <c r="A243">
        <v>0</v>
      </c>
      <c r="B243">
        <v>0</v>
      </c>
      <c r="C243">
        <v>0</v>
      </c>
      <c r="D243">
        <v>0</v>
      </c>
      <c r="E243">
        <v>0</v>
      </c>
      <c r="G243">
        <v>0</v>
      </c>
      <c r="H243">
        <v>0</v>
      </c>
      <c r="I243">
        <v>0</v>
      </c>
      <c r="J243">
        <v>0</v>
      </c>
      <c r="K243">
        <v>0</v>
      </c>
      <c r="M243">
        <v>0</v>
      </c>
      <c r="N243">
        <v>0</v>
      </c>
      <c r="O243">
        <v>0</v>
      </c>
      <c r="P243">
        <v>0</v>
      </c>
      <c r="Q243">
        <v>0</v>
      </c>
      <c r="S243">
        <v>0</v>
      </c>
      <c r="T243">
        <v>0</v>
      </c>
      <c r="U243" s="20">
        <v>0</v>
      </c>
      <c r="V243" s="20">
        <v>0</v>
      </c>
      <c r="W243" s="23">
        <v>0</v>
      </c>
    </row>
    <row r="244" spans="1:23" x14ac:dyDescent="0.25">
      <c r="A244">
        <v>0</v>
      </c>
      <c r="B244">
        <v>0</v>
      </c>
      <c r="C244">
        <v>0</v>
      </c>
      <c r="D244">
        <v>0</v>
      </c>
      <c r="E244">
        <v>0</v>
      </c>
      <c r="G244">
        <v>0</v>
      </c>
      <c r="H244">
        <v>0</v>
      </c>
      <c r="I244">
        <v>0</v>
      </c>
      <c r="J244">
        <v>0</v>
      </c>
      <c r="K244">
        <v>0</v>
      </c>
      <c r="M244">
        <v>0</v>
      </c>
      <c r="N244">
        <v>0</v>
      </c>
      <c r="O244">
        <v>0</v>
      </c>
      <c r="P244">
        <v>0</v>
      </c>
      <c r="Q244">
        <v>0</v>
      </c>
      <c r="S244">
        <v>0</v>
      </c>
      <c r="T244">
        <v>0</v>
      </c>
      <c r="U244" s="20">
        <v>0</v>
      </c>
      <c r="V244" s="20">
        <v>0</v>
      </c>
      <c r="W244" s="23">
        <v>0</v>
      </c>
    </row>
    <row r="245" spans="1:23" x14ac:dyDescent="0.25">
      <c r="A245">
        <v>0</v>
      </c>
      <c r="B245">
        <v>0</v>
      </c>
      <c r="C245">
        <v>0</v>
      </c>
      <c r="D245">
        <v>0</v>
      </c>
      <c r="E245">
        <v>0</v>
      </c>
      <c r="G245">
        <v>0</v>
      </c>
      <c r="H245">
        <v>0</v>
      </c>
      <c r="I245">
        <v>0</v>
      </c>
      <c r="J245">
        <v>0</v>
      </c>
      <c r="K245">
        <v>0</v>
      </c>
      <c r="M245">
        <v>0</v>
      </c>
      <c r="N245">
        <v>0</v>
      </c>
      <c r="O245">
        <v>0</v>
      </c>
      <c r="P245">
        <v>0</v>
      </c>
      <c r="Q245">
        <v>0</v>
      </c>
      <c r="S245">
        <v>0</v>
      </c>
      <c r="T245">
        <v>0</v>
      </c>
      <c r="U245" s="20">
        <v>0</v>
      </c>
      <c r="V245" s="20">
        <v>0</v>
      </c>
      <c r="W245" s="23">
        <v>0</v>
      </c>
    </row>
    <row r="246" spans="1:23" x14ac:dyDescent="0.25">
      <c r="A246">
        <v>0</v>
      </c>
      <c r="B246">
        <v>0</v>
      </c>
      <c r="C246">
        <v>0</v>
      </c>
      <c r="D246">
        <v>0</v>
      </c>
      <c r="E246">
        <v>0</v>
      </c>
      <c r="G246">
        <v>0</v>
      </c>
      <c r="H246">
        <v>0</v>
      </c>
      <c r="I246">
        <v>0</v>
      </c>
      <c r="J246">
        <v>0</v>
      </c>
      <c r="K246">
        <v>0</v>
      </c>
      <c r="M246">
        <v>0</v>
      </c>
      <c r="N246">
        <v>0</v>
      </c>
      <c r="O246">
        <v>0</v>
      </c>
      <c r="P246">
        <v>0</v>
      </c>
      <c r="Q246">
        <v>0</v>
      </c>
      <c r="S246">
        <v>0</v>
      </c>
      <c r="T246">
        <v>0</v>
      </c>
      <c r="U246" s="20">
        <v>0</v>
      </c>
      <c r="V246" s="20">
        <v>0</v>
      </c>
      <c r="W246" s="23">
        <v>0</v>
      </c>
    </row>
    <row r="247" spans="1:23" x14ac:dyDescent="0.25">
      <c r="A247">
        <v>0</v>
      </c>
      <c r="B247">
        <v>0</v>
      </c>
      <c r="C247">
        <v>0</v>
      </c>
      <c r="D247">
        <v>0</v>
      </c>
      <c r="E247">
        <v>0</v>
      </c>
      <c r="G247">
        <v>0</v>
      </c>
      <c r="H247">
        <v>0</v>
      </c>
      <c r="I247">
        <v>0</v>
      </c>
      <c r="J247">
        <v>0</v>
      </c>
      <c r="K247">
        <v>0</v>
      </c>
      <c r="M247">
        <v>0</v>
      </c>
      <c r="N247">
        <v>0</v>
      </c>
      <c r="O247">
        <v>0</v>
      </c>
      <c r="P247">
        <v>0</v>
      </c>
      <c r="Q247">
        <v>0</v>
      </c>
      <c r="S247">
        <v>0</v>
      </c>
      <c r="T247">
        <v>0</v>
      </c>
      <c r="U247" s="20">
        <v>0</v>
      </c>
      <c r="V247" s="20">
        <v>0</v>
      </c>
      <c r="W247" s="23">
        <v>0</v>
      </c>
    </row>
    <row r="248" spans="1:23" x14ac:dyDescent="0.25">
      <c r="A248">
        <v>0</v>
      </c>
      <c r="B248">
        <v>0</v>
      </c>
      <c r="C248">
        <v>0</v>
      </c>
      <c r="D248">
        <v>0</v>
      </c>
      <c r="E248">
        <v>0</v>
      </c>
      <c r="G248">
        <v>0</v>
      </c>
      <c r="H248">
        <v>0</v>
      </c>
      <c r="I248">
        <v>0</v>
      </c>
      <c r="J248">
        <v>0</v>
      </c>
      <c r="K248">
        <v>0</v>
      </c>
      <c r="M248">
        <v>0</v>
      </c>
      <c r="N248">
        <v>0</v>
      </c>
      <c r="O248">
        <v>0</v>
      </c>
      <c r="P248">
        <v>0</v>
      </c>
      <c r="Q248">
        <v>0</v>
      </c>
      <c r="S248">
        <v>0</v>
      </c>
      <c r="T248">
        <v>0</v>
      </c>
      <c r="U248" s="20">
        <v>0</v>
      </c>
      <c r="V248" s="20">
        <v>0</v>
      </c>
      <c r="W248" s="23">
        <v>0</v>
      </c>
    </row>
    <row r="249" spans="1:23" x14ac:dyDescent="0.25">
      <c r="A249">
        <v>0</v>
      </c>
      <c r="B249">
        <v>0</v>
      </c>
      <c r="C249">
        <v>0</v>
      </c>
      <c r="D249">
        <v>0</v>
      </c>
      <c r="E249">
        <v>0</v>
      </c>
      <c r="G249">
        <v>0</v>
      </c>
      <c r="H249">
        <v>0</v>
      </c>
      <c r="I249">
        <v>0</v>
      </c>
      <c r="J249">
        <v>0</v>
      </c>
      <c r="K249">
        <v>0</v>
      </c>
      <c r="M249">
        <v>0</v>
      </c>
      <c r="N249">
        <v>0</v>
      </c>
      <c r="O249">
        <v>0</v>
      </c>
      <c r="P249">
        <v>0</v>
      </c>
      <c r="Q249">
        <v>0</v>
      </c>
      <c r="S249">
        <v>0</v>
      </c>
      <c r="T249">
        <v>0</v>
      </c>
      <c r="U249" s="20">
        <v>0</v>
      </c>
      <c r="V249" s="20">
        <v>0</v>
      </c>
      <c r="W249" s="23">
        <v>0</v>
      </c>
    </row>
    <row r="250" spans="1:23" x14ac:dyDescent="0.25">
      <c r="A250">
        <v>0</v>
      </c>
      <c r="B250">
        <v>0</v>
      </c>
      <c r="C250">
        <v>0</v>
      </c>
      <c r="D250">
        <v>0</v>
      </c>
      <c r="E250">
        <v>0</v>
      </c>
      <c r="G250">
        <v>0</v>
      </c>
      <c r="H250">
        <v>0</v>
      </c>
      <c r="I250">
        <v>0</v>
      </c>
      <c r="J250">
        <v>0</v>
      </c>
      <c r="K250">
        <v>0</v>
      </c>
      <c r="M250">
        <v>0</v>
      </c>
      <c r="N250">
        <v>0</v>
      </c>
      <c r="O250">
        <v>0</v>
      </c>
      <c r="P250">
        <v>0</v>
      </c>
      <c r="Q250">
        <v>0</v>
      </c>
      <c r="S250">
        <v>0</v>
      </c>
      <c r="T250">
        <v>0</v>
      </c>
      <c r="U250" s="20">
        <v>0</v>
      </c>
      <c r="V250" s="20">
        <v>0</v>
      </c>
      <c r="W250" s="23">
        <v>0</v>
      </c>
    </row>
    <row r="251" spans="1:23" x14ac:dyDescent="0.25">
      <c r="A251">
        <v>0</v>
      </c>
      <c r="B251">
        <v>0</v>
      </c>
      <c r="C251">
        <v>0</v>
      </c>
      <c r="D251">
        <v>0</v>
      </c>
      <c r="E251">
        <v>0</v>
      </c>
      <c r="G251">
        <v>0</v>
      </c>
      <c r="H251">
        <v>0</v>
      </c>
      <c r="I251">
        <v>0</v>
      </c>
      <c r="J251">
        <v>0</v>
      </c>
      <c r="K251">
        <v>0</v>
      </c>
      <c r="M251">
        <v>0</v>
      </c>
      <c r="N251">
        <v>0</v>
      </c>
      <c r="O251">
        <v>0</v>
      </c>
      <c r="P251">
        <v>0</v>
      </c>
      <c r="Q251">
        <v>0</v>
      </c>
      <c r="S251">
        <v>0</v>
      </c>
      <c r="T251">
        <v>0</v>
      </c>
      <c r="U251" s="20">
        <v>0</v>
      </c>
      <c r="V251" s="20">
        <v>0</v>
      </c>
      <c r="W251" s="23">
        <v>0</v>
      </c>
    </row>
    <row r="252" spans="1:23" x14ac:dyDescent="0.25">
      <c r="A252">
        <v>0</v>
      </c>
      <c r="B252">
        <v>0</v>
      </c>
      <c r="C252">
        <v>0</v>
      </c>
      <c r="D252">
        <v>0</v>
      </c>
      <c r="E252">
        <v>0</v>
      </c>
      <c r="G252">
        <v>0</v>
      </c>
      <c r="H252">
        <v>0</v>
      </c>
      <c r="I252">
        <v>0</v>
      </c>
      <c r="J252">
        <v>0</v>
      </c>
      <c r="K252">
        <v>0</v>
      </c>
      <c r="M252">
        <v>0</v>
      </c>
      <c r="N252">
        <v>0</v>
      </c>
      <c r="O252">
        <v>0</v>
      </c>
      <c r="P252">
        <v>0</v>
      </c>
      <c r="Q252">
        <v>0</v>
      </c>
      <c r="S252">
        <v>0</v>
      </c>
      <c r="T252">
        <v>0</v>
      </c>
      <c r="U252" s="20">
        <v>0</v>
      </c>
      <c r="V252" s="20">
        <v>0</v>
      </c>
      <c r="W252" s="23">
        <v>0</v>
      </c>
    </row>
    <row r="253" spans="1:23" x14ac:dyDescent="0.25">
      <c r="A253">
        <v>0</v>
      </c>
      <c r="B253">
        <v>0</v>
      </c>
      <c r="C253">
        <v>0</v>
      </c>
      <c r="D253">
        <v>0</v>
      </c>
      <c r="E253">
        <v>0</v>
      </c>
      <c r="G253">
        <v>0</v>
      </c>
      <c r="H253">
        <v>0</v>
      </c>
      <c r="I253">
        <v>0</v>
      </c>
      <c r="J253">
        <v>0</v>
      </c>
      <c r="K253">
        <v>0</v>
      </c>
      <c r="M253">
        <v>0</v>
      </c>
      <c r="N253">
        <v>0</v>
      </c>
      <c r="O253">
        <v>0</v>
      </c>
      <c r="P253">
        <v>0</v>
      </c>
      <c r="Q253">
        <v>0</v>
      </c>
      <c r="S253">
        <v>0</v>
      </c>
      <c r="T253">
        <v>0</v>
      </c>
      <c r="U253" s="20">
        <v>0</v>
      </c>
      <c r="V253" s="20">
        <v>0</v>
      </c>
      <c r="W253" s="23">
        <v>0</v>
      </c>
    </row>
    <row r="254" spans="1:23" x14ac:dyDescent="0.25">
      <c r="A254">
        <v>0</v>
      </c>
      <c r="B254">
        <v>0</v>
      </c>
      <c r="C254">
        <v>0</v>
      </c>
      <c r="D254">
        <v>0</v>
      </c>
      <c r="E254">
        <v>0</v>
      </c>
      <c r="G254">
        <v>0</v>
      </c>
      <c r="H254">
        <v>0</v>
      </c>
      <c r="I254">
        <v>0</v>
      </c>
      <c r="J254">
        <v>0</v>
      </c>
      <c r="K254">
        <v>0</v>
      </c>
      <c r="M254">
        <v>0</v>
      </c>
      <c r="N254">
        <v>0</v>
      </c>
      <c r="O254">
        <v>0</v>
      </c>
      <c r="P254">
        <v>0</v>
      </c>
      <c r="Q254">
        <v>0</v>
      </c>
      <c r="S254">
        <v>0</v>
      </c>
      <c r="T254">
        <v>0</v>
      </c>
      <c r="U254" s="20">
        <v>0</v>
      </c>
      <c r="V254" s="20">
        <v>0</v>
      </c>
      <c r="W254" s="23">
        <v>0</v>
      </c>
    </row>
    <row r="255" spans="1:23" x14ac:dyDescent="0.25">
      <c r="A255">
        <v>0</v>
      </c>
      <c r="B255">
        <v>0</v>
      </c>
      <c r="C255">
        <v>0</v>
      </c>
      <c r="D255">
        <v>0</v>
      </c>
      <c r="E255">
        <v>0</v>
      </c>
      <c r="G255">
        <v>0</v>
      </c>
      <c r="H255">
        <v>0</v>
      </c>
      <c r="I255">
        <v>0</v>
      </c>
      <c r="J255">
        <v>0</v>
      </c>
      <c r="K255">
        <v>0</v>
      </c>
      <c r="M255">
        <v>0</v>
      </c>
      <c r="N255">
        <v>0</v>
      </c>
      <c r="O255">
        <v>0</v>
      </c>
      <c r="P255">
        <v>0</v>
      </c>
      <c r="Q255">
        <v>0</v>
      </c>
      <c r="S255">
        <v>0</v>
      </c>
      <c r="T255">
        <v>0</v>
      </c>
      <c r="U255" s="20">
        <v>0</v>
      </c>
      <c r="V255" s="20">
        <v>0</v>
      </c>
      <c r="W255" s="23">
        <v>0</v>
      </c>
    </row>
    <row r="256" spans="1:23" x14ac:dyDescent="0.25">
      <c r="A256">
        <v>0</v>
      </c>
      <c r="B256">
        <v>0</v>
      </c>
      <c r="C256">
        <v>0</v>
      </c>
      <c r="D256">
        <v>0</v>
      </c>
      <c r="E256">
        <v>0</v>
      </c>
      <c r="G256">
        <v>0</v>
      </c>
      <c r="H256">
        <v>0</v>
      </c>
      <c r="I256">
        <v>0</v>
      </c>
      <c r="J256">
        <v>0</v>
      </c>
      <c r="K256">
        <v>0</v>
      </c>
      <c r="M256">
        <v>0</v>
      </c>
      <c r="N256">
        <v>0</v>
      </c>
      <c r="O256">
        <v>0</v>
      </c>
      <c r="P256">
        <v>0</v>
      </c>
      <c r="Q256">
        <v>0</v>
      </c>
      <c r="S256">
        <v>0</v>
      </c>
      <c r="T256">
        <v>0</v>
      </c>
      <c r="U256" s="20">
        <v>0</v>
      </c>
      <c r="V256" s="20">
        <v>0</v>
      </c>
      <c r="W256" s="23">
        <v>0</v>
      </c>
    </row>
    <row r="257" spans="1:23" x14ac:dyDescent="0.25">
      <c r="A257">
        <v>0</v>
      </c>
      <c r="B257">
        <v>0</v>
      </c>
      <c r="C257">
        <v>0</v>
      </c>
      <c r="D257">
        <v>0</v>
      </c>
      <c r="E257">
        <v>0</v>
      </c>
      <c r="G257">
        <v>0</v>
      </c>
      <c r="H257">
        <v>0</v>
      </c>
      <c r="I257">
        <v>0</v>
      </c>
      <c r="J257">
        <v>0</v>
      </c>
      <c r="K257">
        <v>0</v>
      </c>
      <c r="M257">
        <v>0</v>
      </c>
      <c r="N257">
        <v>0</v>
      </c>
      <c r="O257">
        <v>0</v>
      </c>
      <c r="P257">
        <v>0</v>
      </c>
      <c r="Q257">
        <v>0</v>
      </c>
      <c r="S257">
        <v>0</v>
      </c>
      <c r="T257">
        <v>0</v>
      </c>
      <c r="U257" s="20">
        <v>0</v>
      </c>
      <c r="V257" s="20">
        <v>0</v>
      </c>
      <c r="W257" s="23">
        <v>0</v>
      </c>
    </row>
    <row r="258" spans="1:23" x14ac:dyDescent="0.25">
      <c r="A258">
        <v>0</v>
      </c>
      <c r="B258">
        <v>0</v>
      </c>
      <c r="C258">
        <v>0</v>
      </c>
      <c r="D258">
        <v>0</v>
      </c>
      <c r="E258">
        <v>0</v>
      </c>
      <c r="G258">
        <v>0</v>
      </c>
      <c r="H258">
        <v>0</v>
      </c>
      <c r="I258">
        <v>0</v>
      </c>
      <c r="J258">
        <v>0</v>
      </c>
      <c r="K258">
        <v>0</v>
      </c>
      <c r="M258">
        <v>0</v>
      </c>
      <c r="N258">
        <v>0</v>
      </c>
      <c r="O258">
        <v>0</v>
      </c>
      <c r="P258">
        <v>0</v>
      </c>
      <c r="Q258">
        <v>0</v>
      </c>
      <c r="S258">
        <v>0</v>
      </c>
      <c r="T258">
        <v>0</v>
      </c>
      <c r="U258" s="20">
        <v>0</v>
      </c>
      <c r="V258" s="20">
        <v>0</v>
      </c>
      <c r="W258" s="23">
        <v>0</v>
      </c>
    </row>
    <row r="259" spans="1:23" x14ac:dyDescent="0.25">
      <c r="A259">
        <v>0</v>
      </c>
      <c r="B259">
        <v>0</v>
      </c>
      <c r="C259">
        <v>0</v>
      </c>
      <c r="D259">
        <v>0</v>
      </c>
      <c r="E259">
        <v>0</v>
      </c>
      <c r="G259">
        <v>0</v>
      </c>
      <c r="H259">
        <v>0</v>
      </c>
      <c r="I259">
        <v>0</v>
      </c>
      <c r="J259">
        <v>0</v>
      </c>
      <c r="K259">
        <v>0</v>
      </c>
      <c r="M259">
        <v>0</v>
      </c>
      <c r="N259">
        <v>0</v>
      </c>
      <c r="O259">
        <v>0</v>
      </c>
      <c r="P259">
        <v>0</v>
      </c>
      <c r="Q259">
        <v>0</v>
      </c>
      <c r="S259">
        <v>0</v>
      </c>
      <c r="T259">
        <v>0</v>
      </c>
      <c r="U259" s="20">
        <v>0</v>
      </c>
      <c r="V259" s="20">
        <v>0</v>
      </c>
      <c r="W259" s="23">
        <v>0</v>
      </c>
    </row>
    <row r="260" spans="1:23" x14ac:dyDescent="0.25">
      <c r="A260">
        <v>0</v>
      </c>
      <c r="B260">
        <v>0</v>
      </c>
      <c r="C260">
        <v>0</v>
      </c>
      <c r="D260">
        <v>0</v>
      </c>
      <c r="E260">
        <v>0</v>
      </c>
      <c r="G260">
        <v>0</v>
      </c>
      <c r="H260">
        <v>0</v>
      </c>
      <c r="I260">
        <v>0</v>
      </c>
      <c r="J260">
        <v>0</v>
      </c>
      <c r="K260">
        <v>0</v>
      </c>
      <c r="M260">
        <v>0</v>
      </c>
      <c r="N260">
        <v>0</v>
      </c>
      <c r="O260">
        <v>0</v>
      </c>
      <c r="P260">
        <v>0</v>
      </c>
      <c r="Q260">
        <v>0</v>
      </c>
      <c r="S260">
        <v>0</v>
      </c>
      <c r="T260">
        <v>0</v>
      </c>
      <c r="U260" s="20">
        <v>0</v>
      </c>
      <c r="V260" s="20">
        <v>0</v>
      </c>
      <c r="W260" s="23">
        <v>0</v>
      </c>
    </row>
    <row r="261" spans="1:23" x14ac:dyDescent="0.25">
      <c r="A261">
        <v>0</v>
      </c>
      <c r="B261">
        <v>0</v>
      </c>
      <c r="C261">
        <v>0</v>
      </c>
      <c r="D261">
        <v>0</v>
      </c>
      <c r="E261">
        <v>0</v>
      </c>
      <c r="G261">
        <v>0</v>
      </c>
      <c r="H261">
        <v>0</v>
      </c>
      <c r="I261">
        <v>0</v>
      </c>
      <c r="J261">
        <v>0</v>
      </c>
      <c r="K261">
        <v>0</v>
      </c>
      <c r="M261">
        <v>0</v>
      </c>
      <c r="N261">
        <v>0</v>
      </c>
      <c r="O261">
        <v>0</v>
      </c>
      <c r="P261">
        <v>0</v>
      </c>
      <c r="Q261">
        <v>0</v>
      </c>
      <c r="S261">
        <v>0</v>
      </c>
      <c r="T261">
        <v>0</v>
      </c>
      <c r="U261" s="20">
        <v>0</v>
      </c>
      <c r="V261" s="20">
        <v>0</v>
      </c>
      <c r="W261" s="23">
        <v>0</v>
      </c>
    </row>
    <row r="262" spans="1:23" x14ac:dyDescent="0.25">
      <c r="A262">
        <v>0</v>
      </c>
      <c r="B262">
        <v>0</v>
      </c>
      <c r="C262">
        <v>0</v>
      </c>
      <c r="D262">
        <v>0</v>
      </c>
      <c r="E262">
        <v>0</v>
      </c>
      <c r="G262">
        <v>0</v>
      </c>
      <c r="H262">
        <v>0</v>
      </c>
      <c r="I262">
        <v>0</v>
      </c>
      <c r="J262">
        <v>0</v>
      </c>
      <c r="K262">
        <v>0</v>
      </c>
      <c r="M262">
        <v>0</v>
      </c>
      <c r="N262">
        <v>0</v>
      </c>
      <c r="O262">
        <v>0</v>
      </c>
      <c r="P262">
        <v>0</v>
      </c>
      <c r="Q262">
        <v>0</v>
      </c>
      <c r="S262">
        <v>0</v>
      </c>
      <c r="T262">
        <v>0</v>
      </c>
      <c r="U262" s="20">
        <v>0</v>
      </c>
      <c r="V262" s="20">
        <v>0</v>
      </c>
      <c r="W262" s="23">
        <v>0</v>
      </c>
    </row>
    <row r="263" spans="1:23" x14ac:dyDescent="0.25">
      <c r="A263">
        <v>0</v>
      </c>
      <c r="B263">
        <v>0</v>
      </c>
      <c r="C263">
        <v>0</v>
      </c>
      <c r="D263">
        <v>0</v>
      </c>
      <c r="E263">
        <v>0</v>
      </c>
      <c r="G263">
        <v>0</v>
      </c>
      <c r="H263">
        <v>0</v>
      </c>
      <c r="I263">
        <v>0</v>
      </c>
      <c r="J263">
        <v>0</v>
      </c>
      <c r="K263">
        <v>0</v>
      </c>
      <c r="M263">
        <v>0</v>
      </c>
      <c r="N263">
        <v>0</v>
      </c>
      <c r="O263">
        <v>0</v>
      </c>
      <c r="P263">
        <v>0</v>
      </c>
      <c r="Q263">
        <v>0</v>
      </c>
      <c r="S263">
        <v>0</v>
      </c>
      <c r="T263">
        <v>0</v>
      </c>
      <c r="U263" s="20">
        <v>0</v>
      </c>
      <c r="V263" s="20">
        <v>0</v>
      </c>
      <c r="W263" s="23">
        <v>0</v>
      </c>
    </row>
    <row r="264" spans="1:23" x14ac:dyDescent="0.25">
      <c r="A264">
        <v>0</v>
      </c>
      <c r="B264">
        <v>0</v>
      </c>
      <c r="C264">
        <v>0</v>
      </c>
      <c r="D264">
        <v>0</v>
      </c>
      <c r="E264">
        <v>0</v>
      </c>
      <c r="G264">
        <v>0</v>
      </c>
      <c r="H264">
        <v>0</v>
      </c>
      <c r="I264">
        <v>0</v>
      </c>
      <c r="J264">
        <v>0</v>
      </c>
      <c r="K264">
        <v>0</v>
      </c>
      <c r="M264">
        <v>0</v>
      </c>
      <c r="N264">
        <v>0</v>
      </c>
      <c r="O264">
        <v>0</v>
      </c>
      <c r="P264">
        <v>0</v>
      </c>
      <c r="Q264">
        <v>0</v>
      </c>
      <c r="S264">
        <v>0</v>
      </c>
      <c r="T264">
        <v>0</v>
      </c>
      <c r="U264" s="20">
        <v>0</v>
      </c>
      <c r="V264" s="20">
        <v>0</v>
      </c>
      <c r="W264" s="23">
        <v>0</v>
      </c>
    </row>
    <row r="265" spans="1:23" x14ac:dyDescent="0.25">
      <c r="A265">
        <v>0</v>
      </c>
      <c r="B265">
        <v>0</v>
      </c>
      <c r="C265">
        <v>0</v>
      </c>
      <c r="D265">
        <v>0</v>
      </c>
      <c r="E265">
        <v>0</v>
      </c>
      <c r="G265">
        <v>0</v>
      </c>
      <c r="H265">
        <v>0</v>
      </c>
      <c r="I265">
        <v>0</v>
      </c>
      <c r="J265">
        <v>0</v>
      </c>
      <c r="K265">
        <v>0</v>
      </c>
      <c r="M265">
        <v>0</v>
      </c>
      <c r="N265">
        <v>0</v>
      </c>
      <c r="O265">
        <v>0</v>
      </c>
      <c r="P265">
        <v>0</v>
      </c>
      <c r="Q265">
        <v>0</v>
      </c>
      <c r="S265">
        <v>0</v>
      </c>
      <c r="T265">
        <v>0</v>
      </c>
      <c r="U265" s="20">
        <v>0</v>
      </c>
      <c r="V265" s="20">
        <v>0</v>
      </c>
      <c r="W265" s="23">
        <v>0</v>
      </c>
    </row>
    <row r="266" spans="1:23" x14ac:dyDescent="0.25">
      <c r="A266">
        <v>0</v>
      </c>
      <c r="B266">
        <v>0</v>
      </c>
      <c r="C266">
        <v>0</v>
      </c>
      <c r="D266">
        <v>0</v>
      </c>
      <c r="E266">
        <v>0</v>
      </c>
      <c r="G266">
        <v>0</v>
      </c>
      <c r="H266">
        <v>0</v>
      </c>
      <c r="I266">
        <v>0</v>
      </c>
      <c r="J266">
        <v>0</v>
      </c>
      <c r="K266">
        <v>0</v>
      </c>
      <c r="M266">
        <v>0</v>
      </c>
      <c r="N266">
        <v>0</v>
      </c>
      <c r="O266">
        <v>0</v>
      </c>
      <c r="P266">
        <v>0</v>
      </c>
      <c r="Q266">
        <v>0</v>
      </c>
      <c r="S266">
        <v>0</v>
      </c>
      <c r="T266">
        <v>0</v>
      </c>
      <c r="U266" s="20">
        <v>0</v>
      </c>
      <c r="V266" s="20">
        <v>0</v>
      </c>
      <c r="W266" s="23">
        <v>0</v>
      </c>
    </row>
    <row r="267" spans="1:23" x14ac:dyDescent="0.25">
      <c r="A267">
        <v>0</v>
      </c>
      <c r="B267">
        <v>0</v>
      </c>
      <c r="C267">
        <v>0</v>
      </c>
      <c r="D267">
        <v>0</v>
      </c>
      <c r="E267">
        <v>0</v>
      </c>
      <c r="G267">
        <v>0</v>
      </c>
      <c r="H267">
        <v>0</v>
      </c>
      <c r="I267">
        <v>0</v>
      </c>
      <c r="J267">
        <v>0</v>
      </c>
      <c r="K267">
        <v>0</v>
      </c>
      <c r="M267">
        <v>0</v>
      </c>
      <c r="N267">
        <v>0</v>
      </c>
      <c r="O267">
        <v>0</v>
      </c>
      <c r="P267">
        <v>0</v>
      </c>
      <c r="Q267">
        <v>0</v>
      </c>
      <c r="S267">
        <v>0</v>
      </c>
      <c r="T267">
        <v>0</v>
      </c>
      <c r="U267" s="20">
        <v>0</v>
      </c>
      <c r="V267" s="20">
        <v>0</v>
      </c>
      <c r="W267" s="23">
        <v>0</v>
      </c>
    </row>
    <row r="268" spans="1:23" x14ac:dyDescent="0.25">
      <c r="A268">
        <v>0</v>
      </c>
      <c r="B268">
        <v>0</v>
      </c>
      <c r="C268">
        <v>0</v>
      </c>
      <c r="D268">
        <v>0</v>
      </c>
      <c r="E268">
        <v>0</v>
      </c>
      <c r="G268">
        <v>0</v>
      </c>
      <c r="H268">
        <v>0</v>
      </c>
      <c r="I268">
        <v>0</v>
      </c>
      <c r="J268">
        <v>0</v>
      </c>
      <c r="K268">
        <v>0</v>
      </c>
      <c r="M268">
        <v>0</v>
      </c>
      <c r="N268">
        <v>0</v>
      </c>
      <c r="O268">
        <v>0</v>
      </c>
      <c r="P268">
        <v>0</v>
      </c>
      <c r="Q268">
        <v>0</v>
      </c>
      <c r="S268">
        <v>0</v>
      </c>
      <c r="T268">
        <v>0</v>
      </c>
      <c r="U268" s="20">
        <v>0</v>
      </c>
      <c r="V268" s="20">
        <v>0</v>
      </c>
      <c r="W268" s="23">
        <v>0</v>
      </c>
    </row>
    <row r="269" spans="1:23" x14ac:dyDescent="0.25">
      <c r="A269">
        <v>0</v>
      </c>
      <c r="B269">
        <v>0</v>
      </c>
      <c r="C269">
        <v>0</v>
      </c>
      <c r="D269">
        <v>0</v>
      </c>
      <c r="E269">
        <v>0</v>
      </c>
      <c r="G269">
        <v>0</v>
      </c>
      <c r="H269">
        <v>0</v>
      </c>
      <c r="I269">
        <v>0</v>
      </c>
      <c r="J269">
        <v>0</v>
      </c>
      <c r="K269">
        <v>0</v>
      </c>
      <c r="M269">
        <v>0</v>
      </c>
      <c r="N269">
        <v>0</v>
      </c>
      <c r="O269">
        <v>0</v>
      </c>
      <c r="P269">
        <v>0</v>
      </c>
      <c r="Q269">
        <v>0</v>
      </c>
      <c r="S269">
        <v>0</v>
      </c>
      <c r="T269">
        <v>0</v>
      </c>
      <c r="U269" s="20">
        <v>0</v>
      </c>
      <c r="V269" s="20">
        <v>0</v>
      </c>
      <c r="W269" s="23">
        <v>0</v>
      </c>
    </row>
    <row r="270" spans="1:23" x14ac:dyDescent="0.25">
      <c r="A270">
        <v>0</v>
      </c>
      <c r="B270">
        <v>0</v>
      </c>
      <c r="C270">
        <v>0</v>
      </c>
      <c r="D270">
        <v>0</v>
      </c>
      <c r="E270">
        <v>0</v>
      </c>
      <c r="G270">
        <v>0</v>
      </c>
      <c r="H270">
        <v>0</v>
      </c>
      <c r="I270">
        <v>0</v>
      </c>
      <c r="J270">
        <v>0</v>
      </c>
      <c r="K270">
        <v>0</v>
      </c>
      <c r="M270">
        <v>0</v>
      </c>
      <c r="N270">
        <v>0</v>
      </c>
      <c r="O270">
        <v>0</v>
      </c>
      <c r="P270">
        <v>0</v>
      </c>
      <c r="Q270">
        <v>0</v>
      </c>
      <c r="S270">
        <v>0</v>
      </c>
      <c r="T270">
        <v>0</v>
      </c>
      <c r="U270" s="20">
        <v>0</v>
      </c>
      <c r="V270" s="20">
        <v>0</v>
      </c>
      <c r="W270" s="23">
        <v>0</v>
      </c>
    </row>
    <row r="271" spans="1:23" x14ac:dyDescent="0.25">
      <c r="A271">
        <v>0</v>
      </c>
      <c r="B271">
        <v>0</v>
      </c>
      <c r="C271">
        <v>0</v>
      </c>
      <c r="D271">
        <v>0</v>
      </c>
      <c r="E271">
        <v>0</v>
      </c>
      <c r="G271">
        <v>0</v>
      </c>
      <c r="H271">
        <v>0</v>
      </c>
      <c r="I271">
        <v>0</v>
      </c>
      <c r="J271">
        <v>0</v>
      </c>
      <c r="K271">
        <v>0</v>
      </c>
      <c r="M271">
        <v>0</v>
      </c>
      <c r="N271">
        <v>0</v>
      </c>
      <c r="O271">
        <v>0</v>
      </c>
      <c r="P271">
        <v>0</v>
      </c>
      <c r="Q271">
        <v>0</v>
      </c>
      <c r="S271">
        <v>0</v>
      </c>
      <c r="T271">
        <v>0</v>
      </c>
      <c r="U271" s="20">
        <v>0</v>
      </c>
      <c r="V271" s="20">
        <v>0</v>
      </c>
      <c r="W271" s="23">
        <v>0</v>
      </c>
    </row>
    <row r="272" spans="1:23" x14ac:dyDescent="0.25">
      <c r="A272">
        <v>0</v>
      </c>
      <c r="B272">
        <v>0</v>
      </c>
      <c r="C272">
        <v>0</v>
      </c>
      <c r="D272">
        <v>0</v>
      </c>
      <c r="E272">
        <v>0</v>
      </c>
      <c r="G272">
        <v>0</v>
      </c>
      <c r="H272">
        <v>0</v>
      </c>
      <c r="I272">
        <v>0</v>
      </c>
      <c r="J272">
        <v>0</v>
      </c>
      <c r="K272">
        <v>0</v>
      </c>
      <c r="M272">
        <v>0</v>
      </c>
      <c r="N272">
        <v>0</v>
      </c>
      <c r="O272">
        <v>0</v>
      </c>
      <c r="P272">
        <v>0</v>
      </c>
      <c r="Q272">
        <v>0</v>
      </c>
      <c r="S272">
        <v>0</v>
      </c>
      <c r="T272">
        <v>0</v>
      </c>
      <c r="U272" s="20">
        <v>0</v>
      </c>
      <c r="V272" s="20">
        <v>0</v>
      </c>
      <c r="W272" s="23">
        <v>0</v>
      </c>
    </row>
    <row r="273" spans="1:23" x14ac:dyDescent="0.25">
      <c r="A273">
        <v>0</v>
      </c>
      <c r="B273">
        <v>0</v>
      </c>
      <c r="C273">
        <v>0</v>
      </c>
      <c r="D273">
        <v>0</v>
      </c>
      <c r="E273">
        <v>0</v>
      </c>
      <c r="G273">
        <v>0</v>
      </c>
      <c r="H273">
        <v>0</v>
      </c>
      <c r="I273">
        <v>0</v>
      </c>
      <c r="J273">
        <v>0</v>
      </c>
      <c r="K273">
        <v>0</v>
      </c>
      <c r="M273">
        <v>0</v>
      </c>
      <c r="N273">
        <v>0</v>
      </c>
      <c r="O273">
        <v>0</v>
      </c>
      <c r="P273">
        <v>0</v>
      </c>
      <c r="Q273">
        <v>0</v>
      </c>
      <c r="S273">
        <v>0</v>
      </c>
      <c r="T273">
        <v>0</v>
      </c>
      <c r="U273" s="20">
        <v>0</v>
      </c>
      <c r="V273" s="20">
        <v>0</v>
      </c>
      <c r="W273" s="23">
        <v>0</v>
      </c>
    </row>
    <row r="274" spans="1:23" x14ac:dyDescent="0.25">
      <c r="A274">
        <v>0</v>
      </c>
      <c r="B274">
        <v>0</v>
      </c>
      <c r="C274">
        <v>0</v>
      </c>
      <c r="D274">
        <v>0</v>
      </c>
      <c r="E274">
        <v>0</v>
      </c>
      <c r="G274">
        <v>0</v>
      </c>
      <c r="H274">
        <v>0</v>
      </c>
      <c r="I274">
        <v>0</v>
      </c>
      <c r="J274">
        <v>0</v>
      </c>
      <c r="K274">
        <v>0</v>
      </c>
      <c r="M274">
        <v>0</v>
      </c>
      <c r="N274">
        <v>0</v>
      </c>
      <c r="O274">
        <v>0</v>
      </c>
      <c r="P274">
        <v>0</v>
      </c>
      <c r="Q274">
        <v>0</v>
      </c>
      <c r="S274">
        <v>0</v>
      </c>
      <c r="T274">
        <v>0</v>
      </c>
      <c r="U274" s="20">
        <v>0</v>
      </c>
      <c r="V274" s="20">
        <v>0</v>
      </c>
      <c r="W274" s="23">
        <v>0</v>
      </c>
    </row>
    <row r="275" spans="1:23" x14ac:dyDescent="0.25">
      <c r="A275">
        <v>0</v>
      </c>
      <c r="B275">
        <v>0</v>
      </c>
      <c r="C275">
        <v>0</v>
      </c>
      <c r="D275">
        <v>0</v>
      </c>
      <c r="E275">
        <v>0</v>
      </c>
      <c r="G275">
        <v>0</v>
      </c>
      <c r="H275">
        <v>0</v>
      </c>
      <c r="I275">
        <v>0</v>
      </c>
      <c r="J275">
        <v>0</v>
      </c>
      <c r="K275">
        <v>0</v>
      </c>
      <c r="M275">
        <v>0</v>
      </c>
      <c r="N275">
        <v>0</v>
      </c>
      <c r="O275">
        <v>0</v>
      </c>
      <c r="P275">
        <v>0</v>
      </c>
      <c r="Q275">
        <v>0</v>
      </c>
      <c r="S275">
        <v>0</v>
      </c>
      <c r="T275">
        <v>0</v>
      </c>
      <c r="U275" s="20">
        <v>0</v>
      </c>
      <c r="V275" s="20">
        <v>0</v>
      </c>
      <c r="W275" s="23">
        <v>0</v>
      </c>
    </row>
    <row r="276" spans="1:23" x14ac:dyDescent="0.25">
      <c r="A276">
        <v>0</v>
      </c>
      <c r="B276">
        <v>0</v>
      </c>
      <c r="C276">
        <v>0</v>
      </c>
      <c r="D276">
        <v>0</v>
      </c>
      <c r="E276">
        <v>0</v>
      </c>
      <c r="G276">
        <v>0</v>
      </c>
      <c r="H276">
        <v>0</v>
      </c>
      <c r="I276">
        <v>0</v>
      </c>
      <c r="J276">
        <v>0</v>
      </c>
      <c r="K276">
        <v>0</v>
      </c>
      <c r="M276">
        <v>0</v>
      </c>
      <c r="N276">
        <v>0</v>
      </c>
      <c r="O276">
        <v>0</v>
      </c>
      <c r="P276">
        <v>0</v>
      </c>
      <c r="Q276">
        <v>0</v>
      </c>
      <c r="S276">
        <v>0</v>
      </c>
      <c r="T276">
        <v>0</v>
      </c>
      <c r="U276" s="20">
        <v>0</v>
      </c>
      <c r="V276" s="20">
        <v>0</v>
      </c>
      <c r="W276" s="23">
        <v>0</v>
      </c>
    </row>
    <row r="277" spans="1:23" x14ac:dyDescent="0.25">
      <c r="A277">
        <v>0</v>
      </c>
      <c r="B277">
        <v>0</v>
      </c>
      <c r="C277">
        <v>0</v>
      </c>
      <c r="D277">
        <v>0</v>
      </c>
      <c r="E277">
        <v>0</v>
      </c>
      <c r="G277">
        <v>0</v>
      </c>
      <c r="H277">
        <v>0</v>
      </c>
      <c r="I277">
        <v>0</v>
      </c>
      <c r="J277">
        <v>0</v>
      </c>
      <c r="K277">
        <v>0</v>
      </c>
      <c r="M277">
        <v>0</v>
      </c>
      <c r="N277">
        <v>0</v>
      </c>
      <c r="O277">
        <v>0</v>
      </c>
      <c r="P277">
        <v>0</v>
      </c>
      <c r="Q277">
        <v>0</v>
      </c>
      <c r="S277">
        <v>0</v>
      </c>
      <c r="T277">
        <v>0</v>
      </c>
      <c r="U277" s="20">
        <v>0</v>
      </c>
      <c r="V277" s="20">
        <v>0</v>
      </c>
      <c r="W277" s="23">
        <v>0</v>
      </c>
    </row>
    <row r="278" spans="1:23" x14ac:dyDescent="0.25">
      <c r="A278">
        <v>0</v>
      </c>
      <c r="B278">
        <v>0</v>
      </c>
      <c r="C278">
        <v>0</v>
      </c>
      <c r="D278">
        <v>0</v>
      </c>
      <c r="E278">
        <v>0</v>
      </c>
      <c r="G278">
        <v>0</v>
      </c>
      <c r="H278">
        <v>0</v>
      </c>
      <c r="I278">
        <v>0</v>
      </c>
      <c r="J278">
        <v>0</v>
      </c>
      <c r="K278">
        <v>0</v>
      </c>
      <c r="M278">
        <v>0</v>
      </c>
      <c r="N278">
        <v>0</v>
      </c>
      <c r="O278">
        <v>0</v>
      </c>
      <c r="P278">
        <v>0</v>
      </c>
      <c r="Q278">
        <v>0</v>
      </c>
      <c r="S278">
        <v>0</v>
      </c>
      <c r="T278">
        <v>0</v>
      </c>
      <c r="U278" s="20">
        <v>0</v>
      </c>
      <c r="V278" s="20">
        <v>0</v>
      </c>
      <c r="W278" s="23">
        <v>0</v>
      </c>
    </row>
    <row r="279" spans="1:23" x14ac:dyDescent="0.25">
      <c r="A279">
        <v>0</v>
      </c>
      <c r="B279">
        <v>0</v>
      </c>
      <c r="C279">
        <v>0</v>
      </c>
      <c r="D279">
        <v>0</v>
      </c>
      <c r="E279">
        <v>0</v>
      </c>
      <c r="G279">
        <v>0</v>
      </c>
      <c r="H279">
        <v>0</v>
      </c>
      <c r="I279">
        <v>0</v>
      </c>
      <c r="J279">
        <v>0</v>
      </c>
      <c r="K279">
        <v>0</v>
      </c>
      <c r="M279">
        <v>0</v>
      </c>
      <c r="N279">
        <v>0</v>
      </c>
      <c r="O279">
        <v>0</v>
      </c>
      <c r="P279">
        <v>0</v>
      </c>
      <c r="Q279">
        <v>0</v>
      </c>
      <c r="S279">
        <v>0</v>
      </c>
      <c r="T279">
        <v>0</v>
      </c>
      <c r="U279" s="20">
        <v>0</v>
      </c>
      <c r="V279" s="20">
        <v>0</v>
      </c>
      <c r="W279" s="23">
        <v>0</v>
      </c>
    </row>
    <row r="280" spans="1:23" x14ac:dyDescent="0.25">
      <c r="A280">
        <v>0</v>
      </c>
      <c r="B280">
        <v>0</v>
      </c>
      <c r="C280">
        <v>0</v>
      </c>
      <c r="D280">
        <v>0</v>
      </c>
      <c r="E280">
        <v>0</v>
      </c>
      <c r="G280">
        <v>0</v>
      </c>
      <c r="H280">
        <v>0</v>
      </c>
      <c r="I280">
        <v>0</v>
      </c>
      <c r="J280">
        <v>0</v>
      </c>
      <c r="K280">
        <v>0</v>
      </c>
      <c r="M280">
        <v>0</v>
      </c>
      <c r="N280">
        <v>0</v>
      </c>
      <c r="O280">
        <v>0</v>
      </c>
      <c r="P280">
        <v>0</v>
      </c>
      <c r="Q280">
        <v>0</v>
      </c>
      <c r="S280">
        <v>0</v>
      </c>
      <c r="T280">
        <v>0</v>
      </c>
      <c r="U280" s="20">
        <v>0</v>
      </c>
      <c r="V280" s="20">
        <v>0</v>
      </c>
      <c r="W280" s="23">
        <v>0</v>
      </c>
    </row>
    <row r="281" spans="1:23" x14ac:dyDescent="0.25">
      <c r="A281">
        <v>0</v>
      </c>
      <c r="B281">
        <v>0</v>
      </c>
      <c r="C281">
        <v>0</v>
      </c>
      <c r="D281">
        <v>0</v>
      </c>
      <c r="E281">
        <v>0</v>
      </c>
      <c r="G281">
        <v>0</v>
      </c>
      <c r="H281">
        <v>0</v>
      </c>
      <c r="I281">
        <v>0</v>
      </c>
      <c r="J281">
        <v>0</v>
      </c>
      <c r="K281">
        <v>0</v>
      </c>
      <c r="M281">
        <v>0</v>
      </c>
      <c r="N281">
        <v>0</v>
      </c>
      <c r="O281">
        <v>0</v>
      </c>
      <c r="P281">
        <v>0</v>
      </c>
      <c r="Q281">
        <v>0</v>
      </c>
      <c r="S281">
        <v>0</v>
      </c>
      <c r="T281">
        <v>0</v>
      </c>
      <c r="U281" s="20">
        <v>0</v>
      </c>
      <c r="V281" s="20">
        <v>0</v>
      </c>
      <c r="W281" s="23">
        <v>0</v>
      </c>
    </row>
    <row r="282" spans="1:23" x14ac:dyDescent="0.25">
      <c r="A282">
        <v>0</v>
      </c>
      <c r="B282">
        <v>0</v>
      </c>
      <c r="C282">
        <v>0</v>
      </c>
      <c r="D282">
        <v>0</v>
      </c>
      <c r="E282">
        <v>0</v>
      </c>
      <c r="G282">
        <v>0</v>
      </c>
      <c r="H282">
        <v>0</v>
      </c>
      <c r="I282">
        <v>0</v>
      </c>
      <c r="J282">
        <v>0</v>
      </c>
      <c r="K282">
        <v>0</v>
      </c>
      <c r="M282">
        <v>0</v>
      </c>
      <c r="N282">
        <v>0</v>
      </c>
      <c r="O282">
        <v>0</v>
      </c>
      <c r="P282">
        <v>0</v>
      </c>
      <c r="Q282">
        <v>0</v>
      </c>
      <c r="S282">
        <v>0</v>
      </c>
      <c r="T282">
        <v>0</v>
      </c>
      <c r="U282" s="20">
        <v>0</v>
      </c>
      <c r="V282" s="20">
        <v>0</v>
      </c>
      <c r="W282" s="23">
        <v>0</v>
      </c>
    </row>
    <row r="283" spans="1:23" x14ac:dyDescent="0.25">
      <c r="A283">
        <v>0</v>
      </c>
      <c r="B283">
        <v>0</v>
      </c>
      <c r="C283">
        <v>0</v>
      </c>
      <c r="D283">
        <v>0</v>
      </c>
      <c r="E283">
        <v>0</v>
      </c>
      <c r="G283">
        <v>0</v>
      </c>
      <c r="H283">
        <v>0</v>
      </c>
      <c r="I283">
        <v>0</v>
      </c>
      <c r="J283">
        <v>0</v>
      </c>
      <c r="K283">
        <v>0</v>
      </c>
      <c r="M283">
        <v>0</v>
      </c>
      <c r="N283">
        <v>0</v>
      </c>
      <c r="O283">
        <v>0</v>
      </c>
      <c r="P283">
        <v>0</v>
      </c>
      <c r="Q283">
        <v>0</v>
      </c>
      <c r="S283">
        <v>0</v>
      </c>
      <c r="T283">
        <v>0</v>
      </c>
      <c r="U283" s="20">
        <v>0</v>
      </c>
      <c r="V283" s="20">
        <v>0</v>
      </c>
      <c r="W283" s="23">
        <v>0</v>
      </c>
    </row>
    <row r="284" spans="1:23" x14ac:dyDescent="0.25">
      <c r="A284">
        <v>0</v>
      </c>
      <c r="B284">
        <v>0</v>
      </c>
      <c r="C284">
        <v>0</v>
      </c>
      <c r="D284">
        <v>0</v>
      </c>
      <c r="E284">
        <v>0</v>
      </c>
      <c r="G284">
        <v>0</v>
      </c>
      <c r="H284">
        <v>0</v>
      </c>
      <c r="I284">
        <v>0</v>
      </c>
      <c r="J284">
        <v>0</v>
      </c>
      <c r="K284">
        <v>0</v>
      </c>
      <c r="M284">
        <v>0</v>
      </c>
      <c r="N284">
        <v>0</v>
      </c>
      <c r="O284">
        <v>0</v>
      </c>
      <c r="P284">
        <v>0</v>
      </c>
      <c r="Q284">
        <v>0</v>
      </c>
      <c r="S284">
        <v>0</v>
      </c>
      <c r="T284">
        <v>0</v>
      </c>
      <c r="U284" s="20">
        <v>0</v>
      </c>
      <c r="V284" s="20">
        <v>0</v>
      </c>
      <c r="W284" s="23">
        <v>0</v>
      </c>
    </row>
    <row r="285" spans="1:23" x14ac:dyDescent="0.25">
      <c r="A285">
        <v>0</v>
      </c>
      <c r="B285">
        <v>0</v>
      </c>
      <c r="C285">
        <v>0</v>
      </c>
      <c r="D285">
        <v>0</v>
      </c>
      <c r="E285">
        <v>0</v>
      </c>
      <c r="G285">
        <v>0</v>
      </c>
      <c r="H285">
        <v>0</v>
      </c>
      <c r="I285">
        <v>0</v>
      </c>
      <c r="J285">
        <v>0</v>
      </c>
      <c r="K285">
        <v>0</v>
      </c>
      <c r="M285">
        <v>0</v>
      </c>
      <c r="N285">
        <v>0</v>
      </c>
      <c r="O285">
        <v>0</v>
      </c>
      <c r="P285">
        <v>0</v>
      </c>
      <c r="Q285">
        <v>0</v>
      </c>
      <c r="S285">
        <v>0</v>
      </c>
      <c r="T285">
        <v>0</v>
      </c>
      <c r="U285" s="20">
        <v>0</v>
      </c>
      <c r="V285" s="20">
        <v>0</v>
      </c>
      <c r="W285" s="23">
        <v>0</v>
      </c>
    </row>
    <row r="286" spans="1:23" x14ac:dyDescent="0.25">
      <c r="A286">
        <v>0</v>
      </c>
      <c r="B286">
        <v>0</v>
      </c>
      <c r="C286">
        <v>0</v>
      </c>
      <c r="D286">
        <v>0</v>
      </c>
      <c r="E286">
        <v>0</v>
      </c>
      <c r="G286">
        <v>0</v>
      </c>
      <c r="H286">
        <v>0</v>
      </c>
      <c r="I286">
        <v>0</v>
      </c>
      <c r="J286">
        <v>0</v>
      </c>
      <c r="K286">
        <v>0</v>
      </c>
      <c r="M286">
        <v>0</v>
      </c>
      <c r="N286">
        <v>0</v>
      </c>
      <c r="O286">
        <v>0</v>
      </c>
      <c r="P286">
        <v>0</v>
      </c>
      <c r="Q286">
        <v>0</v>
      </c>
      <c r="S286">
        <v>0</v>
      </c>
      <c r="T286">
        <v>0</v>
      </c>
      <c r="U286" s="20">
        <v>0</v>
      </c>
      <c r="V286" s="20">
        <v>0</v>
      </c>
      <c r="W286" s="23">
        <v>0</v>
      </c>
    </row>
    <row r="287" spans="1:23" x14ac:dyDescent="0.25">
      <c r="A287">
        <v>0</v>
      </c>
      <c r="B287">
        <v>0</v>
      </c>
      <c r="C287">
        <v>0</v>
      </c>
      <c r="D287">
        <v>0</v>
      </c>
      <c r="E287">
        <v>0</v>
      </c>
      <c r="G287">
        <v>0</v>
      </c>
      <c r="H287">
        <v>0</v>
      </c>
      <c r="I287">
        <v>0</v>
      </c>
      <c r="J287">
        <v>0</v>
      </c>
      <c r="K287">
        <v>0</v>
      </c>
      <c r="M287">
        <v>0</v>
      </c>
      <c r="N287">
        <v>0</v>
      </c>
      <c r="O287">
        <v>0</v>
      </c>
      <c r="P287">
        <v>0</v>
      </c>
      <c r="Q287">
        <v>0</v>
      </c>
      <c r="S287">
        <v>0</v>
      </c>
      <c r="T287">
        <v>0</v>
      </c>
      <c r="U287" s="20">
        <v>0</v>
      </c>
      <c r="V287" s="20">
        <v>0</v>
      </c>
      <c r="W287" s="23">
        <v>0</v>
      </c>
    </row>
    <row r="288" spans="1:23" x14ac:dyDescent="0.25">
      <c r="A288">
        <v>0</v>
      </c>
      <c r="B288">
        <v>0</v>
      </c>
      <c r="C288">
        <v>0</v>
      </c>
      <c r="D288">
        <v>0</v>
      </c>
      <c r="E288">
        <v>0</v>
      </c>
      <c r="G288">
        <v>0</v>
      </c>
      <c r="H288">
        <v>0</v>
      </c>
      <c r="I288">
        <v>0</v>
      </c>
      <c r="J288">
        <v>0</v>
      </c>
      <c r="K288">
        <v>0</v>
      </c>
      <c r="M288">
        <v>0</v>
      </c>
      <c r="N288">
        <v>0</v>
      </c>
      <c r="O288">
        <v>0</v>
      </c>
      <c r="P288">
        <v>0</v>
      </c>
      <c r="Q288">
        <v>0</v>
      </c>
      <c r="S288">
        <v>0</v>
      </c>
      <c r="T288">
        <v>0</v>
      </c>
      <c r="U288" s="20">
        <v>0</v>
      </c>
      <c r="V288" s="20">
        <v>0</v>
      </c>
      <c r="W288" s="23">
        <v>0</v>
      </c>
    </row>
    <row r="289" spans="1:23" x14ac:dyDescent="0.25">
      <c r="A289">
        <v>0</v>
      </c>
      <c r="B289">
        <v>0</v>
      </c>
      <c r="C289">
        <v>0</v>
      </c>
      <c r="D289">
        <v>0</v>
      </c>
      <c r="E289">
        <v>0</v>
      </c>
      <c r="G289">
        <v>0</v>
      </c>
      <c r="H289">
        <v>0</v>
      </c>
      <c r="I289">
        <v>0</v>
      </c>
      <c r="J289">
        <v>0</v>
      </c>
      <c r="K289">
        <v>0</v>
      </c>
      <c r="M289">
        <v>0</v>
      </c>
      <c r="N289">
        <v>0</v>
      </c>
      <c r="O289">
        <v>0</v>
      </c>
      <c r="P289">
        <v>0</v>
      </c>
      <c r="Q289">
        <v>0</v>
      </c>
      <c r="S289">
        <v>0</v>
      </c>
      <c r="T289">
        <v>0</v>
      </c>
      <c r="U289" s="20">
        <v>0</v>
      </c>
      <c r="V289" s="20">
        <v>0</v>
      </c>
      <c r="W289" s="23">
        <v>0</v>
      </c>
    </row>
    <row r="290" spans="1:23" x14ac:dyDescent="0.25">
      <c r="A290">
        <v>0</v>
      </c>
      <c r="B290">
        <v>0</v>
      </c>
      <c r="C290">
        <v>0</v>
      </c>
      <c r="D290">
        <v>0</v>
      </c>
      <c r="E290">
        <v>0</v>
      </c>
      <c r="G290">
        <v>0</v>
      </c>
      <c r="H290">
        <v>0</v>
      </c>
      <c r="I290">
        <v>0</v>
      </c>
      <c r="J290">
        <v>0</v>
      </c>
      <c r="K290">
        <v>0</v>
      </c>
      <c r="M290">
        <v>0</v>
      </c>
      <c r="N290">
        <v>0</v>
      </c>
      <c r="O290">
        <v>0</v>
      </c>
      <c r="P290">
        <v>0</v>
      </c>
      <c r="Q290">
        <v>0</v>
      </c>
      <c r="S290">
        <v>0</v>
      </c>
      <c r="T290">
        <v>0</v>
      </c>
      <c r="U290" s="20">
        <v>0</v>
      </c>
      <c r="V290" s="20">
        <v>0</v>
      </c>
      <c r="W290" s="23">
        <v>0</v>
      </c>
    </row>
    <row r="291" spans="1:23" x14ac:dyDescent="0.25">
      <c r="A291">
        <v>0</v>
      </c>
      <c r="B291">
        <v>0</v>
      </c>
      <c r="C291">
        <v>0</v>
      </c>
      <c r="D291">
        <v>0</v>
      </c>
      <c r="E291">
        <v>0</v>
      </c>
      <c r="G291">
        <v>0</v>
      </c>
      <c r="H291">
        <v>0</v>
      </c>
      <c r="I291">
        <v>0</v>
      </c>
      <c r="J291">
        <v>0</v>
      </c>
      <c r="K291">
        <v>0</v>
      </c>
      <c r="M291">
        <v>0</v>
      </c>
      <c r="N291">
        <v>0</v>
      </c>
      <c r="O291">
        <v>0</v>
      </c>
      <c r="P291">
        <v>0</v>
      </c>
      <c r="Q291">
        <v>0</v>
      </c>
      <c r="S291">
        <v>0</v>
      </c>
      <c r="T291">
        <v>0</v>
      </c>
      <c r="U291" s="20">
        <v>0</v>
      </c>
      <c r="V291" s="20">
        <v>0</v>
      </c>
      <c r="W291" s="23">
        <v>0</v>
      </c>
    </row>
    <row r="292" spans="1:23" x14ac:dyDescent="0.25">
      <c r="A292">
        <v>0</v>
      </c>
      <c r="B292">
        <v>0</v>
      </c>
      <c r="C292">
        <v>0</v>
      </c>
      <c r="D292">
        <v>0</v>
      </c>
      <c r="E292">
        <v>0</v>
      </c>
      <c r="G292">
        <v>0</v>
      </c>
      <c r="H292">
        <v>0</v>
      </c>
      <c r="I292">
        <v>0</v>
      </c>
      <c r="J292">
        <v>0</v>
      </c>
      <c r="K292">
        <v>0</v>
      </c>
      <c r="M292">
        <v>0</v>
      </c>
      <c r="N292">
        <v>0</v>
      </c>
      <c r="O292">
        <v>0</v>
      </c>
      <c r="P292">
        <v>0</v>
      </c>
      <c r="Q292">
        <v>0</v>
      </c>
      <c r="S292">
        <v>0</v>
      </c>
      <c r="T292">
        <v>0</v>
      </c>
      <c r="U292" s="20">
        <v>0</v>
      </c>
      <c r="V292" s="20">
        <v>0</v>
      </c>
      <c r="W292" s="23">
        <v>0</v>
      </c>
    </row>
    <row r="293" spans="1:23" x14ac:dyDescent="0.25">
      <c r="A293">
        <v>0</v>
      </c>
      <c r="B293">
        <v>0</v>
      </c>
      <c r="C293">
        <v>0</v>
      </c>
      <c r="D293">
        <v>0</v>
      </c>
      <c r="E293">
        <v>0</v>
      </c>
      <c r="G293">
        <v>0</v>
      </c>
      <c r="H293">
        <v>0</v>
      </c>
      <c r="I293">
        <v>0</v>
      </c>
      <c r="J293">
        <v>0</v>
      </c>
      <c r="K293">
        <v>0</v>
      </c>
      <c r="M293">
        <v>0</v>
      </c>
      <c r="N293">
        <v>0</v>
      </c>
      <c r="O293">
        <v>0</v>
      </c>
      <c r="P293">
        <v>0</v>
      </c>
      <c r="Q293">
        <v>0</v>
      </c>
      <c r="S293">
        <v>0</v>
      </c>
      <c r="T293">
        <v>0</v>
      </c>
      <c r="U293" s="20">
        <v>0</v>
      </c>
      <c r="V293" s="20">
        <v>0</v>
      </c>
      <c r="W293" s="23">
        <v>0</v>
      </c>
    </row>
    <row r="294" spans="1:23" x14ac:dyDescent="0.25">
      <c r="A294">
        <v>0</v>
      </c>
      <c r="B294">
        <v>0</v>
      </c>
      <c r="C294">
        <v>0</v>
      </c>
      <c r="D294">
        <v>0</v>
      </c>
      <c r="E294">
        <v>0</v>
      </c>
      <c r="G294">
        <v>0</v>
      </c>
      <c r="H294">
        <v>0</v>
      </c>
      <c r="I294">
        <v>0</v>
      </c>
      <c r="J294">
        <v>0</v>
      </c>
      <c r="K294">
        <v>0</v>
      </c>
      <c r="M294">
        <v>0</v>
      </c>
      <c r="N294">
        <v>0</v>
      </c>
      <c r="O294">
        <v>0</v>
      </c>
      <c r="P294">
        <v>0</v>
      </c>
      <c r="Q294">
        <v>0</v>
      </c>
      <c r="S294">
        <v>0</v>
      </c>
      <c r="T294">
        <v>0</v>
      </c>
      <c r="U294" s="20">
        <v>0</v>
      </c>
      <c r="V294" s="20">
        <v>0</v>
      </c>
      <c r="W294" s="23">
        <v>0</v>
      </c>
    </row>
    <row r="295" spans="1:23" x14ac:dyDescent="0.25">
      <c r="A295">
        <v>0</v>
      </c>
      <c r="B295">
        <v>0</v>
      </c>
      <c r="C295">
        <v>0</v>
      </c>
      <c r="D295">
        <v>0</v>
      </c>
      <c r="E295">
        <v>0</v>
      </c>
      <c r="G295">
        <v>0</v>
      </c>
      <c r="H295">
        <v>0</v>
      </c>
      <c r="I295">
        <v>0</v>
      </c>
      <c r="J295">
        <v>0</v>
      </c>
      <c r="K295">
        <v>0</v>
      </c>
      <c r="M295">
        <v>0</v>
      </c>
      <c r="N295">
        <v>0</v>
      </c>
      <c r="O295">
        <v>0</v>
      </c>
      <c r="P295">
        <v>0</v>
      </c>
      <c r="Q295">
        <v>0</v>
      </c>
      <c r="S295">
        <v>0</v>
      </c>
      <c r="T295">
        <v>0</v>
      </c>
      <c r="U295" s="20">
        <v>0</v>
      </c>
      <c r="V295" s="20">
        <v>0</v>
      </c>
      <c r="W295" s="23">
        <v>0</v>
      </c>
    </row>
    <row r="296" spans="1:23" x14ac:dyDescent="0.25">
      <c r="A296">
        <v>0</v>
      </c>
      <c r="B296">
        <v>0</v>
      </c>
      <c r="C296">
        <v>0</v>
      </c>
      <c r="D296">
        <v>0</v>
      </c>
      <c r="E296">
        <v>0</v>
      </c>
      <c r="G296">
        <v>0</v>
      </c>
      <c r="H296">
        <v>0</v>
      </c>
      <c r="I296">
        <v>0</v>
      </c>
      <c r="J296">
        <v>0</v>
      </c>
      <c r="K296">
        <v>0</v>
      </c>
      <c r="M296">
        <v>0</v>
      </c>
      <c r="N296">
        <v>0</v>
      </c>
      <c r="O296">
        <v>0</v>
      </c>
      <c r="P296">
        <v>0</v>
      </c>
      <c r="Q296">
        <v>0</v>
      </c>
      <c r="S296">
        <v>0</v>
      </c>
      <c r="T296">
        <v>0</v>
      </c>
      <c r="U296" s="20">
        <v>0</v>
      </c>
      <c r="V296" s="20">
        <v>0</v>
      </c>
      <c r="W296" s="23">
        <v>0</v>
      </c>
    </row>
    <row r="297" spans="1:23" x14ac:dyDescent="0.25">
      <c r="A297">
        <v>0</v>
      </c>
      <c r="B297">
        <v>0</v>
      </c>
      <c r="C297">
        <v>0</v>
      </c>
      <c r="D297">
        <v>0</v>
      </c>
      <c r="E297">
        <v>0</v>
      </c>
      <c r="G297">
        <v>0</v>
      </c>
      <c r="H297">
        <v>0</v>
      </c>
      <c r="I297">
        <v>0</v>
      </c>
      <c r="J297">
        <v>0</v>
      </c>
      <c r="K297">
        <v>0</v>
      </c>
      <c r="M297">
        <v>0</v>
      </c>
      <c r="N297">
        <v>0</v>
      </c>
      <c r="O297">
        <v>0</v>
      </c>
      <c r="P297">
        <v>0</v>
      </c>
      <c r="Q297">
        <v>0</v>
      </c>
      <c r="S297">
        <v>0</v>
      </c>
      <c r="T297">
        <v>0</v>
      </c>
      <c r="U297" s="20">
        <v>0</v>
      </c>
      <c r="V297" s="20">
        <v>0</v>
      </c>
      <c r="W297" s="23">
        <v>0</v>
      </c>
    </row>
    <row r="298" spans="1:23" x14ac:dyDescent="0.25">
      <c r="A298">
        <v>0</v>
      </c>
      <c r="B298">
        <v>0</v>
      </c>
      <c r="C298">
        <v>0</v>
      </c>
      <c r="D298">
        <v>0</v>
      </c>
      <c r="E298">
        <v>0</v>
      </c>
      <c r="G298">
        <v>0</v>
      </c>
      <c r="H298">
        <v>0</v>
      </c>
      <c r="I298">
        <v>0</v>
      </c>
      <c r="J298">
        <v>0</v>
      </c>
      <c r="K298">
        <v>0</v>
      </c>
      <c r="M298">
        <v>0</v>
      </c>
      <c r="N298">
        <v>0</v>
      </c>
      <c r="O298">
        <v>0</v>
      </c>
      <c r="P298">
        <v>0</v>
      </c>
      <c r="Q298">
        <v>0</v>
      </c>
      <c r="S298">
        <v>0</v>
      </c>
      <c r="T298">
        <v>0</v>
      </c>
      <c r="U298" s="20">
        <v>0</v>
      </c>
      <c r="V298" s="20">
        <v>0</v>
      </c>
      <c r="W298" s="23">
        <v>0</v>
      </c>
    </row>
    <row r="299" spans="1:23" x14ac:dyDescent="0.25">
      <c r="A299">
        <v>0</v>
      </c>
      <c r="B299">
        <v>0</v>
      </c>
      <c r="C299">
        <v>0</v>
      </c>
      <c r="D299">
        <v>0</v>
      </c>
      <c r="E299">
        <v>0</v>
      </c>
      <c r="G299">
        <v>0</v>
      </c>
      <c r="H299">
        <v>0</v>
      </c>
      <c r="I299">
        <v>0</v>
      </c>
      <c r="J299">
        <v>0</v>
      </c>
      <c r="K299">
        <v>0</v>
      </c>
      <c r="M299">
        <v>0</v>
      </c>
      <c r="N299">
        <v>0</v>
      </c>
      <c r="O299">
        <v>0</v>
      </c>
      <c r="P299">
        <v>0</v>
      </c>
      <c r="Q299">
        <v>0</v>
      </c>
      <c r="S299">
        <v>0</v>
      </c>
      <c r="T299">
        <v>0</v>
      </c>
      <c r="U299" s="20">
        <v>0</v>
      </c>
      <c r="V299" s="20">
        <v>0</v>
      </c>
      <c r="W299" s="23">
        <v>0</v>
      </c>
    </row>
    <row r="300" spans="1:23" x14ac:dyDescent="0.25">
      <c r="A300">
        <v>0</v>
      </c>
      <c r="B300">
        <v>0</v>
      </c>
      <c r="C300">
        <v>0</v>
      </c>
      <c r="D300">
        <v>0</v>
      </c>
      <c r="E300">
        <v>0</v>
      </c>
      <c r="G300">
        <v>0</v>
      </c>
      <c r="H300">
        <v>0</v>
      </c>
      <c r="I300">
        <v>0</v>
      </c>
      <c r="J300">
        <v>0</v>
      </c>
      <c r="K300">
        <v>0</v>
      </c>
      <c r="M300">
        <v>0</v>
      </c>
      <c r="N300">
        <v>0</v>
      </c>
      <c r="O300">
        <v>0</v>
      </c>
      <c r="P300">
        <v>0</v>
      </c>
      <c r="Q300">
        <v>0</v>
      </c>
      <c r="S300">
        <v>0</v>
      </c>
      <c r="T300">
        <v>0</v>
      </c>
      <c r="U300" s="20">
        <v>0</v>
      </c>
      <c r="V300" s="20">
        <v>0</v>
      </c>
      <c r="W300" s="23">
        <v>0</v>
      </c>
    </row>
    <row r="301" spans="1:23" x14ac:dyDescent="0.25">
      <c r="A301">
        <v>0</v>
      </c>
      <c r="B301">
        <v>0</v>
      </c>
      <c r="C301">
        <v>0</v>
      </c>
      <c r="D301">
        <v>0</v>
      </c>
      <c r="E301">
        <v>0</v>
      </c>
      <c r="G301">
        <v>0</v>
      </c>
      <c r="H301">
        <v>0</v>
      </c>
      <c r="I301">
        <v>0</v>
      </c>
      <c r="J301">
        <v>0</v>
      </c>
      <c r="K301">
        <v>0</v>
      </c>
      <c r="M301">
        <v>0</v>
      </c>
      <c r="N301">
        <v>0</v>
      </c>
      <c r="O301">
        <v>0</v>
      </c>
      <c r="P301">
        <v>0</v>
      </c>
      <c r="Q301">
        <v>0</v>
      </c>
      <c r="S301">
        <v>0</v>
      </c>
      <c r="T301">
        <v>0</v>
      </c>
      <c r="U301" s="20">
        <v>0</v>
      </c>
      <c r="V301" s="20">
        <v>0</v>
      </c>
      <c r="W301" s="23">
        <v>0</v>
      </c>
    </row>
    <row r="302" spans="1:23" x14ac:dyDescent="0.25">
      <c r="A302">
        <v>0</v>
      </c>
      <c r="B302">
        <v>0</v>
      </c>
      <c r="C302">
        <v>0</v>
      </c>
      <c r="D302">
        <v>0</v>
      </c>
      <c r="E302">
        <v>0</v>
      </c>
      <c r="G302">
        <v>0</v>
      </c>
      <c r="H302">
        <v>0</v>
      </c>
      <c r="I302">
        <v>0</v>
      </c>
      <c r="J302">
        <v>0</v>
      </c>
      <c r="K302">
        <v>0</v>
      </c>
      <c r="M302">
        <v>0</v>
      </c>
      <c r="N302">
        <v>0</v>
      </c>
      <c r="O302">
        <v>0</v>
      </c>
      <c r="P302">
        <v>0</v>
      </c>
      <c r="Q302">
        <v>0</v>
      </c>
      <c r="S302">
        <v>0</v>
      </c>
      <c r="T302">
        <v>0</v>
      </c>
      <c r="U302" s="20">
        <v>0</v>
      </c>
      <c r="V302" s="20">
        <v>0</v>
      </c>
      <c r="W302" s="23">
        <v>0</v>
      </c>
    </row>
    <row r="303" spans="1:23" x14ac:dyDescent="0.25">
      <c r="A303">
        <v>0</v>
      </c>
      <c r="B303">
        <v>0</v>
      </c>
      <c r="C303">
        <v>0</v>
      </c>
      <c r="D303">
        <v>0</v>
      </c>
      <c r="E303">
        <v>0</v>
      </c>
      <c r="G303">
        <v>0</v>
      </c>
      <c r="H303">
        <v>0</v>
      </c>
      <c r="I303">
        <v>0</v>
      </c>
      <c r="J303">
        <v>0</v>
      </c>
      <c r="K303">
        <v>0</v>
      </c>
      <c r="M303">
        <v>0</v>
      </c>
      <c r="N303">
        <v>0</v>
      </c>
      <c r="O303">
        <v>0</v>
      </c>
      <c r="P303">
        <v>0</v>
      </c>
      <c r="Q303">
        <v>0</v>
      </c>
      <c r="S303">
        <v>0</v>
      </c>
      <c r="T303">
        <v>0</v>
      </c>
      <c r="U303" s="20">
        <v>0</v>
      </c>
      <c r="V303" s="20">
        <v>0</v>
      </c>
      <c r="W303" s="23">
        <v>0</v>
      </c>
    </row>
    <row r="304" spans="1:23" x14ac:dyDescent="0.25">
      <c r="A304">
        <v>0</v>
      </c>
      <c r="B304">
        <v>0</v>
      </c>
      <c r="C304">
        <v>0</v>
      </c>
      <c r="D304">
        <v>0</v>
      </c>
      <c r="E304">
        <v>0</v>
      </c>
      <c r="G304">
        <v>0</v>
      </c>
      <c r="H304">
        <v>0</v>
      </c>
      <c r="I304">
        <v>0</v>
      </c>
      <c r="J304">
        <v>0</v>
      </c>
      <c r="K304">
        <v>0</v>
      </c>
      <c r="M304">
        <v>0</v>
      </c>
      <c r="N304">
        <v>0</v>
      </c>
      <c r="O304">
        <v>0</v>
      </c>
      <c r="P304">
        <v>0</v>
      </c>
      <c r="Q304">
        <v>0</v>
      </c>
      <c r="S304">
        <v>0</v>
      </c>
      <c r="T304">
        <v>0</v>
      </c>
      <c r="U304" s="20">
        <v>0</v>
      </c>
      <c r="V304" s="20">
        <v>0</v>
      </c>
      <c r="W304" s="23">
        <v>0</v>
      </c>
    </row>
    <row r="305" spans="7:23" x14ac:dyDescent="0.25">
      <c r="G305">
        <v>0</v>
      </c>
      <c r="H305">
        <v>0</v>
      </c>
      <c r="I305">
        <v>0</v>
      </c>
      <c r="J305">
        <v>0</v>
      </c>
      <c r="K305">
        <v>0</v>
      </c>
      <c r="M305">
        <v>0</v>
      </c>
      <c r="N305">
        <v>0</v>
      </c>
      <c r="O305">
        <v>0</v>
      </c>
      <c r="P305">
        <v>0</v>
      </c>
      <c r="Q305">
        <v>0</v>
      </c>
      <c r="S305">
        <v>0</v>
      </c>
      <c r="T305">
        <v>0</v>
      </c>
      <c r="U305" s="20">
        <v>0</v>
      </c>
      <c r="V305" s="20">
        <v>0</v>
      </c>
      <c r="W305" s="23">
        <v>0</v>
      </c>
    </row>
    <row r="306" spans="7:23" x14ac:dyDescent="0.25">
      <c r="G306">
        <v>0</v>
      </c>
      <c r="H306">
        <v>0</v>
      </c>
      <c r="I306">
        <v>0</v>
      </c>
      <c r="J306">
        <v>0</v>
      </c>
      <c r="K306">
        <v>0</v>
      </c>
      <c r="M306">
        <v>0</v>
      </c>
      <c r="N306">
        <v>0</v>
      </c>
      <c r="O306">
        <v>0</v>
      </c>
      <c r="P306">
        <v>0</v>
      </c>
      <c r="Q306">
        <v>0</v>
      </c>
      <c r="S306">
        <v>0</v>
      </c>
      <c r="T306">
        <v>0</v>
      </c>
      <c r="U306" s="20">
        <v>0</v>
      </c>
      <c r="V306" s="20">
        <v>0</v>
      </c>
      <c r="W306" s="23">
        <v>0</v>
      </c>
    </row>
    <row r="307" spans="7:23" x14ac:dyDescent="0.25">
      <c r="G307">
        <v>0</v>
      </c>
      <c r="H307">
        <v>0</v>
      </c>
      <c r="I307">
        <v>0</v>
      </c>
      <c r="J307">
        <v>0</v>
      </c>
      <c r="K307">
        <v>0</v>
      </c>
      <c r="M307">
        <v>0</v>
      </c>
      <c r="N307">
        <v>0</v>
      </c>
      <c r="O307">
        <v>0</v>
      </c>
      <c r="P307">
        <v>0</v>
      </c>
      <c r="Q307">
        <v>0</v>
      </c>
      <c r="S307">
        <v>0</v>
      </c>
      <c r="T307">
        <v>0</v>
      </c>
      <c r="U307" s="20">
        <v>0</v>
      </c>
      <c r="V307" s="20">
        <v>0</v>
      </c>
      <c r="W307" s="23">
        <v>0</v>
      </c>
    </row>
    <row r="308" spans="7:23" x14ac:dyDescent="0.25">
      <c r="G308">
        <v>0</v>
      </c>
      <c r="H308">
        <v>0</v>
      </c>
      <c r="I308">
        <v>0</v>
      </c>
      <c r="J308">
        <v>0</v>
      </c>
      <c r="K308">
        <v>0</v>
      </c>
      <c r="M308">
        <v>0</v>
      </c>
      <c r="N308">
        <v>0</v>
      </c>
      <c r="O308">
        <v>0</v>
      </c>
      <c r="P308">
        <v>0</v>
      </c>
      <c r="Q308">
        <v>0</v>
      </c>
      <c r="S308">
        <v>0</v>
      </c>
      <c r="T308">
        <v>0</v>
      </c>
      <c r="U308" s="20">
        <v>0</v>
      </c>
      <c r="V308" s="20">
        <v>0</v>
      </c>
      <c r="W308" s="23">
        <v>0</v>
      </c>
    </row>
  </sheetData>
  <mergeCells count="4">
    <mergeCell ref="G1:K1"/>
    <mergeCell ref="M1:Q1"/>
    <mergeCell ref="S1:W1"/>
    <mergeCell ref="A1:E1"/>
  </mergeCells>
  <conditionalFormatting sqref="E1:E1048576">
    <cfRule type="colorScale" priority="3">
      <colorScale>
        <cfvo type="min"/>
        <cfvo type="percentile" val="50"/>
        <cfvo type="max"/>
        <color rgb="FFF8696B"/>
        <color rgb="FFFFEB84"/>
        <color rgb="FF63BE7B"/>
      </colorScale>
    </cfRule>
  </conditionalFormatting>
  <conditionalFormatting sqref="K1:K1048576">
    <cfRule type="colorScale" priority="2">
      <colorScale>
        <cfvo type="min"/>
        <cfvo type="percentile" val="50"/>
        <cfvo type="max"/>
        <color rgb="FFF8696B"/>
        <color rgb="FFFFEB84"/>
        <color rgb="FF63BE7B"/>
      </colorScale>
    </cfRule>
  </conditionalFormatting>
  <conditionalFormatting sqref="Q1:Q1048576 W1:W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96583-951E-4335-A702-17AC7A8E188C}">
  <dimension ref="A1:Y213"/>
  <sheetViews>
    <sheetView tabSelected="1" workbookViewId="0">
      <selection activeCell="U4" sqref="U4:U75"/>
    </sheetView>
  </sheetViews>
  <sheetFormatPr defaultRowHeight="15" x14ac:dyDescent="0.25"/>
  <cols>
    <col min="1" max="1" width="6" bestFit="1" customWidth="1"/>
    <col min="2" max="2" width="4" bestFit="1" customWidth="1"/>
    <col min="3" max="3" width="2.140625" bestFit="1" customWidth="1"/>
    <col min="4" max="4" width="3" bestFit="1" customWidth="1"/>
    <col min="5" max="5" width="16.42578125" bestFit="1" customWidth="1"/>
    <col min="7" max="7" width="6" bestFit="1" customWidth="1"/>
    <col min="8" max="8" width="4" bestFit="1" customWidth="1"/>
    <col min="9" max="9" width="2.140625" bestFit="1" customWidth="1"/>
    <col min="10" max="10" width="3" bestFit="1" customWidth="1"/>
    <col min="11" max="11" width="16.42578125" bestFit="1" customWidth="1"/>
  </cols>
  <sheetData>
    <row r="1" spans="1:25" s="4" customFormat="1" x14ac:dyDescent="0.25">
      <c r="A1" s="106" t="s">
        <v>146</v>
      </c>
      <c r="B1" s="107"/>
      <c r="C1" s="107"/>
      <c r="D1" s="107"/>
      <c r="E1" s="108"/>
      <c r="G1" s="106" t="s">
        <v>148</v>
      </c>
      <c r="H1" s="107"/>
      <c r="I1" s="107"/>
      <c r="J1" s="107"/>
      <c r="K1" s="108"/>
    </row>
    <row r="2" spans="1:25" x14ac:dyDescent="0.25">
      <c r="A2" s="30">
        <f>INDEX(A4:A500,MATCH(MAX(E4:E500),E4:E500,0))</f>
        <v>19520</v>
      </c>
      <c r="B2" s="30">
        <f>INDEX(B4:B500,MATCH(MAX(E4:E500),E4:E500,0))</f>
        <v>160</v>
      </c>
      <c r="C2" s="30">
        <f>INDEX(C4:C500,MATCH(MAX(E4:E500),E4:E500,0))</f>
        <v>2</v>
      </c>
      <c r="D2" s="30">
        <f>INDEX(D4:D500,MATCH(MAX(E4:E500),E4:E500,0))</f>
        <v>8</v>
      </c>
      <c r="E2" s="29">
        <f>MAX(E4:E500)</f>
        <v>12.011999999999999</v>
      </c>
      <c r="G2" s="30">
        <f>INDEX(G4:G500,MATCH(MAX(K4:K500),K4:K500,0))</f>
        <v>19584</v>
      </c>
      <c r="H2" s="30">
        <f>INDEX(H4:H500,MATCH(MAX(K4:K500),K4:K500,0))</f>
        <v>96</v>
      </c>
      <c r="I2" s="30">
        <f>INDEX(I4:I500,MATCH(MAX(K4:K500),K4:K500,0))</f>
        <v>2</v>
      </c>
      <c r="J2" s="30">
        <f>INDEX(J4:J500,MATCH(MAX(K4:K500),K4:K500,0))</f>
        <v>8</v>
      </c>
      <c r="K2" s="29">
        <f>MAX(K4:K500)</f>
        <v>13.911</v>
      </c>
    </row>
    <row r="3" spans="1:25" x14ac:dyDescent="0.25">
      <c r="A3" s="36" t="s">
        <v>1</v>
      </c>
      <c r="B3" s="36" t="s">
        <v>2</v>
      </c>
      <c r="C3" s="36" t="s">
        <v>3</v>
      </c>
      <c r="D3" s="30" t="s">
        <v>4</v>
      </c>
      <c r="E3" s="36" t="s">
        <v>113</v>
      </c>
      <c r="G3" s="36" t="s">
        <v>1</v>
      </c>
      <c r="H3" s="36" t="s">
        <v>2</v>
      </c>
      <c r="I3" s="36" t="s">
        <v>3</v>
      </c>
      <c r="J3" s="30" t="s">
        <v>4</v>
      </c>
      <c r="K3" s="36" t="s">
        <v>113</v>
      </c>
      <c r="M3" s="90" t="s">
        <v>1</v>
      </c>
      <c r="N3" t="s">
        <v>184</v>
      </c>
      <c r="O3" t="s">
        <v>2</v>
      </c>
      <c r="P3" t="s">
        <v>3</v>
      </c>
      <c r="Q3" t="s">
        <v>4</v>
      </c>
      <c r="R3" t="s">
        <v>113</v>
      </c>
      <c r="T3" t="s">
        <v>1</v>
      </c>
      <c r="U3" t="s">
        <v>184</v>
      </c>
      <c r="V3" t="s">
        <v>2</v>
      </c>
      <c r="W3" t="s">
        <v>3</v>
      </c>
      <c r="X3" t="s">
        <v>4</v>
      </c>
      <c r="Y3" t="s">
        <v>113</v>
      </c>
    </row>
    <row r="4" spans="1:25" x14ac:dyDescent="0.25">
      <c r="A4" cm="1">
        <f t="array" ref="A4:E201">_xlfn.CHOOSECOLS(_xlfn._xlws.FILTER('4 nodes, params, RAW'!A4:X501,'4 nodes, params, RAW'!B4:B501=0),4,5,6,7,24)</f>
        <v>19520</v>
      </c>
      <c r="B4">
        <v>160</v>
      </c>
      <c r="C4">
        <v>2</v>
      </c>
      <c r="D4">
        <v>8</v>
      </c>
      <c r="E4">
        <v>12.011999999999999</v>
      </c>
      <c r="G4" cm="1">
        <f t="array" ref="G4:K213">_xlfn.CHOOSECOLS(_xlfn._xlws.FILTER('4 nodes, params, RAW'!Z4:AW501,'4 nodes, params, RAW'!AA4:AA501=0),4,5,6,7,24)</f>
        <v>19584</v>
      </c>
      <c r="H4">
        <v>96</v>
      </c>
      <c r="I4">
        <v>2</v>
      </c>
      <c r="J4">
        <v>8</v>
      </c>
      <c r="K4">
        <v>13.911</v>
      </c>
      <c r="M4">
        <v>17536</v>
      </c>
      <c r="N4">
        <f>CHOOSE(IF(ABS(M4-17536) &lt;= ABS(M4-18560),IF(ABS(M4-17536) &lt;= ABS(M4-19584),1,3),IF(ABS(M4-18560) &lt;= ABS(M4-19584),2,3)),17536,18560,19584)</f>
        <v>17536</v>
      </c>
      <c r="O4">
        <v>32</v>
      </c>
      <c r="P4">
        <v>1</v>
      </c>
      <c r="Q4">
        <v>16</v>
      </c>
      <c r="R4">
        <v>8.8632400000000011</v>
      </c>
      <c r="T4">
        <v>17536</v>
      </c>
      <c r="U4">
        <f>CHOOSE(IF(ABS(T4-17536) &lt;= ABS(T4-18560),IF(ABS(T4-17536) &lt;= ABS(T4-19584),1,3),IF(ABS(T4-18560) &lt;= ABS(T4-19584),2,3)),17536,18560,19584)</f>
        <v>17536</v>
      </c>
      <c r="V4">
        <v>32</v>
      </c>
      <c r="W4">
        <v>1</v>
      </c>
      <c r="X4">
        <v>16</v>
      </c>
      <c r="Y4">
        <v>9.8013500000000011</v>
      </c>
    </row>
    <row r="5" spans="1:25" x14ac:dyDescent="0.25">
      <c r="A5">
        <v>19584</v>
      </c>
      <c r="B5">
        <v>64</v>
      </c>
      <c r="C5">
        <v>2</v>
      </c>
      <c r="D5">
        <v>8</v>
      </c>
      <c r="E5">
        <v>11.8208</v>
      </c>
      <c r="G5">
        <v>19584</v>
      </c>
      <c r="H5">
        <v>64</v>
      </c>
      <c r="I5">
        <v>2</v>
      </c>
      <c r="J5">
        <v>8</v>
      </c>
      <c r="K5">
        <v>13.653</v>
      </c>
      <c r="M5">
        <v>17536</v>
      </c>
      <c r="N5">
        <f t="shared" ref="N5:N68" si="0">CHOOSE(IF(ABS(M5-17536) &lt;= ABS(M5-18560),IF(ABS(M5-17536) &lt;= ABS(M5-19584),1,3),IF(ABS(M5-18560) &lt;= ABS(M5-19584),2,3)),17536,18560,19584)</f>
        <v>17536</v>
      </c>
      <c r="O5">
        <v>64</v>
      </c>
      <c r="P5">
        <v>1</v>
      </c>
      <c r="Q5">
        <v>16</v>
      </c>
      <c r="R5">
        <v>9.9140800000000002</v>
      </c>
      <c r="T5">
        <v>17536</v>
      </c>
      <c r="U5">
        <f t="shared" ref="U5:U68" si="1">CHOOSE(IF(ABS(T5-17536) &lt;= ABS(T5-18560),IF(ABS(T5-17536) &lt;= ABS(T5-19584),1,3),IF(ABS(T5-18560) &lt;= ABS(T5-19584),2,3)),17536,18560,19584)</f>
        <v>17536</v>
      </c>
      <c r="V5">
        <v>64</v>
      </c>
      <c r="W5">
        <v>1</v>
      </c>
      <c r="X5">
        <v>16</v>
      </c>
      <c r="Y5">
        <v>10.6235</v>
      </c>
    </row>
    <row r="6" spans="1:25" x14ac:dyDescent="0.25">
      <c r="A6">
        <v>18560</v>
      </c>
      <c r="B6">
        <v>160</v>
      </c>
      <c r="C6">
        <v>2</v>
      </c>
      <c r="D6">
        <v>8</v>
      </c>
      <c r="E6">
        <v>11.789</v>
      </c>
      <c r="G6">
        <v>19520</v>
      </c>
      <c r="H6">
        <v>160</v>
      </c>
      <c r="I6">
        <v>2</v>
      </c>
      <c r="J6">
        <v>8</v>
      </c>
      <c r="K6">
        <v>13.4305</v>
      </c>
      <c r="M6">
        <v>17472</v>
      </c>
      <c r="N6">
        <f t="shared" si="0"/>
        <v>17536</v>
      </c>
      <c r="O6">
        <v>96</v>
      </c>
      <c r="P6">
        <v>1</v>
      </c>
      <c r="Q6">
        <v>16</v>
      </c>
      <c r="R6">
        <v>9.6876999999999995</v>
      </c>
      <c r="T6">
        <v>17472</v>
      </c>
      <c r="U6">
        <f t="shared" si="1"/>
        <v>17536</v>
      </c>
      <c r="V6">
        <v>96</v>
      </c>
      <c r="W6">
        <v>1</v>
      </c>
      <c r="X6">
        <v>16</v>
      </c>
      <c r="Y6">
        <v>10.46625</v>
      </c>
    </row>
    <row r="7" spans="1:25" x14ac:dyDescent="0.25">
      <c r="A7">
        <v>18368</v>
      </c>
      <c r="B7">
        <v>224</v>
      </c>
      <c r="C7">
        <v>2</v>
      </c>
      <c r="D7">
        <v>8</v>
      </c>
      <c r="E7">
        <v>11.7142</v>
      </c>
      <c r="G7">
        <v>18528</v>
      </c>
      <c r="H7">
        <v>96</v>
      </c>
      <c r="I7">
        <v>2</v>
      </c>
      <c r="J7">
        <v>8</v>
      </c>
      <c r="K7">
        <v>13.314499999999999</v>
      </c>
      <c r="M7">
        <v>17536</v>
      </c>
      <c r="N7">
        <f t="shared" si="0"/>
        <v>17536</v>
      </c>
      <c r="O7">
        <v>128</v>
      </c>
      <c r="P7">
        <v>1</v>
      </c>
      <c r="Q7">
        <v>16</v>
      </c>
      <c r="R7">
        <v>9.4415400000000016</v>
      </c>
      <c r="T7">
        <v>17536</v>
      </c>
      <c r="U7">
        <f t="shared" si="1"/>
        <v>17536</v>
      </c>
      <c r="V7">
        <v>128</v>
      </c>
      <c r="W7">
        <v>1</v>
      </c>
      <c r="X7">
        <v>16</v>
      </c>
      <c r="Y7">
        <v>10.363250000000001</v>
      </c>
    </row>
    <row r="8" spans="1:25" x14ac:dyDescent="0.25">
      <c r="A8">
        <v>19584</v>
      </c>
      <c r="B8">
        <v>192</v>
      </c>
      <c r="C8">
        <v>2</v>
      </c>
      <c r="D8">
        <v>8</v>
      </c>
      <c r="E8">
        <v>11.696400000000001</v>
      </c>
      <c r="G8">
        <v>19584</v>
      </c>
      <c r="H8">
        <v>128</v>
      </c>
      <c r="I8">
        <v>2</v>
      </c>
      <c r="J8">
        <v>8</v>
      </c>
      <c r="K8">
        <v>13.272</v>
      </c>
      <c r="M8">
        <v>17440</v>
      </c>
      <c r="N8">
        <f t="shared" si="0"/>
        <v>17536</v>
      </c>
      <c r="O8">
        <v>160</v>
      </c>
      <c r="P8">
        <v>1</v>
      </c>
      <c r="Q8">
        <v>16</v>
      </c>
      <c r="R8">
        <v>9.6811199999999999</v>
      </c>
      <c r="T8">
        <v>17440</v>
      </c>
      <c r="U8">
        <f t="shared" si="1"/>
        <v>17536</v>
      </c>
      <c r="V8">
        <v>160</v>
      </c>
      <c r="W8">
        <v>1</v>
      </c>
      <c r="X8">
        <v>16</v>
      </c>
      <c r="Y8">
        <v>10.309000000000001</v>
      </c>
    </row>
    <row r="9" spans="1:25" x14ac:dyDescent="0.25">
      <c r="A9">
        <v>19584</v>
      </c>
      <c r="B9">
        <v>96</v>
      </c>
      <c r="C9">
        <v>2</v>
      </c>
      <c r="D9">
        <v>8</v>
      </c>
      <c r="E9">
        <v>11.625600000000002</v>
      </c>
      <c r="G9">
        <v>18560</v>
      </c>
      <c r="H9">
        <v>160</v>
      </c>
      <c r="I9">
        <v>2</v>
      </c>
      <c r="J9">
        <v>8</v>
      </c>
      <c r="K9">
        <v>13.237</v>
      </c>
      <c r="M9">
        <v>17472</v>
      </c>
      <c r="N9">
        <f t="shared" si="0"/>
        <v>17536</v>
      </c>
      <c r="O9">
        <v>192</v>
      </c>
      <c r="P9">
        <v>1</v>
      </c>
      <c r="Q9">
        <v>16</v>
      </c>
      <c r="R9">
        <v>9.9177</v>
      </c>
      <c r="T9">
        <v>17472</v>
      </c>
      <c r="U9">
        <f t="shared" si="1"/>
        <v>17536</v>
      </c>
      <c r="V9">
        <v>192</v>
      </c>
      <c r="W9">
        <v>1</v>
      </c>
      <c r="X9">
        <v>16</v>
      </c>
      <c r="Y9">
        <v>10.30025</v>
      </c>
    </row>
    <row r="10" spans="1:25" x14ac:dyDescent="0.25">
      <c r="A10">
        <v>19584</v>
      </c>
      <c r="B10">
        <v>128</v>
      </c>
      <c r="C10">
        <v>2</v>
      </c>
      <c r="D10">
        <v>8</v>
      </c>
      <c r="E10">
        <v>11.518599999999999</v>
      </c>
      <c r="G10">
        <v>18560</v>
      </c>
      <c r="H10">
        <v>64</v>
      </c>
      <c r="I10">
        <v>2</v>
      </c>
      <c r="J10">
        <v>8</v>
      </c>
      <c r="K10">
        <v>13.226500000000001</v>
      </c>
      <c r="M10">
        <v>17472</v>
      </c>
      <c r="N10">
        <f t="shared" si="0"/>
        <v>17536</v>
      </c>
      <c r="O10">
        <v>224</v>
      </c>
      <c r="P10">
        <v>1</v>
      </c>
      <c r="Q10">
        <v>16</v>
      </c>
      <c r="R10">
        <v>9.9906799999999993</v>
      </c>
      <c r="T10">
        <v>17472</v>
      </c>
      <c r="U10">
        <f t="shared" si="1"/>
        <v>17536</v>
      </c>
      <c r="V10">
        <v>224</v>
      </c>
      <c r="W10">
        <v>1</v>
      </c>
      <c r="X10">
        <v>16</v>
      </c>
      <c r="Y10">
        <v>10.078250000000001</v>
      </c>
    </row>
    <row r="11" spans="1:25" x14ac:dyDescent="0.25">
      <c r="A11">
        <v>17440</v>
      </c>
      <c r="B11">
        <v>160</v>
      </c>
      <c r="C11">
        <v>2</v>
      </c>
      <c r="D11">
        <v>8</v>
      </c>
      <c r="E11">
        <v>11.4232</v>
      </c>
      <c r="G11">
        <v>18432</v>
      </c>
      <c r="H11">
        <v>192</v>
      </c>
      <c r="I11">
        <v>2</v>
      </c>
      <c r="J11">
        <v>8</v>
      </c>
      <c r="K11">
        <v>13.036750000000001</v>
      </c>
      <c r="M11">
        <v>17408</v>
      </c>
      <c r="N11">
        <f t="shared" si="0"/>
        <v>17536</v>
      </c>
      <c r="O11">
        <v>256</v>
      </c>
      <c r="P11">
        <v>1</v>
      </c>
      <c r="Q11">
        <v>16</v>
      </c>
      <c r="R11">
        <v>9.4858999999999991</v>
      </c>
      <c r="T11">
        <v>17408</v>
      </c>
      <c r="U11">
        <f t="shared" si="1"/>
        <v>17536</v>
      </c>
      <c r="V11">
        <v>256</v>
      </c>
      <c r="W11">
        <v>1</v>
      </c>
      <c r="X11">
        <v>16</v>
      </c>
      <c r="Y11">
        <v>9.9677249999999997</v>
      </c>
    </row>
    <row r="12" spans="1:25" x14ac:dyDescent="0.25">
      <c r="A12">
        <v>18432</v>
      </c>
      <c r="B12">
        <v>192</v>
      </c>
      <c r="C12">
        <v>2</v>
      </c>
      <c r="D12">
        <v>8</v>
      </c>
      <c r="E12">
        <v>11.293799999999999</v>
      </c>
      <c r="G12">
        <v>18560</v>
      </c>
      <c r="H12">
        <v>128</v>
      </c>
      <c r="I12">
        <v>2</v>
      </c>
      <c r="J12">
        <v>8</v>
      </c>
      <c r="K12">
        <v>12.973500000000001</v>
      </c>
      <c r="M12">
        <v>18560</v>
      </c>
      <c r="N12">
        <f t="shared" si="0"/>
        <v>18560</v>
      </c>
      <c r="O12">
        <v>32</v>
      </c>
      <c r="P12">
        <v>1</v>
      </c>
      <c r="Q12">
        <v>16</v>
      </c>
      <c r="R12">
        <v>9.1236800000000002</v>
      </c>
      <c r="T12">
        <v>18560</v>
      </c>
      <c r="U12">
        <f t="shared" si="1"/>
        <v>18560</v>
      </c>
      <c r="V12">
        <v>32</v>
      </c>
      <c r="W12">
        <v>1</v>
      </c>
      <c r="X12">
        <v>16</v>
      </c>
      <c r="Y12">
        <v>10.202249999999999</v>
      </c>
    </row>
    <row r="13" spans="1:25" x14ac:dyDescent="0.25">
      <c r="A13">
        <v>17472</v>
      </c>
      <c r="B13">
        <v>192</v>
      </c>
      <c r="C13">
        <v>2</v>
      </c>
      <c r="D13">
        <v>8</v>
      </c>
      <c r="E13">
        <v>11.266399999999999</v>
      </c>
      <c r="G13">
        <v>17472</v>
      </c>
      <c r="H13">
        <v>96</v>
      </c>
      <c r="I13">
        <v>2</v>
      </c>
      <c r="J13">
        <v>8</v>
      </c>
      <c r="K13">
        <v>12.849250000000001</v>
      </c>
      <c r="M13">
        <v>18560</v>
      </c>
      <c r="N13">
        <f t="shared" si="0"/>
        <v>18560</v>
      </c>
      <c r="O13">
        <v>64</v>
      </c>
      <c r="P13">
        <v>1</v>
      </c>
      <c r="Q13">
        <v>16</v>
      </c>
      <c r="R13">
        <v>10.046660000000001</v>
      </c>
      <c r="T13">
        <v>18560</v>
      </c>
      <c r="U13">
        <f t="shared" si="1"/>
        <v>18560</v>
      </c>
      <c r="V13">
        <v>64</v>
      </c>
      <c r="W13">
        <v>1</v>
      </c>
      <c r="X13">
        <v>16</v>
      </c>
      <c r="Y13">
        <v>11.031499999999999</v>
      </c>
    </row>
    <row r="14" spans="1:25" x14ac:dyDescent="0.25">
      <c r="A14">
        <v>18560</v>
      </c>
      <c r="B14">
        <v>64</v>
      </c>
      <c r="C14">
        <v>2</v>
      </c>
      <c r="D14">
        <v>8</v>
      </c>
      <c r="E14">
        <v>11.238799999999999</v>
      </c>
      <c r="G14">
        <v>18368</v>
      </c>
      <c r="H14">
        <v>224</v>
      </c>
      <c r="I14">
        <v>2</v>
      </c>
      <c r="J14">
        <v>8</v>
      </c>
      <c r="K14">
        <v>12.82375</v>
      </c>
      <c r="M14">
        <v>18528</v>
      </c>
      <c r="N14">
        <f t="shared" si="0"/>
        <v>18560</v>
      </c>
      <c r="O14">
        <v>96</v>
      </c>
      <c r="P14">
        <v>1</v>
      </c>
      <c r="Q14">
        <v>16</v>
      </c>
      <c r="R14">
        <v>10.03814</v>
      </c>
      <c r="T14">
        <v>18528</v>
      </c>
      <c r="U14">
        <f t="shared" si="1"/>
        <v>18560</v>
      </c>
      <c r="V14">
        <v>96</v>
      </c>
      <c r="W14">
        <v>1</v>
      </c>
      <c r="X14">
        <v>16</v>
      </c>
      <c r="Y14">
        <v>10.846500000000001</v>
      </c>
    </row>
    <row r="15" spans="1:25" x14ac:dyDescent="0.25">
      <c r="A15">
        <v>17472</v>
      </c>
      <c r="B15">
        <v>224</v>
      </c>
      <c r="C15">
        <v>2</v>
      </c>
      <c r="D15">
        <v>8</v>
      </c>
      <c r="E15">
        <v>11.207800000000001</v>
      </c>
      <c r="G15">
        <v>17536</v>
      </c>
      <c r="H15">
        <v>64</v>
      </c>
      <c r="I15">
        <v>2</v>
      </c>
      <c r="J15">
        <v>8</v>
      </c>
      <c r="K15">
        <v>12.732750000000001</v>
      </c>
      <c r="M15">
        <v>18560</v>
      </c>
      <c r="N15">
        <f t="shared" si="0"/>
        <v>18560</v>
      </c>
      <c r="O15">
        <v>128</v>
      </c>
      <c r="P15">
        <v>1</v>
      </c>
      <c r="Q15">
        <v>16</v>
      </c>
      <c r="R15">
        <v>9.7984400000000011</v>
      </c>
      <c r="T15">
        <v>18560</v>
      </c>
      <c r="U15">
        <f t="shared" si="1"/>
        <v>18560</v>
      </c>
      <c r="V15">
        <v>128</v>
      </c>
      <c r="W15">
        <v>1</v>
      </c>
      <c r="X15">
        <v>16</v>
      </c>
      <c r="Y15">
        <v>10.76525</v>
      </c>
    </row>
    <row r="16" spans="1:25" x14ac:dyDescent="0.25">
      <c r="A16">
        <v>18560</v>
      </c>
      <c r="B16">
        <v>128</v>
      </c>
      <c r="C16">
        <v>2</v>
      </c>
      <c r="D16">
        <v>8</v>
      </c>
      <c r="E16">
        <v>11.0672</v>
      </c>
      <c r="G16">
        <v>17472</v>
      </c>
      <c r="H16">
        <v>192</v>
      </c>
      <c r="I16">
        <v>2</v>
      </c>
      <c r="J16">
        <v>8</v>
      </c>
      <c r="K16">
        <v>12.692499999999999</v>
      </c>
      <c r="M16">
        <v>18560</v>
      </c>
      <c r="N16">
        <f t="shared" si="0"/>
        <v>18560</v>
      </c>
      <c r="O16">
        <v>160</v>
      </c>
      <c r="P16">
        <v>1</v>
      </c>
      <c r="Q16">
        <v>16</v>
      </c>
      <c r="R16">
        <v>10.100019999999999</v>
      </c>
      <c r="T16">
        <v>18560</v>
      </c>
      <c r="U16">
        <f t="shared" si="1"/>
        <v>18560</v>
      </c>
      <c r="V16">
        <v>160</v>
      </c>
      <c r="W16">
        <v>1</v>
      </c>
      <c r="X16">
        <v>16</v>
      </c>
      <c r="Y16">
        <v>10.687749999999999</v>
      </c>
    </row>
    <row r="17" spans="1:25" x14ac:dyDescent="0.25">
      <c r="A17">
        <v>17472</v>
      </c>
      <c r="B17">
        <v>96</v>
      </c>
      <c r="C17">
        <v>2</v>
      </c>
      <c r="D17">
        <v>8</v>
      </c>
      <c r="E17">
        <v>11.0654</v>
      </c>
      <c r="G17">
        <v>19488</v>
      </c>
      <c r="H17">
        <v>224</v>
      </c>
      <c r="I17">
        <v>2</v>
      </c>
      <c r="J17">
        <v>8</v>
      </c>
      <c r="K17">
        <v>12.691000000000001</v>
      </c>
      <c r="M17">
        <v>18432</v>
      </c>
      <c r="N17">
        <f t="shared" si="0"/>
        <v>18560</v>
      </c>
      <c r="O17">
        <v>192</v>
      </c>
      <c r="P17">
        <v>1</v>
      </c>
      <c r="Q17">
        <v>16</v>
      </c>
      <c r="R17">
        <v>10.07732</v>
      </c>
      <c r="T17">
        <v>18432</v>
      </c>
      <c r="U17">
        <f t="shared" si="1"/>
        <v>18560</v>
      </c>
      <c r="V17">
        <v>192</v>
      </c>
      <c r="W17">
        <v>1</v>
      </c>
      <c r="X17">
        <v>16</v>
      </c>
      <c r="Y17">
        <v>10.667249999999999</v>
      </c>
    </row>
    <row r="18" spans="1:25" x14ac:dyDescent="0.25">
      <c r="A18">
        <v>18432</v>
      </c>
      <c r="B18">
        <v>256</v>
      </c>
      <c r="C18">
        <v>2</v>
      </c>
      <c r="D18">
        <v>8</v>
      </c>
      <c r="E18">
        <v>11.063799999999999</v>
      </c>
      <c r="G18">
        <v>18432</v>
      </c>
      <c r="H18">
        <v>256</v>
      </c>
      <c r="I18">
        <v>2</v>
      </c>
      <c r="J18">
        <v>8</v>
      </c>
      <c r="K18">
        <v>12.66075</v>
      </c>
      <c r="M18">
        <v>18368</v>
      </c>
      <c r="N18">
        <f t="shared" si="0"/>
        <v>18560</v>
      </c>
      <c r="O18">
        <v>224</v>
      </c>
      <c r="P18">
        <v>1</v>
      </c>
      <c r="Q18">
        <v>16</v>
      </c>
      <c r="R18">
        <v>10.37838</v>
      </c>
      <c r="T18">
        <v>18368</v>
      </c>
      <c r="U18">
        <f t="shared" si="1"/>
        <v>18560</v>
      </c>
      <c r="V18">
        <v>224</v>
      </c>
      <c r="W18">
        <v>1</v>
      </c>
      <c r="X18">
        <v>16</v>
      </c>
      <c r="Y18">
        <v>10.4125</v>
      </c>
    </row>
    <row r="19" spans="1:25" x14ac:dyDescent="0.25">
      <c r="A19">
        <v>17536</v>
      </c>
      <c r="B19">
        <v>64</v>
      </c>
      <c r="C19">
        <v>2</v>
      </c>
      <c r="D19">
        <v>8</v>
      </c>
      <c r="E19">
        <v>11.0518</v>
      </c>
      <c r="G19">
        <v>17536</v>
      </c>
      <c r="H19">
        <v>128</v>
      </c>
      <c r="I19">
        <v>2</v>
      </c>
      <c r="J19">
        <v>8</v>
      </c>
      <c r="K19">
        <v>12.529249999999999</v>
      </c>
      <c r="M19">
        <v>18432</v>
      </c>
      <c r="N19">
        <f t="shared" si="0"/>
        <v>18560</v>
      </c>
      <c r="O19">
        <v>256</v>
      </c>
      <c r="P19">
        <v>1</v>
      </c>
      <c r="Q19">
        <v>16</v>
      </c>
      <c r="R19">
        <v>2.0424199999999999</v>
      </c>
      <c r="T19">
        <v>18432</v>
      </c>
      <c r="U19">
        <f t="shared" si="1"/>
        <v>18560</v>
      </c>
      <c r="V19">
        <v>256</v>
      </c>
      <c r="W19">
        <v>1</v>
      </c>
      <c r="X19">
        <v>16</v>
      </c>
      <c r="Y19">
        <v>3.386825</v>
      </c>
    </row>
    <row r="20" spans="1:25" x14ac:dyDescent="0.25">
      <c r="A20">
        <v>18528</v>
      </c>
      <c r="B20">
        <v>96</v>
      </c>
      <c r="C20">
        <v>2</v>
      </c>
      <c r="D20">
        <v>8</v>
      </c>
      <c r="E20">
        <v>11.028600000000001</v>
      </c>
      <c r="G20">
        <v>17440</v>
      </c>
      <c r="H20">
        <v>160</v>
      </c>
      <c r="I20">
        <v>2</v>
      </c>
      <c r="J20">
        <v>8</v>
      </c>
      <c r="K20">
        <v>12.517749999999999</v>
      </c>
      <c r="M20">
        <v>19584</v>
      </c>
      <c r="N20">
        <f t="shared" si="0"/>
        <v>19584</v>
      </c>
      <c r="O20">
        <v>32</v>
      </c>
      <c r="P20">
        <v>1</v>
      </c>
      <c r="Q20">
        <v>16</v>
      </c>
      <c r="R20">
        <v>9.2334800000000001</v>
      </c>
      <c r="T20">
        <v>19584</v>
      </c>
      <c r="U20">
        <f t="shared" si="1"/>
        <v>19584</v>
      </c>
      <c r="V20">
        <v>32</v>
      </c>
      <c r="W20">
        <v>1</v>
      </c>
      <c r="X20">
        <v>16</v>
      </c>
      <c r="Y20">
        <v>10.593</v>
      </c>
    </row>
    <row r="21" spans="1:25" x14ac:dyDescent="0.25">
      <c r="A21">
        <v>17536</v>
      </c>
      <c r="B21">
        <v>128</v>
      </c>
      <c r="C21">
        <v>2</v>
      </c>
      <c r="D21">
        <v>8</v>
      </c>
      <c r="E21">
        <v>10.944799999999999</v>
      </c>
      <c r="G21">
        <v>17472</v>
      </c>
      <c r="H21">
        <v>224</v>
      </c>
      <c r="I21">
        <v>2</v>
      </c>
      <c r="J21">
        <v>8</v>
      </c>
      <c r="K21">
        <v>12.382250000000001</v>
      </c>
      <c r="M21">
        <v>19584</v>
      </c>
      <c r="N21">
        <f t="shared" si="0"/>
        <v>19584</v>
      </c>
      <c r="O21">
        <v>64</v>
      </c>
      <c r="P21">
        <v>1</v>
      </c>
      <c r="Q21">
        <v>16</v>
      </c>
      <c r="R21">
        <v>9.8803999999999998</v>
      </c>
      <c r="T21">
        <v>19584</v>
      </c>
      <c r="U21">
        <f t="shared" si="1"/>
        <v>19584</v>
      </c>
      <c r="V21">
        <v>64</v>
      </c>
      <c r="W21">
        <v>1</v>
      </c>
      <c r="X21">
        <v>16</v>
      </c>
      <c r="Y21">
        <v>11.385</v>
      </c>
    </row>
    <row r="22" spans="1:25" x14ac:dyDescent="0.25">
      <c r="A22">
        <v>17408</v>
      </c>
      <c r="B22">
        <v>256</v>
      </c>
      <c r="C22">
        <v>2</v>
      </c>
      <c r="D22">
        <v>8</v>
      </c>
      <c r="E22">
        <v>10.801399999999999</v>
      </c>
      <c r="G22">
        <v>17408</v>
      </c>
      <c r="H22">
        <v>256</v>
      </c>
      <c r="I22">
        <v>2</v>
      </c>
      <c r="J22">
        <v>8</v>
      </c>
      <c r="K22">
        <v>12.211000000000002</v>
      </c>
      <c r="M22">
        <v>19584</v>
      </c>
      <c r="N22">
        <f t="shared" si="0"/>
        <v>19584</v>
      </c>
      <c r="O22">
        <v>96</v>
      </c>
      <c r="P22">
        <v>1</v>
      </c>
      <c r="Q22">
        <v>16</v>
      </c>
      <c r="R22">
        <v>10.01994</v>
      </c>
      <c r="T22">
        <v>19584</v>
      </c>
      <c r="U22">
        <f t="shared" si="1"/>
        <v>19584</v>
      </c>
      <c r="V22">
        <v>96</v>
      </c>
      <c r="W22">
        <v>1</v>
      </c>
      <c r="X22">
        <v>16</v>
      </c>
      <c r="Y22">
        <v>6.9175500000000003</v>
      </c>
    </row>
    <row r="23" spans="1:25" x14ac:dyDescent="0.25">
      <c r="A23">
        <v>18368</v>
      </c>
      <c r="B23">
        <v>224</v>
      </c>
      <c r="C23">
        <v>1</v>
      </c>
      <c r="D23">
        <v>16</v>
      </c>
      <c r="E23">
        <v>10.37838</v>
      </c>
      <c r="G23">
        <v>19584</v>
      </c>
      <c r="H23">
        <v>32</v>
      </c>
      <c r="I23">
        <v>2</v>
      </c>
      <c r="J23">
        <v>8</v>
      </c>
      <c r="K23">
        <v>12.018000000000001</v>
      </c>
      <c r="M23">
        <v>19584</v>
      </c>
      <c r="N23">
        <f t="shared" si="0"/>
        <v>19584</v>
      </c>
      <c r="O23">
        <v>128</v>
      </c>
      <c r="P23">
        <v>1</v>
      </c>
      <c r="Q23">
        <v>16</v>
      </c>
      <c r="R23">
        <v>1.9959</v>
      </c>
      <c r="T23">
        <v>19584</v>
      </c>
      <c r="U23">
        <f t="shared" si="1"/>
        <v>19584</v>
      </c>
      <c r="V23">
        <v>128</v>
      </c>
      <c r="W23">
        <v>1</v>
      </c>
      <c r="X23">
        <v>16</v>
      </c>
      <c r="Y23">
        <v>2.68425</v>
      </c>
    </row>
    <row r="24" spans="1:25" x14ac:dyDescent="0.25">
      <c r="A24">
        <v>19584</v>
      </c>
      <c r="B24">
        <v>32</v>
      </c>
      <c r="C24">
        <v>2</v>
      </c>
      <c r="D24">
        <v>8</v>
      </c>
      <c r="E24">
        <v>10.151839999999998</v>
      </c>
      <c r="G24">
        <v>18560</v>
      </c>
      <c r="H24">
        <v>32</v>
      </c>
      <c r="I24">
        <v>2</v>
      </c>
      <c r="J24">
        <v>8</v>
      </c>
      <c r="K24">
        <v>11.738</v>
      </c>
      <c r="M24">
        <v>19520</v>
      </c>
      <c r="N24">
        <f t="shared" si="0"/>
        <v>19584</v>
      </c>
      <c r="O24">
        <v>160</v>
      </c>
      <c r="P24">
        <v>1</v>
      </c>
      <c r="Q24">
        <v>16</v>
      </c>
      <c r="R24">
        <v>1.8876999999999999</v>
      </c>
      <c r="T24">
        <v>19520</v>
      </c>
      <c r="U24">
        <f t="shared" si="1"/>
        <v>19584</v>
      </c>
      <c r="V24">
        <v>160</v>
      </c>
      <c r="W24">
        <v>1</v>
      </c>
      <c r="X24">
        <v>16</v>
      </c>
      <c r="Y24">
        <v>2.1899000000000002</v>
      </c>
    </row>
    <row r="25" spans="1:25" x14ac:dyDescent="0.25">
      <c r="A25">
        <v>18560</v>
      </c>
      <c r="B25">
        <v>160</v>
      </c>
      <c r="C25">
        <v>1</v>
      </c>
      <c r="D25">
        <v>16</v>
      </c>
      <c r="E25">
        <v>10.100019999999999</v>
      </c>
      <c r="G25">
        <v>19584</v>
      </c>
      <c r="H25">
        <v>64</v>
      </c>
      <c r="I25">
        <v>1</v>
      </c>
      <c r="J25">
        <v>16</v>
      </c>
      <c r="K25">
        <v>11.385</v>
      </c>
      <c r="M25">
        <v>19584</v>
      </c>
      <c r="N25">
        <f t="shared" si="0"/>
        <v>19584</v>
      </c>
      <c r="O25">
        <v>192</v>
      </c>
      <c r="P25">
        <v>1</v>
      </c>
      <c r="Q25">
        <v>16</v>
      </c>
      <c r="R25">
        <v>1.4899600000000002</v>
      </c>
      <c r="T25">
        <v>19584</v>
      </c>
      <c r="U25">
        <f t="shared" si="1"/>
        <v>19584</v>
      </c>
      <c r="V25">
        <v>192</v>
      </c>
      <c r="W25">
        <v>1</v>
      </c>
      <c r="X25">
        <v>16</v>
      </c>
      <c r="Y25">
        <v>1.6167749999999999</v>
      </c>
    </row>
    <row r="26" spans="1:25" x14ac:dyDescent="0.25">
      <c r="A26">
        <v>18432</v>
      </c>
      <c r="B26">
        <v>192</v>
      </c>
      <c r="C26">
        <v>1</v>
      </c>
      <c r="D26">
        <v>16</v>
      </c>
      <c r="E26">
        <v>10.07732</v>
      </c>
      <c r="G26">
        <v>17536</v>
      </c>
      <c r="H26">
        <v>32</v>
      </c>
      <c r="I26">
        <v>2</v>
      </c>
      <c r="J26">
        <v>8</v>
      </c>
      <c r="K26">
        <v>11.236499999999999</v>
      </c>
      <c r="M26">
        <v>19488</v>
      </c>
      <c r="N26">
        <f t="shared" si="0"/>
        <v>19584</v>
      </c>
      <c r="O26">
        <v>224</v>
      </c>
      <c r="P26">
        <v>1</v>
      </c>
      <c r="Q26">
        <v>16</v>
      </c>
      <c r="R26">
        <v>1.23054</v>
      </c>
      <c r="T26">
        <v>19488</v>
      </c>
      <c r="U26">
        <f t="shared" si="1"/>
        <v>19584</v>
      </c>
      <c r="V26">
        <v>224</v>
      </c>
      <c r="W26">
        <v>1</v>
      </c>
      <c r="X26">
        <v>16</v>
      </c>
      <c r="Y26">
        <v>2.373675</v>
      </c>
    </row>
    <row r="27" spans="1:25" x14ac:dyDescent="0.25">
      <c r="A27">
        <v>18560</v>
      </c>
      <c r="B27">
        <v>64</v>
      </c>
      <c r="C27">
        <v>1</v>
      </c>
      <c r="D27">
        <v>16</v>
      </c>
      <c r="E27">
        <v>10.046660000000001</v>
      </c>
      <c r="G27">
        <v>18560</v>
      </c>
      <c r="H27">
        <v>64</v>
      </c>
      <c r="I27">
        <v>1</v>
      </c>
      <c r="J27">
        <v>16</v>
      </c>
      <c r="K27">
        <v>11.031499999999999</v>
      </c>
      <c r="M27">
        <v>19456</v>
      </c>
      <c r="N27">
        <f t="shared" si="0"/>
        <v>19584</v>
      </c>
      <c r="O27">
        <v>256</v>
      </c>
      <c r="P27">
        <v>1</v>
      </c>
      <c r="Q27">
        <v>16</v>
      </c>
      <c r="R27">
        <v>1.12222</v>
      </c>
      <c r="T27">
        <v>19456</v>
      </c>
      <c r="U27">
        <f t="shared" si="1"/>
        <v>19584</v>
      </c>
      <c r="V27">
        <v>256</v>
      </c>
      <c r="W27">
        <v>1</v>
      </c>
      <c r="X27">
        <v>16</v>
      </c>
      <c r="Y27">
        <v>1.2719</v>
      </c>
    </row>
    <row r="28" spans="1:25" x14ac:dyDescent="0.25">
      <c r="A28">
        <v>18528</v>
      </c>
      <c r="B28">
        <v>96</v>
      </c>
      <c r="C28">
        <v>1</v>
      </c>
      <c r="D28">
        <v>16</v>
      </c>
      <c r="E28">
        <v>10.03814</v>
      </c>
      <c r="G28">
        <v>19584</v>
      </c>
      <c r="H28">
        <v>64</v>
      </c>
      <c r="I28">
        <v>4</v>
      </c>
      <c r="J28">
        <v>4</v>
      </c>
      <c r="K28">
        <v>11.0105</v>
      </c>
      <c r="M28">
        <v>17536</v>
      </c>
      <c r="N28">
        <f t="shared" si="0"/>
        <v>17536</v>
      </c>
      <c r="O28">
        <v>32</v>
      </c>
      <c r="P28">
        <v>2</v>
      </c>
      <c r="Q28">
        <v>8</v>
      </c>
      <c r="R28">
        <v>9.9669399999999992</v>
      </c>
      <c r="T28">
        <v>17536</v>
      </c>
      <c r="U28">
        <f t="shared" si="1"/>
        <v>17536</v>
      </c>
      <c r="V28">
        <v>32</v>
      </c>
      <c r="W28">
        <v>2</v>
      </c>
      <c r="X28">
        <v>8</v>
      </c>
      <c r="Y28">
        <v>11.236499999999999</v>
      </c>
    </row>
    <row r="29" spans="1:25" x14ac:dyDescent="0.25">
      <c r="A29">
        <v>18560</v>
      </c>
      <c r="B29">
        <v>32</v>
      </c>
      <c r="C29">
        <v>2</v>
      </c>
      <c r="D29">
        <v>8</v>
      </c>
      <c r="E29">
        <v>10.037800000000001</v>
      </c>
      <c r="G29">
        <v>19584</v>
      </c>
      <c r="H29">
        <v>96</v>
      </c>
      <c r="I29">
        <v>4</v>
      </c>
      <c r="J29">
        <v>4</v>
      </c>
      <c r="K29">
        <v>10.999333333333334</v>
      </c>
      <c r="M29">
        <v>17536</v>
      </c>
      <c r="N29">
        <f t="shared" si="0"/>
        <v>17536</v>
      </c>
      <c r="O29">
        <v>64</v>
      </c>
      <c r="P29">
        <v>2</v>
      </c>
      <c r="Q29">
        <v>8</v>
      </c>
      <c r="R29">
        <v>11.0518</v>
      </c>
      <c r="T29">
        <v>17536</v>
      </c>
      <c r="U29">
        <f t="shared" si="1"/>
        <v>17536</v>
      </c>
      <c r="V29">
        <v>64</v>
      </c>
      <c r="W29">
        <v>2</v>
      </c>
      <c r="X29">
        <v>8</v>
      </c>
      <c r="Y29">
        <v>12.732750000000001</v>
      </c>
    </row>
    <row r="30" spans="1:25" x14ac:dyDescent="0.25">
      <c r="A30">
        <v>19584</v>
      </c>
      <c r="B30">
        <v>96</v>
      </c>
      <c r="C30">
        <v>1</v>
      </c>
      <c r="D30">
        <v>16</v>
      </c>
      <c r="E30">
        <v>10.01994</v>
      </c>
      <c r="G30">
        <v>19584</v>
      </c>
      <c r="H30">
        <v>128</v>
      </c>
      <c r="I30">
        <v>4</v>
      </c>
      <c r="J30">
        <v>4</v>
      </c>
      <c r="K30">
        <v>10.8725</v>
      </c>
      <c r="M30">
        <v>17472</v>
      </c>
      <c r="N30">
        <f t="shared" si="0"/>
        <v>17536</v>
      </c>
      <c r="O30">
        <v>96</v>
      </c>
      <c r="P30">
        <v>2</v>
      </c>
      <c r="Q30">
        <v>8</v>
      </c>
      <c r="R30">
        <v>11.0654</v>
      </c>
      <c r="T30">
        <v>17472</v>
      </c>
      <c r="U30">
        <f t="shared" si="1"/>
        <v>17536</v>
      </c>
      <c r="V30">
        <v>96</v>
      </c>
      <c r="W30">
        <v>2</v>
      </c>
      <c r="X30">
        <v>8</v>
      </c>
      <c r="Y30">
        <v>12.849250000000001</v>
      </c>
    </row>
    <row r="31" spans="1:25" x14ac:dyDescent="0.25">
      <c r="A31">
        <v>17472</v>
      </c>
      <c r="B31">
        <v>224</v>
      </c>
      <c r="C31">
        <v>1</v>
      </c>
      <c r="D31">
        <v>16</v>
      </c>
      <c r="E31">
        <v>9.9906799999999993</v>
      </c>
      <c r="G31">
        <v>19520</v>
      </c>
      <c r="H31">
        <v>160</v>
      </c>
      <c r="I31">
        <v>4</v>
      </c>
      <c r="J31">
        <v>4</v>
      </c>
      <c r="K31">
        <v>10.864000000000001</v>
      </c>
      <c r="M31">
        <v>17536</v>
      </c>
      <c r="N31">
        <f t="shared" si="0"/>
        <v>17536</v>
      </c>
      <c r="O31">
        <v>128</v>
      </c>
      <c r="P31">
        <v>2</v>
      </c>
      <c r="Q31">
        <v>8</v>
      </c>
      <c r="R31">
        <v>10.944799999999999</v>
      </c>
      <c r="T31">
        <v>17536</v>
      </c>
      <c r="U31">
        <f t="shared" si="1"/>
        <v>17536</v>
      </c>
      <c r="V31">
        <v>128</v>
      </c>
      <c r="W31">
        <v>2</v>
      </c>
      <c r="X31">
        <v>8</v>
      </c>
      <c r="Y31">
        <v>12.529249999999999</v>
      </c>
    </row>
    <row r="32" spans="1:25" x14ac:dyDescent="0.25">
      <c r="A32">
        <v>17536</v>
      </c>
      <c r="B32">
        <v>32</v>
      </c>
      <c r="C32">
        <v>2</v>
      </c>
      <c r="D32">
        <v>8</v>
      </c>
      <c r="E32">
        <v>9.9669399999999992</v>
      </c>
      <c r="G32">
        <v>18528</v>
      </c>
      <c r="H32">
        <v>96</v>
      </c>
      <c r="I32">
        <v>1</v>
      </c>
      <c r="J32">
        <v>16</v>
      </c>
      <c r="K32">
        <v>10.846500000000001</v>
      </c>
      <c r="M32">
        <v>17440</v>
      </c>
      <c r="N32">
        <f t="shared" si="0"/>
        <v>17536</v>
      </c>
      <c r="O32">
        <v>160</v>
      </c>
      <c r="P32">
        <v>2</v>
      </c>
      <c r="Q32">
        <v>8</v>
      </c>
      <c r="R32">
        <v>11.4232</v>
      </c>
      <c r="T32">
        <v>17440</v>
      </c>
      <c r="U32">
        <f t="shared" si="1"/>
        <v>17536</v>
      </c>
      <c r="V32">
        <v>160</v>
      </c>
      <c r="W32">
        <v>2</v>
      </c>
      <c r="X32">
        <v>8</v>
      </c>
      <c r="Y32">
        <v>12.517749999999999</v>
      </c>
    </row>
    <row r="33" spans="1:25" x14ac:dyDescent="0.25">
      <c r="A33">
        <v>17472</v>
      </c>
      <c r="B33">
        <v>192</v>
      </c>
      <c r="C33">
        <v>1</v>
      </c>
      <c r="D33">
        <v>16</v>
      </c>
      <c r="E33">
        <v>9.9177</v>
      </c>
      <c r="G33">
        <v>18560</v>
      </c>
      <c r="H33">
        <v>128</v>
      </c>
      <c r="I33">
        <v>1</v>
      </c>
      <c r="J33">
        <v>16</v>
      </c>
      <c r="K33">
        <v>10.76525</v>
      </c>
      <c r="M33">
        <v>17472</v>
      </c>
      <c r="N33">
        <f t="shared" si="0"/>
        <v>17536</v>
      </c>
      <c r="O33">
        <v>192</v>
      </c>
      <c r="P33">
        <v>2</v>
      </c>
      <c r="Q33">
        <v>8</v>
      </c>
      <c r="R33">
        <v>11.266399999999999</v>
      </c>
      <c r="T33">
        <v>17472</v>
      </c>
      <c r="U33">
        <f t="shared" si="1"/>
        <v>17536</v>
      </c>
      <c r="V33">
        <v>192</v>
      </c>
      <c r="W33">
        <v>2</v>
      </c>
      <c r="X33">
        <v>8</v>
      </c>
      <c r="Y33">
        <v>12.692499999999999</v>
      </c>
    </row>
    <row r="34" spans="1:25" x14ac:dyDescent="0.25">
      <c r="A34">
        <v>17536</v>
      </c>
      <c r="B34">
        <v>64</v>
      </c>
      <c r="C34">
        <v>1</v>
      </c>
      <c r="D34">
        <v>16</v>
      </c>
      <c r="E34">
        <v>9.9140800000000002</v>
      </c>
      <c r="G34">
        <v>19584</v>
      </c>
      <c r="H34">
        <v>192</v>
      </c>
      <c r="I34">
        <v>2</v>
      </c>
      <c r="J34">
        <v>8</v>
      </c>
      <c r="K34">
        <v>10.7478</v>
      </c>
      <c r="M34">
        <v>17472</v>
      </c>
      <c r="N34">
        <f t="shared" si="0"/>
        <v>17536</v>
      </c>
      <c r="O34">
        <v>224</v>
      </c>
      <c r="P34">
        <v>2</v>
      </c>
      <c r="Q34">
        <v>8</v>
      </c>
      <c r="R34">
        <v>11.207800000000001</v>
      </c>
      <c r="T34">
        <v>17472</v>
      </c>
      <c r="U34">
        <f t="shared" si="1"/>
        <v>17536</v>
      </c>
      <c r="V34">
        <v>224</v>
      </c>
      <c r="W34">
        <v>2</v>
      </c>
      <c r="X34">
        <v>8</v>
      </c>
      <c r="Y34">
        <v>12.382250000000001</v>
      </c>
    </row>
    <row r="35" spans="1:25" x14ac:dyDescent="0.25">
      <c r="A35">
        <v>19584</v>
      </c>
      <c r="B35">
        <v>64</v>
      </c>
      <c r="C35">
        <v>1</v>
      </c>
      <c r="D35">
        <v>16</v>
      </c>
      <c r="E35">
        <v>9.8803999999999998</v>
      </c>
      <c r="G35">
        <v>18560</v>
      </c>
      <c r="H35">
        <v>160</v>
      </c>
      <c r="I35">
        <v>1</v>
      </c>
      <c r="J35">
        <v>16</v>
      </c>
      <c r="K35">
        <v>10.687749999999999</v>
      </c>
      <c r="M35">
        <v>17408</v>
      </c>
      <c r="N35">
        <f t="shared" si="0"/>
        <v>17536</v>
      </c>
      <c r="O35">
        <v>256</v>
      </c>
      <c r="P35">
        <v>2</v>
      </c>
      <c r="Q35">
        <v>8</v>
      </c>
      <c r="R35">
        <v>10.801399999999999</v>
      </c>
      <c r="T35">
        <v>17408</v>
      </c>
      <c r="U35">
        <f t="shared" si="1"/>
        <v>17536</v>
      </c>
      <c r="V35">
        <v>256</v>
      </c>
      <c r="W35">
        <v>2</v>
      </c>
      <c r="X35">
        <v>8</v>
      </c>
      <c r="Y35">
        <v>12.211000000000002</v>
      </c>
    </row>
    <row r="36" spans="1:25" x14ac:dyDescent="0.25">
      <c r="A36">
        <v>18560</v>
      </c>
      <c r="B36">
        <v>128</v>
      </c>
      <c r="C36">
        <v>1</v>
      </c>
      <c r="D36">
        <v>16</v>
      </c>
      <c r="E36">
        <v>9.7984400000000011</v>
      </c>
      <c r="G36">
        <v>18432</v>
      </c>
      <c r="H36">
        <v>192</v>
      </c>
      <c r="I36">
        <v>1</v>
      </c>
      <c r="J36">
        <v>16</v>
      </c>
      <c r="K36">
        <v>10.667249999999999</v>
      </c>
      <c r="M36">
        <v>18560</v>
      </c>
      <c r="N36">
        <f t="shared" si="0"/>
        <v>18560</v>
      </c>
      <c r="O36">
        <v>32</v>
      </c>
      <c r="P36">
        <v>2</v>
      </c>
      <c r="Q36">
        <v>8</v>
      </c>
      <c r="R36">
        <v>10.037800000000001</v>
      </c>
      <c r="T36">
        <v>18560</v>
      </c>
      <c r="U36">
        <f t="shared" si="1"/>
        <v>18560</v>
      </c>
      <c r="V36">
        <v>32</v>
      </c>
      <c r="W36">
        <v>2</v>
      </c>
      <c r="X36">
        <v>8</v>
      </c>
      <c r="Y36">
        <v>11.738</v>
      </c>
    </row>
    <row r="37" spans="1:25" x14ac:dyDescent="0.25">
      <c r="A37">
        <v>19584</v>
      </c>
      <c r="B37">
        <v>128</v>
      </c>
      <c r="C37">
        <v>4</v>
      </c>
      <c r="D37">
        <v>4</v>
      </c>
      <c r="E37">
        <v>9.7139199999999999</v>
      </c>
      <c r="G37">
        <v>18528</v>
      </c>
      <c r="H37">
        <v>96</v>
      </c>
      <c r="I37">
        <v>4</v>
      </c>
      <c r="J37">
        <v>4</v>
      </c>
      <c r="K37">
        <v>10.65925</v>
      </c>
      <c r="M37">
        <v>18560</v>
      </c>
      <c r="N37">
        <f t="shared" si="0"/>
        <v>18560</v>
      </c>
      <c r="O37">
        <v>64</v>
      </c>
      <c r="P37">
        <v>2</v>
      </c>
      <c r="Q37">
        <v>8</v>
      </c>
      <c r="R37">
        <v>11.238799999999999</v>
      </c>
      <c r="T37">
        <v>18560</v>
      </c>
      <c r="U37">
        <f t="shared" si="1"/>
        <v>18560</v>
      </c>
      <c r="V37">
        <v>64</v>
      </c>
      <c r="W37">
        <v>2</v>
      </c>
      <c r="X37">
        <v>8</v>
      </c>
      <c r="Y37">
        <v>13.226500000000001</v>
      </c>
    </row>
    <row r="38" spans="1:25" x14ac:dyDescent="0.25">
      <c r="A38">
        <v>17472</v>
      </c>
      <c r="B38">
        <v>96</v>
      </c>
      <c r="C38">
        <v>1</v>
      </c>
      <c r="D38">
        <v>16</v>
      </c>
      <c r="E38">
        <v>9.6876999999999995</v>
      </c>
      <c r="G38">
        <v>17536</v>
      </c>
      <c r="H38">
        <v>64</v>
      </c>
      <c r="I38">
        <v>1</v>
      </c>
      <c r="J38">
        <v>16</v>
      </c>
      <c r="K38">
        <v>10.6235</v>
      </c>
      <c r="M38">
        <v>18528</v>
      </c>
      <c r="N38">
        <f t="shared" si="0"/>
        <v>18560</v>
      </c>
      <c r="O38">
        <v>96</v>
      </c>
      <c r="P38">
        <v>2</v>
      </c>
      <c r="Q38">
        <v>8</v>
      </c>
      <c r="R38">
        <v>11.028600000000001</v>
      </c>
      <c r="T38">
        <v>18528</v>
      </c>
      <c r="U38">
        <f t="shared" si="1"/>
        <v>18560</v>
      </c>
      <c r="V38">
        <v>96</v>
      </c>
      <c r="W38">
        <v>2</v>
      </c>
      <c r="X38">
        <v>8</v>
      </c>
      <c r="Y38">
        <v>13.314499999999999</v>
      </c>
    </row>
    <row r="39" spans="1:25" x14ac:dyDescent="0.25">
      <c r="A39">
        <v>17440</v>
      </c>
      <c r="B39">
        <v>160</v>
      </c>
      <c r="C39">
        <v>1</v>
      </c>
      <c r="D39">
        <v>16</v>
      </c>
      <c r="E39">
        <v>9.6811199999999999</v>
      </c>
      <c r="G39">
        <v>18560</v>
      </c>
      <c r="H39">
        <v>64</v>
      </c>
      <c r="I39">
        <v>4</v>
      </c>
      <c r="J39">
        <v>4</v>
      </c>
      <c r="K39">
        <v>10.601749999999999</v>
      </c>
      <c r="M39">
        <v>18560</v>
      </c>
      <c r="N39">
        <f t="shared" si="0"/>
        <v>18560</v>
      </c>
      <c r="O39">
        <v>128</v>
      </c>
      <c r="P39">
        <v>2</v>
      </c>
      <c r="Q39">
        <v>8</v>
      </c>
      <c r="R39">
        <v>11.0672</v>
      </c>
      <c r="T39">
        <v>18560</v>
      </c>
      <c r="U39">
        <f t="shared" si="1"/>
        <v>18560</v>
      </c>
      <c r="V39">
        <v>128</v>
      </c>
      <c r="W39">
        <v>2</v>
      </c>
      <c r="X39">
        <v>8</v>
      </c>
      <c r="Y39">
        <v>12.973500000000001</v>
      </c>
    </row>
    <row r="40" spans="1:25" x14ac:dyDescent="0.25">
      <c r="A40">
        <v>19584</v>
      </c>
      <c r="B40">
        <v>96</v>
      </c>
      <c r="C40">
        <v>4</v>
      </c>
      <c r="D40">
        <v>4</v>
      </c>
      <c r="E40">
        <v>9.6645599999999998</v>
      </c>
      <c r="G40">
        <v>19584</v>
      </c>
      <c r="H40">
        <v>32</v>
      </c>
      <c r="I40">
        <v>1</v>
      </c>
      <c r="J40">
        <v>16</v>
      </c>
      <c r="K40">
        <v>10.593</v>
      </c>
      <c r="M40">
        <v>18560</v>
      </c>
      <c r="N40">
        <f t="shared" si="0"/>
        <v>18560</v>
      </c>
      <c r="O40">
        <v>160</v>
      </c>
      <c r="P40">
        <v>2</v>
      </c>
      <c r="Q40">
        <v>8</v>
      </c>
      <c r="R40">
        <v>11.789</v>
      </c>
      <c r="T40">
        <v>18560</v>
      </c>
      <c r="U40">
        <f t="shared" si="1"/>
        <v>18560</v>
      </c>
      <c r="V40">
        <v>160</v>
      </c>
      <c r="W40">
        <v>2</v>
      </c>
      <c r="X40">
        <v>8</v>
      </c>
      <c r="Y40">
        <v>13.237</v>
      </c>
    </row>
    <row r="41" spans="1:25" x14ac:dyDescent="0.25">
      <c r="A41">
        <v>17408</v>
      </c>
      <c r="B41">
        <v>256</v>
      </c>
      <c r="C41">
        <v>1</v>
      </c>
      <c r="D41">
        <v>16</v>
      </c>
      <c r="E41">
        <v>9.4858999999999991</v>
      </c>
      <c r="G41">
        <v>18560</v>
      </c>
      <c r="H41">
        <v>160</v>
      </c>
      <c r="I41">
        <v>4</v>
      </c>
      <c r="J41">
        <v>4</v>
      </c>
      <c r="K41">
        <v>10.5045</v>
      </c>
      <c r="M41">
        <v>18432</v>
      </c>
      <c r="N41">
        <f t="shared" si="0"/>
        <v>18560</v>
      </c>
      <c r="O41">
        <v>192</v>
      </c>
      <c r="P41">
        <v>2</v>
      </c>
      <c r="Q41">
        <v>8</v>
      </c>
      <c r="R41">
        <v>11.293799999999999</v>
      </c>
      <c r="T41">
        <v>18432</v>
      </c>
      <c r="U41">
        <f t="shared" si="1"/>
        <v>18560</v>
      </c>
      <c r="V41">
        <v>192</v>
      </c>
      <c r="W41">
        <v>2</v>
      </c>
      <c r="X41">
        <v>8</v>
      </c>
      <c r="Y41">
        <v>13.036750000000001</v>
      </c>
    </row>
    <row r="42" spans="1:25" x14ac:dyDescent="0.25">
      <c r="A42">
        <v>17536</v>
      </c>
      <c r="B42">
        <v>128</v>
      </c>
      <c r="C42">
        <v>1</v>
      </c>
      <c r="D42">
        <v>16</v>
      </c>
      <c r="E42">
        <v>9.4415400000000016</v>
      </c>
      <c r="G42">
        <v>18560</v>
      </c>
      <c r="H42">
        <v>128</v>
      </c>
      <c r="I42">
        <v>4</v>
      </c>
      <c r="J42">
        <v>4</v>
      </c>
      <c r="K42">
        <v>10.490000000000002</v>
      </c>
      <c r="M42">
        <v>18368</v>
      </c>
      <c r="N42">
        <f t="shared" si="0"/>
        <v>18560</v>
      </c>
      <c r="O42">
        <v>224</v>
      </c>
      <c r="P42">
        <v>2</v>
      </c>
      <c r="Q42">
        <v>8</v>
      </c>
      <c r="R42">
        <v>11.7142</v>
      </c>
      <c r="T42">
        <v>18368</v>
      </c>
      <c r="U42">
        <f t="shared" si="1"/>
        <v>18560</v>
      </c>
      <c r="V42">
        <v>224</v>
      </c>
      <c r="W42">
        <v>2</v>
      </c>
      <c r="X42">
        <v>8</v>
      </c>
      <c r="Y42">
        <v>12.82375</v>
      </c>
    </row>
    <row r="43" spans="1:25" x14ac:dyDescent="0.25">
      <c r="A43">
        <v>19520</v>
      </c>
      <c r="B43">
        <v>160</v>
      </c>
      <c r="C43">
        <v>4</v>
      </c>
      <c r="D43">
        <v>4</v>
      </c>
      <c r="E43">
        <v>9.4279599999999988</v>
      </c>
      <c r="G43">
        <v>17472</v>
      </c>
      <c r="H43">
        <v>96</v>
      </c>
      <c r="I43">
        <v>1</v>
      </c>
      <c r="J43">
        <v>16</v>
      </c>
      <c r="K43">
        <v>10.46625</v>
      </c>
      <c r="M43">
        <v>18432</v>
      </c>
      <c r="N43">
        <f t="shared" si="0"/>
        <v>18560</v>
      </c>
      <c r="O43">
        <v>256</v>
      </c>
      <c r="P43">
        <v>2</v>
      </c>
      <c r="Q43">
        <v>8</v>
      </c>
      <c r="R43">
        <v>11.063799999999999</v>
      </c>
      <c r="T43">
        <v>18432</v>
      </c>
      <c r="U43">
        <f t="shared" si="1"/>
        <v>18560</v>
      </c>
      <c r="V43">
        <v>256</v>
      </c>
      <c r="W43">
        <v>2</v>
      </c>
      <c r="X43">
        <v>8</v>
      </c>
      <c r="Y43">
        <v>12.66075</v>
      </c>
    </row>
    <row r="44" spans="1:25" x14ac:dyDescent="0.25">
      <c r="A44">
        <v>19488</v>
      </c>
      <c r="B44">
        <v>224</v>
      </c>
      <c r="C44">
        <v>2</v>
      </c>
      <c r="D44">
        <v>8</v>
      </c>
      <c r="E44">
        <v>9.4066399999999994</v>
      </c>
      <c r="G44">
        <v>18368</v>
      </c>
      <c r="H44">
        <v>224</v>
      </c>
      <c r="I44">
        <v>1</v>
      </c>
      <c r="J44">
        <v>16</v>
      </c>
      <c r="K44">
        <v>10.4125</v>
      </c>
      <c r="M44">
        <v>19584</v>
      </c>
      <c r="N44">
        <f t="shared" si="0"/>
        <v>19584</v>
      </c>
      <c r="O44">
        <v>32</v>
      </c>
      <c r="P44">
        <v>2</v>
      </c>
      <c r="Q44">
        <v>8</v>
      </c>
      <c r="R44">
        <v>10.151839999999998</v>
      </c>
      <c r="T44">
        <v>19584</v>
      </c>
      <c r="U44">
        <f t="shared" si="1"/>
        <v>19584</v>
      </c>
      <c r="V44">
        <v>32</v>
      </c>
      <c r="W44">
        <v>2</v>
      </c>
      <c r="X44">
        <v>8</v>
      </c>
      <c r="Y44">
        <v>12.018000000000001</v>
      </c>
    </row>
    <row r="45" spans="1:25" x14ac:dyDescent="0.25">
      <c r="A45">
        <v>18560</v>
      </c>
      <c r="B45">
        <v>160</v>
      </c>
      <c r="C45">
        <v>4</v>
      </c>
      <c r="D45">
        <v>4</v>
      </c>
      <c r="E45">
        <v>9.391020000000001</v>
      </c>
      <c r="G45">
        <v>19488</v>
      </c>
      <c r="H45">
        <v>224</v>
      </c>
      <c r="I45">
        <v>4</v>
      </c>
      <c r="J45">
        <v>4</v>
      </c>
      <c r="K45">
        <v>10.40925</v>
      </c>
      <c r="M45">
        <v>19584</v>
      </c>
      <c r="N45">
        <f t="shared" si="0"/>
        <v>19584</v>
      </c>
      <c r="O45">
        <v>64</v>
      </c>
      <c r="P45">
        <v>2</v>
      </c>
      <c r="Q45">
        <v>8</v>
      </c>
      <c r="R45">
        <v>11.8208</v>
      </c>
      <c r="T45">
        <v>19584</v>
      </c>
      <c r="U45">
        <f t="shared" si="1"/>
        <v>19584</v>
      </c>
      <c r="V45">
        <v>64</v>
      </c>
      <c r="W45">
        <v>2</v>
      </c>
      <c r="X45">
        <v>8</v>
      </c>
      <c r="Y45">
        <v>13.653</v>
      </c>
    </row>
    <row r="46" spans="1:25" x14ac:dyDescent="0.25">
      <c r="A46">
        <v>19584</v>
      </c>
      <c r="B46">
        <v>64</v>
      </c>
      <c r="C46">
        <v>4</v>
      </c>
      <c r="D46">
        <v>4</v>
      </c>
      <c r="E46">
        <v>9.3255999999999997</v>
      </c>
      <c r="G46">
        <v>18432</v>
      </c>
      <c r="H46">
        <v>192</v>
      </c>
      <c r="I46">
        <v>4</v>
      </c>
      <c r="J46">
        <v>4</v>
      </c>
      <c r="K46">
        <v>10.40625</v>
      </c>
      <c r="M46">
        <v>19584</v>
      </c>
      <c r="N46">
        <f t="shared" si="0"/>
        <v>19584</v>
      </c>
      <c r="O46">
        <v>96</v>
      </c>
      <c r="P46">
        <v>2</v>
      </c>
      <c r="Q46">
        <v>8</v>
      </c>
      <c r="R46">
        <v>11.625600000000002</v>
      </c>
      <c r="T46">
        <v>19584</v>
      </c>
      <c r="U46">
        <f t="shared" si="1"/>
        <v>19584</v>
      </c>
      <c r="V46">
        <v>96</v>
      </c>
      <c r="W46">
        <v>2</v>
      </c>
      <c r="X46">
        <v>8</v>
      </c>
      <c r="Y46">
        <v>13.911</v>
      </c>
    </row>
    <row r="47" spans="1:25" x14ac:dyDescent="0.25">
      <c r="A47">
        <v>18560</v>
      </c>
      <c r="B47">
        <v>128</v>
      </c>
      <c r="C47">
        <v>4</v>
      </c>
      <c r="D47">
        <v>4</v>
      </c>
      <c r="E47">
        <v>9.2676600000000011</v>
      </c>
      <c r="G47">
        <v>17536</v>
      </c>
      <c r="H47">
        <v>128</v>
      </c>
      <c r="I47">
        <v>1</v>
      </c>
      <c r="J47">
        <v>16</v>
      </c>
      <c r="K47">
        <v>10.363250000000001</v>
      </c>
      <c r="M47">
        <v>19584</v>
      </c>
      <c r="N47">
        <f t="shared" si="0"/>
        <v>19584</v>
      </c>
      <c r="O47">
        <v>128</v>
      </c>
      <c r="P47">
        <v>2</v>
      </c>
      <c r="Q47">
        <v>8</v>
      </c>
      <c r="R47">
        <v>11.518599999999999</v>
      </c>
      <c r="T47">
        <v>19584</v>
      </c>
      <c r="U47">
        <f t="shared" si="1"/>
        <v>19584</v>
      </c>
      <c r="V47">
        <v>128</v>
      </c>
      <c r="W47">
        <v>2</v>
      </c>
      <c r="X47">
        <v>8</v>
      </c>
      <c r="Y47">
        <v>13.272</v>
      </c>
    </row>
    <row r="48" spans="1:25" x14ac:dyDescent="0.25">
      <c r="A48">
        <v>19584</v>
      </c>
      <c r="B48">
        <v>32</v>
      </c>
      <c r="C48">
        <v>1</v>
      </c>
      <c r="D48">
        <v>16</v>
      </c>
      <c r="E48">
        <v>9.2334800000000001</v>
      </c>
      <c r="G48">
        <v>17440</v>
      </c>
      <c r="H48">
        <v>160</v>
      </c>
      <c r="I48">
        <v>1</v>
      </c>
      <c r="J48">
        <v>16</v>
      </c>
      <c r="K48">
        <v>10.309000000000001</v>
      </c>
      <c r="M48">
        <v>19520</v>
      </c>
      <c r="N48">
        <f t="shared" si="0"/>
        <v>19584</v>
      </c>
      <c r="O48">
        <v>160</v>
      </c>
      <c r="P48">
        <v>2</v>
      </c>
      <c r="Q48">
        <v>8</v>
      </c>
      <c r="R48">
        <v>12.011999999999999</v>
      </c>
      <c r="T48">
        <v>19520</v>
      </c>
      <c r="U48">
        <f t="shared" si="1"/>
        <v>19584</v>
      </c>
      <c r="V48">
        <v>160</v>
      </c>
      <c r="W48">
        <v>2</v>
      </c>
      <c r="X48">
        <v>8</v>
      </c>
      <c r="Y48">
        <v>13.4305</v>
      </c>
    </row>
    <row r="49" spans="1:25" x14ac:dyDescent="0.25">
      <c r="A49">
        <v>19488</v>
      </c>
      <c r="B49">
        <v>224</v>
      </c>
      <c r="C49">
        <v>4</v>
      </c>
      <c r="D49">
        <v>4</v>
      </c>
      <c r="E49">
        <v>9.2313200000000002</v>
      </c>
      <c r="G49">
        <v>17472</v>
      </c>
      <c r="H49">
        <v>192</v>
      </c>
      <c r="I49">
        <v>1</v>
      </c>
      <c r="J49">
        <v>16</v>
      </c>
      <c r="K49">
        <v>10.30025</v>
      </c>
      <c r="M49">
        <v>19584</v>
      </c>
      <c r="N49">
        <f t="shared" si="0"/>
        <v>19584</v>
      </c>
      <c r="O49">
        <v>192</v>
      </c>
      <c r="P49">
        <v>2</v>
      </c>
      <c r="Q49">
        <v>8</v>
      </c>
      <c r="R49">
        <v>11.696400000000001</v>
      </c>
      <c r="T49">
        <v>19584</v>
      </c>
      <c r="U49">
        <f t="shared" si="1"/>
        <v>19584</v>
      </c>
      <c r="V49">
        <v>192</v>
      </c>
      <c r="W49">
        <v>2</v>
      </c>
      <c r="X49">
        <v>8</v>
      </c>
      <c r="Y49">
        <v>10.7478</v>
      </c>
    </row>
    <row r="50" spans="1:25" x14ac:dyDescent="0.25">
      <c r="A50">
        <v>18528</v>
      </c>
      <c r="B50">
        <v>96</v>
      </c>
      <c r="C50">
        <v>4</v>
      </c>
      <c r="D50">
        <v>4</v>
      </c>
      <c r="E50">
        <v>9.1966599999999996</v>
      </c>
      <c r="G50">
        <v>18368</v>
      </c>
      <c r="H50">
        <v>224</v>
      </c>
      <c r="I50">
        <v>4</v>
      </c>
      <c r="J50">
        <v>4</v>
      </c>
      <c r="K50">
        <v>10.297499999999999</v>
      </c>
      <c r="M50">
        <v>19488</v>
      </c>
      <c r="N50">
        <f t="shared" si="0"/>
        <v>19584</v>
      </c>
      <c r="O50">
        <v>224</v>
      </c>
      <c r="P50">
        <v>2</v>
      </c>
      <c r="Q50">
        <v>8</v>
      </c>
      <c r="R50">
        <v>9.4066399999999994</v>
      </c>
      <c r="T50">
        <v>19488</v>
      </c>
      <c r="U50">
        <f t="shared" si="1"/>
        <v>19584</v>
      </c>
      <c r="V50">
        <v>224</v>
      </c>
      <c r="W50">
        <v>2</v>
      </c>
      <c r="X50">
        <v>8</v>
      </c>
      <c r="Y50">
        <v>12.691000000000001</v>
      </c>
    </row>
    <row r="51" spans="1:25" x14ac:dyDescent="0.25">
      <c r="A51">
        <v>18368</v>
      </c>
      <c r="B51">
        <v>224</v>
      </c>
      <c r="C51">
        <v>4</v>
      </c>
      <c r="D51">
        <v>4</v>
      </c>
      <c r="E51">
        <v>9.1637400000000007</v>
      </c>
      <c r="G51">
        <v>19456</v>
      </c>
      <c r="H51">
        <v>256</v>
      </c>
      <c r="I51">
        <v>4</v>
      </c>
      <c r="J51">
        <v>4</v>
      </c>
      <c r="K51">
        <v>10.284000000000001</v>
      </c>
      <c r="M51">
        <v>19456</v>
      </c>
      <c r="N51">
        <f t="shared" si="0"/>
        <v>19584</v>
      </c>
      <c r="O51">
        <v>256</v>
      </c>
      <c r="P51">
        <v>2</v>
      </c>
      <c r="Q51">
        <v>8</v>
      </c>
      <c r="R51">
        <v>2.9276199999999997</v>
      </c>
      <c r="T51">
        <v>19456</v>
      </c>
      <c r="U51">
        <f t="shared" si="1"/>
        <v>19584</v>
      </c>
      <c r="V51">
        <v>256</v>
      </c>
      <c r="W51">
        <v>2</v>
      </c>
      <c r="X51">
        <v>8</v>
      </c>
      <c r="Y51">
        <v>2.8602500000000002</v>
      </c>
    </row>
    <row r="52" spans="1:25" x14ac:dyDescent="0.25">
      <c r="A52">
        <v>18560</v>
      </c>
      <c r="B52">
        <v>32</v>
      </c>
      <c r="C52">
        <v>1</v>
      </c>
      <c r="D52">
        <v>16</v>
      </c>
      <c r="E52">
        <v>9.1236800000000002</v>
      </c>
      <c r="G52">
        <v>17472</v>
      </c>
      <c r="H52">
        <v>96</v>
      </c>
      <c r="I52">
        <v>4</v>
      </c>
      <c r="J52">
        <v>4</v>
      </c>
      <c r="K52">
        <v>10.282249999999999</v>
      </c>
      <c r="M52">
        <v>17536</v>
      </c>
      <c r="N52">
        <f t="shared" si="0"/>
        <v>17536</v>
      </c>
      <c r="O52">
        <v>32</v>
      </c>
      <c r="P52">
        <v>4</v>
      </c>
      <c r="Q52">
        <v>4</v>
      </c>
      <c r="R52">
        <v>8.0392600000000005</v>
      </c>
      <c r="T52">
        <v>17536</v>
      </c>
      <c r="U52">
        <f t="shared" si="1"/>
        <v>17536</v>
      </c>
      <c r="V52">
        <v>32</v>
      </c>
      <c r="W52">
        <v>4</v>
      </c>
      <c r="X52">
        <v>4</v>
      </c>
      <c r="Y52">
        <v>9.5108999999999995</v>
      </c>
    </row>
    <row r="53" spans="1:25" x14ac:dyDescent="0.25">
      <c r="A53">
        <v>18432</v>
      </c>
      <c r="B53">
        <v>192</v>
      </c>
      <c r="C53">
        <v>4</v>
      </c>
      <c r="D53">
        <v>4</v>
      </c>
      <c r="E53">
        <v>9.1128600000000013</v>
      </c>
      <c r="G53">
        <v>17536</v>
      </c>
      <c r="H53">
        <v>64</v>
      </c>
      <c r="I53">
        <v>4</v>
      </c>
      <c r="J53">
        <v>4</v>
      </c>
      <c r="K53">
        <v>10.206</v>
      </c>
      <c r="M53">
        <v>17536</v>
      </c>
      <c r="N53">
        <f t="shared" si="0"/>
        <v>17536</v>
      </c>
      <c r="O53">
        <v>64</v>
      </c>
      <c r="P53">
        <v>4</v>
      </c>
      <c r="Q53">
        <v>4</v>
      </c>
      <c r="R53">
        <v>8.7027400000000004</v>
      </c>
      <c r="T53">
        <v>17536</v>
      </c>
      <c r="U53">
        <f t="shared" si="1"/>
        <v>17536</v>
      </c>
      <c r="V53">
        <v>64</v>
      </c>
      <c r="W53">
        <v>4</v>
      </c>
      <c r="X53">
        <v>4</v>
      </c>
      <c r="Y53">
        <v>10.206</v>
      </c>
    </row>
    <row r="54" spans="1:25" x14ac:dyDescent="0.25">
      <c r="A54">
        <v>17472</v>
      </c>
      <c r="B54">
        <v>96</v>
      </c>
      <c r="C54">
        <v>4</v>
      </c>
      <c r="D54">
        <v>4</v>
      </c>
      <c r="E54">
        <v>9.0299600000000009</v>
      </c>
      <c r="G54">
        <v>18560</v>
      </c>
      <c r="H54">
        <v>32</v>
      </c>
      <c r="I54">
        <v>1</v>
      </c>
      <c r="J54">
        <v>16</v>
      </c>
      <c r="K54">
        <v>10.202249999999999</v>
      </c>
      <c r="M54">
        <v>17472</v>
      </c>
      <c r="N54">
        <f t="shared" si="0"/>
        <v>17536</v>
      </c>
      <c r="O54">
        <v>96</v>
      </c>
      <c r="P54">
        <v>4</v>
      </c>
      <c r="Q54">
        <v>4</v>
      </c>
      <c r="R54">
        <v>9.0299600000000009</v>
      </c>
      <c r="T54">
        <v>17472</v>
      </c>
      <c r="U54">
        <f t="shared" si="1"/>
        <v>17536</v>
      </c>
      <c r="V54">
        <v>96</v>
      </c>
      <c r="W54">
        <v>4</v>
      </c>
      <c r="X54">
        <v>4</v>
      </c>
      <c r="Y54">
        <v>10.282249999999999</v>
      </c>
    </row>
    <row r="55" spans="1:25" x14ac:dyDescent="0.25">
      <c r="A55">
        <v>17536</v>
      </c>
      <c r="B55">
        <v>128</v>
      </c>
      <c r="C55">
        <v>4</v>
      </c>
      <c r="D55">
        <v>4</v>
      </c>
      <c r="E55">
        <v>9.0226600000000001</v>
      </c>
      <c r="G55">
        <v>19584</v>
      </c>
      <c r="H55">
        <v>32</v>
      </c>
      <c r="I55">
        <v>4</v>
      </c>
      <c r="J55">
        <v>4</v>
      </c>
      <c r="K55">
        <v>10.145249999999999</v>
      </c>
      <c r="M55">
        <v>17536</v>
      </c>
      <c r="N55">
        <f t="shared" si="0"/>
        <v>17536</v>
      </c>
      <c r="O55">
        <v>128</v>
      </c>
      <c r="P55">
        <v>4</v>
      </c>
      <c r="Q55">
        <v>4</v>
      </c>
      <c r="R55">
        <v>9.0226600000000001</v>
      </c>
      <c r="T55">
        <v>17536</v>
      </c>
      <c r="U55">
        <f t="shared" si="1"/>
        <v>17536</v>
      </c>
      <c r="V55">
        <v>128</v>
      </c>
      <c r="W55">
        <v>4</v>
      </c>
      <c r="X55">
        <v>4</v>
      </c>
      <c r="Y55">
        <v>10.05475</v>
      </c>
    </row>
    <row r="56" spans="1:25" x14ac:dyDescent="0.25">
      <c r="A56">
        <v>17440</v>
      </c>
      <c r="B56">
        <v>160</v>
      </c>
      <c r="C56">
        <v>4</v>
      </c>
      <c r="D56">
        <v>4</v>
      </c>
      <c r="E56">
        <v>8.9774799999999999</v>
      </c>
      <c r="G56">
        <v>18432</v>
      </c>
      <c r="H56">
        <v>256</v>
      </c>
      <c r="I56">
        <v>4</v>
      </c>
      <c r="J56">
        <v>4</v>
      </c>
      <c r="K56">
        <v>10.117999999999999</v>
      </c>
      <c r="M56">
        <v>17440</v>
      </c>
      <c r="N56">
        <f t="shared" si="0"/>
        <v>17536</v>
      </c>
      <c r="O56">
        <v>160</v>
      </c>
      <c r="P56">
        <v>4</v>
      </c>
      <c r="Q56">
        <v>4</v>
      </c>
      <c r="R56">
        <v>8.9774799999999999</v>
      </c>
      <c r="T56">
        <v>17440</v>
      </c>
      <c r="U56">
        <f t="shared" si="1"/>
        <v>17536</v>
      </c>
      <c r="V56">
        <v>160</v>
      </c>
      <c r="W56">
        <v>4</v>
      </c>
      <c r="X56">
        <v>4</v>
      </c>
      <c r="Y56">
        <v>10.0725</v>
      </c>
    </row>
    <row r="57" spans="1:25" x14ac:dyDescent="0.25">
      <c r="A57">
        <v>18560</v>
      </c>
      <c r="B57">
        <v>64</v>
      </c>
      <c r="C57">
        <v>4</v>
      </c>
      <c r="D57">
        <v>4</v>
      </c>
      <c r="E57">
        <v>8.9625000000000004</v>
      </c>
      <c r="G57">
        <v>17472</v>
      </c>
      <c r="H57">
        <v>224</v>
      </c>
      <c r="I57">
        <v>1</v>
      </c>
      <c r="J57">
        <v>16</v>
      </c>
      <c r="K57">
        <v>10.078250000000001</v>
      </c>
      <c r="M57">
        <v>17472</v>
      </c>
      <c r="N57">
        <f t="shared" si="0"/>
        <v>17536</v>
      </c>
      <c r="O57">
        <v>192</v>
      </c>
      <c r="P57">
        <v>4</v>
      </c>
      <c r="Q57">
        <v>4</v>
      </c>
      <c r="R57">
        <v>8.9497199999999992</v>
      </c>
      <c r="T57">
        <v>17472</v>
      </c>
      <c r="U57">
        <f t="shared" si="1"/>
        <v>17536</v>
      </c>
      <c r="V57">
        <v>192</v>
      </c>
      <c r="W57">
        <v>4</v>
      </c>
      <c r="X57">
        <v>4</v>
      </c>
      <c r="Y57">
        <v>10.043725</v>
      </c>
    </row>
    <row r="58" spans="1:25" x14ac:dyDescent="0.25">
      <c r="A58">
        <v>17472</v>
      </c>
      <c r="B58">
        <v>192</v>
      </c>
      <c r="C58">
        <v>4</v>
      </c>
      <c r="D58">
        <v>4</v>
      </c>
      <c r="E58">
        <v>8.9497199999999992</v>
      </c>
      <c r="G58">
        <v>17440</v>
      </c>
      <c r="H58">
        <v>160</v>
      </c>
      <c r="I58">
        <v>4</v>
      </c>
      <c r="J58">
        <v>4</v>
      </c>
      <c r="K58">
        <v>10.0725</v>
      </c>
      <c r="M58">
        <v>17472</v>
      </c>
      <c r="N58">
        <f t="shared" si="0"/>
        <v>17536</v>
      </c>
      <c r="O58">
        <v>224</v>
      </c>
      <c r="P58">
        <v>4</v>
      </c>
      <c r="Q58">
        <v>4</v>
      </c>
      <c r="R58">
        <v>8.8047599999999981</v>
      </c>
      <c r="T58">
        <v>17472</v>
      </c>
      <c r="U58">
        <f t="shared" si="1"/>
        <v>17536</v>
      </c>
      <c r="V58">
        <v>224</v>
      </c>
      <c r="W58">
        <v>4</v>
      </c>
      <c r="X58">
        <v>4</v>
      </c>
      <c r="Y58">
        <v>9.8701000000000008</v>
      </c>
    </row>
    <row r="59" spans="1:25" x14ac:dyDescent="0.25">
      <c r="A59">
        <v>18432</v>
      </c>
      <c r="B59">
        <v>256</v>
      </c>
      <c r="C59">
        <v>4</v>
      </c>
      <c r="D59">
        <v>4</v>
      </c>
      <c r="E59">
        <v>8.9176400000000005</v>
      </c>
      <c r="G59">
        <v>17536</v>
      </c>
      <c r="H59">
        <v>128</v>
      </c>
      <c r="I59">
        <v>4</v>
      </c>
      <c r="J59">
        <v>4</v>
      </c>
      <c r="K59">
        <v>10.05475</v>
      </c>
      <c r="M59">
        <v>17408</v>
      </c>
      <c r="N59">
        <f t="shared" si="0"/>
        <v>17536</v>
      </c>
      <c r="O59">
        <v>256</v>
      </c>
      <c r="P59">
        <v>4</v>
      </c>
      <c r="Q59">
        <v>4</v>
      </c>
      <c r="R59">
        <v>8.6540800000000022</v>
      </c>
      <c r="T59">
        <v>17408</v>
      </c>
      <c r="U59">
        <f t="shared" si="1"/>
        <v>17536</v>
      </c>
      <c r="V59">
        <v>256</v>
      </c>
      <c r="W59">
        <v>4</v>
      </c>
      <c r="X59">
        <v>4</v>
      </c>
      <c r="Y59">
        <v>9.6955749999999998</v>
      </c>
    </row>
    <row r="60" spans="1:25" x14ac:dyDescent="0.25">
      <c r="A60">
        <v>17536</v>
      </c>
      <c r="B60">
        <v>32</v>
      </c>
      <c r="C60">
        <v>1</v>
      </c>
      <c r="D60">
        <v>16</v>
      </c>
      <c r="E60">
        <v>8.8632400000000011</v>
      </c>
      <c r="G60">
        <v>17472</v>
      </c>
      <c r="H60">
        <v>192</v>
      </c>
      <c r="I60">
        <v>4</v>
      </c>
      <c r="J60">
        <v>4</v>
      </c>
      <c r="K60">
        <v>10.043725</v>
      </c>
      <c r="M60">
        <v>18560</v>
      </c>
      <c r="N60">
        <f t="shared" si="0"/>
        <v>18560</v>
      </c>
      <c r="O60">
        <v>32</v>
      </c>
      <c r="P60">
        <v>4</v>
      </c>
      <c r="Q60">
        <v>4</v>
      </c>
      <c r="R60">
        <v>8.2599400000000003</v>
      </c>
      <c r="T60">
        <v>18560</v>
      </c>
      <c r="U60">
        <f t="shared" si="1"/>
        <v>18560</v>
      </c>
      <c r="V60">
        <v>32</v>
      </c>
      <c r="W60">
        <v>4</v>
      </c>
      <c r="X60">
        <v>4</v>
      </c>
      <c r="Y60">
        <v>9.8872250000000008</v>
      </c>
    </row>
    <row r="61" spans="1:25" x14ac:dyDescent="0.25">
      <c r="A61">
        <v>17472</v>
      </c>
      <c r="B61">
        <v>224</v>
      </c>
      <c r="C61">
        <v>4</v>
      </c>
      <c r="D61">
        <v>4</v>
      </c>
      <c r="E61">
        <v>8.8047599999999981</v>
      </c>
      <c r="G61">
        <v>17408</v>
      </c>
      <c r="H61">
        <v>256</v>
      </c>
      <c r="I61">
        <v>1</v>
      </c>
      <c r="J61">
        <v>16</v>
      </c>
      <c r="K61">
        <v>9.9677249999999997</v>
      </c>
      <c r="M61">
        <v>18560</v>
      </c>
      <c r="N61">
        <f t="shared" si="0"/>
        <v>18560</v>
      </c>
      <c r="O61">
        <v>64</v>
      </c>
      <c r="P61">
        <v>4</v>
      </c>
      <c r="Q61">
        <v>4</v>
      </c>
      <c r="R61">
        <v>8.9625000000000004</v>
      </c>
      <c r="T61">
        <v>18560</v>
      </c>
      <c r="U61">
        <f t="shared" si="1"/>
        <v>18560</v>
      </c>
      <c r="V61">
        <v>64</v>
      </c>
      <c r="W61">
        <v>4</v>
      </c>
      <c r="X61">
        <v>4</v>
      </c>
      <c r="Y61">
        <v>10.601749999999999</v>
      </c>
    </row>
    <row r="62" spans="1:25" x14ac:dyDescent="0.25">
      <c r="A62">
        <v>17536</v>
      </c>
      <c r="B62">
        <v>64</v>
      </c>
      <c r="C62">
        <v>4</v>
      </c>
      <c r="D62">
        <v>4</v>
      </c>
      <c r="E62">
        <v>8.7027400000000004</v>
      </c>
      <c r="G62">
        <v>18560</v>
      </c>
      <c r="H62">
        <v>32</v>
      </c>
      <c r="I62">
        <v>4</v>
      </c>
      <c r="J62">
        <v>4</v>
      </c>
      <c r="K62">
        <v>9.8872250000000008</v>
      </c>
      <c r="M62">
        <v>18528</v>
      </c>
      <c r="N62">
        <f t="shared" si="0"/>
        <v>18560</v>
      </c>
      <c r="O62">
        <v>96</v>
      </c>
      <c r="P62">
        <v>4</v>
      </c>
      <c r="Q62">
        <v>4</v>
      </c>
      <c r="R62">
        <v>9.1966599999999996</v>
      </c>
      <c r="T62">
        <v>18528</v>
      </c>
      <c r="U62">
        <f t="shared" si="1"/>
        <v>18560</v>
      </c>
      <c r="V62">
        <v>96</v>
      </c>
      <c r="W62">
        <v>4</v>
      </c>
      <c r="X62">
        <v>4</v>
      </c>
      <c r="Y62">
        <v>10.65925</v>
      </c>
    </row>
    <row r="63" spans="1:25" x14ac:dyDescent="0.25">
      <c r="A63">
        <v>17408</v>
      </c>
      <c r="B63">
        <v>256</v>
      </c>
      <c r="C63">
        <v>4</v>
      </c>
      <c r="D63">
        <v>4</v>
      </c>
      <c r="E63">
        <v>8.6540800000000022</v>
      </c>
      <c r="G63">
        <v>17472</v>
      </c>
      <c r="H63">
        <v>224</v>
      </c>
      <c r="I63">
        <v>4</v>
      </c>
      <c r="J63">
        <v>4</v>
      </c>
      <c r="K63">
        <v>9.8701000000000008</v>
      </c>
      <c r="M63">
        <v>18560</v>
      </c>
      <c r="N63">
        <f t="shared" si="0"/>
        <v>18560</v>
      </c>
      <c r="O63">
        <v>128</v>
      </c>
      <c r="P63">
        <v>4</v>
      </c>
      <c r="Q63">
        <v>4</v>
      </c>
      <c r="R63">
        <v>9.2676600000000011</v>
      </c>
      <c r="T63">
        <v>18560</v>
      </c>
      <c r="U63">
        <f t="shared" si="1"/>
        <v>18560</v>
      </c>
      <c r="V63">
        <v>128</v>
      </c>
      <c r="W63">
        <v>4</v>
      </c>
      <c r="X63">
        <v>4</v>
      </c>
      <c r="Y63">
        <v>10.490000000000002</v>
      </c>
    </row>
    <row r="64" spans="1:25" x14ac:dyDescent="0.25">
      <c r="A64">
        <v>19584</v>
      </c>
      <c r="B64">
        <v>32</v>
      </c>
      <c r="C64">
        <v>4</v>
      </c>
      <c r="D64">
        <v>4</v>
      </c>
      <c r="E64">
        <v>8.4886799999999987</v>
      </c>
      <c r="G64">
        <v>17536</v>
      </c>
      <c r="H64">
        <v>32</v>
      </c>
      <c r="I64">
        <v>1</v>
      </c>
      <c r="J64">
        <v>16</v>
      </c>
      <c r="K64">
        <v>9.8013500000000011</v>
      </c>
      <c r="M64">
        <v>18560</v>
      </c>
      <c r="N64">
        <f t="shared" si="0"/>
        <v>18560</v>
      </c>
      <c r="O64">
        <v>160</v>
      </c>
      <c r="P64">
        <v>4</v>
      </c>
      <c r="Q64">
        <v>4</v>
      </c>
      <c r="R64">
        <v>9.391020000000001</v>
      </c>
      <c r="T64">
        <v>18560</v>
      </c>
      <c r="U64">
        <f t="shared" si="1"/>
        <v>18560</v>
      </c>
      <c r="V64">
        <v>160</v>
      </c>
      <c r="W64">
        <v>4</v>
      </c>
      <c r="X64">
        <v>4</v>
      </c>
      <c r="Y64">
        <v>10.5045</v>
      </c>
    </row>
    <row r="65" spans="1:25" x14ac:dyDescent="0.25">
      <c r="A65">
        <v>18560</v>
      </c>
      <c r="B65">
        <v>32</v>
      </c>
      <c r="C65">
        <v>4</v>
      </c>
      <c r="D65">
        <v>4</v>
      </c>
      <c r="E65">
        <v>8.2599400000000003</v>
      </c>
      <c r="G65">
        <v>17408</v>
      </c>
      <c r="H65">
        <v>256</v>
      </c>
      <c r="I65">
        <v>4</v>
      </c>
      <c r="J65">
        <v>4</v>
      </c>
      <c r="K65">
        <v>9.6955749999999998</v>
      </c>
      <c r="M65">
        <v>18432</v>
      </c>
      <c r="N65">
        <f t="shared" si="0"/>
        <v>18560</v>
      </c>
      <c r="O65">
        <v>192</v>
      </c>
      <c r="P65">
        <v>4</v>
      </c>
      <c r="Q65">
        <v>4</v>
      </c>
      <c r="R65">
        <v>9.1128600000000013</v>
      </c>
      <c r="T65">
        <v>18432</v>
      </c>
      <c r="U65">
        <f t="shared" si="1"/>
        <v>18560</v>
      </c>
      <c r="V65">
        <v>192</v>
      </c>
      <c r="W65">
        <v>4</v>
      </c>
      <c r="X65">
        <v>4</v>
      </c>
      <c r="Y65">
        <v>10.40625</v>
      </c>
    </row>
    <row r="66" spans="1:25" x14ac:dyDescent="0.25">
      <c r="A66">
        <v>17536</v>
      </c>
      <c r="B66">
        <v>32</v>
      </c>
      <c r="C66">
        <v>4</v>
      </c>
      <c r="D66">
        <v>4</v>
      </c>
      <c r="E66">
        <v>8.0392600000000005</v>
      </c>
      <c r="G66">
        <v>17536</v>
      </c>
      <c r="H66">
        <v>32</v>
      </c>
      <c r="I66">
        <v>4</v>
      </c>
      <c r="J66">
        <v>4</v>
      </c>
      <c r="K66">
        <v>9.5108999999999995</v>
      </c>
      <c r="M66">
        <v>18368</v>
      </c>
      <c r="N66">
        <f t="shared" si="0"/>
        <v>18560</v>
      </c>
      <c r="O66">
        <v>224</v>
      </c>
      <c r="P66">
        <v>4</v>
      </c>
      <c r="Q66">
        <v>4</v>
      </c>
      <c r="R66">
        <v>9.1637400000000007</v>
      </c>
      <c r="T66">
        <v>18368</v>
      </c>
      <c r="U66">
        <f t="shared" si="1"/>
        <v>18560</v>
      </c>
      <c r="V66">
        <v>224</v>
      </c>
      <c r="W66">
        <v>4</v>
      </c>
      <c r="X66">
        <v>4</v>
      </c>
      <c r="Y66">
        <v>10.297499999999999</v>
      </c>
    </row>
    <row r="67" spans="1:25" x14ac:dyDescent="0.25">
      <c r="A67">
        <v>19584</v>
      </c>
      <c r="B67">
        <v>192</v>
      </c>
      <c r="C67">
        <v>4</v>
      </c>
      <c r="D67">
        <v>4</v>
      </c>
      <c r="E67">
        <v>4.6930779999999999</v>
      </c>
      <c r="G67">
        <v>19584</v>
      </c>
      <c r="H67">
        <v>192</v>
      </c>
      <c r="I67">
        <v>4</v>
      </c>
      <c r="J67">
        <v>4</v>
      </c>
      <c r="K67">
        <v>8.3969749999999994</v>
      </c>
      <c r="M67">
        <v>18432</v>
      </c>
      <c r="N67">
        <f t="shared" si="0"/>
        <v>18560</v>
      </c>
      <c r="O67">
        <v>256</v>
      </c>
      <c r="P67">
        <v>4</v>
      </c>
      <c r="Q67">
        <v>4</v>
      </c>
      <c r="R67">
        <v>8.9176400000000005</v>
      </c>
      <c r="T67">
        <v>18432</v>
      </c>
      <c r="U67">
        <f t="shared" si="1"/>
        <v>18560</v>
      </c>
      <c r="V67">
        <v>256</v>
      </c>
      <c r="W67">
        <v>4</v>
      </c>
      <c r="X67">
        <v>4</v>
      </c>
      <c r="Y67">
        <v>10.117999999999999</v>
      </c>
    </row>
    <row r="68" spans="1:25" x14ac:dyDescent="0.25">
      <c r="A68">
        <v>19456</v>
      </c>
      <c r="B68">
        <v>256</v>
      </c>
      <c r="C68">
        <v>2</v>
      </c>
      <c r="D68">
        <v>8</v>
      </c>
      <c r="E68">
        <v>2.9276199999999997</v>
      </c>
      <c r="G68">
        <v>19584</v>
      </c>
      <c r="H68">
        <v>96</v>
      </c>
      <c r="I68">
        <v>1</v>
      </c>
      <c r="J68">
        <v>16</v>
      </c>
      <c r="K68">
        <v>6.9175500000000003</v>
      </c>
      <c r="M68">
        <v>19584</v>
      </c>
      <c r="N68">
        <f t="shared" si="0"/>
        <v>19584</v>
      </c>
      <c r="O68">
        <v>32</v>
      </c>
      <c r="P68">
        <v>4</v>
      </c>
      <c r="Q68">
        <v>4</v>
      </c>
      <c r="R68">
        <v>8.4886799999999987</v>
      </c>
      <c r="T68">
        <v>19584</v>
      </c>
      <c r="U68">
        <f t="shared" si="1"/>
        <v>19584</v>
      </c>
      <c r="V68">
        <v>32</v>
      </c>
      <c r="W68">
        <v>4</v>
      </c>
      <c r="X68">
        <v>4</v>
      </c>
      <c r="Y68">
        <v>10.145249999999999</v>
      </c>
    </row>
    <row r="69" spans="1:25" x14ac:dyDescent="0.25">
      <c r="A69">
        <v>18432</v>
      </c>
      <c r="B69">
        <v>256</v>
      </c>
      <c r="C69">
        <v>1</v>
      </c>
      <c r="D69">
        <v>16</v>
      </c>
      <c r="E69">
        <v>2.0424199999999999</v>
      </c>
      <c r="G69">
        <v>18432</v>
      </c>
      <c r="H69">
        <v>256</v>
      </c>
      <c r="I69">
        <v>1</v>
      </c>
      <c r="J69">
        <v>16</v>
      </c>
      <c r="K69">
        <v>3.386825</v>
      </c>
      <c r="M69">
        <v>19584</v>
      </c>
      <c r="N69">
        <f t="shared" ref="N69:N75" si="2">CHOOSE(IF(ABS(M69-17536) &lt;= ABS(M69-18560),IF(ABS(M69-17536) &lt;= ABS(M69-19584),1,3),IF(ABS(M69-18560) &lt;= ABS(M69-19584),2,3)),17536,18560,19584)</f>
        <v>19584</v>
      </c>
      <c r="O69">
        <v>64</v>
      </c>
      <c r="P69">
        <v>4</v>
      </c>
      <c r="Q69">
        <v>4</v>
      </c>
      <c r="R69">
        <v>9.3255999999999997</v>
      </c>
      <c r="T69">
        <v>19584</v>
      </c>
      <c r="U69">
        <f t="shared" ref="U69:U75" si="3">CHOOSE(IF(ABS(T69-17536) &lt;= ABS(T69-18560),IF(ABS(T69-17536) &lt;= ABS(T69-19584),1,3),IF(ABS(T69-18560) &lt;= ABS(T69-19584),2,3)),17536,18560,19584)</f>
        <v>19584</v>
      </c>
      <c r="V69">
        <v>64</v>
      </c>
      <c r="W69">
        <v>4</v>
      </c>
      <c r="X69">
        <v>4</v>
      </c>
      <c r="Y69">
        <v>11.0105</v>
      </c>
    </row>
    <row r="70" spans="1:25" x14ac:dyDescent="0.25">
      <c r="A70">
        <v>19584</v>
      </c>
      <c r="B70">
        <v>128</v>
      </c>
      <c r="C70">
        <v>1</v>
      </c>
      <c r="D70">
        <v>16</v>
      </c>
      <c r="E70">
        <v>1.9959</v>
      </c>
      <c r="G70">
        <v>19456</v>
      </c>
      <c r="H70">
        <v>256</v>
      </c>
      <c r="I70">
        <v>2</v>
      </c>
      <c r="J70">
        <v>8</v>
      </c>
      <c r="K70">
        <v>2.8602500000000002</v>
      </c>
      <c r="M70">
        <v>19584</v>
      </c>
      <c r="N70">
        <f t="shared" si="2"/>
        <v>19584</v>
      </c>
      <c r="O70">
        <v>96</v>
      </c>
      <c r="P70">
        <v>4</v>
      </c>
      <c r="Q70">
        <v>4</v>
      </c>
      <c r="R70">
        <v>9.6645599999999998</v>
      </c>
      <c r="T70">
        <v>19584</v>
      </c>
      <c r="U70">
        <f t="shared" si="3"/>
        <v>19584</v>
      </c>
      <c r="V70">
        <v>96</v>
      </c>
      <c r="W70">
        <v>4</v>
      </c>
      <c r="X70">
        <v>4</v>
      </c>
      <c r="Y70">
        <v>10.999333333333334</v>
      </c>
    </row>
    <row r="71" spans="1:25" x14ac:dyDescent="0.25">
      <c r="A71">
        <v>19456</v>
      </c>
      <c r="B71">
        <v>256</v>
      </c>
      <c r="C71">
        <v>4</v>
      </c>
      <c r="D71">
        <v>4</v>
      </c>
      <c r="E71">
        <v>1.9031980000000002</v>
      </c>
      <c r="G71">
        <v>19584</v>
      </c>
      <c r="H71">
        <v>128</v>
      </c>
      <c r="I71">
        <v>1</v>
      </c>
      <c r="J71">
        <v>16</v>
      </c>
      <c r="K71">
        <v>2.68425</v>
      </c>
      <c r="M71">
        <v>19584</v>
      </c>
      <c r="N71">
        <f t="shared" si="2"/>
        <v>19584</v>
      </c>
      <c r="O71">
        <v>128</v>
      </c>
      <c r="P71">
        <v>4</v>
      </c>
      <c r="Q71">
        <v>4</v>
      </c>
      <c r="R71">
        <v>9.7139199999999999</v>
      </c>
      <c r="T71">
        <v>19584</v>
      </c>
      <c r="U71">
        <f t="shared" si="3"/>
        <v>19584</v>
      </c>
      <c r="V71">
        <v>128</v>
      </c>
      <c r="W71">
        <v>4</v>
      </c>
      <c r="X71">
        <v>4</v>
      </c>
      <c r="Y71">
        <v>10.8725</v>
      </c>
    </row>
    <row r="72" spans="1:25" x14ac:dyDescent="0.25">
      <c r="A72">
        <v>19520</v>
      </c>
      <c r="B72">
        <v>160</v>
      </c>
      <c r="C72">
        <v>1</v>
      </c>
      <c r="D72">
        <v>16</v>
      </c>
      <c r="E72">
        <v>1.8876999999999999</v>
      </c>
      <c r="G72">
        <v>19488</v>
      </c>
      <c r="H72">
        <v>224</v>
      </c>
      <c r="I72">
        <v>1</v>
      </c>
      <c r="J72">
        <v>16</v>
      </c>
      <c r="K72">
        <v>2.373675</v>
      </c>
      <c r="M72">
        <v>19520</v>
      </c>
      <c r="N72">
        <f t="shared" si="2"/>
        <v>19584</v>
      </c>
      <c r="O72">
        <v>160</v>
      </c>
      <c r="P72">
        <v>4</v>
      </c>
      <c r="Q72">
        <v>4</v>
      </c>
      <c r="R72">
        <v>9.4279599999999988</v>
      </c>
      <c r="T72">
        <v>19520</v>
      </c>
      <c r="U72">
        <f t="shared" si="3"/>
        <v>19584</v>
      </c>
      <c r="V72">
        <v>160</v>
      </c>
      <c r="W72">
        <v>4</v>
      </c>
      <c r="X72">
        <v>4</v>
      </c>
      <c r="Y72">
        <v>10.864000000000001</v>
      </c>
    </row>
    <row r="73" spans="1:25" x14ac:dyDescent="0.25">
      <c r="A73">
        <v>19584</v>
      </c>
      <c r="B73">
        <v>192</v>
      </c>
      <c r="C73">
        <v>1</v>
      </c>
      <c r="D73">
        <v>16</v>
      </c>
      <c r="E73">
        <v>1.4899600000000002</v>
      </c>
      <c r="G73">
        <v>19520</v>
      </c>
      <c r="H73">
        <v>160</v>
      </c>
      <c r="I73">
        <v>1</v>
      </c>
      <c r="J73">
        <v>16</v>
      </c>
      <c r="K73">
        <v>2.1899000000000002</v>
      </c>
      <c r="M73">
        <v>19584</v>
      </c>
      <c r="N73">
        <f t="shared" si="2"/>
        <v>19584</v>
      </c>
      <c r="O73">
        <v>192</v>
      </c>
      <c r="P73">
        <v>4</v>
      </c>
      <c r="Q73">
        <v>4</v>
      </c>
      <c r="R73">
        <v>4.6930779999999999</v>
      </c>
      <c r="T73">
        <v>19584</v>
      </c>
      <c r="U73">
        <f t="shared" si="3"/>
        <v>19584</v>
      </c>
      <c r="V73">
        <v>192</v>
      </c>
      <c r="W73">
        <v>4</v>
      </c>
      <c r="X73">
        <v>4</v>
      </c>
      <c r="Y73">
        <v>8.3969749999999994</v>
      </c>
    </row>
    <row r="74" spans="1:25" x14ac:dyDescent="0.25">
      <c r="A74">
        <v>19488</v>
      </c>
      <c r="B74">
        <v>224</v>
      </c>
      <c r="C74">
        <v>1</v>
      </c>
      <c r="D74">
        <v>16</v>
      </c>
      <c r="E74">
        <v>1.23054</v>
      </c>
      <c r="G74">
        <v>19584</v>
      </c>
      <c r="H74">
        <v>192</v>
      </c>
      <c r="I74">
        <v>1</v>
      </c>
      <c r="J74">
        <v>16</v>
      </c>
      <c r="K74">
        <v>1.6167749999999999</v>
      </c>
      <c r="M74">
        <v>19488</v>
      </c>
      <c r="N74">
        <f t="shared" si="2"/>
        <v>19584</v>
      </c>
      <c r="O74">
        <v>224</v>
      </c>
      <c r="P74">
        <v>4</v>
      </c>
      <c r="Q74">
        <v>4</v>
      </c>
      <c r="R74">
        <v>9.2313200000000002</v>
      </c>
      <c r="T74">
        <v>19488</v>
      </c>
      <c r="U74">
        <f t="shared" si="3"/>
        <v>19584</v>
      </c>
      <c r="V74">
        <v>224</v>
      </c>
      <c r="W74">
        <v>4</v>
      </c>
      <c r="X74">
        <v>4</v>
      </c>
      <c r="Y74">
        <v>10.40925</v>
      </c>
    </row>
    <row r="75" spans="1:25" x14ac:dyDescent="0.25">
      <c r="A75">
        <v>19456</v>
      </c>
      <c r="B75">
        <v>256</v>
      </c>
      <c r="C75">
        <v>1</v>
      </c>
      <c r="D75">
        <v>16</v>
      </c>
      <c r="E75">
        <v>1.12222</v>
      </c>
      <c r="G75">
        <v>19456</v>
      </c>
      <c r="H75">
        <v>256</v>
      </c>
      <c r="I75">
        <v>1</v>
      </c>
      <c r="J75">
        <v>16</v>
      </c>
      <c r="K75">
        <v>1.2719</v>
      </c>
      <c r="M75">
        <v>19456</v>
      </c>
      <c r="N75">
        <f t="shared" si="2"/>
        <v>19584</v>
      </c>
      <c r="O75">
        <v>256</v>
      </c>
      <c r="P75">
        <v>4</v>
      </c>
      <c r="Q75">
        <v>4</v>
      </c>
      <c r="R75">
        <v>1.9031980000000002</v>
      </c>
      <c r="T75">
        <v>19456</v>
      </c>
      <c r="U75">
        <f t="shared" si="3"/>
        <v>19584</v>
      </c>
      <c r="V75">
        <v>256</v>
      </c>
      <c r="W75">
        <v>4</v>
      </c>
      <c r="X75">
        <v>4</v>
      </c>
      <c r="Y75">
        <v>10.284000000000001</v>
      </c>
    </row>
    <row r="76" spans="1:25" x14ac:dyDescent="0.25">
      <c r="A76">
        <v>0</v>
      </c>
      <c r="B76">
        <v>0</v>
      </c>
      <c r="C76">
        <v>0</v>
      </c>
      <c r="D76">
        <v>0</v>
      </c>
      <c r="E76">
        <v>0</v>
      </c>
      <c r="G76">
        <v>0</v>
      </c>
      <c r="H76">
        <v>0</v>
      </c>
      <c r="I76">
        <v>0</v>
      </c>
      <c r="J76">
        <v>0</v>
      </c>
      <c r="K76">
        <v>0</v>
      </c>
    </row>
    <row r="77" spans="1:25" x14ac:dyDescent="0.25">
      <c r="A77">
        <v>0</v>
      </c>
      <c r="B77">
        <v>0</v>
      </c>
      <c r="C77">
        <v>0</v>
      </c>
      <c r="D77">
        <v>0</v>
      </c>
      <c r="E77">
        <v>0</v>
      </c>
      <c r="G77">
        <v>0</v>
      </c>
      <c r="H77">
        <v>0</v>
      </c>
      <c r="I77">
        <v>0</v>
      </c>
      <c r="J77">
        <v>0</v>
      </c>
      <c r="K77">
        <v>0</v>
      </c>
    </row>
    <row r="78" spans="1:25" x14ac:dyDescent="0.25">
      <c r="A78">
        <v>19456</v>
      </c>
      <c r="B78">
        <v>256</v>
      </c>
      <c r="C78">
        <v>1</v>
      </c>
      <c r="D78">
        <v>16</v>
      </c>
      <c r="E78">
        <v>1.1829000000000001</v>
      </c>
      <c r="G78">
        <v>0</v>
      </c>
      <c r="H78">
        <v>0</v>
      </c>
      <c r="I78">
        <v>0</v>
      </c>
      <c r="J78">
        <v>0</v>
      </c>
      <c r="K78">
        <v>0</v>
      </c>
    </row>
    <row r="79" spans="1:25" x14ac:dyDescent="0.25">
      <c r="A79">
        <v>19456</v>
      </c>
      <c r="B79">
        <v>256</v>
      </c>
      <c r="C79">
        <v>2</v>
      </c>
      <c r="D79">
        <v>8</v>
      </c>
      <c r="E79">
        <v>2.4310400000000003</v>
      </c>
      <c r="G79">
        <v>0</v>
      </c>
      <c r="H79">
        <v>0</v>
      </c>
      <c r="I79">
        <v>0</v>
      </c>
      <c r="J79">
        <v>0</v>
      </c>
      <c r="K79">
        <v>0</v>
      </c>
    </row>
    <row r="80" spans="1:25" x14ac:dyDescent="0.25">
      <c r="A80">
        <v>19456</v>
      </c>
      <c r="B80">
        <v>256</v>
      </c>
      <c r="C80">
        <v>4</v>
      </c>
      <c r="D80">
        <v>4</v>
      </c>
      <c r="E80">
        <v>5.0037440000000002</v>
      </c>
      <c r="G80">
        <v>0</v>
      </c>
      <c r="H80">
        <v>0</v>
      </c>
      <c r="I80">
        <v>0</v>
      </c>
      <c r="J80">
        <v>0</v>
      </c>
      <c r="K80">
        <v>0</v>
      </c>
    </row>
    <row r="81" spans="1:11" x14ac:dyDescent="0.25">
      <c r="A81">
        <v>0</v>
      </c>
      <c r="B81">
        <v>0</v>
      </c>
      <c r="C81">
        <v>0</v>
      </c>
      <c r="D81">
        <v>0</v>
      </c>
      <c r="E81">
        <v>0</v>
      </c>
      <c r="G81">
        <v>0</v>
      </c>
      <c r="H81">
        <v>0</v>
      </c>
      <c r="I81">
        <v>0</v>
      </c>
      <c r="J81">
        <v>0</v>
      </c>
      <c r="K81">
        <v>0</v>
      </c>
    </row>
    <row r="82" spans="1:11" x14ac:dyDescent="0.25">
      <c r="A82">
        <v>0</v>
      </c>
      <c r="B82">
        <v>0</v>
      </c>
      <c r="C82">
        <v>0</v>
      </c>
      <c r="D82">
        <v>0</v>
      </c>
      <c r="E82">
        <v>0</v>
      </c>
      <c r="G82">
        <v>0</v>
      </c>
      <c r="H82">
        <v>0</v>
      </c>
      <c r="I82">
        <v>0</v>
      </c>
      <c r="J82">
        <v>0</v>
      </c>
      <c r="K82">
        <v>0</v>
      </c>
    </row>
    <row r="83" spans="1:11" x14ac:dyDescent="0.25">
      <c r="A83">
        <v>0</v>
      </c>
      <c r="B83">
        <v>0</v>
      </c>
      <c r="C83">
        <v>0</v>
      </c>
      <c r="D83">
        <v>0</v>
      </c>
      <c r="E83">
        <v>0</v>
      </c>
      <c r="G83">
        <v>0</v>
      </c>
      <c r="H83">
        <v>0</v>
      </c>
      <c r="I83">
        <v>0</v>
      </c>
      <c r="J83">
        <v>0</v>
      </c>
      <c r="K83">
        <v>0</v>
      </c>
    </row>
    <row r="84" spans="1:11" x14ac:dyDescent="0.25">
      <c r="A84">
        <v>0</v>
      </c>
      <c r="B84">
        <v>0</v>
      </c>
      <c r="C84">
        <v>0</v>
      </c>
      <c r="D84">
        <v>0</v>
      </c>
      <c r="E84">
        <v>0</v>
      </c>
      <c r="G84">
        <v>0</v>
      </c>
      <c r="H84">
        <v>0</v>
      </c>
      <c r="I84">
        <v>0</v>
      </c>
      <c r="J84">
        <v>0</v>
      </c>
      <c r="K84">
        <v>0</v>
      </c>
    </row>
    <row r="85" spans="1:11" x14ac:dyDescent="0.25">
      <c r="A85">
        <v>0</v>
      </c>
      <c r="B85">
        <v>0</v>
      </c>
      <c r="C85">
        <v>0</v>
      </c>
      <c r="D85">
        <v>0</v>
      </c>
      <c r="E85">
        <v>0</v>
      </c>
      <c r="G85">
        <v>0</v>
      </c>
      <c r="H85">
        <v>0</v>
      </c>
      <c r="I85">
        <v>0</v>
      </c>
      <c r="J85">
        <v>0</v>
      </c>
      <c r="K85">
        <v>0</v>
      </c>
    </row>
    <row r="86" spans="1:11" x14ac:dyDescent="0.25">
      <c r="A86">
        <v>0</v>
      </c>
      <c r="B86">
        <v>0</v>
      </c>
      <c r="C86">
        <v>0</v>
      </c>
      <c r="D86">
        <v>0</v>
      </c>
      <c r="E86">
        <v>0</v>
      </c>
      <c r="G86">
        <v>0</v>
      </c>
      <c r="H86">
        <v>0</v>
      </c>
      <c r="I86">
        <v>0</v>
      </c>
      <c r="J86">
        <v>0</v>
      </c>
      <c r="K86">
        <v>0</v>
      </c>
    </row>
    <row r="87" spans="1:11" x14ac:dyDescent="0.25">
      <c r="A87">
        <v>0</v>
      </c>
      <c r="B87">
        <v>0</v>
      </c>
      <c r="C87">
        <v>0</v>
      </c>
      <c r="D87">
        <v>0</v>
      </c>
      <c r="E87">
        <v>0</v>
      </c>
      <c r="G87">
        <v>0</v>
      </c>
      <c r="H87">
        <v>0</v>
      </c>
      <c r="I87">
        <v>0</v>
      </c>
      <c r="J87">
        <v>0</v>
      </c>
      <c r="K87">
        <v>0</v>
      </c>
    </row>
    <row r="88" spans="1:11" x14ac:dyDescent="0.25">
      <c r="A88">
        <v>0</v>
      </c>
      <c r="B88">
        <v>0</v>
      </c>
      <c r="C88">
        <v>0</v>
      </c>
      <c r="D88">
        <v>0</v>
      </c>
      <c r="E88">
        <v>0</v>
      </c>
      <c r="G88">
        <v>0</v>
      </c>
      <c r="H88">
        <v>0</v>
      </c>
      <c r="I88">
        <v>0</v>
      </c>
      <c r="J88">
        <v>0</v>
      </c>
      <c r="K88">
        <v>0</v>
      </c>
    </row>
    <row r="89" spans="1:11" x14ac:dyDescent="0.25">
      <c r="A89">
        <v>0</v>
      </c>
      <c r="B89">
        <v>0</v>
      </c>
      <c r="C89">
        <v>0</v>
      </c>
      <c r="D89">
        <v>0</v>
      </c>
      <c r="E89">
        <v>0</v>
      </c>
      <c r="G89">
        <v>0</v>
      </c>
      <c r="H89">
        <v>0</v>
      </c>
      <c r="I89">
        <v>0</v>
      </c>
      <c r="J89">
        <v>0</v>
      </c>
      <c r="K89">
        <v>0</v>
      </c>
    </row>
    <row r="90" spans="1:11" x14ac:dyDescent="0.25">
      <c r="A90">
        <v>0</v>
      </c>
      <c r="B90">
        <v>0</v>
      </c>
      <c r="C90">
        <v>0</v>
      </c>
      <c r="D90">
        <v>0</v>
      </c>
      <c r="E90">
        <v>0</v>
      </c>
      <c r="G90">
        <v>0</v>
      </c>
      <c r="H90">
        <v>0</v>
      </c>
      <c r="I90">
        <v>0</v>
      </c>
      <c r="J90">
        <v>0</v>
      </c>
      <c r="K90">
        <v>0</v>
      </c>
    </row>
    <row r="91" spans="1:11" x14ac:dyDescent="0.25">
      <c r="A91">
        <v>0</v>
      </c>
      <c r="B91">
        <v>0</v>
      </c>
      <c r="C91">
        <v>0</v>
      </c>
      <c r="D91">
        <v>0</v>
      </c>
      <c r="E91">
        <v>0</v>
      </c>
      <c r="G91">
        <v>0</v>
      </c>
      <c r="H91">
        <v>0</v>
      </c>
      <c r="I91">
        <v>0</v>
      </c>
      <c r="J91">
        <v>0</v>
      </c>
      <c r="K91">
        <v>0</v>
      </c>
    </row>
    <row r="92" spans="1:11" x14ac:dyDescent="0.25">
      <c r="A92">
        <v>0</v>
      </c>
      <c r="B92">
        <v>0</v>
      </c>
      <c r="C92">
        <v>0</v>
      </c>
      <c r="D92">
        <v>0</v>
      </c>
      <c r="E92">
        <v>0</v>
      </c>
      <c r="G92">
        <v>0</v>
      </c>
      <c r="H92">
        <v>0</v>
      </c>
      <c r="I92">
        <v>0</v>
      </c>
      <c r="J92">
        <v>0</v>
      </c>
      <c r="K92">
        <v>0</v>
      </c>
    </row>
    <row r="93" spans="1:11" x14ac:dyDescent="0.25">
      <c r="A93">
        <v>0</v>
      </c>
      <c r="B93">
        <v>0</v>
      </c>
      <c r="C93">
        <v>0</v>
      </c>
      <c r="D93">
        <v>0</v>
      </c>
      <c r="E93">
        <v>0</v>
      </c>
      <c r="G93">
        <v>0</v>
      </c>
      <c r="H93">
        <v>0</v>
      </c>
      <c r="I93">
        <v>0</v>
      </c>
      <c r="J93">
        <v>0</v>
      </c>
      <c r="K93">
        <v>0</v>
      </c>
    </row>
    <row r="94" spans="1:11" x14ac:dyDescent="0.25">
      <c r="A94">
        <v>0</v>
      </c>
      <c r="B94">
        <v>0</v>
      </c>
      <c r="C94">
        <v>0</v>
      </c>
      <c r="D94">
        <v>0</v>
      </c>
      <c r="E94">
        <v>0</v>
      </c>
      <c r="G94">
        <v>0</v>
      </c>
      <c r="H94">
        <v>0</v>
      </c>
      <c r="I94">
        <v>0</v>
      </c>
      <c r="J94">
        <v>0</v>
      </c>
      <c r="K94">
        <v>0</v>
      </c>
    </row>
    <row r="95" spans="1:11" x14ac:dyDescent="0.25">
      <c r="A95">
        <v>0</v>
      </c>
      <c r="B95">
        <v>0</v>
      </c>
      <c r="C95">
        <v>0</v>
      </c>
      <c r="D95">
        <v>0</v>
      </c>
      <c r="E95">
        <v>0</v>
      </c>
      <c r="G95">
        <v>0</v>
      </c>
      <c r="H95">
        <v>0</v>
      </c>
      <c r="I95">
        <v>0</v>
      </c>
      <c r="J95">
        <v>0</v>
      </c>
      <c r="K95">
        <v>0</v>
      </c>
    </row>
    <row r="96" spans="1:11" x14ac:dyDescent="0.25">
      <c r="A96">
        <v>0</v>
      </c>
      <c r="B96">
        <v>0</v>
      </c>
      <c r="C96">
        <v>0</v>
      </c>
      <c r="D96">
        <v>0</v>
      </c>
      <c r="E96">
        <v>0</v>
      </c>
      <c r="G96">
        <v>0</v>
      </c>
      <c r="H96">
        <v>0</v>
      </c>
      <c r="I96">
        <v>0</v>
      </c>
      <c r="J96">
        <v>0</v>
      </c>
      <c r="K96">
        <v>0</v>
      </c>
    </row>
    <row r="97" spans="1:11" x14ac:dyDescent="0.25">
      <c r="A97">
        <v>0</v>
      </c>
      <c r="B97">
        <v>0</v>
      </c>
      <c r="C97">
        <v>0</v>
      </c>
      <c r="D97">
        <v>0</v>
      </c>
      <c r="E97">
        <v>0</v>
      </c>
      <c r="G97">
        <v>0</v>
      </c>
      <c r="H97">
        <v>0</v>
      </c>
      <c r="I97">
        <v>0</v>
      </c>
      <c r="J97">
        <v>0</v>
      </c>
      <c r="K97">
        <v>0</v>
      </c>
    </row>
    <row r="98" spans="1:11" x14ac:dyDescent="0.25">
      <c r="A98">
        <v>0</v>
      </c>
      <c r="B98">
        <v>0</v>
      </c>
      <c r="C98">
        <v>0</v>
      </c>
      <c r="D98">
        <v>0</v>
      </c>
      <c r="E98">
        <v>0</v>
      </c>
      <c r="G98">
        <v>0</v>
      </c>
      <c r="H98">
        <v>0</v>
      </c>
      <c r="I98">
        <v>0</v>
      </c>
      <c r="J98">
        <v>0</v>
      </c>
      <c r="K98">
        <v>0</v>
      </c>
    </row>
    <row r="99" spans="1:11" x14ac:dyDescent="0.25">
      <c r="A99">
        <v>0</v>
      </c>
      <c r="B99">
        <v>0</v>
      </c>
      <c r="C99">
        <v>0</v>
      </c>
      <c r="D99">
        <v>0</v>
      </c>
      <c r="E99">
        <v>0</v>
      </c>
      <c r="G99">
        <v>0</v>
      </c>
      <c r="H99">
        <v>0</v>
      </c>
      <c r="I99">
        <v>0</v>
      </c>
      <c r="J99">
        <v>0</v>
      </c>
      <c r="K99">
        <v>0</v>
      </c>
    </row>
    <row r="100" spans="1:11" x14ac:dyDescent="0.25">
      <c r="A100">
        <v>0</v>
      </c>
      <c r="B100">
        <v>0</v>
      </c>
      <c r="C100">
        <v>0</v>
      </c>
      <c r="D100">
        <v>0</v>
      </c>
      <c r="E100">
        <v>0</v>
      </c>
      <c r="G100">
        <v>0</v>
      </c>
      <c r="H100">
        <v>0</v>
      </c>
      <c r="I100">
        <v>0</v>
      </c>
      <c r="J100">
        <v>0</v>
      </c>
      <c r="K100">
        <v>0</v>
      </c>
    </row>
    <row r="101" spans="1:11" x14ac:dyDescent="0.25">
      <c r="A101">
        <v>0</v>
      </c>
      <c r="B101">
        <v>0</v>
      </c>
      <c r="C101">
        <v>0</v>
      </c>
      <c r="D101">
        <v>0</v>
      </c>
      <c r="E101">
        <v>0</v>
      </c>
      <c r="G101">
        <v>0</v>
      </c>
      <c r="H101">
        <v>0</v>
      </c>
      <c r="I101">
        <v>0</v>
      </c>
      <c r="J101">
        <v>0</v>
      </c>
      <c r="K101">
        <v>0</v>
      </c>
    </row>
    <row r="102" spans="1:11" x14ac:dyDescent="0.25">
      <c r="A102">
        <v>0</v>
      </c>
      <c r="B102">
        <v>0</v>
      </c>
      <c r="C102">
        <v>0</v>
      </c>
      <c r="D102">
        <v>0</v>
      </c>
      <c r="E102">
        <v>0</v>
      </c>
      <c r="G102">
        <v>0</v>
      </c>
      <c r="H102">
        <v>0</v>
      </c>
      <c r="I102">
        <v>0</v>
      </c>
      <c r="J102">
        <v>0</v>
      </c>
      <c r="K102">
        <v>0</v>
      </c>
    </row>
    <row r="103" spans="1:11" x14ac:dyDescent="0.25">
      <c r="A103">
        <v>0</v>
      </c>
      <c r="B103">
        <v>0</v>
      </c>
      <c r="C103">
        <v>0</v>
      </c>
      <c r="D103">
        <v>0</v>
      </c>
      <c r="E103">
        <v>0</v>
      </c>
      <c r="G103">
        <v>0</v>
      </c>
      <c r="H103">
        <v>0</v>
      </c>
      <c r="I103">
        <v>0</v>
      </c>
      <c r="J103">
        <v>0</v>
      </c>
      <c r="K103">
        <v>0</v>
      </c>
    </row>
    <row r="104" spans="1:11" x14ac:dyDescent="0.25">
      <c r="A104">
        <v>0</v>
      </c>
      <c r="B104">
        <v>0</v>
      </c>
      <c r="C104">
        <v>0</v>
      </c>
      <c r="D104">
        <v>0</v>
      </c>
      <c r="E104">
        <v>0</v>
      </c>
      <c r="G104">
        <v>0</v>
      </c>
      <c r="H104">
        <v>0</v>
      </c>
      <c r="I104">
        <v>0</v>
      </c>
      <c r="J104">
        <v>0</v>
      </c>
      <c r="K104">
        <v>0</v>
      </c>
    </row>
    <row r="105" spans="1:11" x14ac:dyDescent="0.25">
      <c r="A105">
        <v>0</v>
      </c>
      <c r="B105">
        <v>0</v>
      </c>
      <c r="C105">
        <v>0</v>
      </c>
      <c r="D105">
        <v>0</v>
      </c>
      <c r="E105">
        <v>0</v>
      </c>
      <c r="G105">
        <v>0</v>
      </c>
      <c r="H105">
        <v>0</v>
      </c>
      <c r="I105">
        <v>0</v>
      </c>
      <c r="J105">
        <v>0</v>
      </c>
      <c r="K105">
        <v>0</v>
      </c>
    </row>
    <row r="106" spans="1:11" x14ac:dyDescent="0.25">
      <c r="A106">
        <v>0</v>
      </c>
      <c r="B106">
        <v>0</v>
      </c>
      <c r="C106">
        <v>0</v>
      </c>
      <c r="D106">
        <v>0</v>
      </c>
      <c r="E106">
        <v>0</v>
      </c>
      <c r="G106">
        <v>0</v>
      </c>
      <c r="H106">
        <v>0</v>
      </c>
      <c r="I106">
        <v>0</v>
      </c>
      <c r="J106">
        <v>0</v>
      </c>
      <c r="K106">
        <v>0</v>
      </c>
    </row>
    <row r="107" spans="1:11" x14ac:dyDescent="0.25">
      <c r="A107">
        <v>0</v>
      </c>
      <c r="B107">
        <v>0</v>
      </c>
      <c r="C107">
        <v>0</v>
      </c>
      <c r="D107">
        <v>0</v>
      </c>
      <c r="E107">
        <v>0</v>
      </c>
      <c r="G107">
        <v>0</v>
      </c>
      <c r="H107">
        <v>0</v>
      </c>
      <c r="I107">
        <v>0</v>
      </c>
      <c r="J107">
        <v>0</v>
      </c>
      <c r="K107">
        <v>0</v>
      </c>
    </row>
    <row r="108" spans="1:11" x14ac:dyDescent="0.25">
      <c r="A108">
        <v>0</v>
      </c>
      <c r="B108">
        <v>0</v>
      </c>
      <c r="C108">
        <v>0</v>
      </c>
      <c r="D108">
        <v>0</v>
      </c>
      <c r="E108">
        <v>0</v>
      </c>
      <c r="G108">
        <v>0</v>
      </c>
      <c r="H108">
        <v>0</v>
      </c>
      <c r="I108">
        <v>0</v>
      </c>
      <c r="J108">
        <v>0</v>
      </c>
      <c r="K108">
        <v>0</v>
      </c>
    </row>
    <row r="109" spans="1:11" x14ac:dyDescent="0.25">
      <c r="A109">
        <v>0</v>
      </c>
      <c r="B109">
        <v>0</v>
      </c>
      <c r="C109">
        <v>0</v>
      </c>
      <c r="D109">
        <v>0</v>
      </c>
      <c r="E109">
        <v>0</v>
      </c>
      <c r="G109">
        <v>0</v>
      </c>
      <c r="H109">
        <v>0</v>
      </c>
      <c r="I109">
        <v>0</v>
      </c>
      <c r="J109">
        <v>0</v>
      </c>
      <c r="K109">
        <v>0</v>
      </c>
    </row>
    <row r="110" spans="1:11" x14ac:dyDescent="0.25">
      <c r="A110">
        <v>0</v>
      </c>
      <c r="B110">
        <v>0</v>
      </c>
      <c r="C110">
        <v>0</v>
      </c>
      <c r="D110">
        <v>0</v>
      </c>
      <c r="E110">
        <v>0</v>
      </c>
      <c r="G110">
        <v>0</v>
      </c>
      <c r="H110">
        <v>0</v>
      </c>
      <c r="I110">
        <v>0</v>
      </c>
      <c r="J110">
        <v>0</v>
      </c>
      <c r="K110">
        <v>0</v>
      </c>
    </row>
    <row r="111" spans="1:11" x14ac:dyDescent="0.25">
      <c r="A111">
        <v>0</v>
      </c>
      <c r="B111">
        <v>0</v>
      </c>
      <c r="C111">
        <v>0</v>
      </c>
      <c r="D111">
        <v>0</v>
      </c>
      <c r="E111">
        <v>0</v>
      </c>
      <c r="G111">
        <v>0</v>
      </c>
      <c r="H111">
        <v>0</v>
      </c>
      <c r="I111">
        <v>0</v>
      </c>
      <c r="J111">
        <v>0</v>
      </c>
      <c r="K111">
        <v>0</v>
      </c>
    </row>
    <row r="112" spans="1:11" x14ac:dyDescent="0.25">
      <c r="A112">
        <v>0</v>
      </c>
      <c r="B112">
        <v>0</v>
      </c>
      <c r="C112">
        <v>0</v>
      </c>
      <c r="D112">
        <v>0</v>
      </c>
      <c r="E112">
        <v>0</v>
      </c>
      <c r="G112">
        <v>0</v>
      </c>
      <c r="H112">
        <v>0</v>
      </c>
      <c r="I112">
        <v>0</v>
      </c>
      <c r="J112">
        <v>0</v>
      </c>
      <c r="K112">
        <v>0</v>
      </c>
    </row>
    <row r="113" spans="1:11" x14ac:dyDescent="0.25">
      <c r="A113">
        <v>0</v>
      </c>
      <c r="B113">
        <v>0</v>
      </c>
      <c r="C113">
        <v>0</v>
      </c>
      <c r="D113">
        <v>0</v>
      </c>
      <c r="E113">
        <v>0</v>
      </c>
      <c r="G113">
        <v>0</v>
      </c>
      <c r="H113">
        <v>0</v>
      </c>
      <c r="I113">
        <v>0</v>
      </c>
      <c r="J113">
        <v>0</v>
      </c>
      <c r="K113">
        <v>0</v>
      </c>
    </row>
    <row r="114" spans="1:11" x14ac:dyDescent="0.25">
      <c r="A114">
        <v>0</v>
      </c>
      <c r="B114">
        <v>0</v>
      </c>
      <c r="C114">
        <v>0</v>
      </c>
      <c r="D114">
        <v>0</v>
      </c>
      <c r="E114">
        <v>0</v>
      </c>
      <c r="G114">
        <v>0</v>
      </c>
      <c r="H114">
        <v>0</v>
      </c>
      <c r="I114">
        <v>0</v>
      </c>
      <c r="J114">
        <v>0</v>
      </c>
      <c r="K114">
        <v>0</v>
      </c>
    </row>
    <row r="115" spans="1:11" x14ac:dyDescent="0.25">
      <c r="A115">
        <v>0</v>
      </c>
      <c r="B115">
        <v>0</v>
      </c>
      <c r="C115">
        <v>0</v>
      </c>
      <c r="D115">
        <v>0</v>
      </c>
      <c r="E115">
        <v>0</v>
      </c>
      <c r="G115">
        <v>0</v>
      </c>
      <c r="H115">
        <v>0</v>
      </c>
      <c r="I115">
        <v>0</v>
      </c>
      <c r="J115">
        <v>0</v>
      </c>
      <c r="K115">
        <v>0</v>
      </c>
    </row>
    <row r="116" spans="1:11" x14ac:dyDescent="0.25">
      <c r="A116">
        <v>0</v>
      </c>
      <c r="B116">
        <v>0</v>
      </c>
      <c r="C116">
        <v>0</v>
      </c>
      <c r="D116">
        <v>0</v>
      </c>
      <c r="E116">
        <v>0</v>
      </c>
      <c r="G116">
        <v>0</v>
      </c>
      <c r="H116">
        <v>0</v>
      </c>
      <c r="I116">
        <v>0</v>
      </c>
      <c r="J116">
        <v>0</v>
      </c>
      <c r="K116">
        <v>0</v>
      </c>
    </row>
    <row r="117" spans="1:11" x14ac:dyDescent="0.25">
      <c r="A117">
        <v>0</v>
      </c>
      <c r="B117">
        <v>0</v>
      </c>
      <c r="C117">
        <v>0</v>
      </c>
      <c r="D117">
        <v>0</v>
      </c>
      <c r="E117">
        <v>0</v>
      </c>
      <c r="G117">
        <v>0</v>
      </c>
      <c r="H117">
        <v>0</v>
      </c>
      <c r="I117">
        <v>0</v>
      </c>
      <c r="J117">
        <v>0</v>
      </c>
      <c r="K117">
        <v>0</v>
      </c>
    </row>
    <row r="118" spans="1:11" x14ac:dyDescent="0.25">
      <c r="A118">
        <v>0</v>
      </c>
      <c r="B118">
        <v>0</v>
      </c>
      <c r="C118">
        <v>0</v>
      </c>
      <c r="D118">
        <v>0</v>
      </c>
      <c r="E118">
        <v>0</v>
      </c>
      <c r="G118">
        <v>0</v>
      </c>
      <c r="H118">
        <v>0</v>
      </c>
      <c r="I118">
        <v>0</v>
      </c>
      <c r="J118">
        <v>0</v>
      </c>
      <c r="K118">
        <v>0</v>
      </c>
    </row>
    <row r="119" spans="1:11" x14ac:dyDescent="0.25">
      <c r="A119">
        <v>0</v>
      </c>
      <c r="B119">
        <v>0</v>
      </c>
      <c r="C119">
        <v>0</v>
      </c>
      <c r="D119">
        <v>0</v>
      </c>
      <c r="E119">
        <v>0</v>
      </c>
      <c r="G119">
        <v>0</v>
      </c>
      <c r="H119">
        <v>0</v>
      </c>
      <c r="I119">
        <v>0</v>
      </c>
      <c r="J119">
        <v>0</v>
      </c>
      <c r="K119">
        <v>0</v>
      </c>
    </row>
    <row r="120" spans="1:11" x14ac:dyDescent="0.25">
      <c r="A120">
        <v>0</v>
      </c>
      <c r="B120">
        <v>0</v>
      </c>
      <c r="C120">
        <v>0</v>
      </c>
      <c r="D120">
        <v>0</v>
      </c>
      <c r="E120">
        <v>0</v>
      </c>
      <c r="G120">
        <v>0</v>
      </c>
      <c r="H120">
        <v>0</v>
      </c>
      <c r="I120">
        <v>0</v>
      </c>
      <c r="J120">
        <v>0</v>
      </c>
      <c r="K120">
        <v>0</v>
      </c>
    </row>
    <row r="121" spans="1:11" x14ac:dyDescent="0.25">
      <c r="A121">
        <v>0</v>
      </c>
      <c r="B121">
        <v>0</v>
      </c>
      <c r="C121">
        <v>0</v>
      </c>
      <c r="D121">
        <v>0</v>
      </c>
      <c r="E121">
        <v>0</v>
      </c>
      <c r="G121">
        <v>0</v>
      </c>
      <c r="H121">
        <v>0</v>
      </c>
      <c r="I121">
        <v>0</v>
      </c>
      <c r="J121">
        <v>0</v>
      </c>
      <c r="K121">
        <v>0</v>
      </c>
    </row>
    <row r="122" spans="1:11" x14ac:dyDescent="0.25">
      <c r="A122">
        <v>0</v>
      </c>
      <c r="B122">
        <v>0</v>
      </c>
      <c r="C122">
        <v>0</v>
      </c>
      <c r="D122">
        <v>0</v>
      </c>
      <c r="E122">
        <v>0</v>
      </c>
      <c r="G122">
        <v>0</v>
      </c>
      <c r="H122">
        <v>0</v>
      </c>
      <c r="I122">
        <v>0</v>
      </c>
      <c r="J122">
        <v>0</v>
      </c>
      <c r="K122">
        <v>0</v>
      </c>
    </row>
    <row r="123" spans="1:11" x14ac:dyDescent="0.25">
      <c r="A123">
        <v>0</v>
      </c>
      <c r="B123">
        <v>0</v>
      </c>
      <c r="C123">
        <v>0</v>
      </c>
      <c r="D123">
        <v>0</v>
      </c>
      <c r="E123">
        <v>0</v>
      </c>
      <c r="G123">
        <v>0</v>
      </c>
      <c r="H123">
        <v>0</v>
      </c>
      <c r="I123">
        <v>0</v>
      </c>
      <c r="J123">
        <v>0</v>
      </c>
      <c r="K123">
        <v>0</v>
      </c>
    </row>
    <row r="124" spans="1:11" x14ac:dyDescent="0.25">
      <c r="A124">
        <v>0</v>
      </c>
      <c r="B124">
        <v>0</v>
      </c>
      <c r="C124">
        <v>0</v>
      </c>
      <c r="D124">
        <v>0</v>
      </c>
      <c r="E124">
        <v>0</v>
      </c>
      <c r="G124">
        <v>0</v>
      </c>
      <c r="H124">
        <v>0</v>
      </c>
      <c r="I124">
        <v>0</v>
      </c>
      <c r="J124">
        <v>0</v>
      </c>
      <c r="K124">
        <v>0</v>
      </c>
    </row>
    <row r="125" spans="1:11" x14ac:dyDescent="0.25">
      <c r="A125">
        <v>0</v>
      </c>
      <c r="B125">
        <v>0</v>
      </c>
      <c r="C125">
        <v>0</v>
      </c>
      <c r="D125">
        <v>0</v>
      </c>
      <c r="E125">
        <v>0</v>
      </c>
      <c r="G125">
        <v>0</v>
      </c>
      <c r="H125">
        <v>0</v>
      </c>
      <c r="I125">
        <v>0</v>
      </c>
      <c r="J125">
        <v>0</v>
      </c>
      <c r="K125">
        <v>0</v>
      </c>
    </row>
    <row r="126" spans="1:11" x14ac:dyDescent="0.25">
      <c r="A126">
        <v>0</v>
      </c>
      <c r="B126">
        <v>0</v>
      </c>
      <c r="C126">
        <v>0</v>
      </c>
      <c r="D126">
        <v>0</v>
      </c>
      <c r="E126">
        <v>0</v>
      </c>
      <c r="G126">
        <v>0</v>
      </c>
      <c r="H126">
        <v>0</v>
      </c>
      <c r="I126">
        <v>0</v>
      </c>
      <c r="J126">
        <v>0</v>
      </c>
      <c r="K126">
        <v>0</v>
      </c>
    </row>
    <row r="127" spans="1:11" x14ac:dyDescent="0.25">
      <c r="A127">
        <v>0</v>
      </c>
      <c r="B127">
        <v>0</v>
      </c>
      <c r="C127">
        <v>0</v>
      </c>
      <c r="D127">
        <v>0</v>
      </c>
      <c r="E127">
        <v>0</v>
      </c>
      <c r="G127">
        <v>0</v>
      </c>
      <c r="H127">
        <v>0</v>
      </c>
      <c r="I127">
        <v>0</v>
      </c>
      <c r="J127">
        <v>0</v>
      </c>
      <c r="K127">
        <v>0</v>
      </c>
    </row>
    <row r="128" spans="1:11" x14ac:dyDescent="0.25">
      <c r="A128">
        <v>0</v>
      </c>
      <c r="B128">
        <v>0</v>
      </c>
      <c r="C128">
        <v>0</v>
      </c>
      <c r="D128">
        <v>0</v>
      </c>
      <c r="E128">
        <v>0</v>
      </c>
      <c r="G128">
        <v>0</v>
      </c>
      <c r="H128">
        <v>0</v>
      </c>
      <c r="I128">
        <v>0</v>
      </c>
      <c r="J128">
        <v>0</v>
      </c>
      <c r="K128">
        <v>0</v>
      </c>
    </row>
    <row r="129" spans="1:11" x14ac:dyDescent="0.25">
      <c r="A129">
        <v>0</v>
      </c>
      <c r="B129">
        <v>0</v>
      </c>
      <c r="C129">
        <v>0</v>
      </c>
      <c r="D129">
        <v>0</v>
      </c>
      <c r="E129">
        <v>0</v>
      </c>
      <c r="G129">
        <v>0</v>
      </c>
      <c r="H129">
        <v>0</v>
      </c>
      <c r="I129">
        <v>0</v>
      </c>
      <c r="J129">
        <v>0</v>
      </c>
      <c r="K129">
        <v>0</v>
      </c>
    </row>
    <row r="130" spans="1:11" x14ac:dyDescent="0.25">
      <c r="A130">
        <v>0</v>
      </c>
      <c r="B130">
        <v>0</v>
      </c>
      <c r="C130">
        <v>0</v>
      </c>
      <c r="D130">
        <v>0</v>
      </c>
      <c r="E130">
        <v>0</v>
      </c>
      <c r="G130">
        <v>0</v>
      </c>
      <c r="H130">
        <v>0</v>
      </c>
      <c r="I130">
        <v>0</v>
      </c>
      <c r="J130">
        <v>0</v>
      </c>
      <c r="K130">
        <v>0</v>
      </c>
    </row>
    <row r="131" spans="1:11" x14ac:dyDescent="0.25">
      <c r="A131">
        <v>0</v>
      </c>
      <c r="B131">
        <v>0</v>
      </c>
      <c r="C131">
        <v>0</v>
      </c>
      <c r="D131">
        <v>0</v>
      </c>
      <c r="E131">
        <v>0</v>
      </c>
      <c r="G131">
        <v>0</v>
      </c>
      <c r="H131">
        <v>0</v>
      </c>
      <c r="I131">
        <v>0</v>
      </c>
      <c r="J131">
        <v>0</v>
      </c>
      <c r="K131">
        <v>0</v>
      </c>
    </row>
    <row r="132" spans="1:11" x14ac:dyDescent="0.25">
      <c r="A132">
        <v>0</v>
      </c>
      <c r="B132">
        <v>0</v>
      </c>
      <c r="C132">
        <v>0</v>
      </c>
      <c r="D132">
        <v>0</v>
      </c>
      <c r="E132">
        <v>0</v>
      </c>
      <c r="G132">
        <v>0</v>
      </c>
      <c r="H132">
        <v>0</v>
      </c>
      <c r="I132">
        <v>0</v>
      </c>
      <c r="J132">
        <v>0</v>
      </c>
      <c r="K132">
        <v>0</v>
      </c>
    </row>
    <row r="133" spans="1:11" x14ac:dyDescent="0.25">
      <c r="A133">
        <v>0</v>
      </c>
      <c r="B133">
        <v>0</v>
      </c>
      <c r="C133">
        <v>0</v>
      </c>
      <c r="D133">
        <v>0</v>
      </c>
      <c r="E133">
        <v>0</v>
      </c>
      <c r="G133">
        <v>0</v>
      </c>
      <c r="H133">
        <v>0</v>
      </c>
      <c r="I133">
        <v>0</v>
      </c>
      <c r="J133">
        <v>0</v>
      </c>
      <c r="K133">
        <v>0</v>
      </c>
    </row>
    <row r="134" spans="1:11" x14ac:dyDescent="0.25">
      <c r="A134">
        <v>0</v>
      </c>
      <c r="B134">
        <v>0</v>
      </c>
      <c r="C134">
        <v>0</v>
      </c>
      <c r="D134">
        <v>0</v>
      </c>
      <c r="E134">
        <v>0</v>
      </c>
      <c r="G134">
        <v>0</v>
      </c>
      <c r="H134">
        <v>0</v>
      </c>
      <c r="I134">
        <v>0</v>
      </c>
      <c r="J134">
        <v>0</v>
      </c>
      <c r="K134">
        <v>0</v>
      </c>
    </row>
    <row r="135" spans="1:11" x14ac:dyDescent="0.25">
      <c r="A135">
        <v>0</v>
      </c>
      <c r="B135">
        <v>0</v>
      </c>
      <c r="C135">
        <v>0</v>
      </c>
      <c r="D135">
        <v>0</v>
      </c>
      <c r="E135">
        <v>0</v>
      </c>
      <c r="G135">
        <v>0</v>
      </c>
      <c r="H135">
        <v>0</v>
      </c>
      <c r="I135">
        <v>0</v>
      </c>
      <c r="J135">
        <v>0</v>
      </c>
      <c r="K135">
        <v>0</v>
      </c>
    </row>
    <row r="136" spans="1:11" x14ac:dyDescent="0.25">
      <c r="A136">
        <v>0</v>
      </c>
      <c r="B136">
        <v>0</v>
      </c>
      <c r="C136">
        <v>0</v>
      </c>
      <c r="D136">
        <v>0</v>
      </c>
      <c r="E136">
        <v>0</v>
      </c>
      <c r="G136">
        <v>0</v>
      </c>
      <c r="H136">
        <v>0</v>
      </c>
      <c r="I136">
        <v>0</v>
      </c>
      <c r="J136">
        <v>0</v>
      </c>
      <c r="K136">
        <v>0</v>
      </c>
    </row>
    <row r="137" spans="1:11" x14ac:dyDescent="0.25">
      <c r="A137">
        <v>0</v>
      </c>
      <c r="B137">
        <v>0</v>
      </c>
      <c r="C137">
        <v>0</v>
      </c>
      <c r="D137">
        <v>0</v>
      </c>
      <c r="E137">
        <v>0</v>
      </c>
      <c r="G137">
        <v>0</v>
      </c>
      <c r="H137">
        <v>0</v>
      </c>
      <c r="I137">
        <v>0</v>
      </c>
      <c r="J137">
        <v>0</v>
      </c>
      <c r="K137">
        <v>0</v>
      </c>
    </row>
    <row r="138" spans="1:11" x14ac:dyDescent="0.25">
      <c r="A138">
        <v>0</v>
      </c>
      <c r="B138">
        <v>0</v>
      </c>
      <c r="C138">
        <v>0</v>
      </c>
      <c r="D138">
        <v>0</v>
      </c>
      <c r="E138">
        <v>0</v>
      </c>
      <c r="G138">
        <v>0</v>
      </c>
      <c r="H138">
        <v>0</v>
      </c>
      <c r="I138">
        <v>0</v>
      </c>
      <c r="J138">
        <v>0</v>
      </c>
      <c r="K138">
        <v>0</v>
      </c>
    </row>
    <row r="139" spans="1:11" x14ac:dyDescent="0.25">
      <c r="A139">
        <v>0</v>
      </c>
      <c r="B139">
        <v>0</v>
      </c>
      <c r="C139">
        <v>0</v>
      </c>
      <c r="D139">
        <v>0</v>
      </c>
      <c r="E139">
        <v>0</v>
      </c>
      <c r="G139">
        <v>0</v>
      </c>
      <c r="H139">
        <v>0</v>
      </c>
      <c r="I139">
        <v>0</v>
      </c>
      <c r="J139">
        <v>0</v>
      </c>
      <c r="K139">
        <v>0</v>
      </c>
    </row>
    <row r="140" spans="1:11" x14ac:dyDescent="0.25">
      <c r="A140">
        <v>0</v>
      </c>
      <c r="B140">
        <v>0</v>
      </c>
      <c r="C140">
        <v>0</v>
      </c>
      <c r="D140">
        <v>0</v>
      </c>
      <c r="E140">
        <v>0</v>
      </c>
      <c r="G140">
        <v>0</v>
      </c>
      <c r="H140">
        <v>0</v>
      </c>
      <c r="I140">
        <v>0</v>
      </c>
      <c r="J140">
        <v>0</v>
      </c>
      <c r="K140">
        <v>0</v>
      </c>
    </row>
    <row r="141" spans="1:11" x14ac:dyDescent="0.25">
      <c r="A141">
        <v>0</v>
      </c>
      <c r="B141">
        <v>0</v>
      </c>
      <c r="C141">
        <v>0</v>
      </c>
      <c r="D141">
        <v>0</v>
      </c>
      <c r="E141">
        <v>0</v>
      </c>
      <c r="G141">
        <v>0</v>
      </c>
      <c r="H141">
        <v>0</v>
      </c>
      <c r="I141">
        <v>0</v>
      </c>
      <c r="J141">
        <v>0</v>
      </c>
      <c r="K141">
        <v>0</v>
      </c>
    </row>
    <row r="142" spans="1:11" x14ac:dyDescent="0.25">
      <c r="A142">
        <v>0</v>
      </c>
      <c r="B142">
        <v>0</v>
      </c>
      <c r="C142">
        <v>0</v>
      </c>
      <c r="D142">
        <v>0</v>
      </c>
      <c r="E142">
        <v>0</v>
      </c>
      <c r="G142">
        <v>0</v>
      </c>
      <c r="H142">
        <v>0</v>
      </c>
      <c r="I142">
        <v>0</v>
      </c>
      <c r="J142">
        <v>0</v>
      </c>
      <c r="K142">
        <v>0</v>
      </c>
    </row>
    <row r="143" spans="1:11" x14ac:dyDescent="0.25">
      <c r="A143">
        <v>0</v>
      </c>
      <c r="B143">
        <v>0</v>
      </c>
      <c r="C143">
        <v>0</v>
      </c>
      <c r="D143">
        <v>0</v>
      </c>
      <c r="E143">
        <v>0</v>
      </c>
      <c r="G143">
        <v>0</v>
      </c>
      <c r="H143">
        <v>0</v>
      </c>
      <c r="I143">
        <v>0</v>
      </c>
      <c r="J143">
        <v>0</v>
      </c>
      <c r="K143">
        <v>0</v>
      </c>
    </row>
    <row r="144" spans="1:11" x14ac:dyDescent="0.25">
      <c r="A144">
        <v>0</v>
      </c>
      <c r="B144">
        <v>0</v>
      </c>
      <c r="C144">
        <v>0</v>
      </c>
      <c r="D144">
        <v>0</v>
      </c>
      <c r="E144">
        <v>0</v>
      </c>
      <c r="G144">
        <v>0</v>
      </c>
      <c r="H144">
        <v>0</v>
      </c>
      <c r="I144">
        <v>0</v>
      </c>
      <c r="J144">
        <v>0</v>
      </c>
      <c r="K144">
        <v>0</v>
      </c>
    </row>
    <row r="145" spans="1:11" x14ac:dyDescent="0.25">
      <c r="A145">
        <v>0</v>
      </c>
      <c r="B145">
        <v>0</v>
      </c>
      <c r="C145">
        <v>0</v>
      </c>
      <c r="D145">
        <v>0</v>
      </c>
      <c r="E145">
        <v>0</v>
      </c>
      <c r="G145">
        <v>0</v>
      </c>
      <c r="H145">
        <v>0</v>
      </c>
      <c r="I145">
        <v>0</v>
      </c>
      <c r="J145">
        <v>0</v>
      </c>
      <c r="K145">
        <v>0</v>
      </c>
    </row>
    <row r="146" spans="1:11" x14ac:dyDescent="0.25">
      <c r="A146">
        <v>0</v>
      </c>
      <c r="B146">
        <v>0</v>
      </c>
      <c r="C146">
        <v>0</v>
      </c>
      <c r="D146">
        <v>0</v>
      </c>
      <c r="E146">
        <v>0</v>
      </c>
      <c r="G146">
        <v>0</v>
      </c>
      <c r="H146">
        <v>0</v>
      </c>
      <c r="I146">
        <v>0</v>
      </c>
      <c r="J146">
        <v>0</v>
      </c>
      <c r="K146">
        <v>0</v>
      </c>
    </row>
    <row r="147" spans="1:11" x14ac:dyDescent="0.25">
      <c r="A147">
        <v>0</v>
      </c>
      <c r="B147">
        <v>0</v>
      </c>
      <c r="C147">
        <v>0</v>
      </c>
      <c r="D147">
        <v>0</v>
      </c>
      <c r="E147">
        <v>0</v>
      </c>
      <c r="G147">
        <v>0</v>
      </c>
      <c r="H147">
        <v>0</v>
      </c>
      <c r="I147">
        <v>0</v>
      </c>
      <c r="J147">
        <v>0</v>
      </c>
      <c r="K147">
        <v>0</v>
      </c>
    </row>
    <row r="148" spans="1:11" x14ac:dyDescent="0.25">
      <c r="A148">
        <v>0</v>
      </c>
      <c r="B148">
        <v>0</v>
      </c>
      <c r="C148">
        <v>0</v>
      </c>
      <c r="D148">
        <v>0</v>
      </c>
      <c r="E148">
        <v>0</v>
      </c>
      <c r="G148">
        <v>0</v>
      </c>
      <c r="H148">
        <v>0</v>
      </c>
      <c r="I148">
        <v>0</v>
      </c>
      <c r="J148">
        <v>0</v>
      </c>
      <c r="K148">
        <v>0</v>
      </c>
    </row>
    <row r="149" spans="1:11" x14ac:dyDescent="0.25">
      <c r="A149">
        <v>0</v>
      </c>
      <c r="B149">
        <v>0</v>
      </c>
      <c r="C149">
        <v>0</v>
      </c>
      <c r="D149">
        <v>0</v>
      </c>
      <c r="E149">
        <v>0</v>
      </c>
      <c r="G149">
        <v>0</v>
      </c>
      <c r="H149">
        <v>0</v>
      </c>
      <c r="I149">
        <v>0</v>
      </c>
      <c r="J149">
        <v>0</v>
      </c>
      <c r="K149">
        <v>0</v>
      </c>
    </row>
    <row r="150" spans="1:11" x14ac:dyDescent="0.25">
      <c r="A150">
        <v>0</v>
      </c>
      <c r="B150">
        <v>0</v>
      </c>
      <c r="C150">
        <v>0</v>
      </c>
      <c r="D150">
        <v>0</v>
      </c>
      <c r="E150">
        <v>0</v>
      </c>
      <c r="G150">
        <v>0</v>
      </c>
      <c r="H150">
        <v>0</v>
      </c>
      <c r="I150">
        <v>0</v>
      </c>
      <c r="J150">
        <v>0</v>
      </c>
      <c r="K150">
        <v>0</v>
      </c>
    </row>
    <row r="151" spans="1:11" x14ac:dyDescent="0.25">
      <c r="A151">
        <v>0</v>
      </c>
      <c r="B151">
        <v>0</v>
      </c>
      <c r="C151">
        <v>0</v>
      </c>
      <c r="D151">
        <v>0</v>
      </c>
      <c r="E151">
        <v>0</v>
      </c>
      <c r="G151">
        <v>0</v>
      </c>
      <c r="H151">
        <v>0</v>
      </c>
      <c r="I151">
        <v>0</v>
      </c>
      <c r="J151">
        <v>0</v>
      </c>
      <c r="K151">
        <v>0</v>
      </c>
    </row>
    <row r="152" spans="1:11" x14ac:dyDescent="0.25">
      <c r="A152">
        <v>0</v>
      </c>
      <c r="B152">
        <v>0</v>
      </c>
      <c r="C152">
        <v>0</v>
      </c>
      <c r="D152">
        <v>0</v>
      </c>
      <c r="E152">
        <v>0</v>
      </c>
      <c r="G152">
        <v>0</v>
      </c>
      <c r="H152">
        <v>0</v>
      </c>
      <c r="I152">
        <v>0</v>
      </c>
      <c r="J152">
        <v>0</v>
      </c>
      <c r="K152">
        <v>0</v>
      </c>
    </row>
    <row r="153" spans="1:11" x14ac:dyDescent="0.25">
      <c r="A153">
        <v>0</v>
      </c>
      <c r="B153">
        <v>0</v>
      </c>
      <c r="C153">
        <v>0</v>
      </c>
      <c r="D153">
        <v>0</v>
      </c>
      <c r="E153">
        <v>0</v>
      </c>
      <c r="G153">
        <v>0</v>
      </c>
      <c r="H153">
        <v>0</v>
      </c>
      <c r="I153">
        <v>0</v>
      </c>
      <c r="J153">
        <v>0</v>
      </c>
      <c r="K153">
        <v>0</v>
      </c>
    </row>
    <row r="154" spans="1:11" x14ac:dyDescent="0.25">
      <c r="A154">
        <v>0</v>
      </c>
      <c r="B154">
        <v>0</v>
      </c>
      <c r="C154">
        <v>0</v>
      </c>
      <c r="D154">
        <v>0</v>
      </c>
      <c r="E154">
        <v>0</v>
      </c>
      <c r="G154">
        <v>0</v>
      </c>
      <c r="H154">
        <v>0</v>
      </c>
      <c r="I154">
        <v>0</v>
      </c>
      <c r="J154">
        <v>0</v>
      </c>
      <c r="K154">
        <v>0</v>
      </c>
    </row>
    <row r="155" spans="1:11" x14ac:dyDescent="0.25">
      <c r="A155">
        <v>0</v>
      </c>
      <c r="B155">
        <v>0</v>
      </c>
      <c r="C155">
        <v>0</v>
      </c>
      <c r="D155">
        <v>0</v>
      </c>
      <c r="E155">
        <v>0</v>
      </c>
      <c r="G155">
        <v>0</v>
      </c>
      <c r="H155">
        <v>0</v>
      </c>
      <c r="I155">
        <v>0</v>
      </c>
      <c r="J155">
        <v>0</v>
      </c>
      <c r="K155">
        <v>0</v>
      </c>
    </row>
    <row r="156" spans="1:11" x14ac:dyDescent="0.25">
      <c r="A156">
        <v>0</v>
      </c>
      <c r="B156">
        <v>0</v>
      </c>
      <c r="C156">
        <v>0</v>
      </c>
      <c r="D156">
        <v>0</v>
      </c>
      <c r="E156">
        <v>0</v>
      </c>
      <c r="G156">
        <v>0</v>
      </c>
      <c r="H156">
        <v>0</v>
      </c>
      <c r="I156">
        <v>0</v>
      </c>
      <c r="J156">
        <v>0</v>
      </c>
      <c r="K156">
        <v>0</v>
      </c>
    </row>
    <row r="157" spans="1:11" x14ac:dyDescent="0.25">
      <c r="A157">
        <v>0</v>
      </c>
      <c r="B157">
        <v>0</v>
      </c>
      <c r="C157">
        <v>0</v>
      </c>
      <c r="D157">
        <v>0</v>
      </c>
      <c r="E157">
        <v>0</v>
      </c>
      <c r="G157">
        <v>0</v>
      </c>
      <c r="H157">
        <v>0</v>
      </c>
      <c r="I157">
        <v>0</v>
      </c>
      <c r="J157">
        <v>0</v>
      </c>
      <c r="K157">
        <v>0</v>
      </c>
    </row>
    <row r="158" spans="1:11" x14ac:dyDescent="0.25">
      <c r="A158">
        <v>0</v>
      </c>
      <c r="B158">
        <v>0</v>
      </c>
      <c r="C158">
        <v>0</v>
      </c>
      <c r="D158">
        <v>0</v>
      </c>
      <c r="E158">
        <v>0</v>
      </c>
      <c r="G158">
        <v>0</v>
      </c>
      <c r="H158">
        <v>0</v>
      </c>
      <c r="I158">
        <v>0</v>
      </c>
      <c r="J158">
        <v>0</v>
      </c>
      <c r="K158">
        <v>0</v>
      </c>
    </row>
    <row r="159" spans="1:11" x14ac:dyDescent="0.25">
      <c r="A159">
        <v>0</v>
      </c>
      <c r="B159">
        <v>0</v>
      </c>
      <c r="C159">
        <v>0</v>
      </c>
      <c r="D159">
        <v>0</v>
      </c>
      <c r="E159">
        <v>0</v>
      </c>
      <c r="G159">
        <v>0</v>
      </c>
      <c r="H159">
        <v>0</v>
      </c>
      <c r="I159">
        <v>0</v>
      </c>
      <c r="J159">
        <v>0</v>
      </c>
      <c r="K159">
        <v>0</v>
      </c>
    </row>
    <row r="160" spans="1:11" x14ac:dyDescent="0.25">
      <c r="A160">
        <v>0</v>
      </c>
      <c r="B160">
        <v>0</v>
      </c>
      <c r="C160">
        <v>0</v>
      </c>
      <c r="D160">
        <v>0</v>
      </c>
      <c r="E160">
        <v>0</v>
      </c>
      <c r="G160">
        <v>0</v>
      </c>
      <c r="H160">
        <v>0</v>
      </c>
      <c r="I160">
        <v>0</v>
      </c>
      <c r="J160">
        <v>0</v>
      </c>
      <c r="K160">
        <v>0</v>
      </c>
    </row>
    <row r="161" spans="1:11" x14ac:dyDescent="0.25">
      <c r="A161">
        <v>0</v>
      </c>
      <c r="B161">
        <v>0</v>
      </c>
      <c r="C161">
        <v>0</v>
      </c>
      <c r="D161">
        <v>0</v>
      </c>
      <c r="E161">
        <v>0</v>
      </c>
      <c r="G161">
        <v>0</v>
      </c>
      <c r="H161">
        <v>0</v>
      </c>
      <c r="I161">
        <v>0</v>
      </c>
      <c r="J161">
        <v>0</v>
      </c>
      <c r="K161">
        <v>0</v>
      </c>
    </row>
    <row r="162" spans="1:11" x14ac:dyDescent="0.25">
      <c r="A162">
        <v>0</v>
      </c>
      <c r="B162">
        <v>0</v>
      </c>
      <c r="C162">
        <v>0</v>
      </c>
      <c r="D162">
        <v>0</v>
      </c>
      <c r="E162">
        <v>0</v>
      </c>
      <c r="G162">
        <v>0</v>
      </c>
      <c r="H162">
        <v>0</v>
      </c>
      <c r="I162">
        <v>0</v>
      </c>
      <c r="J162">
        <v>0</v>
      </c>
      <c r="K162">
        <v>0</v>
      </c>
    </row>
    <row r="163" spans="1:11" x14ac:dyDescent="0.25">
      <c r="A163">
        <v>0</v>
      </c>
      <c r="B163">
        <v>0</v>
      </c>
      <c r="C163">
        <v>0</v>
      </c>
      <c r="D163">
        <v>0</v>
      </c>
      <c r="E163">
        <v>0</v>
      </c>
      <c r="G163">
        <v>0</v>
      </c>
      <c r="H163">
        <v>0</v>
      </c>
      <c r="I163">
        <v>0</v>
      </c>
      <c r="J163">
        <v>0</v>
      </c>
      <c r="K163">
        <v>0</v>
      </c>
    </row>
    <row r="164" spans="1:11" x14ac:dyDescent="0.25">
      <c r="A164">
        <v>0</v>
      </c>
      <c r="B164">
        <v>0</v>
      </c>
      <c r="C164">
        <v>0</v>
      </c>
      <c r="D164">
        <v>0</v>
      </c>
      <c r="E164">
        <v>0</v>
      </c>
      <c r="G164">
        <v>0</v>
      </c>
      <c r="H164">
        <v>0</v>
      </c>
      <c r="I164">
        <v>0</v>
      </c>
      <c r="J164">
        <v>0</v>
      </c>
      <c r="K164">
        <v>0</v>
      </c>
    </row>
    <row r="165" spans="1:11" x14ac:dyDescent="0.25">
      <c r="A165">
        <v>0</v>
      </c>
      <c r="B165">
        <v>0</v>
      </c>
      <c r="C165">
        <v>0</v>
      </c>
      <c r="D165">
        <v>0</v>
      </c>
      <c r="E165">
        <v>0</v>
      </c>
      <c r="G165">
        <v>0</v>
      </c>
      <c r="H165">
        <v>0</v>
      </c>
      <c r="I165">
        <v>0</v>
      </c>
      <c r="J165">
        <v>0</v>
      </c>
      <c r="K165">
        <v>0</v>
      </c>
    </row>
    <row r="166" spans="1:11" x14ac:dyDescent="0.25">
      <c r="A166">
        <v>0</v>
      </c>
      <c r="B166">
        <v>0</v>
      </c>
      <c r="C166">
        <v>0</v>
      </c>
      <c r="D166">
        <v>0</v>
      </c>
      <c r="E166">
        <v>0</v>
      </c>
      <c r="G166">
        <v>0</v>
      </c>
      <c r="H166">
        <v>0</v>
      </c>
      <c r="I166">
        <v>0</v>
      </c>
      <c r="J166">
        <v>0</v>
      </c>
      <c r="K166">
        <v>0</v>
      </c>
    </row>
    <row r="167" spans="1:11" x14ac:dyDescent="0.25">
      <c r="A167">
        <v>0</v>
      </c>
      <c r="B167">
        <v>0</v>
      </c>
      <c r="C167">
        <v>0</v>
      </c>
      <c r="D167">
        <v>0</v>
      </c>
      <c r="E167">
        <v>0</v>
      </c>
      <c r="G167">
        <v>0</v>
      </c>
      <c r="H167">
        <v>0</v>
      </c>
      <c r="I167">
        <v>0</v>
      </c>
      <c r="J167">
        <v>0</v>
      </c>
      <c r="K167">
        <v>0</v>
      </c>
    </row>
    <row r="168" spans="1:11" x14ac:dyDescent="0.25">
      <c r="A168">
        <v>0</v>
      </c>
      <c r="B168">
        <v>0</v>
      </c>
      <c r="C168">
        <v>0</v>
      </c>
      <c r="D168">
        <v>0</v>
      </c>
      <c r="E168">
        <v>0</v>
      </c>
      <c r="G168">
        <v>0</v>
      </c>
      <c r="H168">
        <v>0</v>
      </c>
      <c r="I168">
        <v>0</v>
      </c>
      <c r="J168">
        <v>0</v>
      </c>
      <c r="K168">
        <v>0</v>
      </c>
    </row>
    <row r="169" spans="1:11" x14ac:dyDescent="0.25">
      <c r="A169">
        <v>0</v>
      </c>
      <c r="B169">
        <v>0</v>
      </c>
      <c r="C169">
        <v>0</v>
      </c>
      <c r="D169">
        <v>0</v>
      </c>
      <c r="E169">
        <v>0</v>
      </c>
      <c r="G169">
        <v>0</v>
      </c>
      <c r="H169">
        <v>0</v>
      </c>
      <c r="I169">
        <v>0</v>
      </c>
      <c r="J169">
        <v>0</v>
      </c>
      <c r="K169">
        <v>0</v>
      </c>
    </row>
    <row r="170" spans="1:11" x14ac:dyDescent="0.25">
      <c r="A170">
        <v>0</v>
      </c>
      <c r="B170">
        <v>0</v>
      </c>
      <c r="C170">
        <v>0</v>
      </c>
      <c r="D170">
        <v>0</v>
      </c>
      <c r="E170">
        <v>0</v>
      </c>
      <c r="G170">
        <v>0</v>
      </c>
      <c r="H170">
        <v>0</v>
      </c>
      <c r="I170">
        <v>0</v>
      </c>
      <c r="J170">
        <v>0</v>
      </c>
      <c r="K170">
        <v>0</v>
      </c>
    </row>
    <row r="171" spans="1:11" x14ac:dyDescent="0.25">
      <c r="A171">
        <v>0</v>
      </c>
      <c r="B171">
        <v>0</v>
      </c>
      <c r="C171">
        <v>0</v>
      </c>
      <c r="D171">
        <v>0</v>
      </c>
      <c r="E171">
        <v>0</v>
      </c>
      <c r="G171">
        <v>0</v>
      </c>
      <c r="H171">
        <v>0</v>
      </c>
      <c r="I171">
        <v>0</v>
      </c>
      <c r="J171">
        <v>0</v>
      </c>
      <c r="K171">
        <v>0</v>
      </c>
    </row>
    <row r="172" spans="1:11" x14ac:dyDescent="0.25">
      <c r="A172">
        <v>0</v>
      </c>
      <c r="B172">
        <v>0</v>
      </c>
      <c r="C172">
        <v>0</v>
      </c>
      <c r="D172">
        <v>0</v>
      </c>
      <c r="E172">
        <v>0</v>
      </c>
      <c r="G172">
        <v>0</v>
      </c>
      <c r="H172">
        <v>0</v>
      </c>
      <c r="I172">
        <v>0</v>
      </c>
      <c r="J172">
        <v>0</v>
      </c>
      <c r="K172">
        <v>0</v>
      </c>
    </row>
    <row r="173" spans="1:11" x14ac:dyDescent="0.25">
      <c r="A173">
        <v>0</v>
      </c>
      <c r="B173">
        <v>0</v>
      </c>
      <c r="C173">
        <v>0</v>
      </c>
      <c r="D173">
        <v>0</v>
      </c>
      <c r="E173">
        <v>0</v>
      </c>
      <c r="G173">
        <v>0</v>
      </c>
      <c r="H173">
        <v>0</v>
      </c>
      <c r="I173">
        <v>0</v>
      </c>
      <c r="J173">
        <v>0</v>
      </c>
      <c r="K173">
        <v>0</v>
      </c>
    </row>
    <row r="174" spans="1:11" x14ac:dyDescent="0.25">
      <c r="A174">
        <v>0</v>
      </c>
      <c r="B174">
        <v>0</v>
      </c>
      <c r="C174">
        <v>0</v>
      </c>
      <c r="D174">
        <v>0</v>
      </c>
      <c r="E174">
        <v>0</v>
      </c>
      <c r="G174">
        <v>0</v>
      </c>
      <c r="H174">
        <v>0</v>
      </c>
      <c r="I174">
        <v>0</v>
      </c>
      <c r="J174">
        <v>0</v>
      </c>
      <c r="K174">
        <v>0</v>
      </c>
    </row>
    <row r="175" spans="1:11" x14ac:dyDescent="0.25">
      <c r="A175">
        <v>0</v>
      </c>
      <c r="B175">
        <v>0</v>
      </c>
      <c r="C175">
        <v>0</v>
      </c>
      <c r="D175">
        <v>0</v>
      </c>
      <c r="E175">
        <v>0</v>
      </c>
      <c r="G175">
        <v>0</v>
      </c>
      <c r="H175">
        <v>0</v>
      </c>
      <c r="I175">
        <v>0</v>
      </c>
      <c r="J175">
        <v>0</v>
      </c>
      <c r="K175">
        <v>0</v>
      </c>
    </row>
    <row r="176" spans="1:11" x14ac:dyDescent="0.25">
      <c r="A176">
        <v>0</v>
      </c>
      <c r="B176">
        <v>0</v>
      </c>
      <c r="C176">
        <v>0</v>
      </c>
      <c r="D176">
        <v>0</v>
      </c>
      <c r="E176">
        <v>0</v>
      </c>
      <c r="G176">
        <v>0</v>
      </c>
      <c r="H176">
        <v>0</v>
      </c>
      <c r="I176">
        <v>0</v>
      </c>
      <c r="J176">
        <v>0</v>
      </c>
      <c r="K176">
        <v>0</v>
      </c>
    </row>
    <row r="177" spans="1:11" x14ac:dyDescent="0.25">
      <c r="A177">
        <v>0</v>
      </c>
      <c r="B177">
        <v>0</v>
      </c>
      <c r="C177">
        <v>0</v>
      </c>
      <c r="D177">
        <v>0</v>
      </c>
      <c r="E177">
        <v>0</v>
      </c>
      <c r="G177">
        <v>0</v>
      </c>
      <c r="H177">
        <v>0</v>
      </c>
      <c r="I177">
        <v>0</v>
      </c>
      <c r="J177">
        <v>0</v>
      </c>
      <c r="K177">
        <v>0</v>
      </c>
    </row>
    <row r="178" spans="1:11" x14ac:dyDescent="0.25">
      <c r="A178">
        <v>0</v>
      </c>
      <c r="B178">
        <v>0</v>
      </c>
      <c r="C178">
        <v>0</v>
      </c>
      <c r="D178">
        <v>0</v>
      </c>
      <c r="E178">
        <v>0</v>
      </c>
      <c r="G178">
        <v>0</v>
      </c>
      <c r="H178">
        <v>0</v>
      </c>
      <c r="I178">
        <v>0</v>
      </c>
      <c r="J178">
        <v>0</v>
      </c>
      <c r="K178">
        <v>0</v>
      </c>
    </row>
    <row r="179" spans="1:11" x14ac:dyDescent="0.25">
      <c r="A179">
        <v>0</v>
      </c>
      <c r="B179">
        <v>0</v>
      </c>
      <c r="C179">
        <v>0</v>
      </c>
      <c r="D179">
        <v>0</v>
      </c>
      <c r="E179">
        <v>0</v>
      </c>
      <c r="G179">
        <v>0</v>
      </c>
      <c r="H179">
        <v>0</v>
      </c>
      <c r="I179">
        <v>0</v>
      </c>
      <c r="J179">
        <v>0</v>
      </c>
      <c r="K179">
        <v>0</v>
      </c>
    </row>
    <row r="180" spans="1:11" x14ac:dyDescent="0.25">
      <c r="A180">
        <v>0</v>
      </c>
      <c r="B180">
        <v>0</v>
      </c>
      <c r="C180">
        <v>0</v>
      </c>
      <c r="D180">
        <v>0</v>
      </c>
      <c r="E180">
        <v>0</v>
      </c>
      <c r="G180">
        <v>0</v>
      </c>
      <c r="H180">
        <v>0</v>
      </c>
      <c r="I180">
        <v>0</v>
      </c>
      <c r="J180">
        <v>0</v>
      </c>
      <c r="K180">
        <v>0</v>
      </c>
    </row>
    <row r="181" spans="1:11" x14ac:dyDescent="0.25">
      <c r="A181">
        <v>0</v>
      </c>
      <c r="B181">
        <v>0</v>
      </c>
      <c r="C181">
        <v>0</v>
      </c>
      <c r="D181">
        <v>0</v>
      </c>
      <c r="E181">
        <v>0</v>
      </c>
      <c r="G181">
        <v>0</v>
      </c>
      <c r="H181">
        <v>0</v>
      </c>
      <c r="I181">
        <v>0</v>
      </c>
      <c r="J181">
        <v>0</v>
      </c>
      <c r="K181">
        <v>0</v>
      </c>
    </row>
    <row r="182" spans="1:11" x14ac:dyDescent="0.25">
      <c r="A182">
        <v>0</v>
      </c>
      <c r="B182">
        <v>0</v>
      </c>
      <c r="C182">
        <v>0</v>
      </c>
      <c r="D182">
        <v>0</v>
      </c>
      <c r="E182">
        <v>0</v>
      </c>
      <c r="G182">
        <v>0</v>
      </c>
      <c r="H182">
        <v>0</v>
      </c>
      <c r="I182">
        <v>0</v>
      </c>
      <c r="J182">
        <v>0</v>
      </c>
      <c r="K182">
        <v>0</v>
      </c>
    </row>
    <row r="183" spans="1:11" x14ac:dyDescent="0.25">
      <c r="A183">
        <v>0</v>
      </c>
      <c r="B183">
        <v>0</v>
      </c>
      <c r="C183">
        <v>0</v>
      </c>
      <c r="D183">
        <v>0</v>
      </c>
      <c r="E183">
        <v>0</v>
      </c>
      <c r="G183">
        <v>0</v>
      </c>
      <c r="H183">
        <v>0</v>
      </c>
      <c r="I183">
        <v>0</v>
      </c>
      <c r="J183">
        <v>0</v>
      </c>
      <c r="K183">
        <v>0</v>
      </c>
    </row>
    <row r="184" spans="1:11" x14ac:dyDescent="0.25">
      <c r="A184">
        <v>0</v>
      </c>
      <c r="B184">
        <v>0</v>
      </c>
      <c r="C184">
        <v>0</v>
      </c>
      <c r="D184">
        <v>0</v>
      </c>
      <c r="E184">
        <v>0</v>
      </c>
      <c r="G184">
        <v>0</v>
      </c>
      <c r="H184">
        <v>0</v>
      </c>
      <c r="I184">
        <v>0</v>
      </c>
      <c r="J184">
        <v>0</v>
      </c>
      <c r="K184">
        <v>0</v>
      </c>
    </row>
    <row r="185" spans="1:11" x14ac:dyDescent="0.25">
      <c r="A185">
        <v>0</v>
      </c>
      <c r="B185">
        <v>0</v>
      </c>
      <c r="C185">
        <v>0</v>
      </c>
      <c r="D185">
        <v>0</v>
      </c>
      <c r="E185">
        <v>0</v>
      </c>
      <c r="G185">
        <v>0</v>
      </c>
      <c r="H185">
        <v>0</v>
      </c>
      <c r="I185">
        <v>0</v>
      </c>
      <c r="J185">
        <v>0</v>
      </c>
      <c r="K185">
        <v>0</v>
      </c>
    </row>
    <row r="186" spans="1:11" x14ac:dyDescent="0.25">
      <c r="A186">
        <v>0</v>
      </c>
      <c r="B186">
        <v>0</v>
      </c>
      <c r="C186">
        <v>0</v>
      </c>
      <c r="D186">
        <v>0</v>
      </c>
      <c r="E186">
        <v>0</v>
      </c>
      <c r="G186">
        <v>0</v>
      </c>
      <c r="H186">
        <v>0</v>
      </c>
      <c r="I186">
        <v>0</v>
      </c>
      <c r="J186">
        <v>0</v>
      </c>
      <c r="K186">
        <v>0</v>
      </c>
    </row>
    <row r="187" spans="1:11" x14ac:dyDescent="0.25">
      <c r="A187">
        <v>0</v>
      </c>
      <c r="B187">
        <v>0</v>
      </c>
      <c r="C187">
        <v>0</v>
      </c>
      <c r="D187">
        <v>0</v>
      </c>
      <c r="E187">
        <v>0</v>
      </c>
      <c r="G187">
        <v>0</v>
      </c>
      <c r="H187">
        <v>0</v>
      </c>
      <c r="I187">
        <v>0</v>
      </c>
      <c r="J187">
        <v>0</v>
      </c>
      <c r="K187">
        <v>0</v>
      </c>
    </row>
    <row r="188" spans="1:11" x14ac:dyDescent="0.25">
      <c r="A188">
        <v>0</v>
      </c>
      <c r="B188">
        <v>0</v>
      </c>
      <c r="C188">
        <v>0</v>
      </c>
      <c r="D188">
        <v>0</v>
      </c>
      <c r="E188">
        <v>0</v>
      </c>
      <c r="G188">
        <v>0</v>
      </c>
      <c r="H188">
        <v>0</v>
      </c>
      <c r="I188">
        <v>0</v>
      </c>
      <c r="J188">
        <v>0</v>
      </c>
      <c r="K188">
        <v>0</v>
      </c>
    </row>
    <row r="189" spans="1:11" x14ac:dyDescent="0.25">
      <c r="A189">
        <v>0</v>
      </c>
      <c r="B189">
        <v>0</v>
      </c>
      <c r="C189">
        <v>0</v>
      </c>
      <c r="D189">
        <v>0</v>
      </c>
      <c r="E189">
        <v>0</v>
      </c>
      <c r="G189">
        <v>0</v>
      </c>
      <c r="H189">
        <v>0</v>
      </c>
      <c r="I189">
        <v>0</v>
      </c>
      <c r="J189">
        <v>0</v>
      </c>
      <c r="K189">
        <v>0</v>
      </c>
    </row>
    <row r="190" spans="1:11" x14ac:dyDescent="0.25">
      <c r="A190">
        <v>0</v>
      </c>
      <c r="B190">
        <v>0</v>
      </c>
      <c r="C190">
        <v>0</v>
      </c>
      <c r="D190">
        <v>0</v>
      </c>
      <c r="E190">
        <v>0</v>
      </c>
      <c r="G190">
        <v>0</v>
      </c>
      <c r="H190">
        <v>0</v>
      </c>
      <c r="I190">
        <v>0</v>
      </c>
      <c r="J190">
        <v>0</v>
      </c>
      <c r="K190">
        <v>0</v>
      </c>
    </row>
    <row r="191" spans="1:11" x14ac:dyDescent="0.25">
      <c r="A191">
        <v>0</v>
      </c>
      <c r="B191">
        <v>0</v>
      </c>
      <c r="C191">
        <v>0</v>
      </c>
      <c r="D191">
        <v>0</v>
      </c>
      <c r="E191">
        <v>0</v>
      </c>
      <c r="G191">
        <v>0</v>
      </c>
      <c r="H191">
        <v>0</v>
      </c>
      <c r="I191">
        <v>0</v>
      </c>
      <c r="J191">
        <v>0</v>
      </c>
      <c r="K191">
        <v>0</v>
      </c>
    </row>
    <row r="192" spans="1:11" x14ac:dyDescent="0.25">
      <c r="A192">
        <v>0</v>
      </c>
      <c r="B192">
        <v>0</v>
      </c>
      <c r="C192">
        <v>0</v>
      </c>
      <c r="D192">
        <v>0</v>
      </c>
      <c r="E192">
        <v>0</v>
      </c>
      <c r="G192">
        <v>0</v>
      </c>
      <c r="H192">
        <v>0</v>
      </c>
      <c r="I192">
        <v>0</v>
      </c>
      <c r="J192">
        <v>0</v>
      </c>
      <c r="K192">
        <v>0</v>
      </c>
    </row>
    <row r="193" spans="1:11" x14ac:dyDescent="0.25">
      <c r="A193">
        <v>0</v>
      </c>
      <c r="B193">
        <v>0</v>
      </c>
      <c r="C193">
        <v>0</v>
      </c>
      <c r="D193">
        <v>0</v>
      </c>
      <c r="E193">
        <v>0</v>
      </c>
      <c r="G193">
        <v>0</v>
      </c>
      <c r="H193">
        <v>0</v>
      </c>
      <c r="I193">
        <v>0</v>
      </c>
      <c r="J193">
        <v>0</v>
      </c>
      <c r="K193">
        <v>0</v>
      </c>
    </row>
    <row r="194" spans="1:11" x14ac:dyDescent="0.25">
      <c r="A194">
        <v>0</v>
      </c>
      <c r="B194">
        <v>0</v>
      </c>
      <c r="C194">
        <v>0</v>
      </c>
      <c r="D194">
        <v>0</v>
      </c>
      <c r="E194">
        <v>0</v>
      </c>
      <c r="G194">
        <v>0</v>
      </c>
      <c r="H194">
        <v>0</v>
      </c>
      <c r="I194">
        <v>0</v>
      </c>
      <c r="J194">
        <v>0</v>
      </c>
      <c r="K194">
        <v>0</v>
      </c>
    </row>
    <row r="195" spans="1:11" x14ac:dyDescent="0.25">
      <c r="A195">
        <v>0</v>
      </c>
      <c r="B195">
        <v>0</v>
      </c>
      <c r="C195">
        <v>0</v>
      </c>
      <c r="D195">
        <v>0</v>
      </c>
      <c r="E195">
        <v>0</v>
      </c>
      <c r="G195">
        <v>0</v>
      </c>
      <c r="H195">
        <v>0</v>
      </c>
      <c r="I195">
        <v>0</v>
      </c>
      <c r="J195">
        <v>0</v>
      </c>
      <c r="K195">
        <v>0</v>
      </c>
    </row>
    <row r="196" spans="1:11" x14ac:dyDescent="0.25">
      <c r="A196">
        <v>0</v>
      </c>
      <c r="B196">
        <v>0</v>
      </c>
      <c r="C196">
        <v>0</v>
      </c>
      <c r="D196">
        <v>0</v>
      </c>
      <c r="E196">
        <v>0</v>
      </c>
      <c r="G196">
        <v>0</v>
      </c>
      <c r="H196">
        <v>0</v>
      </c>
      <c r="I196">
        <v>0</v>
      </c>
      <c r="J196">
        <v>0</v>
      </c>
      <c r="K196">
        <v>0</v>
      </c>
    </row>
    <row r="197" spans="1:11" x14ac:dyDescent="0.25">
      <c r="A197">
        <v>0</v>
      </c>
      <c r="B197">
        <v>0</v>
      </c>
      <c r="C197">
        <v>0</v>
      </c>
      <c r="D197">
        <v>0</v>
      </c>
      <c r="E197">
        <v>0</v>
      </c>
      <c r="G197">
        <v>0</v>
      </c>
      <c r="H197">
        <v>0</v>
      </c>
      <c r="I197">
        <v>0</v>
      </c>
      <c r="J197">
        <v>0</v>
      </c>
      <c r="K197">
        <v>0</v>
      </c>
    </row>
    <row r="198" spans="1:11" x14ac:dyDescent="0.25">
      <c r="A198">
        <v>0</v>
      </c>
      <c r="B198">
        <v>0</v>
      </c>
      <c r="C198">
        <v>0</v>
      </c>
      <c r="D198">
        <v>0</v>
      </c>
      <c r="E198">
        <v>0</v>
      </c>
      <c r="G198">
        <v>0</v>
      </c>
      <c r="H198">
        <v>0</v>
      </c>
      <c r="I198">
        <v>0</v>
      </c>
      <c r="J198">
        <v>0</v>
      </c>
      <c r="K198">
        <v>0</v>
      </c>
    </row>
    <row r="199" spans="1:11" x14ac:dyDescent="0.25">
      <c r="A199">
        <v>0</v>
      </c>
      <c r="B199">
        <v>0</v>
      </c>
      <c r="C199">
        <v>0</v>
      </c>
      <c r="D199">
        <v>0</v>
      </c>
      <c r="E199">
        <v>0</v>
      </c>
      <c r="G199">
        <v>0</v>
      </c>
      <c r="H199">
        <v>0</v>
      </c>
      <c r="I199">
        <v>0</v>
      </c>
      <c r="J199">
        <v>0</v>
      </c>
      <c r="K199">
        <v>0</v>
      </c>
    </row>
    <row r="200" spans="1:11" x14ac:dyDescent="0.25">
      <c r="A200">
        <v>0</v>
      </c>
      <c r="B200">
        <v>0</v>
      </c>
      <c r="C200">
        <v>0</v>
      </c>
      <c r="D200">
        <v>0</v>
      </c>
      <c r="E200">
        <v>0</v>
      </c>
      <c r="G200">
        <v>0</v>
      </c>
      <c r="H200">
        <v>0</v>
      </c>
      <c r="I200">
        <v>0</v>
      </c>
      <c r="J200">
        <v>0</v>
      </c>
      <c r="K200">
        <v>0</v>
      </c>
    </row>
    <row r="201" spans="1:11" x14ac:dyDescent="0.25">
      <c r="A201">
        <v>0</v>
      </c>
      <c r="B201">
        <v>0</v>
      </c>
      <c r="C201">
        <v>0</v>
      </c>
      <c r="D201">
        <v>0</v>
      </c>
      <c r="E201">
        <v>0</v>
      </c>
      <c r="G201">
        <v>0</v>
      </c>
      <c r="H201">
        <v>0</v>
      </c>
      <c r="I201">
        <v>0</v>
      </c>
      <c r="J201">
        <v>0</v>
      </c>
      <c r="K201">
        <v>0</v>
      </c>
    </row>
    <row r="202" spans="1:11" x14ac:dyDescent="0.25">
      <c r="G202">
        <v>0</v>
      </c>
      <c r="H202">
        <v>0</v>
      </c>
      <c r="I202">
        <v>0</v>
      </c>
      <c r="J202">
        <v>0</v>
      </c>
      <c r="K202">
        <v>0</v>
      </c>
    </row>
    <row r="203" spans="1:11" x14ac:dyDescent="0.25">
      <c r="G203">
        <v>0</v>
      </c>
      <c r="H203">
        <v>0</v>
      </c>
      <c r="I203">
        <v>0</v>
      </c>
      <c r="J203">
        <v>0</v>
      </c>
      <c r="K203">
        <v>0</v>
      </c>
    </row>
    <row r="204" spans="1:11" x14ac:dyDescent="0.25">
      <c r="G204">
        <v>0</v>
      </c>
      <c r="H204">
        <v>0</v>
      </c>
      <c r="I204">
        <v>0</v>
      </c>
      <c r="J204">
        <v>0</v>
      </c>
      <c r="K204">
        <v>0</v>
      </c>
    </row>
    <row r="205" spans="1:11" x14ac:dyDescent="0.25">
      <c r="G205">
        <v>0</v>
      </c>
      <c r="H205">
        <v>0</v>
      </c>
      <c r="I205">
        <v>0</v>
      </c>
      <c r="J205">
        <v>0</v>
      </c>
      <c r="K205">
        <v>0</v>
      </c>
    </row>
    <row r="206" spans="1:11" x14ac:dyDescent="0.25">
      <c r="G206">
        <v>0</v>
      </c>
      <c r="H206">
        <v>0</v>
      </c>
      <c r="I206">
        <v>0</v>
      </c>
      <c r="J206">
        <v>0</v>
      </c>
      <c r="K206">
        <v>0</v>
      </c>
    </row>
    <row r="207" spans="1:11" x14ac:dyDescent="0.25">
      <c r="G207">
        <v>0</v>
      </c>
      <c r="H207">
        <v>0</v>
      </c>
      <c r="I207">
        <v>0</v>
      </c>
      <c r="J207">
        <v>0</v>
      </c>
      <c r="K207">
        <v>0</v>
      </c>
    </row>
    <row r="208" spans="1:11" x14ac:dyDescent="0.25">
      <c r="G208">
        <v>0</v>
      </c>
      <c r="H208">
        <v>0</v>
      </c>
      <c r="I208">
        <v>0</v>
      </c>
      <c r="J208">
        <v>0</v>
      </c>
      <c r="K208">
        <v>0</v>
      </c>
    </row>
    <row r="209" spans="7:11" x14ac:dyDescent="0.25">
      <c r="G209">
        <v>0</v>
      </c>
      <c r="H209">
        <v>0</v>
      </c>
      <c r="I209">
        <v>0</v>
      </c>
      <c r="J209">
        <v>0</v>
      </c>
      <c r="K209">
        <v>0</v>
      </c>
    </row>
    <row r="210" spans="7:11" x14ac:dyDescent="0.25">
      <c r="G210">
        <v>0</v>
      </c>
      <c r="H210">
        <v>0</v>
      </c>
      <c r="I210">
        <v>0</v>
      </c>
      <c r="J210">
        <v>0</v>
      </c>
      <c r="K210">
        <v>0</v>
      </c>
    </row>
    <row r="211" spans="7:11" x14ac:dyDescent="0.25">
      <c r="G211">
        <v>0</v>
      </c>
      <c r="H211">
        <v>0</v>
      </c>
      <c r="I211">
        <v>0</v>
      </c>
      <c r="J211">
        <v>0</v>
      </c>
      <c r="K211">
        <v>0</v>
      </c>
    </row>
    <row r="212" spans="7:11" x14ac:dyDescent="0.25">
      <c r="G212">
        <v>0</v>
      </c>
      <c r="H212">
        <v>0</v>
      </c>
      <c r="I212">
        <v>0</v>
      </c>
      <c r="J212">
        <v>0</v>
      </c>
      <c r="K212">
        <v>0</v>
      </c>
    </row>
    <row r="213" spans="7:11" x14ac:dyDescent="0.25">
      <c r="G213">
        <v>0</v>
      </c>
      <c r="H213">
        <v>0</v>
      </c>
      <c r="I213">
        <v>0</v>
      </c>
      <c r="J213">
        <v>0</v>
      </c>
      <c r="K213">
        <v>0</v>
      </c>
    </row>
  </sheetData>
  <sortState xmlns:xlrd2="http://schemas.microsoft.com/office/spreadsheetml/2017/richdata2" ref="T4:Y75">
    <sortCondition ref="W4:W75"/>
    <sortCondition ref="U4:U75"/>
    <sortCondition ref="V4:V75"/>
  </sortState>
  <mergeCells count="2">
    <mergeCell ref="A1:E1"/>
    <mergeCell ref="G1:K1"/>
  </mergeCells>
  <conditionalFormatting sqref="K1:K1048576 E1:E1048576 M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DA19-2E97-473C-B7CB-744121B62723}">
  <dimension ref="A2:BA74"/>
  <sheetViews>
    <sheetView topLeftCell="A37" workbookViewId="0">
      <selection activeCell="A2" sqref="A2:K74"/>
    </sheetView>
  </sheetViews>
  <sheetFormatPr defaultRowHeight="15" x14ac:dyDescent="0.25"/>
  <cols>
    <col min="1" max="1" width="14" customWidth="1"/>
    <col min="5" max="5" width="18.42578125" customWidth="1"/>
    <col min="7" max="7" width="14" customWidth="1"/>
    <col min="11" max="11" width="18.42578125" customWidth="1"/>
    <col min="13" max="13" width="14" customWidth="1"/>
    <col min="17" max="17" width="18.42578125" customWidth="1"/>
    <col min="19" max="19" width="14" customWidth="1"/>
    <col min="23" max="23" width="18.42578125" customWidth="1"/>
  </cols>
  <sheetData>
    <row r="2" spans="1:53" x14ac:dyDescent="0.25">
      <c r="A2" t="s">
        <v>184</v>
      </c>
      <c r="B2" t="s">
        <v>2</v>
      </c>
      <c r="C2" t="s">
        <v>3</v>
      </c>
      <c r="D2" t="s">
        <v>4</v>
      </c>
      <c r="E2" t="s">
        <v>113</v>
      </c>
      <c r="G2" t="s">
        <v>184</v>
      </c>
      <c r="H2" t="s">
        <v>2</v>
      </c>
      <c r="I2" t="s">
        <v>3</v>
      </c>
      <c r="J2" t="s">
        <v>4</v>
      </c>
      <c r="K2" t="s">
        <v>113</v>
      </c>
      <c r="M2" s="93" t="s">
        <v>184</v>
      </c>
      <c r="N2" s="93" t="s">
        <v>2</v>
      </c>
      <c r="O2" s="93" t="s">
        <v>3</v>
      </c>
      <c r="P2" s="93" t="s">
        <v>4</v>
      </c>
      <c r="Q2" s="93" t="s">
        <v>113</v>
      </c>
      <c r="S2" s="93" t="s">
        <v>184</v>
      </c>
      <c r="T2" s="93" t="s">
        <v>2</v>
      </c>
      <c r="U2" s="93" t="s">
        <v>3</v>
      </c>
      <c r="V2" s="93" t="s">
        <v>4</v>
      </c>
      <c r="W2" s="93" t="s">
        <v>113</v>
      </c>
      <c r="AY2" t="s">
        <v>185</v>
      </c>
      <c r="BA2" t="s">
        <v>186</v>
      </c>
    </row>
    <row r="3" spans="1:53" x14ac:dyDescent="0.25">
      <c r="A3">
        <v>19584</v>
      </c>
      <c r="B3">
        <v>32</v>
      </c>
      <c r="C3">
        <v>1</v>
      </c>
      <c r="D3">
        <v>16</v>
      </c>
      <c r="E3">
        <v>9.2334800000000001</v>
      </c>
      <c r="G3">
        <v>19584</v>
      </c>
      <c r="H3">
        <v>32</v>
      </c>
      <c r="I3">
        <v>1</v>
      </c>
      <c r="J3">
        <v>16</v>
      </c>
      <c r="K3">
        <v>10.593</v>
      </c>
      <c r="M3" s="91">
        <v>9792</v>
      </c>
      <c r="N3" s="91">
        <v>32</v>
      </c>
      <c r="O3" s="91">
        <v>1</v>
      </c>
      <c r="P3" s="91">
        <v>4</v>
      </c>
      <c r="Q3" s="91">
        <v>3.8636400000000002</v>
      </c>
      <c r="S3" s="91">
        <v>9792</v>
      </c>
      <c r="T3" s="91">
        <v>32</v>
      </c>
      <c r="U3" s="91">
        <v>1</v>
      </c>
      <c r="V3" s="91">
        <v>4</v>
      </c>
      <c r="W3" s="91">
        <v>5.3085800000000001</v>
      </c>
      <c r="Y3">
        <v>19584</v>
      </c>
      <c r="Z3">
        <v>32</v>
      </c>
      <c r="AA3">
        <v>2</v>
      </c>
      <c r="AB3">
        <v>8</v>
      </c>
      <c r="AC3">
        <v>10.151839999999998</v>
      </c>
      <c r="AE3">
        <v>19584</v>
      </c>
      <c r="AF3">
        <v>32</v>
      </c>
      <c r="AG3">
        <v>2</v>
      </c>
      <c r="AH3">
        <v>8</v>
      </c>
      <c r="AI3">
        <v>12.018000000000001</v>
      </c>
      <c r="AK3">
        <v>9792</v>
      </c>
      <c r="AL3">
        <v>32</v>
      </c>
      <c r="AM3">
        <v>1</v>
      </c>
      <c r="AN3">
        <v>4</v>
      </c>
      <c r="AO3">
        <v>3.8636400000000002</v>
      </c>
      <c r="AQ3">
        <v>9792</v>
      </c>
      <c r="AR3">
        <v>32</v>
      </c>
      <c r="AS3">
        <v>1</v>
      </c>
      <c r="AT3">
        <v>4</v>
      </c>
      <c r="AU3">
        <v>5.3085800000000001</v>
      </c>
      <c r="AW3" t="s">
        <v>187</v>
      </c>
      <c r="AX3">
        <v>32</v>
      </c>
      <c r="AY3">
        <f>AC3/AO3</f>
        <v>2.6275325858516831</v>
      </c>
      <c r="BA3">
        <f>AI3/AU3</f>
        <v>2.2638822434624704</v>
      </c>
    </row>
    <row r="4" spans="1:53" x14ac:dyDescent="0.25">
      <c r="A4">
        <v>19584</v>
      </c>
      <c r="B4">
        <v>64</v>
      </c>
      <c r="C4">
        <v>1</v>
      </c>
      <c r="D4">
        <v>16</v>
      </c>
      <c r="E4">
        <v>9.8803999999999998</v>
      </c>
      <c r="G4">
        <v>19584</v>
      </c>
      <c r="H4">
        <v>64</v>
      </c>
      <c r="I4">
        <v>1</v>
      </c>
      <c r="J4">
        <v>16</v>
      </c>
      <c r="K4">
        <v>11.385</v>
      </c>
      <c r="M4" s="91">
        <v>9792</v>
      </c>
      <c r="N4" s="91">
        <v>64</v>
      </c>
      <c r="O4" s="91">
        <v>1</v>
      </c>
      <c r="P4" s="91">
        <v>4</v>
      </c>
      <c r="Q4" s="91">
        <v>4.6076600000000001</v>
      </c>
      <c r="S4" s="91">
        <v>9792</v>
      </c>
      <c r="T4" s="91">
        <v>64</v>
      </c>
      <c r="U4" s="91">
        <v>1</v>
      </c>
      <c r="V4" s="91">
        <v>4</v>
      </c>
      <c r="W4" s="91">
        <v>6.5713799999999996</v>
      </c>
      <c r="Y4">
        <v>19584</v>
      </c>
      <c r="Z4">
        <v>64</v>
      </c>
      <c r="AA4">
        <v>2</v>
      </c>
      <c r="AB4">
        <v>8</v>
      </c>
      <c r="AC4">
        <v>11.8208</v>
      </c>
      <c r="AE4">
        <v>19584</v>
      </c>
      <c r="AF4">
        <v>64</v>
      </c>
      <c r="AG4">
        <v>2</v>
      </c>
      <c r="AH4">
        <v>8</v>
      </c>
      <c r="AI4">
        <v>13.653</v>
      </c>
      <c r="AK4">
        <v>9792</v>
      </c>
      <c r="AL4">
        <v>64</v>
      </c>
      <c r="AM4">
        <v>1</v>
      </c>
      <c r="AN4">
        <v>4</v>
      </c>
      <c r="AO4">
        <v>4.6076600000000001</v>
      </c>
      <c r="AQ4">
        <v>9792</v>
      </c>
      <c r="AR4">
        <v>64</v>
      </c>
      <c r="AS4">
        <v>1</v>
      </c>
      <c r="AT4">
        <v>4</v>
      </c>
      <c r="AU4">
        <v>6.5713799999999996</v>
      </c>
      <c r="AW4" t="s">
        <v>187</v>
      </c>
      <c r="AX4">
        <v>64</v>
      </c>
      <c r="AY4">
        <f t="shared" ref="AY4:AY26" si="0">AC4/AO4</f>
        <v>2.5654670700529119</v>
      </c>
      <c r="BA4">
        <f t="shared" ref="BA4:BA26" si="1">AI4/AU4</f>
        <v>2.0776457912949793</v>
      </c>
    </row>
    <row r="5" spans="1:53" x14ac:dyDescent="0.25">
      <c r="A5">
        <v>19584</v>
      </c>
      <c r="B5">
        <v>96</v>
      </c>
      <c r="C5">
        <v>1</v>
      </c>
      <c r="D5">
        <v>16</v>
      </c>
      <c r="E5">
        <v>10.01994</v>
      </c>
      <c r="G5">
        <v>19584</v>
      </c>
      <c r="H5">
        <v>96</v>
      </c>
      <c r="I5">
        <v>1</v>
      </c>
      <c r="J5">
        <v>16</v>
      </c>
      <c r="K5">
        <v>6.9175500000000003</v>
      </c>
      <c r="M5" s="91">
        <v>9792</v>
      </c>
      <c r="N5" s="91">
        <v>96</v>
      </c>
      <c r="O5" s="91">
        <v>1</v>
      </c>
      <c r="P5" s="91">
        <v>4</v>
      </c>
      <c r="Q5" s="91">
        <v>4.3104199999999997</v>
      </c>
      <c r="S5" s="91">
        <v>9792</v>
      </c>
      <c r="T5" s="91">
        <v>96</v>
      </c>
      <c r="U5" s="91">
        <v>1</v>
      </c>
      <c r="V5" s="91">
        <v>4</v>
      </c>
      <c r="W5" s="91">
        <v>6.7698000000000009</v>
      </c>
      <c r="Y5">
        <v>19584</v>
      </c>
      <c r="Z5">
        <v>96</v>
      </c>
      <c r="AA5">
        <v>2</v>
      </c>
      <c r="AB5">
        <v>8</v>
      </c>
      <c r="AC5">
        <v>11.625600000000002</v>
      </c>
      <c r="AE5">
        <v>19584</v>
      </c>
      <c r="AF5">
        <v>96</v>
      </c>
      <c r="AG5">
        <v>2</v>
      </c>
      <c r="AH5">
        <v>8</v>
      </c>
      <c r="AI5">
        <v>13.911</v>
      </c>
      <c r="AK5">
        <v>9792</v>
      </c>
      <c r="AL5">
        <v>96</v>
      </c>
      <c r="AM5">
        <v>1</v>
      </c>
      <c r="AN5">
        <v>4</v>
      </c>
      <c r="AO5">
        <v>4.3104199999999997</v>
      </c>
      <c r="AQ5">
        <v>9792</v>
      </c>
      <c r="AR5">
        <v>96</v>
      </c>
      <c r="AS5">
        <v>1</v>
      </c>
      <c r="AT5">
        <v>4</v>
      </c>
      <c r="AU5">
        <v>6.7698000000000009</v>
      </c>
      <c r="AW5" t="s">
        <v>187</v>
      </c>
      <c r="AX5">
        <v>96</v>
      </c>
      <c r="AY5">
        <f t="shared" si="0"/>
        <v>2.6970921627126829</v>
      </c>
      <c r="BA5">
        <f t="shared" si="1"/>
        <v>2.0548612957546748</v>
      </c>
    </row>
    <row r="6" spans="1:53" x14ac:dyDescent="0.25">
      <c r="A6">
        <v>19584</v>
      </c>
      <c r="B6">
        <v>128</v>
      </c>
      <c r="C6">
        <v>1</v>
      </c>
      <c r="D6">
        <v>16</v>
      </c>
      <c r="E6">
        <v>1.9959</v>
      </c>
      <c r="G6">
        <v>19584</v>
      </c>
      <c r="H6">
        <v>128</v>
      </c>
      <c r="I6">
        <v>1</v>
      </c>
      <c r="J6">
        <v>16</v>
      </c>
      <c r="K6">
        <v>2.68425</v>
      </c>
      <c r="M6" s="91">
        <v>9792</v>
      </c>
      <c r="N6" s="91">
        <v>128</v>
      </c>
      <c r="O6" s="91">
        <v>1</v>
      </c>
      <c r="P6" s="91">
        <v>4</v>
      </c>
      <c r="Q6" s="91">
        <v>4.4275199999999995</v>
      </c>
      <c r="S6" s="91">
        <v>9792</v>
      </c>
      <c r="T6" s="91">
        <v>128</v>
      </c>
      <c r="U6" s="91">
        <v>1</v>
      </c>
      <c r="V6" s="91">
        <v>4</v>
      </c>
      <c r="W6" s="91">
        <v>6.3523800000000001</v>
      </c>
      <c r="Y6">
        <v>19584</v>
      </c>
      <c r="Z6">
        <v>128</v>
      </c>
      <c r="AA6">
        <v>2</v>
      </c>
      <c r="AB6">
        <v>8</v>
      </c>
      <c r="AC6">
        <v>11.518599999999999</v>
      </c>
      <c r="AE6">
        <v>19584</v>
      </c>
      <c r="AF6">
        <v>128</v>
      </c>
      <c r="AG6">
        <v>2</v>
      </c>
      <c r="AH6">
        <v>8</v>
      </c>
      <c r="AI6">
        <v>13.272</v>
      </c>
      <c r="AK6">
        <v>9792</v>
      </c>
      <c r="AL6">
        <v>128</v>
      </c>
      <c r="AM6">
        <v>1</v>
      </c>
      <c r="AN6">
        <v>4</v>
      </c>
      <c r="AO6">
        <v>4.4275199999999995</v>
      </c>
      <c r="AQ6">
        <v>9792</v>
      </c>
      <c r="AR6">
        <v>128</v>
      </c>
      <c r="AS6">
        <v>1</v>
      </c>
      <c r="AT6">
        <v>4</v>
      </c>
      <c r="AU6">
        <v>6.3523800000000001</v>
      </c>
      <c r="AW6" t="s">
        <v>187</v>
      </c>
      <c r="AX6">
        <v>128</v>
      </c>
      <c r="AY6">
        <f t="shared" si="0"/>
        <v>2.601591861809772</v>
      </c>
      <c r="BA6">
        <f t="shared" si="1"/>
        <v>2.0892956655615689</v>
      </c>
    </row>
    <row r="7" spans="1:53" x14ac:dyDescent="0.25">
      <c r="A7">
        <v>19584</v>
      </c>
      <c r="B7">
        <v>160</v>
      </c>
      <c r="C7">
        <v>1</v>
      </c>
      <c r="D7">
        <v>16</v>
      </c>
      <c r="E7">
        <v>1.8876999999999999</v>
      </c>
      <c r="G7">
        <v>19584</v>
      </c>
      <c r="H7">
        <v>160</v>
      </c>
      <c r="I7">
        <v>1</v>
      </c>
      <c r="J7">
        <v>16</v>
      </c>
      <c r="K7">
        <v>2.1899000000000002</v>
      </c>
      <c r="M7" s="91">
        <v>9792</v>
      </c>
      <c r="N7" s="91">
        <v>160</v>
      </c>
      <c r="O7" s="91">
        <v>1</v>
      </c>
      <c r="P7" s="91">
        <v>4</v>
      </c>
      <c r="Q7" s="91">
        <v>4.9805600000000005</v>
      </c>
      <c r="S7" s="91">
        <v>9792</v>
      </c>
      <c r="T7" s="91">
        <v>160</v>
      </c>
      <c r="U7" s="91">
        <v>1</v>
      </c>
      <c r="V7" s="91">
        <v>4</v>
      </c>
      <c r="W7" s="91">
        <v>6.5122600000000004</v>
      </c>
      <c r="Y7">
        <v>19584</v>
      </c>
      <c r="Z7">
        <v>160</v>
      </c>
      <c r="AA7">
        <v>2</v>
      </c>
      <c r="AB7">
        <v>8</v>
      </c>
      <c r="AC7">
        <v>12.011999999999999</v>
      </c>
      <c r="AE7">
        <v>19584</v>
      </c>
      <c r="AF7">
        <v>160</v>
      </c>
      <c r="AG7">
        <v>2</v>
      </c>
      <c r="AH7">
        <v>8</v>
      </c>
      <c r="AI7">
        <v>13.4305</v>
      </c>
      <c r="AK7">
        <v>9792</v>
      </c>
      <c r="AL7">
        <v>160</v>
      </c>
      <c r="AM7">
        <v>1</v>
      </c>
      <c r="AN7">
        <v>4</v>
      </c>
      <c r="AO7">
        <v>4.9805600000000005</v>
      </c>
      <c r="AQ7">
        <v>9792</v>
      </c>
      <c r="AR7">
        <v>160</v>
      </c>
      <c r="AS7">
        <v>1</v>
      </c>
      <c r="AT7">
        <v>4</v>
      </c>
      <c r="AU7">
        <v>6.5122600000000004</v>
      </c>
      <c r="AW7" t="s">
        <v>187</v>
      </c>
      <c r="AX7">
        <v>160</v>
      </c>
      <c r="AY7">
        <f t="shared" si="0"/>
        <v>2.4117769889329708</v>
      </c>
      <c r="BA7">
        <f t="shared" si="1"/>
        <v>2.0623408770534346</v>
      </c>
    </row>
    <row r="8" spans="1:53" x14ac:dyDescent="0.25">
      <c r="A8">
        <v>19584</v>
      </c>
      <c r="B8">
        <v>192</v>
      </c>
      <c r="C8">
        <v>1</v>
      </c>
      <c r="D8">
        <v>16</v>
      </c>
      <c r="E8">
        <v>1.4899600000000002</v>
      </c>
      <c r="G8">
        <v>19584</v>
      </c>
      <c r="H8">
        <v>192</v>
      </c>
      <c r="I8">
        <v>1</v>
      </c>
      <c r="J8">
        <v>16</v>
      </c>
      <c r="K8">
        <v>1.6167749999999999</v>
      </c>
      <c r="M8" s="91">
        <v>9792</v>
      </c>
      <c r="N8" s="91">
        <v>192</v>
      </c>
      <c r="O8" s="91">
        <v>1</v>
      </c>
      <c r="P8" s="91">
        <v>4</v>
      </c>
      <c r="Q8" s="91">
        <v>4.8176000000000005</v>
      </c>
      <c r="S8" s="91">
        <v>9792</v>
      </c>
      <c r="T8" s="91">
        <v>192</v>
      </c>
      <c r="U8" s="91">
        <v>1</v>
      </c>
      <c r="V8" s="91">
        <v>4</v>
      </c>
      <c r="W8" s="91">
        <v>6.3913599999999997</v>
      </c>
      <c r="Y8">
        <v>19584</v>
      </c>
      <c r="Z8">
        <v>192</v>
      </c>
      <c r="AA8">
        <v>2</v>
      </c>
      <c r="AB8">
        <v>8</v>
      </c>
      <c r="AC8">
        <v>11.696400000000001</v>
      </c>
      <c r="AE8">
        <v>19584</v>
      </c>
      <c r="AF8">
        <v>192</v>
      </c>
      <c r="AG8">
        <v>2</v>
      </c>
      <c r="AH8">
        <v>8</v>
      </c>
      <c r="AI8">
        <v>10.7478</v>
      </c>
      <c r="AK8">
        <v>9792</v>
      </c>
      <c r="AL8">
        <v>192</v>
      </c>
      <c r="AM8">
        <v>1</v>
      </c>
      <c r="AN8">
        <v>4</v>
      </c>
      <c r="AO8">
        <v>4.8176000000000005</v>
      </c>
      <c r="AQ8">
        <v>9792</v>
      </c>
      <c r="AR8">
        <v>192</v>
      </c>
      <c r="AS8">
        <v>1</v>
      </c>
      <c r="AT8">
        <v>4</v>
      </c>
      <c r="AU8">
        <v>6.3913599999999997</v>
      </c>
      <c r="AW8" t="s">
        <v>187</v>
      </c>
      <c r="AX8">
        <v>192</v>
      </c>
      <c r="AY8">
        <f t="shared" si="0"/>
        <v>2.427847891066091</v>
      </c>
      <c r="BA8">
        <f t="shared" si="1"/>
        <v>1.6816139288038854</v>
      </c>
    </row>
    <row r="9" spans="1:53" x14ac:dyDescent="0.25">
      <c r="A9">
        <v>19584</v>
      </c>
      <c r="B9">
        <v>224</v>
      </c>
      <c r="C9">
        <v>1</v>
      </c>
      <c r="D9">
        <v>16</v>
      </c>
      <c r="E9">
        <v>1.23054</v>
      </c>
      <c r="G9">
        <v>19584</v>
      </c>
      <c r="H9">
        <v>224</v>
      </c>
      <c r="I9">
        <v>1</v>
      </c>
      <c r="J9">
        <v>16</v>
      </c>
      <c r="K9">
        <v>2.373675</v>
      </c>
      <c r="M9" s="91">
        <v>9792</v>
      </c>
      <c r="N9" s="91">
        <v>224</v>
      </c>
      <c r="O9" s="91">
        <v>1</v>
      </c>
      <c r="P9" s="91">
        <v>4</v>
      </c>
      <c r="Q9" s="91">
        <v>4.9128400000000001</v>
      </c>
      <c r="S9" s="91">
        <v>9792</v>
      </c>
      <c r="T9" s="91">
        <v>224</v>
      </c>
      <c r="U9" s="91">
        <v>1</v>
      </c>
      <c r="V9" s="91">
        <v>4</v>
      </c>
      <c r="W9" s="91">
        <v>6.36904</v>
      </c>
      <c r="Y9">
        <v>19584</v>
      </c>
      <c r="Z9">
        <v>224</v>
      </c>
      <c r="AA9">
        <v>2</v>
      </c>
      <c r="AB9">
        <v>8</v>
      </c>
      <c r="AC9">
        <v>9.4066399999999994</v>
      </c>
      <c r="AE9">
        <v>19584</v>
      </c>
      <c r="AF9">
        <v>224</v>
      </c>
      <c r="AG9">
        <v>2</v>
      </c>
      <c r="AH9">
        <v>8</v>
      </c>
      <c r="AI9">
        <v>12.691000000000001</v>
      </c>
      <c r="AK9">
        <v>9792</v>
      </c>
      <c r="AL9">
        <v>224</v>
      </c>
      <c r="AM9">
        <v>1</v>
      </c>
      <c r="AN9">
        <v>4</v>
      </c>
      <c r="AO9">
        <v>4.9128400000000001</v>
      </c>
      <c r="AQ9">
        <v>9792</v>
      </c>
      <c r="AR9">
        <v>224</v>
      </c>
      <c r="AS9">
        <v>1</v>
      </c>
      <c r="AT9">
        <v>4</v>
      </c>
      <c r="AU9">
        <v>6.36904</v>
      </c>
      <c r="AW9" t="s">
        <v>187</v>
      </c>
      <c r="AX9">
        <v>224</v>
      </c>
      <c r="AY9">
        <f t="shared" si="0"/>
        <v>1.9147051400004884</v>
      </c>
      <c r="BA9">
        <f t="shared" si="1"/>
        <v>1.9926079911572232</v>
      </c>
    </row>
    <row r="10" spans="1:53" x14ac:dyDescent="0.25">
      <c r="A10">
        <v>19584</v>
      </c>
      <c r="B10">
        <v>256</v>
      </c>
      <c r="C10">
        <v>1</v>
      </c>
      <c r="D10">
        <v>16</v>
      </c>
      <c r="E10">
        <v>1.12222</v>
      </c>
      <c r="G10">
        <v>19584</v>
      </c>
      <c r="H10">
        <v>256</v>
      </c>
      <c r="I10">
        <v>1</v>
      </c>
      <c r="J10">
        <v>16</v>
      </c>
      <c r="K10">
        <v>1.2719</v>
      </c>
      <c r="M10" s="91">
        <v>9792</v>
      </c>
      <c r="N10" s="91">
        <v>256</v>
      </c>
      <c r="O10" s="91">
        <v>1</v>
      </c>
      <c r="P10" s="91">
        <v>4</v>
      </c>
      <c r="Q10" s="91">
        <v>4.5186799999999998</v>
      </c>
      <c r="S10" s="91">
        <v>9792</v>
      </c>
      <c r="T10" s="91">
        <v>256</v>
      </c>
      <c r="U10" s="91">
        <v>1</v>
      </c>
      <c r="V10" s="91">
        <v>4</v>
      </c>
      <c r="W10" s="91">
        <v>6.0814800000000009</v>
      </c>
      <c r="Y10">
        <v>19584</v>
      </c>
      <c r="Z10">
        <v>256</v>
      </c>
      <c r="AA10">
        <v>2</v>
      </c>
      <c r="AB10">
        <v>8</v>
      </c>
      <c r="AC10">
        <v>2.9276199999999997</v>
      </c>
      <c r="AE10">
        <v>19584</v>
      </c>
      <c r="AF10">
        <v>256</v>
      </c>
      <c r="AG10">
        <v>2</v>
      </c>
      <c r="AH10">
        <v>8</v>
      </c>
      <c r="AI10">
        <v>2.8602500000000002</v>
      </c>
      <c r="AK10">
        <v>9792</v>
      </c>
      <c r="AL10">
        <v>256</v>
      </c>
      <c r="AM10">
        <v>1</v>
      </c>
      <c r="AN10">
        <v>4</v>
      </c>
      <c r="AO10">
        <v>4.5186799999999998</v>
      </c>
      <c r="AQ10">
        <v>9792</v>
      </c>
      <c r="AR10">
        <v>256</v>
      </c>
      <c r="AS10">
        <v>1</v>
      </c>
      <c r="AT10">
        <v>4</v>
      </c>
      <c r="AU10">
        <v>6.0814800000000009</v>
      </c>
      <c r="AW10" t="s">
        <v>187</v>
      </c>
      <c r="AX10">
        <v>256</v>
      </c>
      <c r="AY10">
        <f t="shared" si="0"/>
        <v>0.64789274743951764</v>
      </c>
      <c r="BA10">
        <f t="shared" si="1"/>
        <v>0.47032136914040656</v>
      </c>
    </row>
    <row r="11" spans="1:53" x14ac:dyDescent="0.25">
      <c r="A11">
        <v>18560</v>
      </c>
      <c r="B11">
        <v>32</v>
      </c>
      <c r="C11">
        <v>1</v>
      </c>
      <c r="D11">
        <v>16</v>
      </c>
      <c r="E11">
        <v>9.1236800000000002</v>
      </c>
      <c r="G11">
        <v>18560</v>
      </c>
      <c r="H11">
        <v>32</v>
      </c>
      <c r="I11">
        <v>1</v>
      </c>
      <c r="J11">
        <v>16</v>
      </c>
      <c r="K11">
        <v>10.202249999999999</v>
      </c>
      <c r="M11" s="92">
        <v>9280</v>
      </c>
      <c r="N11" s="92">
        <v>32</v>
      </c>
      <c r="O11" s="92">
        <v>1</v>
      </c>
      <c r="P11" s="92">
        <v>4</v>
      </c>
      <c r="Q11" s="92">
        <v>3.82342</v>
      </c>
      <c r="S11" s="92">
        <v>9280</v>
      </c>
      <c r="T11" s="92">
        <v>32</v>
      </c>
      <c r="U11" s="92">
        <v>1</v>
      </c>
      <c r="V11" s="92">
        <v>4</v>
      </c>
      <c r="W11" s="92">
        <v>5.3307200000000003</v>
      </c>
      <c r="Y11">
        <v>18560</v>
      </c>
      <c r="Z11">
        <v>32</v>
      </c>
      <c r="AA11">
        <v>2</v>
      </c>
      <c r="AB11">
        <v>8</v>
      </c>
      <c r="AC11">
        <v>10.037800000000001</v>
      </c>
      <c r="AE11">
        <v>18560</v>
      </c>
      <c r="AF11">
        <v>32</v>
      </c>
      <c r="AG11">
        <v>2</v>
      </c>
      <c r="AH11">
        <v>8</v>
      </c>
      <c r="AI11">
        <v>11.738</v>
      </c>
      <c r="AK11">
        <v>9280</v>
      </c>
      <c r="AL11">
        <v>32</v>
      </c>
      <c r="AM11">
        <v>1</v>
      </c>
      <c r="AN11">
        <v>4</v>
      </c>
      <c r="AO11">
        <v>3.82342</v>
      </c>
      <c r="AQ11">
        <v>9280</v>
      </c>
      <c r="AR11">
        <v>32</v>
      </c>
      <c r="AS11">
        <v>1</v>
      </c>
      <c r="AT11">
        <v>4</v>
      </c>
      <c r="AU11">
        <v>5.3307200000000003</v>
      </c>
      <c r="AW11" t="s">
        <v>188</v>
      </c>
      <c r="AX11">
        <v>32</v>
      </c>
      <c r="AY11">
        <f t="shared" si="0"/>
        <v>2.6253458945132895</v>
      </c>
      <c r="BA11">
        <f t="shared" si="1"/>
        <v>2.2019539574391449</v>
      </c>
    </row>
    <row r="12" spans="1:53" x14ac:dyDescent="0.25">
      <c r="A12">
        <v>18560</v>
      </c>
      <c r="B12">
        <v>64</v>
      </c>
      <c r="C12">
        <v>1</v>
      </c>
      <c r="D12">
        <v>16</v>
      </c>
      <c r="E12">
        <v>10.046660000000001</v>
      </c>
      <c r="G12">
        <v>18560</v>
      </c>
      <c r="H12">
        <v>64</v>
      </c>
      <c r="I12">
        <v>1</v>
      </c>
      <c r="J12">
        <v>16</v>
      </c>
      <c r="K12">
        <v>11.031499999999999</v>
      </c>
      <c r="M12" s="92">
        <v>9280</v>
      </c>
      <c r="N12" s="92">
        <v>64</v>
      </c>
      <c r="O12" s="92">
        <v>1</v>
      </c>
      <c r="P12" s="92">
        <v>4</v>
      </c>
      <c r="Q12" s="92">
        <v>4.5670799999999989</v>
      </c>
      <c r="S12" s="92">
        <v>9280</v>
      </c>
      <c r="T12" s="92">
        <v>64</v>
      </c>
      <c r="U12" s="92">
        <v>1</v>
      </c>
      <c r="V12" s="92">
        <v>4</v>
      </c>
      <c r="W12" s="92">
        <v>6.5367199999999999</v>
      </c>
      <c r="Y12">
        <v>18560</v>
      </c>
      <c r="Z12">
        <v>64</v>
      </c>
      <c r="AA12">
        <v>2</v>
      </c>
      <c r="AB12">
        <v>8</v>
      </c>
      <c r="AC12">
        <v>11.238799999999999</v>
      </c>
      <c r="AE12">
        <v>18560</v>
      </c>
      <c r="AF12">
        <v>64</v>
      </c>
      <c r="AG12">
        <v>2</v>
      </c>
      <c r="AH12">
        <v>8</v>
      </c>
      <c r="AI12">
        <v>13.226500000000001</v>
      </c>
      <c r="AK12">
        <v>9280</v>
      </c>
      <c r="AL12">
        <v>64</v>
      </c>
      <c r="AM12">
        <v>1</v>
      </c>
      <c r="AN12">
        <v>4</v>
      </c>
      <c r="AO12">
        <v>4.5670799999999989</v>
      </c>
      <c r="AQ12">
        <v>9280</v>
      </c>
      <c r="AR12">
        <v>64</v>
      </c>
      <c r="AS12">
        <v>1</v>
      </c>
      <c r="AT12">
        <v>4</v>
      </c>
      <c r="AU12">
        <v>6.5367199999999999</v>
      </c>
      <c r="AW12" t="s">
        <v>188</v>
      </c>
      <c r="AX12">
        <v>64</v>
      </c>
      <c r="AY12">
        <f t="shared" si="0"/>
        <v>2.4608283629802856</v>
      </c>
      <c r="BA12">
        <f t="shared" si="1"/>
        <v>2.0234154132347726</v>
      </c>
    </row>
    <row r="13" spans="1:53" x14ac:dyDescent="0.25">
      <c r="A13">
        <v>18560</v>
      </c>
      <c r="B13">
        <v>96</v>
      </c>
      <c r="C13">
        <v>1</v>
      </c>
      <c r="D13">
        <v>16</v>
      </c>
      <c r="E13">
        <v>10.03814</v>
      </c>
      <c r="G13">
        <v>18560</v>
      </c>
      <c r="H13">
        <v>96</v>
      </c>
      <c r="I13">
        <v>1</v>
      </c>
      <c r="J13">
        <v>16</v>
      </c>
      <c r="K13">
        <v>10.846500000000001</v>
      </c>
      <c r="M13" s="92">
        <v>9280</v>
      </c>
      <c r="N13" s="92">
        <v>96</v>
      </c>
      <c r="O13" s="92">
        <v>1</v>
      </c>
      <c r="P13" s="92">
        <v>4</v>
      </c>
      <c r="Q13" s="92">
        <v>4.3104199999999997</v>
      </c>
      <c r="S13" s="92">
        <v>9280</v>
      </c>
      <c r="T13" s="92">
        <v>96</v>
      </c>
      <c r="U13" s="92">
        <v>1</v>
      </c>
      <c r="V13" s="92">
        <v>4</v>
      </c>
      <c r="W13" s="92">
        <v>6.6588400000000005</v>
      </c>
      <c r="Y13">
        <v>18560</v>
      </c>
      <c r="Z13">
        <v>96</v>
      </c>
      <c r="AA13">
        <v>2</v>
      </c>
      <c r="AB13">
        <v>8</v>
      </c>
      <c r="AC13">
        <v>11.028600000000001</v>
      </c>
      <c r="AE13">
        <v>18560</v>
      </c>
      <c r="AF13">
        <v>96</v>
      </c>
      <c r="AG13">
        <v>2</v>
      </c>
      <c r="AH13">
        <v>8</v>
      </c>
      <c r="AI13">
        <v>13.314499999999999</v>
      </c>
      <c r="AK13">
        <v>9280</v>
      </c>
      <c r="AL13">
        <v>96</v>
      </c>
      <c r="AM13">
        <v>1</v>
      </c>
      <c r="AN13">
        <v>4</v>
      </c>
      <c r="AO13">
        <v>4.3104199999999997</v>
      </c>
      <c r="AQ13">
        <v>9280</v>
      </c>
      <c r="AR13">
        <v>96</v>
      </c>
      <c r="AS13">
        <v>1</v>
      </c>
      <c r="AT13">
        <v>4</v>
      </c>
      <c r="AU13">
        <v>6.6588400000000005</v>
      </c>
      <c r="AW13" t="s">
        <v>188</v>
      </c>
      <c r="AX13">
        <v>96</v>
      </c>
      <c r="AY13">
        <f t="shared" si="0"/>
        <v>2.5585905781803171</v>
      </c>
      <c r="BA13">
        <f t="shared" si="1"/>
        <v>1.9995224393437894</v>
      </c>
    </row>
    <row r="14" spans="1:53" x14ac:dyDescent="0.25">
      <c r="A14">
        <v>18560</v>
      </c>
      <c r="B14">
        <v>128</v>
      </c>
      <c r="C14">
        <v>1</v>
      </c>
      <c r="D14">
        <v>16</v>
      </c>
      <c r="E14">
        <v>9.7984400000000011</v>
      </c>
      <c r="G14">
        <v>18560</v>
      </c>
      <c r="H14">
        <v>128</v>
      </c>
      <c r="I14">
        <v>1</v>
      </c>
      <c r="J14">
        <v>16</v>
      </c>
      <c r="K14">
        <v>10.76525</v>
      </c>
      <c r="M14" s="92">
        <v>9280</v>
      </c>
      <c r="N14" s="92">
        <v>128</v>
      </c>
      <c r="O14" s="92">
        <v>1</v>
      </c>
      <c r="P14" s="92">
        <v>4</v>
      </c>
      <c r="Q14" s="92">
        <v>4.4131400000000003</v>
      </c>
      <c r="S14" s="92">
        <v>9280</v>
      </c>
      <c r="T14" s="92">
        <v>128</v>
      </c>
      <c r="U14" s="92">
        <v>1</v>
      </c>
      <c r="V14" s="92">
        <v>4</v>
      </c>
      <c r="W14" s="92">
        <v>6.2800399999999996</v>
      </c>
      <c r="Y14">
        <v>18560</v>
      </c>
      <c r="Z14">
        <v>128</v>
      </c>
      <c r="AA14">
        <v>2</v>
      </c>
      <c r="AB14">
        <v>8</v>
      </c>
      <c r="AC14">
        <v>11.0672</v>
      </c>
      <c r="AE14">
        <v>18560</v>
      </c>
      <c r="AF14">
        <v>128</v>
      </c>
      <c r="AG14">
        <v>2</v>
      </c>
      <c r="AH14">
        <v>8</v>
      </c>
      <c r="AI14">
        <v>12.973500000000001</v>
      </c>
      <c r="AK14">
        <v>9280</v>
      </c>
      <c r="AL14">
        <v>128</v>
      </c>
      <c r="AM14">
        <v>1</v>
      </c>
      <c r="AN14">
        <v>4</v>
      </c>
      <c r="AO14">
        <v>4.4131400000000003</v>
      </c>
      <c r="AQ14">
        <v>9280</v>
      </c>
      <c r="AR14">
        <v>128</v>
      </c>
      <c r="AS14">
        <v>1</v>
      </c>
      <c r="AT14">
        <v>4</v>
      </c>
      <c r="AU14">
        <v>6.2800399999999996</v>
      </c>
      <c r="AW14" t="s">
        <v>188</v>
      </c>
      <c r="AX14">
        <v>128</v>
      </c>
      <c r="AY14">
        <f t="shared" si="0"/>
        <v>2.5077835736006562</v>
      </c>
      <c r="BA14">
        <f t="shared" si="1"/>
        <v>2.0658307908866824</v>
      </c>
    </row>
    <row r="15" spans="1:53" x14ac:dyDescent="0.25">
      <c r="A15">
        <v>18560</v>
      </c>
      <c r="B15">
        <v>160</v>
      </c>
      <c r="C15">
        <v>1</v>
      </c>
      <c r="D15">
        <v>16</v>
      </c>
      <c r="E15">
        <v>10.100019999999999</v>
      </c>
      <c r="G15">
        <v>18560</v>
      </c>
      <c r="H15">
        <v>160</v>
      </c>
      <c r="I15">
        <v>1</v>
      </c>
      <c r="J15">
        <v>16</v>
      </c>
      <c r="K15">
        <v>10.687749999999999</v>
      </c>
      <c r="M15" s="92">
        <v>9280</v>
      </c>
      <c r="N15" s="92">
        <v>160</v>
      </c>
      <c r="O15" s="92">
        <v>1</v>
      </c>
      <c r="P15" s="92">
        <v>4</v>
      </c>
      <c r="Q15" s="92">
        <v>4.9138999999999999</v>
      </c>
      <c r="S15" s="92">
        <v>9280</v>
      </c>
      <c r="T15" s="92">
        <v>160</v>
      </c>
      <c r="U15" s="92">
        <v>1</v>
      </c>
      <c r="V15" s="92">
        <v>4</v>
      </c>
      <c r="W15" s="92">
        <v>6.4484200000000005</v>
      </c>
      <c r="Y15">
        <v>18560</v>
      </c>
      <c r="Z15">
        <v>160</v>
      </c>
      <c r="AA15">
        <v>2</v>
      </c>
      <c r="AB15">
        <v>8</v>
      </c>
      <c r="AC15">
        <v>11.789</v>
      </c>
      <c r="AE15">
        <v>18560</v>
      </c>
      <c r="AF15">
        <v>160</v>
      </c>
      <c r="AG15">
        <v>2</v>
      </c>
      <c r="AH15">
        <v>8</v>
      </c>
      <c r="AI15">
        <v>13.237</v>
      </c>
      <c r="AK15">
        <v>9280</v>
      </c>
      <c r="AL15">
        <v>160</v>
      </c>
      <c r="AM15">
        <v>1</v>
      </c>
      <c r="AN15">
        <v>4</v>
      </c>
      <c r="AO15">
        <v>4.9138999999999999</v>
      </c>
      <c r="AQ15">
        <v>9280</v>
      </c>
      <c r="AR15">
        <v>160</v>
      </c>
      <c r="AS15">
        <v>1</v>
      </c>
      <c r="AT15">
        <v>4</v>
      </c>
      <c r="AU15">
        <v>6.4484200000000005</v>
      </c>
      <c r="AW15" t="s">
        <v>188</v>
      </c>
      <c r="AX15">
        <v>160</v>
      </c>
      <c r="AY15">
        <f t="shared" si="0"/>
        <v>2.3991127210565946</v>
      </c>
      <c r="BA15">
        <f t="shared" si="1"/>
        <v>2.0527509064235887</v>
      </c>
    </row>
    <row r="16" spans="1:53" x14ac:dyDescent="0.25">
      <c r="A16">
        <v>18560</v>
      </c>
      <c r="B16">
        <v>192</v>
      </c>
      <c r="C16">
        <v>1</v>
      </c>
      <c r="D16">
        <v>16</v>
      </c>
      <c r="E16">
        <v>10.07732</v>
      </c>
      <c r="G16">
        <v>18560</v>
      </c>
      <c r="H16">
        <v>192</v>
      </c>
      <c r="I16">
        <v>1</v>
      </c>
      <c r="J16">
        <v>16</v>
      </c>
      <c r="K16">
        <v>10.667249999999999</v>
      </c>
      <c r="M16" s="92">
        <v>9280</v>
      </c>
      <c r="N16" s="92">
        <v>192</v>
      </c>
      <c r="O16" s="92">
        <v>1</v>
      </c>
      <c r="P16" s="92">
        <v>4</v>
      </c>
      <c r="Q16" s="92">
        <v>4.8594799999999996</v>
      </c>
      <c r="S16" s="92">
        <v>9280</v>
      </c>
      <c r="T16" s="92">
        <v>192</v>
      </c>
      <c r="U16" s="92">
        <v>1</v>
      </c>
      <c r="V16" s="92">
        <v>4</v>
      </c>
      <c r="W16" s="92">
        <v>6.3543199999999995</v>
      </c>
      <c r="Y16">
        <v>18560</v>
      </c>
      <c r="Z16">
        <v>192</v>
      </c>
      <c r="AA16">
        <v>2</v>
      </c>
      <c r="AB16">
        <v>8</v>
      </c>
      <c r="AC16">
        <v>11.293799999999999</v>
      </c>
      <c r="AE16">
        <v>18560</v>
      </c>
      <c r="AF16">
        <v>192</v>
      </c>
      <c r="AG16">
        <v>2</v>
      </c>
      <c r="AH16">
        <v>8</v>
      </c>
      <c r="AI16">
        <v>13.036750000000001</v>
      </c>
      <c r="AK16">
        <v>9280</v>
      </c>
      <c r="AL16">
        <v>192</v>
      </c>
      <c r="AM16">
        <v>1</v>
      </c>
      <c r="AN16">
        <v>4</v>
      </c>
      <c r="AO16">
        <v>4.8594799999999996</v>
      </c>
      <c r="AQ16">
        <v>9280</v>
      </c>
      <c r="AR16">
        <v>192</v>
      </c>
      <c r="AS16">
        <v>1</v>
      </c>
      <c r="AT16">
        <v>4</v>
      </c>
      <c r="AU16">
        <v>6.3543199999999995</v>
      </c>
      <c r="AW16" t="s">
        <v>188</v>
      </c>
      <c r="AX16">
        <v>192</v>
      </c>
      <c r="AY16">
        <f t="shared" si="0"/>
        <v>2.3240758270432229</v>
      </c>
      <c r="BA16">
        <f t="shared" si="1"/>
        <v>2.0516357375769561</v>
      </c>
    </row>
    <row r="17" spans="1:53" x14ac:dyDescent="0.25">
      <c r="A17">
        <v>18560</v>
      </c>
      <c r="B17">
        <v>224</v>
      </c>
      <c r="C17">
        <v>1</v>
      </c>
      <c r="D17">
        <v>16</v>
      </c>
      <c r="E17">
        <v>10.37838</v>
      </c>
      <c r="G17">
        <v>18560</v>
      </c>
      <c r="H17">
        <v>224</v>
      </c>
      <c r="I17">
        <v>1</v>
      </c>
      <c r="J17">
        <v>16</v>
      </c>
      <c r="K17">
        <v>10.4125</v>
      </c>
      <c r="M17" s="92">
        <v>9280</v>
      </c>
      <c r="N17" s="92">
        <v>224</v>
      </c>
      <c r="O17" s="92">
        <v>1</v>
      </c>
      <c r="P17" s="92">
        <v>4</v>
      </c>
      <c r="Q17" s="92">
        <v>4.8334200000000003</v>
      </c>
      <c r="S17" s="92">
        <v>9280</v>
      </c>
      <c r="T17" s="92">
        <v>224</v>
      </c>
      <c r="U17" s="92">
        <v>1</v>
      </c>
      <c r="V17" s="92">
        <v>4</v>
      </c>
      <c r="W17" s="92">
        <v>6.4117599999999992</v>
      </c>
      <c r="Y17">
        <v>18560</v>
      </c>
      <c r="Z17">
        <v>224</v>
      </c>
      <c r="AA17">
        <v>2</v>
      </c>
      <c r="AB17">
        <v>8</v>
      </c>
      <c r="AC17">
        <v>11.7142</v>
      </c>
      <c r="AE17">
        <v>18560</v>
      </c>
      <c r="AF17">
        <v>224</v>
      </c>
      <c r="AG17">
        <v>2</v>
      </c>
      <c r="AH17">
        <v>8</v>
      </c>
      <c r="AI17">
        <v>12.82375</v>
      </c>
      <c r="AK17">
        <v>9280</v>
      </c>
      <c r="AL17">
        <v>224</v>
      </c>
      <c r="AM17">
        <v>1</v>
      </c>
      <c r="AN17">
        <v>4</v>
      </c>
      <c r="AO17">
        <v>4.8334200000000003</v>
      </c>
      <c r="AQ17">
        <v>9280</v>
      </c>
      <c r="AR17">
        <v>224</v>
      </c>
      <c r="AS17">
        <v>1</v>
      </c>
      <c r="AT17">
        <v>4</v>
      </c>
      <c r="AU17">
        <v>6.4117599999999992</v>
      </c>
      <c r="AW17" t="s">
        <v>188</v>
      </c>
      <c r="AX17">
        <v>224</v>
      </c>
      <c r="AY17">
        <f t="shared" si="0"/>
        <v>2.4235841288363105</v>
      </c>
      <c r="BA17">
        <f t="shared" si="1"/>
        <v>2.0000358715859612</v>
      </c>
    </row>
    <row r="18" spans="1:53" x14ac:dyDescent="0.25">
      <c r="A18">
        <v>18560</v>
      </c>
      <c r="B18">
        <v>256</v>
      </c>
      <c r="C18">
        <v>1</v>
      </c>
      <c r="D18">
        <v>16</v>
      </c>
      <c r="E18">
        <v>2.0424199999999999</v>
      </c>
      <c r="G18">
        <v>18560</v>
      </c>
      <c r="H18">
        <v>256</v>
      </c>
      <c r="I18">
        <v>1</v>
      </c>
      <c r="J18">
        <v>16</v>
      </c>
      <c r="K18">
        <v>3.386825</v>
      </c>
      <c r="M18" s="92">
        <v>9280</v>
      </c>
      <c r="N18" s="92">
        <v>256</v>
      </c>
      <c r="O18" s="92">
        <v>1</v>
      </c>
      <c r="P18" s="92">
        <v>4</v>
      </c>
      <c r="Q18" s="92">
        <v>4.5186799999999998</v>
      </c>
      <c r="S18" s="92">
        <v>9280</v>
      </c>
      <c r="T18" s="92">
        <v>256</v>
      </c>
      <c r="U18" s="92">
        <v>1</v>
      </c>
      <c r="V18" s="92">
        <v>4</v>
      </c>
      <c r="W18" s="92">
        <v>5.9939400000000003</v>
      </c>
      <c r="Y18">
        <v>18560</v>
      </c>
      <c r="Z18">
        <v>256</v>
      </c>
      <c r="AA18">
        <v>2</v>
      </c>
      <c r="AB18">
        <v>8</v>
      </c>
      <c r="AC18">
        <v>11.063799999999999</v>
      </c>
      <c r="AE18">
        <v>18560</v>
      </c>
      <c r="AF18">
        <v>256</v>
      </c>
      <c r="AG18">
        <v>2</v>
      </c>
      <c r="AH18">
        <v>8</v>
      </c>
      <c r="AI18">
        <v>12.66075</v>
      </c>
      <c r="AK18">
        <v>9280</v>
      </c>
      <c r="AL18">
        <v>256</v>
      </c>
      <c r="AM18">
        <v>1</v>
      </c>
      <c r="AN18">
        <v>4</v>
      </c>
      <c r="AO18">
        <v>4.5186799999999998</v>
      </c>
      <c r="AQ18">
        <v>9280</v>
      </c>
      <c r="AR18">
        <v>256</v>
      </c>
      <c r="AS18">
        <v>1</v>
      </c>
      <c r="AT18">
        <v>4</v>
      </c>
      <c r="AU18">
        <v>5.9939400000000003</v>
      </c>
      <c r="AW18" t="s">
        <v>188</v>
      </c>
      <c r="AX18">
        <v>256</v>
      </c>
      <c r="AY18">
        <f t="shared" si="0"/>
        <v>2.4484583993555638</v>
      </c>
      <c r="BA18">
        <f t="shared" si="1"/>
        <v>2.1122583809647741</v>
      </c>
    </row>
    <row r="19" spans="1:53" x14ac:dyDescent="0.25">
      <c r="A19">
        <v>17536</v>
      </c>
      <c r="B19">
        <v>32</v>
      </c>
      <c r="C19">
        <v>1</v>
      </c>
      <c r="D19">
        <v>16</v>
      </c>
      <c r="E19">
        <v>8.8632400000000011</v>
      </c>
      <c r="G19">
        <v>17536</v>
      </c>
      <c r="H19">
        <v>32</v>
      </c>
      <c r="I19">
        <v>1</v>
      </c>
      <c r="J19">
        <v>16</v>
      </c>
      <c r="K19">
        <v>9.8013500000000011</v>
      </c>
      <c r="M19" s="91">
        <v>8768</v>
      </c>
      <c r="N19" s="91">
        <v>32</v>
      </c>
      <c r="O19" s="91">
        <v>1</v>
      </c>
      <c r="P19" s="91">
        <v>4</v>
      </c>
      <c r="Q19" s="91">
        <v>3.82342</v>
      </c>
      <c r="S19" s="91">
        <v>8768</v>
      </c>
      <c r="T19" s="91">
        <v>32</v>
      </c>
      <c r="U19" s="91">
        <v>1</v>
      </c>
      <c r="V19" s="91">
        <v>4</v>
      </c>
      <c r="W19" s="91">
        <v>5.1888999999999994</v>
      </c>
      <c r="Y19">
        <v>17536</v>
      </c>
      <c r="Z19">
        <v>32</v>
      </c>
      <c r="AA19">
        <v>2</v>
      </c>
      <c r="AB19">
        <v>8</v>
      </c>
      <c r="AC19">
        <v>9.9669399999999992</v>
      </c>
      <c r="AE19">
        <v>17536</v>
      </c>
      <c r="AF19">
        <v>32</v>
      </c>
      <c r="AG19">
        <v>2</v>
      </c>
      <c r="AH19">
        <v>8</v>
      </c>
      <c r="AI19">
        <v>11.236499999999999</v>
      </c>
      <c r="AK19">
        <v>8768</v>
      </c>
      <c r="AL19">
        <v>32</v>
      </c>
      <c r="AM19">
        <v>1</v>
      </c>
      <c r="AN19">
        <v>4</v>
      </c>
      <c r="AO19">
        <v>3.82342</v>
      </c>
      <c r="AQ19">
        <v>8768</v>
      </c>
      <c r="AR19">
        <v>32</v>
      </c>
      <c r="AS19">
        <v>1</v>
      </c>
      <c r="AT19">
        <v>4</v>
      </c>
      <c r="AU19">
        <v>5.1888999999999994</v>
      </c>
      <c r="AW19" t="s">
        <v>189</v>
      </c>
      <c r="AX19">
        <v>32</v>
      </c>
      <c r="AY19">
        <f t="shared" si="0"/>
        <v>2.6068127487955808</v>
      </c>
      <c r="BA19">
        <f t="shared" si="1"/>
        <v>2.165487868334329</v>
      </c>
    </row>
    <row r="20" spans="1:53" x14ac:dyDescent="0.25">
      <c r="A20">
        <v>17536</v>
      </c>
      <c r="B20">
        <v>64</v>
      </c>
      <c r="C20">
        <v>1</v>
      </c>
      <c r="D20">
        <v>16</v>
      </c>
      <c r="E20">
        <v>9.9140800000000002</v>
      </c>
      <c r="G20">
        <v>17536</v>
      </c>
      <c r="H20">
        <v>64</v>
      </c>
      <c r="I20">
        <v>1</v>
      </c>
      <c r="J20">
        <v>16</v>
      </c>
      <c r="K20">
        <v>10.6235</v>
      </c>
      <c r="M20" s="91">
        <v>8768</v>
      </c>
      <c r="N20" s="91">
        <v>64</v>
      </c>
      <c r="O20" s="91">
        <v>1</v>
      </c>
      <c r="P20" s="91">
        <v>4</v>
      </c>
      <c r="Q20" s="91">
        <v>4.4140599999999992</v>
      </c>
      <c r="S20" s="91">
        <v>8768</v>
      </c>
      <c r="T20" s="91">
        <v>64</v>
      </c>
      <c r="U20" s="91">
        <v>1</v>
      </c>
      <c r="V20" s="91">
        <v>4</v>
      </c>
      <c r="W20" s="91">
        <v>6.4612000000000007</v>
      </c>
      <c r="Y20">
        <v>17536</v>
      </c>
      <c r="Z20">
        <v>64</v>
      </c>
      <c r="AA20">
        <v>2</v>
      </c>
      <c r="AB20">
        <v>8</v>
      </c>
      <c r="AC20">
        <v>11.0518</v>
      </c>
      <c r="AE20">
        <v>17536</v>
      </c>
      <c r="AF20">
        <v>64</v>
      </c>
      <c r="AG20">
        <v>2</v>
      </c>
      <c r="AH20">
        <v>8</v>
      </c>
      <c r="AI20">
        <v>12.732750000000001</v>
      </c>
      <c r="AK20">
        <v>8768</v>
      </c>
      <c r="AL20">
        <v>64</v>
      </c>
      <c r="AM20">
        <v>1</v>
      </c>
      <c r="AN20">
        <v>4</v>
      </c>
      <c r="AO20">
        <v>4.4140599999999992</v>
      </c>
      <c r="AQ20">
        <v>8768</v>
      </c>
      <c r="AR20">
        <v>64</v>
      </c>
      <c r="AS20">
        <v>1</v>
      </c>
      <c r="AT20">
        <v>4</v>
      </c>
      <c r="AU20">
        <v>6.4612000000000007</v>
      </c>
      <c r="AW20" t="s">
        <v>189</v>
      </c>
      <c r="AX20">
        <v>64</v>
      </c>
      <c r="AY20">
        <f t="shared" si="0"/>
        <v>2.5037720375346058</v>
      </c>
      <c r="BA20">
        <f t="shared" si="1"/>
        <v>1.9706478672692378</v>
      </c>
    </row>
    <row r="21" spans="1:53" x14ac:dyDescent="0.25">
      <c r="A21">
        <v>17536</v>
      </c>
      <c r="B21">
        <v>96</v>
      </c>
      <c r="C21">
        <v>1</v>
      </c>
      <c r="D21">
        <v>16</v>
      </c>
      <c r="E21">
        <v>9.6876999999999995</v>
      </c>
      <c r="G21">
        <v>17536</v>
      </c>
      <c r="H21">
        <v>96</v>
      </c>
      <c r="I21">
        <v>1</v>
      </c>
      <c r="J21">
        <v>16</v>
      </c>
      <c r="K21">
        <v>10.46625</v>
      </c>
      <c r="M21" s="91">
        <v>8768</v>
      </c>
      <c r="N21" s="91">
        <v>96</v>
      </c>
      <c r="O21" s="91">
        <v>1</v>
      </c>
      <c r="P21" s="91">
        <v>4</v>
      </c>
      <c r="Q21" s="91">
        <v>4.5587399999999993</v>
      </c>
      <c r="S21" s="91">
        <v>8768</v>
      </c>
      <c r="T21" s="91">
        <v>96</v>
      </c>
      <c r="U21" s="91">
        <v>1</v>
      </c>
      <c r="V21" s="91">
        <v>4</v>
      </c>
      <c r="W21" s="91">
        <v>6.6758600000000001</v>
      </c>
      <c r="Y21">
        <v>17536</v>
      </c>
      <c r="Z21">
        <v>96</v>
      </c>
      <c r="AA21">
        <v>2</v>
      </c>
      <c r="AB21">
        <v>8</v>
      </c>
      <c r="AC21">
        <v>11.0654</v>
      </c>
      <c r="AE21">
        <v>17536</v>
      </c>
      <c r="AF21">
        <v>96</v>
      </c>
      <c r="AG21">
        <v>2</v>
      </c>
      <c r="AH21">
        <v>8</v>
      </c>
      <c r="AI21">
        <v>12.849250000000001</v>
      </c>
      <c r="AK21">
        <v>8768</v>
      </c>
      <c r="AL21">
        <v>96</v>
      </c>
      <c r="AM21">
        <v>1</v>
      </c>
      <c r="AN21">
        <v>4</v>
      </c>
      <c r="AO21">
        <v>4.5587399999999993</v>
      </c>
      <c r="AQ21">
        <v>8768</v>
      </c>
      <c r="AR21">
        <v>96</v>
      </c>
      <c r="AS21">
        <v>1</v>
      </c>
      <c r="AT21">
        <v>4</v>
      </c>
      <c r="AU21">
        <v>6.6758600000000001</v>
      </c>
      <c r="AW21" t="s">
        <v>189</v>
      </c>
      <c r="AX21">
        <v>96</v>
      </c>
      <c r="AY21">
        <f t="shared" si="0"/>
        <v>2.4272935065390882</v>
      </c>
      <c r="BA21">
        <f t="shared" si="1"/>
        <v>1.9247332927892438</v>
      </c>
    </row>
    <row r="22" spans="1:53" x14ac:dyDescent="0.25">
      <c r="A22">
        <v>17536</v>
      </c>
      <c r="B22">
        <v>128</v>
      </c>
      <c r="C22">
        <v>1</v>
      </c>
      <c r="D22">
        <v>16</v>
      </c>
      <c r="E22">
        <v>9.4415400000000016</v>
      </c>
      <c r="G22">
        <v>17536</v>
      </c>
      <c r="H22">
        <v>128</v>
      </c>
      <c r="I22">
        <v>1</v>
      </c>
      <c r="J22">
        <v>16</v>
      </c>
      <c r="K22">
        <v>10.363250000000001</v>
      </c>
      <c r="M22" s="91">
        <v>8768</v>
      </c>
      <c r="N22" s="91">
        <v>128</v>
      </c>
      <c r="O22" s="91">
        <v>1</v>
      </c>
      <c r="P22" s="91">
        <v>4</v>
      </c>
      <c r="Q22" s="91">
        <v>4.7883800000000001</v>
      </c>
      <c r="S22" s="91">
        <v>8768</v>
      </c>
      <c r="T22" s="91">
        <v>128</v>
      </c>
      <c r="U22" s="91">
        <v>1</v>
      </c>
      <c r="V22" s="91">
        <v>4</v>
      </c>
      <c r="W22" s="91">
        <v>6.2111599999999996</v>
      </c>
      <c r="Y22">
        <v>17536</v>
      </c>
      <c r="Z22">
        <v>128</v>
      </c>
      <c r="AA22">
        <v>2</v>
      </c>
      <c r="AB22">
        <v>8</v>
      </c>
      <c r="AC22">
        <v>10.944799999999999</v>
      </c>
      <c r="AE22">
        <v>17536</v>
      </c>
      <c r="AF22">
        <v>128</v>
      </c>
      <c r="AG22">
        <v>2</v>
      </c>
      <c r="AH22">
        <v>8</v>
      </c>
      <c r="AI22">
        <v>12.529249999999999</v>
      </c>
      <c r="AK22">
        <v>8768</v>
      </c>
      <c r="AL22">
        <v>128</v>
      </c>
      <c r="AM22">
        <v>1</v>
      </c>
      <c r="AN22">
        <v>4</v>
      </c>
      <c r="AO22">
        <v>4.7883800000000001</v>
      </c>
      <c r="AQ22">
        <v>8768</v>
      </c>
      <c r="AR22">
        <v>128</v>
      </c>
      <c r="AS22">
        <v>1</v>
      </c>
      <c r="AT22">
        <v>4</v>
      </c>
      <c r="AU22">
        <v>6.2111599999999996</v>
      </c>
      <c r="AW22" t="s">
        <v>189</v>
      </c>
      <c r="AX22">
        <v>128</v>
      </c>
      <c r="AY22">
        <f t="shared" si="0"/>
        <v>2.2856999653327428</v>
      </c>
      <c r="BA22">
        <f t="shared" si="1"/>
        <v>2.017215785779146</v>
      </c>
    </row>
    <row r="23" spans="1:53" x14ac:dyDescent="0.25">
      <c r="A23">
        <v>17536</v>
      </c>
      <c r="B23">
        <v>160</v>
      </c>
      <c r="C23">
        <v>1</v>
      </c>
      <c r="D23">
        <v>16</v>
      </c>
      <c r="E23">
        <v>9.6811199999999999</v>
      </c>
      <c r="G23">
        <v>17536</v>
      </c>
      <c r="H23">
        <v>160</v>
      </c>
      <c r="I23">
        <v>1</v>
      </c>
      <c r="J23">
        <v>16</v>
      </c>
      <c r="K23">
        <v>10.309000000000001</v>
      </c>
      <c r="M23" s="91">
        <v>8768</v>
      </c>
      <c r="N23" s="91">
        <v>160</v>
      </c>
      <c r="O23" s="91">
        <v>1</v>
      </c>
      <c r="P23" s="91">
        <v>4</v>
      </c>
      <c r="Q23" s="91">
        <v>4.9046399999999988</v>
      </c>
      <c r="S23" s="91">
        <v>8768</v>
      </c>
      <c r="T23" s="91">
        <v>160</v>
      </c>
      <c r="U23" s="91">
        <v>1</v>
      </c>
      <c r="V23" s="91">
        <v>4</v>
      </c>
      <c r="W23" s="91">
        <v>6.3119399999999999</v>
      </c>
      <c r="Y23">
        <v>17536</v>
      </c>
      <c r="Z23">
        <v>160</v>
      </c>
      <c r="AA23">
        <v>2</v>
      </c>
      <c r="AB23">
        <v>8</v>
      </c>
      <c r="AC23">
        <v>11.4232</v>
      </c>
      <c r="AE23">
        <v>17536</v>
      </c>
      <c r="AF23">
        <v>160</v>
      </c>
      <c r="AG23">
        <v>2</v>
      </c>
      <c r="AH23">
        <v>8</v>
      </c>
      <c r="AI23">
        <v>12.517749999999999</v>
      </c>
      <c r="AK23">
        <v>8768</v>
      </c>
      <c r="AL23">
        <v>160</v>
      </c>
      <c r="AM23">
        <v>1</v>
      </c>
      <c r="AN23">
        <v>4</v>
      </c>
      <c r="AO23">
        <v>4.9046399999999988</v>
      </c>
      <c r="AQ23">
        <v>8768</v>
      </c>
      <c r="AR23">
        <v>160</v>
      </c>
      <c r="AS23">
        <v>1</v>
      </c>
      <c r="AT23">
        <v>4</v>
      </c>
      <c r="AU23">
        <v>6.3119399999999999</v>
      </c>
      <c r="AW23" t="s">
        <v>189</v>
      </c>
      <c r="AX23">
        <v>160</v>
      </c>
      <c r="AY23">
        <f t="shared" si="0"/>
        <v>2.3290598290598297</v>
      </c>
      <c r="BA23">
        <f t="shared" si="1"/>
        <v>1.9831858350998266</v>
      </c>
    </row>
    <row r="24" spans="1:53" x14ac:dyDescent="0.25">
      <c r="A24">
        <v>17536</v>
      </c>
      <c r="B24">
        <v>192</v>
      </c>
      <c r="C24">
        <v>1</v>
      </c>
      <c r="D24">
        <v>16</v>
      </c>
      <c r="E24">
        <v>9.9177</v>
      </c>
      <c r="G24">
        <v>17536</v>
      </c>
      <c r="H24">
        <v>192</v>
      </c>
      <c r="I24">
        <v>1</v>
      </c>
      <c r="J24">
        <v>16</v>
      </c>
      <c r="K24">
        <v>10.30025</v>
      </c>
      <c r="M24" s="91">
        <v>8768</v>
      </c>
      <c r="N24" s="91">
        <v>192</v>
      </c>
      <c r="O24" s="91">
        <v>1</v>
      </c>
      <c r="P24" s="91">
        <v>4</v>
      </c>
      <c r="Q24" s="91">
        <v>4.8594799999999996</v>
      </c>
      <c r="S24" s="91">
        <v>8768</v>
      </c>
      <c r="T24" s="91">
        <v>192</v>
      </c>
      <c r="U24" s="91">
        <v>1</v>
      </c>
      <c r="V24" s="91">
        <v>4</v>
      </c>
      <c r="W24" s="91">
        <v>6.3439600000000009</v>
      </c>
      <c r="Y24">
        <v>17536</v>
      </c>
      <c r="Z24">
        <v>192</v>
      </c>
      <c r="AA24">
        <v>2</v>
      </c>
      <c r="AB24">
        <v>8</v>
      </c>
      <c r="AC24">
        <v>11.266399999999999</v>
      </c>
      <c r="AE24">
        <v>17536</v>
      </c>
      <c r="AF24">
        <v>192</v>
      </c>
      <c r="AG24">
        <v>2</v>
      </c>
      <c r="AH24">
        <v>8</v>
      </c>
      <c r="AI24">
        <v>12.692499999999999</v>
      </c>
      <c r="AK24">
        <v>8768</v>
      </c>
      <c r="AL24">
        <v>192</v>
      </c>
      <c r="AM24">
        <v>1</v>
      </c>
      <c r="AN24">
        <v>4</v>
      </c>
      <c r="AO24">
        <v>4.8594799999999996</v>
      </c>
      <c r="AQ24">
        <v>8768</v>
      </c>
      <c r="AR24">
        <v>192</v>
      </c>
      <c r="AS24">
        <v>1</v>
      </c>
      <c r="AT24">
        <v>4</v>
      </c>
      <c r="AU24">
        <v>6.3439600000000009</v>
      </c>
      <c r="AW24" t="s">
        <v>189</v>
      </c>
      <c r="AX24">
        <v>192</v>
      </c>
      <c r="AY24">
        <f t="shared" si="0"/>
        <v>2.3184373636685405</v>
      </c>
      <c r="BA24">
        <f t="shared" si="1"/>
        <v>2.000721946544429</v>
      </c>
    </row>
    <row r="25" spans="1:53" x14ac:dyDescent="0.25">
      <c r="A25">
        <v>17536</v>
      </c>
      <c r="B25">
        <v>224</v>
      </c>
      <c r="C25">
        <v>1</v>
      </c>
      <c r="D25">
        <v>16</v>
      </c>
      <c r="E25">
        <v>9.9906799999999993</v>
      </c>
      <c r="G25">
        <v>17536</v>
      </c>
      <c r="H25">
        <v>224</v>
      </c>
      <c r="I25">
        <v>1</v>
      </c>
      <c r="J25">
        <v>16</v>
      </c>
      <c r="K25">
        <v>10.078250000000001</v>
      </c>
      <c r="M25" s="91">
        <v>8768</v>
      </c>
      <c r="N25" s="91">
        <v>224</v>
      </c>
      <c r="O25" s="91">
        <v>1</v>
      </c>
      <c r="P25" s="91">
        <v>4</v>
      </c>
      <c r="Q25" s="91">
        <v>4.8275200000000007</v>
      </c>
      <c r="S25" s="91">
        <v>8768</v>
      </c>
      <c r="T25" s="91">
        <v>224</v>
      </c>
      <c r="U25" s="91">
        <v>1</v>
      </c>
      <c r="V25" s="91">
        <v>4</v>
      </c>
      <c r="W25" s="91">
        <v>6.3003799999999996</v>
      </c>
      <c r="Y25">
        <v>17536</v>
      </c>
      <c r="Z25">
        <v>224</v>
      </c>
      <c r="AA25">
        <v>2</v>
      </c>
      <c r="AB25">
        <v>8</v>
      </c>
      <c r="AC25">
        <v>11.207800000000001</v>
      </c>
      <c r="AE25">
        <v>17536</v>
      </c>
      <c r="AF25">
        <v>224</v>
      </c>
      <c r="AG25">
        <v>2</v>
      </c>
      <c r="AH25">
        <v>8</v>
      </c>
      <c r="AI25">
        <v>12.382250000000001</v>
      </c>
      <c r="AK25">
        <v>8768</v>
      </c>
      <c r="AL25">
        <v>224</v>
      </c>
      <c r="AM25">
        <v>1</v>
      </c>
      <c r="AN25">
        <v>4</v>
      </c>
      <c r="AO25">
        <v>4.8275200000000007</v>
      </c>
      <c r="AQ25">
        <v>8768</v>
      </c>
      <c r="AR25">
        <v>224</v>
      </c>
      <c r="AS25">
        <v>1</v>
      </c>
      <c r="AT25">
        <v>4</v>
      </c>
      <c r="AU25">
        <v>6.3003799999999996</v>
      </c>
      <c r="AW25" t="s">
        <v>189</v>
      </c>
      <c r="AX25">
        <v>224</v>
      </c>
      <c r="AY25">
        <f t="shared" si="0"/>
        <v>2.3216475540235977</v>
      </c>
      <c r="BA25">
        <f t="shared" si="1"/>
        <v>1.9653179649481463</v>
      </c>
    </row>
    <row r="26" spans="1:53" x14ac:dyDescent="0.25">
      <c r="A26">
        <v>17536</v>
      </c>
      <c r="B26">
        <v>256</v>
      </c>
      <c r="C26">
        <v>1</v>
      </c>
      <c r="D26">
        <v>16</v>
      </c>
      <c r="E26">
        <v>9.4858999999999991</v>
      </c>
      <c r="G26">
        <v>17536</v>
      </c>
      <c r="H26">
        <v>256</v>
      </c>
      <c r="I26">
        <v>1</v>
      </c>
      <c r="J26">
        <v>16</v>
      </c>
      <c r="K26">
        <v>9.9677249999999997</v>
      </c>
      <c r="M26" s="91">
        <v>8768</v>
      </c>
      <c r="N26" s="91">
        <v>256</v>
      </c>
      <c r="O26" s="91">
        <v>1</v>
      </c>
      <c r="P26" s="91">
        <v>4</v>
      </c>
      <c r="Q26" s="91">
        <v>4.8125599999999995</v>
      </c>
      <c r="S26" s="91">
        <v>8768</v>
      </c>
      <c r="T26" s="91">
        <v>256</v>
      </c>
      <c r="U26" s="91">
        <v>1</v>
      </c>
      <c r="V26" s="91">
        <v>4</v>
      </c>
      <c r="W26" s="91">
        <v>5.9102200000000007</v>
      </c>
      <c r="Y26">
        <v>17536</v>
      </c>
      <c r="Z26">
        <v>256</v>
      </c>
      <c r="AA26">
        <v>2</v>
      </c>
      <c r="AB26">
        <v>8</v>
      </c>
      <c r="AC26">
        <v>10.801399999999999</v>
      </c>
      <c r="AE26">
        <v>17536</v>
      </c>
      <c r="AF26">
        <v>256</v>
      </c>
      <c r="AG26">
        <v>2</v>
      </c>
      <c r="AH26">
        <v>8</v>
      </c>
      <c r="AI26">
        <v>12.211000000000002</v>
      </c>
      <c r="AK26">
        <v>8768</v>
      </c>
      <c r="AL26">
        <v>256</v>
      </c>
      <c r="AM26">
        <v>1</v>
      </c>
      <c r="AN26">
        <v>4</v>
      </c>
      <c r="AO26">
        <v>4.8125599999999995</v>
      </c>
      <c r="AQ26">
        <v>8768</v>
      </c>
      <c r="AR26">
        <v>256</v>
      </c>
      <c r="AS26">
        <v>1</v>
      </c>
      <c r="AT26">
        <v>4</v>
      </c>
      <c r="AU26">
        <v>5.9102200000000007</v>
      </c>
      <c r="AW26" t="s">
        <v>189</v>
      </c>
      <c r="AX26">
        <v>256</v>
      </c>
      <c r="AY26">
        <f t="shared" si="0"/>
        <v>2.2444187708828567</v>
      </c>
      <c r="BA26">
        <f t="shared" si="1"/>
        <v>2.0660821424583182</v>
      </c>
    </row>
    <row r="27" spans="1:53" x14ac:dyDescent="0.25">
      <c r="A27">
        <v>19584</v>
      </c>
      <c r="B27">
        <v>32</v>
      </c>
      <c r="C27">
        <v>2</v>
      </c>
      <c r="D27">
        <v>8</v>
      </c>
      <c r="E27">
        <v>10.151839999999998</v>
      </c>
      <c r="G27">
        <v>19584</v>
      </c>
      <c r="H27">
        <v>32</v>
      </c>
      <c r="I27">
        <v>2</v>
      </c>
      <c r="J27">
        <v>8</v>
      </c>
      <c r="K27">
        <v>12.018000000000001</v>
      </c>
      <c r="M27" s="92">
        <v>9792</v>
      </c>
      <c r="N27" s="92">
        <v>32</v>
      </c>
      <c r="O27" s="92">
        <v>2</v>
      </c>
      <c r="P27" s="92">
        <v>2</v>
      </c>
      <c r="Q27" s="92">
        <v>3.8378799999999997</v>
      </c>
      <c r="S27" s="92">
        <v>9792</v>
      </c>
      <c r="T27" s="92">
        <v>32</v>
      </c>
      <c r="U27" s="92">
        <v>2</v>
      </c>
      <c r="V27" s="92">
        <v>2</v>
      </c>
      <c r="W27" s="92">
        <v>5.3336600000000001</v>
      </c>
    </row>
    <row r="28" spans="1:53" x14ac:dyDescent="0.25">
      <c r="A28">
        <v>19584</v>
      </c>
      <c r="B28">
        <v>64</v>
      </c>
      <c r="C28">
        <v>2</v>
      </c>
      <c r="D28">
        <v>8</v>
      </c>
      <c r="E28">
        <v>11.8208</v>
      </c>
      <c r="G28">
        <v>19584</v>
      </c>
      <c r="H28">
        <v>64</v>
      </c>
      <c r="I28">
        <v>2</v>
      </c>
      <c r="J28">
        <v>8</v>
      </c>
      <c r="K28">
        <v>13.653</v>
      </c>
      <c r="M28" s="92">
        <v>9792</v>
      </c>
      <c r="N28" s="92">
        <v>64</v>
      </c>
      <c r="O28" s="92">
        <v>2</v>
      </c>
      <c r="P28" s="92">
        <v>2</v>
      </c>
      <c r="Q28" s="92">
        <v>4.5587399999999993</v>
      </c>
      <c r="S28" s="92">
        <v>9792</v>
      </c>
      <c r="T28" s="92">
        <v>64</v>
      </c>
      <c r="U28" s="92">
        <v>2</v>
      </c>
      <c r="V28" s="92">
        <v>2</v>
      </c>
      <c r="W28" s="92">
        <v>6.4724600000000008</v>
      </c>
    </row>
    <row r="29" spans="1:53" x14ac:dyDescent="0.25">
      <c r="A29">
        <v>19584</v>
      </c>
      <c r="B29">
        <v>96</v>
      </c>
      <c r="C29">
        <v>2</v>
      </c>
      <c r="D29">
        <v>8</v>
      </c>
      <c r="E29">
        <v>11.625600000000002</v>
      </c>
      <c r="G29">
        <v>19584</v>
      </c>
      <c r="H29">
        <v>96</v>
      </c>
      <c r="I29">
        <v>2</v>
      </c>
      <c r="J29">
        <v>8</v>
      </c>
      <c r="K29">
        <v>13.911</v>
      </c>
      <c r="M29" s="92">
        <v>9792</v>
      </c>
      <c r="N29" s="92">
        <v>96</v>
      </c>
      <c r="O29" s="92">
        <v>2</v>
      </c>
      <c r="P29" s="92">
        <v>2</v>
      </c>
      <c r="Q29" s="92">
        <v>4.7737999999999996</v>
      </c>
      <c r="S29" s="92">
        <v>9792</v>
      </c>
      <c r="T29" s="92">
        <v>96</v>
      </c>
      <c r="U29" s="92">
        <v>2</v>
      </c>
      <c r="V29" s="92">
        <v>2</v>
      </c>
      <c r="W29" s="92">
        <v>6.6833599999999986</v>
      </c>
    </row>
    <row r="30" spans="1:53" x14ac:dyDescent="0.25">
      <c r="A30">
        <v>19584</v>
      </c>
      <c r="B30">
        <v>128</v>
      </c>
      <c r="C30">
        <v>2</v>
      </c>
      <c r="D30">
        <v>8</v>
      </c>
      <c r="E30">
        <v>11.518599999999999</v>
      </c>
      <c r="G30">
        <v>19584</v>
      </c>
      <c r="H30">
        <v>128</v>
      </c>
      <c r="I30">
        <v>2</v>
      </c>
      <c r="J30">
        <v>8</v>
      </c>
      <c r="K30">
        <v>13.272</v>
      </c>
      <c r="M30" s="92">
        <v>9792</v>
      </c>
      <c r="N30" s="92">
        <v>128</v>
      </c>
      <c r="O30" s="92">
        <v>2</v>
      </c>
      <c r="P30" s="92">
        <v>2</v>
      </c>
      <c r="Q30" s="92">
        <v>4.8933599999999995</v>
      </c>
      <c r="S30" s="92">
        <v>9792</v>
      </c>
      <c r="T30" s="92">
        <v>128</v>
      </c>
      <c r="U30" s="92">
        <v>2</v>
      </c>
      <c r="V30" s="92">
        <v>2</v>
      </c>
      <c r="W30" s="92">
        <v>6.35398</v>
      </c>
    </row>
    <row r="31" spans="1:53" x14ac:dyDescent="0.25">
      <c r="A31">
        <v>19584</v>
      </c>
      <c r="B31">
        <v>160</v>
      </c>
      <c r="C31">
        <v>2</v>
      </c>
      <c r="D31">
        <v>8</v>
      </c>
      <c r="E31">
        <v>12.011999999999999</v>
      </c>
      <c r="G31">
        <v>19584</v>
      </c>
      <c r="H31">
        <v>160</v>
      </c>
      <c r="I31">
        <v>2</v>
      </c>
      <c r="J31">
        <v>8</v>
      </c>
      <c r="K31">
        <v>13.4305</v>
      </c>
      <c r="M31" s="92">
        <v>9792</v>
      </c>
      <c r="N31" s="92">
        <v>160</v>
      </c>
      <c r="O31" s="92">
        <v>2</v>
      </c>
      <c r="P31" s="92">
        <v>2</v>
      </c>
      <c r="Q31" s="92">
        <v>4.9788999999999994</v>
      </c>
      <c r="S31" s="92">
        <v>9792</v>
      </c>
      <c r="T31" s="92">
        <v>160</v>
      </c>
      <c r="U31" s="92">
        <v>2</v>
      </c>
      <c r="V31" s="92">
        <v>2</v>
      </c>
      <c r="W31" s="92">
        <v>6.4301000000000004</v>
      </c>
    </row>
    <row r="32" spans="1:53" x14ac:dyDescent="0.25">
      <c r="A32">
        <v>19584</v>
      </c>
      <c r="B32">
        <v>192</v>
      </c>
      <c r="C32">
        <v>2</v>
      </c>
      <c r="D32">
        <v>8</v>
      </c>
      <c r="E32">
        <v>11.696400000000001</v>
      </c>
      <c r="G32">
        <v>19584</v>
      </c>
      <c r="H32">
        <v>192</v>
      </c>
      <c r="I32">
        <v>2</v>
      </c>
      <c r="J32">
        <v>8</v>
      </c>
      <c r="K32">
        <v>10.7478</v>
      </c>
      <c r="M32" s="92">
        <v>9792</v>
      </c>
      <c r="N32" s="92">
        <v>192</v>
      </c>
      <c r="O32" s="92">
        <v>2</v>
      </c>
      <c r="P32" s="92">
        <v>2</v>
      </c>
      <c r="Q32" s="92">
        <v>4.7152599999999998</v>
      </c>
      <c r="S32" s="92">
        <v>9792</v>
      </c>
      <c r="T32" s="92">
        <v>192</v>
      </c>
      <c r="U32" s="92">
        <v>2</v>
      </c>
      <c r="V32" s="92">
        <v>2</v>
      </c>
      <c r="W32" s="92">
        <v>6.4006400000000001</v>
      </c>
    </row>
    <row r="33" spans="1:23" x14ac:dyDescent="0.25">
      <c r="A33">
        <v>19584</v>
      </c>
      <c r="B33">
        <v>224</v>
      </c>
      <c r="C33">
        <v>2</v>
      </c>
      <c r="D33">
        <v>8</v>
      </c>
      <c r="E33">
        <v>9.4066399999999994</v>
      </c>
      <c r="G33">
        <v>19584</v>
      </c>
      <c r="H33">
        <v>224</v>
      </c>
      <c r="I33">
        <v>2</v>
      </c>
      <c r="J33">
        <v>8</v>
      </c>
      <c r="K33">
        <v>12.691000000000001</v>
      </c>
      <c r="M33" s="92">
        <v>9792</v>
      </c>
      <c r="N33" s="92">
        <v>224</v>
      </c>
      <c r="O33" s="92">
        <v>2</v>
      </c>
      <c r="P33" s="92">
        <v>2</v>
      </c>
      <c r="Q33" s="92">
        <v>4.8125599999999995</v>
      </c>
      <c r="S33" s="92">
        <v>9792</v>
      </c>
      <c r="T33" s="92">
        <v>224</v>
      </c>
      <c r="U33" s="92">
        <v>2</v>
      </c>
      <c r="V33" s="92">
        <v>2</v>
      </c>
      <c r="W33" s="92">
        <v>6.3280799999999999</v>
      </c>
    </row>
    <row r="34" spans="1:23" x14ac:dyDescent="0.25">
      <c r="A34">
        <v>19584</v>
      </c>
      <c r="B34">
        <v>256</v>
      </c>
      <c r="C34">
        <v>2</v>
      </c>
      <c r="D34">
        <v>8</v>
      </c>
      <c r="E34">
        <v>2.9276199999999997</v>
      </c>
      <c r="G34">
        <v>19584</v>
      </c>
      <c r="H34">
        <v>256</v>
      </c>
      <c r="I34">
        <v>2</v>
      </c>
      <c r="J34">
        <v>8</v>
      </c>
      <c r="K34">
        <v>2.8602500000000002</v>
      </c>
      <c r="M34" s="92">
        <v>9792</v>
      </c>
      <c r="N34" s="92">
        <v>256</v>
      </c>
      <c r="O34" s="92">
        <v>2</v>
      </c>
      <c r="P34" s="92">
        <v>2</v>
      </c>
      <c r="Q34" s="92">
        <v>4.6688000000000001</v>
      </c>
      <c r="S34" s="92">
        <v>9792</v>
      </c>
      <c r="T34" s="92">
        <v>256</v>
      </c>
      <c r="U34" s="92">
        <v>2</v>
      </c>
      <c r="V34" s="92">
        <v>2</v>
      </c>
      <c r="W34" s="92">
        <v>5.9237000000000002</v>
      </c>
    </row>
    <row r="35" spans="1:23" x14ac:dyDescent="0.25">
      <c r="A35">
        <v>18560</v>
      </c>
      <c r="B35">
        <v>32</v>
      </c>
      <c r="C35">
        <v>2</v>
      </c>
      <c r="D35">
        <v>8</v>
      </c>
      <c r="E35">
        <v>10.037800000000001</v>
      </c>
      <c r="G35">
        <v>18560</v>
      </c>
      <c r="H35">
        <v>32</v>
      </c>
      <c r="I35">
        <v>2</v>
      </c>
      <c r="J35">
        <v>8</v>
      </c>
      <c r="K35">
        <v>11.738</v>
      </c>
      <c r="M35" s="91">
        <v>9280</v>
      </c>
      <c r="N35" s="91">
        <v>32</v>
      </c>
      <c r="O35" s="91">
        <v>2</v>
      </c>
      <c r="P35" s="91">
        <v>2</v>
      </c>
      <c r="Q35" s="91">
        <v>3.8262200000000002</v>
      </c>
      <c r="S35" s="91">
        <v>9280</v>
      </c>
      <c r="T35" s="91">
        <v>32</v>
      </c>
      <c r="U35" s="91">
        <v>2</v>
      </c>
      <c r="V35" s="91">
        <v>2</v>
      </c>
      <c r="W35" s="91">
        <v>5.3878399999999997</v>
      </c>
    </row>
    <row r="36" spans="1:23" x14ac:dyDescent="0.25">
      <c r="A36">
        <v>18560</v>
      </c>
      <c r="B36">
        <v>64</v>
      </c>
      <c r="C36">
        <v>2</v>
      </c>
      <c r="D36">
        <v>8</v>
      </c>
      <c r="E36">
        <v>11.238799999999999</v>
      </c>
      <c r="G36">
        <v>18560</v>
      </c>
      <c r="H36">
        <v>64</v>
      </c>
      <c r="I36">
        <v>2</v>
      </c>
      <c r="J36">
        <v>8</v>
      </c>
      <c r="K36">
        <v>13.226500000000001</v>
      </c>
      <c r="M36" s="91">
        <v>9280</v>
      </c>
      <c r="N36" s="91">
        <v>64</v>
      </c>
      <c r="O36" s="91">
        <v>2</v>
      </c>
      <c r="P36" s="91">
        <v>2</v>
      </c>
      <c r="Q36" s="91">
        <v>4.4420400000000004</v>
      </c>
      <c r="S36" s="91">
        <v>9280</v>
      </c>
      <c r="T36" s="91">
        <v>64</v>
      </c>
      <c r="U36" s="91">
        <v>2</v>
      </c>
      <c r="V36" s="91">
        <v>2</v>
      </c>
      <c r="W36" s="91">
        <v>6.4156999999999993</v>
      </c>
    </row>
    <row r="37" spans="1:23" x14ac:dyDescent="0.25">
      <c r="A37">
        <v>18560</v>
      </c>
      <c r="B37">
        <v>96</v>
      </c>
      <c r="C37">
        <v>2</v>
      </c>
      <c r="D37">
        <v>8</v>
      </c>
      <c r="E37">
        <v>11.028600000000001</v>
      </c>
      <c r="G37">
        <v>18560</v>
      </c>
      <c r="H37">
        <v>96</v>
      </c>
      <c r="I37">
        <v>2</v>
      </c>
      <c r="J37">
        <v>8</v>
      </c>
      <c r="K37">
        <v>13.314499999999999</v>
      </c>
      <c r="M37" s="91">
        <v>9280</v>
      </c>
      <c r="N37" s="91">
        <v>96</v>
      </c>
      <c r="O37" s="91">
        <v>2</v>
      </c>
      <c r="P37" s="91">
        <v>2</v>
      </c>
      <c r="Q37" s="91">
        <v>4.7931799999999996</v>
      </c>
      <c r="S37" s="91">
        <v>9280</v>
      </c>
      <c r="T37" s="91">
        <v>96</v>
      </c>
      <c r="U37" s="91">
        <v>2</v>
      </c>
      <c r="V37" s="91">
        <v>2</v>
      </c>
      <c r="W37" s="91">
        <v>6.5627000000000013</v>
      </c>
    </row>
    <row r="38" spans="1:23" x14ac:dyDescent="0.25">
      <c r="A38">
        <v>18560</v>
      </c>
      <c r="B38">
        <v>128</v>
      </c>
      <c r="C38">
        <v>2</v>
      </c>
      <c r="D38">
        <v>8</v>
      </c>
      <c r="E38">
        <v>11.0672</v>
      </c>
      <c r="G38">
        <v>18560</v>
      </c>
      <c r="H38">
        <v>128</v>
      </c>
      <c r="I38">
        <v>2</v>
      </c>
      <c r="J38">
        <v>8</v>
      </c>
      <c r="K38">
        <v>12.973500000000001</v>
      </c>
      <c r="M38" s="91">
        <v>9280</v>
      </c>
      <c r="N38" s="91">
        <v>128</v>
      </c>
      <c r="O38" s="91">
        <v>2</v>
      </c>
      <c r="P38" s="91">
        <v>2</v>
      </c>
      <c r="Q38" s="91">
        <v>4.8007800000000005</v>
      </c>
      <c r="S38" s="91">
        <v>9280</v>
      </c>
      <c r="T38" s="91">
        <v>128</v>
      </c>
      <c r="U38" s="91">
        <v>2</v>
      </c>
      <c r="V38" s="91">
        <v>2</v>
      </c>
      <c r="W38" s="91">
        <v>6.2664</v>
      </c>
    </row>
    <row r="39" spans="1:23" x14ac:dyDescent="0.25">
      <c r="A39">
        <v>18560</v>
      </c>
      <c r="B39">
        <v>160</v>
      </c>
      <c r="C39">
        <v>2</v>
      </c>
      <c r="D39">
        <v>8</v>
      </c>
      <c r="E39">
        <v>11.789</v>
      </c>
      <c r="G39">
        <v>18560</v>
      </c>
      <c r="H39">
        <v>160</v>
      </c>
      <c r="I39">
        <v>2</v>
      </c>
      <c r="J39">
        <v>8</v>
      </c>
      <c r="K39">
        <v>13.237</v>
      </c>
      <c r="M39" s="91">
        <v>9280</v>
      </c>
      <c r="N39" s="91">
        <v>160</v>
      </c>
      <c r="O39" s="91">
        <v>2</v>
      </c>
      <c r="P39" s="91">
        <v>2</v>
      </c>
      <c r="Q39" s="91">
        <v>4.9788999999999994</v>
      </c>
      <c r="S39" s="91">
        <v>9280</v>
      </c>
      <c r="T39" s="91">
        <v>160</v>
      </c>
      <c r="U39" s="91">
        <v>2</v>
      </c>
      <c r="V39" s="91">
        <v>2</v>
      </c>
      <c r="W39" s="91">
        <v>6.4059799999999996</v>
      </c>
    </row>
    <row r="40" spans="1:23" x14ac:dyDescent="0.25">
      <c r="A40">
        <v>18560</v>
      </c>
      <c r="B40">
        <v>192</v>
      </c>
      <c r="C40">
        <v>2</v>
      </c>
      <c r="D40">
        <v>8</v>
      </c>
      <c r="E40">
        <v>11.293799999999999</v>
      </c>
      <c r="G40">
        <v>18560</v>
      </c>
      <c r="H40">
        <v>192</v>
      </c>
      <c r="I40">
        <v>2</v>
      </c>
      <c r="J40">
        <v>8</v>
      </c>
      <c r="K40">
        <v>13.036750000000001</v>
      </c>
      <c r="M40" s="91">
        <v>9280</v>
      </c>
      <c r="N40" s="91">
        <v>192</v>
      </c>
      <c r="O40" s="91">
        <v>2</v>
      </c>
      <c r="P40" s="91">
        <v>2</v>
      </c>
      <c r="Q40" s="91">
        <v>4.7143200000000007</v>
      </c>
      <c r="S40" s="91">
        <v>9280</v>
      </c>
      <c r="T40" s="91">
        <v>192</v>
      </c>
      <c r="U40" s="91">
        <v>2</v>
      </c>
      <c r="V40" s="91">
        <v>2</v>
      </c>
      <c r="W40" s="91">
        <v>6.3288200000000003</v>
      </c>
    </row>
    <row r="41" spans="1:23" x14ac:dyDescent="0.25">
      <c r="A41">
        <v>18560</v>
      </c>
      <c r="B41">
        <v>224</v>
      </c>
      <c r="C41">
        <v>2</v>
      </c>
      <c r="D41">
        <v>8</v>
      </c>
      <c r="E41">
        <v>11.7142</v>
      </c>
      <c r="G41">
        <v>18560</v>
      </c>
      <c r="H41">
        <v>224</v>
      </c>
      <c r="I41">
        <v>2</v>
      </c>
      <c r="J41">
        <v>8</v>
      </c>
      <c r="K41">
        <v>12.82375</v>
      </c>
      <c r="M41" s="91">
        <v>9280</v>
      </c>
      <c r="N41" s="91">
        <v>224</v>
      </c>
      <c r="O41" s="91">
        <v>2</v>
      </c>
      <c r="P41" s="91">
        <v>2</v>
      </c>
      <c r="Q41" s="91">
        <v>4.7604799999999994</v>
      </c>
      <c r="S41" s="91">
        <v>9280</v>
      </c>
      <c r="T41" s="91">
        <v>224</v>
      </c>
      <c r="U41" s="91">
        <v>2</v>
      </c>
      <c r="V41" s="91">
        <v>2</v>
      </c>
      <c r="W41" s="91">
        <v>6.2761799999999992</v>
      </c>
    </row>
    <row r="42" spans="1:23" x14ac:dyDescent="0.25">
      <c r="A42">
        <v>18560</v>
      </c>
      <c r="B42">
        <v>256</v>
      </c>
      <c r="C42">
        <v>2</v>
      </c>
      <c r="D42">
        <v>8</v>
      </c>
      <c r="E42">
        <v>11.063799999999999</v>
      </c>
      <c r="G42">
        <v>18560</v>
      </c>
      <c r="H42">
        <v>256</v>
      </c>
      <c r="I42">
        <v>2</v>
      </c>
      <c r="J42">
        <v>8</v>
      </c>
      <c r="K42">
        <v>12.66075</v>
      </c>
      <c r="M42" s="91">
        <v>9280</v>
      </c>
      <c r="N42" s="91">
        <v>256</v>
      </c>
      <c r="O42" s="91">
        <v>2</v>
      </c>
      <c r="P42" s="91">
        <v>2</v>
      </c>
      <c r="Q42" s="91">
        <v>4.6063400000000003</v>
      </c>
      <c r="S42" s="91">
        <v>9280</v>
      </c>
      <c r="T42" s="91">
        <v>256</v>
      </c>
      <c r="U42" s="91">
        <v>2</v>
      </c>
      <c r="V42" s="91">
        <v>2</v>
      </c>
      <c r="W42" s="91">
        <v>6.03728</v>
      </c>
    </row>
    <row r="43" spans="1:23" x14ac:dyDescent="0.25">
      <c r="A43">
        <v>17536</v>
      </c>
      <c r="B43">
        <v>32</v>
      </c>
      <c r="C43">
        <v>2</v>
      </c>
      <c r="D43">
        <v>8</v>
      </c>
      <c r="E43">
        <v>9.9669399999999992</v>
      </c>
      <c r="G43">
        <v>17536</v>
      </c>
      <c r="H43">
        <v>32</v>
      </c>
      <c r="I43">
        <v>2</v>
      </c>
      <c r="J43">
        <v>8</v>
      </c>
      <c r="K43">
        <v>11.236499999999999</v>
      </c>
      <c r="M43" s="92">
        <v>8768</v>
      </c>
      <c r="N43" s="92">
        <v>32</v>
      </c>
      <c r="O43" s="92">
        <v>2</v>
      </c>
      <c r="P43" s="92">
        <v>2</v>
      </c>
      <c r="Q43" s="92">
        <v>3.8534599999999997</v>
      </c>
      <c r="S43" s="92">
        <v>8768</v>
      </c>
      <c r="T43" s="92">
        <v>32</v>
      </c>
      <c r="U43" s="92">
        <v>2</v>
      </c>
      <c r="V43" s="92">
        <v>2</v>
      </c>
      <c r="W43" s="92">
        <v>5.3036200000000004</v>
      </c>
    </row>
    <row r="44" spans="1:23" x14ac:dyDescent="0.25">
      <c r="A44">
        <v>17536</v>
      </c>
      <c r="B44">
        <v>64</v>
      </c>
      <c r="C44">
        <v>2</v>
      </c>
      <c r="D44">
        <v>8</v>
      </c>
      <c r="E44">
        <v>11.0518</v>
      </c>
      <c r="G44">
        <v>17536</v>
      </c>
      <c r="H44">
        <v>64</v>
      </c>
      <c r="I44">
        <v>2</v>
      </c>
      <c r="J44">
        <v>8</v>
      </c>
      <c r="K44">
        <v>12.732750000000001</v>
      </c>
      <c r="M44" s="92">
        <v>8768</v>
      </c>
      <c r="N44" s="92">
        <v>64</v>
      </c>
      <c r="O44" s="92">
        <v>2</v>
      </c>
      <c r="P44" s="92">
        <v>2</v>
      </c>
      <c r="Q44" s="92">
        <v>4.5583400000000003</v>
      </c>
      <c r="S44" s="92">
        <v>8768</v>
      </c>
      <c r="T44" s="92">
        <v>64</v>
      </c>
      <c r="U44" s="92">
        <v>2</v>
      </c>
      <c r="V44" s="92">
        <v>2</v>
      </c>
      <c r="W44" s="92">
        <v>6.3481199999999998</v>
      </c>
    </row>
    <row r="45" spans="1:23" x14ac:dyDescent="0.25">
      <c r="A45">
        <v>17536</v>
      </c>
      <c r="B45">
        <v>96</v>
      </c>
      <c r="C45">
        <v>2</v>
      </c>
      <c r="D45">
        <v>8</v>
      </c>
      <c r="E45">
        <v>11.0654</v>
      </c>
      <c r="G45">
        <v>17536</v>
      </c>
      <c r="H45">
        <v>96</v>
      </c>
      <c r="I45">
        <v>2</v>
      </c>
      <c r="J45">
        <v>8</v>
      </c>
      <c r="K45">
        <v>12.849250000000001</v>
      </c>
      <c r="M45" s="92">
        <v>8768</v>
      </c>
      <c r="N45" s="92">
        <v>96</v>
      </c>
      <c r="O45" s="92">
        <v>2</v>
      </c>
      <c r="P45" s="92">
        <v>2</v>
      </c>
      <c r="Q45" s="92">
        <v>4.7931799999999996</v>
      </c>
      <c r="S45" s="92">
        <v>8768</v>
      </c>
      <c r="T45" s="92">
        <v>96</v>
      </c>
      <c r="U45" s="92">
        <v>2</v>
      </c>
      <c r="V45" s="92">
        <v>2</v>
      </c>
      <c r="W45" s="92">
        <v>6.5043999999999995</v>
      </c>
    </row>
    <row r="46" spans="1:23" x14ac:dyDescent="0.25">
      <c r="A46">
        <v>17536</v>
      </c>
      <c r="B46">
        <v>128</v>
      </c>
      <c r="C46">
        <v>2</v>
      </c>
      <c r="D46">
        <v>8</v>
      </c>
      <c r="E46">
        <v>10.944799999999999</v>
      </c>
      <c r="G46">
        <v>17536</v>
      </c>
      <c r="H46">
        <v>128</v>
      </c>
      <c r="I46">
        <v>2</v>
      </c>
      <c r="J46">
        <v>8</v>
      </c>
      <c r="K46">
        <v>12.529249999999999</v>
      </c>
      <c r="M46" s="92">
        <v>8768</v>
      </c>
      <c r="N46" s="92">
        <v>128</v>
      </c>
      <c r="O46" s="92">
        <v>2</v>
      </c>
      <c r="P46" s="92">
        <v>2</v>
      </c>
      <c r="Q46" s="92">
        <v>4.7516400000000001</v>
      </c>
      <c r="S46" s="92">
        <v>8768</v>
      </c>
      <c r="T46" s="92">
        <v>128</v>
      </c>
      <c r="U46" s="92">
        <v>2</v>
      </c>
      <c r="V46" s="92">
        <v>2</v>
      </c>
      <c r="W46" s="92">
        <v>6.2040800000000003</v>
      </c>
    </row>
    <row r="47" spans="1:23" x14ac:dyDescent="0.25">
      <c r="A47">
        <v>17536</v>
      </c>
      <c r="B47">
        <v>160</v>
      </c>
      <c r="C47">
        <v>2</v>
      </c>
      <c r="D47">
        <v>8</v>
      </c>
      <c r="E47">
        <v>11.4232</v>
      </c>
      <c r="G47">
        <v>17536</v>
      </c>
      <c r="H47">
        <v>160</v>
      </c>
      <c r="I47">
        <v>2</v>
      </c>
      <c r="J47">
        <v>8</v>
      </c>
      <c r="K47">
        <v>12.517749999999999</v>
      </c>
      <c r="M47" s="92">
        <v>8768</v>
      </c>
      <c r="N47" s="92">
        <v>160</v>
      </c>
      <c r="O47" s="92">
        <v>2</v>
      </c>
      <c r="P47" s="92">
        <v>2</v>
      </c>
      <c r="Q47" s="92">
        <v>4.9805600000000005</v>
      </c>
      <c r="S47" s="92">
        <v>8768</v>
      </c>
      <c r="T47" s="92">
        <v>160</v>
      </c>
      <c r="U47" s="92">
        <v>2</v>
      </c>
      <c r="V47" s="92">
        <v>2</v>
      </c>
      <c r="W47" s="92">
        <v>6.30138</v>
      </c>
    </row>
    <row r="48" spans="1:23" x14ac:dyDescent="0.25">
      <c r="A48">
        <v>17536</v>
      </c>
      <c r="B48">
        <v>192</v>
      </c>
      <c r="C48">
        <v>2</v>
      </c>
      <c r="D48">
        <v>8</v>
      </c>
      <c r="E48">
        <v>11.266399999999999</v>
      </c>
      <c r="G48">
        <v>17536</v>
      </c>
      <c r="H48">
        <v>192</v>
      </c>
      <c r="I48">
        <v>2</v>
      </c>
      <c r="J48">
        <v>8</v>
      </c>
      <c r="K48">
        <v>12.692499999999999</v>
      </c>
      <c r="M48" s="92">
        <v>8768</v>
      </c>
      <c r="N48" s="92">
        <v>192</v>
      </c>
      <c r="O48" s="92">
        <v>2</v>
      </c>
      <c r="P48" s="92">
        <v>2</v>
      </c>
      <c r="Q48" s="92">
        <v>4.9231999999999996</v>
      </c>
      <c r="S48" s="92">
        <v>8768</v>
      </c>
      <c r="T48" s="92">
        <v>192</v>
      </c>
      <c r="U48" s="92">
        <v>2</v>
      </c>
      <c r="V48" s="92">
        <v>2</v>
      </c>
      <c r="W48" s="92">
        <v>6.2584600000000012</v>
      </c>
    </row>
    <row r="49" spans="1:23" x14ac:dyDescent="0.25">
      <c r="A49">
        <v>17536</v>
      </c>
      <c r="B49">
        <v>224</v>
      </c>
      <c r="C49">
        <v>2</v>
      </c>
      <c r="D49">
        <v>8</v>
      </c>
      <c r="E49">
        <v>11.207800000000001</v>
      </c>
      <c r="G49">
        <v>17536</v>
      </c>
      <c r="H49">
        <v>224</v>
      </c>
      <c r="I49">
        <v>2</v>
      </c>
      <c r="J49">
        <v>8</v>
      </c>
      <c r="K49">
        <v>12.382250000000001</v>
      </c>
      <c r="M49" s="92">
        <v>8768</v>
      </c>
      <c r="N49" s="92">
        <v>224</v>
      </c>
      <c r="O49" s="92">
        <v>2</v>
      </c>
      <c r="P49" s="92">
        <v>2</v>
      </c>
      <c r="Q49" s="92">
        <v>4.8354799999999996</v>
      </c>
      <c r="S49" s="92">
        <v>8768</v>
      </c>
      <c r="T49" s="92">
        <v>224</v>
      </c>
      <c r="U49" s="92">
        <v>2</v>
      </c>
      <c r="V49" s="92">
        <v>2</v>
      </c>
      <c r="W49" s="92">
        <v>6.2106399999999997</v>
      </c>
    </row>
    <row r="50" spans="1:23" x14ac:dyDescent="0.25">
      <c r="A50">
        <v>17536</v>
      </c>
      <c r="B50">
        <v>256</v>
      </c>
      <c r="C50">
        <v>2</v>
      </c>
      <c r="D50">
        <v>8</v>
      </c>
      <c r="E50">
        <v>10.801399999999999</v>
      </c>
      <c r="G50">
        <v>17536</v>
      </c>
      <c r="H50">
        <v>256</v>
      </c>
      <c r="I50">
        <v>2</v>
      </c>
      <c r="J50">
        <v>8</v>
      </c>
      <c r="K50">
        <v>12.211000000000002</v>
      </c>
      <c r="M50" s="92">
        <v>8768</v>
      </c>
      <c r="N50" s="92">
        <v>256</v>
      </c>
      <c r="O50" s="92">
        <v>2</v>
      </c>
      <c r="P50" s="92">
        <v>2</v>
      </c>
      <c r="Q50" s="92">
        <v>4.6063400000000003</v>
      </c>
      <c r="S50" s="92">
        <v>8768</v>
      </c>
      <c r="T50" s="92">
        <v>256</v>
      </c>
      <c r="U50" s="92">
        <v>2</v>
      </c>
      <c r="V50" s="92">
        <v>2</v>
      </c>
      <c r="W50" s="92">
        <v>5.9747599999999998</v>
      </c>
    </row>
    <row r="51" spans="1:23" x14ac:dyDescent="0.25">
      <c r="A51">
        <v>19584</v>
      </c>
      <c r="B51">
        <v>32</v>
      </c>
      <c r="C51">
        <v>4</v>
      </c>
      <c r="D51">
        <v>4</v>
      </c>
      <c r="E51">
        <v>8.4886799999999987</v>
      </c>
      <c r="G51">
        <v>19584</v>
      </c>
      <c r="H51">
        <v>32</v>
      </c>
      <c r="I51">
        <v>4</v>
      </c>
      <c r="J51">
        <v>4</v>
      </c>
      <c r="K51">
        <v>10.145249999999999</v>
      </c>
    </row>
    <row r="52" spans="1:23" x14ac:dyDescent="0.25">
      <c r="A52">
        <v>19584</v>
      </c>
      <c r="B52">
        <v>64</v>
      </c>
      <c r="C52">
        <v>4</v>
      </c>
      <c r="D52">
        <v>4</v>
      </c>
      <c r="E52">
        <v>9.3255999999999997</v>
      </c>
      <c r="G52">
        <v>19584</v>
      </c>
      <c r="H52">
        <v>64</v>
      </c>
      <c r="I52">
        <v>4</v>
      </c>
      <c r="J52">
        <v>4</v>
      </c>
      <c r="K52">
        <v>11.0105</v>
      </c>
    </row>
    <row r="53" spans="1:23" x14ac:dyDescent="0.25">
      <c r="A53">
        <v>19584</v>
      </c>
      <c r="B53">
        <v>96</v>
      </c>
      <c r="C53">
        <v>4</v>
      </c>
      <c r="D53">
        <v>4</v>
      </c>
      <c r="E53">
        <v>9.6645599999999998</v>
      </c>
      <c r="G53">
        <v>19584</v>
      </c>
      <c r="H53">
        <v>96</v>
      </c>
      <c r="I53">
        <v>4</v>
      </c>
      <c r="J53">
        <v>4</v>
      </c>
      <c r="K53">
        <v>10.999333333333334</v>
      </c>
    </row>
    <row r="54" spans="1:23" x14ac:dyDescent="0.25">
      <c r="A54">
        <v>19584</v>
      </c>
      <c r="B54">
        <v>128</v>
      </c>
      <c r="C54">
        <v>4</v>
      </c>
      <c r="D54">
        <v>4</v>
      </c>
      <c r="E54">
        <v>9.7139199999999999</v>
      </c>
      <c r="G54">
        <v>19584</v>
      </c>
      <c r="H54">
        <v>128</v>
      </c>
      <c r="I54">
        <v>4</v>
      </c>
      <c r="J54">
        <v>4</v>
      </c>
      <c r="K54">
        <v>10.8725</v>
      </c>
    </row>
    <row r="55" spans="1:23" x14ac:dyDescent="0.25">
      <c r="A55">
        <v>19584</v>
      </c>
      <c r="B55">
        <v>160</v>
      </c>
      <c r="C55">
        <v>4</v>
      </c>
      <c r="D55">
        <v>4</v>
      </c>
      <c r="E55">
        <v>9.4279599999999988</v>
      </c>
      <c r="G55">
        <v>19584</v>
      </c>
      <c r="H55">
        <v>160</v>
      </c>
      <c r="I55">
        <v>4</v>
      </c>
      <c r="J55">
        <v>4</v>
      </c>
      <c r="K55">
        <v>10.864000000000001</v>
      </c>
    </row>
    <row r="56" spans="1:23" x14ac:dyDescent="0.25">
      <c r="A56">
        <v>19584</v>
      </c>
      <c r="B56">
        <v>192</v>
      </c>
      <c r="C56">
        <v>4</v>
      </c>
      <c r="D56">
        <v>4</v>
      </c>
      <c r="E56">
        <v>4.6930779999999999</v>
      </c>
      <c r="G56">
        <v>19584</v>
      </c>
      <c r="H56">
        <v>192</v>
      </c>
      <c r="I56">
        <v>4</v>
      </c>
      <c r="J56">
        <v>4</v>
      </c>
      <c r="K56">
        <v>8.3969749999999994</v>
      </c>
    </row>
    <row r="57" spans="1:23" x14ac:dyDescent="0.25">
      <c r="A57">
        <v>19584</v>
      </c>
      <c r="B57">
        <v>224</v>
      </c>
      <c r="C57">
        <v>4</v>
      </c>
      <c r="D57">
        <v>4</v>
      </c>
      <c r="E57">
        <v>9.2313200000000002</v>
      </c>
      <c r="G57">
        <v>19584</v>
      </c>
      <c r="H57">
        <v>224</v>
      </c>
      <c r="I57">
        <v>4</v>
      </c>
      <c r="J57">
        <v>4</v>
      </c>
      <c r="K57">
        <v>10.40925</v>
      </c>
    </row>
    <row r="58" spans="1:23" x14ac:dyDescent="0.25">
      <c r="A58">
        <v>19584</v>
      </c>
      <c r="B58">
        <v>256</v>
      </c>
      <c r="C58">
        <v>4</v>
      </c>
      <c r="D58">
        <v>4</v>
      </c>
      <c r="E58">
        <v>1.9031980000000002</v>
      </c>
      <c r="G58">
        <v>19584</v>
      </c>
      <c r="H58">
        <v>256</v>
      </c>
      <c r="I58">
        <v>4</v>
      </c>
      <c r="J58">
        <v>4</v>
      </c>
      <c r="K58">
        <v>10.284000000000001</v>
      </c>
    </row>
    <row r="59" spans="1:23" x14ac:dyDescent="0.25">
      <c r="A59">
        <v>18560</v>
      </c>
      <c r="B59">
        <v>32</v>
      </c>
      <c r="C59">
        <v>4</v>
      </c>
      <c r="D59">
        <v>4</v>
      </c>
      <c r="E59">
        <v>8.2599400000000003</v>
      </c>
      <c r="G59">
        <v>18560</v>
      </c>
      <c r="H59">
        <v>32</v>
      </c>
      <c r="I59">
        <v>4</v>
      </c>
      <c r="J59">
        <v>4</v>
      </c>
      <c r="K59">
        <v>9.8872250000000008</v>
      </c>
    </row>
    <row r="60" spans="1:23" x14ac:dyDescent="0.25">
      <c r="A60">
        <v>18560</v>
      </c>
      <c r="B60">
        <v>64</v>
      </c>
      <c r="C60">
        <v>4</v>
      </c>
      <c r="D60">
        <v>4</v>
      </c>
      <c r="E60">
        <v>8.9625000000000004</v>
      </c>
      <c r="G60">
        <v>18560</v>
      </c>
      <c r="H60">
        <v>64</v>
      </c>
      <c r="I60">
        <v>4</v>
      </c>
      <c r="J60">
        <v>4</v>
      </c>
      <c r="K60">
        <v>10.601749999999999</v>
      </c>
    </row>
    <row r="61" spans="1:23" x14ac:dyDescent="0.25">
      <c r="A61">
        <v>18560</v>
      </c>
      <c r="B61">
        <v>96</v>
      </c>
      <c r="C61">
        <v>4</v>
      </c>
      <c r="D61">
        <v>4</v>
      </c>
      <c r="E61">
        <v>9.1966599999999996</v>
      </c>
      <c r="G61">
        <v>18560</v>
      </c>
      <c r="H61">
        <v>96</v>
      </c>
      <c r="I61">
        <v>4</v>
      </c>
      <c r="J61">
        <v>4</v>
      </c>
      <c r="K61">
        <v>10.65925</v>
      </c>
    </row>
    <row r="62" spans="1:23" x14ac:dyDescent="0.25">
      <c r="A62">
        <v>18560</v>
      </c>
      <c r="B62">
        <v>128</v>
      </c>
      <c r="C62">
        <v>4</v>
      </c>
      <c r="D62">
        <v>4</v>
      </c>
      <c r="E62">
        <v>9.2676600000000011</v>
      </c>
      <c r="G62">
        <v>18560</v>
      </c>
      <c r="H62">
        <v>128</v>
      </c>
      <c r="I62">
        <v>4</v>
      </c>
      <c r="J62">
        <v>4</v>
      </c>
      <c r="K62">
        <v>10.490000000000002</v>
      </c>
    </row>
    <row r="63" spans="1:23" x14ac:dyDescent="0.25">
      <c r="A63">
        <v>18560</v>
      </c>
      <c r="B63">
        <v>160</v>
      </c>
      <c r="C63">
        <v>4</v>
      </c>
      <c r="D63">
        <v>4</v>
      </c>
      <c r="E63">
        <v>9.391020000000001</v>
      </c>
      <c r="G63">
        <v>18560</v>
      </c>
      <c r="H63">
        <v>160</v>
      </c>
      <c r="I63">
        <v>4</v>
      </c>
      <c r="J63">
        <v>4</v>
      </c>
      <c r="K63">
        <v>10.5045</v>
      </c>
    </row>
    <row r="64" spans="1:23" x14ac:dyDescent="0.25">
      <c r="A64">
        <v>18560</v>
      </c>
      <c r="B64">
        <v>192</v>
      </c>
      <c r="C64">
        <v>4</v>
      </c>
      <c r="D64">
        <v>4</v>
      </c>
      <c r="E64">
        <v>9.1128600000000013</v>
      </c>
      <c r="G64">
        <v>18560</v>
      </c>
      <c r="H64">
        <v>192</v>
      </c>
      <c r="I64">
        <v>4</v>
      </c>
      <c r="J64">
        <v>4</v>
      </c>
      <c r="K64">
        <v>10.40625</v>
      </c>
    </row>
    <row r="65" spans="1:11" x14ac:dyDescent="0.25">
      <c r="A65">
        <v>18560</v>
      </c>
      <c r="B65">
        <v>224</v>
      </c>
      <c r="C65">
        <v>4</v>
      </c>
      <c r="D65">
        <v>4</v>
      </c>
      <c r="E65">
        <v>9.1637400000000007</v>
      </c>
      <c r="G65">
        <v>18560</v>
      </c>
      <c r="H65">
        <v>224</v>
      </c>
      <c r="I65">
        <v>4</v>
      </c>
      <c r="J65">
        <v>4</v>
      </c>
      <c r="K65">
        <v>10.297499999999999</v>
      </c>
    </row>
    <row r="66" spans="1:11" x14ac:dyDescent="0.25">
      <c r="A66">
        <v>18560</v>
      </c>
      <c r="B66">
        <v>256</v>
      </c>
      <c r="C66">
        <v>4</v>
      </c>
      <c r="D66">
        <v>4</v>
      </c>
      <c r="E66">
        <v>8.9176400000000005</v>
      </c>
      <c r="G66">
        <v>18560</v>
      </c>
      <c r="H66">
        <v>256</v>
      </c>
      <c r="I66">
        <v>4</v>
      </c>
      <c r="J66">
        <v>4</v>
      </c>
      <c r="K66">
        <v>10.117999999999999</v>
      </c>
    </row>
    <row r="67" spans="1:11" x14ac:dyDescent="0.25">
      <c r="A67">
        <v>17536</v>
      </c>
      <c r="B67">
        <v>32</v>
      </c>
      <c r="C67">
        <v>4</v>
      </c>
      <c r="D67">
        <v>4</v>
      </c>
      <c r="E67">
        <v>8.0392600000000005</v>
      </c>
      <c r="G67">
        <v>17536</v>
      </c>
      <c r="H67">
        <v>32</v>
      </c>
      <c r="I67">
        <v>4</v>
      </c>
      <c r="J67">
        <v>4</v>
      </c>
      <c r="K67">
        <v>9.5108999999999995</v>
      </c>
    </row>
    <row r="68" spans="1:11" x14ac:dyDescent="0.25">
      <c r="A68">
        <v>17536</v>
      </c>
      <c r="B68">
        <v>64</v>
      </c>
      <c r="C68">
        <v>4</v>
      </c>
      <c r="D68">
        <v>4</v>
      </c>
      <c r="E68">
        <v>8.7027400000000004</v>
      </c>
      <c r="G68">
        <v>17536</v>
      </c>
      <c r="H68">
        <v>64</v>
      </c>
      <c r="I68">
        <v>4</v>
      </c>
      <c r="J68">
        <v>4</v>
      </c>
      <c r="K68">
        <v>10.206</v>
      </c>
    </row>
    <row r="69" spans="1:11" x14ac:dyDescent="0.25">
      <c r="A69">
        <v>17536</v>
      </c>
      <c r="B69">
        <v>96</v>
      </c>
      <c r="C69">
        <v>4</v>
      </c>
      <c r="D69">
        <v>4</v>
      </c>
      <c r="E69">
        <v>9.0299600000000009</v>
      </c>
      <c r="G69">
        <v>17536</v>
      </c>
      <c r="H69">
        <v>96</v>
      </c>
      <c r="I69">
        <v>4</v>
      </c>
      <c r="J69">
        <v>4</v>
      </c>
      <c r="K69">
        <v>10.282249999999999</v>
      </c>
    </row>
    <row r="70" spans="1:11" x14ac:dyDescent="0.25">
      <c r="A70">
        <v>17536</v>
      </c>
      <c r="B70">
        <v>128</v>
      </c>
      <c r="C70">
        <v>4</v>
      </c>
      <c r="D70">
        <v>4</v>
      </c>
      <c r="E70">
        <v>9.0226600000000001</v>
      </c>
      <c r="G70">
        <v>17536</v>
      </c>
      <c r="H70">
        <v>128</v>
      </c>
      <c r="I70">
        <v>4</v>
      </c>
      <c r="J70">
        <v>4</v>
      </c>
      <c r="K70">
        <v>10.05475</v>
      </c>
    </row>
    <row r="71" spans="1:11" x14ac:dyDescent="0.25">
      <c r="A71">
        <v>17536</v>
      </c>
      <c r="B71">
        <v>160</v>
      </c>
      <c r="C71">
        <v>4</v>
      </c>
      <c r="D71">
        <v>4</v>
      </c>
      <c r="E71">
        <v>8.9774799999999999</v>
      </c>
      <c r="G71">
        <v>17536</v>
      </c>
      <c r="H71">
        <v>160</v>
      </c>
      <c r="I71">
        <v>4</v>
      </c>
      <c r="J71">
        <v>4</v>
      </c>
      <c r="K71">
        <v>10.0725</v>
      </c>
    </row>
    <row r="72" spans="1:11" x14ac:dyDescent="0.25">
      <c r="A72">
        <v>17536</v>
      </c>
      <c r="B72">
        <v>192</v>
      </c>
      <c r="C72">
        <v>4</v>
      </c>
      <c r="D72">
        <v>4</v>
      </c>
      <c r="E72">
        <v>8.9497199999999992</v>
      </c>
      <c r="G72">
        <v>17536</v>
      </c>
      <c r="H72">
        <v>192</v>
      </c>
      <c r="I72">
        <v>4</v>
      </c>
      <c r="J72">
        <v>4</v>
      </c>
      <c r="K72">
        <v>10.043725</v>
      </c>
    </row>
    <row r="73" spans="1:11" x14ac:dyDescent="0.25">
      <c r="A73">
        <v>17536</v>
      </c>
      <c r="B73">
        <v>224</v>
      </c>
      <c r="C73">
        <v>4</v>
      </c>
      <c r="D73">
        <v>4</v>
      </c>
      <c r="E73">
        <v>8.8047599999999981</v>
      </c>
      <c r="G73">
        <v>17536</v>
      </c>
      <c r="H73">
        <v>224</v>
      </c>
      <c r="I73">
        <v>4</v>
      </c>
      <c r="J73">
        <v>4</v>
      </c>
      <c r="K73">
        <v>9.8701000000000008</v>
      </c>
    </row>
    <row r="74" spans="1:11" x14ac:dyDescent="0.25">
      <c r="A74">
        <v>17536</v>
      </c>
      <c r="B74">
        <v>256</v>
      </c>
      <c r="C74">
        <v>4</v>
      </c>
      <c r="D74">
        <v>4</v>
      </c>
      <c r="E74">
        <v>8.6540800000000022</v>
      </c>
      <c r="G74">
        <v>17536</v>
      </c>
      <c r="H74">
        <v>256</v>
      </c>
      <c r="I74">
        <v>4</v>
      </c>
      <c r="J74">
        <v>4</v>
      </c>
      <c r="K74">
        <v>9.6955749999999998</v>
      </c>
    </row>
  </sheetData>
  <pageMargins left="0.7" right="0.7" top="0.75" bottom="0.75" header="0.3" footer="0.3"/>
  <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8</vt:i4>
      </vt:variant>
    </vt:vector>
  </HeadingPairs>
  <TitlesOfParts>
    <vt:vector size="8" baseType="lpstr">
      <vt:lpstr>Arch details</vt:lpstr>
      <vt:lpstr>ATLAS builds</vt:lpstr>
      <vt:lpstr>HPL 4 nodes, builds</vt:lpstr>
      <vt:lpstr>1 node, params, RAW</vt:lpstr>
      <vt:lpstr>4 nodes, params, RAW</vt:lpstr>
      <vt:lpstr>1 node, params</vt:lpstr>
      <vt:lpstr>4 nodes, params</vt:lpstr>
      <vt:lpstr>Scalability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Zdravko Krpić</dc:creator>
  <cp:keywords/>
  <dc:description/>
  <cp:lastModifiedBy>Zdravko Krpić</cp:lastModifiedBy>
  <cp:revision/>
  <dcterms:created xsi:type="dcterms:W3CDTF">2022-06-10T13:31:47Z</dcterms:created>
  <dcterms:modified xsi:type="dcterms:W3CDTF">2025-04-15T13:28:41Z</dcterms:modified>
  <cp:category/>
  <cp:contentStatus/>
</cp:coreProperties>
</file>